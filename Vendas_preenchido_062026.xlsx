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357FFCB3-EC9F-49B5-9F8E-7C7A97FE5D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Sheet1!$A$1:$AK$4325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212" i="1" l="1"/>
  <c r="U4212" i="1" s="1"/>
  <c r="T4213" i="1"/>
  <c r="U4213" i="1" s="1"/>
  <c r="T4214" i="1"/>
  <c r="U4214" i="1" s="1"/>
  <c r="T4215" i="1"/>
  <c r="U4215" i="1" s="1"/>
  <c r="T4216" i="1"/>
  <c r="U4216" i="1" s="1"/>
  <c r="T4217" i="1"/>
  <c r="U4217" i="1" s="1"/>
  <c r="T4218" i="1"/>
  <c r="U4218" i="1" s="1"/>
  <c r="T4219" i="1"/>
  <c r="U4219" i="1" s="1"/>
  <c r="T4220" i="1"/>
  <c r="U4220" i="1" s="1"/>
  <c r="T4211" i="1"/>
  <c r="U4211" i="1" s="1"/>
  <c r="W4261" i="1"/>
  <c r="W4262" i="1"/>
  <c r="W4263" i="1"/>
  <c r="T4262" i="1"/>
  <c r="U4262" i="1" s="1"/>
  <c r="T4263" i="1"/>
  <c r="U4263" i="1" s="1"/>
  <c r="T4261" i="1"/>
  <c r="U4261" i="1" s="1"/>
  <c r="V4292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T4289" i="1"/>
  <c r="U4289" i="1" s="1"/>
  <c r="T4290" i="1"/>
  <c r="U4290" i="1" s="1"/>
  <c r="T4291" i="1"/>
  <c r="U4291" i="1" s="1"/>
  <c r="T4292" i="1"/>
  <c r="U4292" i="1" s="1"/>
  <c r="T4293" i="1"/>
  <c r="U4293" i="1" s="1"/>
  <c r="T4294" i="1"/>
  <c r="U4294" i="1" s="1"/>
  <c r="T4295" i="1"/>
  <c r="U4295" i="1" s="1"/>
  <c r="T4296" i="1"/>
  <c r="U4296" i="1" s="1"/>
  <c r="T4297" i="1"/>
  <c r="U4297" i="1" s="1"/>
  <c r="T4298" i="1"/>
  <c r="U4298" i="1" s="1"/>
  <c r="T4299" i="1"/>
  <c r="U4299" i="1" s="1"/>
  <c r="T4300" i="1"/>
  <c r="U4300" i="1" s="1"/>
  <c r="T4301" i="1"/>
  <c r="U4301" i="1" s="1"/>
  <c r="T4302" i="1"/>
  <c r="U4302" i="1" s="1"/>
  <c r="T4303" i="1"/>
  <c r="U4303" i="1" s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68" i="1"/>
  <c r="W4269" i="1"/>
  <c r="W4270" i="1"/>
  <c r="T4268" i="1"/>
  <c r="U4268" i="1" s="1"/>
  <c r="T4269" i="1"/>
  <c r="U4269" i="1" s="1"/>
  <c r="T4270" i="1"/>
  <c r="U4270" i="1" s="1"/>
  <c r="T4282" i="1"/>
  <c r="U4282" i="1" s="1"/>
  <c r="T4283" i="1"/>
  <c r="U4283" i="1" s="1"/>
  <c r="T4284" i="1"/>
  <c r="U4284" i="1" s="1"/>
  <c r="T4285" i="1"/>
  <c r="U4285" i="1" s="1"/>
  <c r="T4286" i="1"/>
  <c r="U4286" i="1" s="1"/>
  <c r="T4287" i="1"/>
  <c r="U4287" i="1" s="1"/>
  <c r="T4288" i="1"/>
  <c r="U4288" i="1" s="1"/>
  <c r="T4281" i="1"/>
  <c r="U4281" i="1" s="1"/>
  <c r="T4274" i="1"/>
  <c r="U4274" i="1" s="1"/>
  <c r="T4275" i="1"/>
  <c r="U4275" i="1" s="1"/>
  <c r="T4276" i="1"/>
  <c r="U4276" i="1" s="1"/>
  <c r="T4277" i="1"/>
  <c r="U4277" i="1" s="1"/>
  <c r="T4278" i="1"/>
  <c r="U4278" i="1" s="1"/>
  <c r="T4273" i="1"/>
  <c r="U4273" i="1" s="1"/>
  <c r="V4070" i="1"/>
  <c r="V4069" i="1"/>
  <c r="V4068" i="1"/>
  <c r="V3617" i="1"/>
  <c r="W4068" i="1"/>
  <c r="T4068" i="1"/>
  <c r="U4068" i="1" s="1"/>
  <c r="T3617" i="1"/>
  <c r="U3617" i="1" s="1"/>
  <c r="W4070" i="1"/>
  <c r="W4069" i="1"/>
  <c r="T4070" i="1"/>
  <c r="U4070" i="1" s="1"/>
  <c r="T4069" i="1"/>
  <c r="U4069" i="1" s="1"/>
  <c r="T1122" i="1"/>
  <c r="U1122" i="1" s="1"/>
  <c r="T1121" i="1"/>
  <c r="U1121" i="1" s="1"/>
  <c r="T932" i="1"/>
  <c r="U932" i="1" s="1"/>
  <c r="W1122" i="1"/>
  <c r="AI1122" i="1"/>
  <c r="AE1122" i="1" s="1"/>
  <c r="AJ1122" i="1"/>
  <c r="AK1122" i="1"/>
  <c r="W1121" i="1"/>
  <c r="AI1121" i="1"/>
  <c r="AE1121" i="1" s="1"/>
  <c r="AJ1121" i="1"/>
  <c r="AK1121" i="1"/>
  <c r="V1779" i="1"/>
  <c r="T4279" i="1"/>
  <c r="U4279" i="1" s="1"/>
  <c r="T4177" i="1"/>
  <c r="U4177" i="1" s="1"/>
  <c r="T4176" i="1"/>
  <c r="U4176" i="1" s="1"/>
  <c r="AF1966" i="1"/>
  <c r="V900" i="1"/>
  <c r="AK900" i="1" s="1"/>
  <c r="V2275" i="1"/>
  <c r="W2275" i="1" s="1"/>
  <c r="W4189" i="1"/>
  <c r="T4189" i="1"/>
  <c r="U4189" i="1" s="1"/>
  <c r="AI4188" i="1"/>
  <c r="AE4188" i="1" s="1"/>
  <c r="V4188" i="1"/>
  <c r="AK4188" i="1" s="1"/>
  <c r="V4259" i="1"/>
  <c r="AJ4259" i="1" s="1"/>
  <c r="V4161" i="1"/>
  <c r="AK4161" i="1" s="1"/>
  <c r="V3479" i="1"/>
  <c r="AK3479" i="1" s="1"/>
  <c r="V3218" i="1"/>
  <c r="AK3218" i="1" s="1"/>
  <c r="V2977" i="1"/>
  <c r="AK2977" i="1" s="1"/>
  <c r="V1924" i="1"/>
  <c r="V1776" i="1"/>
  <c r="AK1776" i="1" s="1"/>
  <c r="V1077" i="1"/>
  <c r="W1077" i="1" s="1"/>
  <c r="V752" i="1"/>
  <c r="V429" i="1"/>
  <c r="AK429" i="1" s="1"/>
  <c r="AF4259" i="1"/>
  <c r="AF4161" i="1"/>
  <c r="AF3479" i="1"/>
  <c r="AF3218" i="1"/>
  <c r="AF2977" i="1"/>
  <c r="AF1924" i="1"/>
  <c r="AF1776" i="1"/>
  <c r="AF1077" i="1"/>
  <c r="AF752" i="1"/>
  <c r="AF429" i="1"/>
  <c r="AF244" i="1"/>
  <c r="AF1029" i="1"/>
  <c r="V1030" i="1"/>
  <c r="W1030" i="1" s="1"/>
  <c r="V324" i="1"/>
  <c r="AK324" i="1" s="1"/>
  <c r="V197" i="1"/>
  <c r="AJ197" i="1" s="1"/>
  <c r="AF115" i="1"/>
  <c r="V27" i="1"/>
  <c r="AK27" i="1" s="1"/>
  <c r="AF27" i="1"/>
  <c r="V19" i="1"/>
  <c r="AJ19" i="1" s="1"/>
  <c r="AF19" i="1"/>
  <c r="V11" i="1"/>
  <c r="AJ11" i="1" s="1"/>
  <c r="V17" i="1"/>
  <c r="AK17" i="1" s="1"/>
  <c r="V336" i="1"/>
  <c r="AK336" i="1" s="1"/>
  <c r="AF336" i="1"/>
  <c r="AF1702" i="1"/>
  <c r="AF1544" i="1"/>
  <c r="AF1543" i="1"/>
  <c r="AF1540" i="1"/>
  <c r="AF838" i="1"/>
  <c r="V4149" i="1"/>
  <c r="AK4149" i="1" s="1"/>
  <c r="T4148" i="1"/>
  <c r="U4148" i="1" s="1"/>
  <c r="T4149" i="1"/>
  <c r="U4149" i="1" s="1"/>
  <c r="T4150" i="1"/>
  <c r="U4150" i="1" s="1"/>
  <c r="AK4150" i="1"/>
  <c r="AJ4150" i="1"/>
  <c r="AI4150" i="1"/>
  <c r="AE4150" i="1" s="1"/>
  <c r="AI4149" i="1"/>
  <c r="AE4149" i="1" s="1"/>
  <c r="AK4148" i="1"/>
  <c r="AJ4148" i="1"/>
  <c r="AI4148" i="1"/>
  <c r="AE4148" i="1" s="1"/>
  <c r="AK4147" i="1"/>
  <c r="AJ4147" i="1"/>
  <c r="AI4147" i="1"/>
  <c r="AE4147" i="1" s="1"/>
  <c r="W4150" i="1"/>
  <c r="W4148" i="1"/>
  <c r="W4147" i="1"/>
  <c r="T4147" i="1"/>
  <c r="U4147" i="1" s="1"/>
  <c r="AF4147" i="1"/>
  <c r="T839" i="1"/>
  <c r="U839" i="1" s="1"/>
  <c r="T838" i="1"/>
  <c r="U838" i="1" s="1"/>
  <c r="V1978" i="1"/>
  <c r="W1978" i="1" s="1"/>
  <c r="V1977" i="1"/>
  <c r="W1977" i="1" s="1"/>
  <c r="V2704" i="1"/>
  <c r="AJ2704" i="1" s="1"/>
  <c r="V2493" i="1"/>
  <c r="AK2493" i="1" s="1"/>
  <c r="V2221" i="1"/>
  <c r="AK2221" i="1" s="1"/>
  <c r="V3740" i="1"/>
  <c r="W3740" i="1" s="1"/>
  <c r="V3739" i="1"/>
  <c r="AK3739" i="1" s="1"/>
  <c r="V938" i="1"/>
  <c r="AJ938" i="1" s="1"/>
  <c r="V902" i="1"/>
  <c r="AK902" i="1" s="1"/>
  <c r="V657" i="1"/>
  <c r="AK657" i="1" s="1"/>
  <c r="AF15" i="1"/>
  <c r="V15" i="1"/>
  <c r="W15" i="1" s="1"/>
  <c r="AI4272" i="1"/>
  <c r="AE4272" i="1" s="1"/>
  <c r="V4272" i="1"/>
  <c r="T4272" i="1"/>
  <c r="U4272" i="1" s="1"/>
  <c r="AI4271" i="1"/>
  <c r="V4271" i="1"/>
  <c r="AJ4271" i="1" s="1"/>
  <c r="T4271" i="1"/>
  <c r="U4271" i="1" s="1"/>
  <c r="AI4267" i="1"/>
  <c r="AE4267" i="1" s="1"/>
  <c r="V4267" i="1"/>
  <c r="AF4267" i="1" s="1"/>
  <c r="T4267" i="1"/>
  <c r="U4267" i="1" s="1"/>
  <c r="AI4266" i="1"/>
  <c r="V4266" i="1"/>
  <c r="T4266" i="1"/>
  <c r="U4266" i="1" s="1"/>
  <c r="AI4265" i="1"/>
  <c r="AE4265" i="1" s="1"/>
  <c r="V4265" i="1"/>
  <c r="T4265" i="1"/>
  <c r="U4265" i="1" s="1"/>
  <c r="AI4264" i="1"/>
  <c r="V4264" i="1"/>
  <c r="T4264" i="1"/>
  <c r="U4264" i="1" s="1"/>
  <c r="AI4260" i="1"/>
  <c r="AE4260" i="1" s="1"/>
  <c r="V4260" i="1"/>
  <c r="AJ4260" i="1" s="1"/>
  <c r="T4260" i="1"/>
  <c r="U4260" i="1" s="1"/>
  <c r="AI4259" i="1"/>
  <c r="AE4259" i="1" s="1"/>
  <c r="T4259" i="1"/>
  <c r="U4259" i="1" s="1"/>
  <c r="AE4258" i="1"/>
  <c r="V4258" i="1"/>
  <c r="W4258" i="1" s="1"/>
  <c r="T4258" i="1"/>
  <c r="U4258" i="1" s="1"/>
  <c r="W4257" i="1"/>
  <c r="T4257" i="1"/>
  <c r="U4257" i="1" s="1"/>
  <c r="AI4256" i="1"/>
  <c r="AE4256" i="1" s="1"/>
  <c r="V4256" i="1"/>
  <c r="T4256" i="1"/>
  <c r="U4256" i="1" s="1"/>
  <c r="AK4255" i="1"/>
  <c r="AJ4255" i="1"/>
  <c r="AI4255" i="1"/>
  <c r="AE4255" i="1" s="1"/>
  <c r="W4255" i="1"/>
  <c r="T4255" i="1"/>
  <c r="U4255" i="1" s="1"/>
  <c r="W4254" i="1"/>
  <c r="T4254" i="1"/>
  <c r="U4254" i="1" s="1"/>
  <c r="AI4253" i="1"/>
  <c r="AE4253" i="1" s="1"/>
  <c r="V4253" i="1"/>
  <c r="W4253" i="1" s="1"/>
  <c r="T4253" i="1"/>
  <c r="U4253" i="1" s="1"/>
  <c r="AK4252" i="1"/>
  <c r="AJ4252" i="1"/>
  <c r="AI4252" i="1"/>
  <c r="AE4252" i="1" s="1"/>
  <c r="W4252" i="1"/>
  <c r="T4252" i="1"/>
  <c r="U4252" i="1" s="1"/>
  <c r="AK4251" i="1"/>
  <c r="AJ4251" i="1"/>
  <c r="AI4251" i="1"/>
  <c r="AE4251" i="1" s="1"/>
  <c r="W4251" i="1"/>
  <c r="T4251" i="1"/>
  <c r="U4251" i="1" s="1"/>
  <c r="AI4249" i="1"/>
  <c r="AE4249" i="1" s="1"/>
  <c r="V4249" i="1"/>
  <c r="W4249" i="1" s="1"/>
  <c r="T4249" i="1"/>
  <c r="U4249" i="1" s="1"/>
  <c r="AI4248" i="1"/>
  <c r="V4248" i="1"/>
  <c r="AK4248" i="1" s="1"/>
  <c r="T4248" i="1"/>
  <c r="U4248" i="1" s="1"/>
  <c r="W4245" i="1"/>
  <c r="T4245" i="1"/>
  <c r="U4245" i="1" s="1"/>
  <c r="AI4240" i="1"/>
  <c r="AE4240" i="1" s="1"/>
  <c r="V4240" i="1"/>
  <c r="T4240" i="1"/>
  <c r="U4240" i="1" s="1"/>
  <c r="AK4239" i="1"/>
  <c r="AJ4239" i="1"/>
  <c r="AI4239" i="1"/>
  <c r="AE4239" i="1" s="1"/>
  <c r="W4239" i="1"/>
  <c r="T4239" i="1"/>
  <c r="U4239" i="1" s="1"/>
  <c r="W4237" i="1"/>
  <c r="T4237" i="1"/>
  <c r="U4237" i="1" s="1"/>
  <c r="W4236" i="1"/>
  <c r="T4236" i="1"/>
  <c r="U4236" i="1" s="1"/>
  <c r="W4235" i="1"/>
  <c r="T4235" i="1"/>
  <c r="U4235" i="1" s="1"/>
  <c r="W4234" i="1"/>
  <c r="T4234" i="1"/>
  <c r="U4234" i="1" s="1"/>
  <c r="W4233" i="1"/>
  <c r="T4233" i="1"/>
  <c r="U4233" i="1" s="1"/>
  <c r="AI4232" i="1"/>
  <c r="AE4232" i="1" s="1"/>
  <c r="V4232" i="1"/>
  <c r="W4232" i="1" s="1"/>
  <c r="T4232" i="1"/>
  <c r="U4232" i="1" s="1"/>
  <c r="AK4230" i="1"/>
  <c r="AJ4230" i="1"/>
  <c r="AI4230" i="1"/>
  <c r="AE4230" i="1" s="1"/>
  <c r="W4230" i="1"/>
  <c r="T4230" i="1"/>
  <c r="U4230" i="1" s="1"/>
  <c r="AK4229" i="1"/>
  <c r="AJ4229" i="1"/>
  <c r="AI4229" i="1"/>
  <c r="AE4229" i="1" s="1"/>
  <c r="W4229" i="1"/>
  <c r="T4229" i="1"/>
  <c r="U4229" i="1" s="1"/>
  <c r="AI4227" i="1"/>
  <c r="AE4227" i="1" s="1"/>
  <c r="V4227" i="1"/>
  <c r="T4227" i="1"/>
  <c r="U4227" i="1" s="1"/>
  <c r="AI4226" i="1"/>
  <c r="V4226" i="1"/>
  <c r="AF4226" i="1" s="1"/>
  <c r="T4226" i="1"/>
  <c r="U4226" i="1" s="1"/>
  <c r="AI4224" i="1"/>
  <c r="AE4224" i="1" s="1"/>
  <c r="V4224" i="1"/>
  <c r="T4224" i="1"/>
  <c r="U4224" i="1" s="1"/>
  <c r="AK4222" i="1"/>
  <c r="AJ4222" i="1"/>
  <c r="AI4222" i="1"/>
  <c r="AE4222" i="1" s="1"/>
  <c r="W4222" i="1"/>
  <c r="T4222" i="1"/>
  <c r="U4222" i="1" s="1"/>
  <c r="AI4210" i="1"/>
  <c r="AE4210" i="1" s="1"/>
  <c r="V4210" i="1"/>
  <c r="W4210" i="1" s="1"/>
  <c r="T4210" i="1"/>
  <c r="U4210" i="1" s="1"/>
  <c r="AI4209" i="1"/>
  <c r="V4209" i="1"/>
  <c r="T4209" i="1"/>
  <c r="U4209" i="1" s="1"/>
  <c r="AI4208" i="1"/>
  <c r="AE4208" i="1" s="1"/>
  <c r="V4208" i="1"/>
  <c r="T4208" i="1"/>
  <c r="U4208" i="1" s="1"/>
  <c r="AJ4207" i="1"/>
  <c r="AI4207" i="1"/>
  <c r="AF4207" i="1"/>
  <c r="T4207" i="1"/>
  <c r="U4207" i="1" s="1"/>
  <c r="AK4206" i="1"/>
  <c r="AJ4206" i="1"/>
  <c r="AI4206" i="1"/>
  <c r="AE4206" i="1" s="1"/>
  <c r="W4206" i="1"/>
  <c r="T4206" i="1"/>
  <c r="U4206" i="1" s="1"/>
  <c r="AK4205" i="1"/>
  <c r="AJ4205" i="1"/>
  <c r="AI4205" i="1"/>
  <c r="AE4205" i="1" s="1"/>
  <c r="W4205" i="1"/>
  <c r="T4205" i="1"/>
  <c r="U4205" i="1" s="1"/>
  <c r="AI4204" i="1"/>
  <c r="AE4204" i="1" s="1"/>
  <c r="V4204" i="1"/>
  <c r="T4204" i="1"/>
  <c r="U4204" i="1" s="1"/>
  <c r="W4203" i="1"/>
  <c r="T4203" i="1"/>
  <c r="U4203" i="1" s="1"/>
  <c r="AI4199" i="1"/>
  <c r="AE4199" i="1" s="1"/>
  <c r="V4199" i="1"/>
  <c r="AK4199" i="1" s="1"/>
  <c r="T4199" i="1"/>
  <c r="U4199" i="1" s="1"/>
  <c r="AI4198" i="1"/>
  <c r="AE4198" i="1" s="1"/>
  <c r="V4198" i="1"/>
  <c r="T4198" i="1"/>
  <c r="U4198" i="1" s="1"/>
  <c r="AI4197" i="1"/>
  <c r="AE4197" i="1" s="1"/>
  <c r="V4197" i="1"/>
  <c r="T4197" i="1"/>
  <c r="U4197" i="1" s="1"/>
  <c r="AK4195" i="1"/>
  <c r="AJ4195" i="1"/>
  <c r="AI4195" i="1"/>
  <c r="AE4195" i="1" s="1"/>
  <c r="AF4195" i="1"/>
  <c r="T4195" i="1"/>
  <c r="U4195" i="1" s="1"/>
  <c r="AK4194" i="1"/>
  <c r="AJ4194" i="1"/>
  <c r="AI4194" i="1"/>
  <c r="AF4194" i="1"/>
  <c r="W4194" i="1"/>
  <c r="T4194" i="1"/>
  <c r="U4194" i="1" s="1"/>
  <c r="W4190" i="1"/>
  <c r="T4190" i="1"/>
  <c r="U4190" i="1" s="1"/>
  <c r="T4188" i="1"/>
  <c r="U4188" i="1" s="1"/>
  <c r="AI4187" i="1"/>
  <c r="AE4187" i="1" s="1"/>
  <c r="V4187" i="1"/>
  <c r="T4187" i="1"/>
  <c r="U4187" i="1" s="1"/>
  <c r="AI4186" i="1"/>
  <c r="V4186" i="1"/>
  <c r="T4186" i="1"/>
  <c r="U4186" i="1" s="1"/>
  <c r="AI4181" i="1"/>
  <c r="AE4181" i="1" s="1"/>
  <c r="V4181" i="1"/>
  <c r="T4181" i="1"/>
  <c r="U4181" i="1" s="1"/>
  <c r="AI4180" i="1"/>
  <c r="V4180" i="1"/>
  <c r="AF4180" i="1" s="1"/>
  <c r="T4180" i="1"/>
  <c r="U4180" i="1" s="1"/>
  <c r="AI4179" i="1"/>
  <c r="AE4179" i="1" s="1"/>
  <c r="V4179" i="1"/>
  <c r="AF4179" i="1" s="1"/>
  <c r="T4179" i="1"/>
  <c r="U4179" i="1" s="1"/>
  <c r="AI4178" i="1"/>
  <c r="V4178" i="1"/>
  <c r="W4178" i="1" s="1"/>
  <c r="T4178" i="1"/>
  <c r="U4178" i="1" s="1"/>
  <c r="AI4175" i="1"/>
  <c r="AE4175" i="1" s="1"/>
  <c r="V4175" i="1"/>
  <c r="W4175" i="1" s="1"/>
  <c r="T4175" i="1"/>
  <c r="U4175" i="1" s="1"/>
  <c r="AK4173" i="1"/>
  <c r="AJ4173" i="1"/>
  <c r="AI4173" i="1"/>
  <c r="AE4173" i="1" s="1"/>
  <c r="W4173" i="1"/>
  <c r="T4173" i="1"/>
  <c r="U4173" i="1" s="1"/>
  <c r="W4172" i="1"/>
  <c r="T4172" i="1"/>
  <c r="U4172" i="1" s="1"/>
  <c r="AI4169" i="1"/>
  <c r="AE4169" i="1" s="1"/>
  <c r="V4169" i="1"/>
  <c r="AJ4169" i="1" s="1"/>
  <c r="T4169" i="1"/>
  <c r="U4169" i="1" s="1"/>
  <c r="AI4168" i="1"/>
  <c r="V4168" i="1"/>
  <c r="W4168" i="1" s="1"/>
  <c r="T4168" i="1"/>
  <c r="U4168" i="1" s="1"/>
  <c r="AI4166" i="1"/>
  <c r="AE4166" i="1" s="1"/>
  <c r="V4166" i="1"/>
  <c r="W4166" i="1" s="1"/>
  <c r="T4166" i="1"/>
  <c r="U4166" i="1" s="1"/>
  <c r="AK4165" i="1"/>
  <c r="AJ4165" i="1"/>
  <c r="AI4165" i="1"/>
  <c r="AE4165" i="1" s="1"/>
  <c r="W4165" i="1"/>
  <c r="T4165" i="1"/>
  <c r="U4165" i="1" s="1"/>
  <c r="AI4164" i="1"/>
  <c r="AE4164" i="1" s="1"/>
  <c r="V4164" i="1"/>
  <c r="W4164" i="1" s="1"/>
  <c r="T4164" i="1"/>
  <c r="U4164" i="1" s="1"/>
  <c r="AI4163" i="1"/>
  <c r="V4163" i="1"/>
  <c r="AF4163" i="1" s="1"/>
  <c r="T4163" i="1"/>
  <c r="U4163" i="1" s="1"/>
  <c r="AI4162" i="1"/>
  <c r="AE4162" i="1" s="1"/>
  <c r="V4162" i="1"/>
  <c r="T4162" i="1"/>
  <c r="U4162" i="1" s="1"/>
  <c r="AI4161" i="1"/>
  <c r="AE4161" i="1" s="1"/>
  <c r="T4161" i="1"/>
  <c r="U4161" i="1" s="1"/>
  <c r="W4157" i="1"/>
  <c r="T4157" i="1"/>
  <c r="U4157" i="1" s="1"/>
  <c r="W4156" i="1"/>
  <c r="T4156" i="1"/>
  <c r="U4156" i="1" s="1"/>
  <c r="W4154" i="1"/>
  <c r="T4154" i="1"/>
  <c r="U4154" i="1" s="1"/>
  <c r="W4146" i="1"/>
  <c r="T4146" i="1"/>
  <c r="U4146" i="1" s="1"/>
  <c r="AI4145" i="1"/>
  <c r="AE4145" i="1" s="1"/>
  <c r="V4145" i="1"/>
  <c r="W4145" i="1" s="1"/>
  <c r="T4145" i="1"/>
  <c r="U4145" i="1" s="1"/>
  <c r="AK4144" i="1"/>
  <c r="AJ4144" i="1"/>
  <c r="AI4144" i="1"/>
  <c r="AE4144" i="1" s="1"/>
  <c r="W4144" i="1"/>
  <c r="T4144" i="1"/>
  <c r="U4144" i="1" s="1"/>
  <c r="AI4143" i="1"/>
  <c r="AE4143" i="1" s="1"/>
  <c r="V4143" i="1"/>
  <c r="AK4143" i="1" s="1"/>
  <c r="T4143" i="1"/>
  <c r="U4143" i="1" s="1"/>
  <c r="AK4142" i="1"/>
  <c r="AJ4142" i="1"/>
  <c r="AI4142" i="1"/>
  <c r="AE4142" i="1" s="1"/>
  <c r="W4142" i="1"/>
  <c r="T4142" i="1"/>
  <c r="U4142" i="1" s="1"/>
  <c r="W4141" i="1"/>
  <c r="T4141" i="1"/>
  <c r="U4141" i="1" s="1"/>
  <c r="W4140" i="1"/>
  <c r="T4140" i="1"/>
  <c r="U4140" i="1" s="1"/>
  <c r="AI4139" i="1"/>
  <c r="AE4139" i="1" s="1"/>
  <c r="V4139" i="1"/>
  <c r="T4139" i="1"/>
  <c r="U4139" i="1" s="1"/>
  <c r="AK4138" i="1"/>
  <c r="AJ4138" i="1"/>
  <c r="AI4138" i="1"/>
  <c r="AE4138" i="1" s="1"/>
  <c r="W4138" i="1"/>
  <c r="T4138" i="1"/>
  <c r="U4138" i="1" s="1"/>
  <c r="AI4137" i="1"/>
  <c r="AE4137" i="1" s="1"/>
  <c r="V4137" i="1"/>
  <c r="T4137" i="1"/>
  <c r="U4137" i="1" s="1"/>
  <c r="AI4136" i="1"/>
  <c r="V4136" i="1"/>
  <c r="AF4136" i="1" s="1"/>
  <c r="T4136" i="1"/>
  <c r="U4136" i="1" s="1"/>
  <c r="W4134" i="1"/>
  <c r="T4134" i="1"/>
  <c r="U4134" i="1" s="1"/>
  <c r="AK4132" i="1"/>
  <c r="AJ4132" i="1"/>
  <c r="AI4132" i="1"/>
  <c r="AE4132" i="1" s="1"/>
  <c r="W4132" i="1"/>
  <c r="T4132" i="1"/>
  <c r="U4132" i="1" s="1"/>
  <c r="AK4131" i="1"/>
  <c r="AJ4131" i="1"/>
  <c r="AI4131" i="1"/>
  <c r="AE4131" i="1" s="1"/>
  <c r="W4131" i="1"/>
  <c r="T4131" i="1"/>
  <c r="U4131" i="1" s="1"/>
  <c r="AI4127" i="1"/>
  <c r="AE4127" i="1" s="1"/>
  <c r="V4127" i="1"/>
  <c r="W4127" i="1" s="1"/>
  <c r="T4127" i="1"/>
  <c r="U4127" i="1" s="1"/>
  <c r="AK4126" i="1"/>
  <c r="AJ4126" i="1"/>
  <c r="AI4126" i="1"/>
  <c r="AE4126" i="1" s="1"/>
  <c r="W4126" i="1"/>
  <c r="T4126" i="1"/>
  <c r="U4126" i="1" s="1"/>
  <c r="AI4118" i="1"/>
  <c r="AE4118" i="1" s="1"/>
  <c r="V4118" i="1"/>
  <c r="W4118" i="1" s="1"/>
  <c r="T4118" i="1"/>
  <c r="U4118" i="1" s="1"/>
  <c r="AI4117" i="1"/>
  <c r="V4117" i="1"/>
  <c r="AF4117" i="1" s="1"/>
  <c r="T4117" i="1"/>
  <c r="U4117" i="1" s="1"/>
  <c r="AI4112" i="1"/>
  <c r="AE4112" i="1" s="1"/>
  <c r="V4112" i="1"/>
  <c r="T4112" i="1"/>
  <c r="U4112" i="1" s="1"/>
  <c r="AI4111" i="1"/>
  <c r="V4111" i="1"/>
  <c r="T4111" i="1"/>
  <c r="U4111" i="1" s="1"/>
  <c r="W4106" i="1"/>
  <c r="T4106" i="1"/>
  <c r="U4106" i="1" s="1"/>
  <c r="W4105" i="1"/>
  <c r="T4105" i="1"/>
  <c r="U4105" i="1" s="1"/>
  <c r="W4104" i="1"/>
  <c r="T4104" i="1"/>
  <c r="U4104" i="1" s="1"/>
  <c r="W4103" i="1"/>
  <c r="T4103" i="1"/>
  <c r="U4103" i="1" s="1"/>
  <c r="W4102" i="1"/>
  <c r="T4102" i="1"/>
  <c r="U4102" i="1" s="1"/>
  <c r="W4101" i="1"/>
  <c r="T4101" i="1"/>
  <c r="U4101" i="1" s="1"/>
  <c r="W4100" i="1"/>
  <c r="T4100" i="1"/>
  <c r="U4100" i="1" s="1"/>
  <c r="W4099" i="1"/>
  <c r="T4099" i="1"/>
  <c r="U4099" i="1" s="1"/>
  <c r="T4098" i="1"/>
  <c r="U4098" i="1" s="1"/>
  <c r="W4097" i="1"/>
  <c r="T4097" i="1"/>
  <c r="U4097" i="1" s="1"/>
  <c r="W4096" i="1"/>
  <c r="T4096" i="1"/>
  <c r="U4096" i="1" s="1"/>
  <c r="AE4095" i="1"/>
  <c r="V4095" i="1"/>
  <c r="W4095" i="1" s="1"/>
  <c r="T4095" i="1"/>
  <c r="U4095" i="1" s="1"/>
  <c r="T4094" i="1"/>
  <c r="U4094" i="1" s="1"/>
  <c r="W4093" i="1"/>
  <c r="T4093" i="1"/>
  <c r="U4093" i="1" s="1"/>
  <c r="W4092" i="1"/>
  <c r="T4092" i="1"/>
  <c r="U4092" i="1" s="1"/>
  <c r="W4091" i="1"/>
  <c r="T4091" i="1"/>
  <c r="U4091" i="1" s="1"/>
  <c r="W4090" i="1"/>
  <c r="T4090" i="1"/>
  <c r="U4090" i="1" s="1"/>
  <c r="W4089" i="1"/>
  <c r="T4089" i="1"/>
  <c r="U4089" i="1" s="1"/>
  <c r="W4088" i="1"/>
  <c r="T4088" i="1"/>
  <c r="U4088" i="1" s="1"/>
  <c r="W4087" i="1"/>
  <c r="T4087" i="1"/>
  <c r="U4087" i="1" s="1"/>
  <c r="W4086" i="1"/>
  <c r="T4086" i="1"/>
  <c r="U4086" i="1" s="1"/>
  <c r="W4085" i="1"/>
  <c r="T4085" i="1"/>
  <c r="U4085" i="1" s="1"/>
  <c r="W4084" i="1"/>
  <c r="T4084" i="1"/>
  <c r="U4084" i="1" s="1"/>
  <c r="W4083" i="1"/>
  <c r="T4083" i="1"/>
  <c r="U4083" i="1" s="1"/>
  <c r="W4082" i="1"/>
  <c r="T4082" i="1"/>
  <c r="U4082" i="1" s="1"/>
  <c r="W4081" i="1"/>
  <c r="T4081" i="1"/>
  <c r="U4081" i="1" s="1"/>
  <c r="W4080" i="1"/>
  <c r="T4080" i="1"/>
  <c r="U4080" i="1" s="1"/>
  <c r="W4075" i="1"/>
  <c r="T4075" i="1"/>
  <c r="U4075" i="1" s="1"/>
  <c r="AK4074" i="1"/>
  <c r="AJ4074" i="1"/>
  <c r="AI4074" i="1"/>
  <c r="AE4074" i="1" s="1"/>
  <c r="W4074" i="1"/>
  <c r="T4074" i="1"/>
  <c r="U4074" i="1" s="1"/>
  <c r="AI4072" i="1"/>
  <c r="AE4072" i="1" s="1"/>
  <c r="V4072" i="1"/>
  <c r="T4072" i="1"/>
  <c r="U4072" i="1" s="1"/>
  <c r="AI4071" i="1"/>
  <c r="V4071" i="1"/>
  <c r="T4071" i="1"/>
  <c r="U4071" i="1" s="1"/>
  <c r="W4067" i="1"/>
  <c r="T4067" i="1"/>
  <c r="U4067" i="1" s="1"/>
  <c r="AI4064" i="1"/>
  <c r="AE4064" i="1" s="1"/>
  <c r="V4064" i="1"/>
  <c r="T4064" i="1"/>
  <c r="U4064" i="1" s="1"/>
  <c r="AI4063" i="1"/>
  <c r="V4063" i="1"/>
  <c r="AF4063" i="1" s="1"/>
  <c r="T4063" i="1"/>
  <c r="U4063" i="1" s="1"/>
  <c r="AI4062" i="1"/>
  <c r="AE4062" i="1" s="1"/>
  <c r="V4062" i="1"/>
  <c r="W4062" i="1" s="1"/>
  <c r="T4062" i="1"/>
  <c r="U4062" i="1" s="1"/>
  <c r="AK4061" i="1"/>
  <c r="AJ4061" i="1"/>
  <c r="AI4061" i="1"/>
  <c r="AE4061" i="1" s="1"/>
  <c r="W4061" i="1"/>
  <c r="T4061" i="1"/>
  <c r="U4061" i="1" s="1"/>
  <c r="W4060" i="1"/>
  <c r="T4060" i="1"/>
  <c r="U4060" i="1" s="1"/>
  <c r="W4059" i="1"/>
  <c r="T4059" i="1"/>
  <c r="U4059" i="1" s="1"/>
  <c r="W4058" i="1"/>
  <c r="T4058" i="1"/>
  <c r="U4058" i="1" s="1"/>
  <c r="W4057" i="1"/>
  <c r="T4057" i="1"/>
  <c r="U4057" i="1" s="1"/>
  <c r="AI4056" i="1"/>
  <c r="AE4056" i="1" s="1"/>
  <c r="V4056" i="1"/>
  <c r="T4056" i="1"/>
  <c r="U4056" i="1" s="1"/>
  <c r="AK4055" i="1"/>
  <c r="AJ4055" i="1"/>
  <c r="AI4055" i="1"/>
  <c r="AE4055" i="1" s="1"/>
  <c r="W4055" i="1"/>
  <c r="T4055" i="1"/>
  <c r="U4055" i="1" s="1"/>
  <c r="W4054" i="1"/>
  <c r="T4054" i="1"/>
  <c r="U4054" i="1" s="1"/>
  <c r="W4053" i="1"/>
  <c r="T4053" i="1"/>
  <c r="U4053" i="1" s="1"/>
  <c r="W4052" i="1"/>
  <c r="T4052" i="1"/>
  <c r="U4052" i="1" s="1"/>
  <c r="AI4051" i="1"/>
  <c r="AE4051" i="1" s="1"/>
  <c r="V4051" i="1"/>
  <c r="T4051" i="1"/>
  <c r="U4051" i="1" s="1"/>
  <c r="AI4050" i="1"/>
  <c r="V4050" i="1"/>
  <c r="AF4050" i="1" s="1"/>
  <c r="T4050" i="1"/>
  <c r="U4050" i="1" s="1"/>
  <c r="AI4047" i="1"/>
  <c r="AE4047" i="1" s="1"/>
  <c r="V4047" i="1"/>
  <c r="T4047" i="1"/>
  <c r="U4047" i="1" s="1"/>
  <c r="AK4046" i="1"/>
  <c r="AJ4046" i="1"/>
  <c r="AI4046" i="1"/>
  <c r="AE4046" i="1" s="1"/>
  <c r="W4046" i="1"/>
  <c r="T4046" i="1"/>
  <c r="U4046" i="1" s="1"/>
  <c r="AI4045" i="1"/>
  <c r="AE4045" i="1" s="1"/>
  <c r="V4045" i="1"/>
  <c r="W4045" i="1" s="1"/>
  <c r="T4045" i="1"/>
  <c r="U4045" i="1" s="1"/>
  <c r="AI4044" i="1"/>
  <c r="AE4044" i="1" s="1"/>
  <c r="V4044" i="1"/>
  <c r="AK4044" i="1" s="1"/>
  <c r="T4044" i="1"/>
  <c r="U4044" i="1" s="1"/>
  <c r="AK4043" i="1"/>
  <c r="AJ4043" i="1"/>
  <c r="AI4043" i="1"/>
  <c r="AF4043" i="1"/>
  <c r="W4043" i="1"/>
  <c r="T4043" i="1"/>
  <c r="U4043" i="1" s="1"/>
  <c r="AI4042" i="1"/>
  <c r="AE4042" i="1" s="1"/>
  <c r="V4042" i="1"/>
  <c r="AK4041" i="1"/>
  <c r="AJ4041" i="1"/>
  <c r="AI4041" i="1"/>
  <c r="AE4041" i="1" s="1"/>
  <c r="W4041" i="1"/>
  <c r="AI4040" i="1"/>
  <c r="AE4040" i="1" s="1"/>
  <c r="V4040" i="1"/>
  <c r="W4040" i="1" s="1"/>
  <c r="AK4039" i="1"/>
  <c r="AJ4039" i="1"/>
  <c r="AI4039" i="1"/>
  <c r="AE4039" i="1" s="1"/>
  <c r="W4039" i="1"/>
  <c r="T4039" i="1"/>
  <c r="U4039" i="1" s="1"/>
  <c r="AI4038" i="1"/>
  <c r="AE4038" i="1" s="1"/>
  <c r="V4038" i="1"/>
  <c r="AK4037" i="1"/>
  <c r="AJ4037" i="1"/>
  <c r="AI4037" i="1"/>
  <c r="AE4037" i="1" s="1"/>
  <c r="W4037" i="1"/>
  <c r="AI4036" i="1"/>
  <c r="AE4036" i="1" s="1"/>
  <c r="V4036" i="1"/>
  <c r="AI4035" i="1"/>
  <c r="AE4035" i="1" s="1"/>
  <c r="V4035" i="1"/>
  <c r="W4035" i="1" s="1"/>
  <c r="AK4034" i="1"/>
  <c r="AJ4034" i="1"/>
  <c r="AI4034" i="1"/>
  <c r="AE4034" i="1" s="1"/>
  <c r="W4034" i="1"/>
  <c r="AK4033" i="1"/>
  <c r="AJ4033" i="1"/>
  <c r="AI4033" i="1"/>
  <c r="AE4033" i="1" s="1"/>
  <c r="W4033" i="1"/>
  <c r="AK4032" i="1"/>
  <c r="AJ4032" i="1"/>
  <c r="AI4032" i="1"/>
  <c r="AE4032" i="1" s="1"/>
  <c r="W4032" i="1"/>
  <c r="AK4031" i="1"/>
  <c r="AJ4031" i="1"/>
  <c r="AI4031" i="1"/>
  <c r="AE4031" i="1" s="1"/>
  <c r="W4031" i="1"/>
  <c r="AI4030" i="1"/>
  <c r="AE4030" i="1" s="1"/>
  <c r="AF4030" i="1"/>
  <c r="V4030" i="1"/>
  <c r="AI4029" i="1"/>
  <c r="AE4029" i="1" s="1"/>
  <c r="V4029" i="1"/>
  <c r="AI4028" i="1"/>
  <c r="AE4028" i="1" s="1"/>
  <c r="V4028" i="1"/>
  <c r="AI4027" i="1"/>
  <c r="AE4027" i="1" s="1"/>
  <c r="V4027" i="1"/>
  <c r="AI4026" i="1"/>
  <c r="AE4026" i="1" s="1"/>
  <c r="V4026" i="1"/>
  <c r="AI4025" i="1"/>
  <c r="AE4025" i="1" s="1"/>
  <c r="V4025" i="1"/>
  <c r="AI4024" i="1"/>
  <c r="AE4024" i="1" s="1"/>
  <c r="V4024" i="1"/>
  <c r="AK4024" i="1" s="1"/>
  <c r="AK4023" i="1"/>
  <c r="AJ4023" i="1"/>
  <c r="AI4023" i="1"/>
  <c r="AE4023" i="1" s="1"/>
  <c r="W4023" i="1"/>
  <c r="AK4022" i="1"/>
  <c r="AJ4022" i="1"/>
  <c r="AI4022" i="1"/>
  <c r="AE4022" i="1" s="1"/>
  <c r="W4022" i="1"/>
  <c r="AK4021" i="1"/>
  <c r="AJ4021" i="1"/>
  <c r="AI4021" i="1"/>
  <c r="AE4021" i="1" s="1"/>
  <c r="W4021" i="1"/>
  <c r="AK4020" i="1"/>
  <c r="AJ4020" i="1"/>
  <c r="AI4020" i="1"/>
  <c r="AE4020" i="1" s="1"/>
  <c r="AF4020" i="1"/>
  <c r="AI4019" i="1"/>
  <c r="AE4019" i="1" s="1"/>
  <c r="V4019" i="1"/>
  <c r="W4019" i="1" s="1"/>
  <c r="AK4018" i="1"/>
  <c r="AJ4018" i="1"/>
  <c r="AI4018" i="1"/>
  <c r="AE4018" i="1" s="1"/>
  <c r="W4018" i="1"/>
  <c r="AK4017" i="1"/>
  <c r="AJ4017" i="1"/>
  <c r="AI4017" i="1"/>
  <c r="AE4017" i="1" s="1"/>
  <c r="W4017" i="1"/>
  <c r="AI4016" i="1"/>
  <c r="AE4016" i="1" s="1"/>
  <c r="V4016" i="1"/>
  <c r="AI4015" i="1"/>
  <c r="AE4015" i="1" s="1"/>
  <c r="V4015" i="1"/>
  <c r="W4015" i="1" s="1"/>
  <c r="AK4014" i="1"/>
  <c r="AJ4014" i="1"/>
  <c r="AI4014" i="1"/>
  <c r="AE4014" i="1" s="1"/>
  <c r="W4014" i="1"/>
  <c r="AI4013" i="1"/>
  <c r="AE4013" i="1" s="1"/>
  <c r="V4013" i="1"/>
  <c r="AI4012" i="1"/>
  <c r="AE4012" i="1" s="1"/>
  <c r="V4012" i="1"/>
  <c r="AK4011" i="1"/>
  <c r="AJ4011" i="1"/>
  <c r="AI4011" i="1"/>
  <c r="AE4011" i="1" s="1"/>
  <c r="W4011" i="1"/>
  <c r="AK4010" i="1"/>
  <c r="AJ4010" i="1"/>
  <c r="AI4010" i="1"/>
  <c r="AE4010" i="1" s="1"/>
  <c r="W4010" i="1"/>
  <c r="AI4009" i="1"/>
  <c r="AE4009" i="1" s="1"/>
  <c r="V4009" i="1"/>
  <c r="AI4008" i="1"/>
  <c r="AE4008" i="1" s="1"/>
  <c r="V4008" i="1"/>
  <c r="AI4007" i="1"/>
  <c r="AE4007" i="1" s="1"/>
  <c r="V4007" i="1"/>
  <c r="AK4006" i="1"/>
  <c r="AJ4006" i="1"/>
  <c r="AI4006" i="1"/>
  <c r="AE4006" i="1" s="1"/>
  <c r="W4006" i="1"/>
  <c r="AK4005" i="1"/>
  <c r="AJ4005" i="1"/>
  <c r="AI4005" i="1"/>
  <c r="AE4005" i="1" s="1"/>
  <c r="AF4005" i="1"/>
  <c r="W4005" i="1"/>
  <c r="AK4004" i="1"/>
  <c r="AJ4004" i="1"/>
  <c r="AI4004" i="1"/>
  <c r="AE4004" i="1" s="1"/>
  <c r="AF4004" i="1"/>
  <c r="W4004" i="1"/>
  <c r="AK4003" i="1"/>
  <c r="AJ4003" i="1"/>
  <c r="AI4003" i="1"/>
  <c r="AE4003" i="1" s="1"/>
  <c r="W4003" i="1"/>
  <c r="AK4002" i="1"/>
  <c r="AJ4002" i="1"/>
  <c r="AI4002" i="1"/>
  <c r="AE4002" i="1" s="1"/>
  <c r="W4002" i="1"/>
  <c r="AK4001" i="1"/>
  <c r="AJ4001" i="1"/>
  <c r="AI4001" i="1"/>
  <c r="AE4001" i="1" s="1"/>
  <c r="W4001" i="1"/>
  <c r="AK4000" i="1"/>
  <c r="AJ4000" i="1"/>
  <c r="AI4000" i="1"/>
  <c r="AE4000" i="1" s="1"/>
  <c r="W4000" i="1"/>
  <c r="AK3999" i="1"/>
  <c r="AJ3999" i="1"/>
  <c r="AI3999" i="1"/>
  <c r="AE3999" i="1" s="1"/>
  <c r="AF3999" i="1"/>
  <c r="W3999" i="1"/>
  <c r="AK3998" i="1"/>
  <c r="AJ3998" i="1"/>
  <c r="AI3998" i="1"/>
  <c r="AE3998" i="1" s="1"/>
  <c r="W3998" i="1"/>
  <c r="AK3997" i="1"/>
  <c r="AJ3997" i="1"/>
  <c r="AI3997" i="1"/>
  <c r="AE3997" i="1" s="1"/>
  <c r="W3997" i="1"/>
  <c r="AK3996" i="1"/>
  <c r="AJ3996" i="1"/>
  <c r="AI3996" i="1"/>
  <c r="AE3996" i="1" s="1"/>
  <c r="W3996" i="1"/>
  <c r="AK3995" i="1"/>
  <c r="AJ3995" i="1"/>
  <c r="AI3995" i="1"/>
  <c r="AE3995" i="1" s="1"/>
  <c r="W3995" i="1"/>
  <c r="AK3994" i="1"/>
  <c r="AJ3994" i="1"/>
  <c r="AI3994" i="1"/>
  <c r="AE3994" i="1" s="1"/>
  <c r="W3994" i="1"/>
  <c r="AK3993" i="1"/>
  <c r="AJ3993" i="1"/>
  <c r="AI3993" i="1"/>
  <c r="AE3993" i="1" s="1"/>
  <c r="W3993" i="1"/>
  <c r="AI3992" i="1"/>
  <c r="AE3992" i="1" s="1"/>
  <c r="V3992" i="1"/>
  <c r="W3992" i="1" s="1"/>
  <c r="AI3991" i="1"/>
  <c r="AE3991" i="1" s="1"/>
  <c r="V3991" i="1"/>
  <c r="AI3990" i="1"/>
  <c r="AE3990" i="1" s="1"/>
  <c r="V3990" i="1"/>
  <c r="AK3989" i="1"/>
  <c r="AJ3989" i="1"/>
  <c r="AI3989" i="1"/>
  <c r="AE3989" i="1" s="1"/>
  <c r="W3989" i="1"/>
  <c r="AK3988" i="1"/>
  <c r="AJ3988" i="1"/>
  <c r="AI3988" i="1"/>
  <c r="AE3988" i="1" s="1"/>
  <c r="W3988" i="1"/>
  <c r="AI3987" i="1"/>
  <c r="AE3987" i="1" s="1"/>
  <c r="V3987" i="1"/>
  <c r="AI3986" i="1"/>
  <c r="AE3986" i="1" s="1"/>
  <c r="V3986" i="1"/>
  <c r="AK3985" i="1"/>
  <c r="AJ3985" i="1"/>
  <c r="AI3985" i="1"/>
  <c r="AE3985" i="1" s="1"/>
  <c r="W3985" i="1"/>
  <c r="AK3984" i="1"/>
  <c r="AJ3984" i="1"/>
  <c r="AI3984" i="1"/>
  <c r="AE3984" i="1" s="1"/>
  <c r="W3984" i="1"/>
  <c r="AI3983" i="1"/>
  <c r="AE3983" i="1" s="1"/>
  <c r="V3983" i="1"/>
  <c r="AI3982" i="1"/>
  <c r="AE3982" i="1" s="1"/>
  <c r="V3982" i="1"/>
  <c r="AK3981" i="1"/>
  <c r="AJ3981" i="1"/>
  <c r="AI3981" i="1"/>
  <c r="AE3981" i="1" s="1"/>
  <c r="W3981" i="1"/>
  <c r="AI3980" i="1"/>
  <c r="AE3980" i="1" s="1"/>
  <c r="V3980" i="1"/>
  <c r="W3980" i="1" s="1"/>
  <c r="AI3979" i="1"/>
  <c r="AE3979" i="1" s="1"/>
  <c r="V3979" i="1"/>
  <c r="W3979" i="1" s="1"/>
  <c r="AK3978" i="1"/>
  <c r="AJ3978" i="1"/>
  <c r="AI3978" i="1"/>
  <c r="AE3978" i="1" s="1"/>
  <c r="W3978" i="1"/>
  <c r="AK3977" i="1"/>
  <c r="AJ3977" i="1"/>
  <c r="AI3977" i="1"/>
  <c r="AE3977" i="1" s="1"/>
  <c r="W3977" i="1"/>
  <c r="AK3976" i="1"/>
  <c r="AJ3976" i="1"/>
  <c r="AI3976" i="1"/>
  <c r="AE3976" i="1" s="1"/>
  <c r="W3976" i="1"/>
  <c r="AK3975" i="1"/>
  <c r="AJ3975" i="1"/>
  <c r="AI3975" i="1"/>
  <c r="AE3975" i="1" s="1"/>
  <c r="W3975" i="1"/>
  <c r="AK3974" i="1"/>
  <c r="AJ3974" i="1"/>
  <c r="AI3974" i="1"/>
  <c r="AE3974" i="1" s="1"/>
  <c r="W3974" i="1"/>
  <c r="AI3973" i="1"/>
  <c r="AE3973" i="1" s="1"/>
  <c r="V3973" i="1"/>
  <c r="AK3973" i="1" s="1"/>
  <c r="AK3972" i="1"/>
  <c r="AJ3972" i="1"/>
  <c r="AI3972" i="1"/>
  <c r="AE3972" i="1" s="1"/>
  <c r="W3972" i="1"/>
  <c r="AK3971" i="1"/>
  <c r="AJ3971" i="1"/>
  <c r="AI3971" i="1"/>
  <c r="AE3971" i="1" s="1"/>
  <c r="W3971" i="1"/>
  <c r="AI3970" i="1"/>
  <c r="AE3970" i="1" s="1"/>
  <c r="V3970" i="1"/>
  <c r="W3970" i="1" s="1"/>
  <c r="AI3969" i="1"/>
  <c r="AE3969" i="1" s="1"/>
  <c r="V3969" i="1"/>
  <c r="W3969" i="1" s="1"/>
  <c r="AK3968" i="1"/>
  <c r="AJ3968" i="1"/>
  <c r="AI3968" i="1"/>
  <c r="AE3968" i="1" s="1"/>
  <c r="W3968" i="1"/>
  <c r="AI3967" i="1"/>
  <c r="AE3967" i="1" s="1"/>
  <c r="V3967" i="1"/>
  <c r="AF3967" i="1" s="1"/>
  <c r="AI3966" i="1"/>
  <c r="AE3966" i="1" s="1"/>
  <c r="V3966" i="1"/>
  <c r="AK3966" i="1" s="1"/>
  <c r="AK3965" i="1"/>
  <c r="AJ3965" i="1"/>
  <c r="AI3965" i="1"/>
  <c r="AE3965" i="1" s="1"/>
  <c r="AF3965" i="1"/>
  <c r="W3965" i="1"/>
  <c r="AK3964" i="1"/>
  <c r="AJ3964" i="1"/>
  <c r="AI3964" i="1"/>
  <c r="AE3964" i="1" s="1"/>
  <c r="AF3964" i="1"/>
  <c r="W3964" i="1"/>
  <c r="AK3963" i="1"/>
  <c r="AJ3963" i="1"/>
  <c r="AI3963" i="1"/>
  <c r="AE3963" i="1" s="1"/>
  <c r="W3963" i="1"/>
  <c r="AI3962" i="1"/>
  <c r="AE3962" i="1" s="1"/>
  <c r="V3962" i="1"/>
  <c r="AK3962" i="1" s="1"/>
  <c r="AK3961" i="1"/>
  <c r="AJ3961" i="1"/>
  <c r="AI3961" i="1"/>
  <c r="AE3961" i="1" s="1"/>
  <c r="W3961" i="1"/>
  <c r="AK3960" i="1"/>
  <c r="AJ3960" i="1"/>
  <c r="AI3960" i="1"/>
  <c r="AE3960" i="1" s="1"/>
  <c r="W3960" i="1"/>
  <c r="AI3959" i="1"/>
  <c r="AE3959" i="1" s="1"/>
  <c r="AF3959" i="1"/>
  <c r="V3959" i="1"/>
  <c r="AJ3959" i="1" s="1"/>
  <c r="AK3958" i="1"/>
  <c r="AJ3958" i="1"/>
  <c r="AI3958" i="1"/>
  <c r="AE3958" i="1" s="1"/>
  <c r="W3958" i="1"/>
  <c r="AI3957" i="1"/>
  <c r="AE3957" i="1" s="1"/>
  <c r="V3957" i="1"/>
  <c r="AI3956" i="1"/>
  <c r="AE3956" i="1" s="1"/>
  <c r="V3956" i="1"/>
  <c r="AK3955" i="1"/>
  <c r="AJ3955" i="1"/>
  <c r="AI3955" i="1"/>
  <c r="AE3955" i="1" s="1"/>
  <c r="W3955" i="1"/>
  <c r="AK3954" i="1"/>
  <c r="AJ3954" i="1"/>
  <c r="AI3954" i="1"/>
  <c r="AE3954" i="1" s="1"/>
  <c r="W3954" i="1"/>
  <c r="AK3953" i="1"/>
  <c r="AJ3953" i="1"/>
  <c r="AI3953" i="1"/>
  <c r="AE3953" i="1" s="1"/>
  <c r="W3953" i="1"/>
  <c r="AK3952" i="1"/>
  <c r="AJ3952" i="1"/>
  <c r="AI3952" i="1"/>
  <c r="AE3952" i="1" s="1"/>
  <c r="W3952" i="1"/>
  <c r="AK3951" i="1"/>
  <c r="AJ3951" i="1"/>
  <c r="AI3951" i="1"/>
  <c r="AE3951" i="1" s="1"/>
  <c r="AF3951" i="1"/>
  <c r="W3951" i="1"/>
  <c r="AK3950" i="1"/>
  <c r="AJ3950" i="1"/>
  <c r="AI3950" i="1"/>
  <c r="AE3950" i="1" s="1"/>
  <c r="W3950" i="1"/>
  <c r="AI3949" i="1"/>
  <c r="AE3949" i="1" s="1"/>
  <c r="V3949" i="1"/>
  <c r="W3949" i="1" s="1"/>
  <c r="AK3948" i="1"/>
  <c r="AJ3948" i="1"/>
  <c r="AI3948" i="1"/>
  <c r="AE3948" i="1" s="1"/>
  <c r="W3948" i="1"/>
  <c r="AI3947" i="1"/>
  <c r="AE3947" i="1" s="1"/>
  <c r="V3947" i="1"/>
  <c r="AK3946" i="1"/>
  <c r="AJ3946" i="1"/>
  <c r="AI3946" i="1"/>
  <c r="AE3946" i="1" s="1"/>
  <c r="W3946" i="1"/>
  <c r="AI3945" i="1"/>
  <c r="AE3945" i="1" s="1"/>
  <c r="V3945" i="1"/>
  <c r="AI3944" i="1"/>
  <c r="AE3944" i="1" s="1"/>
  <c r="V3944" i="1"/>
  <c r="AJ3944" i="1" s="1"/>
  <c r="AI3943" i="1"/>
  <c r="AE3943" i="1" s="1"/>
  <c r="V3943" i="1"/>
  <c r="AI3942" i="1"/>
  <c r="AE3942" i="1" s="1"/>
  <c r="V3942" i="1"/>
  <c r="AK3941" i="1"/>
  <c r="AJ3941" i="1"/>
  <c r="AI3941" i="1"/>
  <c r="AE3941" i="1" s="1"/>
  <c r="W3941" i="1"/>
  <c r="AK3940" i="1"/>
  <c r="AJ3940" i="1"/>
  <c r="AI3940" i="1"/>
  <c r="AE3940" i="1" s="1"/>
  <c r="W3940" i="1"/>
  <c r="AK3939" i="1"/>
  <c r="AJ3939" i="1"/>
  <c r="AI3939" i="1"/>
  <c r="AE3939" i="1" s="1"/>
  <c r="AF3939" i="1"/>
  <c r="W3939" i="1"/>
  <c r="AK3938" i="1"/>
  <c r="AJ3938" i="1"/>
  <c r="AI3938" i="1"/>
  <c r="AE3938" i="1" s="1"/>
  <c r="W3938" i="1"/>
  <c r="AK3937" i="1"/>
  <c r="AJ3937" i="1"/>
  <c r="AI3937" i="1"/>
  <c r="AE3937" i="1" s="1"/>
  <c r="W3937" i="1"/>
  <c r="AK3936" i="1"/>
  <c r="AJ3936" i="1"/>
  <c r="AI3936" i="1"/>
  <c r="AE3936" i="1" s="1"/>
  <c r="W3936" i="1"/>
  <c r="AK3935" i="1"/>
  <c r="AJ3935" i="1"/>
  <c r="AI3935" i="1"/>
  <c r="AE3935" i="1" s="1"/>
  <c r="W3935" i="1"/>
  <c r="AI3934" i="1"/>
  <c r="AE3934" i="1" s="1"/>
  <c r="V3934" i="1"/>
  <c r="AK3933" i="1"/>
  <c r="AJ3933" i="1"/>
  <c r="AI3933" i="1"/>
  <c r="AE3933" i="1" s="1"/>
  <c r="W3933" i="1"/>
  <c r="AI3932" i="1"/>
  <c r="AE3932" i="1" s="1"/>
  <c r="V3932" i="1"/>
  <c r="W3932" i="1" s="1"/>
  <c r="AI3931" i="1"/>
  <c r="AE3931" i="1" s="1"/>
  <c r="V3931" i="1"/>
  <c r="AI3930" i="1"/>
  <c r="AE3930" i="1" s="1"/>
  <c r="V3930" i="1"/>
  <c r="AK3930" i="1" s="1"/>
  <c r="AK3929" i="1"/>
  <c r="AJ3929" i="1"/>
  <c r="AI3929" i="1"/>
  <c r="AE3929" i="1" s="1"/>
  <c r="W3929" i="1"/>
  <c r="AK3928" i="1"/>
  <c r="AJ3928" i="1"/>
  <c r="AI3928" i="1"/>
  <c r="AE3928" i="1" s="1"/>
  <c r="W3928" i="1"/>
  <c r="AK3927" i="1"/>
  <c r="AJ3927" i="1"/>
  <c r="AI3927" i="1"/>
  <c r="AE3927" i="1" s="1"/>
  <c r="W3927" i="1"/>
  <c r="AK3926" i="1"/>
  <c r="AJ3926" i="1"/>
  <c r="AI3926" i="1"/>
  <c r="AE3926" i="1" s="1"/>
  <c r="W3926" i="1"/>
  <c r="AI3925" i="1"/>
  <c r="AE3925" i="1" s="1"/>
  <c r="V3925" i="1"/>
  <c r="AI3924" i="1"/>
  <c r="AE3924" i="1" s="1"/>
  <c r="V3924" i="1"/>
  <c r="AK3923" i="1"/>
  <c r="AJ3923" i="1"/>
  <c r="AI3923" i="1"/>
  <c r="AE3923" i="1" s="1"/>
  <c r="W3923" i="1"/>
  <c r="AI3922" i="1"/>
  <c r="AE3922" i="1" s="1"/>
  <c r="V3922" i="1"/>
  <c r="AK3921" i="1"/>
  <c r="AJ3921" i="1"/>
  <c r="AI3921" i="1"/>
  <c r="AE3921" i="1" s="1"/>
  <c r="W3921" i="1"/>
  <c r="AK3920" i="1"/>
  <c r="AJ3920" i="1"/>
  <c r="AI3920" i="1"/>
  <c r="AE3920" i="1" s="1"/>
  <c r="AF3920" i="1"/>
  <c r="W3920" i="1"/>
  <c r="AK3919" i="1"/>
  <c r="AJ3919" i="1"/>
  <c r="AI3919" i="1"/>
  <c r="AE3919" i="1" s="1"/>
  <c r="AF3919" i="1"/>
  <c r="W3919" i="1"/>
  <c r="AI3918" i="1"/>
  <c r="AE3918" i="1" s="1"/>
  <c r="V3918" i="1"/>
  <c r="AI3917" i="1"/>
  <c r="AE3917" i="1" s="1"/>
  <c r="V3917" i="1"/>
  <c r="W3917" i="1" s="1"/>
  <c r="AK3916" i="1"/>
  <c r="AJ3916" i="1"/>
  <c r="AI3916" i="1"/>
  <c r="AE3916" i="1" s="1"/>
  <c r="W3916" i="1"/>
  <c r="AK3915" i="1"/>
  <c r="AJ3915" i="1"/>
  <c r="AI3915" i="1"/>
  <c r="AE3915" i="1" s="1"/>
  <c r="W3915" i="1"/>
  <c r="AK3914" i="1"/>
  <c r="AJ3914" i="1"/>
  <c r="AI3914" i="1"/>
  <c r="AE3914" i="1" s="1"/>
  <c r="W3914" i="1"/>
  <c r="AK3913" i="1"/>
  <c r="AJ3913" i="1"/>
  <c r="AI3913" i="1"/>
  <c r="AE3913" i="1" s="1"/>
  <c r="W3913" i="1"/>
  <c r="AI3912" i="1"/>
  <c r="AE3912" i="1" s="1"/>
  <c r="V3912" i="1"/>
  <c r="W3912" i="1" s="1"/>
  <c r="AI3911" i="1"/>
  <c r="AE3911" i="1" s="1"/>
  <c r="V3911" i="1"/>
  <c r="AJ3911" i="1" s="1"/>
  <c r="AK3910" i="1"/>
  <c r="AJ3910" i="1"/>
  <c r="AI3910" i="1"/>
  <c r="AE3910" i="1" s="1"/>
  <c r="W3910" i="1"/>
  <c r="AI3909" i="1"/>
  <c r="AE3909" i="1" s="1"/>
  <c r="V3909" i="1"/>
  <c r="AI3908" i="1"/>
  <c r="AE3908" i="1" s="1"/>
  <c r="V3908" i="1"/>
  <c r="AI3907" i="1"/>
  <c r="AE3907" i="1" s="1"/>
  <c r="V3907" i="1"/>
  <c r="W3907" i="1" s="1"/>
  <c r="AK3906" i="1"/>
  <c r="AJ3906" i="1"/>
  <c r="AI3906" i="1"/>
  <c r="AE3906" i="1" s="1"/>
  <c r="W3906" i="1"/>
  <c r="AK3905" i="1"/>
  <c r="AJ3905" i="1"/>
  <c r="AI3905" i="1"/>
  <c r="AE3905" i="1" s="1"/>
  <c r="W3905" i="1"/>
  <c r="AK3904" i="1"/>
  <c r="AJ3904" i="1"/>
  <c r="AI3904" i="1"/>
  <c r="AE3904" i="1" s="1"/>
  <c r="W3904" i="1"/>
  <c r="AI3903" i="1"/>
  <c r="AE3903" i="1" s="1"/>
  <c r="V3903" i="1"/>
  <c r="AK3903" i="1" s="1"/>
  <c r="AK3902" i="1"/>
  <c r="AJ3902" i="1"/>
  <c r="AI3902" i="1"/>
  <c r="AE3902" i="1" s="1"/>
  <c r="W3902" i="1"/>
  <c r="AK3901" i="1"/>
  <c r="AJ3901" i="1"/>
  <c r="AI3901" i="1"/>
  <c r="AE3901" i="1" s="1"/>
  <c r="W3901" i="1"/>
  <c r="AI3900" i="1"/>
  <c r="AE3900" i="1" s="1"/>
  <c r="V3900" i="1"/>
  <c r="AI3899" i="1"/>
  <c r="AE3899" i="1" s="1"/>
  <c r="V3899" i="1"/>
  <c r="W3899" i="1" s="1"/>
  <c r="AK3898" i="1"/>
  <c r="AJ3898" i="1"/>
  <c r="AI3898" i="1"/>
  <c r="AE3898" i="1" s="1"/>
  <c r="W3898" i="1"/>
  <c r="AK3897" i="1"/>
  <c r="AJ3897" i="1"/>
  <c r="AI3897" i="1"/>
  <c r="AE3897" i="1" s="1"/>
  <c r="W3897" i="1"/>
  <c r="AK3896" i="1"/>
  <c r="AJ3896" i="1"/>
  <c r="AI3896" i="1"/>
  <c r="AE3896" i="1" s="1"/>
  <c r="W3896" i="1"/>
  <c r="AK3895" i="1"/>
  <c r="AJ3895" i="1"/>
  <c r="AI3895" i="1"/>
  <c r="AE3895" i="1" s="1"/>
  <c r="W3895" i="1"/>
  <c r="AK3894" i="1"/>
  <c r="AJ3894" i="1"/>
  <c r="AI3894" i="1"/>
  <c r="AE3894" i="1" s="1"/>
  <c r="W3894" i="1"/>
  <c r="AK3893" i="1"/>
  <c r="AJ3893" i="1"/>
  <c r="AI3893" i="1"/>
  <c r="AE3893" i="1" s="1"/>
  <c r="W3893" i="1"/>
  <c r="AI3892" i="1"/>
  <c r="AE3892" i="1" s="1"/>
  <c r="V3892" i="1"/>
  <c r="W3892" i="1" s="1"/>
  <c r="AI3891" i="1"/>
  <c r="AE3891" i="1" s="1"/>
  <c r="V3891" i="1"/>
  <c r="AF3891" i="1" s="1"/>
  <c r="AK3890" i="1"/>
  <c r="AJ3890" i="1"/>
  <c r="AI3890" i="1"/>
  <c r="AE3890" i="1" s="1"/>
  <c r="W3890" i="1"/>
  <c r="AK3889" i="1"/>
  <c r="AJ3889" i="1"/>
  <c r="AI3889" i="1"/>
  <c r="AE3889" i="1" s="1"/>
  <c r="W3889" i="1"/>
  <c r="AI3888" i="1"/>
  <c r="AE3888" i="1" s="1"/>
  <c r="V3888" i="1"/>
  <c r="AI3887" i="1"/>
  <c r="AE3887" i="1" s="1"/>
  <c r="V3887" i="1"/>
  <c r="AI3886" i="1"/>
  <c r="AE3886" i="1" s="1"/>
  <c r="V3886" i="1"/>
  <c r="W3886" i="1" s="1"/>
  <c r="AK3885" i="1"/>
  <c r="AJ3885" i="1"/>
  <c r="AI3885" i="1"/>
  <c r="AE3885" i="1" s="1"/>
  <c r="W3885" i="1"/>
  <c r="AK3884" i="1"/>
  <c r="AJ3884" i="1"/>
  <c r="AI3884" i="1"/>
  <c r="AE3884" i="1" s="1"/>
  <c r="W3884" i="1"/>
  <c r="AI3883" i="1"/>
  <c r="AE3883" i="1" s="1"/>
  <c r="V3883" i="1"/>
  <c r="AK3883" i="1" s="1"/>
  <c r="AI3882" i="1"/>
  <c r="AE3882" i="1" s="1"/>
  <c r="V3882" i="1"/>
  <c r="W3882" i="1" s="1"/>
  <c r="AK3881" i="1"/>
  <c r="AJ3881" i="1"/>
  <c r="AI3881" i="1"/>
  <c r="AE3881" i="1" s="1"/>
  <c r="W3881" i="1"/>
  <c r="AI3880" i="1"/>
  <c r="AE3880" i="1" s="1"/>
  <c r="V3880" i="1"/>
  <c r="AI3879" i="1"/>
  <c r="AE3879" i="1" s="1"/>
  <c r="V3879" i="1"/>
  <c r="AK3879" i="1" s="1"/>
  <c r="AI3878" i="1"/>
  <c r="AE3878" i="1" s="1"/>
  <c r="V3878" i="1"/>
  <c r="AK3877" i="1"/>
  <c r="AJ3877" i="1"/>
  <c r="AI3877" i="1"/>
  <c r="AE3877" i="1" s="1"/>
  <c r="W3877" i="1"/>
  <c r="AI3876" i="1"/>
  <c r="AE3876" i="1" s="1"/>
  <c r="V3876" i="1"/>
  <c r="W3876" i="1" s="1"/>
  <c r="AI3875" i="1"/>
  <c r="AE3875" i="1" s="1"/>
  <c r="V3875" i="1"/>
  <c r="AK3874" i="1"/>
  <c r="AJ3874" i="1"/>
  <c r="AI3874" i="1"/>
  <c r="AE3874" i="1" s="1"/>
  <c r="W3874" i="1"/>
  <c r="AI3873" i="1"/>
  <c r="AE3873" i="1" s="1"/>
  <c r="V3873" i="1"/>
  <c r="AK3872" i="1"/>
  <c r="AJ3872" i="1"/>
  <c r="AI3872" i="1"/>
  <c r="AE3872" i="1" s="1"/>
  <c r="W3872" i="1"/>
  <c r="AK3871" i="1"/>
  <c r="AJ3871" i="1"/>
  <c r="AI3871" i="1"/>
  <c r="AE3871" i="1" s="1"/>
  <c r="W3871" i="1"/>
  <c r="AK3870" i="1"/>
  <c r="AJ3870" i="1"/>
  <c r="AI3870" i="1"/>
  <c r="AE3870" i="1" s="1"/>
  <c r="W3870" i="1"/>
  <c r="AK3869" i="1"/>
  <c r="AJ3869" i="1"/>
  <c r="AI3869" i="1"/>
  <c r="AE3869" i="1" s="1"/>
  <c r="W3869" i="1"/>
  <c r="AK3868" i="1"/>
  <c r="AJ3868" i="1"/>
  <c r="AI3868" i="1"/>
  <c r="AE3868" i="1" s="1"/>
  <c r="W3868" i="1"/>
  <c r="AK3867" i="1"/>
  <c r="AJ3867" i="1"/>
  <c r="AI3867" i="1"/>
  <c r="AE3867" i="1" s="1"/>
  <c r="W3867" i="1"/>
  <c r="AK3866" i="1"/>
  <c r="AJ3866" i="1"/>
  <c r="AI3866" i="1"/>
  <c r="AE3866" i="1" s="1"/>
  <c r="W3866" i="1"/>
  <c r="AK3865" i="1"/>
  <c r="AJ3865" i="1"/>
  <c r="AI3865" i="1"/>
  <c r="AE3865" i="1" s="1"/>
  <c r="W3865" i="1"/>
  <c r="AK3864" i="1"/>
  <c r="AJ3864" i="1"/>
  <c r="AI3864" i="1"/>
  <c r="AE3864" i="1" s="1"/>
  <c r="W3864" i="1"/>
  <c r="AK3863" i="1"/>
  <c r="AJ3863" i="1"/>
  <c r="AI3863" i="1"/>
  <c r="AE3863" i="1" s="1"/>
  <c r="W3863" i="1"/>
  <c r="AI3862" i="1"/>
  <c r="AE3862" i="1" s="1"/>
  <c r="V3862" i="1"/>
  <c r="AK3861" i="1"/>
  <c r="AJ3861" i="1"/>
  <c r="AI3861" i="1"/>
  <c r="AE3861" i="1" s="1"/>
  <c r="W3861" i="1"/>
  <c r="AK3860" i="1"/>
  <c r="AJ3860" i="1"/>
  <c r="AI3860" i="1"/>
  <c r="AE3860" i="1" s="1"/>
  <c r="W3860" i="1"/>
  <c r="AK3859" i="1"/>
  <c r="AJ3859" i="1"/>
  <c r="AI3859" i="1"/>
  <c r="AE3859" i="1" s="1"/>
  <c r="W3859" i="1"/>
  <c r="AK3858" i="1"/>
  <c r="AJ3858" i="1"/>
  <c r="AI3858" i="1"/>
  <c r="AE3858" i="1" s="1"/>
  <c r="W3858" i="1"/>
  <c r="AI3857" i="1"/>
  <c r="AE3857" i="1" s="1"/>
  <c r="V3857" i="1"/>
  <c r="AK3856" i="1"/>
  <c r="AJ3856" i="1"/>
  <c r="AI3856" i="1"/>
  <c r="AE3856" i="1" s="1"/>
  <c r="W3856" i="1"/>
  <c r="AI3855" i="1"/>
  <c r="AE3855" i="1" s="1"/>
  <c r="V3855" i="1"/>
  <c r="AK3854" i="1"/>
  <c r="AJ3854" i="1"/>
  <c r="AI3854" i="1"/>
  <c r="AE3854" i="1" s="1"/>
  <c r="W3854" i="1"/>
  <c r="AK3853" i="1"/>
  <c r="AJ3853" i="1"/>
  <c r="AI3853" i="1"/>
  <c r="AE3853" i="1" s="1"/>
  <c r="W3853" i="1"/>
  <c r="AK3852" i="1"/>
  <c r="AJ3852" i="1"/>
  <c r="AI3852" i="1"/>
  <c r="AE3852" i="1" s="1"/>
  <c r="W3852" i="1"/>
  <c r="AK3851" i="1"/>
  <c r="AJ3851" i="1"/>
  <c r="AI3851" i="1"/>
  <c r="AE3851" i="1" s="1"/>
  <c r="W3851" i="1"/>
  <c r="AI3850" i="1"/>
  <c r="AE3850" i="1" s="1"/>
  <c r="V3850" i="1"/>
  <c r="AI3849" i="1"/>
  <c r="AE3849" i="1" s="1"/>
  <c r="V3849" i="1"/>
  <c r="AI3848" i="1"/>
  <c r="AE3848" i="1" s="1"/>
  <c r="V3848" i="1"/>
  <c r="AI3847" i="1"/>
  <c r="AE3847" i="1" s="1"/>
  <c r="V3847" i="1"/>
  <c r="AI3846" i="1"/>
  <c r="AE3846" i="1" s="1"/>
  <c r="V3846" i="1"/>
  <c r="W3846" i="1" s="1"/>
  <c r="AI3845" i="1"/>
  <c r="AE3845" i="1" s="1"/>
  <c r="V3845" i="1"/>
  <c r="AK3844" i="1"/>
  <c r="AJ3844" i="1"/>
  <c r="AI3844" i="1"/>
  <c r="AE3844" i="1" s="1"/>
  <c r="W3844" i="1"/>
  <c r="AK3843" i="1"/>
  <c r="AJ3843" i="1"/>
  <c r="AI3843" i="1"/>
  <c r="AE3843" i="1" s="1"/>
  <c r="W3843" i="1"/>
  <c r="AK3842" i="1"/>
  <c r="AJ3842" i="1"/>
  <c r="AI3842" i="1"/>
  <c r="AE3842" i="1" s="1"/>
  <c r="W3842" i="1"/>
  <c r="AK3841" i="1"/>
  <c r="AJ3841" i="1"/>
  <c r="AI3841" i="1"/>
  <c r="AE3841" i="1" s="1"/>
  <c r="W3841" i="1"/>
  <c r="AK3840" i="1"/>
  <c r="AJ3840" i="1"/>
  <c r="AI3840" i="1"/>
  <c r="AE3840" i="1" s="1"/>
  <c r="AK3839" i="1"/>
  <c r="AJ3839" i="1"/>
  <c r="AI3839" i="1"/>
  <c r="AE3839" i="1" s="1"/>
  <c r="W3839" i="1"/>
  <c r="AK3838" i="1"/>
  <c r="AJ3838" i="1"/>
  <c r="AI3838" i="1"/>
  <c r="AE3838" i="1" s="1"/>
  <c r="W3838" i="1"/>
  <c r="AK3837" i="1"/>
  <c r="AJ3837" i="1"/>
  <c r="AI3837" i="1"/>
  <c r="AE3837" i="1" s="1"/>
  <c r="W3837" i="1"/>
  <c r="AK3836" i="1"/>
  <c r="AJ3836" i="1"/>
  <c r="AI3836" i="1"/>
  <c r="AE3836" i="1" s="1"/>
  <c r="W3836" i="1"/>
  <c r="AK3835" i="1"/>
  <c r="AJ3835" i="1"/>
  <c r="AI3835" i="1"/>
  <c r="AE3835" i="1" s="1"/>
  <c r="W3835" i="1"/>
  <c r="AK3834" i="1"/>
  <c r="AJ3834" i="1"/>
  <c r="AI3834" i="1"/>
  <c r="AE3834" i="1" s="1"/>
  <c r="W3834" i="1"/>
  <c r="AK3833" i="1"/>
  <c r="AJ3833" i="1"/>
  <c r="AI3833" i="1"/>
  <c r="AE3833" i="1" s="1"/>
  <c r="W3833" i="1"/>
  <c r="AK3832" i="1"/>
  <c r="AJ3832" i="1"/>
  <c r="AI3832" i="1"/>
  <c r="AE3832" i="1" s="1"/>
  <c r="W3832" i="1"/>
  <c r="AK3831" i="1"/>
  <c r="AJ3831" i="1"/>
  <c r="AI3831" i="1"/>
  <c r="AE3831" i="1" s="1"/>
  <c r="W3831" i="1"/>
  <c r="AK3830" i="1"/>
  <c r="AJ3830" i="1"/>
  <c r="AI3830" i="1"/>
  <c r="AE3830" i="1" s="1"/>
  <c r="W3830" i="1"/>
  <c r="AK3829" i="1"/>
  <c r="AJ3829" i="1"/>
  <c r="AI3829" i="1"/>
  <c r="AE3829" i="1" s="1"/>
  <c r="W3829" i="1"/>
  <c r="AK3828" i="1"/>
  <c r="AJ3828" i="1"/>
  <c r="AI3828" i="1"/>
  <c r="AE3828" i="1" s="1"/>
  <c r="W3828" i="1"/>
  <c r="AK3827" i="1"/>
  <c r="AJ3827" i="1"/>
  <c r="AI3827" i="1"/>
  <c r="AE3827" i="1" s="1"/>
  <c r="W3827" i="1"/>
  <c r="AK3826" i="1"/>
  <c r="AJ3826" i="1"/>
  <c r="AI3826" i="1"/>
  <c r="AE3826" i="1" s="1"/>
  <c r="W3826" i="1"/>
  <c r="AK3825" i="1"/>
  <c r="AJ3825" i="1"/>
  <c r="AI3825" i="1"/>
  <c r="AE3825" i="1" s="1"/>
  <c r="W3825" i="1"/>
  <c r="AK3824" i="1"/>
  <c r="AJ3824" i="1"/>
  <c r="AI3824" i="1"/>
  <c r="AE3824" i="1" s="1"/>
  <c r="W3824" i="1"/>
  <c r="AK3823" i="1"/>
  <c r="AJ3823" i="1"/>
  <c r="AI3823" i="1"/>
  <c r="AE3823" i="1" s="1"/>
  <c r="W3823" i="1"/>
  <c r="AK3822" i="1"/>
  <c r="AJ3822" i="1"/>
  <c r="AI3822" i="1"/>
  <c r="AE3822" i="1" s="1"/>
  <c r="W3822" i="1"/>
  <c r="AK3821" i="1"/>
  <c r="AJ3821" i="1"/>
  <c r="AI3821" i="1"/>
  <c r="AE3821" i="1" s="1"/>
  <c r="W3821" i="1"/>
  <c r="AK3820" i="1"/>
  <c r="AJ3820" i="1"/>
  <c r="AI3820" i="1"/>
  <c r="AE3820" i="1" s="1"/>
  <c r="W3820" i="1"/>
  <c r="AK3819" i="1"/>
  <c r="AJ3819" i="1"/>
  <c r="AI3819" i="1"/>
  <c r="AE3819" i="1" s="1"/>
  <c r="W3819" i="1"/>
  <c r="AK3818" i="1"/>
  <c r="AJ3818" i="1"/>
  <c r="AI3818" i="1"/>
  <c r="AE3818" i="1" s="1"/>
  <c r="W3818" i="1"/>
  <c r="AK3817" i="1"/>
  <c r="AJ3817" i="1"/>
  <c r="AI3817" i="1"/>
  <c r="AE3817" i="1" s="1"/>
  <c r="W3817" i="1"/>
  <c r="AK3816" i="1"/>
  <c r="AJ3816" i="1"/>
  <c r="AI3816" i="1"/>
  <c r="AE3816" i="1" s="1"/>
  <c r="W3816" i="1"/>
  <c r="AK3815" i="1"/>
  <c r="AJ3815" i="1"/>
  <c r="AI3815" i="1"/>
  <c r="AE3815" i="1" s="1"/>
  <c r="W3815" i="1"/>
  <c r="AK3814" i="1"/>
  <c r="AJ3814" i="1"/>
  <c r="AI3814" i="1"/>
  <c r="AE3814" i="1" s="1"/>
  <c r="W3814" i="1"/>
  <c r="AK3813" i="1"/>
  <c r="AJ3813" i="1"/>
  <c r="AI3813" i="1"/>
  <c r="AE3813" i="1" s="1"/>
  <c r="W3813" i="1"/>
  <c r="AK3812" i="1"/>
  <c r="AJ3812" i="1"/>
  <c r="AI3812" i="1"/>
  <c r="AE3812" i="1" s="1"/>
  <c r="W3812" i="1"/>
  <c r="AK3811" i="1"/>
  <c r="AJ3811" i="1"/>
  <c r="AI3811" i="1"/>
  <c r="AE3811" i="1" s="1"/>
  <c r="W3811" i="1"/>
  <c r="AK3810" i="1"/>
  <c r="AJ3810" i="1"/>
  <c r="AI3810" i="1"/>
  <c r="AE3810" i="1" s="1"/>
  <c r="W3810" i="1"/>
  <c r="AI3809" i="1"/>
  <c r="AE3809" i="1" s="1"/>
  <c r="V3809" i="1"/>
  <c r="W3809" i="1" s="1"/>
  <c r="AI3808" i="1"/>
  <c r="AE3808" i="1" s="1"/>
  <c r="V3808" i="1"/>
  <c r="AI3807" i="1"/>
  <c r="AE3807" i="1" s="1"/>
  <c r="V3807" i="1"/>
  <c r="AI3806" i="1"/>
  <c r="AE3806" i="1" s="1"/>
  <c r="V3806" i="1"/>
  <c r="AI3805" i="1"/>
  <c r="AE3805" i="1" s="1"/>
  <c r="V3805" i="1"/>
  <c r="AI3804" i="1"/>
  <c r="AE3804" i="1" s="1"/>
  <c r="V3804" i="1"/>
  <c r="AI3803" i="1"/>
  <c r="AE3803" i="1" s="1"/>
  <c r="V3803" i="1"/>
  <c r="AI3802" i="1"/>
  <c r="AE3802" i="1" s="1"/>
  <c r="V3802" i="1"/>
  <c r="AI3801" i="1"/>
  <c r="AE3801" i="1" s="1"/>
  <c r="V3801" i="1"/>
  <c r="AI3800" i="1"/>
  <c r="AE3800" i="1" s="1"/>
  <c r="V3800" i="1"/>
  <c r="AI3799" i="1"/>
  <c r="AE3799" i="1" s="1"/>
  <c r="V3799" i="1"/>
  <c r="AI3798" i="1"/>
  <c r="AE3798" i="1" s="1"/>
  <c r="V3798" i="1"/>
  <c r="AF3798" i="1" s="1"/>
  <c r="AK3797" i="1"/>
  <c r="AJ3797" i="1"/>
  <c r="AI3797" i="1"/>
  <c r="AE3797" i="1" s="1"/>
  <c r="AF3797" i="1"/>
  <c r="W3797" i="1"/>
  <c r="AK3796" i="1"/>
  <c r="AJ3796" i="1"/>
  <c r="AI3796" i="1"/>
  <c r="AE3796" i="1" s="1"/>
  <c r="AF3796" i="1"/>
  <c r="W3796" i="1"/>
  <c r="AI3795" i="1"/>
  <c r="AE3795" i="1" s="1"/>
  <c r="V3795" i="1"/>
  <c r="AJ3795" i="1" s="1"/>
  <c r="AI3794" i="1"/>
  <c r="AE3794" i="1" s="1"/>
  <c r="V3794" i="1"/>
  <c r="AF3794" i="1" s="1"/>
  <c r="AI3793" i="1"/>
  <c r="AE3793" i="1" s="1"/>
  <c r="V3793" i="1"/>
  <c r="AJ3793" i="1" s="1"/>
  <c r="AI3792" i="1"/>
  <c r="AE3792" i="1" s="1"/>
  <c r="V3792" i="1"/>
  <c r="W3792" i="1" s="1"/>
  <c r="AI3791" i="1"/>
  <c r="AE3791" i="1" s="1"/>
  <c r="V3791" i="1"/>
  <c r="W3791" i="1" s="1"/>
  <c r="AI3790" i="1"/>
  <c r="AE3790" i="1" s="1"/>
  <c r="V3790" i="1"/>
  <c r="AJ3790" i="1" s="1"/>
  <c r="AI3789" i="1"/>
  <c r="AE3789" i="1" s="1"/>
  <c r="V3789" i="1"/>
  <c r="AJ3789" i="1" s="1"/>
  <c r="AI3788" i="1"/>
  <c r="AE3788" i="1" s="1"/>
  <c r="V3788" i="1"/>
  <c r="AI3787" i="1"/>
  <c r="AE3787" i="1" s="1"/>
  <c r="V3787" i="1"/>
  <c r="AJ3787" i="1" s="1"/>
  <c r="AI3786" i="1"/>
  <c r="AE3786" i="1" s="1"/>
  <c r="V3786" i="1"/>
  <c r="AK3786" i="1" s="1"/>
  <c r="AK3785" i="1"/>
  <c r="AJ3785" i="1"/>
  <c r="AI3785" i="1"/>
  <c r="AE3785" i="1" s="1"/>
  <c r="AF3785" i="1"/>
  <c r="W3785" i="1"/>
  <c r="AK3784" i="1"/>
  <c r="AJ3784" i="1"/>
  <c r="AI3784" i="1"/>
  <c r="AE3784" i="1" s="1"/>
  <c r="W3784" i="1"/>
  <c r="AK3783" i="1"/>
  <c r="AJ3783" i="1"/>
  <c r="AI3783" i="1"/>
  <c r="AE3783" i="1" s="1"/>
  <c r="AF3783" i="1"/>
  <c r="AI3782" i="1"/>
  <c r="AE3782" i="1" s="1"/>
  <c r="V3782" i="1"/>
  <c r="AI3781" i="1"/>
  <c r="AE3781" i="1" s="1"/>
  <c r="V3781" i="1"/>
  <c r="AI3780" i="1"/>
  <c r="AE3780" i="1" s="1"/>
  <c r="V3780" i="1"/>
  <c r="AI3779" i="1"/>
  <c r="AE3779" i="1" s="1"/>
  <c r="V3779" i="1"/>
  <c r="AI3778" i="1"/>
  <c r="AE3778" i="1" s="1"/>
  <c r="V3778" i="1"/>
  <c r="AI3777" i="1"/>
  <c r="AE3777" i="1" s="1"/>
  <c r="V3777" i="1"/>
  <c r="AJ3777" i="1" s="1"/>
  <c r="AI3776" i="1"/>
  <c r="AE3776" i="1" s="1"/>
  <c r="V3776" i="1"/>
  <c r="AI3775" i="1"/>
  <c r="AE3775" i="1" s="1"/>
  <c r="V3775" i="1"/>
  <c r="W3775" i="1" s="1"/>
  <c r="AI3774" i="1"/>
  <c r="AE3774" i="1" s="1"/>
  <c r="V3774" i="1"/>
  <c r="AI3773" i="1"/>
  <c r="AE3773" i="1" s="1"/>
  <c r="V3773" i="1"/>
  <c r="AI3772" i="1"/>
  <c r="AE3772" i="1" s="1"/>
  <c r="V3772" i="1"/>
  <c r="AI3771" i="1"/>
  <c r="AE3771" i="1" s="1"/>
  <c r="V3771" i="1"/>
  <c r="AF3771" i="1" s="1"/>
  <c r="AI3770" i="1"/>
  <c r="AE3770" i="1" s="1"/>
  <c r="V3770" i="1"/>
  <c r="AI3769" i="1"/>
  <c r="AE3769" i="1" s="1"/>
  <c r="V3769" i="1"/>
  <c r="AI3768" i="1"/>
  <c r="AE3768" i="1" s="1"/>
  <c r="V3768" i="1"/>
  <c r="AF3768" i="1" s="1"/>
  <c r="AI3767" i="1"/>
  <c r="AE3767" i="1" s="1"/>
  <c r="V3767" i="1"/>
  <c r="AI3766" i="1"/>
  <c r="AE3766" i="1" s="1"/>
  <c r="V3766" i="1"/>
  <c r="AI3765" i="1"/>
  <c r="AE3765" i="1" s="1"/>
  <c r="V3765" i="1"/>
  <c r="AJ3765" i="1" s="1"/>
  <c r="AI3764" i="1"/>
  <c r="AE3764" i="1" s="1"/>
  <c r="V3764" i="1"/>
  <c r="AI3763" i="1"/>
  <c r="AE3763" i="1" s="1"/>
  <c r="V3763" i="1"/>
  <c r="AI3762" i="1"/>
  <c r="AE3762" i="1" s="1"/>
  <c r="V3762" i="1"/>
  <c r="AK3762" i="1" s="1"/>
  <c r="AI3761" i="1"/>
  <c r="AE3761" i="1" s="1"/>
  <c r="V3761" i="1"/>
  <c r="AK3761" i="1" s="1"/>
  <c r="AI3760" i="1"/>
  <c r="AE3760" i="1" s="1"/>
  <c r="V3760" i="1"/>
  <c r="AI3759" i="1"/>
  <c r="AE3759" i="1" s="1"/>
  <c r="V3759" i="1"/>
  <c r="AI3758" i="1"/>
  <c r="AE3758" i="1" s="1"/>
  <c r="V3758" i="1"/>
  <c r="AI3757" i="1"/>
  <c r="AE3757" i="1" s="1"/>
  <c r="V3757" i="1"/>
  <c r="W3757" i="1" s="1"/>
  <c r="AI3756" i="1"/>
  <c r="AE3756" i="1" s="1"/>
  <c r="V3756" i="1"/>
  <c r="AK3755" i="1"/>
  <c r="AJ3755" i="1"/>
  <c r="AI3755" i="1"/>
  <c r="AE3755" i="1" s="1"/>
  <c r="W3755" i="1"/>
  <c r="AK3754" i="1"/>
  <c r="AJ3754" i="1"/>
  <c r="AI3754" i="1"/>
  <c r="AE3754" i="1" s="1"/>
  <c r="W3754" i="1"/>
  <c r="AK3753" i="1"/>
  <c r="AJ3753" i="1"/>
  <c r="AI3753" i="1"/>
  <c r="AE3753" i="1" s="1"/>
  <c r="W3753" i="1"/>
  <c r="AK3752" i="1"/>
  <c r="AJ3752" i="1"/>
  <c r="AI3752" i="1"/>
  <c r="AE3752" i="1" s="1"/>
  <c r="W3752" i="1"/>
  <c r="AK3751" i="1"/>
  <c r="AJ3751" i="1"/>
  <c r="AI3751" i="1"/>
  <c r="AE3751" i="1" s="1"/>
  <c r="W3751" i="1"/>
  <c r="AK3750" i="1"/>
  <c r="AJ3750" i="1"/>
  <c r="AI3750" i="1"/>
  <c r="AE3750" i="1" s="1"/>
  <c r="W3750" i="1"/>
  <c r="AK3749" i="1"/>
  <c r="AJ3749" i="1"/>
  <c r="AI3749" i="1"/>
  <c r="AE3749" i="1" s="1"/>
  <c r="W3749" i="1"/>
  <c r="AI3748" i="1"/>
  <c r="AE3748" i="1" s="1"/>
  <c r="V3748" i="1"/>
  <c r="AK3747" i="1"/>
  <c r="AJ3747" i="1"/>
  <c r="AI3747" i="1"/>
  <c r="AE3747" i="1" s="1"/>
  <c r="W3747" i="1"/>
  <c r="AK3746" i="1"/>
  <c r="AJ3746" i="1"/>
  <c r="AI3746" i="1"/>
  <c r="AE3746" i="1" s="1"/>
  <c r="W3746" i="1"/>
  <c r="AI3745" i="1"/>
  <c r="AE3745" i="1" s="1"/>
  <c r="V3745" i="1"/>
  <c r="AK3744" i="1"/>
  <c r="AJ3744" i="1"/>
  <c r="AI3744" i="1"/>
  <c r="AE3744" i="1" s="1"/>
  <c r="W3744" i="1"/>
  <c r="AK3743" i="1"/>
  <c r="AJ3743" i="1"/>
  <c r="AI3743" i="1"/>
  <c r="AE3743" i="1" s="1"/>
  <c r="W3743" i="1"/>
  <c r="AK3742" i="1"/>
  <c r="AJ3742" i="1"/>
  <c r="AI3742" i="1"/>
  <c r="AE3742" i="1" s="1"/>
  <c r="W3742" i="1"/>
  <c r="AK3741" i="1"/>
  <c r="AJ3741" i="1"/>
  <c r="AI3741" i="1"/>
  <c r="AE3741" i="1" s="1"/>
  <c r="W3741" i="1"/>
  <c r="AI3740" i="1"/>
  <c r="AE3740" i="1" s="1"/>
  <c r="AI3739" i="1"/>
  <c r="AE3739" i="1" s="1"/>
  <c r="AK3738" i="1"/>
  <c r="AJ3738" i="1"/>
  <c r="AI3738" i="1"/>
  <c r="AE3738" i="1" s="1"/>
  <c r="W3738" i="1"/>
  <c r="AK3737" i="1"/>
  <c r="AJ3737" i="1"/>
  <c r="AI3737" i="1"/>
  <c r="AE3737" i="1" s="1"/>
  <c r="W3737" i="1"/>
  <c r="AK3736" i="1"/>
  <c r="AJ3736" i="1"/>
  <c r="AI3736" i="1"/>
  <c r="AE3736" i="1" s="1"/>
  <c r="W3736" i="1"/>
  <c r="AK3735" i="1"/>
  <c r="AJ3735" i="1"/>
  <c r="AI3735" i="1"/>
  <c r="AE3735" i="1" s="1"/>
  <c r="W3735" i="1"/>
  <c r="AK3734" i="1"/>
  <c r="AJ3734" i="1"/>
  <c r="AI3734" i="1"/>
  <c r="AE3734" i="1" s="1"/>
  <c r="W3734" i="1"/>
  <c r="AK3733" i="1"/>
  <c r="AJ3733" i="1"/>
  <c r="AI3733" i="1"/>
  <c r="AE3733" i="1" s="1"/>
  <c r="W3733" i="1"/>
  <c r="AK3732" i="1"/>
  <c r="AJ3732" i="1"/>
  <c r="AI3732" i="1"/>
  <c r="AE3732" i="1" s="1"/>
  <c r="W3732" i="1"/>
  <c r="AK3731" i="1"/>
  <c r="AJ3731" i="1"/>
  <c r="AI3731" i="1"/>
  <c r="AE3731" i="1" s="1"/>
  <c r="W3731" i="1"/>
  <c r="AK3730" i="1"/>
  <c r="AJ3730" i="1"/>
  <c r="AI3730" i="1"/>
  <c r="AE3730" i="1" s="1"/>
  <c r="W3730" i="1"/>
  <c r="AK3729" i="1"/>
  <c r="AJ3729" i="1"/>
  <c r="AI3729" i="1"/>
  <c r="AE3729" i="1" s="1"/>
  <c r="W3729" i="1"/>
  <c r="AK3728" i="1"/>
  <c r="AJ3728" i="1"/>
  <c r="AI3728" i="1"/>
  <c r="AE3728" i="1" s="1"/>
  <c r="W3728" i="1"/>
  <c r="AK3727" i="1"/>
  <c r="AJ3727" i="1"/>
  <c r="AI3727" i="1"/>
  <c r="AE3727" i="1" s="1"/>
  <c r="W3727" i="1"/>
  <c r="AK3726" i="1"/>
  <c r="AJ3726" i="1"/>
  <c r="AI3726" i="1"/>
  <c r="AE3726" i="1" s="1"/>
  <c r="W3726" i="1"/>
  <c r="AK3725" i="1"/>
  <c r="AJ3725" i="1"/>
  <c r="AI3725" i="1"/>
  <c r="AE3725" i="1" s="1"/>
  <c r="W3725" i="1"/>
  <c r="AK3724" i="1"/>
  <c r="AJ3724" i="1"/>
  <c r="AI3724" i="1"/>
  <c r="AE3724" i="1" s="1"/>
  <c r="W3724" i="1"/>
  <c r="AK3723" i="1"/>
  <c r="AJ3723" i="1"/>
  <c r="AI3723" i="1"/>
  <c r="AE3723" i="1" s="1"/>
  <c r="W3723" i="1"/>
  <c r="AK3722" i="1"/>
  <c r="AJ3722" i="1"/>
  <c r="AI3722" i="1"/>
  <c r="AE3722" i="1" s="1"/>
  <c r="W3722" i="1"/>
  <c r="AK3721" i="1"/>
  <c r="AJ3721" i="1"/>
  <c r="AI3721" i="1"/>
  <c r="AE3721" i="1" s="1"/>
  <c r="W3721" i="1"/>
  <c r="AK3720" i="1"/>
  <c r="AJ3720" i="1"/>
  <c r="AI3720" i="1"/>
  <c r="AE3720" i="1" s="1"/>
  <c r="W3720" i="1"/>
  <c r="AK3719" i="1"/>
  <c r="AJ3719" i="1"/>
  <c r="AI3719" i="1"/>
  <c r="AE3719" i="1" s="1"/>
  <c r="W3719" i="1"/>
  <c r="AK3718" i="1"/>
  <c r="AJ3718" i="1"/>
  <c r="AI3718" i="1"/>
  <c r="AE3718" i="1" s="1"/>
  <c r="W3718" i="1"/>
  <c r="AK3717" i="1"/>
  <c r="AJ3717" i="1"/>
  <c r="AI3717" i="1"/>
  <c r="AE3717" i="1" s="1"/>
  <c r="W3717" i="1"/>
  <c r="AK3716" i="1"/>
  <c r="AJ3716" i="1"/>
  <c r="AI3716" i="1"/>
  <c r="AE3716" i="1" s="1"/>
  <c r="W3716" i="1"/>
  <c r="AK3715" i="1"/>
  <c r="AJ3715" i="1"/>
  <c r="AI3715" i="1"/>
  <c r="AE3715" i="1" s="1"/>
  <c r="W3715" i="1"/>
  <c r="AI3714" i="1"/>
  <c r="AE3714" i="1" s="1"/>
  <c r="V3714" i="1"/>
  <c r="AK3714" i="1" s="1"/>
  <c r="AI3713" i="1"/>
  <c r="AE3713" i="1" s="1"/>
  <c r="V3713" i="1"/>
  <c r="AJ3713" i="1" s="1"/>
  <c r="AI3712" i="1"/>
  <c r="AE3712" i="1" s="1"/>
  <c r="V3712" i="1"/>
  <c r="AK3712" i="1" s="1"/>
  <c r="AI3711" i="1"/>
  <c r="AE3711" i="1" s="1"/>
  <c r="V3711" i="1"/>
  <c r="AI3710" i="1"/>
  <c r="AE3710" i="1" s="1"/>
  <c r="V3710" i="1"/>
  <c r="AK3710" i="1" s="1"/>
  <c r="AI3709" i="1"/>
  <c r="AE3709" i="1" s="1"/>
  <c r="V3709" i="1"/>
  <c r="AI3708" i="1"/>
  <c r="AE3708" i="1" s="1"/>
  <c r="V3708" i="1"/>
  <c r="AK3708" i="1" s="1"/>
  <c r="AI3707" i="1"/>
  <c r="AE3707" i="1" s="1"/>
  <c r="V3707" i="1"/>
  <c r="AK3707" i="1" s="1"/>
  <c r="AI3706" i="1"/>
  <c r="AE3706" i="1" s="1"/>
  <c r="V3706" i="1"/>
  <c r="AK3706" i="1" s="1"/>
  <c r="AK3705" i="1"/>
  <c r="AJ3705" i="1"/>
  <c r="AI3705" i="1"/>
  <c r="AE3705" i="1" s="1"/>
  <c r="W3705" i="1"/>
  <c r="AK3704" i="1"/>
  <c r="AJ3704" i="1"/>
  <c r="AI3704" i="1"/>
  <c r="AE3704" i="1" s="1"/>
  <c r="W3704" i="1"/>
  <c r="AK3703" i="1"/>
  <c r="AJ3703" i="1"/>
  <c r="AI3703" i="1"/>
  <c r="AE3703" i="1" s="1"/>
  <c r="W3703" i="1"/>
  <c r="AK3702" i="1"/>
  <c r="AJ3702" i="1"/>
  <c r="AI3702" i="1"/>
  <c r="AE3702" i="1" s="1"/>
  <c r="W3702" i="1"/>
  <c r="AI3701" i="1"/>
  <c r="AE3701" i="1" s="1"/>
  <c r="V3701" i="1"/>
  <c r="AK3701" i="1" s="1"/>
  <c r="AK3700" i="1"/>
  <c r="AJ3700" i="1"/>
  <c r="AI3700" i="1"/>
  <c r="AE3700" i="1" s="1"/>
  <c r="W3700" i="1"/>
  <c r="AI3699" i="1"/>
  <c r="AE3699" i="1" s="1"/>
  <c r="V3699" i="1"/>
  <c r="W3699" i="1" s="1"/>
  <c r="AI3698" i="1"/>
  <c r="AE3698" i="1" s="1"/>
  <c r="V3698" i="1"/>
  <c r="AK3697" i="1"/>
  <c r="AJ3697" i="1"/>
  <c r="AI3697" i="1"/>
  <c r="AE3697" i="1" s="1"/>
  <c r="W3697" i="1"/>
  <c r="AK3696" i="1"/>
  <c r="AJ3696" i="1"/>
  <c r="AI3696" i="1"/>
  <c r="AE3696" i="1" s="1"/>
  <c r="W3696" i="1"/>
  <c r="AK3695" i="1"/>
  <c r="AJ3695" i="1"/>
  <c r="AI3695" i="1"/>
  <c r="AE3695" i="1" s="1"/>
  <c r="W3695" i="1"/>
  <c r="AK3694" i="1"/>
  <c r="AJ3694" i="1"/>
  <c r="AI3694" i="1"/>
  <c r="AE3694" i="1" s="1"/>
  <c r="W3694" i="1"/>
  <c r="AK3693" i="1"/>
  <c r="AJ3693" i="1"/>
  <c r="AI3693" i="1"/>
  <c r="AE3693" i="1" s="1"/>
  <c r="W3693" i="1"/>
  <c r="AI3692" i="1"/>
  <c r="AE3692" i="1" s="1"/>
  <c r="V3692" i="1"/>
  <c r="AI3691" i="1"/>
  <c r="AE3691" i="1" s="1"/>
  <c r="V3691" i="1"/>
  <c r="AI3690" i="1"/>
  <c r="AE3690" i="1" s="1"/>
  <c r="V3690" i="1"/>
  <c r="AI3689" i="1"/>
  <c r="AE3689" i="1" s="1"/>
  <c r="V3689" i="1"/>
  <c r="AK3689" i="1" s="1"/>
  <c r="AI3688" i="1"/>
  <c r="AE3688" i="1" s="1"/>
  <c r="V3688" i="1"/>
  <c r="AI3687" i="1"/>
  <c r="AE3687" i="1" s="1"/>
  <c r="V3687" i="1"/>
  <c r="AI3686" i="1"/>
  <c r="AE3686" i="1" s="1"/>
  <c r="V3686" i="1"/>
  <c r="AJ3686" i="1" s="1"/>
  <c r="AI3685" i="1"/>
  <c r="AE3685" i="1" s="1"/>
  <c r="V3685" i="1"/>
  <c r="AI3684" i="1"/>
  <c r="AE3684" i="1" s="1"/>
  <c r="V3684" i="1"/>
  <c r="AK3683" i="1"/>
  <c r="AJ3683" i="1"/>
  <c r="AI3683" i="1"/>
  <c r="AE3683" i="1" s="1"/>
  <c r="W3683" i="1"/>
  <c r="AK3682" i="1"/>
  <c r="AJ3682" i="1"/>
  <c r="AI3682" i="1"/>
  <c r="AE3682" i="1" s="1"/>
  <c r="W3682" i="1"/>
  <c r="AI3681" i="1"/>
  <c r="AE3681" i="1" s="1"/>
  <c r="V3681" i="1"/>
  <c r="AI3680" i="1"/>
  <c r="AE3680" i="1" s="1"/>
  <c r="V3680" i="1"/>
  <c r="AI3679" i="1"/>
  <c r="AE3679" i="1" s="1"/>
  <c r="V3679" i="1"/>
  <c r="AI3678" i="1"/>
  <c r="AE3678" i="1" s="1"/>
  <c r="V3678" i="1"/>
  <c r="AK3678" i="1" s="1"/>
  <c r="AI3677" i="1"/>
  <c r="AE3677" i="1" s="1"/>
  <c r="V3677" i="1"/>
  <c r="AI3676" i="1"/>
  <c r="AE3676" i="1" s="1"/>
  <c r="V3676" i="1"/>
  <c r="AK3675" i="1"/>
  <c r="AJ3675" i="1"/>
  <c r="AI3675" i="1"/>
  <c r="AE3675" i="1" s="1"/>
  <c r="W3675" i="1"/>
  <c r="AK3674" i="1"/>
  <c r="AJ3674" i="1"/>
  <c r="AI3674" i="1"/>
  <c r="AE3674" i="1" s="1"/>
  <c r="W3674" i="1"/>
  <c r="AK3673" i="1"/>
  <c r="AJ3673" i="1"/>
  <c r="AI3673" i="1"/>
  <c r="AE3673" i="1" s="1"/>
  <c r="W3673" i="1"/>
  <c r="AK3672" i="1"/>
  <c r="AJ3672" i="1"/>
  <c r="AI3672" i="1"/>
  <c r="AE3672" i="1" s="1"/>
  <c r="W3672" i="1"/>
  <c r="AK3671" i="1"/>
  <c r="AJ3671" i="1"/>
  <c r="AI3671" i="1"/>
  <c r="AE3671" i="1" s="1"/>
  <c r="W3671" i="1"/>
  <c r="AK3670" i="1"/>
  <c r="AJ3670" i="1"/>
  <c r="AI3670" i="1"/>
  <c r="AE3670" i="1" s="1"/>
  <c r="W3670" i="1"/>
  <c r="AK3669" i="1"/>
  <c r="AJ3669" i="1"/>
  <c r="AI3669" i="1"/>
  <c r="AE3669" i="1" s="1"/>
  <c r="W3669" i="1"/>
  <c r="AK3668" i="1"/>
  <c r="AJ3668" i="1"/>
  <c r="AI3668" i="1"/>
  <c r="AE3668" i="1" s="1"/>
  <c r="W3668" i="1"/>
  <c r="AK3667" i="1"/>
  <c r="AJ3667" i="1"/>
  <c r="AI3667" i="1"/>
  <c r="AE3667" i="1" s="1"/>
  <c r="W3667" i="1"/>
  <c r="AK3666" i="1"/>
  <c r="AJ3666" i="1"/>
  <c r="AI3666" i="1"/>
  <c r="AE3666" i="1" s="1"/>
  <c r="W3666" i="1"/>
  <c r="AK3665" i="1"/>
  <c r="AJ3665" i="1"/>
  <c r="AI3665" i="1"/>
  <c r="AE3665" i="1" s="1"/>
  <c r="W3665" i="1"/>
  <c r="AK3664" i="1"/>
  <c r="AJ3664" i="1"/>
  <c r="AI3664" i="1"/>
  <c r="AE3664" i="1" s="1"/>
  <c r="W3664" i="1"/>
  <c r="AI3663" i="1"/>
  <c r="AE3663" i="1" s="1"/>
  <c r="V3663" i="1"/>
  <c r="AJ3663" i="1" s="1"/>
  <c r="AK3662" i="1"/>
  <c r="AJ3662" i="1"/>
  <c r="AI3662" i="1"/>
  <c r="AE3662" i="1" s="1"/>
  <c r="W3662" i="1"/>
  <c r="AK3661" i="1"/>
  <c r="AJ3661" i="1"/>
  <c r="AI3661" i="1"/>
  <c r="AE3661" i="1" s="1"/>
  <c r="W3661" i="1"/>
  <c r="AK3660" i="1"/>
  <c r="AJ3660" i="1"/>
  <c r="AI3660" i="1"/>
  <c r="AE3660" i="1" s="1"/>
  <c r="W3660" i="1"/>
  <c r="AK3659" i="1"/>
  <c r="AJ3659" i="1"/>
  <c r="AI3659" i="1"/>
  <c r="AE3659" i="1" s="1"/>
  <c r="W3659" i="1"/>
  <c r="AI3658" i="1"/>
  <c r="AE3658" i="1" s="1"/>
  <c r="V3658" i="1"/>
  <c r="AI3657" i="1"/>
  <c r="AE3657" i="1" s="1"/>
  <c r="V3657" i="1"/>
  <c r="AI3656" i="1"/>
  <c r="AE3656" i="1" s="1"/>
  <c r="V3656" i="1"/>
  <c r="AJ3656" i="1" s="1"/>
  <c r="AK3655" i="1"/>
  <c r="AJ3655" i="1"/>
  <c r="AI3655" i="1"/>
  <c r="AE3655" i="1" s="1"/>
  <c r="W3655" i="1"/>
  <c r="AI3654" i="1"/>
  <c r="AE3654" i="1" s="1"/>
  <c r="V3654" i="1"/>
  <c r="AK3653" i="1"/>
  <c r="AJ3653" i="1"/>
  <c r="AI3653" i="1"/>
  <c r="AE3653" i="1" s="1"/>
  <c r="W3653" i="1"/>
  <c r="AK3652" i="1"/>
  <c r="AJ3652" i="1"/>
  <c r="AI3652" i="1"/>
  <c r="AE3652" i="1" s="1"/>
  <c r="W3652" i="1"/>
  <c r="AK3651" i="1"/>
  <c r="AJ3651" i="1"/>
  <c r="AI3651" i="1"/>
  <c r="AE3651" i="1" s="1"/>
  <c r="W3651" i="1"/>
  <c r="AK3650" i="1"/>
  <c r="AJ3650" i="1"/>
  <c r="AI3650" i="1"/>
  <c r="AE3650" i="1" s="1"/>
  <c r="W3650" i="1"/>
  <c r="AI3649" i="1"/>
  <c r="AE3649" i="1" s="1"/>
  <c r="V3649" i="1"/>
  <c r="AI3648" i="1"/>
  <c r="AE3648" i="1" s="1"/>
  <c r="V3648" i="1"/>
  <c r="AI3647" i="1"/>
  <c r="AE3647" i="1" s="1"/>
  <c r="V3647" i="1"/>
  <c r="W3647" i="1" s="1"/>
  <c r="AI3646" i="1"/>
  <c r="AE3646" i="1" s="1"/>
  <c r="V3646" i="1"/>
  <c r="AI3645" i="1"/>
  <c r="AE3645" i="1" s="1"/>
  <c r="V3645" i="1"/>
  <c r="AI3644" i="1"/>
  <c r="AE3644" i="1" s="1"/>
  <c r="V3644" i="1"/>
  <c r="W3644" i="1" s="1"/>
  <c r="AK3643" i="1"/>
  <c r="AJ3643" i="1"/>
  <c r="AI3643" i="1"/>
  <c r="AE3643" i="1" s="1"/>
  <c r="W3643" i="1"/>
  <c r="AK3642" i="1"/>
  <c r="AJ3642" i="1"/>
  <c r="AI3642" i="1"/>
  <c r="AE3642" i="1" s="1"/>
  <c r="W3642" i="1"/>
  <c r="AK3641" i="1"/>
  <c r="AJ3641" i="1"/>
  <c r="AI3641" i="1"/>
  <c r="AE3641" i="1" s="1"/>
  <c r="W3641" i="1"/>
  <c r="AK3640" i="1"/>
  <c r="AJ3640" i="1"/>
  <c r="AI3640" i="1"/>
  <c r="AE3640" i="1" s="1"/>
  <c r="W3640" i="1"/>
  <c r="AK3639" i="1"/>
  <c r="AJ3639" i="1"/>
  <c r="AI3639" i="1"/>
  <c r="AE3639" i="1" s="1"/>
  <c r="W3639" i="1"/>
  <c r="AK3638" i="1"/>
  <c r="AJ3638" i="1"/>
  <c r="AI3638" i="1"/>
  <c r="AE3638" i="1" s="1"/>
  <c r="W3638" i="1"/>
  <c r="AK3637" i="1"/>
  <c r="AJ3637" i="1"/>
  <c r="AI3637" i="1"/>
  <c r="AE3637" i="1" s="1"/>
  <c r="W3637" i="1"/>
  <c r="AK3636" i="1"/>
  <c r="AJ3636" i="1"/>
  <c r="AI3636" i="1"/>
  <c r="AE3636" i="1" s="1"/>
  <c r="W3636" i="1"/>
  <c r="AK3635" i="1"/>
  <c r="AJ3635" i="1"/>
  <c r="AI3635" i="1"/>
  <c r="AE3635" i="1" s="1"/>
  <c r="W3635" i="1"/>
  <c r="AK3634" i="1"/>
  <c r="AJ3634" i="1"/>
  <c r="AI3634" i="1"/>
  <c r="AE3634" i="1" s="1"/>
  <c r="W3634" i="1"/>
  <c r="AK3633" i="1"/>
  <c r="AJ3633" i="1"/>
  <c r="AI3633" i="1"/>
  <c r="AE3633" i="1" s="1"/>
  <c r="W3633" i="1"/>
  <c r="AK3632" i="1"/>
  <c r="AJ3632" i="1"/>
  <c r="AI3632" i="1"/>
  <c r="AE3632" i="1" s="1"/>
  <c r="W3632" i="1"/>
  <c r="AK3631" i="1"/>
  <c r="AJ3631" i="1"/>
  <c r="AI3631" i="1"/>
  <c r="AE3631" i="1" s="1"/>
  <c r="W3631" i="1"/>
  <c r="AK3630" i="1"/>
  <c r="AJ3630" i="1"/>
  <c r="AI3630" i="1"/>
  <c r="AE3630" i="1" s="1"/>
  <c r="W3630" i="1"/>
  <c r="AK3629" i="1"/>
  <c r="AJ3629" i="1"/>
  <c r="AI3629" i="1"/>
  <c r="AE3629" i="1" s="1"/>
  <c r="W3629" i="1"/>
  <c r="AK3628" i="1"/>
  <c r="AJ3628" i="1"/>
  <c r="AI3628" i="1"/>
  <c r="AE3628" i="1" s="1"/>
  <c r="W3628" i="1"/>
  <c r="AK3627" i="1"/>
  <c r="AJ3627" i="1"/>
  <c r="AI3627" i="1"/>
  <c r="AE3627" i="1" s="1"/>
  <c r="W3627" i="1"/>
  <c r="AK3626" i="1"/>
  <c r="AJ3626" i="1"/>
  <c r="AI3626" i="1"/>
  <c r="AE3626" i="1" s="1"/>
  <c r="W3626" i="1"/>
  <c r="AK3625" i="1"/>
  <c r="AJ3625" i="1"/>
  <c r="AI3625" i="1"/>
  <c r="AE3625" i="1" s="1"/>
  <c r="W3625" i="1"/>
  <c r="AI3624" i="1"/>
  <c r="AE3624" i="1" s="1"/>
  <c r="V3624" i="1"/>
  <c r="W3624" i="1" s="1"/>
  <c r="AK3623" i="1"/>
  <c r="AJ3623" i="1"/>
  <c r="AI3623" i="1"/>
  <c r="AE3623" i="1" s="1"/>
  <c r="W3623" i="1"/>
  <c r="AK3622" i="1"/>
  <c r="AJ3622" i="1"/>
  <c r="AI3622" i="1"/>
  <c r="AE3622" i="1" s="1"/>
  <c r="W3622" i="1"/>
  <c r="AK3621" i="1"/>
  <c r="AJ3621" i="1"/>
  <c r="AI3621" i="1"/>
  <c r="AE3621" i="1" s="1"/>
  <c r="AF3621" i="1"/>
  <c r="W3621" i="1"/>
  <c r="AK3620" i="1"/>
  <c r="AJ3620" i="1"/>
  <c r="AI3620" i="1"/>
  <c r="AE3620" i="1" s="1"/>
  <c r="AF3620" i="1"/>
  <c r="W3620" i="1"/>
  <c r="AK3619" i="1"/>
  <c r="AJ3619" i="1"/>
  <c r="AI3619" i="1"/>
  <c r="AE3619" i="1" s="1"/>
  <c r="W3619" i="1"/>
  <c r="AK3618" i="1"/>
  <c r="AJ3618" i="1"/>
  <c r="AI3618" i="1"/>
  <c r="AE3618" i="1" s="1"/>
  <c r="AF3618" i="1"/>
  <c r="W3618" i="1"/>
  <c r="AK3617" i="1"/>
  <c r="AJ3617" i="1"/>
  <c r="AI3617" i="1"/>
  <c r="AE3617" i="1" s="1"/>
  <c r="W3617" i="1"/>
  <c r="AK3616" i="1"/>
  <c r="AJ3616" i="1"/>
  <c r="AI3616" i="1"/>
  <c r="AE3616" i="1" s="1"/>
  <c r="W3616" i="1"/>
  <c r="AK3615" i="1"/>
  <c r="AJ3615" i="1"/>
  <c r="AI3615" i="1"/>
  <c r="AE3615" i="1" s="1"/>
  <c r="W3615" i="1"/>
  <c r="AK3614" i="1"/>
  <c r="AJ3614" i="1"/>
  <c r="AI3614" i="1"/>
  <c r="AE3614" i="1" s="1"/>
  <c r="W3614" i="1"/>
  <c r="AK3613" i="1"/>
  <c r="AJ3613" i="1"/>
  <c r="AI3613" i="1"/>
  <c r="AE3613" i="1" s="1"/>
  <c r="W3613" i="1"/>
  <c r="AK3612" i="1"/>
  <c r="AJ3612" i="1"/>
  <c r="AI3612" i="1"/>
  <c r="AE3612" i="1" s="1"/>
  <c r="W3612" i="1"/>
  <c r="AK3611" i="1"/>
  <c r="AJ3611" i="1"/>
  <c r="AI3611" i="1"/>
  <c r="AE3611" i="1" s="1"/>
  <c r="W3611" i="1"/>
  <c r="AK3610" i="1"/>
  <c r="AJ3610" i="1"/>
  <c r="AI3610" i="1"/>
  <c r="AE3610" i="1" s="1"/>
  <c r="W3610" i="1"/>
  <c r="AK3609" i="1"/>
  <c r="AJ3609" i="1"/>
  <c r="AI3609" i="1"/>
  <c r="AE3609" i="1" s="1"/>
  <c r="AF3609" i="1"/>
  <c r="W3609" i="1"/>
  <c r="AK3608" i="1"/>
  <c r="AJ3608" i="1"/>
  <c r="AI3608" i="1"/>
  <c r="AE3608" i="1" s="1"/>
  <c r="W3608" i="1"/>
  <c r="AK3607" i="1"/>
  <c r="AJ3607" i="1"/>
  <c r="AI3607" i="1"/>
  <c r="AE3607" i="1" s="1"/>
  <c r="W3607" i="1"/>
  <c r="AK3606" i="1"/>
  <c r="AJ3606" i="1"/>
  <c r="AI3606" i="1"/>
  <c r="AE3606" i="1" s="1"/>
  <c r="W3606" i="1"/>
  <c r="AK3605" i="1"/>
  <c r="AJ3605" i="1"/>
  <c r="AI3605" i="1"/>
  <c r="AE3605" i="1" s="1"/>
  <c r="W3605" i="1"/>
  <c r="AK3604" i="1"/>
  <c r="AJ3604" i="1"/>
  <c r="AI3604" i="1"/>
  <c r="AE3604" i="1" s="1"/>
  <c r="W3604" i="1"/>
  <c r="AK3603" i="1"/>
  <c r="AJ3603" i="1"/>
  <c r="AI3603" i="1"/>
  <c r="AE3603" i="1" s="1"/>
  <c r="AF3603" i="1"/>
  <c r="W3603" i="1"/>
  <c r="AI3602" i="1"/>
  <c r="AE3602" i="1" s="1"/>
  <c r="V3602" i="1"/>
  <c r="AK3601" i="1"/>
  <c r="AJ3601" i="1"/>
  <c r="AI3601" i="1"/>
  <c r="AE3601" i="1" s="1"/>
  <c r="AF3601" i="1"/>
  <c r="W3601" i="1"/>
  <c r="AK3600" i="1"/>
  <c r="AJ3600" i="1"/>
  <c r="AI3600" i="1"/>
  <c r="AE3600" i="1" s="1"/>
  <c r="W3600" i="1"/>
  <c r="AK3599" i="1"/>
  <c r="AJ3599" i="1"/>
  <c r="AI3599" i="1"/>
  <c r="AE3599" i="1" s="1"/>
  <c r="W3599" i="1"/>
  <c r="AK3598" i="1"/>
  <c r="AJ3598" i="1"/>
  <c r="AI3598" i="1"/>
  <c r="AE3598" i="1" s="1"/>
  <c r="W3598" i="1"/>
  <c r="AK3597" i="1"/>
  <c r="AJ3597" i="1"/>
  <c r="AI3597" i="1"/>
  <c r="AE3597" i="1" s="1"/>
  <c r="W3597" i="1"/>
  <c r="AK3596" i="1"/>
  <c r="AJ3596" i="1"/>
  <c r="AI3596" i="1"/>
  <c r="AE3596" i="1" s="1"/>
  <c r="W3596" i="1"/>
  <c r="AK3595" i="1"/>
  <c r="AJ3595" i="1"/>
  <c r="AI3595" i="1"/>
  <c r="AE3595" i="1" s="1"/>
  <c r="W3595" i="1"/>
  <c r="AK3594" i="1"/>
  <c r="AJ3594" i="1"/>
  <c r="AI3594" i="1"/>
  <c r="AE3594" i="1" s="1"/>
  <c r="W3594" i="1"/>
  <c r="AK3593" i="1"/>
  <c r="AJ3593" i="1"/>
  <c r="AI3593" i="1"/>
  <c r="AE3593" i="1" s="1"/>
  <c r="W3593" i="1"/>
  <c r="AK3592" i="1"/>
  <c r="AJ3592" i="1"/>
  <c r="AI3592" i="1"/>
  <c r="AE3592" i="1" s="1"/>
  <c r="W3592" i="1"/>
  <c r="AK3591" i="1"/>
  <c r="AJ3591" i="1"/>
  <c r="AI3591" i="1"/>
  <c r="AE3591" i="1" s="1"/>
  <c r="AF3591" i="1"/>
  <c r="W3591" i="1"/>
  <c r="AI3590" i="1"/>
  <c r="AE3590" i="1" s="1"/>
  <c r="V3590" i="1"/>
  <c r="AJ3590" i="1" s="1"/>
  <c r="AI3589" i="1"/>
  <c r="AE3589" i="1" s="1"/>
  <c r="V3589" i="1"/>
  <c r="AK3588" i="1"/>
  <c r="AJ3588" i="1"/>
  <c r="AI3588" i="1"/>
  <c r="AE3588" i="1" s="1"/>
  <c r="W3588" i="1"/>
  <c r="AI3587" i="1"/>
  <c r="AE3587" i="1" s="1"/>
  <c r="V3587" i="1"/>
  <c r="W3587" i="1" s="1"/>
  <c r="AK3586" i="1"/>
  <c r="AJ3586" i="1"/>
  <c r="AI3586" i="1"/>
  <c r="AE3586" i="1" s="1"/>
  <c r="AF3586" i="1"/>
  <c r="W3586" i="1"/>
  <c r="AK3585" i="1"/>
  <c r="AJ3585" i="1"/>
  <c r="AI3585" i="1"/>
  <c r="AE3585" i="1" s="1"/>
  <c r="AF3585" i="1"/>
  <c r="W3585" i="1"/>
  <c r="AI3584" i="1"/>
  <c r="AE3584" i="1" s="1"/>
  <c r="V3584" i="1"/>
  <c r="AI3583" i="1"/>
  <c r="AE3583" i="1" s="1"/>
  <c r="V3583" i="1"/>
  <c r="AK3582" i="1"/>
  <c r="AJ3582" i="1"/>
  <c r="AI3582" i="1"/>
  <c r="AE3582" i="1" s="1"/>
  <c r="W3582" i="1"/>
  <c r="AI3581" i="1"/>
  <c r="AE3581" i="1" s="1"/>
  <c r="V3581" i="1"/>
  <c r="AK3580" i="1"/>
  <c r="AJ3580" i="1"/>
  <c r="AI3580" i="1"/>
  <c r="AE3580" i="1" s="1"/>
  <c r="W3580" i="1"/>
  <c r="AK3579" i="1"/>
  <c r="AJ3579" i="1"/>
  <c r="AI3579" i="1"/>
  <c r="AE3579" i="1" s="1"/>
  <c r="W3579" i="1"/>
  <c r="AK3578" i="1"/>
  <c r="AJ3578" i="1"/>
  <c r="AI3578" i="1"/>
  <c r="AE3578" i="1" s="1"/>
  <c r="W3578" i="1"/>
  <c r="AK3577" i="1"/>
  <c r="AJ3577" i="1"/>
  <c r="AI3577" i="1"/>
  <c r="AE3577" i="1" s="1"/>
  <c r="W3577" i="1"/>
  <c r="AK3576" i="1"/>
  <c r="AJ3576" i="1"/>
  <c r="AI3576" i="1"/>
  <c r="AE3576" i="1" s="1"/>
  <c r="W3576" i="1"/>
  <c r="AK3575" i="1"/>
  <c r="AJ3575" i="1"/>
  <c r="AI3575" i="1"/>
  <c r="AE3575" i="1" s="1"/>
  <c r="W3575" i="1"/>
  <c r="AK3574" i="1"/>
  <c r="AJ3574" i="1"/>
  <c r="AI3574" i="1"/>
  <c r="AE3574" i="1" s="1"/>
  <c r="W3574" i="1"/>
  <c r="AK3573" i="1"/>
  <c r="AJ3573" i="1"/>
  <c r="AI3573" i="1"/>
  <c r="AE3573" i="1" s="1"/>
  <c r="W3573" i="1"/>
  <c r="AK3572" i="1"/>
  <c r="AJ3572" i="1"/>
  <c r="AI3572" i="1"/>
  <c r="AE3572" i="1" s="1"/>
  <c r="W3572" i="1"/>
  <c r="AK3571" i="1"/>
  <c r="AJ3571" i="1"/>
  <c r="AI3571" i="1"/>
  <c r="AE3571" i="1" s="1"/>
  <c r="W3571" i="1"/>
  <c r="AK3570" i="1"/>
  <c r="AJ3570" i="1"/>
  <c r="AI3570" i="1"/>
  <c r="AE3570" i="1" s="1"/>
  <c r="W3570" i="1"/>
  <c r="AK3569" i="1"/>
  <c r="AJ3569" i="1"/>
  <c r="AI3569" i="1"/>
  <c r="AE3569" i="1" s="1"/>
  <c r="W3569" i="1"/>
  <c r="AK3568" i="1"/>
  <c r="AJ3568" i="1"/>
  <c r="AI3568" i="1"/>
  <c r="AE3568" i="1" s="1"/>
  <c r="W3568" i="1"/>
  <c r="AK3567" i="1"/>
  <c r="AJ3567" i="1"/>
  <c r="AI3567" i="1"/>
  <c r="AE3567" i="1" s="1"/>
  <c r="W3567" i="1"/>
  <c r="AK3566" i="1"/>
  <c r="AJ3566" i="1"/>
  <c r="AI3566" i="1"/>
  <c r="AE3566" i="1" s="1"/>
  <c r="W3566" i="1"/>
  <c r="AK3565" i="1"/>
  <c r="AJ3565" i="1"/>
  <c r="AI3565" i="1"/>
  <c r="AE3565" i="1" s="1"/>
  <c r="W3565" i="1"/>
  <c r="AK3564" i="1"/>
  <c r="AJ3564" i="1"/>
  <c r="AI3564" i="1"/>
  <c r="AE3564" i="1" s="1"/>
  <c r="W3564" i="1"/>
  <c r="AK3563" i="1"/>
  <c r="AJ3563" i="1"/>
  <c r="AI3563" i="1"/>
  <c r="AE3563" i="1" s="1"/>
  <c r="W3563" i="1"/>
  <c r="AK3562" i="1"/>
  <c r="AJ3562" i="1"/>
  <c r="AI3562" i="1"/>
  <c r="AE3562" i="1" s="1"/>
  <c r="W3562" i="1"/>
  <c r="AK3561" i="1"/>
  <c r="AJ3561" i="1"/>
  <c r="AI3561" i="1"/>
  <c r="AE3561" i="1" s="1"/>
  <c r="W3561" i="1"/>
  <c r="AK3560" i="1"/>
  <c r="AJ3560" i="1"/>
  <c r="AI3560" i="1"/>
  <c r="AE3560" i="1" s="1"/>
  <c r="W3560" i="1"/>
  <c r="AK3559" i="1"/>
  <c r="AJ3559" i="1"/>
  <c r="AI3559" i="1"/>
  <c r="AE3559" i="1" s="1"/>
  <c r="W3559" i="1"/>
  <c r="AK3558" i="1"/>
  <c r="AJ3558" i="1"/>
  <c r="AI3558" i="1"/>
  <c r="AE3558" i="1" s="1"/>
  <c r="W3558" i="1"/>
  <c r="AK3557" i="1"/>
  <c r="AJ3557" i="1"/>
  <c r="AI3557" i="1"/>
  <c r="AE3557" i="1" s="1"/>
  <c r="W3557" i="1"/>
  <c r="AK3556" i="1"/>
  <c r="AJ3556" i="1"/>
  <c r="AI3556" i="1"/>
  <c r="AE3556" i="1" s="1"/>
  <c r="W3556" i="1"/>
  <c r="AK3555" i="1"/>
  <c r="AJ3555" i="1"/>
  <c r="AI3555" i="1"/>
  <c r="AE3555" i="1" s="1"/>
  <c r="W3555" i="1"/>
  <c r="AK3554" i="1"/>
  <c r="AJ3554" i="1"/>
  <c r="AI3554" i="1"/>
  <c r="AE3554" i="1" s="1"/>
  <c r="W3554" i="1"/>
  <c r="AK3553" i="1"/>
  <c r="AJ3553" i="1"/>
  <c r="AI3553" i="1"/>
  <c r="AE3553" i="1" s="1"/>
  <c r="W3553" i="1"/>
  <c r="AK3552" i="1"/>
  <c r="AJ3552" i="1"/>
  <c r="AI3552" i="1"/>
  <c r="AE3552" i="1" s="1"/>
  <c r="W3552" i="1"/>
  <c r="AK3551" i="1"/>
  <c r="AJ3551" i="1"/>
  <c r="AI3551" i="1"/>
  <c r="AE3551" i="1" s="1"/>
  <c r="W3551" i="1"/>
  <c r="AK3550" i="1"/>
  <c r="AJ3550" i="1"/>
  <c r="AI3550" i="1"/>
  <c r="AE3550" i="1" s="1"/>
  <c r="W3550" i="1"/>
  <c r="AK3549" i="1"/>
  <c r="AJ3549" i="1"/>
  <c r="AI3549" i="1"/>
  <c r="AE3549" i="1" s="1"/>
  <c r="W3549" i="1"/>
  <c r="AK3548" i="1"/>
  <c r="AJ3548" i="1"/>
  <c r="AI3548" i="1"/>
  <c r="AE3548" i="1" s="1"/>
  <c r="W3548" i="1"/>
  <c r="AK3547" i="1"/>
  <c r="AJ3547" i="1"/>
  <c r="AI3547" i="1"/>
  <c r="AE3547" i="1" s="1"/>
  <c r="W3547" i="1"/>
  <c r="AK3546" i="1"/>
  <c r="AJ3546" i="1"/>
  <c r="AI3546" i="1"/>
  <c r="AE3546" i="1" s="1"/>
  <c r="W3546" i="1"/>
  <c r="AK3545" i="1"/>
  <c r="AJ3545" i="1"/>
  <c r="AI3545" i="1"/>
  <c r="AE3545" i="1" s="1"/>
  <c r="W3545" i="1"/>
  <c r="AK3544" i="1"/>
  <c r="AJ3544" i="1"/>
  <c r="AI3544" i="1"/>
  <c r="AE3544" i="1" s="1"/>
  <c r="W3544" i="1"/>
  <c r="AK3543" i="1"/>
  <c r="AJ3543" i="1"/>
  <c r="AI3543" i="1"/>
  <c r="AE3543" i="1" s="1"/>
  <c r="W3543" i="1"/>
  <c r="AK3542" i="1"/>
  <c r="AJ3542" i="1"/>
  <c r="AI3542" i="1"/>
  <c r="AE3542" i="1" s="1"/>
  <c r="W3542" i="1"/>
  <c r="AK3541" i="1"/>
  <c r="AJ3541" i="1"/>
  <c r="AI3541" i="1"/>
  <c r="AE3541" i="1" s="1"/>
  <c r="W3541" i="1"/>
  <c r="AK3540" i="1"/>
  <c r="AJ3540" i="1"/>
  <c r="AI3540" i="1"/>
  <c r="AE3540" i="1" s="1"/>
  <c r="W3540" i="1"/>
  <c r="AK3539" i="1"/>
  <c r="AJ3539" i="1"/>
  <c r="AI3539" i="1"/>
  <c r="AE3539" i="1" s="1"/>
  <c r="W3539" i="1"/>
  <c r="AK3538" i="1"/>
  <c r="AJ3538" i="1"/>
  <c r="AI3538" i="1"/>
  <c r="AE3538" i="1" s="1"/>
  <c r="W3538" i="1"/>
  <c r="AK3537" i="1"/>
  <c r="AJ3537" i="1"/>
  <c r="AI3537" i="1"/>
  <c r="AE3537" i="1" s="1"/>
  <c r="W3537" i="1"/>
  <c r="AK3536" i="1"/>
  <c r="AJ3536" i="1"/>
  <c r="AI3536" i="1"/>
  <c r="AE3536" i="1" s="1"/>
  <c r="W3536" i="1"/>
  <c r="AK3535" i="1"/>
  <c r="AJ3535" i="1"/>
  <c r="AI3535" i="1"/>
  <c r="AE3535" i="1" s="1"/>
  <c r="W3535" i="1"/>
  <c r="AK3534" i="1"/>
  <c r="AJ3534" i="1"/>
  <c r="AI3534" i="1"/>
  <c r="AE3534" i="1" s="1"/>
  <c r="W3534" i="1"/>
  <c r="AK3533" i="1"/>
  <c r="AJ3533" i="1"/>
  <c r="AI3533" i="1"/>
  <c r="AE3533" i="1" s="1"/>
  <c r="W3533" i="1"/>
  <c r="AI3532" i="1"/>
  <c r="AE3532" i="1" s="1"/>
  <c r="V3532" i="1"/>
  <c r="W3532" i="1" s="1"/>
  <c r="AI3531" i="1"/>
  <c r="AE3531" i="1" s="1"/>
  <c r="V3531" i="1"/>
  <c r="AI3530" i="1"/>
  <c r="AE3530" i="1" s="1"/>
  <c r="V3530" i="1"/>
  <c r="AI3529" i="1"/>
  <c r="AE3529" i="1" s="1"/>
  <c r="V3529" i="1"/>
  <c r="AK3529" i="1" s="1"/>
  <c r="AI3528" i="1"/>
  <c r="AE3528" i="1" s="1"/>
  <c r="V3528" i="1"/>
  <c r="AF3528" i="1" s="1"/>
  <c r="AI3527" i="1"/>
  <c r="AE3527" i="1" s="1"/>
  <c r="V3527" i="1"/>
  <c r="AI3526" i="1"/>
  <c r="AE3526" i="1" s="1"/>
  <c r="V3526" i="1"/>
  <c r="AJ3526" i="1" s="1"/>
  <c r="AI3525" i="1"/>
  <c r="AE3525" i="1" s="1"/>
  <c r="V3525" i="1"/>
  <c r="W3525" i="1" s="1"/>
  <c r="AI3524" i="1"/>
  <c r="AE3524" i="1" s="1"/>
  <c r="V3524" i="1"/>
  <c r="W3524" i="1" s="1"/>
  <c r="AI3523" i="1"/>
  <c r="AE3523" i="1" s="1"/>
  <c r="V3523" i="1"/>
  <c r="AI3522" i="1"/>
  <c r="AE3522" i="1" s="1"/>
  <c r="V3522" i="1"/>
  <c r="AJ3522" i="1" s="1"/>
  <c r="AI3521" i="1"/>
  <c r="AE3521" i="1" s="1"/>
  <c r="V3521" i="1"/>
  <c r="AK3521" i="1" s="1"/>
  <c r="AK3520" i="1"/>
  <c r="AJ3520" i="1"/>
  <c r="AI3520" i="1"/>
  <c r="AE3520" i="1" s="1"/>
  <c r="W3520" i="1"/>
  <c r="AI3519" i="1"/>
  <c r="AE3519" i="1" s="1"/>
  <c r="V3519" i="1"/>
  <c r="AI3518" i="1"/>
  <c r="AE3518" i="1" s="1"/>
  <c r="V3518" i="1"/>
  <c r="AI3517" i="1"/>
  <c r="AE3517" i="1" s="1"/>
  <c r="V3517" i="1"/>
  <c r="AK3517" i="1" s="1"/>
  <c r="AI3516" i="1"/>
  <c r="AE3516" i="1" s="1"/>
  <c r="V3516" i="1"/>
  <c r="AK3516" i="1" s="1"/>
  <c r="AI3515" i="1"/>
  <c r="AE3515" i="1" s="1"/>
  <c r="V3515" i="1"/>
  <c r="AK3515" i="1" s="1"/>
  <c r="AI3514" i="1"/>
  <c r="AE3514" i="1" s="1"/>
  <c r="V3514" i="1"/>
  <c r="AI3513" i="1"/>
  <c r="AE3513" i="1" s="1"/>
  <c r="V3513" i="1"/>
  <c r="AI3512" i="1"/>
  <c r="AE3512" i="1" s="1"/>
  <c r="V3512" i="1"/>
  <c r="AF3512" i="1" s="1"/>
  <c r="AI3511" i="1"/>
  <c r="AE3511" i="1" s="1"/>
  <c r="V3511" i="1"/>
  <c r="AI3510" i="1"/>
  <c r="AE3510" i="1" s="1"/>
  <c r="V3510" i="1"/>
  <c r="AI3509" i="1"/>
  <c r="AE3509" i="1" s="1"/>
  <c r="V3509" i="1"/>
  <c r="AK3508" i="1"/>
  <c r="AJ3508" i="1"/>
  <c r="AI3508" i="1"/>
  <c r="AE3508" i="1" s="1"/>
  <c r="W3508" i="1"/>
  <c r="AK3507" i="1"/>
  <c r="AJ3507" i="1"/>
  <c r="AI3507" i="1"/>
  <c r="AE3507" i="1" s="1"/>
  <c r="W3507" i="1"/>
  <c r="AK3506" i="1"/>
  <c r="AJ3506" i="1"/>
  <c r="AI3506" i="1"/>
  <c r="AE3506" i="1" s="1"/>
  <c r="W3506" i="1"/>
  <c r="AK3505" i="1"/>
  <c r="AJ3505" i="1"/>
  <c r="AI3505" i="1"/>
  <c r="AE3505" i="1" s="1"/>
  <c r="W3505" i="1"/>
  <c r="AK3504" i="1"/>
  <c r="AJ3504" i="1"/>
  <c r="AI3504" i="1"/>
  <c r="AE3504" i="1" s="1"/>
  <c r="W3504" i="1"/>
  <c r="AK3503" i="1"/>
  <c r="AJ3503" i="1"/>
  <c r="AI3503" i="1"/>
  <c r="AE3503" i="1" s="1"/>
  <c r="W3503" i="1"/>
  <c r="AK3502" i="1"/>
  <c r="AJ3502" i="1"/>
  <c r="AI3502" i="1"/>
  <c r="AE3502" i="1" s="1"/>
  <c r="W3502" i="1"/>
  <c r="AI3501" i="1"/>
  <c r="AE3501" i="1" s="1"/>
  <c r="AF3501" i="1"/>
  <c r="V3501" i="1"/>
  <c r="AK3501" i="1" s="1"/>
  <c r="AK3500" i="1"/>
  <c r="AJ3500" i="1"/>
  <c r="AI3500" i="1"/>
  <c r="AE3500" i="1" s="1"/>
  <c r="AF3500" i="1"/>
  <c r="W3500" i="1"/>
  <c r="AK3499" i="1"/>
  <c r="AJ3499" i="1"/>
  <c r="AI3499" i="1"/>
  <c r="AE3499" i="1" s="1"/>
  <c r="W3499" i="1"/>
  <c r="AK3498" i="1"/>
  <c r="AJ3498" i="1"/>
  <c r="AI3498" i="1"/>
  <c r="AE3498" i="1" s="1"/>
  <c r="W3498" i="1"/>
  <c r="AK3497" i="1"/>
  <c r="AJ3497" i="1"/>
  <c r="AI3497" i="1"/>
  <c r="AE3497" i="1" s="1"/>
  <c r="W3497" i="1"/>
  <c r="AK3496" i="1"/>
  <c r="AJ3496" i="1"/>
  <c r="AI3496" i="1"/>
  <c r="AE3496" i="1" s="1"/>
  <c r="W3496" i="1"/>
  <c r="AK3495" i="1"/>
  <c r="AJ3495" i="1"/>
  <c r="AI3495" i="1"/>
  <c r="AE3495" i="1" s="1"/>
  <c r="W3495" i="1"/>
  <c r="AK3494" i="1"/>
  <c r="AJ3494" i="1"/>
  <c r="AI3494" i="1"/>
  <c r="AE3494" i="1" s="1"/>
  <c r="W3494" i="1"/>
  <c r="AK3493" i="1"/>
  <c r="AJ3493" i="1"/>
  <c r="AI3493" i="1"/>
  <c r="AE3493" i="1" s="1"/>
  <c r="W3493" i="1"/>
  <c r="AK3492" i="1"/>
  <c r="AJ3492" i="1"/>
  <c r="AI3492" i="1"/>
  <c r="AE3492" i="1" s="1"/>
  <c r="W3492" i="1"/>
  <c r="AK3491" i="1"/>
  <c r="AJ3491" i="1"/>
  <c r="AI3491" i="1"/>
  <c r="AE3491" i="1" s="1"/>
  <c r="W3491" i="1"/>
  <c r="AK3490" i="1"/>
  <c r="AJ3490" i="1"/>
  <c r="AI3490" i="1"/>
  <c r="AE3490" i="1" s="1"/>
  <c r="W3490" i="1"/>
  <c r="AK3489" i="1"/>
  <c r="AJ3489" i="1"/>
  <c r="AI3489" i="1"/>
  <c r="AE3489" i="1" s="1"/>
  <c r="W3489" i="1"/>
  <c r="AK3488" i="1"/>
  <c r="AJ3488" i="1"/>
  <c r="AI3488" i="1"/>
  <c r="AE3488" i="1" s="1"/>
  <c r="W3488" i="1"/>
  <c r="AI3487" i="1"/>
  <c r="AE3487" i="1" s="1"/>
  <c r="V3487" i="1"/>
  <c r="AK3487" i="1" s="1"/>
  <c r="AK3486" i="1"/>
  <c r="AJ3486" i="1"/>
  <c r="AI3486" i="1"/>
  <c r="AE3486" i="1" s="1"/>
  <c r="W3486" i="1"/>
  <c r="AK3485" i="1"/>
  <c r="AJ3485" i="1"/>
  <c r="AI3485" i="1"/>
  <c r="AE3485" i="1" s="1"/>
  <c r="W3485" i="1"/>
  <c r="AK3484" i="1"/>
  <c r="AJ3484" i="1"/>
  <c r="AI3484" i="1"/>
  <c r="AE3484" i="1" s="1"/>
  <c r="W3484" i="1"/>
  <c r="AK3483" i="1"/>
  <c r="AJ3483" i="1"/>
  <c r="AI3483" i="1"/>
  <c r="AE3483" i="1" s="1"/>
  <c r="AF3483" i="1"/>
  <c r="W3483" i="1"/>
  <c r="AK3482" i="1"/>
  <c r="AJ3482" i="1"/>
  <c r="AI3482" i="1"/>
  <c r="AE3482" i="1" s="1"/>
  <c r="AF3482" i="1"/>
  <c r="W3482" i="1"/>
  <c r="AK3481" i="1"/>
  <c r="AJ3481" i="1"/>
  <c r="AI3481" i="1"/>
  <c r="AE3481" i="1" s="1"/>
  <c r="W3481" i="1"/>
  <c r="AK3480" i="1"/>
  <c r="AJ3480" i="1"/>
  <c r="AI3480" i="1"/>
  <c r="AE3480" i="1" s="1"/>
  <c r="W3480" i="1"/>
  <c r="AI3479" i="1"/>
  <c r="AE3479" i="1" s="1"/>
  <c r="AI3478" i="1"/>
  <c r="AE3478" i="1" s="1"/>
  <c r="V3478" i="1"/>
  <c r="AI3477" i="1"/>
  <c r="AE3477" i="1" s="1"/>
  <c r="V3477" i="1"/>
  <c r="AK3476" i="1"/>
  <c r="AJ3476" i="1"/>
  <c r="AI3476" i="1"/>
  <c r="AE3476" i="1" s="1"/>
  <c r="W3476" i="1"/>
  <c r="AK3475" i="1"/>
  <c r="AJ3475" i="1"/>
  <c r="AI3475" i="1"/>
  <c r="AE3475" i="1" s="1"/>
  <c r="W3475" i="1"/>
  <c r="AK3474" i="1"/>
  <c r="AJ3474" i="1"/>
  <c r="AI3474" i="1"/>
  <c r="AE3474" i="1" s="1"/>
  <c r="W3474" i="1"/>
  <c r="AK3473" i="1"/>
  <c r="AJ3473" i="1"/>
  <c r="AI3473" i="1"/>
  <c r="AE3473" i="1" s="1"/>
  <c r="W3473" i="1"/>
  <c r="AK3472" i="1"/>
  <c r="AJ3472" i="1"/>
  <c r="AI3472" i="1"/>
  <c r="AE3472" i="1" s="1"/>
  <c r="W3472" i="1"/>
  <c r="AK3471" i="1"/>
  <c r="AJ3471" i="1"/>
  <c r="AI3471" i="1"/>
  <c r="AE3471" i="1" s="1"/>
  <c r="W3471" i="1"/>
  <c r="AK3470" i="1"/>
  <c r="AJ3470" i="1"/>
  <c r="AI3470" i="1"/>
  <c r="AE3470" i="1" s="1"/>
  <c r="W3470" i="1"/>
  <c r="AK3469" i="1"/>
  <c r="AJ3469" i="1"/>
  <c r="AI3469" i="1"/>
  <c r="AE3469" i="1" s="1"/>
  <c r="W3469" i="1"/>
  <c r="AK3468" i="1"/>
  <c r="AJ3468" i="1"/>
  <c r="AI3468" i="1"/>
  <c r="AE3468" i="1" s="1"/>
  <c r="W3468" i="1"/>
  <c r="AK3467" i="1"/>
  <c r="AJ3467" i="1"/>
  <c r="AI3467" i="1"/>
  <c r="AE3467" i="1" s="1"/>
  <c r="W3467" i="1"/>
  <c r="AK3466" i="1"/>
  <c r="AJ3466" i="1"/>
  <c r="AI3466" i="1"/>
  <c r="AE3466" i="1" s="1"/>
  <c r="W3466" i="1"/>
  <c r="AK3465" i="1"/>
  <c r="AJ3465" i="1"/>
  <c r="AI3465" i="1"/>
  <c r="AE3465" i="1" s="1"/>
  <c r="W3465" i="1"/>
  <c r="AK3464" i="1"/>
  <c r="AJ3464" i="1"/>
  <c r="AI3464" i="1"/>
  <c r="AE3464" i="1" s="1"/>
  <c r="W3464" i="1"/>
  <c r="AK3463" i="1"/>
  <c r="AJ3463" i="1"/>
  <c r="AI3463" i="1"/>
  <c r="AE3463" i="1" s="1"/>
  <c r="W3463" i="1"/>
  <c r="AK3462" i="1"/>
  <c r="AJ3462" i="1"/>
  <c r="AI3462" i="1"/>
  <c r="AE3462" i="1" s="1"/>
  <c r="W3462" i="1"/>
  <c r="AK3461" i="1"/>
  <c r="AJ3461" i="1"/>
  <c r="AI3461" i="1"/>
  <c r="AE3461" i="1" s="1"/>
  <c r="W3461" i="1"/>
  <c r="AK3460" i="1"/>
  <c r="AJ3460" i="1"/>
  <c r="AI3460" i="1"/>
  <c r="AE3460" i="1" s="1"/>
  <c r="W3460" i="1"/>
  <c r="AK3459" i="1"/>
  <c r="AJ3459" i="1"/>
  <c r="AI3459" i="1"/>
  <c r="AE3459" i="1" s="1"/>
  <c r="W3459" i="1"/>
  <c r="AK3458" i="1"/>
  <c r="AJ3458" i="1"/>
  <c r="AI3458" i="1"/>
  <c r="AE3458" i="1" s="1"/>
  <c r="W3458" i="1"/>
  <c r="AK3457" i="1"/>
  <c r="AJ3457" i="1"/>
  <c r="AI3457" i="1"/>
  <c r="AE3457" i="1" s="1"/>
  <c r="W3457" i="1"/>
  <c r="AK3456" i="1"/>
  <c r="AJ3456" i="1"/>
  <c r="AI3456" i="1"/>
  <c r="AE3456" i="1" s="1"/>
  <c r="W3456" i="1"/>
  <c r="AK3455" i="1"/>
  <c r="AJ3455" i="1"/>
  <c r="AI3455" i="1"/>
  <c r="AE3455" i="1" s="1"/>
  <c r="W3455" i="1"/>
  <c r="AK3454" i="1"/>
  <c r="AJ3454" i="1"/>
  <c r="AI3454" i="1"/>
  <c r="AE3454" i="1" s="1"/>
  <c r="W3454" i="1"/>
  <c r="AK3453" i="1"/>
  <c r="AJ3453" i="1"/>
  <c r="AI3453" i="1"/>
  <c r="AE3453" i="1" s="1"/>
  <c r="W3453" i="1"/>
  <c r="AK3452" i="1"/>
  <c r="AJ3452" i="1"/>
  <c r="AI3452" i="1"/>
  <c r="AE3452" i="1" s="1"/>
  <c r="W3452" i="1"/>
  <c r="AK3451" i="1"/>
  <c r="AJ3451" i="1"/>
  <c r="AI3451" i="1"/>
  <c r="AE3451" i="1" s="1"/>
  <c r="W3451" i="1"/>
  <c r="AK3450" i="1"/>
  <c r="AJ3450" i="1"/>
  <c r="AI3450" i="1"/>
  <c r="AE3450" i="1" s="1"/>
  <c r="W3450" i="1"/>
  <c r="AK3449" i="1"/>
  <c r="AJ3449" i="1"/>
  <c r="AI3449" i="1"/>
  <c r="AE3449" i="1" s="1"/>
  <c r="W3449" i="1"/>
  <c r="AK3448" i="1"/>
  <c r="AJ3448" i="1"/>
  <c r="AI3448" i="1"/>
  <c r="AE3448" i="1" s="1"/>
  <c r="W3448" i="1"/>
  <c r="AK3447" i="1"/>
  <c r="AJ3447" i="1"/>
  <c r="AI3447" i="1"/>
  <c r="AE3447" i="1" s="1"/>
  <c r="W3447" i="1"/>
  <c r="AK3446" i="1"/>
  <c r="AJ3446" i="1"/>
  <c r="AI3446" i="1"/>
  <c r="AE3446" i="1" s="1"/>
  <c r="W3446" i="1"/>
  <c r="AK3445" i="1"/>
  <c r="AJ3445" i="1"/>
  <c r="AI3445" i="1"/>
  <c r="AE3445" i="1" s="1"/>
  <c r="W3445" i="1"/>
  <c r="AK3444" i="1"/>
  <c r="AJ3444" i="1"/>
  <c r="AI3444" i="1"/>
  <c r="AE3444" i="1" s="1"/>
  <c r="W3444" i="1"/>
  <c r="AI3443" i="1"/>
  <c r="AE3443" i="1" s="1"/>
  <c r="V3443" i="1"/>
  <c r="AK3443" i="1" s="1"/>
  <c r="AI3442" i="1"/>
  <c r="AE3442" i="1" s="1"/>
  <c r="V3442" i="1"/>
  <c r="AI3441" i="1"/>
  <c r="AE3441" i="1" s="1"/>
  <c r="V3441" i="1"/>
  <c r="W3441" i="1" s="1"/>
  <c r="AI3440" i="1"/>
  <c r="AE3440" i="1" s="1"/>
  <c r="V3440" i="1"/>
  <c r="AI3439" i="1"/>
  <c r="AE3439" i="1" s="1"/>
  <c r="V3439" i="1"/>
  <c r="AJ3439" i="1" s="1"/>
  <c r="AK3438" i="1"/>
  <c r="AJ3438" i="1"/>
  <c r="AI3438" i="1"/>
  <c r="AE3438" i="1" s="1"/>
  <c r="W3438" i="1"/>
  <c r="AI3437" i="1"/>
  <c r="AE3437" i="1" s="1"/>
  <c r="V3437" i="1"/>
  <c r="AI3436" i="1"/>
  <c r="AE3436" i="1" s="1"/>
  <c r="V3436" i="1"/>
  <c r="AI3435" i="1"/>
  <c r="AE3435" i="1" s="1"/>
  <c r="V3435" i="1"/>
  <c r="AI3434" i="1"/>
  <c r="AE3434" i="1" s="1"/>
  <c r="V3434" i="1"/>
  <c r="AI3433" i="1"/>
  <c r="AE3433" i="1" s="1"/>
  <c r="V3433" i="1"/>
  <c r="AK3432" i="1"/>
  <c r="AJ3432" i="1"/>
  <c r="AI3432" i="1"/>
  <c r="AE3432" i="1" s="1"/>
  <c r="W3432" i="1"/>
  <c r="AK3431" i="1"/>
  <c r="AJ3431" i="1"/>
  <c r="AI3431" i="1"/>
  <c r="AE3431" i="1" s="1"/>
  <c r="W3431" i="1"/>
  <c r="AK3430" i="1"/>
  <c r="AJ3430" i="1"/>
  <c r="AI3430" i="1"/>
  <c r="AE3430" i="1" s="1"/>
  <c r="W3430" i="1"/>
  <c r="AK3429" i="1"/>
  <c r="AJ3429" i="1"/>
  <c r="AI3429" i="1"/>
  <c r="AE3429" i="1" s="1"/>
  <c r="W3429" i="1"/>
  <c r="AK3428" i="1"/>
  <c r="AJ3428" i="1"/>
  <c r="AI3428" i="1"/>
  <c r="AE3428" i="1" s="1"/>
  <c r="W3428" i="1"/>
  <c r="AI3427" i="1"/>
  <c r="AE3427" i="1" s="1"/>
  <c r="V3427" i="1"/>
  <c r="W3427" i="1" s="1"/>
  <c r="AI3426" i="1"/>
  <c r="AE3426" i="1" s="1"/>
  <c r="V3426" i="1"/>
  <c r="AI3425" i="1"/>
  <c r="AE3425" i="1" s="1"/>
  <c r="V3425" i="1"/>
  <c r="W3425" i="1" s="1"/>
  <c r="AI3424" i="1"/>
  <c r="AE3424" i="1" s="1"/>
  <c r="V3424" i="1"/>
  <c r="AK3424" i="1" s="1"/>
  <c r="AI3423" i="1"/>
  <c r="AE3423" i="1" s="1"/>
  <c r="V3423" i="1"/>
  <c r="AK3423" i="1" s="1"/>
  <c r="AI3422" i="1"/>
  <c r="AE3422" i="1" s="1"/>
  <c r="V3422" i="1"/>
  <c r="AI3421" i="1"/>
  <c r="AE3421" i="1" s="1"/>
  <c r="V3421" i="1"/>
  <c r="AI3420" i="1"/>
  <c r="AE3420" i="1" s="1"/>
  <c r="V3420" i="1"/>
  <c r="AI3419" i="1"/>
  <c r="AE3419" i="1" s="1"/>
  <c r="V3419" i="1"/>
  <c r="AI3418" i="1"/>
  <c r="AE3418" i="1" s="1"/>
  <c r="V3418" i="1"/>
  <c r="AI3417" i="1"/>
  <c r="AE3417" i="1" s="1"/>
  <c r="V3417" i="1"/>
  <c r="AI3416" i="1"/>
  <c r="AE3416" i="1" s="1"/>
  <c r="V3416" i="1"/>
  <c r="AI3415" i="1"/>
  <c r="AE3415" i="1" s="1"/>
  <c r="V3415" i="1"/>
  <c r="W3415" i="1" s="1"/>
  <c r="AK3414" i="1"/>
  <c r="AJ3414" i="1"/>
  <c r="AI3414" i="1"/>
  <c r="AE3414" i="1" s="1"/>
  <c r="W3414" i="1"/>
  <c r="AK3413" i="1"/>
  <c r="AJ3413" i="1"/>
  <c r="AI3413" i="1"/>
  <c r="AE3413" i="1" s="1"/>
  <c r="W3413" i="1"/>
  <c r="AI3412" i="1"/>
  <c r="AE3412" i="1" s="1"/>
  <c r="V3412" i="1"/>
  <c r="AI3411" i="1"/>
  <c r="AE3411" i="1" s="1"/>
  <c r="V3411" i="1"/>
  <c r="AJ3411" i="1" s="1"/>
  <c r="AI3410" i="1"/>
  <c r="AE3410" i="1" s="1"/>
  <c r="V3410" i="1"/>
  <c r="AK3410" i="1" s="1"/>
  <c r="AI3409" i="1"/>
  <c r="AE3409" i="1" s="1"/>
  <c r="V3409" i="1"/>
  <c r="AI3408" i="1"/>
  <c r="AE3408" i="1" s="1"/>
  <c r="V3408" i="1"/>
  <c r="AI3407" i="1"/>
  <c r="AE3407" i="1" s="1"/>
  <c r="V3407" i="1"/>
  <c r="AI3406" i="1"/>
  <c r="AE3406" i="1" s="1"/>
  <c r="V3406" i="1"/>
  <c r="AJ3406" i="1" s="1"/>
  <c r="AK3405" i="1"/>
  <c r="AJ3405" i="1"/>
  <c r="AI3405" i="1"/>
  <c r="AE3405" i="1" s="1"/>
  <c r="W3405" i="1"/>
  <c r="AI3404" i="1"/>
  <c r="AE3404" i="1" s="1"/>
  <c r="V3404" i="1"/>
  <c r="AI3403" i="1"/>
  <c r="AE3403" i="1" s="1"/>
  <c r="V3403" i="1"/>
  <c r="W3403" i="1" s="1"/>
  <c r="AI3402" i="1"/>
  <c r="AE3402" i="1" s="1"/>
  <c r="V3402" i="1"/>
  <c r="AI3401" i="1"/>
  <c r="AE3401" i="1" s="1"/>
  <c r="V3401" i="1"/>
  <c r="AI3400" i="1"/>
  <c r="AE3400" i="1" s="1"/>
  <c r="V3400" i="1"/>
  <c r="AI3399" i="1"/>
  <c r="AE3399" i="1" s="1"/>
  <c r="V3399" i="1"/>
  <c r="AK3399" i="1" s="1"/>
  <c r="AK3398" i="1"/>
  <c r="AJ3398" i="1"/>
  <c r="AI3398" i="1"/>
  <c r="AE3398" i="1" s="1"/>
  <c r="W3398" i="1"/>
  <c r="AK3397" i="1"/>
  <c r="AJ3397" i="1"/>
  <c r="AI3397" i="1"/>
  <c r="AE3397" i="1" s="1"/>
  <c r="W3397" i="1"/>
  <c r="AK3396" i="1"/>
  <c r="AJ3396" i="1"/>
  <c r="AI3396" i="1"/>
  <c r="AE3396" i="1" s="1"/>
  <c r="W3396" i="1"/>
  <c r="AK3395" i="1"/>
  <c r="AJ3395" i="1"/>
  <c r="AI3395" i="1"/>
  <c r="AE3395" i="1" s="1"/>
  <c r="W3395" i="1"/>
  <c r="AK3394" i="1"/>
  <c r="AJ3394" i="1"/>
  <c r="AI3394" i="1"/>
  <c r="AE3394" i="1" s="1"/>
  <c r="W3394" i="1"/>
  <c r="AK3393" i="1"/>
  <c r="AJ3393" i="1"/>
  <c r="AI3393" i="1"/>
  <c r="AE3393" i="1" s="1"/>
  <c r="W3393" i="1"/>
  <c r="AK3392" i="1"/>
  <c r="AJ3392" i="1"/>
  <c r="AI3392" i="1"/>
  <c r="AE3392" i="1" s="1"/>
  <c r="W3392" i="1"/>
  <c r="AK3391" i="1"/>
  <c r="AJ3391" i="1"/>
  <c r="AI3391" i="1"/>
  <c r="AE3391" i="1" s="1"/>
  <c r="W3391" i="1"/>
  <c r="AK3390" i="1"/>
  <c r="AJ3390" i="1"/>
  <c r="AI3390" i="1"/>
  <c r="AE3390" i="1" s="1"/>
  <c r="W3390" i="1"/>
  <c r="AK3389" i="1"/>
  <c r="AJ3389" i="1"/>
  <c r="AI3389" i="1"/>
  <c r="AE3389" i="1" s="1"/>
  <c r="W3389" i="1"/>
  <c r="AK3388" i="1"/>
  <c r="AJ3388" i="1"/>
  <c r="AI3388" i="1"/>
  <c r="AE3388" i="1" s="1"/>
  <c r="W3388" i="1"/>
  <c r="AK3387" i="1"/>
  <c r="AJ3387" i="1"/>
  <c r="AI3387" i="1"/>
  <c r="AE3387" i="1" s="1"/>
  <c r="W3387" i="1"/>
  <c r="AK3386" i="1"/>
  <c r="AJ3386" i="1"/>
  <c r="AI3386" i="1"/>
  <c r="AE3386" i="1" s="1"/>
  <c r="W3386" i="1"/>
  <c r="AK3385" i="1"/>
  <c r="AJ3385" i="1"/>
  <c r="AI3385" i="1"/>
  <c r="AE3385" i="1" s="1"/>
  <c r="W3385" i="1"/>
  <c r="AK3384" i="1"/>
  <c r="AJ3384" i="1"/>
  <c r="AI3384" i="1"/>
  <c r="AE3384" i="1" s="1"/>
  <c r="W3384" i="1"/>
  <c r="AI3383" i="1"/>
  <c r="AE3383" i="1" s="1"/>
  <c r="V3383" i="1"/>
  <c r="AK3382" i="1"/>
  <c r="AJ3382" i="1"/>
  <c r="AI3382" i="1"/>
  <c r="AE3382" i="1" s="1"/>
  <c r="W3382" i="1"/>
  <c r="AK3381" i="1"/>
  <c r="AJ3381" i="1"/>
  <c r="AI3381" i="1"/>
  <c r="AE3381" i="1" s="1"/>
  <c r="W3381" i="1"/>
  <c r="AK3380" i="1"/>
  <c r="AJ3380" i="1"/>
  <c r="AI3380" i="1"/>
  <c r="AE3380" i="1" s="1"/>
  <c r="W3380" i="1"/>
  <c r="AK3379" i="1"/>
  <c r="AJ3379" i="1"/>
  <c r="AI3379" i="1"/>
  <c r="AE3379" i="1" s="1"/>
  <c r="W3379" i="1"/>
  <c r="AK3378" i="1"/>
  <c r="AJ3378" i="1"/>
  <c r="AI3378" i="1"/>
  <c r="AE3378" i="1" s="1"/>
  <c r="W3378" i="1"/>
  <c r="AK3377" i="1"/>
  <c r="AJ3377" i="1"/>
  <c r="AI3377" i="1"/>
  <c r="AE3377" i="1" s="1"/>
  <c r="W3377" i="1"/>
  <c r="AK3376" i="1"/>
  <c r="AJ3376" i="1"/>
  <c r="AI3376" i="1"/>
  <c r="AE3376" i="1" s="1"/>
  <c r="W3376" i="1"/>
  <c r="AK3375" i="1"/>
  <c r="AJ3375" i="1"/>
  <c r="AI3375" i="1"/>
  <c r="AE3375" i="1" s="1"/>
  <c r="W3375" i="1"/>
  <c r="AI3374" i="1"/>
  <c r="AE3374" i="1" s="1"/>
  <c r="V3374" i="1"/>
  <c r="AI3373" i="1"/>
  <c r="AE3373" i="1" s="1"/>
  <c r="V3373" i="1"/>
  <c r="W3373" i="1" s="1"/>
  <c r="AI3372" i="1"/>
  <c r="AE3372" i="1" s="1"/>
  <c r="V3372" i="1"/>
  <c r="W3372" i="1" s="1"/>
  <c r="AI3371" i="1"/>
  <c r="AE3371" i="1" s="1"/>
  <c r="V3371" i="1"/>
  <c r="AJ3371" i="1" s="1"/>
  <c r="AI3370" i="1"/>
  <c r="AE3370" i="1" s="1"/>
  <c r="V3370" i="1"/>
  <c r="AJ3370" i="1" s="1"/>
  <c r="AI3369" i="1"/>
  <c r="AE3369" i="1" s="1"/>
  <c r="V3369" i="1"/>
  <c r="AJ3369" i="1" s="1"/>
  <c r="AI3368" i="1"/>
  <c r="AE3368" i="1" s="1"/>
  <c r="V3368" i="1"/>
  <c r="AI3367" i="1"/>
  <c r="AE3367" i="1" s="1"/>
  <c r="V3367" i="1"/>
  <c r="W3367" i="1" s="1"/>
  <c r="AI3366" i="1"/>
  <c r="AE3366" i="1" s="1"/>
  <c r="V3366" i="1"/>
  <c r="AJ3366" i="1" s="1"/>
  <c r="AI3365" i="1"/>
  <c r="AE3365" i="1" s="1"/>
  <c r="V3365" i="1"/>
  <c r="AI3364" i="1"/>
  <c r="AE3364" i="1" s="1"/>
  <c r="V3364" i="1"/>
  <c r="AJ3364" i="1" s="1"/>
  <c r="AI3363" i="1"/>
  <c r="AE3363" i="1" s="1"/>
  <c r="V3363" i="1"/>
  <c r="AI3362" i="1"/>
  <c r="AE3362" i="1" s="1"/>
  <c r="V3362" i="1"/>
  <c r="AI3361" i="1"/>
  <c r="AE3361" i="1" s="1"/>
  <c r="V3361" i="1"/>
  <c r="AK3361" i="1" s="1"/>
  <c r="AI3360" i="1"/>
  <c r="AE3360" i="1" s="1"/>
  <c r="V3360" i="1"/>
  <c r="AJ3360" i="1" s="1"/>
  <c r="AI3359" i="1"/>
  <c r="AE3359" i="1" s="1"/>
  <c r="V3359" i="1"/>
  <c r="AK3359" i="1" s="1"/>
  <c r="AI3358" i="1"/>
  <c r="AE3358" i="1" s="1"/>
  <c r="V3358" i="1"/>
  <c r="AK3357" i="1"/>
  <c r="AJ3357" i="1"/>
  <c r="AI3357" i="1"/>
  <c r="AE3357" i="1" s="1"/>
  <c r="W3357" i="1"/>
  <c r="AK3356" i="1"/>
  <c r="AJ3356" i="1"/>
  <c r="AI3356" i="1"/>
  <c r="AE3356" i="1" s="1"/>
  <c r="W3356" i="1"/>
  <c r="AK3355" i="1"/>
  <c r="AJ3355" i="1"/>
  <c r="AI3355" i="1"/>
  <c r="AE3355" i="1" s="1"/>
  <c r="W3355" i="1"/>
  <c r="AK3354" i="1"/>
  <c r="AJ3354" i="1"/>
  <c r="AI3354" i="1"/>
  <c r="AE3354" i="1" s="1"/>
  <c r="W3354" i="1"/>
  <c r="AK3353" i="1"/>
  <c r="AJ3353" i="1"/>
  <c r="AI3353" i="1"/>
  <c r="AE3353" i="1" s="1"/>
  <c r="W3353" i="1"/>
  <c r="AK3352" i="1"/>
  <c r="AJ3352" i="1"/>
  <c r="AI3352" i="1"/>
  <c r="AE3352" i="1" s="1"/>
  <c r="W3352" i="1"/>
  <c r="AK3351" i="1"/>
  <c r="AJ3351" i="1"/>
  <c r="AI3351" i="1"/>
  <c r="AE3351" i="1" s="1"/>
  <c r="W3351" i="1"/>
  <c r="AK3350" i="1"/>
  <c r="AJ3350" i="1"/>
  <c r="AI3350" i="1"/>
  <c r="AE3350" i="1" s="1"/>
  <c r="W3350" i="1"/>
  <c r="AK3349" i="1"/>
  <c r="AJ3349" i="1"/>
  <c r="AI3349" i="1"/>
  <c r="AE3349" i="1" s="1"/>
  <c r="W3349" i="1"/>
  <c r="AK3348" i="1"/>
  <c r="AJ3348" i="1"/>
  <c r="AI3348" i="1"/>
  <c r="AE3348" i="1" s="1"/>
  <c r="W3348" i="1"/>
  <c r="AK3347" i="1"/>
  <c r="AJ3347" i="1"/>
  <c r="AI3347" i="1"/>
  <c r="AE3347" i="1" s="1"/>
  <c r="W3347" i="1"/>
  <c r="AK3346" i="1"/>
  <c r="AJ3346" i="1"/>
  <c r="AI3346" i="1"/>
  <c r="AE3346" i="1" s="1"/>
  <c r="W3346" i="1"/>
  <c r="AK3345" i="1"/>
  <c r="AJ3345" i="1"/>
  <c r="AI3345" i="1"/>
  <c r="AE3345" i="1" s="1"/>
  <c r="W3345" i="1"/>
  <c r="AK3344" i="1"/>
  <c r="AJ3344" i="1"/>
  <c r="AI3344" i="1"/>
  <c r="AE3344" i="1" s="1"/>
  <c r="W3344" i="1"/>
  <c r="AK3343" i="1"/>
  <c r="AJ3343" i="1"/>
  <c r="AI3343" i="1"/>
  <c r="AE3343" i="1" s="1"/>
  <c r="AK3342" i="1"/>
  <c r="AJ3342" i="1"/>
  <c r="AI3342" i="1"/>
  <c r="AE3342" i="1" s="1"/>
  <c r="W3342" i="1"/>
  <c r="AK3341" i="1"/>
  <c r="AJ3341" i="1"/>
  <c r="AI3341" i="1"/>
  <c r="AE3341" i="1" s="1"/>
  <c r="W3341" i="1"/>
  <c r="AK3340" i="1"/>
  <c r="AJ3340" i="1"/>
  <c r="AI3340" i="1"/>
  <c r="AE3340" i="1" s="1"/>
  <c r="AK3339" i="1"/>
  <c r="AJ3339" i="1"/>
  <c r="AI3339" i="1"/>
  <c r="AE3339" i="1" s="1"/>
  <c r="AK3338" i="1"/>
  <c r="AJ3338" i="1"/>
  <c r="AI3338" i="1"/>
  <c r="AE3338" i="1" s="1"/>
  <c r="W3338" i="1"/>
  <c r="AJ3337" i="1"/>
  <c r="AI3337" i="1"/>
  <c r="AE3337" i="1" s="1"/>
  <c r="AK3336" i="1"/>
  <c r="AJ3336" i="1"/>
  <c r="AI3336" i="1"/>
  <c r="AE3336" i="1" s="1"/>
  <c r="W3336" i="1"/>
  <c r="AK3335" i="1"/>
  <c r="AJ3335" i="1"/>
  <c r="AI3335" i="1"/>
  <c r="AE3335" i="1" s="1"/>
  <c r="AK3334" i="1"/>
  <c r="AJ3334" i="1"/>
  <c r="AI3334" i="1"/>
  <c r="AE3334" i="1" s="1"/>
  <c r="W3334" i="1"/>
  <c r="AK3333" i="1"/>
  <c r="AJ3333" i="1"/>
  <c r="AI3333" i="1"/>
  <c r="AE3333" i="1" s="1"/>
  <c r="W3333" i="1"/>
  <c r="AK3332" i="1"/>
  <c r="AJ3332" i="1"/>
  <c r="AI3332" i="1"/>
  <c r="AE3332" i="1" s="1"/>
  <c r="W3332" i="1"/>
  <c r="AK3331" i="1"/>
  <c r="AJ3331" i="1"/>
  <c r="AI3331" i="1"/>
  <c r="AE3331" i="1" s="1"/>
  <c r="W3331" i="1"/>
  <c r="AK3330" i="1"/>
  <c r="AJ3330" i="1"/>
  <c r="AI3330" i="1"/>
  <c r="AE3330" i="1" s="1"/>
  <c r="W3330" i="1"/>
  <c r="AJ3329" i="1"/>
  <c r="AI3329" i="1"/>
  <c r="AE3329" i="1" s="1"/>
  <c r="AK3328" i="1"/>
  <c r="AJ3328" i="1"/>
  <c r="AI3328" i="1"/>
  <c r="AE3328" i="1" s="1"/>
  <c r="W3328" i="1"/>
  <c r="AK3327" i="1"/>
  <c r="AJ3327" i="1"/>
  <c r="AI3327" i="1"/>
  <c r="AE3327" i="1" s="1"/>
  <c r="AK3326" i="1"/>
  <c r="AJ3326" i="1"/>
  <c r="AI3326" i="1"/>
  <c r="AE3326" i="1" s="1"/>
  <c r="W3326" i="1"/>
  <c r="AK3325" i="1"/>
  <c r="AJ3325" i="1"/>
  <c r="AI3325" i="1"/>
  <c r="AE3325" i="1" s="1"/>
  <c r="AK3324" i="1"/>
  <c r="AJ3324" i="1"/>
  <c r="AI3324" i="1"/>
  <c r="AE3324" i="1" s="1"/>
  <c r="W3324" i="1"/>
  <c r="AK3323" i="1"/>
  <c r="AJ3323" i="1"/>
  <c r="AI3323" i="1"/>
  <c r="AE3323" i="1" s="1"/>
  <c r="W3323" i="1"/>
  <c r="AK3322" i="1"/>
  <c r="AJ3322" i="1"/>
  <c r="AI3322" i="1"/>
  <c r="AE3322" i="1" s="1"/>
  <c r="W3322" i="1"/>
  <c r="AK3321" i="1"/>
  <c r="AJ3321" i="1"/>
  <c r="AI3321" i="1"/>
  <c r="AE3321" i="1" s="1"/>
  <c r="W3321" i="1"/>
  <c r="AK3320" i="1"/>
  <c r="AJ3320" i="1"/>
  <c r="AI3320" i="1"/>
  <c r="AE3320" i="1" s="1"/>
  <c r="W3320" i="1"/>
  <c r="AK3319" i="1"/>
  <c r="AJ3319" i="1"/>
  <c r="AI3319" i="1"/>
  <c r="AE3319" i="1" s="1"/>
  <c r="W3319" i="1"/>
  <c r="AK3318" i="1"/>
  <c r="AJ3318" i="1"/>
  <c r="AI3318" i="1"/>
  <c r="AE3318" i="1" s="1"/>
  <c r="W3318" i="1"/>
  <c r="AK3317" i="1"/>
  <c r="AJ3317" i="1"/>
  <c r="AI3317" i="1"/>
  <c r="AE3317" i="1" s="1"/>
  <c r="W3317" i="1"/>
  <c r="AK3316" i="1"/>
  <c r="AJ3316" i="1"/>
  <c r="AI3316" i="1"/>
  <c r="AE3316" i="1" s="1"/>
  <c r="W3316" i="1"/>
  <c r="AK3315" i="1"/>
  <c r="AJ3315" i="1"/>
  <c r="AI3315" i="1"/>
  <c r="AE3315" i="1" s="1"/>
  <c r="W3315" i="1"/>
  <c r="AK3314" i="1"/>
  <c r="AJ3314" i="1"/>
  <c r="AI3314" i="1"/>
  <c r="AE3314" i="1" s="1"/>
  <c r="W3314" i="1"/>
  <c r="AK3313" i="1"/>
  <c r="AJ3313" i="1"/>
  <c r="AI3313" i="1"/>
  <c r="AE3313" i="1" s="1"/>
  <c r="W3313" i="1"/>
  <c r="AK3312" i="1"/>
  <c r="AJ3312" i="1"/>
  <c r="AI3312" i="1"/>
  <c r="AE3312" i="1" s="1"/>
  <c r="W3312" i="1"/>
  <c r="AK3311" i="1"/>
  <c r="AJ3311" i="1"/>
  <c r="AI3311" i="1"/>
  <c r="AE3311" i="1" s="1"/>
  <c r="W3311" i="1"/>
  <c r="AK3310" i="1"/>
  <c r="AJ3310" i="1"/>
  <c r="AI3310" i="1"/>
  <c r="AE3310" i="1" s="1"/>
  <c r="W3310" i="1"/>
  <c r="AK3309" i="1"/>
  <c r="AJ3309" i="1"/>
  <c r="AI3309" i="1"/>
  <c r="AE3309" i="1" s="1"/>
  <c r="W3309" i="1"/>
  <c r="AK3308" i="1"/>
  <c r="AJ3308" i="1"/>
  <c r="AI3308" i="1"/>
  <c r="AE3308" i="1" s="1"/>
  <c r="W3308" i="1"/>
  <c r="AK3307" i="1"/>
  <c r="AJ3307" i="1"/>
  <c r="AI3307" i="1"/>
  <c r="AE3307" i="1" s="1"/>
  <c r="AF3307" i="1"/>
  <c r="W3307" i="1"/>
  <c r="AK3306" i="1"/>
  <c r="AJ3306" i="1"/>
  <c r="AI3306" i="1"/>
  <c r="AE3306" i="1" s="1"/>
  <c r="W3306" i="1"/>
  <c r="AI3305" i="1"/>
  <c r="AE3305" i="1" s="1"/>
  <c r="AF3305" i="1"/>
  <c r="V3305" i="1"/>
  <c r="AK3305" i="1" s="1"/>
  <c r="AI3304" i="1"/>
  <c r="AE3304" i="1" s="1"/>
  <c r="V3304" i="1"/>
  <c r="AJ3304" i="1" s="1"/>
  <c r="AI3303" i="1"/>
  <c r="AE3303" i="1" s="1"/>
  <c r="V3303" i="1"/>
  <c r="W3303" i="1" s="1"/>
  <c r="AI3302" i="1"/>
  <c r="AE3302" i="1" s="1"/>
  <c r="V3302" i="1"/>
  <c r="AK3301" i="1"/>
  <c r="AJ3301" i="1"/>
  <c r="AI3301" i="1"/>
  <c r="AE3301" i="1" s="1"/>
  <c r="W3301" i="1"/>
  <c r="AK3300" i="1"/>
  <c r="AJ3300" i="1"/>
  <c r="AI3300" i="1"/>
  <c r="AE3300" i="1" s="1"/>
  <c r="W3300" i="1"/>
  <c r="AK3299" i="1"/>
  <c r="AJ3299" i="1"/>
  <c r="AI3299" i="1"/>
  <c r="AE3299" i="1" s="1"/>
  <c r="W3299" i="1"/>
  <c r="AK3298" i="1"/>
  <c r="AJ3298" i="1"/>
  <c r="AI3298" i="1"/>
  <c r="AE3298" i="1" s="1"/>
  <c r="W3298" i="1"/>
  <c r="AK3297" i="1"/>
  <c r="AJ3297" i="1"/>
  <c r="AI3297" i="1"/>
  <c r="AE3297" i="1" s="1"/>
  <c r="W3297" i="1"/>
  <c r="AK3296" i="1"/>
  <c r="AJ3296" i="1"/>
  <c r="AI3296" i="1"/>
  <c r="AE3296" i="1" s="1"/>
  <c r="W3296" i="1"/>
  <c r="AK3295" i="1"/>
  <c r="AJ3295" i="1"/>
  <c r="AI3295" i="1"/>
  <c r="AE3295" i="1" s="1"/>
  <c r="W3295" i="1"/>
  <c r="AK3294" i="1"/>
  <c r="AJ3294" i="1"/>
  <c r="AI3294" i="1"/>
  <c r="AE3294" i="1" s="1"/>
  <c r="W3294" i="1"/>
  <c r="AK3293" i="1"/>
  <c r="AJ3293" i="1"/>
  <c r="AI3293" i="1"/>
  <c r="AE3293" i="1" s="1"/>
  <c r="W3293" i="1"/>
  <c r="AK3292" i="1"/>
  <c r="AJ3292" i="1"/>
  <c r="AI3292" i="1"/>
  <c r="AE3292" i="1" s="1"/>
  <c r="W3292" i="1"/>
  <c r="AK3291" i="1"/>
  <c r="AJ3291" i="1"/>
  <c r="AI3291" i="1"/>
  <c r="AE3291" i="1" s="1"/>
  <c r="W3291" i="1"/>
  <c r="AK3290" i="1"/>
  <c r="AJ3290" i="1"/>
  <c r="AI3290" i="1"/>
  <c r="AE3290" i="1" s="1"/>
  <c r="W3290" i="1"/>
  <c r="AK3289" i="1"/>
  <c r="AJ3289" i="1"/>
  <c r="AI3289" i="1"/>
  <c r="AE3289" i="1" s="1"/>
  <c r="W3289" i="1"/>
  <c r="AK3288" i="1"/>
  <c r="AJ3288" i="1"/>
  <c r="AI3288" i="1"/>
  <c r="AE3288" i="1" s="1"/>
  <c r="W3288" i="1"/>
  <c r="AK3287" i="1"/>
  <c r="AJ3287" i="1"/>
  <c r="AI3287" i="1"/>
  <c r="AE3287" i="1" s="1"/>
  <c r="W3287" i="1"/>
  <c r="AK3286" i="1"/>
  <c r="AJ3286" i="1"/>
  <c r="AI3286" i="1"/>
  <c r="AE3286" i="1" s="1"/>
  <c r="W3286" i="1"/>
  <c r="AK3285" i="1"/>
  <c r="AJ3285" i="1"/>
  <c r="AI3285" i="1"/>
  <c r="AE3285" i="1" s="1"/>
  <c r="W3285" i="1"/>
  <c r="AK3284" i="1"/>
  <c r="AJ3284" i="1"/>
  <c r="AI3284" i="1"/>
  <c r="AE3284" i="1" s="1"/>
  <c r="W3284" i="1"/>
  <c r="AK3283" i="1"/>
  <c r="AJ3283" i="1"/>
  <c r="AI3283" i="1"/>
  <c r="AE3283" i="1" s="1"/>
  <c r="W3283" i="1"/>
  <c r="AI3282" i="1"/>
  <c r="AE3282" i="1" s="1"/>
  <c r="V3282" i="1"/>
  <c r="AK3281" i="1"/>
  <c r="AJ3281" i="1"/>
  <c r="AI3281" i="1"/>
  <c r="AE3281" i="1" s="1"/>
  <c r="W3281" i="1"/>
  <c r="AK3280" i="1"/>
  <c r="AJ3280" i="1"/>
  <c r="AI3280" i="1"/>
  <c r="AE3280" i="1" s="1"/>
  <c r="W3280" i="1"/>
  <c r="AK3279" i="1"/>
  <c r="AJ3279" i="1"/>
  <c r="AI3279" i="1"/>
  <c r="AE3279" i="1" s="1"/>
  <c r="W3279" i="1"/>
  <c r="AK3278" i="1"/>
  <c r="AJ3278" i="1"/>
  <c r="AI3278" i="1"/>
  <c r="AE3278" i="1" s="1"/>
  <c r="W3278" i="1"/>
  <c r="AK3277" i="1"/>
  <c r="AJ3277" i="1"/>
  <c r="AI3277" i="1"/>
  <c r="AE3277" i="1" s="1"/>
  <c r="W3277" i="1"/>
  <c r="AK3276" i="1"/>
  <c r="AJ3276" i="1"/>
  <c r="AI3276" i="1"/>
  <c r="AE3276" i="1" s="1"/>
  <c r="W3276" i="1"/>
  <c r="AK3275" i="1"/>
  <c r="AJ3275" i="1"/>
  <c r="AI3275" i="1"/>
  <c r="AE3275" i="1" s="1"/>
  <c r="W3275" i="1"/>
  <c r="AK3274" i="1"/>
  <c r="AJ3274" i="1"/>
  <c r="AI3274" i="1"/>
  <c r="AE3274" i="1" s="1"/>
  <c r="W3274" i="1"/>
  <c r="AK3273" i="1"/>
  <c r="AJ3273" i="1"/>
  <c r="AI3273" i="1"/>
  <c r="AE3273" i="1" s="1"/>
  <c r="W3273" i="1"/>
  <c r="AK3272" i="1"/>
  <c r="AJ3272" i="1"/>
  <c r="AI3272" i="1"/>
  <c r="AE3272" i="1" s="1"/>
  <c r="W3272" i="1"/>
  <c r="AK3271" i="1"/>
  <c r="AJ3271" i="1"/>
  <c r="AI3271" i="1"/>
  <c r="AE3271" i="1" s="1"/>
  <c r="W3271" i="1"/>
  <c r="AK3270" i="1"/>
  <c r="AJ3270" i="1"/>
  <c r="AI3270" i="1"/>
  <c r="AE3270" i="1" s="1"/>
  <c r="W3270" i="1"/>
  <c r="AK3269" i="1"/>
  <c r="AJ3269" i="1"/>
  <c r="AI3269" i="1"/>
  <c r="AE3269" i="1" s="1"/>
  <c r="W3269" i="1"/>
  <c r="AK3268" i="1"/>
  <c r="AJ3268" i="1"/>
  <c r="AI3268" i="1"/>
  <c r="AE3268" i="1" s="1"/>
  <c r="W3268" i="1"/>
  <c r="AI3267" i="1"/>
  <c r="AE3267" i="1" s="1"/>
  <c r="V3267" i="1"/>
  <c r="AK3267" i="1" s="1"/>
  <c r="AI3266" i="1"/>
  <c r="AE3266" i="1" s="1"/>
  <c r="V3266" i="1"/>
  <c r="W3266" i="1" s="1"/>
  <c r="AI3265" i="1"/>
  <c r="AE3265" i="1" s="1"/>
  <c r="V3265" i="1"/>
  <c r="AI3264" i="1"/>
  <c r="AE3264" i="1" s="1"/>
  <c r="V3264" i="1"/>
  <c r="AI3263" i="1"/>
  <c r="AE3263" i="1" s="1"/>
  <c r="V3263" i="1"/>
  <c r="AK3263" i="1" s="1"/>
  <c r="AI3262" i="1"/>
  <c r="AE3262" i="1" s="1"/>
  <c r="V3262" i="1"/>
  <c r="AF3262" i="1" s="1"/>
  <c r="AI3261" i="1"/>
  <c r="AE3261" i="1" s="1"/>
  <c r="V3261" i="1"/>
  <c r="W3261" i="1" s="1"/>
  <c r="AI3260" i="1"/>
  <c r="AE3260" i="1" s="1"/>
  <c r="V3260" i="1"/>
  <c r="AK3260" i="1" s="1"/>
  <c r="AI3259" i="1"/>
  <c r="AE3259" i="1" s="1"/>
  <c r="V3259" i="1"/>
  <c r="AI3258" i="1"/>
  <c r="AE3258" i="1" s="1"/>
  <c r="V3258" i="1"/>
  <c r="AI3257" i="1"/>
  <c r="AE3257" i="1" s="1"/>
  <c r="V3257" i="1"/>
  <c r="W3257" i="1" s="1"/>
  <c r="AI3256" i="1"/>
  <c r="AE3256" i="1" s="1"/>
  <c r="V3256" i="1"/>
  <c r="AI3255" i="1"/>
  <c r="AE3255" i="1" s="1"/>
  <c r="V3255" i="1"/>
  <c r="AJ3255" i="1" s="1"/>
  <c r="AI3254" i="1"/>
  <c r="AE3254" i="1" s="1"/>
  <c r="V3254" i="1"/>
  <c r="AK3254" i="1" s="1"/>
  <c r="AI3253" i="1"/>
  <c r="AE3253" i="1" s="1"/>
  <c r="V3253" i="1"/>
  <c r="AF3253" i="1" s="1"/>
  <c r="AI3252" i="1"/>
  <c r="AE3252" i="1" s="1"/>
  <c r="V3252" i="1"/>
  <c r="AI3251" i="1"/>
  <c r="AE3251" i="1" s="1"/>
  <c r="V3251" i="1"/>
  <c r="W3251" i="1" s="1"/>
  <c r="AI3250" i="1"/>
  <c r="AE3250" i="1" s="1"/>
  <c r="V3250" i="1"/>
  <c r="AK3250" i="1" s="1"/>
  <c r="AI3249" i="1"/>
  <c r="AE3249" i="1" s="1"/>
  <c r="V3249" i="1"/>
  <c r="AI3248" i="1"/>
  <c r="AE3248" i="1" s="1"/>
  <c r="V3248" i="1"/>
  <c r="AK3248" i="1" s="1"/>
  <c r="AI3247" i="1"/>
  <c r="AE3247" i="1" s="1"/>
  <c r="V3247" i="1"/>
  <c r="AF3247" i="1" s="1"/>
  <c r="AI3246" i="1"/>
  <c r="AE3246" i="1" s="1"/>
  <c r="V3246" i="1"/>
  <c r="AI3245" i="1"/>
  <c r="AE3245" i="1" s="1"/>
  <c r="V3245" i="1"/>
  <c r="AJ3245" i="1" s="1"/>
  <c r="AI3244" i="1"/>
  <c r="AE3244" i="1" s="1"/>
  <c r="V3244" i="1"/>
  <c r="AI3243" i="1"/>
  <c r="AE3243" i="1" s="1"/>
  <c r="V3243" i="1"/>
  <c r="AK3243" i="1" s="1"/>
  <c r="AI3242" i="1"/>
  <c r="AE3242" i="1" s="1"/>
  <c r="V3242" i="1"/>
  <c r="AK3242" i="1" s="1"/>
  <c r="AI3241" i="1"/>
  <c r="AE3241" i="1" s="1"/>
  <c r="V3241" i="1"/>
  <c r="AI3240" i="1"/>
  <c r="AE3240" i="1" s="1"/>
  <c r="V3240" i="1"/>
  <c r="W3240" i="1" s="1"/>
  <c r="AI3239" i="1"/>
  <c r="AE3239" i="1" s="1"/>
  <c r="V3239" i="1"/>
  <c r="W3239" i="1" s="1"/>
  <c r="AI3238" i="1"/>
  <c r="AE3238" i="1" s="1"/>
  <c r="V3238" i="1"/>
  <c r="AI3237" i="1"/>
  <c r="AE3237" i="1" s="1"/>
  <c r="V3237" i="1"/>
  <c r="W3237" i="1" s="1"/>
  <c r="AI3236" i="1"/>
  <c r="AE3236" i="1" s="1"/>
  <c r="V3236" i="1"/>
  <c r="AK3235" i="1"/>
  <c r="AJ3235" i="1"/>
  <c r="AI3235" i="1"/>
  <c r="AE3235" i="1" s="1"/>
  <c r="W3235" i="1"/>
  <c r="AK3234" i="1"/>
  <c r="AJ3234" i="1"/>
  <c r="AI3234" i="1"/>
  <c r="AE3234" i="1" s="1"/>
  <c r="W3234" i="1"/>
  <c r="AK3233" i="1"/>
  <c r="AJ3233" i="1"/>
  <c r="AI3233" i="1"/>
  <c r="AE3233" i="1" s="1"/>
  <c r="W3233" i="1"/>
  <c r="AK3232" i="1"/>
  <c r="AJ3232" i="1"/>
  <c r="AI3232" i="1"/>
  <c r="AE3232" i="1" s="1"/>
  <c r="W3232" i="1"/>
  <c r="AK3231" i="1"/>
  <c r="AJ3231" i="1"/>
  <c r="AI3231" i="1"/>
  <c r="AE3231" i="1" s="1"/>
  <c r="W3231" i="1"/>
  <c r="AK3230" i="1"/>
  <c r="AJ3230" i="1"/>
  <c r="AI3230" i="1"/>
  <c r="AE3230" i="1" s="1"/>
  <c r="AF3230" i="1"/>
  <c r="W3230" i="1"/>
  <c r="AK3229" i="1"/>
  <c r="AJ3229" i="1"/>
  <c r="AI3229" i="1"/>
  <c r="AE3229" i="1" s="1"/>
  <c r="AF3229" i="1"/>
  <c r="W3229" i="1"/>
  <c r="AK3228" i="1"/>
  <c r="AJ3228" i="1"/>
  <c r="AI3228" i="1"/>
  <c r="AE3228" i="1" s="1"/>
  <c r="W3228" i="1"/>
  <c r="AK3227" i="1"/>
  <c r="AJ3227" i="1"/>
  <c r="AI3227" i="1"/>
  <c r="AE3227" i="1" s="1"/>
  <c r="W3227" i="1"/>
  <c r="AK3226" i="1"/>
  <c r="AJ3226" i="1"/>
  <c r="AI3226" i="1"/>
  <c r="AE3226" i="1" s="1"/>
  <c r="W3226" i="1"/>
  <c r="AK3225" i="1"/>
  <c r="AJ3225" i="1"/>
  <c r="AI3225" i="1"/>
  <c r="AE3225" i="1" s="1"/>
  <c r="W3225" i="1"/>
  <c r="AK3224" i="1"/>
  <c r="AJ3224" i="1"/>
  <c r="AI3224" i="1"/>
  <c r="AE3224" i="1" s="1"/>
  <c r="W3224" i="1"/>
  <c r="AK3223" i="1"/>
  <c r="AJ3223" i="1"/>
  <c r="AI3223" i="1"/>
  <c r="AE3223" i="1" s="1"/>
  <c r="W3223" i="1"/>
  <c r="AK3222" i="1"/>
  <c r="AJ3222" i="1"/>
  <c r="AI3222" i="1"/>
  <c r="AE3222" i="1" s="1"/>
  <c r="W3222" i="1"/>
  <c r="AK3221" i="1"/>
  <c r="AJ3221" i="1"/>
  <c r="AI3221" i="1"/>
  <c r="AE3221" i="1" s="1"/>
  <c r="W3221" i="1"/>
  <c r="AK3220" i="1"/>
  <c r="AJ3220" i="1"/>
  <c r="AI3220" i="1"/>
  <c r="AE3220" i="1" s="1"/>
  <c r="W3220" i="1"/>
  <c r="AK3219" i="1"/>
  <c r="AJ3219" i="1"/>
  <c r="AI3219" i="1"/>
  <c r="AE3219" i="1" s="1"/>
  <c r="W3219" i="1"/>
  <c r="AI3218" i="1"/>
  <c r="AE3218" i="1" s="1"/>
  <c r="AI3217" i="1"/>
  <c r="AE3217" i="1" s="1"/>
  <c r="V3217" i="1"/>
  <c r="AI3216" i="1"/>
  <c r="AE3216" i="1" s="1"/>
  <c r="V3216" i="1"/>
  <c r="AK3215" i="1"/>
  <c r="AJ3215" i="1"/>
  <c r="AI3215" i="1"/>
  <c r="AE3215" i="1" s="1"/>
  <c r="AF3215" i="1"/>
  <c r="W3215" i="1"/>
  <c r="AK3214" i="1"/>
  <c r="AJ3214" i="1"/>
  <c r="AI3214" i="1"/>
  <c r="AE3214" i="1" s="1"/>
  <c r="W3214" i="1"/>
  <c r="AK3213" i="1"/>
  <c r="AJ3213" i="1"/>
  <c r="AI3213" i="1"/>
  <c r="AE3213" i="1" s="1"/>
  <c r="W3213" i="1"/>
  <c r="AK3212" i="1"/>
  <c r="AJ3212" i="1"/>
  <c r="AI3212" i="1"/>
  <c r="AE3212" i="1" s="1"/>
  <c r="W3212" i="1"/>
  <c r="AK3211" i="1"/>
  <c r="AJ3211" i="1"/>
  <c r="AI3211" i="1"/>
  <c r="AE3211" i="1" s="1"/>
  <c r="W3211" i="1"/>
  <c r="AK3210" i="1"/>
  <c r="AJ3210" i="1"/>
  <c r="AI3210" i="1"/>
  <c r="AE3210" i="1" s="1"/>
  <c r="W3210" i="1"/>
  <c r="AI3209" i="1"/>
  <c r="AE3209" i="1" s="1"/>
  <c r="V3209" i="1"/>
  <c r="W3209" i="1" s="1"/>
  <c r="AK3208" i="1"/>
  <c r="AJ3208" i="1"/>
  <c r="AI3208" i="1"/>
  <c r="AE3208" i="1" s="1"/>
  <c r="W3208" i="1"/>
  <c r="AK3207" i="1"/>
  <c r="AJ3207" i="1"/>
  <c r="AI3207" i="1"/>
  <c r="AE3207" i="1" s="1"/>
  <c r="AF3207" i="1"/>
  <c r="W3207" i="1"/>
  <c r="AK3206" i="1"/>
  <c r="AJ3206" i="1"/>
  <c r="AI3206" i="1"/>
  <c r="AE3206" i="1" s="1"/>
  <c r="W3206" i="1"/>
  <c r="AK3205" i="1"/>
  <c r="AJ3205" i="1"/>
  <c r="AI3205" i="1"/>
  <c r="AE3205" i="1" s="1"/>
  <c r="W3205" i="1"/>
  <c r="AK3204" i="1"/>
  <c r="AJ3204" i="1"/>
  <c r="AI3204" i="1"/>
  <c r="AE3204" i="1" s="1"/>
  <c r="W3204" i="1"/>
  <c r="AK3203" i="1"/>
  <c r="AJ3203" i="1"/>
  <c r="AI3203" i="1"/>
  <c r="AE3203" i="1" s="1"/>
  <c r="W3203" i="1"/>
  <c r="AK3202" i="1"/>
  <c r="AJ3202" i="1"/>
  <c r="AI3202" i="1"/>
  <c r="AE3202" i="1" s="1"/>
  <c r="W3202" i="1"/>
  <c r="AK3201" i="1"/>
  <c r="AJ3201" i="1"/>
  <c r="AI3201" i="1"/>
  <c r="AE3201" i="1" s="1"/>
  <c r="W3201" i="1"/>
  <c r="AK3200" i="1"/>
  <c r="AJ3200" i="1"/>
  <c r="AI3200" i="1"/>
  <c r="AE3200" i="1" s="1"/>
  <c r="W3200" i="1"/>
  <c r="AK3199" i="1"/>
  <c r="AJ3199" i="1"/>
  <c r="AI3199" i="1"/>
  <c r="AE3199" i="1" s="1"/>
  <c r="W3199" i="1"/>
  <c r="AK3198" i="1"/>
  <c r="AJ3198" i="1"/>
  <c r="AI3198" i="1"/>
  <c r="AE3198" i="1" s="1"/>
  <c r="W3198" i="1"/>
  <c r="AK3197" i="1"/>
  <c r="AJ3197" i="1"/>
  <c r="AI3197" i="1"/>
  <c r="AE3197" i="1" s="1"/>
  <c r="W3197" i="1"/>
  <c r="AK3196" i="1"/>
  <c r="AJ3196" i="1"/>
  <c r="AI3196" i="1"/>
  <c r="AE3196" i="1" s="1"/>
  <c r="W3196" i="1"/>
  <c r="AK3195" i="1"/>
  <c r="AJ3195" i="1"/>
  <c r="AI3195" i="1"/>
  <c r="AE3195" i="1" s="1"/>
  <c r="W3195" i="1"/>
  <c r="AK3194" i="1"/>
  <c r="AJ3194" i="1"/>
  <c r="AI3194" i="1"/>
  <c r="AE3194" i="1" s="1"/>
  <c r="W3194" i="1"/>
  <c r="AK3193" i="1"/>
  <c r="AJ3193" i="1"/>
  <c r="AI3193" i="1"/>
  <c r="AE3193" i="1" s="1"/>
  <c r="W3193" i="1"/>
  <c r="AK3192" i="1"/>
  <c r="AJ3192" i="1"/>
  <c r="AI3192" i="1"/>
  <c r="AE3192" i="1" s="1"/>
  <c r="W3192" i="1"/>
  <c r="AK3191" i="1"/>
  <c r="AJ3191" i="1"/>
  <c r="AI3191" i="1"/>
  <c r="AE3191" i="1" s="1"/>
  <c r="W3191" i="1"/>
  <c r="AI3190" i="1"/>
  <c r="AE3190" i="1" s="1"/>
  <c r="V3190" i="1"/>
  <c r="AI3189" i="1"/>
  <c r="AE3189" i="1" s="1"/>
  <c r="AF3189" i="1"/>
  <c r="V3189" i="1"/>
  <c r="AI3188" i="1"/>
  <c r="AE3188" i="1" s="1"/>
  <c r="V3188" i="1"/>
  <c r="AK3188" i="1" s="1"/>
  <c r="AI3187" i="1"/>
  <c r="AE3187" i="1" s="1"/>
  <c r="V3187" i="1"/>
  <c r="AJ3187" i="1" s="1"/>
  <c r="AI3186" i="1"/>
  <c r="AE3186" i="1" s="1"/>
  <c r="V3186" i="1"/>
  <c r="AK3186" i="1" s="1"/>
  <c r="AI3185" i="1"/>
  <c r="AE3185" i="1" s="1"/>
  <c r="V3185" i="1"/>
  <c r="AJ3185" i="1" s="1"/>
  <c r="AI3184" i="1"/>
  <c r="AE3184" i="1" s="1"/>
  <c r="V3184" i="1"/>
  <c r="W3184" i="1" s="1"/>
  <c r="AI3183" i="1"/>
  <c r="AE3183" i="1" s="1"/>
  <c r="V3183" i="1"/>
  <c r="W3183" i="1" s="1"/>
  <c r="AI3182" i="1"/>
  <c r="AE3182" i="1" s="1"/>
  <c r="V3182" i="1"/>
  <c r="AK3181" i="1"/>
  <c r="AJ3181" i="1"/>
  <c r="AI3181" i="1"/>
  <c r="AE3181" i="1" s="1"/>
  <c r="W3181" i="1"/>
  <c r="AI3180" i="1"/>
  <c r="AE3180" i="1" s="1"/>
  <c r="V3180" i="1"/>
  <c r="AI3179" i="1"/>
  <c r="AE3179" i="1" s="1"/>
  <c r="V3179" i="1"/>
  <c r="AJ3179" i="1" s="1"/>
  <c r="AI3178" i="1"/>
  <c r="AE3178" i="1" s="1"/>
  <c r="V3178" i="1"/>
  <c r="AI3177" i="1"/>
  <c r="AE3177" i="1" s="1"/>
  <c r="V3177" i="1"/>
  <c r="AK3176" i="1"/>
  <c r="AJ3176" i="1"/>
  <c r="AI3176" i="1"/>
  <c r="AE3176" i="1" s="1"/>
  <c r="W3176" i="1"/>
  <c r="AK3175" i="1"/>
  <c r="AJ3175" i="1"/>
  <c r="AI3175" i="1"/>
  <c r="AE3175" i="1" s="1"/>
  <c r="W3175" i="1"/>
  <c r="AI3174" i="1"/>
  <c r="AE3174" i="1" s="1"/>
  <c r="V3174" i="1"/>
  <c r="AK3174" i="1" s="1"/>
  <c r="AI3173" i="1"/>
  <c r="AE3173" i="1" s="1"/>
  <c r="V3173" i="1"/>
  <c r="AI3172" i="1"/>
  <c r="AE3172" i="1" s="1"/>
  <c r="V3172" i="1"/>
  <c r="AI3171" i="1"/>
  <c r="AE3171" i="1" s="1"/>
  <c r="V3171" i="1"/>
  <c r="W3171" i="1" s="1"/>
  <c r="AI3170" i="1"/>
  <c r="AE3170" i="1" s="1"/>
  <c r="V3170" i="1"/>
  <c r="AK3170" i="1" s="1"/>
  <c r="AI3169" i="1"/>
  <c r="AE3169" i="1" s="1"/>
  <c r="V3169" i="1"/>
  <c r="AI3168" i="1"/>
  <c r="AE3168" i="1" s="1"/>
  <c r="V3168" i="1"/>
  <c r="AI3167" i="1"/>
  <c r="AE3167" i="1" s="1"/>
  <c r="V3167" i="1"/>
  <c r="AI3166" i="1"/>
  <c r="AE3166" i="1" s="1"/>
  <c r="V3166" i="1"/>
  <c r="W3166" i="1" s="1"/>
  <c r="AI3165" i="1"/>
  <c r="AE3165" i="1" s="1"/>
  <c r="V3165" i="1"/>
  <c r="W3165" i="1" s="1"/>
  <c r="AI3164" i="1"/>
  <c r="AE3164" i="1" s="1"/>
  <c r="V3164" i="1"/>
  <c r="AI3163" i="1"/>
  <c r="AE3163" i="1" s="1"/>
  <c r="V3163" i="1"/>
  <c r="AI3162" i="1"/>
  <c r="AE3162" i="1" s="1"/>
  <c r="V3162" i="1"/>
  <c r="W3162" i="1" s="1"/>
  <c r="AI3161" i="1"/>
  <c r="AE3161" i="1" s="1"/>
  <c r="V3161" i="1"/>
  <c r="AK3160" i="1"/>
  <c r="AJ3160" i="1"/>
  <c r="AI3160" i="1"/>
  <c r="AE3160" i="1" s="1"/>
  <c r="W3160" i="1"/>
  <c r="AK3159" i="1"/>
  <c r="AJ3159" i="1"/>
  <c r="AI3159" i="1"/>
  <c r="AE3159" i="1" s="1"/>
  <c r="W3159" i="1"/>
  <c r="AI3158" i="1"/>
  <c r="AE3158" i="1" s="1"/>
  <c r="W3158" i="1"/>
  <c r="AK3157" i="1"/>
  <c r="AJ3157" i="1"/>
  <c r="AI3157" i="1"/>
  <c r="AE3157" i="1" s="1"/>
  <c r="W3157" i="1"/>
  <c r="AK3156" i="1"/>
  <c r="AJ3156" i="1"/>
  <c r="AI3156" i="1"/>
  <c r="AE3156" i="1" s="1"/>
  <c r="W3156" i="1"/>
  <c r="AK3155" i="1"/>
  <c r="AJ3155" i="1"/>
  <c r="AI3155" i="1"/>
  <c r="AE3155" i="1" s="1"/>
  <c r="W3155" i="1"/>
  <c r="AK3154" i="1"/>
  <c r="AJ3154" i="1"/>
  <c r="AI3154" i="1"/>
  <c r="AE3154" i="1" s="1"/>
  <c r="W3154" i="1"/>
  <c r="AK3153" i="1"/>
  <c r="AJ3153" i="1"/>
  <c r="AI3153" i="1"/>
  <c r="AE3153" i="1" s="1"/>
  <c r="W3153" i="1"/>
  <c r="AK3152" i="1"/>
  <c r="AJ3152" i="1"/>
  <c r="AI3152" i="1"/>
  <c r="AE3152" i="1" s="1"/>
  <c r="W3152" i="1"/>
  <c r="AK3151" i="1"/>
  <c r="AJ3151" i="1"/>
  <c r="AI3151" i="1"/>
  <c r="AE3151" i="1" s="1"/>
  <c r="W3151" i="1"/>
  <c r="AI3150" i="1"/>
  <c r="AE3150" i="1" s="1"/>
  <c r="V3150" i="1"/>
  <c r="W3150" i="1" s="1"/>
  <c r="AK3149" i="1"/>
  <c r="AJ3149" i="1"/>
  <c r="AI3149" i="1"/>
  <c r="AE3149" i="1" s="1"/>
  <c r="W3149" i="1"/>
  <c r="AK3148" i="1"/>
  <c r="AJ3148" i="1"/>
  <c r="AI3148" i="1"/>
  <c r="AE3148" i="1" s="1"/>
  <c r="W3148" i="1"/>
  <c r="AK3147" i="1"/>
  <c r="AJ3147" i="1"/>
  <c r="AI3147" i="1"/>
  <c r="AE3147" i="1" s="1"/>
  <c r="W3147" i="1"/>
  <c r="AI3146" i="1"/>
  <c r="AE3146" i="1" s="1"/>
  <c r="V3146" i="1"/>
  <c r="AK3145" i="1"/>
  <c r="AJ3145" i="1"/>
  <c r="AI3145" i="1"/>
  <c r="AE3145" i="1" s="1"/>
  <c r="W3145" i="1"/>
  <c r="AK3144" i="1"/>
  <c r="AJ3144" i="1"/>
  <c r="AI3144" i="1"/>
  <c r="AE3144" i="1" s="1"/>
  <c r="W3144" i="1"/>
  <c r="AK3143" i="1"/>
  <c r="AJ3143" i="1"/>
  <c r="AI3143" i="1"/>
  <c r="AE3143" i="1" s="1"/>
  <c r="W3143" i="1"/>
  <c r="AK3142" i="1"/>
  <c r="AJ3142" i="1"/>
  <c r="AI3142" i="1"/>
  <c r="AE3142" i="1" s="1"/>
  <c r="W3142" i="1"/>
  <c r="AI3141" i="1"/>
  <c r="AE3141" i="1" s="1"/>
  <c r="V3141" i="1"/>
  <c r="W3141" i="1" s="1"/>
  <c r="AI3140" i="1"/>
  <c r="AE3140" i="1" s="1"/>
  <c r="V3140" i="1"/>
  <c r="AK3140" i="1" s="1"/>
  <c r="AI3139" i="1"/>
  <c r="AE3139" i="1" s="1"/>
  <c r="V3139" i="1"/>
  <c r="W3139" i="1" s="1"/>
  <c r="AI3138" i="1"/>
  <c r="AE3138" i="1" s="1"/>
  <c r="V3138" i="1"/>
  <c r="AJ3138" i="1" s="1"/>
  <c r="AI3137" i="1"/>
  <c r="AE3137" i="1" s="1"/>
  <c r="V3137" i="1"/>
  <c r="AI3136" i="1"/>
  <c r="AE3136" i="1" s="1"/>
  <c r="V3136" i="1"/>
  <c r="AJ3136" i="1" s="1"/>
  <c r="AI3135" i="1"/>
  <c r="AE3135" i="1" s="1"/>
  <c r="V3135" i="1"/>
  <c r="AK3134" i="1"/>
  <c r="AJ3134" i="1"/>
  <c r="AI3134" i="1"/>
  <c r="AE3134" i="1" s="1"/>
  <c r="W3134" i="1"/>
  <c r="AK3133" i="1"/>
  <c r="AJ3133" i="1"/>
  <c r="AI3133" i="1"/>
  <c r="AE3133" i="1" s="1"/>
  <c r="AK3132" i="1"/>
  <c r="AJ3132" i="1"/>
  <c r="AI3132" i="1"/>
  <c r="AE3132" i="1" s="1"/>
  <c r="W3132" i="1"/>
  <c r="AK3131" i="1"/>
  <c r="AJ3131" i="1"/>
  <c r="AI3131" i="1"/>
  <c r="AE3131" i="1" s="1"/>
  <c r="W3131" i="1"/>
  <c r="AK3130" i="1"/>
  <c r="AJ3130" i="1"/>
  <c r="AI3130" i="1"/>
  <c r="AE3130" i="1" s="1"/>
  <c r="AK3129" i="1"/>
  <c r="AJ3129" i="1"/>
  <c r="AI3129" i="1"/>
  <c r="AE3129" i="1" s="1"/>
  <c r="W3129" i="1"/>
  <c r="AK3128" i="1"/>
  <c r="AJ3128" i="1"/>
  <c r="AI3128" i="1"/>
  <c r="AE3128" i="1" s="1"/>
  <c r="W3128" i="1"/>
  <c r="AK3127" i="1"/>
  <c r="AJ3127" i="1"/>
  <c r="AI3127" i="1"/>
  <c r="AE3127" i="1" s="1"/>
  <c r="W3127" i="1"/>
  <c r="AK3126" i="1"/>
  <c r="AJ3126" i="1"/>
  <c r="AI3126" i="1"/>
  <c r="AE3126" i="1" s="1"/>
  <c r="W3126" i="1"/>
  <c r="AK3125" i="1"/>
  <c r="AJ3125" i="1"/>
  <c r="AI3125" i="1"/>
  <c r="AE3125" i="1" s="1"/>
  <c r="W3125" i="1"/>
  <c r="AK3124" i="1"/>
  <c r="AJ3124" i="1"/>
  <c r="AI3124" i="1"/>
  <c r="AE3124" i="1" s="1"/>
  <c r="W3124" i="1"/>
  <c r="AK3123" i="1"/>
  <c r="AJ3123" i="1"/>
  <c r="AI3123" i="1"/>
  <c r="AE3123" i="1" s="1"/>
  <c r="W3123" i="1"/>
  <c r="AK3122" i="1"/>
  <c r="AJ3122" i="1"/>
  <c r="AI3122" i="1"/>
  <c r="AE3122" i="1" s="1"/>
  <c r="W3122" i="1"/>
  <c r="AK3121" i="1"/>
  <c r="AJ3121" i="1"/>
  <c r="AI3121" i="1"/>
  <c r="AE3121" i="1" s="1"/>
  <c r="W3121" i="1"/>
  <c r="AK3120" i="1"/>
  <c r="AJ3120" i="1"/>
  <c r="AI3120" i="1"/>
  <c r="AE3120" i="1" s="1"/>
  <c r="W3120" i="1"/>
  <c r="AK3119" i="1"/>
  <c r="AJ3119" i="1"/>
  <c r="AI3119" i="1"/>
  <c r="AE3119" i="1" s="1"/>
  <c r="AF3119" i="1"/>
  <c r="W3119" i="1"/>
  <c r="AK3118" i="1"/>
  <c r="AJ3118" i="1"/>
  <c r="AI3118" i="1"/>
  <c r="AE3118" i="1" s="1"/>
  <c r="W3118" i="1"/>
  <c r="AK3117" i="1"/>
  <c r="AJ3117" i="1"/>
  <c r="AI3117" i="1"/>
  <c r="AE3117" i="1" s="1"/>
  <c r="AF3117" i="1"/>
  <c r="W3117" i="1"/>
  <c r="AK3116" i="1"/>
  <c r="AJ3116" i="1"/>
  <c r="AI3116" i="1"/>
  <c r="AE3116" i="1" s="1"/>
  <c r="W3116" i="1"/>
  <c r="AK3115" i="1"/>
  <c r="AJ3115" i="1"/>
  <c r="AI3115" i="1"/>
  <c r="AE3115" i="1" s="1"/>
  <c r="W3115" i="1"/>
  <c r="AK3114" i="1"/>
  <c r="AJ3114" i="1"/>
  <c r="AI3114" i="1"/>
  <c r="AE3114" i="1" s="1"/>
  <c r="AF3114" i="1"/>
  <c r="W3114" i="1"/>
  <c r="AK3113" i="1"/>
  <c r="AJ3113" i="1"/>
  <c r="AI3113" i="1"/>
  <c r="AE3113" i="1" s="1"/>
  <c r="W3113" i="1"/>
  <c r="AK3112" i="1"/>
  <c r="AJ3112" i="1"/>
  <c r="AI3112" i="1"/>
  <c r="AE3112" i="1" s="1"/>
  <c r="W3112" i="1"/>
  <c r="AK3111" i="1"/>
  <c r="AJ3111" i="1"/>
  <c r="AI3111" i="1"/>
  <c r="AE3111" i="1" s="1"/>
  <c r="W3111" i="1"/>
  <c r="AK3110" i="1"/>
  <c r="AJ3110" i="1"/>
  <c r="AI3110" i="1"/>
  <c r="AE3110" i="1" s="1"/>
  <c r="AK3109" i="1"/>
  <c r="AJ3109" i="1"/>
  <c r="AI3109" i="1"/>
  <c r="AE3109" i="1" s="1"/>
  <c r="W3109" i="1"/>
  <c r="AK3108" i="1"/>
  <c r="AJ3108" i="1"/>
  <c r="AI3108" i="1"/>
  <c r="AE3108" i="1" s="1"/>
  <c r="W3108" i="1"/>
  <c r="AK3107" i="1"/>
  <c r="AJ3107" i="1"/>
  <c r="AI3107" i="1"/>
  <c r="AE3107" i="1" s="1"/>
  <c r="W3107" i="1"/>
  <c r="AK3106" i="1"/>
  <c r="AJ3106" i="1"/>
  <c r="AI3106" i="1"/>
  <c r="AE3106" i="1" s="1"/>
  <c r="W3106" i="1"/>
  <c r="AK3105" i="1"/>
  <c r="AJ3105" i="1"/>
  <c r="AI3105" i="1"/>
  <c r="AE3105" i="1" s="1"/>
  <c r="W3105" i="1"/>
  <c r="AK3104" i="1"/>
  <c r="AJ3104" i="1"/>
  <c r="AI3104" i="1"/>
  <c r="AE3104" i="1" s="1"/>
  <c r="W3104" i="1"/>
  <c r="AK3103" i="1"/>
  <c r="AJ3103" i="1"/>
  <c r="AI3103" i="1"/>
  <c r="AE3103" i="1" s="1"/>
  <c r="W3103" i="1"/>
  <c r="AK3102" i="1"/>
  <c r="AJ3102" i="1"/>
  <c r="AI3102" i="1"/>
  <c r="AE3102" i="1" s="1"/>
  <c r="W3102" i="1"/>
  <c r="AK3101" i="1"/>
  <c r="AJ3101" i="1"/>
  <c r="AI3101" i="1"/>
  <c r="AE3101" i="1" s="1"/>
  <c r="AF3101" i="1"/>
  <c r="W3101" i="1"/>
  <c r="AK3100" i="1"/>
  <c r="AJ3100" i="1"/>
  <c r="AI3100" i="1"/>
  <c r="AE3100" i="1" s="1"/>
  <c r="W3100" i="1"/>
  <c r="AI3099" i="1"/>
  <c r="AE3099" i="1" s="1"/>
  <c r="W3099" i="1"/>
  <c r="AI3098" i="1"/>
  <c r="AE3098" i="1" s="1"/>
  <c r="V3098" i="1"/>
  <c r="AK3098" i="1" s="1"/>
  <c r="AK3097" i="1"/>
  <c r="AJ3097" i="1"/>
  <c r="AI3097" i="1"/>
  <c r="AE3097" i="1" s="1"/>
  <c r="W3097" i="1"/>
  <c r="AK3096" i="1"/>
  <c r="AJ3096" i="1"/>
  <c r="AI3096" i="1"/>
  <c r="AE3096" i="1" s="1"/>
  <c r="W3096" i="1"/>
  <c r="AK3095" i="1"/>
  <c r="AJ3095" i="1"/>
  <c r="AI3095" i="1"/>
  <c r="AE3095" i="1" s="1"/>
  <c r="W3095" i="1"/>
  <c r="AK3094" i="1"/>
  <c r="AJ3094" i="1"/>
  <c r="AI3094" i="1"/>
  <c r="AE3094" i="1" s="1"/>
  <c r="W3094" i="1"/>
  <c r="AI3093" i="1"/>
  <c r="AE3093" i="1" s="1"/>
  <c r="AF3093" i="1"/>
  <c r="V3093" i="1"/>
  <c r="W3093" i="1" s="1"/>
  <c r="AK3092" i="1"/>
  <c r="AJ3092" i="1"/>
  <c r="AI3092" i="1"/>
  <c r="AE3092" i="1" s="1"/>
  <c r="W3092" i="1"/>
  <c r="AK3091" i="1"/>
  <c r="AJ3091" i="1"/>
  <c r="AI3091" i="1"/>
  <c r="AE3091" i="1" s="1"/>
  <c r="W3091" i="1"/>
  <c r="AK3090" i="1"/>
  <c r="AJ3090" i="1"/>
  <c r="AI3090" i="1"/>
  <c r="AE3090" i="1" s="1"/>
  <c r="AK3089" i="1"/>
  <c r="AJ3089" i="1"/>
  <c r="AI3089" i="1"/>
  <c r="AE3089" i="1" s="1"/>
  <c r="W3089" i="1"/>
  <c r="AK3088" i="1"/>
  <c r="AJ3088" i="1"/>
  <c r="AI3088" i="1"/>
  <c r="AE3088" i="1" s="1"/>
  <c r="W3088" i="1"/>
  <c r="AK3087" i="1"/>
  <c r="AJ3087" i="1"/>
  <c r="AI3087" i="1"/>
  <c r="AE3087" i="1" s="1"/>
  <c r="W3087" i="1"/>
  <c r="AK3086" i="1"/>
  <c r="AJ3086" i="1"/>
  <c r="AI3086" i="1"/>
  <c r="AE3086" i="1" s="1"/>
  <c r="W3086" i="1"/>
  <c r="AI3085" i="1"/>
  <c r="AE3085" i="1" s="1"/>
  <c r="V3085" i="1"/>
  <c r="AK3085" i="1" s="1"/>
  <c r="AK3084" i="1"/>
  <c r="AJ3084" i="1"/>
  <c r="AI3084" i="1"/>
  <c r="AE3084" i="1" s="1"/>
  <c r="W3084" i="1"/>
  <c r="AI3083" i="1"/>
  <c r="AE3083" i="1" s="1"/>
  <c r="V3083" i="1"/>
  <c r="AK3082" i="1"/>
  <c r="AJ3082" i="1"/>
  <c r="AI3082" i="1"/>
  <c r="AE3082" i="1" s="1"/>
  <c r="W3082" i="1"/>
  <c r="AK3081" i="1"/>
  <c r="AJ3081" i="1"/>
  <c r="AI3081" i="1"/>
  <c r="AE3081" i="1" s="1"/>
  <c r="W3081" i="1"/>
  <c r="AK3080" i="1"/>
  <c r="AJ3080" i="1"/>
  <c r="AI3080" i="1"/>
  <c r="AE3080" i="1" s="1"/>
  <c r="W3080" i="1"/>
  <c r="AK3079" i="1"/>
  <c r="AJ3079" i="1"/>
  <c r="AI3079" i="1"/>
  <c r="AE3079" i="1" s="1"/>
  <c r="W3079" i="1"/>
  <c r="AK3078" i="1"/>
  <c r="AJ3078" i="1"/>
  <c r="AI3078" i="1"/>
  <c r="AE3078" i="1" s="1"/>
  <c r="W3078" i="1"/>
  <c r="AK3077" i="1"/>
  <c r="AJ3077" i="1"/>
  <c r="AI3077" i="1"/>
  <c r="AE3077" i="1" s="1"/>
  <c r="W3077" i="1"/>
  <c r="AK3076" i="1"/>
  <c r="AJ3076" i="1"/>
  <c r="AI3076" i="1"/>
  <c r="AE3076" i="1" s="1"/>
  <c r="W3076" i="1"/>
  <c r="AK3075" i="1"/>
  <c r="AJ3075" i="1"/>
  <c r="AI3075" i="1"/>
  <c r="AE3075" i="1" s="1"/>
  <c r="AK3074" i="1"/>
  <c r="AJ3074" i="1"/>
  <c r="AI3074" i="1"/>
  <c r="AE3074" i="1" s="1"/>
  <c r="AK3073" i="1"/>
  <c r="AJ3073" i="1"/>
  <c r="AI3073" i="1"/>
  <c r="AE3073" i="1" s="1"/>
  <c r="W3073" i="1"/>
  <c r="AK3072" i="1"/>
  <c r="AJ3072" i="1"/>
  <c r="AI3072" i="1"/>
  <c r="AE3072" i="1" s="1"/>
  <c r="W3072" i="1"/>
  <c r="AK3071" i="1"/>
  <c r="AJ3071" i="1"/>
  <c r="AI3071" i="1"/>
  <c r="AE3071" i="1" s="1"/>
  <c r="W3071" i="1"/>
  <c r="AK3070" i="1"/>
  <c r="AJ3070" i="1"/>
  <c r="AI3070" i="1"/>
  <c r="AE3070" i="1" s="1"/>
  <c r="W3070" i="1"/>
  <c r="AK3069" i="1"/>
  <c r="AJ3069" i="1"/>
  <c r="AI3069" i="1"/>
  <c r="AE3069" i="1" s="1"/>
  <c r="W3069" i="1"/>
  <c r="AK3068" i="1"/>
  <c r="AJ3068" i="1"/>
  <c r="AI3068" i="1"/>
  <c r="AE3068" i="1" s="1"/>
  <c r="W3068" i="1"/>
  <c r="AK3067" i="1"/>
  <c r="AJ3067" i="1"/>
  <c r="AI3067" i="1"/>
  <c r="AE3067" i="1" s="1"/>
  <c r="W3067" i="1"/>
  <c r="AK3066" i="1"/>
  <c r="AJ3066" i="1"/>
  <c r="AI3066" i="1"/>
  <c r="AE3066" i="1" s="1"/>
  <c r="W3066" i="1"/>
  <c r="AK3065" i="1"/>
  <c r="AJ3065" i="1"/>
  <c r="AI3065" i="1"/>
  <c r="AE3065" i="1" s="1"/>
  <c r="W3065" i="1"/>
  <c r="AK3064" i="1"/>
  <c r="AJ3064" i="1"/>
  <c r="AI3064" i="1"/>
  <c r="AE3064" i="1" s="1"/>
  <c r="W3064" i="1"/>
  <c r="AK3063" i="1"/>
  <c r="AJ3063" i="1"/>
  <c r="AI3063" i="1"/>
  <c r="AE3063" i="1" s="1"/>
  <c r="W3063" i="1"/>
  <c r="AK3062" i="1"/>
  <c r="AJ3062" i="1"/>
  <c r="AI3062" i="1"/>
  <c r="AE3062" i="1" s="1"/>
  <c r="W3062" i="1"/>
  <c r="AK3061" i="1"/>
  <c r="AJ3061" i="1"/>
  <c r="AI3061" i="1"/>
  <c r="AE3061" i="1" s="1"/>
  <c r="W3061" i="1"/>
  <c r="AK3060" i="1"/>
  <c r="AJ3060" i="1"/>
  <c r="AI3060" i="1"/>
  <c r="AE3060" i="1" s="1"/>
  <c r="W3060" i="1"/>
  <c r="AK3059" i="1"/>
  <c r="AJ3059" i="1"/>
  <c r="AI3059" i="1"/>
  <c r="AE3059" i="1" s="1"/>
  <c r="W3059" i="1"/>
  <c r="AK3058" i="1"/>
  <c r="AJ3058" i="1"/>
  <c r="AI3058" i="1"/>
  <c r="AE3058" i="1" s="1"/>
  <c r="W3058" i="1"/>
  <c r="AK3057" i="1"/>
  <c r="AJ3057" i="1"/>
  <c r="AI3057" i="1"/>
  <c r="AE3057" i="1" s="1"/>
  <c r="W3057" i="1"/>
  <c r="AK3056" i="1"/>
  <c r="AJ3056" i="1"/>
  <c r="AI3056" i="1"/>
  <c r="AE3056" i="1" s="1"/>
  <c r="W3056" i="1"/>
  <c r="AK3055" i="1"/>
  <c r="AJ3055" i="1"/>
  <c r="AI3055" i="1"/>
  <c r="AE3055" i="1" s="1"/>
  <c r="W3055" i="1"/>
  <c r="AK3054" i="1"/>
  <c r="AJ3054" i="1"/>
  <c r="AI3054" i="1"/>
  <c r="AE3054" i="1" s="1"/>
  <c r="W3054" i="1"/>
  <c r="AK3053" i="1"/>
  <c r="AJ3053" i="1"/>
  <c r="AI3053" i="1"/>
  <c r="AE3053" i="1" s="1"/>
  <c r="W3053" i="1"/>
  <c r="AK3052" i="1"/>
  <c r="AJ3052" i="1"/>
  <c r="AI3052" i="1"/>
  <c r="AE3052" i="1" s="1"/>
  <c r="W3052" i="1"/>
  <c r="AK3051" i="1"/>
  <c r="AJ3051" i="1"/>
  <c r="AI3051" i="1"/>
  <c r="AE3051" i="1" s="1"/>
  <c r="W3051" i="1"/>
  <c r="AK3050" i="1"/>
  <c r="AJ3050" i="1"/>
  <c r="AI3050" i="1"/>
  <c r="AE3050" i="1" s="1"/>
  <c r="W3050" i="1"/>
  <c r="AK3049" i="1"/>
  <c r="AJ3049" i="1"/>
  <c r="AI3049" i="1"/>
  <c r="AE3049" i="1" s="1"/>
  <c r="W3049" i="1"/>
  <c r="AK3048" i="1"/>
  <c r="AJ3048" i="1"/>
  <c r="AI3048" i="1"/>
  <c r="AE3048" i="1" s="1"/>
  <c r="W3048" i="1"/>
  <c r="AI3047" i="1"/>
  <c r="AE3047" i="1" s="1"/>
  <c r="V3047" i="1"/>
  <c r="W3047" i="1" s="1"/>
  <c r="AK3046" i="1"/>
  <c r="AJ3046" i="1"/>
  <c r="AI3046" i="1"/>
  <c r="AE3046" i="1" s="1"/>
  <c r="W3046" i="1"/>
  <c r="AK3045" i="1"/>
  <c r="AJ3045" i="1"/>
  <c r="AI3045" i="1"/>
  <c r="AE3045" i="1" s="1"/>
  <c r="W3045" i="1"/>
  <c r="AK3044" i="1"/>
  <c r="AJ3044" i="1"/>
  <c r="AI3044" i="1"/>
  <c r="AE3044" i="1" s="1"/>
  <c r="W3044" i="1"/>
  <c r="AK3043" i="1"/>
  <c r="AJ3043" i="1"/>
  <c r="AI3043" i="1"/>
  <c r="AE3043" i="1" s="1"/>
  <c r="W3043" i="1"/>
  <c r="AK3042" i="1"/>
  <c r="AJ3042" i="1"/>
  <c r="AI3042" i="1"/>
  <c r="AE3042" i="1" s="1"/>
  <c r="W3042" i="1"/>
  <c r="AK3041" i="1"/>
  <c r="AJ3041" i="1"/>
  <c r="AI3041" i="1"/>
  <c r="AE3041" i="1" s="1"/>
  <c r="W3041" i="1"/>
  <c r="AK3040" i="1"/>
  <c r="AJ3040" i="1"/>
  <c r="AI3040" i="1"/>
  <c r="AE3040" i="1" s="1"/>
  <c r="W3040" i="1"/>
  <c r="AK3039" i="1"/>
  <c r="AJ3039" i="1"/>
  <c r="AI3039" i="1"/>
  <c r="AE3039" i="1" s="1"/>
  <c r="W3039" i="1"/>
  <c r="AK3038" i="1"/>
  <c r="AJ3038" i="1"/>
  <c r="AI3038" i="1"/>
  <c r="AE3038" i="1" s="1"/>
  <c r="W3038" i="1"/>
  <c r="AK3037" i="1"/>
  <c r="AJ3037" i="1"/>
  <c r="AI3037" i="1"/>
  <c r="AE3037" i="1" s="1"/>
  <c r="W3037" i="1"/>
  <c r="AK3036" i="1"/>
  <c r="AJ3036" i="1"/>
  <c r="AI3036" i="1"/>
  <c r="AE3036" i="1" s="1"/>
  <c r="W3036" i="1"/>
  <c r="AK3035" i="1"/>
  <c r="AJ3035" i="1"/>
  <c r="AI3035" i="1"/>
  <c r="AE3035" i="1" s="1"/>
  <c r="W3035" i="1"/>
  <c r="AK3034" i="1"/>
  <c r="AJ3034" i="1"/>
  <c r="AI3034" i="1"/>
  <c r="AE3034" i="1" s="1"/>
  <c r="W3034" i="1"/>
  <c r="AK3033" i="1"/>
  <c r="AJ3033" i="1"/>
  <c r="AI3033" i="1"/>
  <c r="AE3033" i="1" s="1"/>
  <c r="W3033" i="1"/>
  <c r="AK3032" i="1"/>
  <c r="AJ3032" i="1"/>
  <c r="AI3032" i="1"/>
  <c r="AE3032" i="1" s="1"/>
  <c r="W3032" i="1"/>
  <c r="AK3031" i="1"/>
  <c r="AJ3031" i="1"/>
  <c r="AI3031" i="1"/>
  <c r="AE3031" i="1" s="1"/>
  <c r="W3031" i="1"/>
  <c r="AK3030" i="1"/>
  <c r="AJ3030" i="1"/>
  <c r="AI3030" i="1"/>
  <c r="AE3030" i="1" s="1"/>
  <c r="W3030" i="1"/>
  <c r="AK3029" i="1"/>
  <c r="AJ3029" i="1"/>
  <c r="AI3029" i="1"/>
  <c r="AE3029" i="1" s="1"/>
  <c r="W3029" i="1"/>
  <c r="AI3028" i="1"/>
  <c r="AE3028" i="1" s="1"/>
  <c r="V3028" i="1"/>
  <c r="AI3027" i="1"/>
  <c r="AE3027" i="1" s="1"/>
  <c r="V3027" i="1"/>
  <c r="AK3027" i="1" s="1"/>
  <c r="AI3026" i="1"/>
  <c r="AE3026" i="1" s="1"/>
  <c r="V3026" i="1"/>
  <c r="AI3025" i="1"/>
  <c r="AE3025" i="1" s="1"/>
  <c r="V3025" i="1"/>
  <c r="W3025" i="1" s="1"/>
  <c r="AI3024" i="1"/>
  <c r="AE3024" i="1" s="1"/>
  <c r="V3024" i="1"/>
  <c r="AI3023" i="1"/>
  <c r="AE3023" i="1" s="1"/>
  <c r="V3023" i="1"/>
  <c r="AJ3023" i="1" s="1"/>
  <c r="AI3022" i="1"/>
  <c r="AE3022" i="1" s="1"/>
  <c r="V3022" i="1"/>
  <c r="AJ3022" i="1" s="1"/>
  <c r="AI3021" i="1"/>
  <c r="AE3021" i="1" s="1"/>
  <c r="V3021" i="1"/>
  <c r="AI3020" i="1"/>
  <c r="AE3020" i="1" s="1"/>
  <c r="V3020" i="1"/>
  <c r="AI3019" i="1"/>
  <c r="AE3019" i="1" s="1"/>
  <c r="V3019" i="1"/>
  <c r="AF3019" i="1" s="1"/>
  <c r="AI3018" i="1"/>
  <c r="AE3018" i="1" s="1"/>
  <c r="V3018" i="1"/>
  <c r="AI3017" i="1"/>
  <c r="AE3017" i="1" s="1"/>
  <c r="V3017" i="1"/>
  <c r="AI3016" i="1"/>
  <c r="AE3016" i="1" s="1"/>
  <c r="V3016" i="1"/>
  <c r="AK3015" i="1"/>
  <c r="AJ3015" i="1"/>
  <c r="AI3015" i="1"/>
  <c r="AE3015" i="1" s="1"/>
  <c r="AF3015" i="1"/>
  <c r="W3015" i="1"/>
  <c r="AK3014" i="1"/>
  <c r="AJ3014" i="1"/>
  <c r="AI3014" i="1"/>
  <c r="AE3014" i="1" s="1"/>
  <c r="AF3014" i="1"/>
  <c r="W3014" i="1"/>
  <c r="AI3013" i="1"/>
  <c r="AE3013" i="1" s="1"/>
  <c r="V3013" i="1"/>
  <c r="W3013" i="1" s="1"/>
  <c r="AI3012" i="1"/>
  <c r="AE3012" i="1" s="1"/>
  <c r="V3012" i="1"/>
  <c r="AK3012" i="1" s="1"/>
  <c r="AI3011" i="1"/>
  <c r="AE3011" i="1" s="1"/>
  <c r="V3011" i="1"/>
  <c r="AF3011" i="1" s="1"/>
  <c r="AI3010" i="1"/>
  <c r="AE3010" i="1" s="1"/>
  <c r="V3010" i="1"/>
  <c r="AJ3010" i="1" s="1"/>
  <c r="AI3009" i="1"/>
  <c r="AE3009" i="1" s="1"/>
  <c r="V3009" i="1"/>
  <c r="AK3009" i="1" s="1"/>
  <c r="AI3008" i="1"/>
  <c r="AE3008" i="1" s="1"/>
  <c r="V3008" i="1"/>
  <c r="W3008" i="1" s="1"/>
  <c r="AI3007" i="1"/>
  <c r="AE3007" i="1" s="1"/>
  <c r="V3007" i="1"/>
  <c r="W3007" i="1" s="1"/>
  <c r="AI3006" i="1"/>
  <c r="AE3006" i="1" s="1"/>
  <c r="V3006" i="1"/>
  <c r="AJ3006" i="1" s="1"/>
  <c r="AI3005" i="1"/>
  <c r="AE3005" i="1" s="1"/>
  <c r="V3005" i="1"/>
  <c r="W3005" i="1" s="1"/>
  <c r="AK3004" i="1"/>
  <c r="AJ3004" i="1"/>
  <c r="AI3004" i="1"/>
  <c r="AE3004" i="1" s="1"/>
  <c r="AF3004" i="1"/>
  <c r="W3004" i="1"/>
  <c r="AK3003" i="1"/>
  <c r="AJ3003" i="1"/>
  <c r="AI3003" i="1"/>
  <c r="AE3003" i="1" s="1"/>
  <c r="AF3003" i="1"/>
  <c r="W3003" i="1"/>
  <c r="AI3002" i="1"/>
  <c r="AE3002" i="1" s="1"/>
  <c r="V3002" i="1"/>
  <c r="AJ3002" i="1" s="1"/>
  <c r="AI3001" i="1"/>
  <c r="AE3001" i="1" s="1"/>
  <c r="V3001" i="1"/>
  <c r="AK3000" i="1"/>
  <c r="AJ3000" i="1"/>
  <c r="AI3000" i="1"/>
  <c r="AE3000" i="1" s="1"/>
  <c r="AF3000" i="1"/>
  <c r="W3000" i="1"/>
  <c r="AK2999" i="1"/>
  <c r="AJ2999" i="1"/>
  <c r="AI2999" i="1"/>
  <c r="AE2999" i="1" s="1"/>
  <c r="W2999" i="1"/>
  <c r="AI2998" i="1"/>
  <c r="AE2998" i="1" s="1"/>
  <c r="V2998" i="1"/>
  <c r="AI2997" i="1"/>
  <c r="AE2997" i="1" s="1"/>
  <c r="V2997" i="1"/>
  <c r="W2997" i="1" s="1"/>
  <c r="AI2996" i="1"/>
  <c r="AE2996" i="1" s="1"/>
  <c r="V2996" i="1"/>
  <c r="AJ2996" i="1" s="1"/>
  <c r="AI2995" i="1"/>
  <c r="AE2995" i="1" s="1"/>
  <c r="V2995" i="1"/>
  <c r="AK2994" i="1"/>
  <c r="AJ2994" i="1"/>
  <c r="AI2994" i="1"/>
  <c r="AE2994" i="1" s="1"/>
  <c r="W2994" i="1"/>
  <c r="AK2993" i="1"/>
  <c r="AJ2993" i="1"/>
  <c r="AI2993" i="1"/>
  <c r="AE2993" i="1" s="1"/>
  <c r="W2993" i="1"/>
  <c r="AK2992" i="1"/>
  <c r="AJ2992" i="1"/>
  <c r="AI2992" i="1"/>
  <c r="AE2992" i="1" s="1"/>
  <c r="W2992" i="1"/>
  <c r="AK2991" i="1"/>
  <c r="AJ2991" i="1"/>
  <c r="AI2991" i="1"/>
  <c r="AE2991" i="1" s="1"/>
  <c r="W2991" i="1"/>
  <c r="AK2990" i="1"/>
  <c r="AJ2990" i="1"/>
  <c r="AI2990" i="1"/>
  <c r="AE2990" i="1" s="1"/>
  <c r="W2990" i="1"/>
  <c r="AK2989" i="1"/>
  <c r="AJ2989" i="1"/>
  <c r="AI2989" i="1"/>
  <c r="AE2989" i="1" s="1"/>
  <c r="W2989" i="1"/>
  <c r="AK2988" i="1"/>
  <c r="AJ2988" i="1"/>
  <c r="AI2988" i="1"/>
  <c r="AE2988" i="1" s="1"/>
  <c r="W2988" i="1"/>
  <c r="AK2987" i="1"/>
  <c r="AJ2987" i="1"/>
  <c r="AI2987" i="1"/>
  <c r="AE2987" i="1" s="1"/>
  <c r="W2987" i="1"/>
  <c r="AK2986" i="1"/>
  <c r="AJ2986" i="1"/>
  <c r="AI2986" i="1"/>
  <c r="AE2986" i="1" s="1"/>
  <c r="W2986" i="1"/>
  <c r="AI2985" i="1"/>
  <c r="AE2985" i="1" s="1"/>
  <c r="V2985" i="1"/>
  <c r="AK2985" i="1" s="1"/>
  <c r="AI2984" i="1"/>
  <c r="AE2984" i="1" s="1"/>
  <c r="V2984" i="1"/>
  <c r="AK2984" i="1" s="1"/>
  <c r="AK2983" i="1"/>
  <c r="AJ2983" i="1"/>
  <c r="AI2983" i="1"/>
  <c r="AE2983" i="1" s="1"/>
  <c r="W2983" i="1"/>
  <c r="AK2982" i="1"/>
  <c r="AJ2982" i="1"/>
  <c r="AI2982" i="1"/>
  <c r="AE2982" i="1" s="1"/>
  <c r="W2982" i="1"/>
  <c r="AK2981" i="1"/>
  <c r="AJ2981" i="1"/>
  <c r="AI2981" i="1"/>
  <c r="AE2981" i="1" s="1"/>
  <c r="W2981" i="1"/>
  <c r="AK2980" i="1"/>
  <c r="AJ2980" i="1"/>
  <c r="AI2980" i="1"/>
  <c r="AE2980" i="1" s="1"/>
  <c r="W2980" i="1"/>
  <c r="AI2979" i="1"/>
  <c r="AE2979" i="1" s="1"/>
  <c r="AF2979" i="1"/>
  <c r="V2979" i="1"/>
  <c r="W2979" i="1" s="1"/>
  <c r="AK2978" i="1"/>
  <c r="AJ2978" i="1"/>
  <c r="AI2978" i="1"/>
  <c r="AE2978" i="1" s="1"/>
  <c r="AF2978" i="1"/>
  <c r="W2978" i="1"/>
  <c r="AJ2977" i="1"/>
  <c r="AI2977" i="1"/>
  <c r="AE2977" i="1" s="1"/>
  <c r="AK2976" i="1"/>
  <c r="AJ2976" i="1"/>
  <c r="AI2976" i="1"/>
  <c r="AE2976" i="1" s="1"/>
  <c r="W2976" i="1"/>
  <c r="AK2975" i="1"/>
  <c r="AJ2975" i="1"/>
  <c r="AI2975" i="1"/>
  <c r="AE2975" i="1" s="1"/>
  <c r="W2975" i="1"/>
  <c r="AK2974" i="1"/>
  <c r="AJ2974" i="1"/>
  <c r="AI2974" i="1"/>
  <c r="AE2974" i="1" s="1"/>
  <c r="W2974" i="1"/>
  <c r="AK2973" i="1"/>
  <c r="AJ2973" i="1"/>
  <c r="AI2973" i="1"/>
  <c r="AE2973" i="1" s="1"/>
  <c r="W2973" i="1"/>
  <c r="AK2972" i="1"/>
  <c r="AJ2972" i="1"/>
  <c r="AI2972" i="1"/>
  <c r="AE2972" i="1" s="1"/>
  <c r="W2972" i="1"/>
  <c r="AK2971" i="1"/>
  <c r="AJ2971" i="1"/>
  <c r="AI2971" i="1"/>
  <c r="AE2971" i="1" s="1"/>
  <c r="W2971" i="1"/>
  <c r="AK2970" i="1"/>
  <c r="AJ2970" i="1"/>
  <c r="AI2970" i="1"/>
  <c r="AE2970" i="1" s="1"/>
  <c r="W2970" i="1"/>
  <c r="AK2969" i="1"/>
  <c r="AJ2969" i="1"/>
  <c r="AI2969" i="1"/>
  <c r="AE2969" i="1" s="1"/>
  <c r="W2969" i="1"/>
  <c r="AK2968" i="1"/>
  <c r="AJ2968" i="1"/>
  <c r="AI2968" i="1"/>
  <c r="AE2968" i="1" s="1"/>
  <c r="W2968" i="1"/>
  <c r="AK2967" i="1"/>
  <c r="AJ2967" i="1"/>
  <c r="AI2967" i="1"/>
  <c r="AE2967" i="1" s="1"/>
  <c r="W2967" i="1"/>
  <c r="AK2966" i="1"/>
  <c r="AJ2966" i="1"/>
  <c r="AI2966" i="1"/>
  <c r="AE2966" i="1" s="1"/>
  <c r="W2966" i="1"/>
  <c r="AK2965" i="1"/>
  <c r="AJ2965" i="1"/>
  <c r="AI2965" i="1"/>
  <c r="AE2965" i="1" s="1"/>
  <c r="W2965" i="1"/>
  <c r="AK2964" i="1"/>
  <c r="AJ2964" i="1"/>
  <c r="AI2964" i="1"/>
  <c r="AE2964" i="1" s="1"/>
  <c r="W2964" i="1"/>
  <c r="AK2963" i="1"/>
  <c r="AJ2963" i="1"/>
  <c r="AI2963" i="1"/>
  <c r="AE2963" i="1" s="1"/>
  <c r="W2963" i="1"/>
  <c r="AK2962" i="1"/>
  <c r="AJ2962" i="1"/>
  <c r="AI2962" i="1"/>
  <c r="AE2962" i="1" s="1"/>
  <c r="W2962" i="1"/>
  <c r="AK2961" i="1"/>
  <c r="AJ2961" i="1"/>
  <c r="AI2961" i="1"/>
  <c r="AE2961" i="1" s="1"/>
  <c r="AF2961" i="1"/>
  <c r="W2961" i="1"/>
  <c r="AK2960" i="1"/>
  <c r="AJ2960" i="1"/>
  <c r="AI2960" i="1"/>
  <c r="AE2960" i="1" s="1"/>
  <c r="W2960" i="1"/>
  <c r="AK2959" i="1"/>
  <c r="AJ2959" i="1"/>
  <c r="AI2959" i="1"/>
  <c r="AE2959" i="1" s="1"/>
  <c r="W2959" i="1"/>
  <c r="AK2958" i="1"/>
  <c r="AJ2958" i="1"/>
  <c r="AI2958" i="1"/>
  <c r="AE2958" i="1" s="1"/>
  <c r="W2958" i="1"/>
  <c r="AK2957" i="1"/>
  <c r="AJ2957" i="1"/>
  <c r="AI2957" i="1"/>
  <c r="AE2957" i="1" s="1"/>
  <c r="W2957" i="1"/>
  <c r="AK2956" i="1"/>
  <c r="AJ2956" i="1"/>
  <c r="AI2956" i="1"/>
  <c r="AE2956" i="1" s="1"/>
  <c r="W2956" i="1"/>
  <c r="AK2955" i="1"/>
  <c r="AJ2955" i="1"/>
  <c r="AI2955" i="1"/>
  <c r="AE2955" i="1" s="1"/>
  <c r="W2955" i="1"/>
  <c r="AK2954" i="1"/>
  <c r="AJ2954" i="1"/>
  <c r="AI2954" i="1"/>
  <c r="AE2954" i="1" s="1"/>
  <c r="W2954" i="1"/>
  <c r="AK2953" i="1"/>
  <c r="AJ2953" i="1"/>
  <c r="AI2953" i="1"/>
  <c r="AE2953" i="1" s="1"/>
  <c r="W2953" i="1"/>
  <c r="AK2952" i="1"/>
  <c r="AJ2952" i="1"/>
  <c r="AI2952" i="1"/>
  <c r="AE2952" i="1" s="1"/>
  <c r="W2952" i="1"/>
  <c r="AK2951" i="1"/>
  <c r="AJ2951" i="1"/>
  <c r="AI2951" i="1"/>
  <c r="AE2951" i="1" s="1"/>
  <c r="W2951" i="1"/>
  <c r="AK2950" i="1"/>
  <c r="AJ2950" i="1"/>
  <c r="AI2950" i="1"/>
  <c r="AE2950" i="1" s="1"/>
  <c r="W2950" i="1"/>
  <c r="AK2949" i="1"/>
  <c r="AJ2949" i="1"/>
  <c r="AI2949" i="1"/>
  <c r="AE2949" i="1" s="1"/>
  <c r="W2949" i="1"/>
  <c r="AK2948" i="1"/>
  <c r="AJ2948" i="1"/>
  <c r="AI2948" i="1"/>
  <c r="AE2948" i="1" s="1"/>
  <c r="W2948" i="1"/>
  <c r="AK2947" i="1"/>
  <c r="AJ2947" i="1"/>
  <c r="AI2947" i="1"/>
  <c r="AE2947" i="1" s="1"/>
  <c r="W2947" i="1"/>
  <c r="AK2946" i="1"/>
  <c r="AJ2946" i="1"/>
  <c r="AI2946" i="1"/>
  <c r="AE2946" i="1" s="1"/>
  <c r="W2946" i="1"/>
  <c r="AK2945" i="1"/>
  <c r="AJ2945" i="1"/>
  <c r="AI2945" i="1"/>
  <c r="AE2945" i="1" s="1"/>
  <c r="W2945" i="1"/>
  <c r="AK2944" i="1"/>
  <c r="AJ2944" i="1"/>
  <c r="AI2944" i="1"/>
  <c r="AE2944" i="1" s="1"/>
  <c r="W2944" i="1"/>
  <c r="AK2943" i="1"/>
  <c r="AJ2943" i="1"/>
  <c r="AI2943" i="1"/>
  <c r="AE2943" i="1" s="1"/>
  <c r="W2943" i="1"/>
  <c r="AK2942" i="1"/>
  <c r="AJ2942" i="1"/>
  <c r="AI2942" i="1"/>
  <c r="AE2942" i="1" s="1"/>
  <c r="W2942" i="1"/>
  <c r="AK2941" i="1"/>
  <c r="AJ2941" i="1"/>
  <c r="AI2941" i="1"/>
  <c r="AE2941" i="1" s="1"/>
  <c r="W2941" i="1"/>
  <c r="AK2940" i="1"/>
  <c r="AJ2940" i="1"/>
  <c r="AI2940" i="1"/>
  <c r="AE2940" i="1" s="1"/>
  <c r="W2940" i="1"/>
  <c r="AK2939" i="1"/>
  <c r="AJ2939" i="1"/>
  <c r="AI2939" i="1"/>
  <c r="AE2939" i="1" s="1"/>
  <c r="W2939" i="1"/>
  <c r="AK2938" i="1"/>
  <c r="AJ2938" i="1"/>
  <c r="AI2938" i="1"/>
  <c r="AE2938" i="1" s="1"/>
  <c r="W2938" i="1"/>
  <c r="AI2937" i="1"/>
  <c r="AE2937" i="1" s="1"/>
  <c r="V2937" i="1"/>
  <c r="AI2936" i="1"/>
  <c r="AE2936" i="1" s="1"/>
  <c r="V2936" i="1"/>
  <c r="AJ2936" i="1" s="1"/>
  <c r="AI2935" i="1"/>
  <c r="AE2935" i="1" s="1"/>
  <c r="V2935" i="1"/>
  <c r="W2935" i="1" s="1"/>
  <c r="AI2934" i="1"/>
  <c r="AE2934" i="1" s="1"/>
  <c r="V2934" i="1"/>
  <c r="AI2933" i="1"/>
  <c r="AE2933" i="1" s="1"/>
  <c r="V2933" i="1"/>
  <c r="AI2932" i="1"/>
  <c r="AE2932" i="1" s="1"/>
  <c r="V2932" i="1"/>
  <c r="AK2932" i="1" s="1"/>
  <c r="AK2931" i="1"/>
  <c r="AJ2931" i="1"/>
  <c r="AI2931" i="1"/>
  <c r="AE2931" i="1" s="1"/>
  <c r="W2931" i="1"/>
  <c r="AK2930" i="1"/>
  <c r="AJ2930" i="1"/>
  <c r="AI2930" i="1"/>
  <c r="AE2930" i="1" s="1"/>
  <c r="W2930" i="1"/>
  <c r="AK2929" i="1"/>
  <c r="AJ2929" i="1"/>
  <c r="AI2929" i="1"/>
  <c r="AE2929" i="1" s="1"/>
  <c r="W2929" i="1"/>
  <c r="AK2928" i="1"/>
  <c r="AJ2928" i="1"/>
  <c r="AI2928" i="1"/>
  <c r="AE2928" i="1" s="1"/>
  <c r="W2928" i="1"/>
  <c r="AI2927" i="1"/>
  <c r="AE2927" i="1" s="1"/>
  <c r="V2927" i="1"/>
  <c r="AI2926" i="1"/>
  <c r="AE2926" i="1" s="1"/>
  <c r="V2926" i="1"/>
  <c r="AK2925" i="1"/>
  <c r="AJ2925" i="1"/>
  <c r="AI2925" i="1"/>
  <c r="AE2925" i="1" s="1"/>
  <c r="W2925" i="1"/>
  <c r="AI2924" i="1"/>
  <c r="AE2924" i="1" s="1"/>
  <c r="V2924" i="1"/>
  <c r="W2924" i="1" s="1"/>
  <c r="AI2923" i="1"/>
  <c r="AE2923" i="1" s="1"/>
  <c r="V2923" i="1"/>
  <c r="AI2922" i="1"/>
  <c r="AE2922" i="1" s="1"/>
  <c r="V2922" i="1"/>
  <c r="W2922" i="1" s="1"/>
  <c r="AI2921" i="1"/>
  <c r="AE2921" i="1" s="1"/>
  <c r="V2921" i="1"/>
  <c r="AI2920" i="1"/>
  <c r="AE2920" i="1" s="1"/>
  <c r="V2920" i="1"/>
  <c r="W2920" i="1" s="1"/>
  <c r="AI2919" i="1"/>
  <c r="AE2919" i="1" s="1"/>
  <c r="V2919" i="1"/>
  <c r="AI2918" i="1"/>
  <c r="AE2918" i="1" s="1"/>
  <c r="V2918" i="1"/>
  <c r="AJ2918" i="1" s="1"/>
  <c r="AI2917" i="1"/>
  <c r="AE2917" i="1" s="1"/>
  <c r="V2917" i="1"/>
  <c r="AI2916" i="1"/>
  <c r="AE2916" i="1" s="1"/>
  <c r="V2916" i="1"/>
  <c r="AI2915" i="1"/>
  <c r="AE2915" i="1" s="1"/>
  <c r="V2915" i="1"/>
  <c r="AI2914" i="1"/>
  <c r="AE2914" i="1" s="1"/>
  <c r="V2914" i="1"/>
  <c r="AI2913" i="1"/>
  <c r="AE2913" i="1" s="1"/>
  <c r="V2913" i="1"/>
  <c r="AK2912" i="1"/>
  <c r="AJ2912" i="1"/>
  <c r="AI2912" i="1"/>
  <c r="AE2912" i="1" s="1"/>
  <c r="W2912" i="1"/>
  <c r="AK2911" i="1"/>
  <c r="AJ2911" i="1"/>
  <c r="AI2911" i="1"/>
  <c r="AE2911" i="1" s="1"/>
  <c r="W2911" i="1"/>
  <c r="AI2910" i="1"/>
  <c r="AE2910" i="1" s="1"/>
  <c r="V2910" i="1"/>
  <c r="AI2909" i="1"/>
  <c r="AE2909" i="1" s="1"/>
  <c r="V2909" i="1"/>
  <c r="AK2909" i="1" s="1"/>
  <c r="AI2908" i="1"/>
  <c r="AE2908" i="1" s="1"/>
  <c r="V2908" i="1"/>
  <c r="W2908" i="1" s="1"/>
  <c r="AI2907" i="1"/>
  <c r="AE2907" i="1" s="1"/>
  <c r="V2907" i="1"/>
  <c r="AI2906" i="1"/>
  <c r="AE2906" i="1" s="1"/>
  <c r="V2906" i="1"/>
  <c r="AI2905" i="1"/>
  <c r="AE2905" i="1" s="1"/>
  <c r="V2905" i="1"/>
  <c r="AI2904" i="1"/>
  <c r="AE2904" i="1" s="1"/>
  <c r="V2904" i="1"/>
  <c r="W2904" i="1" s="1"/>
  <c r="AI2903" i="1"/>
  <c r="AE2903" i="1" s="1"/>
  <c r="V2903" i="1"/>
  <c r="AI2902" i="1"/>
  <c r="AE2902" i="1" s="1"/>
  <c r="V2902" i="1"/>
  <c r="W2902" i="1" s="1"/>
  <c r="AI2901" i="1"/>
  <c r="AE2901" i="1" s="1"/>
  <c r="V2901" i="1"/>
  <c r="AI2900" i="1"/>
  <c r="AE2900" i="1" s="1"/>
  <c r="V2900" i="1"/>
  <c r="AI2899" i="1"/>
  <c r="AE2899" i="1" s="1"/>
  <c r="V2899" i="1"/>
  <c r="W2899" i="1" s="1"/>
  <c r="AI2898" i="1"/>
  <c r="AE2898" i="1" s="1"/>
  <c r="V2898" i="1"/>
  <c r="W2898" i="1" s="1"/>
  <c r="AI2897" i="1"/>
  <c r="AE2897" i="1" s="1"/>
  <c r="V2897" i="1"/>
  <c r="AI2896" i="1"/>
  <c r="AE2896" i="1" s="1"/>
  <c r="V2896" i="1"/>
  <c r="AI2895" i="1"/>
  <c r="AE2895" i="1" s="1"/>
  <c r="V2895" i="1"/>
  <c r="W2895" i="1" s="1"/>
  <c r="AI2894" i="1"/>
  <c r="AE2894" i="1" s="1"/>
  <c r="V2894" i="1"/>
  <c r="AK2893" i="1"/>
  <c r="AJ2893" i="1"/>
  <c r="AI2893" i="1"/>
  <c r="AE2893" i="1" s="1"/>
  <c r="W2893" i="1"/>
  <c r="AK2892" i="1"/>
  <c r="AJ2892" i="1"/>
  <c r="AI2892" i="1"/>
  <c r="AE2892" i="1" s="1"/>
  <c r="W2892" i="1"/>
  <c r="AK2891" i="1"/>
  <c r="AJ2891" i="1"/>
  <c r="AI2891" i="1"/>
  <c r="AE2891" i="1" s="1"/>
  <c r="W2891" i="1"/>
  <c r="AK2890" i="1"/>
  <c r="AJ2890" i="1"/>
  <c r="AI2890" i="1"/>
  <c r="AE2890" i="1" s="1"/>
  <c r="W2890" i="1"/>
  <c r="AK2889" i="1"/>
  <c r="AJ2889" i="1"/>
  <c r="AI2889" i="1"/>
  <c r="AE2889" i="1" s="1"/>
  <c r="W2889" i="1"/>
  <c r="AK2888" i="1"/>
  <c r="AJ2888" i="1"/>
  <c r="AI2888" i="1"/>
  <c r="AE2888" i="1" s="1"/>
  <c r="W2888" i="1"/>
  <c r="AK2887" i="1"/>
  <c r="AJ2887" i="1"/>
  <c r="AI2887" i="1"/>
  <c r="AE2887" i="1" s="1"/>
  <c r="W2887" i="1"/>
  <c r="AK2886" i="1"/>
  <c r="AJ2886" i="1"/>
  <c r="AI2886" i="1"/>
  <c r="AE2886" i="1" s="1"/>
  <c r="W2886" i="1"/>
  <c r="AI2885" i="1"/>
  <c r="AE2885" i="1" s="1"/>
  <c r="V2885" i="1"/>
  <c r="W2885" i="1" s="1"/>
  <c r="AI2884" i="1"/>
  <c r="AE2884" i="1" s="1"/>
  <c r="V2884" i="1"/>
  <c r="W2884" i="1" s="1"/>
  <c r="AI2883" i="1"/>
  <c r="AE2883" i="1" s="1"/>
  <c r="V2883" i="1"/>
  <c r="W2883" i="1" s="1"/>
  <c r="AK2882" i="1"/>
  <c r="AJ2882" i="1"/>
  <c r="AI2882" i="1"/>
  <c r="AE2882" i="1" s="1"/>
  <c r="W2882" i="1"/>
  <c r="AI2881" i="1"/>
  <c r="AE2881" i="1" s="1"/>
  <c r="V2881" i="1"/>
  <c r="AJ2881" i="1" s="1"/>
  <c r="AK2880" i="1"/>
  <c r="AJ2880" i="1"/>
  <c r="AI2880" i="1"/>
  <c r="AE2880" i="1" s="1"/>
  <c r="W2880" i="1"/>
  <c r="AK2879" i="1"/>
  <c r="AJ2879" i="1"/>
  <c r="AI2879" i="1"/>
  <c r="AE2879" i="1" s="1"/>
  <c r="W2879" i="1"/>
  <c r="AK2878" i="1"/>
  <c r="AJ2878" i="1"/>
  <c r="AI2878" i="1"/>
  <c r="AE2878" i="1" s="1"/>
  <c r="W2878" i="1"/>
  <c r="AI2877" i="1"/>
  <c r="AE2877" i="1" s="1"/>
  <c r="V2877" i="1"/>
  <c r="W2877" i="1" s="1"/>
  <c r="AK2876" i="1"/>
  <c r="AJ2876" i="1"/>
  <c r="AI2876" i="1"/>
  <c r="AE2876" i="1" s="1"/>
  <c r="W2876" i="1"/>
  <c r="AK2875" i="1"/>
  <c r="AJ2875" i="1"/>
  <c r="AI2875" i="1"/>
  <c r="AE2875" i="1" s="1"/>
  <c r="W2875" i="1"/>
  <c r="AI2874" i="1"/>
  <c r="AE2874" i="1" s="1"/>
  <c r="V2874" i="1"/>
  <c r="AI2873" i="1"/>
  <c r="AE2873" i="1" s="1"/>
  <c r="V2873" i="1"/>
  <c r="AJ2873" i="1" s="1"/>
  <c r="AI2872" i="1"/>
  <c r="AE2872" i="1" s="1"/>
  <c r="V2872" i="1"/>
  <c r="AK2872" i="1" s="1"/>
  <c r="AI2871" i="1"/>
  <c r="AE2871" i="1" s="1"/>
  <c r="V2871" i="1"/>
  <c r="AJ2871" i="1" s="1"/>
  <c r="AI2870" i="1"/>
  <c r="AE2870" i="1" s="1"/>
  <c r="V2870" i="1"/>
  <c r="AK2869" i="1"/>
  <c r="AJ2869" i="1"/>
  <c r="AI2869" i="1"/>
  <c r="AE2869" i="1" s="1"/>
  <c r="W2869" i="1"/>
  <c r="AK2868" i="1"/>
  <c r="AJ2868" i="1"/>
  <c r="AI2868" i="1"/>
  <c r="AE2868" i="1" s="1"/>
  <c r="W2868" i="1"/>
  <c r="AK2867" i="1"/>
  <c r="AJ2867" i="1"/>
  <c r="AI2867" i="1"/>
  <c r="AE2867" i="1" s="1"/>
  <c r="W2867" i="1"/>
  <c r="AK2866" i="1"/>
  <c r="AJ2866" i="1"/>
  <c r="AI2866" i="1"/>
  <c r="AE2866" i="1" s="1"/>
  <c r="W2866" i="1"/>
  <c r="AK2865" i="1"/>
  <c r="AJ2865" i="1"/>
  <c r="AI2865" i="1"/>
  <c r="AE2865" i="1" s="1"/>
  <c r="W2865" i="1"/>
  <c r="AK2864" i="1"/>
  <c r="AJ2864" i="1"/>
  <c r="AI2864" i="1"/>
  <c r="AE2864" i="1" s="1"/>
  <c r="W2864" i="1"/>
  <c r="AK2863" i="1"/>
  <c r="AJ2863" i="1"/>
  <c r="AI2863" i="1"/>
  <c r="AE2863" i="1" s="1"/>
  <c r="W2863" i="1"/>
  <c r="AK2862" i="1"/>
  <c r="AJ2862" i="1"/>
  <c r="AI2862" i="1"/>
  <c r="AE2862" i="1" s="1"/>
  <c r="W2862" i="1"/>
  <c r="AK2861" i="1"/>
  <c r="AJ2861" i="1"/>
  <c r="AI2861" i="1"/>
  <c r="AE2861" i="1" s="1"/>
  <c r="W2861" i="1"/>
  <c r="AK2860" i="1"/>
  <c r="AJ2860" i="1"/>
  <c r="AI2860" i="1"/>
  <c r="AE2860" i="1" s="1"/>
  <c r="W2860" i="1"/>
  <c r="AK2859" i="1"/>
  <c r="AJ2859" i="1"/>
  <c r="AI2859" i="1"/>
  <c r="AE2859" i="1" s="1"/>
  <c r="W2859" i="1"/>
  <c r="AK2858" i="1"/>
  <c r="AJ2858" i="1"/>
  <c r="AI2858" i="1"/>
  <c r="AE2858" i="1" s="1"/>
  <c r="AF2858" i="1"/>
  <c r="W2858" i="1"/>
  <c r="AK2857" i="1"/>
  <c r="AJ2857" i="1"/>
  <c r="AI2857" i="1"/>
  <c r="AE2857" i="1" s="1"/>
  <c r="AF2857" i="1"/>
  <c r="W2857" i="1"/>
  <c r="AK2856" i="1"/>
  <c r="AJ2856" i="1"/>
  <c r="AI2856" i="1"/>
  <c r="AE2856" i="1" s="1"/>
  <c r="W2856" i="1"/>
  <c r="AK2855" i="1"/>
  <c r="AJ2855" i="1"/>
  <c r="AI2855" i="1"/>
  <c r="AE2855" i="1" s="1"/>
  <c r="W2855" i="1"/>
  <c r="AK2854" i="1"/>
  <c r="AJ2854" i="1"/>
  <c r="AI2854" i="1"/>
  <c r="AE2854" i="1" s="1"/>
  <c r="W2854" i="1"/>
  <c r="AK2853" i="1"/>
  <c r="AJ2853" i="1"/>
  <c r="AI2853" i="1"/>
  <c r="AE2853" i="1" s="1"/>
  <c r="W2853" i="1"/>
  <c r="AK2852" i="1"/>
  <c r="AJ2852" i="1"/>
  <c r="AI2852" i="1"/>
  <c r="AE2852" i="1" s="1"/>
  <c r="W2852" i="1"/>
  <c r="AK2851" i="1"/>
  <c r="AJ2851" i="1"/>
  <c r="AI2851" i="1"/>
  <c r="AE2851" i="1" s="1"/>
  <c r="W2851" i="1"/>
  <c r="AK2850" i="1"/>
  <c r="AJ2850" i="1"/>
  <c r="AI2850" i="1"/>
  <c r="AE2850" i="1" s="1"/>
  <c r="AK2849" i="1"/>
  <c r="AJ2849" i="1"/>
  <c r="AI2849" i="1"/>
  <c r="AE2849" i="1" s="1"/>
  <c r="W2849" i="1"/>
  <c r="AK2848" i="1"/>
  <c r="AJ2848" i="1"/>
  <c r="AI2848" i="1"/>
  <c r="AE2848" i="1" s="1"/>
  <c r="W2848" i="1"/>
  <c r="AK2847" i="1"/>
  <c r="AJ2847" i="1"/>
  <c r="AI2847" i="1"/>
  <c r="AE2847" i="1" s="1"/>
  <c r="W2847" i="1"/>
  <c r="AK2846" i="1"/>
  <c r="AJ2846" i="1"/>
  <c r="AI2846" i="1"/>
  <c r="AE2846" i="1" s="1"/>
  <c r="W2846" i="1"/>
  <c r="AK2845" i="1"/>
  <c r="AJ2845" i="1"/>
  <c r="AI2845" i="1"/>
  <c r="AE2845" i="1" s="1"/>
  <c r="W2845" i="1"/>
  <c r="AK2844" i="1"/>
  <c r="AJ2844" i="1"/>
  <c r="AI2844" i="1"/>
  <c r="AE2844" i="1" s="1"/>
  <c r="W2844" i="1"/>
  <c r="AK2843" i="1"/>
  <c r="AJ2843" i="1"/>
  <c r="AI2843" i="1"/>
  <c r="AE2843" i="1" s="1"/>
  <c r="W2843" i="1"/>
  <c r="AK2842" i="1"/>
  <c r="AJ2842" i="1"/>
  <c r="AI2842" i="1"/>
  <c r="AE2842" i="1" s="1"/>
  <c r="W2842" i="1"/>
  <c r="AK2841" i="1"/>
  <c r="AJ2841" i="1"/>
  <c r="AI2841" i="1"/>
  <c r="AE2841" i="1" s="1"/>
  <c r="W2841" i="1"/>
  <c r="AK2840" i="1"/>
  <c r="AJ2840" i="1"/>
  <c r="AI2840" i="1"/>
  <c r="AE2840" i="1" s="1"/>
  <c r="W2840" i="1"/>
  <c r="AK2839" i="1"/>
  <c r="AJ2839" i="1"/>
  <c r="AI2839" i="1"/>
  <c r="AE2839" i="1" s="1"/>
  <c r="W2839" i="1"/>
  <c r="AK2838" i="1"/>
  <c r="AJ2838" i="1"/>
  <c r="AI2838" i="1"/>
  <c r="AE2838" i="1" s="1"/>
  <c r="W2838" i="1"/>
  <c r="AI2837" i="1"/>
  <c r="AE2837" i="1" s="1"/>
  <c r="V2837" i="1"/>
  <c r="AJ2837" i="1" s="1"/>
  <c r="AI2836" i="1"/>
  <c r="AE2836" i="1" s="1"/>
  <c r="V2836" i="1"/>
  <c r="AJ2836" i="1" s="1"/>
  <c r="AK2835" i="1"/>
  <c r="AJ2835" i="1"/>
  <c r="AI2835" i="1"/>
  <c r="AE2835" i="1" s="1"/>
  <c r="W2835" i="1"/>
  <c r="AI2834" i="1"/>
  <c r="AE2834" i="1" s="1"/>
  <c r="V2834" i="1"/>
  <c r="AI2833" i="1"/>
  <c r="AE2833" i="1" s="1"/>
  <c r="V2833" i="1"/>
  <c r="AK2832" i="1"/>
  <c r="AJ2832" i="1"/>
  <c r="AI2832" i="1"/>
  <c r="AE2832" i="1" s="1"/>
  <c r="W2832" i="1"/>
  <c r="AI2831" i="1"/>
  <c r="AE2831" i="1" s="1"/>
  <c r="V2831" i="1"/>
  <c r="AK2831" i="1" s="1"/>
  <c r="AJ2830" i="1"/>
  <c r="AI2830" i="1"/>
  <c r="AE2830" i="1" s="1"/>
  <c r="AI2829" i="1"/>
  <c r="AE2829" i="1" s="1"/>
  <c r="V2829" i="1"/>
  <c r="AJ2829" i="1" s="1"/>
  <c r="AK2828" i="1"/>
  <c r="AJ2828" i="1"/>
  <c r="AI2828" i="1"/>
  <c r="AE2828" i="1" s="1"/>
  <c r="W2828" i="1"/>
  <c r="AI2827" i="1"/>
  <c r="AE2827" i="1" s="1"/>
  <c r="V2827" i="1"/>
  <c r="AK2827" i="1" s="1"/>
  <c r="AK2826" i="1"/>
  <c r="AJ2826" i="1"/>
  <c r="AI2826" i="1"/>
  <c r="AE2826" i="1" s="1"/>
  <c r="W2826" i="1"/>
  <c r="AK2825" i="1"/>
  <c r="AJ2825" i="1"/>
  <c r="AI2825" i="1"/>
  <c r="AE2825" i="1" s="1"/>
  <c r="W2825" i="1"/>
  <c r="AK2824" i="1"/>
  <c r="AJ2824" i="1"/>
  <c r="AI2824" i="1"/>
  <c r="AE2824" i="1" s="1"/>
  <c r="W2824" i="1"/>
  <c r="AK2823" i="1"/>
  <c r="AJ2823" i="1"/>
  <c r="AI2823" i="1"/>
  <c r="AE2823" i="1" s="1"/>
  <c r="W2823" i="1"/>
  <c r="AI2822" i="1"/>
  <c r="AE2822" i="1" s="1"/>
  <c r="V2822" i="1"/>
  <c r="AF2822" i="1" s="1"/>
  <c r="AI2821" i="1"/>
  <c r="AE2821" i="1" s="1"/>
  <c r="V2821" i="1"/>
  <c r="AI2820" i="1"/>
  <c r="AE2820" i="1" s="1"/>
  <c r="V2820" i="1"/>
  <c r="AK2820" i="1" s="1"/>
  <c r="AI2819" i="1"/>
  <c r="AE2819" i="1" s="1"/>
  <c r="V2819" i="1"/>
  <c r="W2819" i="1" s="1"/>
  <c r="AI2818" i="1"/>
  <c r="AE2818" i="1" s="1"/>
  <c r="V2818" i="1"/>
  <c r="AK2817" i="1"/>
  <c r="AJ2817" i="1"/>
  <c r="AI2817" i="1"/>
  <c r="AE2817" i="1" s="1"/>
  <c r="W2817" i="1"/>
  <c r="AI2816" i="1"/>
  <c r="AE2816" i="1" s="1"/>
  <c r="V2816" i="1"/>
  <c r="AK2815" i="1"/>
  <c r="AJ2815" i="1"/>
  <c r="AI2815" i="1"/>
  <c r="AE2815" i="1" s="1"/>
  <c r="W2815" i="1"/>
  <c r="AK2814" i="1"/>
  <c r="AJ2814" i="1"/>
  <c r="AI2814" i="1"/>
  <c r="AE2814" i="1" s="1"/>
  <c r="W2814" i="1"/>
  <c r="AI2813" i="1"/>
  <c r="AE2813" i="1" s="1"/>
  <c r="V2813" i="1"/>
  <c r="AJ2813" i="1" s="1"/>
  <c r="AI2812" i="1"/>
  <c r="AE2812" i="1" s="1"/>
  <c r="V2812" i="1"/>
  <c r="AK2811" i="1"/>
  <c r="AJ2811" i="1"/>
  <c r="AI2811" i="1"/>
  <c r="AE2811" i="1" s="1"/>
  <c r="W2811" i="1"/>
  <c r="AI2810" i="1"/>
  <c r="AE2810" i="1" s="1"/>
  <c r="V2810" i="1"/>
  <c r="AJ2810" i="1" s="1"/>
  <c r="AK2809" i="1"/>
  <c r="AJ2809" i="1"/>
  <c r="AI2809" i="1"/>
  <c r="AE2809" i="1" s="1"/>
  <c r="W2809" i="1"/>
  <c r="AK2808" i="1"/>
  <c r="AJ2808" i="1"/>
  <c r="AI2808" i="1"/>
  <c r="AE2808" i="1" s="1"/>
  <c r="W2808" i="1"/>
  <c r="AK2807" i="1"/>
  <c r="AJ2807" i="1"/>
  <c r="AI2807" i="1"/>
  <c r="AE2807" i="1" s="1"/>
  <c r="W2807" i="1"/>
  <c r="AK2806" i="1"/>
  <c r="AJ2806" i="1"/>
  <c r="AI2806" i="1"/>
  <c r="AE2806" i="1" s="1"/>
  <c r="W2806" i="1"/>
  <c r="AI2805" i="1"/>
  <c r="AE2805" i="1" s="1"/>
  <c r="V2805" i="1"/>
  <c r="AK2804" i="1"/>
  <c r="AJ2804" i="1"/>
  <c r="AI2804" i="1"/>
  <c r="AE2804" i="1" s="1"/>
  <c r="W2804" i="1"/>
  <c r="AK2803" i="1"/>
  <c r="AJ2803" i="1"/>
  <c r="AI2803" i="1"/>
  <c r="AE2803" i="1" s="1"/>
  <c r="W2803" i="1"/>
  <c r="AK2802" i="1"/>
  <c r="AJ2802" i="1"/>
  <c r="AI2802" i="1"/>
  <c r="AE2802" i="1" s="1"/>
  <c r="W2802" i="1"/>
  <c r="AK2801" i="1"/>
  <c r="AJ2801" i="1"/>
  <c r="AI2801" i="1"/>
  <c r="AE2801" i="1" s="1"/>
  <c r="W2801" i="1"/>
  <c r="AK2800" i="1"/>
  <c r="AJ2800" i="1"/>
  <c r="AI2800" i="1"/>
  <c r="AE2800" i="1" s="1"/>
  <c r="W2800" i="1"/>
  <c r="AK2799" i="1"/>
  <c r="AJ2799" i="1"/>
  <c r="AI2799" i="1"/>
  <c r="AE2799" i="1" s="1"/>
  <c r="W2799" i="1"/>
  <c r="AI2798" i="1"/>
  <c r="AE2798" i="1" s="1"/>
  <c r="V2798" i="1"/>
  <c r="AI2797" i="1"/>
  <c r="AE2797" i="1" s="1"/>
  <c r="V2797" i="1"/>
  <c r="AK2797" i="1" s="1"/>
  <c r="AI2796" i="1"/>
  <c r="AE2796" i="1" s="1"/>
  <c r="V2796" i="1"/>
  <c r="W2796" i="1" s="1"/>
  <c r="AK2795" i="1"/>
  <c r="AJ2795" i="1"/>
  <c r="AI2795" i="1"/>
  <c r="AE2795" i="1" s="1"/>
  <c r="W2795" i="1"/>
  <c r="AK2794" i="1"/>
  <c r="AJ2794" i="1"/>
  <c r="AI2794" i="1"/>
  <c r="AE2794" i="1" s="1"/>
  <c r="W2794" i="1"/>
  <c r="AK2793" i="1"/>
  <c r="AJ2793" i="1"/>
  <c r="AI2793" i="1"/>
  <c r="AE2793" i="1" s="1"/>
  <c r="W2793" i="1"/>
  <c r="AK2792" i="1"/>
  <c r="AJ2792" i="1"/>
  <c r="AI2792" i="1"/>
  <c r="AE2792" i="1" s="1"/>
  <c r="W2792" i="1"/>
  <c r="AK2791" i="1"/>
  <c r="AJ2791" i="1"/>
  <c r="AI2791" i="1"/>
  <c r="AE2791" i="1" s="1"/>
  <c r="W2791" i="1"/>
  <c r="AK2790" i="1"/>
  <c r="AJ2790" i="1"/>
  <c r="AI2790" i="1"/>
  <c r="AE2790" i="1" s="1"/>
  <c r="W2790" i="1"/>
  <c r="AK2789" i="1"/>
  <c r="AJ2789" i="1"/>
  <c r="AI2789" i="1"/>
  <c r="AE2789" i="1" s="1"/>
  <c r="W2789" i="1"/>
  <c r="AK2788" i="1"/>
  <c r="AJ2788" i="1"/>
  <c r="AI2788" i="1"/>
  <c r="AE2788" i="1" s="1"/>
  <c r="W2788" i="1"/>
  <c r="AK2787" i="1"/>
  <c r="AJ2787" i="1"/>
  <c r="AI2787" i="1"/>
  <c r="AE2787" i="1" s="1"/>
  <c r="W2787" i="1"/>
  <c r="AK2786" i="1"/>
  <c r="AJ2786" i="1"/>
  <c r="AI2786" i="1"/>
  <c r="AE2786" i="1" s="1"/>
  <c r="W2786" i="1"/>
  <c r="AK2785" i="1"/>
  <c r="AJ2785" i="1"/>
  <c r="AI2785" i="1"/>
  <c r="AE2785" i="1" s="1"/>
  <c r="W2785" i="1"/>
  <c r="AK2784" i="1"/>
  <c r="AJ2784" i="1"/>
  <c r="AI2784" i="1"/>
  <c r="AE2784" i="1" s="1"/>
  <c r="W2784" i="1"/>
  <c r="AI2783" i="1"/>
  <c r="AE2783" i="1" s="1"/>
  <c r="V2783" i="1"/>
  <c r="AK2782" i="1"/>
  <c r="AJ2782" i="1"/>
  <c r="AI2782" i="1"/>
  <c r="AE2782" i="1" s="1"/>
  <c r="W2782" i="1"/>
  <c r="AI2781" i="1"/>
  <c r="AE2781" i="1" s="1"/>
  <c r="V2781" i="1"/>
  <c r="AK2781" i="1" s="1"/>
  <c r="AK2780" i="1"/>
  <c r="AJ2780" i="1"/>
  <c r="AI2780" i="1"/>
  <c r="AE2780" i="1" s="1"/>
  <c r="W2780" i="1"/>
  <c r="AK2779" i="1"/>
  <c r="AJ2779" i="1"/>
  <c r="AI2779" i="1"/>
  <c r="AE2779" i="1" s="1"/>
  <c r="W2779" i="1"/>
  <c r="AK2778" i="1"/>
  <c r="AJ2778" i="1"/>
  <c r="AI2778" i="1"/>
  <c r="AE2778" i="1" s="1"/>
  <c r="W2778" i="1"/>
  <c r="AK2777" i="1"/>
  <c r="AJ2777" i="1"/>
  <c r="AI2777" i="1"/>
  <c r="AE2777" i="1" s="1"/>
  <c r="W2777" i="1"/>
  <c r="AK2776" i="1"/>
  <c r="AJ2776" i="1"/>
  <c r="AI2776" i="1"/>
  <c r="AE2776" i="1" s="1"/>
  <c r="W2776" i="1"/>
  <c r="AK2775" i="1"/>
  <c r="AJ2775" i="1"/>
  <c r="AI2775" i="1"/>
  <c r="AE2775" i="1" s="1"/>
  <c r="W2775" i="1"/>
  <c r="AK2774" i="1"/>
  <c r="AJ2774" i="1"/>
  <c r="AI2774" i="1"/>
  <c r="AE2774" i="1" s="1"/>
  <c r="W2774" i="1"/>
  <c r="AK2773" i="1"/>
  <c r="AJ2773" i="1"/>
  <c r="AI2773" i="1"/>
  <c r="AE2773" i="1" s="1"/>
  <c r="W2773" i="1"/>
  <c r="AK2772" i="1"/>
  <c r="AJ2772" i="1"/>
  <c r="AI2772" i="1"/>
  <c r="AE2772" i="1" s="1"/>
  <c r="W2772" i="1"/>
  <c r="AK2771" i="1"/>
  <c r="AJ2771" i="1"/>
  <c r="AI2771" i="1"/>
  <c r="AE2771" i="1" s="1"/>
  <c r="W2771" i="1"/>
  <c r="AI2770" i="1"/>
  <c r="AE2770" i="1" s="1"/>
  <c r="V2770" i="1"/>
  <c r="AK2769" i="1"/>
  <c r="AJ2769" i="1"/>
  <c r="AI2769" i="1"/>
  <c r="AE2769" i="1" s="1"/>
  <c r="W2769" i="1"/>
  <c r="AI2768" i="1"/>
  <c r="AE2768" i="1" s="1"/>
  <c r="V2768" i="1"/>
  <c r="AK2767" i="1"/>
  <c r="AJ2767" i="1"/>
  <c r="AI2767" i="1"/>
  <c r="AE2767" i="1" s="1"/>
  <c r="W2767" i="1"/>
  <c r="AK2766" i="1"/>
  <c r="AJ2766" i="1"/>
  <c r="AI2766" i="1"/>
  <c r="AE2766" i="1" s="1"/>
  <c r="W2766" i="1"/>
  <c r="AK2765" i="1"/>
  <c r="AJ2765" i="1"/>
  <c r="AI2765" i="1"/>
  <c r="AE2765" i="1" s="1"/>
  <c r="W2765" i="1"/>
  <c r="AI2764" i="1"/>
  <c r="AE2764" i="1" s="1"/>
  <c r="V2764" i="1"/>
  <c r="AK2764" i="1" s="1"/>
  <c r="AK2763" i="1"/>
  <c r="AJ2763" i="1"/>
  <c r="AI2763" i="1"/>
  <c r="AE2763" i="1" s="1"/>
  <c r="W2763" i="1"/>
  <c r="AK2762" i="1"/>
  <c r="AJ2762" i="1"/>
  <c r="AI2762" i="1"/>
  <c r="AE2762" i="1" s="1"/>
  <c r="W2762" i="1"/>
  <c r="AK2761" i="1"/>
  <c r="AJ2761" i="1"/>
  <c r="AI2761" i="1"/>
  <c r="AE2761" i="1" s="1"/>
  <c r="W2761" i="1"/>
  <c r="AI2760" i="1"/>
  <c r="AE2760" i="1" s="1"/>
  <c r="V2760" i="1"/>
  <c r="AK2759" i="1"/>
  <c r="AJ2759" i="1"/>
  <c r="AI2759" i="1"/>
  <c r="AE2759" i="1" s="1"/>
  <c r="W2759" i="1"/>
  <c r="AK2758" i="1"/>
  <c r="AJ2758" i="1"/>
  <c r="AI2758" i="1"/>
  <c r="AE2758" i="1" s="1"/>
  <c r="W2758" i="1"/>
  <c r="AI2757" i="1"/>
  <c r="AE2757" i="1" s="1"/>
  <c r="V2757" i="1"/>
  <c r="AK2756" i="1"/>
  <c r="AJ2756" i="1"/>
  <c r="AI2756" i="1"/>
  <c r="AE2756" i="1" s="1"/>
  <c r="W2756" i="1"/>
  <c r="AI2755" i="1"/>
  <c r="AE2755" i="1" s="1"/>
  <c r="V2755" i="1"/>
  <c r="AK2754" i="1"/>
  <c r="AJ2754" i="1"/>
  <c r="AI2754" i="1"/>
  <c r="AE2754" i="1" s="1"/>
  <c r="W2754" i="1"/>
  <c r="AK2753" i="1"/>
  <c r="AJ2753" i="1"/>
  <c r="AI2753" i="1"/>
  <c r="AE2753" i="1" s="1"/>
  <c r="W2753" i="1"/>
  <c r="AK2752" i="1"/>
  <c r="AJ2752" i="1"/>
  <c r="AI2752" i="1"/>
  <c r="AE2752" i="1" s="1"/>
  <c r="W2752" i="1"/>
  <c r="AK2751" i="1"/>
  <c r="AJ2751" i="1"/>
  <c r="AI2751" i="1"/>
  <c r="AE2751" i="1" s="1"/>
  <c r="W2751" i="1"/>
  <c r="AK2750" i="1"/>
  <c r="AJ2750" i="1"/>
  <c r="AI2750" i="1"/>
  <c r="AE2750" i="1" s="1"/>
  <c r="W2750" i="1"/>
  <c r="AI2749" i="1"/>
  <c r="AE2749" i="1" s="1"/>
  <c r="V2749" i="1"/>
  <c r="AK2748" i="1"/>
  <c r="AJ2748" i="1"/>
  <c r="AI2748" i="1"/>
  <c r="AE2748" i="1" s="1"/>
  <c r="W2748" i="1"/>
  <c r="AK2747" i="1"/>
  <c r="AJ2747" i="1"/>
  <c r="AI2747" i="1"/>
  <c r="AE2747" i="1" s="1"/>
  <c r="W2747" i="1"/>
  <c r="AK2746" i="1"/>
  <c r="AJ2746" i="1"/>
  <c r="AI2746" i="1"/>
  <c r="AE2746" i="1" s="1"/>
  <c r="AK2745" i="1"/>
  <c r="AJ2745" i="1"/>
  <c r="AI2745" i="1"/>
  <c r="AE2745" i="1" s="1"/>
  <c r="W2745" i="1"/>
  <c r="AI2744" i="1"/>
  <c r="AE2744" i="1" s="1"/>
  <c r="V2744" i="1"/>
  <c r="AK2744" i="1" s="1"/>
  <c r="AK2743" i="1"/>
  <c r="AJ2743" i="1"/>
  <c r="AI2743" i="1"/>
  <c r="AE2743" i="1" s="1"/>
  <c r="W2743" i="1"/>
  <c r="AK2742" i="1"/>
  <c r="AJ2742" i="1"/>
  <c r="AI2742" i="1"/>
  <c r="AE2742" i="1" s="1"/>
  <c r="W2742" i="1"/>
  <c r="AK2741" i="1"/>
  <c r="AJ2741" i="1"/>
  <c r="AI2741" i="1"/>
  <c r="AE2741" i="1" s="1"/>
  <c r="W2741" i="1"/>
  <c r="AK2740" i="1"/>
  <c r="AJ2740" i="1"/>
  <c r="AI2740" i="1"/>
  <c r="AE2740" i="1" s="1"/>
  <c r="W2740" i="1"/>
  <c r="AK2739" i="1"/>
  <c r="AJ2739" i="1"/>
  <c r="AI2739" i="1"/>
  <c r="AE2739" i="1" s="1"/>
  <c r="W2739" i="1"/>
  <c r="AK2738" i="1"/>
  <c r="AJ2738" i="1"/>
  <c r="AI2738" i="1"/>
  <c r="AE2738" i="1" s="1"/>
  <c r="W2738" i="1"/>
  <c r="AK2737" i="1"/>
  <c r="AJ2737" i="1"/>
  <c r="AI2737" i="1"/>
  <c r="AE2737" i="1" s="1"/>
  <c r="W2737" i="1"/>
  <c r="AK2736" i="1"/>
  <c r="AJ2736" i="1"/>
  <c r="AI2736" i="1"/>
  <c r="AE2736" i="1" s="1"/>
  <c r="W2736" i="1"/>
  <c r="AI2735" i="1"/>
  <c r="AE2735" i="1" s="1"/>
  <c r="V2735" i="1"/>
  <c r="AJ2735" i="1" s="1"/>
  <c r="AK2734" i="1"/>
  <c r="AJ2734" i="1"/>
  <c r="AI2734" i="1"/>
  <c r="AE2734" i="1" s="1"/>
  <c r="W2734" i="1"/>
  <c r="AK2733" i="1"/>
  <c r="AJ2733" i="1"/>
  <c r="AI2733" i="1"/>
  <c r="AE2733" i="1" s="1"/>
  <c r="W2733" i="1"/>
  <c r="AK2732" i="1"/>
  <c r="AJ2732" i="1"/>
  <c r="AI2732" i="1"/>
  <c r="AE2732" i="1" s="1"/>
  <c r="W2732" i="1"/>
  <c r="AK2731" i="1"/>
  <c r="AJ2731" i="1"/>
  <c r="AI2731" i="1"/>
  <c r="AE2731" i="1" s="1"/>
  <c r="W2731" i="1"/>
  <c r="AK2730" i="1"/>
  <c r="AJ2730" i="1"/>
  <c r="AI2730" i="1"/>
  <c r="AE2730" i="1" s="1"/>
  <c r="W2730" i="1"/>
  <c r="AI2729" i="1"/>
  <c r="AE2729" i="1" s="1"/>
  <c r="V2729" i="1"/>
  <c r="AI2728" i="1"/>
  <c r="AE2728" i="1" s="1"/>
  <c r="V2728" i="1"/>
  <c r="W2728" i="1" s="1"/>
  <c r="AI2727" i="1"/>
  <c r="AE2727" i="1" s="1"/>
  <c r="V2727" i="1"/>
  <c r="AJ2727" i="1" s="1"/>
  <c r="AK2726" i="1"/>
  <c r="AJ2726" i="1"/>
  <c r="AI2726" i="1"/>
  <c r="AE2726" i="1" s="1"/>
  <c r="W2726" i="1"/>
  <c r="AK2725" i="1"/>
  <c r="AJ2725" i="1"/>
  <c r="AI2725" i="1"/>
  <c r="AE2725" i="1" s="1"/>
  <c r="W2725" i="1"/>
  <c r="AK2724" i="1"/>
  <c r="AJ2724" i="1"/>
  <c r="AI2724" i="1"/>
  <c r="AE2724" i="1" s="1"/>
  <c r="W2724" i="1"/>
  <c r="AK2723" i="1"/>
  <c r="AJ2723" i="1"/>
  <c r="AI2723" i="1"/>
  <c r="AE2723" i="1" s="1"/>
  <c r="W2723" i="1"/>
  <c r="AK2722" i="1"/>
  <c r="AJ2722" i="1"/>
  <c r="AI2722" i="1"/>
  <c r="AE2722" i="1" s="1"/>
  <c r="W2722" i="1"/>
  <c r="AK2721" i="1"/>
  <c r="AJ2721" i="1"/>
  <c r="AI2721" i="1"/>
  <c r="AE2721" i="1" s="1"/>
  <c r="W2721" i="1"/>
  <c r="AI2720" i="1"/>
  <c r="AE2720" i="1" s="1"/>
  <c r="V2720" i="1"/>
  <c r="AK2720" i="1" s="1"/>
  <c r="AK2719" i="1"/>
  <c r="AJ2719" i="1"/>
  <c r="AI2719" i="1"/>
  <c r="AE2719" i="1" s="1"/>
  <c r="W2719" i="1"/>
  <c r="AI2718" i="1"/>
  <c r="AE2718" i="1" s="1"/>
  <c r="V2718" i="1"/>
  <c r="AK2718" i="1" s="1"/>
  <c r="AI2717" i="1"/>
  <c r="AE2717" i="1" s="1"/>
  <c r="V2717" i="1"/>
  <c r="AJ2717" i="1" s="1"/>
  <c r="AK2716" i="1"/>
  <c r="AJ2716" i="1"/>
  <c r="AI2716" i="1"/>
  <c r="AE2716" i="1" s="1"/>
  <c r="W2716" i="1"/>
  <c r="AK2715" i="1"/>
  <c r="AJ2715" i="1"/>
  <c r="AI2715" i="1"/>
  <c r="AE2715" i="1" s="1"/>
  <c r="W2715" i="1"/>
  <c r="AK2714" i="1"/>
  <c r="AJ2714" i="1"/>
  <c r="AI2714" i="1"/>
  <c r="AE2714" i="1" s="1"/>
  <c r="W2714" i="1"/>
  <c r="AK2713" i="1"/>
  <c r="AJ2713" i="1"/>
  <c r="AI2713" i="1"/>
  <c r="AE2713" i="1" s="1"/>
  <c r="W2713" i="1"/>
  <c r="AK2712" i="1"/>
  <c r="AJ2712" i="1"/>
  <c r="AI2712" i="1"/>
  <c r="AE2712" i="1" s="1"/>
  <c r="W2712" i="1"/>
  <c r="AI2711" i="1"/>
  <c r="AE2711" i="1" s="1"/>
  <c r="V2711" i="1"/>
  <c r="AK2710" i="1"/>
  <c r="AJ2710" i="1"/>
  <c r="AI2710" i="1"/>
  <c r="AE2710" i="1" s="1"/>
  <c r="W2710" i="1"/>
  <c r="AI2709" i="1"/>
  <c r="AE2709" i="1" s="1"/>
  <c r="V2709" i="1"/>
  <c r="AK2709" i="1" s="1"/>
  <c r="AK2708" i="1"/>
  <c r="AJ2708" i="1"/>
  <c r="AI2708" i="1"/>
  <c r="AE2708" i="1" s="1"/>
  <c r="W2708" i="1"/>
  <c r="AI2707" i="1"/>
  <c r="AE2707" i="1" s="1"/>
  <c r="V2707" i="1"/>
  <c r="W2707" i="1" s="1"/>
  <c r="AI2706" i="1"/>
  <c r="AE2706" i="1" s="1"/>
  <c r="V2706" i="1"/>
  <c r="AK2705" i="1"/>
  <c r="AJ2705" i="1"/>
  <c r="AI2705" i="1"/>
  <c r="AE2705" i="1" s="1"/>
  <c r="W2705" i="1"/>
  <c r="AI2704" i="1"/>
  <c r="AE2704" i="1" s="1"/>
  <c r="AK2703" i="1"/>
  <c r="AJ2703" i="1"/>
  <c r="AI2703" i="1"/>
  <c r="AE2703" i="1" s="1"/>
  <c r="W2703" i="1"/>
  <c r="AK2702" i="1"/>
  <c r="AJ2702" i="1"/>
  <c r="AI2702" i="1"/>
  <c r="AE2702" i="1" s="1"/>
  <c r="W2702" i="1"/>
  <c r="AK2701" i="1"/>
  <c r="AJ2701" i="1"/>
  <c r="AI2701" i="1"/>
  <c r="AE2701" i="1" s="1"/>
  <c r="W2701" i="1"/>
  <c r="AK2700" i="1"/>
  <c r="AJ2700" i="1"/>
  <c r="AI2700" i="1"/>
  <c r="AE2700" i="1" s="1"/>
  <c r="W2700" i="1"/>
  <c r="AK2699" i="1"/>
  <c r="AJ2699" i="1"/>
  <c r="AI2699" i="1"/>
  <c r="AE2699" i="1" s="1"/>
  <c r="W2699" i="1"/>
  <c r="AK2698" i="1"/>
  <c r="AJ2698" i="1"/>
  <c r="AI2698" i="1"/>
  <c r="AE2698" i="1" s="1"/>
  <c r="W2698" i="1"/>
  <c r="AK2697" i="1"/>
  <c r="AJ2697" i="1"/>
  <c r="AI2697" i="1"/>
  <c r="AE2697" i="1" s="1"/>
  <c r="W2697" i="1"/>
  <c r="AK2696" i="1"/>
  <c r="AJ2696" i="1"/>
  <c r="AI2696" i="1"/>
  <c r="AE2696" i="1" s="1"/>
  <c r="W2696" i="1"/>
  <c r="AK2695" i="1"/>
  <c r="AJ2695" i="1"/>
  <c r="AI2695" i="1"/>
  <c r="AE2695" i="1" s="1"/>
  <c r="W2695" i="1"/>
  <c r="AK2694" i="1"/>
  <c r="AJ2694" i="1"/>
  <c r="AI2694" i="1"/>
  <c r="AE2694" i="1" s="1"/>
  <c r="W2694" i="1"/>
  <c r="AK2693" i="1"/>
  <c r="AJ2693" i="1"/>
  <c r="AI2693" i="1"/>
  <c r="AE2693" i="1" s="1"/>
  <c r="W2693" i="1"/>
  <c r="AI2692" i="1"/>
  <c r="AE2692" i="1" s="1"/>
  <c r="V2692" i="1"/>
  <c r="AK2691" i="1"/>
  <c r="AJ2691" i="1"/>
  <c r="AI2691" i="1"/>
  <c r="AE2691" i="1" s="1"/>
  <c r="W2691" i="1"/>
  <c r="AK2690" i="1"/>
  <c r="AJ2690" i="1"/>
  <c r="AI2690" i="1"/>
  <c r="AE2690" i="1" s="1"/>
  <c r="W2690" i="1"/>
  <c r="AK2689" i="1"/>
  <c r="AJ2689" i="1"/>
  <c r="AI2689" i="1"/>
  <c r="AE2689" i="1" s="1"/>
  <c r="W2689" i="1"/>
  <c r="AK2688" i="1"/>
  <c r="AJ2688" i="1"/>
  <c r="AI2688" i="1"/>
  <c r="AE2688" i="1" s="1"/>
  <c r="W2688" i="1"/>
  <c r="AK2687" i="1"/>
  <c r="AJ2687" i="1"/>
  <c r="AI2687" i="1"/>
  <c r="AE2687" i="1" s="1"/>
  <c r="W2687" i="1"/>
  <c r="AK2686" i="1"/>
  <c r="AJ2686" i="1"/>
  <c r="AI2686" i="1"/>
  <c r="AE2686" i="1" s="1"/>
  <c r="W2686" i="1"/>
  <c r="AI2685" i="1"/>
  <c r="AE2685" i="1" s="1"/>
  <c r="V2685" i="1"/>
  <c r="AK2684" i="1"/>
  <c r="AJ2684" i="1"/>
  <c r="AI2684" i="1"/>
  <c r="AE2684" i="1" s="1"/>
  <c r="W2684" i="1"/>
  <c r="AK2683" i="1"/>
  <c r="AJ2683" i="1"/>
  <c r="AI2683" i="1"/>
  <c r="AE2683" i="1" s="1"/>
  <c r="W2683" i="1"/>
  <c r="AK2682" i="1"/>
  <c r="AJ2682" i="1"/>
  <c r="AI2682" i="1"/>
  <c r="AE2682" i="1" s="1"/>
  <c r="W2682" i="1"/>
  <c r="AK2681" i="1"/>
  <c r="AJ2681" i="1"/>
  <c r="AI2681" i="1"/>
  <c r="AE2681" i="1" s="1"/>
  <c r="W2681" i="1"/>
  <c r="AI2680" i="1"/>
  <c r="AE2680" i="1" s="1"/>
  <c r="V2680" i="1"/>
  <c r="AK2679" i="1"/>
  <c r="AJ2679" i="1"/>
  <c r="AI2679" i="1"/>
  <c r="AE2679" i="1" s="1"/>
  <c r="W2679" i="1"/>
  <c r="AI2678" i="1"/>
  <c r="AE2678" i="1" s="1"/>
  <c r="V2678" i="1"/>
  <c r="W2678" i="1" s="1"/>
  <c r="AK2677" i="1"/>
  <c r="AJ2677" i="1"/>
  <c r="AI2677" i="1"/>
  <c r="AE2677" i="1" s="1"/>
  <c r="W2677" i="1"/>
  <c r="AK2676" i="1"/>
  <c r="AJ2676" i="1"/>
  <c r="AI2676" i="1"/>
  <c r="AE2676" i="1" s="1"/>
  <c r="W2676" i="1"/>
  <c r="AK2675" i="1"/>
  <c r="AJ2675" i="1"/>
  <c r="AI2675" i="1"/>
  <c r="AE2675" i="1" s="1"/>
  <c r="W2675" i="1"/>
  <c r="AK2674" i="1"/>
  <c r="AJ2674" i="1"/>
  <c r="AI2674" i="1"/>
  <c r="AE2674" i="1" s="1"/>
  <c r="W2674" i="1"/>
  <c r="AK2673" i="1"/>
  <c r="AJ2673" i="1"/>
  <c r="AI2673" i="1"/>
  <c r="AE2673" i="1" s="1"/>
  <c r="W2673" i="1"/>
  <c r="AK2672" i="1"/>
  <c r="AJ2672" i="1"/>
  <c r="AI2672" i="1"/>
  <c r="AE2672" i="1" s="1"/>
  <c r="W2672" i="1"/>
  <c r="AK2671" i="1"/>
  <c r="AJ2671" i="1"/>
  <c r="AI2671" i="1"/>
  <c r="AE2671" i="1" s="1"/>
  <c r="W2671" i="1"/>
  <c r="AK2670" i="1"/>
  <c r="AJ2670" i="1"/>
  <c r="AI2670" i="1"/>
  <c r="AE2670" i="1" s="1"/>
  <c r="W2670" i="1"/>
  <c r="AK2669" i="1"/>
  <c r="AJ2669" i="1"/>
  <c r="AI2669" i="1"/>
  <c r="AE2669" i="1" s="1"/>
  <c r="W2669" i="1"/>
  <c r="AK2668" i="1"/>
  <c r="AJ2668" i="1"/>
  <c r="AI2668" i="1"/>
  <c r="AE2668" i="1" s="1"/>
  <c r="W2668" i="1"/>
  <c r="AK2667" i="1"/>
  <c r="AJ2667" i="1"/>
  <c r="AI2667" i="1"/>
  <c r="AE2667" i="1" s="1"/>
  <c r="W2667" i="1"/>
  <c r="AK2666" i="1"/>
  <c r="AJ2666" i="1"/>
  <c r="AI2666" i="1"/>
  <c r="AE2666" i="1" s="1"/>
  <c r="W2666" i="1"/>
  <c r="AK2665" i="1"/>
  <c r="AJ2665" i="1"/>
  <c r="AI2665" i="1"/>
  <c r="AE2665" i="1" s="1"/>
  <c r="W2665" i="1"/>
  <c r="AI2664" i="1"/>
  <c r="AE2664" i="1" s="1"/>
  <c r="V2664" i="1"/>
  <c r="W2664" i="1" s="1"/>
  <c r="AK2663" i="1"/>
  <c r="AJ2663" i="1"/>
  <c r="AI2663" i="1"/>
  <c r="AE2663" i="1" s="1"/>
  <c r="W2663" i="1"/>
  <c r="AK2662" i="1"/>
  <c r="AJ2662" i="1"/>
  <c r="AI2662" i="1"/>
  <c r="AE2662" i="1" s="1"/>
  <c r="W2662" i="1"/>
  <c r="AK2661" i="1"/>
  <c r="AJ2661" i="1"/>
  <c r="AI2661" i="1"/>
  <c r="AE2661" i="1" s="1"/>
  <c r="W2661" i="1"/>
  <c r="AK2660" i="1"/>
  <c r="AJ2660" i="1"/>
  <c r="AI2660" i="1"/>
  <c r="AE2660" i="1" s="1"/>
  <c r="W2660" i="1"/>
  <c r="AK2659" i="1"/>
  <c r="AJ2659" i="1"/>
  <c r="AI2659" i="1"/>
  <c r="AE2659" i="1" s="1"/>
  <c r="W2659" i="1"/>
  <c r="AK2658" i="1"/>
  <c r="AJ2658" i="1"/>
  <c r="AI2658" i="1"/>
  <c r="AE2658" i="1" s="1"/>
  <c r="W2658" i="1"/>
  <c r="AK2657" i="1"/>
  <c r="AJ2657" i="1"/>
  <c r="AI2657" i="1"/>
  <c r="AE2657" i="1" s="1"/>
  <c r="AF2657" i="1"/>
  <c r="W2657" i="1"/>
  <c r="AK2656" i="1"/>
  <c r="AJ2656" i="1"/>
  <c r="AI2656" i="1"/>
  <c r="AE2656" i="1" s="1"/>
  <c r="W2656" i="1"/>
  <c r="AK2655" i="1"/>
  <c r="AJ2655" i="1"/>
  <c r="AI2655" i="1"/>
  <c r="AE2655" i="1" s="1"/>
  <c r="W2655" i="1"/>
  <c r="AI2654" i="1"/>
  <c r="AE2654" i="1" s="1"/>
  <c r="V2654" i="1"/>
  <c r="AK2653" i="1"/>
  <c r="AJ2653" i="1"/>
  <c r="AI2653" i="1"/>
  <c r="AE2653" i="1" s="1"/>
  <c r="W2653" i="1"/>
  <c r="AK2652" i="1"/>
  <c r="AJ2652" i="1"/>
  <c r="AI2652" i="1"/>
  <c r="AE2652" i="1" s="1"/>
  <c r="W2652" i="1"/>
  <c r="AK2651" i="1"/>
  <c r="AJ2651" i="1"/>
  <c r="AI2651" i="1"/>
  <c r="AE2651" i="1" s="1"/>
  <c r="W2651" i="1"/>
  <c r="AK2650" i="1"/>
  <c r="AJ2650" i="1"/>
  <c r="AI2650" i="1"/>
  <c r="AE2650" i="1" s="1"/>
  <c r="W2650" i="1"/>
  <c r="AK2649" i="1"/>
  <c r="AJ2649" i="1"/>
  <c r="AI2649" i="1"/>
  <c r="AE2649" i="1" s="1"/>
  <c r="W2649" i="1"/>
  <c r="AK2648" i="1"/>
  <c r="AJ2648" i="1"/>
  <c r="AI2648" i="1"/>
  <c r="AE2648" i="1" s="1"/>
  <c r="W2648" i="1"/>
  <c r="AK2647" i="1"/>
  <c r="AJ2647" i="1"/>
  <c r="AI2647" i="1"/>
  <c r="AE2647" i="1" s="1"/>
  <c r="W2647" i="1"/>
  <c r="AK2646" i="1"/>
  <c r="AJ2646" i="1"/>
  <c r="AI2646" i="1"/>
  <c r="AE2646" i="1" s="1"/>
  <c r="W2646" i="1"/>
  <c r="AK2645" i="1"/>
  <c r="AJ2645" i="1"/>
  <c r="AI2645" i="1"/>
  <c r="AE2645" i="1" s="1"/>
  <c r="W2645" i="1"/>
  <c r="AK2644" i="1"/>
  <c r="AJ2644" i="1"/>
  <c r="AI2644" i="1"/>
  <c r="AE2644" i="1" s="1"/>
  <c r="W2644" i="1"/>
  <c r="AI2643" i="1"/>
  <c r="AE2643" i="1" s="1"/>
  <c r="V2643" i="1"/>
  <c r="AK2643" i="1" s="1"/>
  <c r="AK2642" i="1"/>
  <c r="AJ2642" i="1"/>
  <c r="AI2642" i="1"/>
  <c r="AE2642" i="1" s="1"/>
  <c r="W2642" i="1"/>
  <c r="AK2641" i="1"/>
  <c r="AJ2641" i="1"/>
  <c r="AI2641" i="1"/>
  <c r="AE2641" i="1" s="1"/>
  <c r="AF2641" i="1"/>
  <c r="W2641" i="1"/>
  <c r="AK2640" i="1"/>
  <c r="AJ2640" i="1"/>
  <c r="AI2640" i="1"/>
  <c r="AE2640" i="1" s="1"/>
  <c r="W2640" i="1"/>
  <c r="AI2639" i="1"/>
  <c r="AE2639" i="1" s="1"/>
  <c r="V2639" i="1"/>
  <c r="AK2639" i="1" s="1"/>
  <c r="AK2638" i="1"/>
  <c r="AJ2638" i="1"/>
  <c r="AI2638" i="1"/>
  <c r="AE2638" i="1" s="1"/>
  <c r="W2638" i="1"/>
  <c r="AK2637" i="1"/>
  <c r="AJ2637" i="1"/>
  <c r="AI2637" i="1"/>
  <c r="AE2637" i="1" s="1"/>
  <c r="W2637" i="1"/>
  <c r="AK2636" i="1"/>
  <c r="AJ2636" i="1"/>
  <c r="AI2636" i="1"/>
  <c r="AE2636" i="1" s="1"/>
  <c r="W2636" i="1"/>
  <c r="AK2635" i="1"/>
  <c r="AJ2635" i="1"/>
  <c r="AI2635" i="1"/>
  <c r="AE2635" i="1" s="1"/>
  <c r="W2635" i="1"/>
  <c r="AK2634" i="1"/>
  <c r="AJ2634" i="1"/>
  <c r="AI2634" i="1"/>
  <c r="AE2634" i="1" s="1"/>
  <c r="W2634" i="1"/>
  <c r="AK2633" i="1"/>
  <c r="AJ2633" i="1"/>
  <c r="AI2633" i="1"/>
  <c r="AE2633" i="1" s="1"/>
  <c r="W2633" i="1"/>
  <c r="AK2632" i="1"/>
  <c r="AJ2632" i="1"/>
  <c r="AI2632" i="1"/>
  <c r="AE2632" i="1" s="1"/>
  <c r="W2632" i="1"/>
  <c r="AI2631" i="1"/>
  <c r="AE2631" i="1" s="1"/>
  <c r="V2631" i="1"/>
  <c r="AI2630" i="1"/>
  <c r="AE2630" i="1" s="1"/>
  <c r="V2630" i="1"/>
  <c r="AK2629" i="1"/>
  <c r="AJ2629" i="1"/>
  <c r="AI2629" i="1"/>
  <c r="AE2629" i="1" s="1"/>
  <c r="W2629" i="1"/>
  <c r="AI2628" i="1"/>
  <c r="AE2628" i="1" s="1"/>
  <c r="V2628" i="1"/>
  <c r="AJ2628" i="1" s="1"/>
  <c r="AI2627" i="1"/>
  <c r="AE2627" i="1" s="1"/>
  <c r="V2627" i="1"/>
  <c r="AJ2627" i="1" s="1"/>
  <c r="AI2626" i="1"/>
  <c r="AE2626" i="1" s="1"/>
  <c r="V2626" i="1"/>
  <c r="AK2625" i="1"/>
  <c r="AJ2625" i="1"/>
  <c r="AI2625" i="1"/>
  <c r="AE2625" i="1" s="1"/>
  <c r="W2625" i="1"/>
  <c r="AK2624" i="1"/>
  <c r="AJ2624" i="1"/>
  <c r="AI2624" i="1"/>
  <c r="AE2624" i="1" s="1"/>
  <c r="W2624" i="1"/>
  <c r="AK2623" i="1"/>
  <c r="AJ2623" i="1"/>
  <c r="AI2623" i="1"/>
  <c r="AE2623" i="1" s="1"/>
  <c r="W2623" i="1"/>
  <c r="AK2622" i="1"/>
  <c r="AJ2622" i="1"/>
  <c r="AI2622" i="1"/>
  <c r="AE2622" i="1" s="1"/>
  <c r="W2622" i="1"/>
  <c r="AK2621" i="1"/>
  <c r="AJ2621" i="1"/>
  <c r="AI2621" i="1"/>
  <c r="AE2621" i="1" s="1"/>
  <c r="W2621" i="1"/>
  <c r="AK2620" i="1"/>
  <c r="AJ2620" i="1"/>
  <c r="AI2620" i="1"/>
  <c r="AE2620" i="1" s="1"/>
  <c r="W2620" i="1"/>
  <c r="AK2619" i="1"/>
  <c r="AJ2619" i="1"/>
  <c r="AI2619" i="1"/>
  <c r="AE2619" i="1" s="1"/>
  <c r="W2619" i="1"/>
  <c r="AK2618" i="1"/>
  <c r="AJ2618" i="1"/>
  <c r="AI2618" i="1"/>
  <c r="AE2618" i="1" s="1"/>
  <c r="W2618" i="1"/>
  <c r="AK2617" i="1"/>
  <c r="AJ2617" i="1"/>
  <c r="AI2617" i="1"/>
  <c r="AE2617" i="1" s="1"/>
  <c r="W2617" i="1"/>
  <c r="AK2616" i="1"/>
  <c r="AJ2616" i="1"/>
  <c r="AI2616" i="1"/>
  <c r="AE2616" i="1" s="1"/>
  <c r="W2616" i="1"/>
  <c r="AI2615" i="1"/>
  <c r="AE2615" i="1" s="1"/>
  <c r="V2615" i="1"/>
  <c r="AK2614" i="1"/>
  <c r="AJ2614" i="1"/>
  <c r="AI2614" i="1"/>
  <c r="AE2614" i="1" s="1"/>
  <c r="W2614" i="1"/>
  <c r="AI2613" i="1"/>
  <c r="AE2613" i="1" s="1"/>
  <c r="V2613" i="1"/>
  <c r="AJ2613" i="1" s="1"/>
  <c r="AK2612" i="1"/>
  <c r="AJ2612" i="1"/>
  <c r="AI2612" i="1"/>
  <c r="AE2612" i="1" s="1"/>
  <c r="W2612" i="1"/>
  <c r="AK2611" i="1"/>
  <c r="AJ2611" i="1"/>
  <c r="AI2611" i="1"/>
  <c r="AE2611" i="1" s="1"/>
  <c r="W2611" i="1"/>
  <c r="AK2610" i="1"/>
  <c r="AJ2610" i="1"/>
  <c r="AI2610" i="1"/>
  <c r="AE2610" i="1" s="1"/>
  <c r="W2610" i="1"/>
  <c r="AK2609" i="1"/>
  <c r="AJ2609" i="1"/>
  <c r="AI2609" i="1"/>
  <c r="AE2609" i="1" s="1"/>
  <c r="W2609" i="1"/>
  <c r="AK2608" i="1"/>
  <c r="AJ2608" i="1"/>
  <c r="AI2608" i="1"/>
  <c r="AE2608" i="1" s="1"/>
  <c r="W2608" i="1"/>
  <c r="AK2607" i="1"/>
  <c r="AJ2607" i="1"/>
  <c r="AI2607" i="1"/>
  <c r="AE2607" i="1" s="1"/>
  <c r="W2607" i="1"/>
  <c r="AK2606" i="1"/>
  <c r="AJ2606" i="1"/>
  <c r="AI2606" i="1"/>
  <c r="AE2606" i="1" s="1"/>
  <c r="W2606" i="1"/>
  <c r="AI2605" i="1"/>
  <c r="AE2605" i="1" s="1"/>
  <c r="V2605" i="1"/>
  <c r="AI2604" i="1"/>
  <c r="AE2604" i="1" s="1"/>
  <c r="V2604" i="1"/>
  <c r="AK2603" i="1"/>
  <c r="AJ2603" i="1"/>
  <c r="AI2603" i="1"/>
  <c r="AE2603" i="1" s="1"/>
  <c r="W2603" i="1"/>
  <c r="AK2602" i="1"/>
  <c r="AJ2602" i="1"/>
  <c r="AI2602" i="1"/>
  <c r="AE2602" i="1" s="1"/>
  <c r="W2602" i="1"/>
  <c r="AK2601" i="1"/>
  <c r="AJ2601" i="1"/>
  <c r="AI2601" i="1"/>
  <c r="AE2601" i="1" s="1"/>
  <c r="W2601" i="1"/>
  <c r="AK2600" i="1"/>
  <c r="AJ2600" i="1"/>
  <c r="AI2600" i="1"/>
  <c r="AE2600" i="1" s="1"/>
  <c r="W2600" i="1"/>
  <c r="AI2599" i="1"/>
  <c r="AE2599" i="1" s="1"/>
  <c r="V2599" i="1"/>
  <c r="AI2598" i="1"/>
  <c r="AE2598" i="1" s="1"/>
  <c r="V2598" i="1"/>
  <c r="AK2597" i="1"/>
  <c r="AJ2597" i="1"/>
  <c r="AI2597" i="1"/>
  <c r="AE2597" i="1" s="1"/>
  <c r="W2597" i="1"/>
  <c r="AK2596" i="1"/>
  <c r="AJ2596" i="1"/>
  <c r="AI2596" i="1"/>
  <c r="AE2596" i="1" s="1"/>
  <c r="W2596" i="1"/>
  <c r="AI2595" i="1"/>
  <c r="AE2595" i="1" s="1"/>
  <c r="V2595" i="1"/>
  <c r="AJ2595" i="1" s="1"/>
  <c r="AK2594" i="1"/>
  <c r="AJ2594" i="1"/>
  <c r="AI2594" i="1"/>
  <c r="AE2594" i="1" s="1"/>
  <c r="W2594" i="1"/>
  <c r="AI2593" i="1"/>
  <c r="AE2593" i="1" s="1"/>
  <c r="V2593" i="1"/>
  <c r="W2593" i="1" s="1"/>
  <c r="AK2592" i="1"/>
  <c r="AJ2592" i="1"/>
  <c r="AI2592" i="1"/>
  <c r="AE2592" i="1" s="1"/>
  <c r="W2592" i="1"/>
  <c r="AK2591" i="1"/>
  <c r="AJ2591" i="1"/>
  <c r="AI2591" i="1"/>
  <c r="AE2591" i="1" s="1"/>
  <c r="W2591" i="1"/>
  <c r="AI2590" i="1"/>
  <c r="AE2590" i="1" s="1"/>
  <c r="V2590" i="1"/>
  <c r="AK2589" i="1"/>
  <c r="AJ2589" i="1"/>
  <c r="AI2589" i="1"/>
  <c r="AE2589" i="1" s="1"/>
  <c r="W2589" i="1"/>
  <c r="AK2588" i="1"/>
  <c r="AJ2588" i="1"/>
  <c r="AI2588" i="1"/>
  <c r="AE2588" i="1" s="1"/>
  <c r="W2588" i="1"/>
  <c r="AK2587" i="1"/>
  <c r="AJ2587" i="1"/>
  <c r="AI2587" i="1"/>
  <c r="AE2587" i="1" s="1"/>
  <c r="W2587" i="1"/>
  <c r="AK2586" i="1"/>
  <c r="AJ2586" i="1"/>
  <c r="AI2586" i="1"/>
  <c r="AE2586" i="1" s="1"/>
  <c r="AF2586" i="1"/>
  <c r="W2586" i="1"/>
  <c r="AK2585" i="1"/>
  <c r="AJ2585" i="1"/>
  <c r="AI2585" i="1"/>
  <c r="AE2585" i="1" s="1"/>
  <c r="W2585" i="1"/>
  <c r="AI2584" i="1"/>
  <c r="AE2584" i="1" s="1"/>
  <c r="V2584" i="1"/>
  <c r="AK2583" i="1"/>
  <c r="AJ2583" i="1"/>
  <c r="AI2583" i="1"/>
  <c r="AE2583" i="1" s="1"/>
  <c r="W2583" i="1"/>
  <c r="AK2582" i="1"/>
  <c r="AJ2582" i="1"/>
  <c r="AI2582" i="1"/>
  <c r="AE2582" i="1" s="1"/>
  <c r="W2582" i="1"/>
  <c r="AI2581" i="1"/>
  <c r="AE2581" i="1" s="1"/>
  <c r="V2581" i="1"/>
  <c r="AJ2581" i="1" s="1"/>
  <c r="AK2580" i="1"/>
  <c r="AJ2580" i="1"/>
  <c r="AI2580" i="1"/>
  <c r="AE2580" i="1" s="1"/>
  <c r="W2580" i="1"/>
  <c r="AK2579" i="1"/>
  <c r="AJ2579" i="1"/>
  <c r="AI2579" i="1"/>
  <c r="AE2579" i="1" s="1"/>
  <c r="W2579" i="1"/>
  <c r="AK2578" i="1"/>
  <c r="AJ2578" i="1"/>
  <c r="AI2578" i="1"/>
  <c r="AE2578" i="1" s="1"/>
  <c r="W2578" i="1"/>
  <c r="AK2577" i="1"/>
  <c r="AJ2577" i="1"/>
  <c r="AI2577" i="1"/>
  <c r="AE2577" i="1" s="1"/>
  <c r="W2577" i="1"/>
  <c r="AK2576" i="1"/>
  <c r="AJ2576" i="1"/>
  <c r="AI2576" i="1"/>
  <c r="AE2576" i="1" s="1"/>
  <c r="W2576" i="1"/>
  <c r="AK2575" i="1"/>
  <c r="AJ2575" i="1"/>
  <c r="AI2575" i="1"/>
  <c r="AE2575" i="1" s="1"/>
  <c r="W2575" i="1"/>
  <c r="AK2574" i="1"/>
  <c r="AJ2574" i="1"/>
  <c r="AI2574" i="1"/>
  <c r="AE2574" i="1" s="1"/>
  <c r="W2574" i="1"/>
  <c r="AK2573" i="1"/>
  <c r="AJ2573" i="1"/>
  <c r="AI2573" i="1"/>
  <c r="AE2573" i="1" s="1"/>
  <c r="W2573" i="1"/>
  <c r="AI2572" i="1"/>
  <c r="AE2572" i="1" s="1"/>
  <c r="V2572" i="1"/>
  <c r="AI2571" i="1"/>
  <c r="AE2571" i="1" s="1"/>
  <c r="V2571" i="1"/>
  <c r="AI2570" i="1"/>
  <c r="AE2570" i="1" s="1"/>
  <c r="V2570" i="1"/>
  <c r="AI2569" i="1"/>
  <c r="AE2569" i="1" s="1"/>
  <c r="V2569" i="1"/>
  <c r="AI2568" i="1"/>
  <c r="AE2568" i="1" s="1"/>
  <c r="V2568" i="1"/>
  <c r="AJ2568" i="1" s="1"/>
  <c r="AK2567" i="1"/>
  <c r="AJ2567" i="1"/>
  <c r="AI2567" i="1"/>
  <c r="AE2567" i="1" s="1"/>
  <c r="W2567" i="1"/>
  <c r="AK2566" i="1"/>
  <c r="AJ2566" i="1"/>
  <c r="AI2566" i="1"/>
  <c r="AE2566" i="1" s="1"/>
  <c r="W2566" i="1"/>
  <c r="AK2565" i="1"/>
  <c r="AJ2565" i="1"/>
  <c r="AI2565" i="1"/>
  <c r="AE2565" i="1" s="1"/>
  <c r="W2565" i="1"/>
  <c r="AI2564" i="1"/>
  <c r="AE2564" i="1" s="1"/>
  <c r="V2564" i="1"/>
  <c r="AK2563" i="1"/>
  <c r="AJ2563" i="1"/>
  <c r="AI2563" i="1"/>
  <c r="AE2563" i="1" s="1"/>
  <c r="W2563" i="1"/>
  <c r="AK2562" i="1"/>
  <c r="AJ2562" i="1"/>
  <c r="AI2562" i="1"/>
  <c r="AE2562" i="1" s="1"/>
  <c r="W2562" i="1"/>
  <c r="AI2561" i="1"/>
  <c r="AE2561" i="1" s="1"/>
  <c r="V2561" i="1"/>
  <c r="AJ2561" i="1" s="1"/>
  <c r="AK2560" i="1"/>
  <c r="AJ2560" i="1"/>
  <c r="AI2560" i="1"/>
  <c r="AE2560" i="1" s="1"/>
  <c r="W2560" i="1"/>
  <c r="AI2559" i="1"/>
  <c r="AE2559" i="1" s="1"/>
  <c r="V2559" i="1"/>
  <c r="AI2558" i="1"/>
  <c r="AE2558" i="1" s="1"/>
  <c r="V2558" i="1"/>
  <c r="AK2557" i="1"/>
  <c r="AJ2557" i="1"/>
  <c r="AI2557" i="1"/>
  <c r="AE2557" i="1" s="1"/>
  <c r="W2557" i="1"/>
  <c r="AI2556" i="1"/>
  <c r="AE2556" i="1" s="1"/>
  <c r="V2556" i="1"/>
  <c r="AK2555" i="1"/>
  <c r="AJ2555" i="1"/>
  <c r="AI2555" i="1"/>
  <c r="AE2555" i="1" s="1"/>
  <c r="W2555" i="1"/>
  <c r="AK2554" i="1"/>
  <c r="AJ2554" i="1"/>
  <c r="AI2554" i="1"/>
  <c r="AE2554" i="1" s="1"/>
  <c r="W2554" i="1"/>
  <c r="AI2553" i="1"/>
  <c r="AE2553" i="1" s="1"/>
  <c r="V2553" i="1"/>
  <c r="AK2552" i="1"/>
  <c r="AJ2552" i="1"/>
  <c r="AI2552" i="1"/>
  <c r="AE2552" i="1" s="1"/>
  <c r="W2552" i="1"/>
  <c r="AK2551" i="1"/>
  <c r="AJ2551" i="1"/>
  <c r="AI2551" i="1"/>
  <c r="AE2551" i="1" s="1"/>
  <c r="W2551" i="1"/>
  <c r="AK2550" i="1"/>
  <c r="AJ2550" i="1"/>
  <c r="AI2550" i="1"/>
  <c r="AE2550" i="1" s="1"/>
  <c r="W2550" i="1"/>
  <c r="AK2549" i="1"/>
  <c r="AJ2549" i="1"/>
  <c r="AI2549" i="1"/>
  <c r="AE2549" i="1" s="1"/>
  <c r="W2549" i="1"/>
  <c r="AK2548" i="1"/>
  <c r="AJ2548" i="1"/>
  <c r="AI2548" i="1"/>
  <c r="AE2548" i="1" s="1"/>
  <c r="W2548" i="1"/>
  <c r="AI2547" i="1"/>
  <c r="AE2547" i="1" s="1"/>
  <c r="V2547" i="1"/>
  <c r="AK2547" i="1" s="1"/>
  <c r="AK2546" i="1"/>
  <c r="AJ2546" i="1"/>
  <c r="AI2546" i="1"/>
  <c r="AE2546" i="1" s="1"/>
  <c r="W2546" i="1"/>
  <c r="AK2545" i="1"/>
  <c r="AJ2545" i="1"/>
  <c r="AI2545" i="1"/>
  <c r="AE2545" i="1" s="1"/>
  <c r="W2545" i="1"/>
  <c r="AI2544" i="1"/>
  <c r="AE2544" i="1" s="1"/>
  <c r="V2544" i="1"/>
  <c r="W2544" i="1" s="1"/>
  <c r="AK2543" i="1"/>
  <c r="AJ2543" i="1"/>
  <c r="AI2543" i="1"/>
  <c r="AE2543" i="1" s="1"/>
  <c r="W2543" i="1"/>
  <c r="AK2542" i="1"/>
  <c r="AJ2542" i="1"/>
  <c r="AI2542" i="1"/>
  <c r="AE2542" i="1" s="1"/>
  <c r="W2542" i="1"/>
  <c r="AI2541" i="1"/>
  <c r="AE2541" i="1" s="1"/>
  <c r="V2541" i="1"/>
  <c r="W2541" i="1" s="1"/>
  <c r="AI2540" i="1"/>
  <c r="AE2540" i="1" s="1"/>
  <c r="V2540" i="1"/>
  <c r="AI2539" i="1"/>
  <c r="AE2539" i="1" s="1"/>
  <c r="V2539" i="1"/>
  <c r="AJ2539" i="1" s="1"/>
  <c r="AK2538" i="1"/>
  <c r="AJ2538" i="1"/>
  <c r="AI2538" i="1"/>
  <c r="AE2538" i="1" s="1"/>
  <c r="W2538" i="1"/>
  <c r="AK2537" i="1"/>
  <c r="AJ2537" i="1"/>
  <c r="AI2537" i="1"/>
  <c r="AE2537" i="1" s="1"/>
  <c r="W2537" i="1"/>
  <c r="AK2536" i="1"/>
  <c r="AJ2536" i="1"/>
  <c r="AI2536" i="1"/>
  <c r="AE2536" i="1" s="1"/>
  <c r="W2536" i="1"/>
  <c r="AK2535" i="1"/>
  <c r="AJ2535" i="1"/>
  <c r="AI2535" i="1"/>
  <c r="AE2535" i="1" s="1"/>
  <c r="W2535" i="1"/>
  <c r="AK2534" i="1"/>
  <c r="AJ2534" i="1"/>
  <c r="AI2534" i="1"/>
  <c r="AE2534" i="1" s="1"/>
  <c r="W2534" i="1"/>
  <c r="AK2533" i="1"/>
  <c r="AJ2533" i="1"/>
  <c r="AI2533" i="1"/>
  <c r="AE2533" i="1" s="1"/>
  <c r="W2533" i="1"/>
  <c r="AK2532" i="1"/>
  <c r="AJ2532" i="1"/>
  <c r="AI2532" i="1"/>
  <c r="AE2532" i="1" s="1"/>
  <c r="W2532" i="1"/>
  <c r="AK2531" i="1"/>
  <c r="AJ2531" i="1"/>
  <c r="AI2531" i="1"/>
  <c r="AE2531" i="1" s="1"/>
  <c r="W2531" i="1"/>
  <c r="AI2530" i="1"/>
  <c r="AE2530" i="1" s="1"/>
  <c r="V2530" i="1"/>
  <c r="AI2529" i="1"/>
  <c r="AE2529" i="1" s="1"/>
  <c r="V2529" i="1"/>
  <c r="AK2528" i="1"/>
  <c r="AJ2528" i="1"/>
  <c r="AI2528" i="1"/>
  <c r="AE2528" i="1" s="1"/>
  <c r="W2528" i="1"/>
  <c r="AK2527" i="1"/>
  <c r="AJ2527" i="1"/>
  <c r="AI2527" i="1"/>
  <c r="AE2527" i="1" s="1"/>
  <c r="W2527" i="1"/>
  <c r="AK2526" i="1"/>
  <c r="AJ2526" i="1"/>
  <c r="AI2526" i="1"/>
  <c r="AE2526" i="1" s="1"/>
  <c r="W2526" i="1"/>
  <c r="AK2525" i="1"/>
  <c r="AJ2525" i="1"/>
  <c r="AI2525" i="1"/>
  <c r="AE2525" i="1" s="1"/>
  <c r="AI2524" i="1"/>
  <c r="AE2524" i="1" s="1"/>
  <c r="V2524" i="1"/>
  <c r="AK2523" i="1"/>
  <c r="AJ2523" i="1"/>
  <c r="AI2523" i="1"/>
  <c r="AE2523" i="1" s="1"/>
  <c r="W2523" i="1"/>
  <c r="AI2522" i="1"/>
  <c r="AE2522" i="1" s="1"/>
  <c r="V2522" i="1"/>
  <c r="W2522" i="1" s="1"/>
  <c r="AI2521" i="1"/>
  <c r="AE2521" i="1" s="1"/>
  <c r="V2521" i="1"/>
  <c r="AI2520" i="1"/>
  <c r="AE2520" i="1" s="1"/>
  <c r="V2520" i="1"/>
  <c r="AK2519" i="1"/>
  <c r="AJ2519" i="1"/>
  <c r="AI2519" i="1"/>
  <c r="AE2519" i="1" s="1"/>
  <c r="W2519" i="1"/>
  <c r="AI2518" i="1"/>
  <c r="AE2518" i="1" s="1"/>
  <c r="V2518" i="1"/>
  <c r="AI2517" i="1"/>
  <c r="AE2517" i="1" s="1"/>
  <c r="V2517" i="1"/>
  <c r="AK2516" i="1"/>
  <c r="AJ2516" i="1"/>
  <c r="AI2516" i="1"/>
  <c r="AE2516" i="1" s="1"/>
  <c r="W2516" i="1"/>
  <c r="AK2515" i="1"/>
  <c r="AJ2515" i="1"/>
  <c r="AI2515" i="1"/>
  <c r="AE2515" i="1" s="1"/>
  <c r="W2515" i="1"/>
  <c r="AJ2514" i="1"/>
  <c r="AI2514" i="1"/>
  <c r="AE2514" i="1" s="1"/>
  <c r="AF2514" i="1"/>
  <c r="AK2513" i="1"/>
  <c r="AJ2513" i="1"/>
  <c r="AI2513" i="1"/>
  <c r="AE2513" i="1" s="1"/>
  <c r="W2513" i="1"/>
  <c r="AK2512" i="1"/>
  <c r="AJ2512" i="1"/>
  <c r="AI2512" i="1"/>
  <c r="AE2512" i="1" s="1"/>
  <c r="W2512" i="1"/>
  <c r="AK2511" i="1"/>
  <c r="AJ2511" i="1"/>
  <c r="AI2511" i="1"/>
  <c r="AE2511" i="1" s="1"/>
  <c r="AF2511" i="1"/>
  <c r="W2511" i="1"/>
  <c r="AK2510" i="1"/>
  <c r="AJ2510" i="1"/>
  <c r="AI2510" i="1"/>
  <c r="AE2510" i="1" s="1"/>
  <c r="W2510" i="1"/>
  <c r="AI2509" i="1"/>
  <c r="AE2509" i="1" s="1"/>
  <c r="V2509" i="1"/>
  <c r="AK2509" i="1" s="1"/>
  <c r="AK2508" i="1"/>
  <c r="AJ2508" i="1"/>
  <c r="AI2508" i="1"/>
  <c r="AE2508" i="1" s="1"/>
  <c r="W2508" i="1"/>
  <c r="AK2507" i="1"/>
  <c r="AJ2507" i="1"/>
  <c r="AI2507" i="1"/>
  <c r="AE2507" i="1" s="1"/>
  <c r="W2507" i="1"/>
  <c r="AK2506" i="1"/>
  <c r="AJ2506" i="1"/>
  <c r="AI2506" i="1"/>
  <c r="AE2506" i="1" s="1"/>
  <c r="W2506" i="1"/>
  <c r="AK2505" i="1"/>
  <c r="AJ2505" i="1"/>
  <c r="AI2505" i="1"/>
  <c r="AE2505" i="1" s="1"/>
  <c r="W2505" i="1"/>
  <c r="AK2504" i="1"/>
  <c r="AJ2504" i="1"/>
  <c r="AI2504" i="1"/>
  <c r="AE2504" i="1" s="1"/>
  <c r="W2504" i="1"/>
  <c r="AK2503" i="1"/>
  <c r="AJ2503" i="1"/>
  <c r="AI2503" i="1"/>
  <c r="AE2503" i="1" s="1"/>
  <c r="W2503" i="1"/>
  <c r="AK2502" i="1"/>
  <c r="AJ2502" i="1"/>
  <c r="AI2502" i="1"/>
  <c r="AE2502" i="1" s="1"/>
  <c r="W2502" i="1"/>
  <c r="AK2501" i="1"/>
  <c r="AJ2501" i="1"/>
  <c r="AI2501" i="1"/>
  <c r="AE2501" i="1" s="1"/>
  <c r="W2501" i="1"/>
  <c r="AK2500" i="1"/>
  <c r="AJ2500" i="1"/>
  <c r="AI2500" i="1"/>
  <c r="AE2500" i="1" s="1"/>
  <c r="W2500" i="1"/>
  <c r="AK2499" i="1"/>
  <c r="AJ2499" i="1"/>
  <c r="AI2499" i="1"/>
  <c r="AE2499" i="1" s="1"/>
  <c r="W2499" i="1"/>
  <c r="AK2498" i="1"/>
  <c r="AJ2498" i="1"/>
  <c r="AI2498" i="1"/>
  <c r="AE2498" i="1" s="1"/>
  <c r="W2498" i="1"/>
  <c r="AK2497" i="1"/>
  <c r="AJ2497" i="1"/>
  <c r="AI2497" i="1"/>
  <c r="AE2497" i="1" s="1"/>
  <c r="W2497" i="1"/>
  <c r="AK2496" i="1"/>
  <c r="AJ2496" i="1"/>
  <c r="AI2496" i="1"/>
  <c r="AE2496" i="1" s="1"/>
  <c r="W2496" i="1"/>
  <c r="AK2495" i="1"/>
  <c r="AJ2495" i="1"/>
  <c r="AI2495" i="1"/>
  <c r="AE2495" i="1" s="1"/>
  <c r="W2495" i="1"/>
  <c r="AK2494" i="1"/>
  <c r="AJ2494" i="1"/>
  <c r="AI2494" i="1"/>
  <c r="AE2494" i="1" s="1"/>
  <c r="W2494" i="1"/>
  <c r="AI2493" i="1"/>
  <c r="AE2493" i="1" s="1"/>
  <c r="AI2492" i="1"/>
  <c r="AE2492" i="1" s="1"/>
  <c r="V2492" i="1"/>
  <c r="AK2491" i="1"/>
  <c r="AJ2491" i="1"/>
  <c r="AI2491" i="1"/>
  <c r="AE2491" i="1" s="1"/>
  <c r="W2491" i="1"/>
  <c r="AK2490" i="1"/>
  <c r="AJ2490" i="1"/>
  <c r="AI2490" i="1"/>
  <c r="AE2490" i="1" s="1"/>
  <c r="W2490" i="1"/>
  <c r="AK2489" i="1"/>
  <c r="AJ2489" i="1"/>
  <c r="AI2489" i="1"/>
  <c r="AE2489" i="1" s="1"/>
  <c r="W2489" i="1"/>
  <c r="AK2488" i="1"/>
  <c r="AJ2488" i="1"/>
  <c r="AI2488" i="1"/>
  <c r="AE2488" i="1" s="1"/>
  <c r="W2488" i="1"/>
  <c r="AK2487" i="1"/>
  <c r="AJ2487" i="1"/>
  <c r="AI2487" i="1"/>
  <c r="AE2487" i="1" s="1"/>
  <c r="W2487" i="1"/>
  <c r="AK2486" i="1"/>
  <c r="AJ2486" i="1"/>
  <c r="AI2486" i="1"/>
  <c r="AE2486" i="1" s="1"/>
  <c r="W2486" i="1"/>
  <c r="AK2485" i="1"/>
  <c r="AJ2485" i="1"/>
  <c r="AI2485" i="1"/>
  <c r="AE2485" i="1" s="1"/>
  <c r="W2485" i="1"/>
  <c r="AI2484" i="1"/>
  <c r="AE2484" i="1" s="1"/>
  <c r="V2484" i="1"/>
  <c r="AJ2484" i="1" s="1"/>
  <c r="AK2483" i="1"/>
  <c r="AJ2483" i="1"/>
  <c r="AI2483" i="1"/>
  <c r="AE2483" i="1" s="1"/>
  <c r="W2483" i="1"/>
  <c r="AK2482" i="1"/>
  <c r="AJ2482" i="1"/>
  <c r="AI2482" i="1"/>
  <c r="AE2482" i="1" s="1"/>
  <c r="W2482" i="1"/>
  <c r="AK2481" i="1"/>
  <c r="AJ2481" i="1"/>
  <c r="AI2481" i="1"/>
  <c r="AE2481" i="1" s="1"/>
  <c r="W2481" i="1"/>
  <c r="AI2480" i="1"/>
  <c r="AE2480" i="1" s="1"/>
  <c r="V2480" i="1"/>
  <c r="AI2479" i="1"/>
  <c r="AE2479" i="1" s="1"/>
  <c r="V2479" i="1"/>
  <c r="AI2478" i="1"/>
  <c r="AE2478" i="1" s="1"/>
  <c r="V2478" i="1"/>
  <c r="W2478" i="1" s="1"/>
  <c r="AI2477" i="1"/>
  <c r="AE2477" i="1" s="1"/>
  <c r="V2477" i="1"/>
  <c r="AK2477" i="1" s="1"/>
  <c r="AI2476" i="1"/>
  <c r="AE2476" i="1" s="1"/>
  <c r="V2476" i="1"/>
  <c r="AK2476" i="1" s="1"/>
  <c r="AK2475" i="1"/>
  <c r="AJ2475" i="1"/>
  <c r="AI2475" i="1"/>
  <c r="AE2475" i="1" s="1"/>
  <c r="W2475" i="1"/>
  <c r="AK2474" i="1"/>
  <c r="AJ2474" i="1"/>
  <c r="AI2474" i="1"/>
  <c r="AE2474" i="1" s="1"/>
  <c r="W2474" i="1"/>
  <c r="AI2473" i="1"/>
  <c r="AE2473" i="1" s="1"/>
  <c r="V2473" i="1"/>
  <c r="AK2472" i="1"/>
  <c r="AJ2472" i="1"/>
  <c r="AI2472" i="1"/>
  <c r="AE2472" i="1" s="1"/>
  <c r="W2472" i="1"/>
  <c r="AK2471" i="1"/>
  <c r="AJ2471" i="1"/>
  <c r="AI2471" i="1"/>
  <c r="AE2471" i="1" s="1"/>
  <c r="W2471" i="1"/>
  <c r="AK2470" i="1"/>
  <c r="AJ2470" i="1"/>
  <c r="AI2470" i="1"/>
  <c r="AE2470" i="1" s="1"/>
  <c r="W2470" i="1"/>
  <c r="AK2469" i="1"/>
  <c r="AJ2469" i="1"/>
  <c r="AI2469" i="1"/>
  <c r="AE2469" i="1" s="1"/>
  <c r="W2469" i="1"/>
  <c r="AK2468" i="1"/>
  <c r="AJ2468" i="1"/>
  <c r="AI2468" i="1"/>
  <c r="AE2468" i="1" s="1"/>
  <c r="W2468" i="1"/>
  <c r="AI2467" i="1"/>
  <c r="AE2467" i="1" s="1"/>
  <c r="V2467" i="1"/>
  <c r="W2467" i="1" s="1"/>
  <c r="AI2466" i="1"/>
  <c r="AE2466" i="1" s="1"/>
  <c r="V2466" i="1"/>
  <c r="AK2465" i="1"/>
  <c r="AJ2465" i="1"/>
  <c r="AI2465" i="1"/>
  <c r="AE2465" i="1" s="1"/>
  <c r="W2465" i="1"/>
  <c r="AK2464" i="1"/>
  <c r="AJ2464" i="1"/>
  <c r="AI2464" i="1"/>
  <c r="AE2464" i="1" s="1"/>
  <c r="W2464" i="1"/>
  <c r="AK2463" i="1"/>
  <c r="AJ2463" i="1"/>
  <c r="AI2463" i="1"/>
  <c r="AE2463" i="1" s="1"/>
  <c r="W2463" i="1"/>
  <c r="AI2462" i="1"/>
  <c r="AE2462" i="1" s="1"/>
  <c r="V2462" i="1"/>
  <c r="AK2461" i="1"/>
  <c r="AJ2461" i="1"/>
  <c r="AI2461" i="1"/>
  <c r="AE2461" i="1" s="1"/>
  <c r="W2461" i="1"/>
  <c r="AK2460" i="1"/>
  <c r="AJ2460" i="1"/>
  <c r="AI2460" i="1"/>
  <c r="AE2460" i="1" s="1"/>
  <c r="W2460" i="1"/>
  <c r="AK2459" i="1"/>
  <c r="AJ2459" i="1"/>
  <c r="AI2459" i="1"/>
  <c r="AE2459" i="1" s="1"/>
  <c r="W2459" i="1"/>
  <c r="AK2458" i="1"/>
  <c r="AJ2458" i="1"/>
  <c r="AI2458" i="1"/>
  <c r="AE2458" i="1" s="1"/>
  <c r="W2458" i="1"/>
  <c r="AK2457" i="1"/>
  <c r="AJ2457" i="1"/>
  <c r="AI2457" i="1"/>
  <c r="AE2457" i="1" s="1"/>
  <c r="W2457" i="1"/>
  <c r="AK2456" i="1"/>
  <c r="AJ2456" i="1"/>
  <c r="AI2456" i="1"/>
  <c r="AE2456" i="1" s="1"/>
  <c r="W2456" i="1"/>
  <c r="AK2455" i="1"/>
  <c r="AJ2455" i="1"/>
  <c r="AI2455" i="1"/>
  <c r="AE2455" i="1" s="1"/>
  <c r="W2455" i="1"/>
  <c r="AK2454" i="1"/>
  <c r="AJ2454" i="1"/>
  <c r="AI2454" i="1"/>
  <c r="AE2454" i="1" s="1"/>
  <c r="W2454" i="1"/>
  <c r="AK2453" i="1"/>
  <c r="AJ2453" i="1"/>
  <c r="AI2453" i="1"/>
  <c r="AE2453" i="1" s="1"/>
  <c r="AK2452" i="1"/>
  <c r="AJ2452" i="1"/>
  <c r="AI2452" i="1"/>
  <c r="AE2452" i="1" s="1"/>
  <c r="W2452" i="1"/>
  <c r="AK2451" i="1"/>
  <c r="AJ2451" i="1"/>
  <c r="AI2451" i="1"/>
  <c r="AE2451" i="1" s="1"/>
  <c r="AK2450" i="1"/>
  <c r="AJ2450" i="1"/>
  <c r="AI2450" i="1"/>
  <c r="AE2450" i="1" s="1"/>
  <c r="AF2450" i="1"/>
  <c r="W2450" i="1"/>
  <c r="AK2449" i="1"/>
  <c r="AJ2449" i="1"/>
  <c r="AI2449" i="1"/>
  <c r="AE2449" i="1" s="1"/>
  <c r="W2449" i="1"/>
  <c r="AK2448" i="1"/>
  <c r="AJ2448" i="1"/>
  <c r="AI2448" i="1"/>
  <c r="AE2448" i="1" s="1"/>
  <c r="W2448" i="1"/>
  <c r="AK2447" i="1"/>
  <c r="AJ2447" i="1"/>
  <c r="AI2447" i="1"/>
  <c r="AE2447" i="1" s="1"/>
  <c r="W2447" i="1"/>
  <c r="AI2446" i="1"/>
  <c r="AE2446" i="1" s="1"/>
  <c r="V2446" i="1"/>
  <c r="AK2445" i="1"/>
  <c r="AJ2445" i="1"/>
  <c r="AI2445" i="1"/>
  <c r="AE2445" i="1" s="1"/>
  <c r="W2445" i="1"/>
  <c r="AI2444" i="1"/>
  <c r="AE2444" i="1" s="1"/>
  <c r="V2444" i="1"/>
  <c r="AK2443" i="1"/>
  <c r="AJ2443" i="1"/>
  <c r="AI2443" i="1"/>
  <c r="AE2443" i="1" s="1"/>
  <c r="W2443" i="1"/>
  <c r="AK2442" i="1"/>
  <c r="AJ2442" i="1"/>
  <c r="AI2442" i="1"/>
  <c r="AE2442" i="1" s="1"/>
  <c r="W2442" i="1"/>
  <c r="AK2441" i="1"/>
  <c r="AJ2441" i="1"/>
  <c r="AI2441" i="1"/>
  <c r="AE2441" i="1" s="1"/>
  <c r="W2441" i="1"/>
  <c r="AI2440" i="1"/>
  <c r="AE2440" i="1" s="1"/>
  <c r="V2440" i="1"/>
  <c r="AK2439" i="1"/>
  <c r="AJ2439" i="1"/>
  <c r="AI2439" i="1"/>
  <c r="AE2439" i="1" s="1"/>
  <c r="W2439" i="1"/>
  <c r="AK2438" i="1"/>
  <c r="AJ2438" i="1"/>
  <c r="AI2438" i="1"/>
  <c r="AE2438" i="1" s="1"/>
  <c r="W2438" i="1"/>
  <c r="AI2437" i="1"/>
  <c r="AE2437" i="1" s="1"/>
  <c r="V2437" i="1"/>
  <c r="AK2436" i="1"/>
  <c r="AJ2436" i="1"/>
  <c r="AI2436" i="1"/>
  <c r="AE2436" i="1" s="1"/>
  <c r="W2436" i="1"/>
  <c r="AI2435" i="1"/>
  <c r="AE2435" i="1" s="1"/>
  <c r="V2435" i="1"/>
  <c r="AK2435" i="1" s="1"/>
  <c r="AI2434" i="1"/>
  <c r="AE2434" i="1" s="1"/>
  <c r="V2434" i="1"/>
  <c r="AI2433" i="1"/>
  <c r="AE2433" i="1" s="1"/>
  <c r="V2433" i="1"/>
  <c r="AK2433" i="1" s="1"/>
  <c r="AK2432" i="1"/>
  <c r="AJ2432" i="1"/>
  <c r="AI2432" i="1"/>
  <c r="AE2432" i="1" s="1"/>
  <c r="W2432" i="1"/>
  <c r="AK2431" i="1"/>
  <c r="AJ2431" i="1"/>
  <c r="AI2431" i="1"/>
  <c r="AE2431" i="1" s="1"/>
  <c r="W2431" i="1"/>
  <c r="AK2430" i="1"/>
  <c r="AJ2430" i="1"/>
  <c r="AI2430" i="1"/>
  <c r="AE2430" i="1" s="1"/>
  <c r="W2430" i="1"/>
  <c r="AK2429" i="1"/>
  <c r="AJ2429" i="1"/>
  <c r="AI2429" i="1"/>
  <c r="AE2429" i="1" s="1"/>
  <c r="W2429" i="1"/>
  <c r="AI2428" i="1"/>
  <c r="AE2428" i="1" s="1"/>
  <c r="V2428" i="1"/>
  <c r="AJ2428" i="1" s="1"/>
  <c r="AI2427" i="1"/>
  <c r="AE2427" i="1" s="1"/>
  <c r="V2427" i="1"/>
  <c r="AJ2427" i="1" s="1"/>
  <c r="AI2426" i="1"/>
  <c r="AE2426" i="1" s="1"/>
  <c r="V2426" i="1"/>
  <c r="AI2425" i="1"/>
  <c r="AE2425" i="1" s="1"/>
  <c r="V2425" i="1"/>
  <c r="AK2425" i="1" s="1"/>
  <c r="AK2424" i="1"/>
  <c r="AJ2424" i="1"/>
  <c r="AI2424" i="1"/>
  <c r="AE2424" i="1" s="1"/>
  <c r="W2424" i="1"/>
  <c r="AI2423" i="1"/>
  <c r="AE2423" i="1" s="1"/>
  <c r="V2423" i="1"/>
  <c r="AK2422" i="1"/>
  <c r="AJ2422" i="1"/>
  <c r="AI2422" i="1"/>
  <c r="AE2422" i="1" s="1"/>
  <c r="W2422" i="1"/>
  <c r="AK2421" i="1"/>
  <c r="AJ2421" i="1"/>
  <c r="AI2421" i="1"/>
  <c r="AE2421" i="1" s="1"/>
  <c r="W2421" i="1"/>
  <c r="AK2420" i="1"/>
  <c r="AJ2420" i="1"/>
  <c r="AI2420" i="1"/>
  <c r="AE2420" i="1" s="1"/>
  <c r="W2420" i="1"/>
  <c r="AK2419" i="1"/>
  <c r="AJ2419" i="1"/>
  <c r="AI2419" i="1"/>
  <c r="AE2419" i="1" s="1"/>
  <c r="W2419" i="1"/>
  <c r="AI2418" i="1"/>
  <c r="AE2418" i="1" s="1"/>
  <c r="V2418" i="1"/>
  <c r="AK2417" i="1"/>
  <c r="AJ2417" i="1"/>
  <c r="AI2417" i="1"/>
  <c r="AE2417" i="1" s="1"/>
  <c r="W2417" i="1"/>
  <c r="AK2416" i="1"/>
  <c r="AJ2416" i="1"/>
  <c r="AI2416" i="1"/>
  <c r="AE2416" i="1" s="1"/>
  <c r="W2416" i="1"/>
  <c r="AK2415" i="1"/>
  <c r="AJ2415" i="1"/>
  <c r="AI2415" i="1"/>
  <c r="AE2415" i="1" s="1"/>
  <c r="W2415" i="1"/>
  <c r="AK2414" i="1"/>
  <c r="AJ2414" i="1"/>
  <c r="AI2414" i="1"/>
  <c r="AE2414" i="1" s="1"/>
  <c r="W2414" i="1"/>
  <c r="AK2413" i="1"/>
  <c r="AJ2413" i="1"/>
  <c r="AI2413" i="1"/>
  <c r="AE2413" i="1" s="1"/>
  <c r="W2413" i="1"/>
  <c r="AK2412" i="1"/>
  <c r="AJ2412" i="1"/>
  <c r="AI2412" i="1"/>
  <c r="AE2412" i="1" s="1"/>
  <c r="W2412" i="1"/>
  <c r="AK2411" i="1"/>
  <c r="AJ2411" i="1"/>
  <c r="AI2411" i="1"/>
  <c r="AE2411" i="1" s="1"/>
  <c r="W2411" i="1"/>
  <c r="AI2410" i="1"/>
  <c r="AE2410" i="1" s="1"/>
  <c r="V2410" i="1"/>
  <c r="W2410" i="1" s="1"/>
  <c r="AK2409" i="1"/>
  <c r="AJ2409" i="1"/>
  <c r="AI2409" i="1"/>
  <c r="AE2409" i="1" s="1"/>
  <c r="W2409" i="1"/>
  <c r="AK2408" i="1"/>
  <c r="AJ2408" i="1"/>
  <c r="AI2408" i="1"/>
  <c r="AE2408" i="1" s="1"/>
  <c r="W2408" i="1"/>
  <c r="AI2407" i="1"/>
  <c r="AE2407" i="1" s="1"/>
  <c r="V2407" i="1"/>
  <c r="W2407" i="1" s="1"/>
  <c r="AK2406" i="1"/>
  <c r="AJ2406" i="1"/>
  <c r="AI2406" i="1"/>
  <c r="AE2406" i="1" s="1"/>
  <c r="W2406" i="1"/>
  <c r="AK2405" i="1"/>
  <c r="AJ2405" i="1"/>
  <c r="AI2405" i="1"/>
  <c r="AE2405" i="1" s="1"/>
  <c r="W2405" i="1"/>
  <c r="AI2404" i="1"/>
  <c r="AE2404" i="1" s="1"/>
  <c r="V2404" i="1"/>
  <c r="W2404" i="1" s="1"/>
  <c r="AK2403" i="1"/>
  <c r="AJ2403" i="1"/>
  <c r="AI2403" i="1"/>
  <c r="AE2403" i="1" s="1"/>
  <c r="W2403" i="1"/>
  <c r="AI2402" i="1"/>
  <c r="AE2402" i="1" s="1"/>
  <c r="V2402" i="1"/>
  <c r="AI2401" i="1"/>
  <c r="AE2401" i="1" s="1"/>
  <c r="V2401" i="1"/>
  <c r="AI2400" i="1"/>
  <c r="AE2400" i="1" s="1"/>
  <c r="V2400" i="1"/>
  <c r="AK2400" i="1" s="1"/>
  <c r="AK2399" i="1"/>
  <c r="AJ2399" i="1"/>
  <c r="AI2399" i="1"/>
  <c r="AE2399" i="1" s="1"/>
  <c r="W2399" i="1"/>
  <c r="AK2398" i="1"/>
  <c r="AJ2398" i="1"/>
  <c r="AI2398" i="1"/>
  <c r="AE2398" i="1" s="1"/>
  <c r="W2398" i="1"/>
  <c r="AK2397" i="1"/>
  <c r="AJ2397" i="1"/>
  <c r="AI2397" i="1"/>
  <c r="AE2397" i="1" s="1"/>
  <c r="W2397" i="1"/>
  <c r="AK2396" i="1"/>
  <c r="AJ2396" i="1"/>
  <c r="AI2396" i="1"/>
  <c r="AE2396" i="1" s="1"/>
  <c r="W2396" i="1"/>
  <c r="AK2395" i="1"/>
  <c r="AJ2395" i="1"/>
  <c r="AI2395" i="1"/>
  <c r="AE2395" i="1" s="1"/>
  <c r="W2395" i="1"/>
  <c r="AK2394" i="1"/>
  <c r="AJ2394" i="1"/>
  <c r="AI2394" i="1"/>
  <c r="AE2394" i="1" s="1"/>
  <c r="AK2393" i="1"/>
  <c r="AJ2393" i="1"/>
  <c r="AI2393" i="1"/>
  <c r="AE2393" i="1" s="1"/>
  <c r="W2393" i="1"/>
  <c r="AK2392" i="1"/>
  <c r="AJ2392" i="1"/>
  <c r="AI2392" i="1"/>
  <c r="AE2392" i="1" s="1"/>
  <c r="W2392" i="1"/>
  <c r="AI2391" i="1"/>
  <c r="AE2391" i="1" s="1"/>
  <c r="V2391" i="1"/>
  <c r="W2391" i="1" s="1"/>
  <c r="AK2390" i="1"/>
  <c r="AJ2390" i="1"/>
  <c r="AI2390" i="1"/>
  <c r="AE2390" i="1" s="1"/>
  <c r="W2390" i="1"/>
  <c r="AI2389" i="1"/>
  <c r="AE2389" i="1" s="1"/>
  <c r="V2389" i="1"/>
  <c r="AK2388" i="1"/>
  <c r="AJ2388" i="1"/>
  <c r="AI2388" i="1"/>
  <c r="AE2388" i="1" s="1"/>
  <c r="W2388" i="1"/>
  <c r="AI2387" i="1"/>
  <c r="AE2387" i="1" s="1"/>
  <c r="V2387" i="1"/>
  <c r="AJ2387" i="1" s="1"/>
  <c r="AK2386" i="1"/>
  <c r="AJ2386" i="1"/>
  <c r="AI2386" i="1"/>
  <c r="AE2386" i="1" s="1"/>
  <c r="W2386" i="1"/>
  <c r="AK2385" i="1"/>
  <c r="AJ2385" i="1"/>
  <c r="AI2385" i="1"/>
  <c r="AE2385" i="1" s="1"/>
  <c r="W2385" i="1"/>
  <c r="AK2384" i="1"/>
  <c r="AJ2384" i="1"/>
  <c r="AI2384" i="1"/>
  <c r="AE2384" i="1" s="1"/>
  <c r="W2384" i="1"/>
  <c r="AK2383" i="1"/>
  <c r="AJ2383" i="1"/>
  <c r="AI2383" i="1"/>
  <c r="AE2383" i="1" s="1"/>
  <c r="W2383" i="1"/>
  <c r="AI2382" i="1"/>
  <c r="AE2382" i="1" s="1"/>
  <c r="V2382" i="1"/>
  <c r="AK2381" i="1"/>
  <c r="AJ2381" i="1"/>
  <c r="AI2381" i="1"/>
  <c r="AE2381" i="1" s="1"/>
  <c r="W2381" i="1"/>
  <c r="AK2380" i="1"/>
  <c r="AJ2380" i="1"/>
  <c r="AI2380" i="1"/>
  <c r="AE2380" i="1" s="1"/>
  <c r="W2380" i="1"/>
  <c r="AI2379" i="1"/>
  <c r="AE2379" i="1" s="1"/>
  <c r="V2379" i="1"/>
  <c r="AK2378" i="1"/>
  <c r="AJ2378" i="1"/>
  <c r="AI2378" i="1"/>
  <c r="AE2378" i="1" s="1"/>
  <c r="W2378" i="1"/>
  <c r="AK2377" i="1"/>
  <c r="AJ2377" i="1"/>
  <c r="AI2377" i="1"/>
  <c r="AE2377" i="1" s="1"/>
  <c r="W2377" i="1"/>
  <c r="AK2376" i="1"/>
  <c r="AJ2376" i="1"/>
  <c r="AI2376" i="1"/>
  <c r="AE2376" i="1" s="1"/>
  <c r="W2376" i="1"/>
  <c r="AK2375" i="1"/>
  <c r="AJ2375" i="1"/>
  <c r="AI2375" i="1"/>
  <c r="AE2375" i="1" s="1"/>
  <c r="W2375" i="1"/>
  <c r="AK2374" i="1"/>
  <c r="AJ2374" i="1"/>
  <c r="AI2374" i="1"/>
  <c r="AE2374" i="1" s="1"/>
  <c r="W2374" i="1"/>
  <c r="AK2373" i="1"/>
  <c r="AJ2373" i="1"/>
  <c r="AI2373" i="1"/>
  <c r="AE2373" i="1" s="1"/>
  <c r="W2373" i="1"/>
  <c r="AK2372" i="1"/>
  <c r="AJ2372" i="1"/>
  <c r="AI2372" i="1"/>
  <c r="AE2372" i="1" s="1"/>
  <c r="W2372" i="1"/>
  <c r="AK2371" i="1"/>
  <c r="AJ2371" i="1"/>
  <c r="AI2371" i="1"/>
  <c r="AE2371" i="1" s="1"/>
  <c r="W2371" i="1"/>
  <c r="AI2370" i="1"/>
  <c r="AE2370" i="1" s="1"/>
  <c r="V2370" i="1"/>
  <c r="AI2369" i="1"/>
  <c r="AE2369" i="1" s="1"/>
  <c r="V2369" i="1"/>
  <c r="AK2368" i="1"/>
  <c r="AJ2368" i="1"/>
  <c r="AI2368" i="1"/>
  <c r="AE2368" i="1" s="1"/>
  <c r="W2368" i="1"/>
  <c r="AK2367" i="1"/>
  <c r="AJ2367" i="1"/>
  <c r="AI2367" i="1"/>
  <c r="AE2367" i="1" s="1"/>
  <c r="W2367" i="1"/>
  <c r="AK2366" i="1"/>
  <c r="AJ2366" i="1"/>
  <c r="AI2366" i="1"/>
  <c r="AE2366" i="1" s="1"/>
  <c r="W2366" i="1"/>
  <c r="AK2365" i="1"/>
  <c r="AJ2365" i="1"/>
  <c r="AI2365" i="1"/>
  <c r="AE2365" i="1" s="1"/>
  <c r="W2365" i="1"/>
  <c r="AK2364" i="1"/>
  <c r="AJ2364" i="1"/>
  <c r="AI2364" i="1"/>
  <c r="AE2364" i="1" s="1"/>
  <c r="W2364" i="1"/>
  <c r="AK2363" i="1"/>
  <c r="AJ2363" i="1"/>
  <c r="AI2363" i="1"/>
  <c r="AE2363" i="1" s="1"/>
  <c r="W2363" i="1"/>
  <c r="AK2362" i="1"/>
  <c r="AJ2362" i="1"/>
  <c r="AI2362" i="1"/>
  <c r="AE2362" i="1" s="1"/>
  <c r="W2362" i="1"/>
  <c r="AK2361" i="1"/>
  <c r="AJ2361" i="1"/>
  <c r="AI2361" i="1"/>
  <c r="AE2361" i="1" s="1"/>
  <c r="W2361" i="1"/>
  <c r="AI2360" i="1"/>
  <c r="AE2360" i="1" s="1"/>
  <c r="V2360" i="1"/>
  <c r="AK2359" i="1"/>
  <c r="AJ2359" i="1"/>
  <c r="AI2359" i="1"/>
  <c r="AE2359" i="1" s="1"/>
  <c r="W2359" i="1"/>
  <c r="AK2358" i="1"/>
  <c r="AJ2358" i="1"/>
  <c r="AI2358" i="1"/>
  <c r="AE2358" i="1" s="1"/>
  <c r="W2358" i="1"/>
  <c r="AK2357" i="1"/>
  <c r="AJ2357" i="1"/>
  <c r="AI2357" i="1"/>
  <c r="AE2357" i="1" s="1"/>
  <c r="W2357" i="1"/>
  <c r="AK2356" i="1"/>
  <c r="AJ2356" i="1"/>
  <c r="AI2356" i="1"/>
  <c r="AE2356" i="1" s="1"/>
  <c r="W2356" i="1"/>
  <c r="AK2355" i="1"/>
  <c r="AJ2355" i="1"/>
  <c r="AI2355" i="1"/>
  <c r="AE2355" i="1" s="1"/>
  <c r="W2355" i="1"/>
  <c r="AK2354" i="1"/>
  <c r="AJ2354" i="1"/>
  <c r="AI2354" i="1"/>
  <c r="AE2354" i="1" s="1"/>
  <c r="W2354" i="1"/>
  <c r="AI2353" i="1"/>
  <c r="AE2353" i="1" s="1"/>
  <c r="V2353" i="1"/>
  <c r="AK2352" i="1"/>
  <c r="AJ2352" i="1"/>
  <c r="AI2352" i="1"/>
  <c r="AE2352" i="1" s="1"/>
  <c r="W2352" i="1"/>
  <c r="AK2351" i="1"/>
  <c r="AJ2351" i="1"/>
  <c r="AI2351" i="1"/>
  <c r="AE2351" i="1" s="1"/>
  <c r="W2351" i="1"/>
  <c r="AK2350" i="1"/>
  <c r="AJ2350" i="1"/>
  <c r="AI2350" i="1"/>
  <c r="AE2350" i="1" s="1"/>
  <c r="W2350" i="1"/>
  <c r="AI2349" i="1"/>
  <c r="AE2349" i="1" s="1"/>
  <c r="V2349" i="1"/>
  <c r="AI2348" i="1"/>
  <c r="AE2348" i="1" s="1"/>
  <c r="V2348" i="1"/>
  <c r="AI2347" i="1"/>
  <c r="AE2347" i="1" s="1"/>
  <c r="V2347" i="1"/>
  <c r="AK2346" i="1"/>
  <c r="AJ2346" i="1"/>
  <c r="AI2346" i="1"/>
  <c r="AE2346" i="1" s="1"/>
  <c r="W2346" i="1"/>
  <c r="AI2345" i="1"/>
  <c r="AE2345" i="1" s="1"/>
  <c r="V2345" i="1"/>
  <c r="AK2344" i="1"/>
  <c r="AJ2344" i="1"/>
  <c r="AI2344" i="1"/>
  <c r="AE2344" i="1" s="1"/>
  <c r="W2344" i="1"/>
  <c r="AI2343" i="1"/>
  <c r="AE2343" i="1" s="1"/>
  <c r="V2343" i="1"/>
  <c r="AJ2343" i="1" s="1"/>
  <c r="AK2342" i="1"/>
  <c r="AJ2342" i="1"/>
  <c r="AI2342" i="1"/>
  <c r="AE2342" i="1" s="1"/>
  <c r="W2342" i="1"/>
  <c r="AI2341" i="1"/>
  <c r="AE2341" i="1" s="1"/>
  <c r="V2341" i="1"/>
  <c r="AK2340" i="1"/>
  <c r="AJ2340" i="1"/>
  <c r="AI2340" i="1"/>
  <c r="AE2340" i="1" s="1"/>
  <c r="W2340" i="1"/>
  <c r="AK2339" i="1"/>
  <c r="AJ2339" i="1"/>
  <c r="AI2339" i="1"/>
  <c r="AE2339" i="1" s="1"/>
  <c r="W2339" i="1"/>
  <c r="AI2338" i="1"/>
  <c r="AE2338" i="1" s="1"/>
  <c r="V2338" i="1"/>
  <c r="AI2337" i="1"/>
  <c r="AE2337" i="1" s="1"/>
  <c r="V2337" i="1"/>
  <c r="AI2336" i="1"/>
  <c r="AE2336" i="1" s="1"/>
  <c r="V2336" i="1"/>
  <c r="AK2336" i="1" s="1"/>
  <c r="AK2335" i="1"/>
  <c r="AJ2335" i="1"/>
  <c r="AI2335" i="1"/>
  <c r="AE2335" i="1" s="1"/>
  <c r="AI2334" i="1"/>
  <c r="AE2334" i="1" s="1"/>
  <c r="V2334" i="1"/>
  <c r="AK2333" i="1"/>
  <c r="AJ2333" i="1"/>
  <c r="AI2333" i="1"/>
  <c r="AE2333" i="1" s="1"/>
  <c r="W2333" i="1"/>
  <c r="AK2332" i="1"/>
  <c r="AJ2332" i="1"/>
  <c r="AI2332" i="1"/>
  <c r="AE2332" i="1" s="1"/>
  <c r="W2332" i="1"/>
  <c r="AK2331" i="1"/>
  <c r="AJ2331" i="1"/>
  <c r="AI2331" i="1"/>
  <c r="AE2331" i="1" s="1"/>
  <c r="W2331" i="1"/>
  <c r="AI2330" i="1"/>
  <c r="AE2330" i="1" s="1"/>
  <c r="V2330" i="1"/>
  <c r="AK2329" i="1"/>
  <c r="AJ2329" i="1"/>
  <c r="AI2329" i="1"/>
  <c r="AE2329" i="1" s="1"/>
  <c r="W2329" i="1"/>
  <c r="AK2328" i="1"/>
  <c r="AJ2328" i="1"/>
  <c r="AI2328" i="1"/>
  <c r="AE2328" i="1" s="1"/>
  <c r="W2328" i="1"/>
  <c r="AK2327" i="1"/>
  <c r="AJ2327" i="1"/>
  <c r="AI2327" i="1"/>
  <c r="AE2327" i="1" s="1"/>
  <c r="W2327" i="1"/>
  <c r="AK2326" i="1"/>
  <c r="AJ2326" i="1"/>
  <c r="AI2326" i="1"/>
  <c r="AE2326" i="1" s="1"/>
  <c r="W2326" i="1"/>
  <c r="AK2325" i="1"/>
  <c r="AJ2325" i="1"/>
  <c r="AI2325" i="1"/>
  <c r="AE2325" i="1" s="1"/>
  <c r="W2325" i="1"/>
  <c r="AI2324" i="1"/>
  <c r="AE2324" i="1" s="1"/>
  <c r="V2324" i="1"/>
  <c r="AK2323" i="1"/>
  <c r="AJ2323" i="1"/>
  <c r="AI2323" i="1"/>
  <c r="AE2323" i="1" s="1"/>
  <c r="W2323" i="1"/>
  <c r="AK2322" i="1"/>
  <c r="AJ2322" i="1"/>
  <c r="AI2322" i="1"/>
  <c r="AE2322" i="1" s="1"/>
  <c r="W2322" i="1"/>
  <c r="AI2321" i="1"/>
  <c r="AE2321" i="1" s="1"/>
  <c r="V2321" i="1"/>
  <c r="AK2320" i="1"/>
  <c r="AJ2320" i="1"/>
  <c r="AI2320" i="1"/>
  <c r="AE2320" i="1" s="1"/>
  <c r="W2320" i="1"/>
  <c r="AK2319" i="1"/>
  <c r="AJ2319" i="1"/>
  <c r="AI2319" i="1"/>
  <c r="AE2319" i="1" s="1"/>
  <c r="W2319" i="1"/>
  <c r="AI2318" i="1"/>
  <c r="AE2318" i="1" s="1"/>
  <c r="V2318" i="1"/>
  <c r="AK2317" i="1"/>
  <c r="AJ2317" i="1"/>
  <c r="AI2317" i="1"/>
  <c r="AE2317" i="1" s="1"/>
  <c r="W2317" i="1"/>
  <c r="AK2316" i="1"/>
  <c r="AJ2316" i="1"/>
  <c r="AI2316" i="1"/>
  <c r="AE2316" i="1" s="1"/>
  <c r="W2316" i="1"/>
  <c r="AK2315" i="1"/>
  <c r="AJ2315" i="1"/>
  <c r="AI2315" i="1"/>
  <c r="AE2315" i="1" s="1"/>
  <c r="W2315" i="1"/>
  <c r="AK2314" i="1"/>
  <c r="AJ2314" i="1"/>
  <c r="AI2314" i="1"/>
  <c r="AE2314" i="1" s="1"/>
  <c r="W2314" i="1"/>
  <c r="AK2313" i="1"/>
  <c r="AJ2313" i="1"/>
  <c r="AI2313" i="1"/>
  <c r="AE2313" i="1" s="1"/>
  <c r="W2313" i="1"/>
  <c r="AK2312" i="1"/>
  <c r="AJ2312" i="1"/>
  <c r="AI2312" i="1"/>
  <c r="AE2312" i="1" s="1"/>
  <c r="W2312" i="1"/>
  <c r="AK2311" i="1"/>
  <c r="AJ2311" i="1"/>
  <c r="AI2311" i="1"/>
  <c r="AE2311" i="1" s="1"/>
  <c r="W2311" i="1"/>
  <c r="AK2310" i="1"/>
  <c r="AJ2310" i="1"/>
  <c r="AI2310" i="1"/>
  <c r="AE2310" i="1" s="1"/>
  <c r="W2310" i="1"/>
  <c r="AK2309" i="1"/>
  <c r="AJ2309" i="1"/>
  <c r="AI2309" i="1"/>
  <c r="AE2309" i="1" s="1"/>
  <c r="W2309" i="1"/>
  <c r="AK2308" i="1"/>
  <c r="AJ2308" i="1"/>
  <c r="AI2308" i="1"/>
  <c r="AE2308" i="1" s="1"/>
  <c r="W2308" i="1"/>
  <c r="AK2307" i="1"/>
  <c r="AJ2307" i="1"/>
  <c r="AI2307" i="1"/>
  <c r="AE2307" i="1" s="1"/>
  <c r="W2307" i="1"/>
  <c r="AK2306" i="1"/>
  <c r="AJ2306" i="1"/>
  <c r="AI2306" i="1"/>
  <c r="AE2306" i="1" s="1"/>
  <c r="W2306" i="1"/>
  <c r="AK2305" i="1"/>
  <c r="AJ2305" i="1"/>
  <c r="AI2305" i="1"/>
  <c r="AE2305" i="1" s="1"/>
  <c r="W2305" i="1"/>
  <c r="AK2304" i="1"/>
  <c r="AJ2304" i="1"/>
  <c r="AI2304" i="1"/>
  <c r="AE2304" i="1" s="1"/>
  <c r="W2304" i="1"/>
  <c r="AK2303" i="1"/>
  <c r="AJ2303" i="1"/>
  <c r="AI2303" i="1"/>
  <c r="AE2303" i="1" s="1"/>
  <c r="W2303" i="1"/>
  <c r="AK2302" i="1"/>
  <c r="AJ2302" i="1"/>
  <c r="AI2302" i="1"/>
  <c r="AE2302" i="1" s="1"/>
  <c r="W2302" i="1"/>
  <c r="AK2301" i="1"/>
  <c r="AJ2301" i="1"/>
  <c r="AI2301" i="1"/>
  <c r="AE2301" i="1" s="1"/>
  <c r="W2301" i="1"/>
  <c r="AI2300" i="1"/>
  <c r="AE2300" i="1" s="1"/>
  <c r="V2300" i="1"/>
  <c r="AI2299" i="1"/>
  <c r="AE2299" i="1" s="1"/>
  <c r="V2299" i="1"/>
  <c r="AK2298" i="1"/>
  <c r="AJ2298" i="1"/>
  <c r="AI2298" i="1"/>
  <c r="AE2298" i="1" s="1"/>
  <c r="W2298" i="1"/>
  <c r="AI2297" i="1"/>
  <c r="AE2297" i="1" s="1"/>
  <c r="V2297" i="1"/>
  <c r="AK2296" i="1"/>
  <c r="AJ2296" i="1"/>
  <c r="AI2296" i="1"/>
  <c r="AE2296" i="1" s="1"/>
  <c r="W2296" i="1"/>
  <c r="AK2295" i="1"/>
  <c r="AJ2295" i="1"/>
  <c r="AI2295" i="1"/>
  <c r="AE2295" i="1" s="1"/>
  <c r="W2295" i="1"/>
  <c r="AK2294" i="1"/>
  <c r="AJ2294" i="1"/>
  <c r="AI2294" i="1"/>
  <c r="AE2294" i="1" s="1"/>
  <c r="W2294" i="1"/>
  <c r="AK2293" i="1"/>
  <c r="AJ2293" i="1"/>
  <c r="AI2293" i="1"/>
  <c r="AE2293" i="1" s="1"/>
  <c r="W2293" i="1"/>
  <c r="AK2292" i="1"/>
  <c r="AJ2292" i="1"/>
  <c r="AI2292" i="1"/>
  <c r="AE2292" i="1" s="1"/>
  <c r="W2292" i="1"/>
  <c r="AI2291" i="1"/>
  <c r="AE2291" i="1" s="1"/>
  <c r="V2291" i="1"/>
  <c r="AK2291" i="1" s="1"/>
  <c r="AK2290" i="1"/>
  <c r="AJ2290" i="1"/>
  <c r="AI2290" i="1"/>
  <c r="AE2290" i="1" s="1"/>
  <c r="W2290" i="1"/>
  <c r="AI2289" i="1"/>
  <c r="AE2289" i="1" s="1"/>
  <c r="V2289" i="1"/>
  <c r="AK2288" i="1"/>
  <c r="AJ2288" i="1"/>
  <c r="AI2288" i="1"/>
  <c r="AE2288" i="1" s="1"/>
  <c r="W2288" i="1"/>
  <c r="AK2287" i="1"/>
  <c r="AJ2287" i="1"/>
  <c r="AI2287" i="1"/>
  <c r="AE2287" i="1" s="1"/>
  <c r="W2287" i="1"/>
  <c r="AK2286" i="1"/>
  <c r="AJ2286" i="1"/>
  <c r="AI2286" i="1"/>
  <c r="AE2286" i="1" s="1"/>
  <c r="W2286" i="1"/>
  <c r="AK2285" i="1"/>
  <c r="AJ2285" i="1"/>
  <c r="AI2285" i="1"/>
  <c r="AE2285" i="1" s="1"/>
  <c r="W2285" i="1"/>
  <c r="AK2284" i="1"/>
  <c r="AJ2284" i="1"/>
  <c r="AI2284" i="1"/>
  <c r="AE2284" i="1" s="1"/>
  <c r="W2284" i="1"/>
  <c r="AK2283" i="1"/>
  <c r="AJ2283" i="1"/>
  <c r="AI2283" i="1"/>
  <c r="AE2283" i="1" s="1"/>
  <c r="W2283" i="1"/>
  <c r="AK2282" i="1"/>
  <c r="AJ2282" i="1"/>
  <c r="AI2282" i="1"/>
  <c r="AE2282" i="1" s="1"/>
  <c r="W2282" i="1"/>
  <c r="AK2281" i="1"/>
  <c r="AJ2281" i="1"/>
  <c r="AI2281" i="1"/>
  <c r="AE2281" i="1" s="1"/>
  <c r="W2281" i="1"/>
  <c r="AI2280" i="1"/>
  <c r="AE2280" i="1" s="1"/>
  <c r="V2280" i="1"/>
  <c r="AI2279" i="1"/>
  <c r="AE2279" i="1" s="1"/>
  <c r="V2279" i="1"/>
  <c r="AK2279" i="1" s="1"/>
  <c r="AI2278" i="1"/>
  <c r="AE2278" i="1" s="1"/>
  <c r="V2278" i="1"/>
  <c r="AI2277" i="1"/>
  <c r="AE2277" i="1" s="1"/>
  <c r="V2277" i="1"/>
  <c r="AK2277" i="1" s="1"/>
  <c r="AK2276" i="1"/>
  <c r="AJ2276" i="1"/>
  <c r="AI2276" i="1"/>
  <c r="AE2276" i="1" s="1"/>
  <c r="W2276" i="1"/>
  <c r="AI2275" i="1"/>
  <c r="AE2275" i="1" s="1"/>
  <c r="AI2274" i="1"/>
  <c r="AE2274" i="1" s="1"/>
  <c r="V2274" i="1"/>
  <c r="AJ2274" i="1" s="1"/>
  <c r="AK2273" i="1"/>
  <c r="AJ2273" i="1"/>
  <c r="AI2273" i="1"/>
  <c r="AE2273" i="1" s="1"/>
  <c r="W2273" i="1"/>
  <c r="AK2272" i="1"/>
  <c r="AJ2272" i="1"/>
  <c r="AI2272" i="1"/>
  <c r="AE2272" i="1" s="1"/>
  <c r="W2272" i="1"/>
  <c r="AK2271" i="1"/>
  <c r="AJ2271" i="1"/>
  <c r="AI2271" i="1"/>
  <c r="AE2271" i="1" s="1"/>
  <c r="W2271" i="1"/>
  <c r="AI2270" i="1"/>
  <c r="AE2270" i="1" s="1"/>
  <c r="V2270" i="1"/>
  <c r="AK2269" i="1"/>
  <c r="AJ2269" i="1"/>
  <c r="AI2269" i="1"/>
  <c r="AE2269" i="1" s="1"/>
  <c r="W2269" i="1"/>
  <c r="AI2268" i="1"/>
  <c r="AE2268" i="1" s="1"/>
  <c r="V2268" i="1"/>
  <c r="AI2267" i="1"/>
  <c r="AE2267" i="1" s="1"/>
  <c r="V2267" i="1"/>
  <c r="AK2266" i="1"/>
  <c r="AJ2266" i="1"/>
  <c r="AI2266" i="1"/>
  <c r="AE2266" i="1" s="1"/>
  <c r="W2266" i="1"/>
  <c r="AK2265" i="1"/>
  <c r="AJ2265" i="1"/>
  <c r="AI2265" i="1"/>
  <c r="AE2265" i="1" s="1"/>
  <c r="W2265" i="1"/>
  <c r="AK2264" i="1"/>
  <c r="AJ2264" i="1"/>
  <c r="AI2264" i="1"/>
  <c r="AE2264" i="1" s="1"/>
  <c r="W2264" i="1"/>
  <c r="AK2263" i="1"/>
  <c r="AJ2263" i="1"/>
  <c r="AI2263" i="1"/>
  <c r="AE2263" i="1" s="1"/>
  <c r="W2263" i="1"/>
  <c r="AK2262" i="1"/>
  <c r="AJ2262" i="1"/>
  <c r="AI2262" i="1"/>
  <c r="AE2262" i="1" s="1"/>
  <c r="W2262" i="1"/>
  <c r="AK2261" i="1"/>
  <c r="AJ2261" i="1"/>
  <c r="AI2261" i="1"/>
  <c r="AE2261" i="1" s="1"/>
  <c r="W2261" i="1"/>
  <c r="AI2260" i="1"/>
  <c r="AE2260" i="1" s="1"/>
  <c r="V2260" i="1"/>
  <c r="AK2259" i="1"/>
  <c r="AJ2259" i="1"/>
  <c r="AI2259" i="1"/>
  <c r="AE2259" i="1" s="1"/>
  <c r="W2259" i="1"/>
  <c r="AK2258" i="1"/>
  <c r="AJ2258" i="1"/>
  <c r="AI2258" i="1"/>
  <c r="AE2258" i="1" s="1"/>
  <c r="W2258" i="1"/>
  <c r="AI2257" i="1"/>
  <c r="AE2257" i="1" s="1"/>
  <c r="V2257" i="1"/>
  <c r="AJ2257" i="1" s="1"/>
  <c r="AI2256" i="1"/>
  <c r="AE2256" i="1" s="1"/>
  <c r="V2256" i="1"/>
  <c r="AK2255" i="1"/>
  <c r="AJ2255" i="1"/>
  <c r="AI2255" i="1"/>
  <c r="AE2255" i="1" s="1"/>
  <c r="W2255" i="1"/>
  <c r="AI2254" i="1"/>
  <c r="AE2254" i="1" s="1"/>
  <c r="V2254" i="1"/>
  <c r="W2254" i="1" s="1"/>
  <c r="AI2253" i="1"/>
  <c r="AE2253" i="1" s="1"/>
  <c r="V2253" i="1"/>
  <c r="AK2252" i="1"/>
  <c r="AJ2252" i="1"/>
  <c r="AI2252" i="1"/>
  <c r="AE2252" i="1" s="1"/>
  <c r="W2252" i="1"/>
  <c r="AK2251" i="1"/>
  <c r="AJ2251" i="1"/>
  <c r="AI2251" i="1"/>
  <c r="AE2251" i="1" s="1"/>
  <c r="W2251" i="1"/>
  <c r="AK2250" i="1"/>
  <c r="AJ2250" i="1"/>
  <c r="AI2250" i="1"/>
  <c r="AE2250" i="1" s="1"/>
  <c r="AF2250" i="1"/>
  <c r="W2250" i="1"/>
  <c r="AK2249" i="1"/>
  <c r="AJ2249" i="1"/>
  <c r="AI2249" i="1"/>
  <c r="AE2249" i="1" s="1"/>
  <c r="W2249" i="1"/>
  <c r="AK2248" i="1"/>
  <c r="AJ2248" i="1"/>
  <c r="AI2248" i="1"/>
  <c r="AE2248" i="1" s="1"/>
  <c r="W2248" i="1"/>
  <c r="AI2247" i="1"/>
  <c r="AE2247" i="1" s="1"/>
  <c r="V2247" i="1"/>
  <c r="AK2247" i="1" s="1"/>
  <c r="AI2246" i="1"/>
  <c r="AE2246" i="1" s="1"/>
  <c r="V2246" i="1"/>
  <c r="AK2245" i="1"/>
  <c r="AJ2245" i="1"/>
  <c r="AI2245" i="1"/>
  <c r="AE2245" i="1" s="1"/>
  <c r="W2245" i="1"/>
  <c r="AK2244" i="1"/>
  <c r="AJ2244" i="1"/>
  <c r="AI2244" i="1"/>
  <c r="AE2244" i="1" s="1"/>
  <c r="W2244" i="1"/>
  <c r="AK2243" i="1"/>
  <c r="AJ2243" i="1"/>
  <c r="AI2243" i="1"/>
  <c r="AE2243" i="1" s="1"/>
  <c r="W2243" i="1"/>
  <c r="AK2242" i="1"/>
  <c r="AJ2242" i="1"/>
  <c r="AI2242" i="1"/>
  <c r="AE2242" i="1" s="1"/>
  <c r="W2242" i="1"/>
  <c r="AK2241" i="1"/>
  <c r="AJ2241" i="1"/>
  <c r="AI2241" i="1"/>
  <c r="AE2241" i="1" s="1"/>
  <c r="W2241" i="1"/>
  <c r="AI2240" i="1"/>
  <c r="AE2240" i="1" s="1"/>
  <c r="V2240" i="1"/>
  <c r="AK2239" i="1"/>
  <c r="AJ2239" i="1"/>
  <c r="AI2239" i="1"/>
  <c r="AE2239" i="1" s="1"/>
  <c r="W2239" i="1"/>
  <c r="AK2238" i="1"/>
  <c r="AJ2238" i="1"/>
  <c r="AI2238" i="1"/>
  <c r="AE2238" i="1" s="1"/>
  <c r="W2238" i="1"/>
  <c r="AI2237" i="1"/>
  <c r="AE2237" i="1" s="1"/>
  <c r="V2237" i="1"/>
  <c r="AK2236" i="1"/>
  <c r="AJ2236" i="1"/>
  <c r="AI2236" i="1"/>
  <c r="AE2236" i="1" s="1"/>
  <c r="W2236" i="1"/>
  <c r="AK2235" i="1"/>
  <c r="AJ2235" i="1"/>
  <c r="AI2235" i="1"/>
  <c r="AE2235" i="1" s="1"/>
  <c r="W2235" i="1"/>
  <c r="AK2234" i="1"/>
  <c r="AJ2234" i="1"/>
  <c r="AI2234" i="1"/>
  <c r="AE2234" i="1" s="1"/>
  <c r="W2234" i="1"/>
  <c r="AK2233" i="1"/>
  <c r="AJ2233" i="1"/>
  <c r="AI2233" i="1"/>
  <c r="AE2233" i="1" s="1"/>
  <c r="W2233" i="1"/>
  <c r="AK2232" i="1"/>
  <c r="AJ2232" i="1"/>
  <c r="AI2232" i="1"/>
  <c r="AE2232" i="1" s="1"/>
  <c r="W2232" i="1"/>
  <c r="AK2231" i="1"/>
  <c r="AJ2231" i="1"/>
  <c r="AI2231" i="1"/>
  <c r="AE2231" i="1" s="1"/>
  <c r="W2231" i="1"/>
  <c r="AK2230" i="1"/>
  <c r="AJ2230" i="1"/>
  <c r="AI2230" i="1"/>
  <c r="AE2230" i="1" s="1"/>
  <c r="W2230" i="1"/>
  <c r="AK2229" i="1"/>
  <c r="AJ2229" i="1"/>
  <c r="AI2229" i="1"/>
  <c r="AE2229" i="1" s="1"/>
  <c r="W2229" i="1"/>
  <c r="AK2228" i="1"/>
  <c r="AJ2228" i="1"/>
  <c r="AI2228" i="1"/>
  <c r="AE2228" i="1" s="1"/>
  <c r="W2228" i="1"/>
  <c r="AK2227" i="1"/>
  <c r="AJ2227" i="1"/>
  <c r="AI2227" i="1"/>
  <c r="AE2227" i="1" s="1"/>
  <c r="W2227" i="1"/>
  <c r="AI2226" i="1"/>
  <c r="AE2226" i="1" s="1"/>
  <c r="V2226" i="1"/>
  <c r="AK2225" i="1"/>
  <c r="AJ2225" i="1"/>
  <c r="AI2225" i="1"/>
  <c r="AE2225" i="1" s="1"/>
  <c r="W2225" i="1"/>
  <c r="AK2224" i="1"/>
  <c r="AJ2224" i="1"/>
  <c r="AI2224" i="1"/>
  <c r="AE2224" i="1" s="1"/>
  <c r="W2224" i="1"/>
  <c r="AK2223" i="1"/>
  <c r="AJ2223" i="1"/>
  <c r="AI2223" i="1"/>
  <c r="AE2223" i="1" s="1"/>
  <c r="W2223" i="1"/>
  <c r="AK2222" i="1"/>
  <c r="AJ2222" i="1"/>
  <c r="AI2222" i="1"/>
  <c r="AE2222" i="1" s="1"/>
  <c r="W2222" i="1"/>
  <c r="AI2221" i="1"/>
  <c r="AE2221" i="1" s="1"/>
  <c r="AK2220" i="1"/>
  <c r="AJ2220" i="1"/>
  <c r="AI2220" i="1"/>
  <c r="AE2220" i="1" s="1"/>
  <c r="W2220" i="1"/>
  <c r="AK2219" i="1"/>
  <c r="AJ2219" i="1"/>
  <c r="AI2219" i="1"/>
  <c r="AE2219" i="1" s="1"/>
  <c r="W2219" i="1"/>
  <c r="AK2218" i="1"/>
  <c r="AJ2218" i="1"/>
  <c r="AI2218" i="1"/>
  <c r="AE2218" i="1" s="1"/>
  <c r="W2218" i="1"/>
  <c r="AK2217" i="1"/>
  <c r="AJ2217" i="1"/>
  <c r="AI2217" i="1"/>
  <c r="AE2217" i="1" s="1"/>
  <c r="W2217" i="1"/>
  <c r="AK2216" i="1"/>
  <c r="AJ2216" i="1"/>
  <c r="AI2216" i="1"/>
  <c r="AE2216" i="1" s="1"/>
  <c r="W2216" i="1"/>
  <c r="AK2215" i="1"/>
  <c r="AJ2215" i="1"/>
  <c r="AI2215" i="1"/>
  <c r="AE2215" i="1" s="1"/>
  <c r="AF2215" i="1"/>
  <c r="W2215" i="1"/>
  <c r="AK2214" i="1"/>
  <c r="AJ2214" i="1"/>
  <c r="AI2214" i="1"/>
  <c r="AE2214" i="1" s="1"/>
  <c r="W2214" i="1"/>
  <c r="AK2213" i="1"/>
  <c r="AJ2213" i="1"/>
  <c r="AI2213" i="1"/>
  <c r="AE2213" i="1" s="1"/>
  <c r="W2213" i="1"/>
  <c r="AK2212" i="1"/>
  <c r="AJ2212" i="1"/>
  <c r="AI2212" i="1"/>
  <c r="AE2212" i="1" s="1"/>
  <c r="W2212" i="1"/>
  <c r="AK2211" i="1"/>
  <c r="AJ2211" i="1"/>
  <c r="AI2211" i="1"/>
  <c r="AE2211" i="1" s="1"/>
  <c r="W2211" i="1"/>
  <c r="AK2210" i="1"/>
  <c r="AJ2210" i="1"/>
  <c r="AI2210" i="1"/>
  <c r="AE2210" i="1" s="1"/>
  <c r="W2210" i="1"/>
  <c r="AK2209" i="1"/>
  <c r="AJ2209" i="1"/>
  <c r="AI2209" i="1"/>
  <c r="AE2209" i="1" s="1"/>
  <c r="W2209" i="1"/>
  <c r="AK2208" i="1"/>
  <c r="AJ2208" i="1"/>
  <c r="AI2208" i="1"/>
  <c r="AE2208" i="1" s="1"/>
  <c r="W2208" i="1"/>
  <c r="AK2207" i="1"/>
  <c r="AJ2207" i="1"/>
  <c r="AI2207" i="1"/>
  <c r="AE2207" i="1" s="1"/>
  <c r="W2207" i="1"/>
  <c r="AK2206" i="1"/>
  <c r="AJ2206" i="1"/>
  <c r="AI2206" i="1"/>
  <c r="AE2206" i="1" s="1"/>
  <c r="W2206" i="1"/>
  <c r="AK2205" i="1"/>
  <c r="AJ2205" i="1"/>
  <c r="AI2205" i="1"/>
  <c r="AE2205" i="1" s="1"/>
  <c r="W2205" i="1"/>
  <c r="AK2204" i="1"/>
  <c r="AJ2204" i="1"/>
  <c r="AI2204" i="1"/>
  <c r="AE2204" i="1" s="1"/>
  <c r="W2204" i="1"/>
  <c r="AK2203" i="1"/>
  <c r="AJ2203" i="1"/>
  <c r="AI2203" i="1"/>
  <c r="AE2203" i="1" s="1"/>
  <c r="W2203" i="1"/>
  <c r="AK2202" i="1"/>
  <c r="AJ2202" i="1"/>
  <c r="AI2202" i="1"/>
  <c r="AE2202" i="1" s="1"/>
  <c r="W2202" i="1"/>
  <c r="AK2201" i="1"/>
  <c r="AJ2201" i="1"/>
  <c r="AI2201" i="1"/>
  <c r="AE2201" i="1" s="1"/>
  <c r="W2201" i="1"/>
  <c r="AK2200" i="1"/>
  <c r="AJ2200" i="1"/>
  <c r="AI2200" i="1"/>
  <c r="AE2200" i="1" s="1"/>
  <c r="W2200" i="1"/>
  <c r="AI2199" i="1"/>
  <c r="AE2199" i="1" s="1"/>
  <c r="V2199" i="1"/>
  <c r="AK2198" i="1"/>
  <c r="AJ2198" i="1"/>
  <c r="AI2198" i="1"/>
  <c r="AE2198" i="1" s="1"/>
  <c r="W2198" i="1"/>
  <c r="AK2197" i="1"/>
  <c r="AJ2197" i="1"/>
  <c r="AI2197" i="1"/>
  <c r="AE2197" i="1" s="1"/>
  <c r="W2197" i="1"/>
  <c r="AK2196" i="1"/>
  <c r="AJ2196" i="1"/>
  <c r="AI2196" i="1"/>
  <c r="AE2196" i="1" s="1"/>
  <c r="W2196" i="1"/>
  <c r="AK2195" i="1"/>
  <c r="AJ2195" i="1"/>
  <c r="AI2195" i="1"/>
  <c r="AE2195" i="1" s="1"/>
  <c r="W2195" i="1"/>
  <c r="AI2194" i="1"/>
  <c r="AE2194" i="1" s="1"/>
  <c r="V2194" i="1"/>
  <c r="AK2193" i="1"/>
  <c r="AJ2193" i="1"/>
  <c r="AI2193" i="1"/>
  <c r="AE2193" i="1" s="1"/>
  <c r="W2193" i="1"/>
  <c r="AK2192" i="1"/>
  <c r="AJ2192" i="1"/>
  <c r="AI2192" i="1"/>
  <c r="AE2192" i="1" s="1"/>
  <c r="W2192" i="1"/>
  <c r="AK2191" i="1"/>
  <c r="AJ2191" i="1"/>
  <c r="AI2191" i="1"/>
  <c r="AE2191" i="1" s="1"/>
  <c r="W2191" i="1"/>
  <c r="AI2190" i="1"/>
  <c r="AE2190" i="1" s="1"/>
  <c r="V2190" i="1"/>
  <c r="W2190" i="1" s="1"/>
  <c r="AK2189" i="1"/>
  <c r="AJ2189" i="1"/>
  <c r="AI2189" i="1"/>
  <c r="AE2189" i="1" s="1"/>
  <c r="W2189" i="1"/>
  <c r="AK2188" i="1"/>
  <c r="AJ2188" i="1"/>
  <c r="AI2188" i="1"/>
  <c r="AE2188" i="1" s="1"/>
  <c r="W2188" i="1"/>
  <c r="AK2187" i="1"/>
  <c r="AJ2187" i="1"/>
  <c r="AI2187" i="1"/>
  <c r="AE2187" i="1" s="1"/>
  <c r="W2187" i="1"/>
  <c r="AK2186" i="1"/>
  <c r="AJ2186" i="1"/>
  <c r="AI2186" i="1"/>
  <c r="AE2186" i="1" s="1"/>
  <c r="W2186" i="1"/>
  <c r="AI2185" i="1"/>
  <c r="AE2185" i="1" s="1"/>
  <c r="V2185" i="1"/>
  <c r="AI2184" i="1"/>
  <c r="AE2184" i="1" s="1"/>
  <c r="V2184" i="1"/>
  <c r="AI2183" i="1"/>
  <c r="AE2183" i="1" s="1"/>
  <c r="V2183" i="1"/>
  <c r="AI2182" i="1"/>
  <c r="AE2182" i="1" s="1"/>
  <c r="V2182" i="1"/>
  <c r="AK2181" i="1"/>
  <c r="AJ2181" i="1"/>
  <c r="AI2181" i="1"/>
  <c r="AE2181" i="1" s="1"/>
  <c r="W2181" i="1"/>
  <c r="AK2180" i="1"/>
  <c r="AJ2180" i="1"/>
  <c r="AI2180" i="1"/>
  <c r="AE2180" i="1" s="1"/>
  <c r="W2180" i="1"/>
  <c r="AI2179" i="1"/>
  <c r="AE2179" i="1" s="1"/>
  <c r="V2179" i="1"/>
  <c r="AK2178" i="1"/>
  <c r="AJ2178" i="1"/>
  <c r="AI2178" i="1"/>
  <c r="AE2178" i="1" s="1"/>
  <c r="W2178" i="1"/>
  <c r="AK2177" i="1"/>
  <c r="AJ2177" i="1"/>
  <c r="AI2177" i="1"/>
  <c r="AE2177" i="1" s="1"/>
  <c r="W2177" i="1"/>
  <c r="AK2176" i="1"/>
  <c r="AJ2176" i="1"/>
  <c r="AI2176" i="1"/>
  <c r="AE2176" i="1" s="1"/>
  <c r="W2176" i="1"/>
  <c r="AI2175" i="1"/>
  <c r="AE2175" i="1" s="1"/>
  <c r="V2175" i="1"/>
  <c r="AI2174" i="1"/>
  <c r="AE2174" i="1" s="1"/>
  <c r="V2174" i="1"/>
  <c r="AK2174" i="1" s="1"/>
  <c r="AK2173" i="1"/>
  <c r="AJ2173" i="1"/>
  <c r="AI2173" i="1"/>
  <c r="AE2173" i="1" s="1"/>
  <c r="W2173" i="1"/>
  <c r="AI2172" i="1"/>
  <c r="AE2172" i="1" s="1"/>
  <c r="V2172" i="1"/>
  <c r="AK2171" i="1"/>
  <c r="AJ2171" i="1"/>
  <c r="AI2171" i="1"/>
  <c r="AE2171" i="1" s="1"/>
  <c r="W2171" i="1"/>
  <c r="AK2170" i="1"/>
  <c r="AJ2170" i="1"/>
  <c r="AI2170" i="1"/>
  <c r="AE2170" i="1" s="1"/>
  <c r="W2170" i="1"/>
  <c r="AI2169" i="1"/>
  <c r="AE2169" i="1" s="1"/>
  <c r="V2169" i="1"/>
  <c r="W2169" i="1" s="1"/>
  <c r="AK2168" i="1"/>
  <c r="AJ2168" i="1"/>
  <c r="AI2168" i="1"/>
  <c r="AE2168" i="1" s="1"/>
  <c r="W2168" i="1"/>
  <c r="AK2167" i="1"/>
  <c r="AJ2167" i="1"/>
  <c r="AI2167" i="1"/>
  <c r="AE2167" i="1" s="1"/>
  <c r="W2167" i="1"/>
  <c r="AK2166" i="1"/>
  <c r="AJ2166" i="1"/>
  <c r="AI2166" i="1"/>
  <c r="AE2166" i="1" s="1"/>
  <c r="W2166" i="1"/>
  <c r="AI2165" i="1"/>
  <c r="AE2165" i="1" s="1"/>
  <c r="V2165" i="1"/>
  <c r="AK2164" i="1"/>
  <c r="AJ2164" i="1"/>
  <c r="AI2164" i="1"/>
  <c r="AE2164" i="1" s="1"/>
  <c r="W2164" i="1"/>
  <c r="AK2163" i="1"/>
  <c r="AJ2163" i="1"/>
  <c r="AI2163" i="1"/>
  <c r="AE2163" i="1" s="1"/>
  <c r="W2163" i="1"/>
  <c r="AK2162" i="1"/>
  <c r="AJ2162" i="1"/>
  <c r="AI2162" i="1"/>
  <c r="AE2162" i="1" s="1"/>
  <c r="W2162" i="1"/>
  <c r="AK2161" i="1"/>
  <c r="AJ2161" i="1"/>
  <c r="AI2161" i="1"/>
  <c r="AE2161" i="1" s="1"/>
  <c r="W2161" i="1"/>
  <c r="AK2160" i="1"/>
  <c r="AJ2160" i="1"/>
  <c r="AI2160" i="1"/>
  <c r="AE2160" i="1" s="1"/>
  <c r="W2160" i="1"/>
  <c r="AK2159" i="1"/>
  <c r="AJ2159" i="1"/>
  <c r="AI2159" i="1"/>
  <c r="AE2159" i="1" s="1"/>
  <c r="W2159" i="1"/>
  <c r="AI2158" i="1"/>
  <c r="AE2158" i="1" s="1"/>
  <c r="V2158" i="1"/>
  <c r="AI2157" i="1"/>
  <c r="AE2157" i="1" s="1"/>
  <c r="V2157" i="1"/>
  <c r="W2157" i="1" s="1"/>
  <c r="AI2156" i="1"/>
  <c r="AE2156" i="1" s="1"/>
  <c r="V2156" i="1"/>
  <c r="AI2155" i="1"/>
  <c r="AE2155" i="1" s="1"/>
  <c r="V2155" i="1"/>
  <c r="AK2154" i="1"/>
  <c r="AJ2154" i="1"/>
  <c r="AI2154" i="1"/>
  <c r="AE2154" i="1" s="1"/>
  <c r="W2154" i="1"/>
  <c r="AK2153" i="1"/>
  <c r="AJ2153" i="1"/>
  <c r="AI2153" i="1"/>
  <c r="AE2153" i="1" s="1"/>
  <c r="W2153" i="1"/>
  <c r="AI2152" i="1"/>
  <c r="AE2152" i="1" s="1"/>
  <c r="V2152" i="1"/>
  <c r="AK2151" i="1"/>
  <c r="AJ2151" i="1"/>
  <c r="AI2151" i="1"/>
  <c r="AE2151" i="1" s="1"/>
  <c r="W2151" i="1"/>
  <c r="AK2150" i="1"/>
  <c r="AJ2150" i="1"/>
  <c r="AI2150" i="1"/>
  <c r="AE2150" i="1" s="1"/>
  <c r="W2150" i="1"/>
  <c r="AK2149" i="1"/>
  <c r="AJ2149" i="1"/>
  <c r="AI2149" i="1"/>
  <c r="AE2149" i="1" s="1"/>
  <c r="W2149" i="1"/>
  <c r="AK2148" i="1"/>
  <c r="AJ2148" i="1"/>
  <c r="AI2148" i="1"/>
  <c r="AE2148" i="1" s="1"/>
  <c r="W2148" i="1"/>
  <c r="AK2147" i="1"/>
  <c r="AJ2147" i="1"/>
  <c r="AI2147" i="1"/>
  <c r="AE2147" i="1" s="1"/>
  <c r="W2147" i="1"/>
  <c r="AK2146" i="1"/>
  <c r="AJ2146" i="1"/>
  <c r="AI2146" i="1"/>
  <c r="AE2146" i="1" s="1"/>
  <c r="W2146" i="1"/>
  <c r="AI2145" i="1"/>
  <c r="AE2145" i="1" s="1"/>
  <c r="V2145" i="1"/>
  <c r="W2145" i="1" s="1"/>
  <c r="AK2144" i="1"/>
  <c r="AJ2144" i="1"/>
  <c r="AI2144" i="1"/>
  <c r="AE2144" i="1" s="1"/>
  <c r="W2144" i="1"/>
  <c r="AK2143" i="1"/>
  <c r="AJ2143" i="1"/>
  <c r="AI2143" i="1"/>
  <c r="AE2143" i="1" s="1"/>
  <c r="W2143" i="1"/>
  <c r="AK2142" i="1"/>
  <c r="AJ2142" i="1"/>
  <c r="AI2142" i="1"/>
  <c r="AE2142" i="1" s="1"/>
  <c r="W2142" i="1"/>
  <c r="AI2141" i="1"/>
  <c r="AE2141" i="1" s="1"/>
  <c r="V2141" i="1"/>
  <c r="AK2141" i="1" s="1"/>
  <c r="AI2140" i="1"/>
  <c r="AE2140" i="1" s="1"/>
  <c r="V2140" i="1"/>
  <c r="AK2140" i="1" s="1"/>
  <c r="AI2139" i="1"/>
  <c r="AE2139" i="1" s="1"/>
  <c r="V2139" i="1"/>
  <c r="AI2138" i="1"/>
  <c r="AE2138" i="1" s="1"/>
  <c r="V2138" i="1"/>
  <c r="AI2137" i="1"/>
  <c r="AE2137" i="1" s="1"/>
  <c r="V2137" i="1"/>
  <c r="AI2136" i="1"/>
  <c r="AE2136" i="1" s="1"/>
  <c r="V2136" i="1"/>
  <c r="AJ2136" i="1" s="1"/>
  <c r="AK2135" i="1"/>
  <c r="AJ2135" i="1"/>
  <c r="AI2135" i="1"/>
  <c r="AE2135" i="1" s="1"/>
  <c r="W2135" i="1"/>
  <c r="AK2134" i="1"/>
  <c r="AJ2134" i="1"/>
  <c r="AI2134" i="1"/>
  <c r="AE2134" i="1" s="1"/>
  <c r="W2134" i="1"/>
  <c r="AI2133" i="1"/>
  <c r="AE2133" i="1" s="1"/>
  <c r="V2133" i="1"/>
  <c r="AI2132" i="1"/>
  <c r="AE2132" i="1" s="1"/>
  <c r="V2132" i="1"/>
  <c r="AK2132" i="1" s="1"/>
  <c r="AK2131" i="1"/>
  <c r="AJ2131" i="1"/>
  <c r="AI2131" i="1"/>
  <c r="AE2131" i="1" s="1"/>
  <c r="W2131" i="1"/>
  <c r="AK2130" i="1"/>
  <c r="AJ2130" i="1"/>
  <c r="AI2130" i="1"/>
  <c r="AE2130" i="1" s="1"/>
  <c r="W2130" i="1"/>
  <c r="AI2129" i="1"/>
  <c r="AE2129" i="1" s="1"/>
  <c r="V2129" i="1"/>
  <c r="AK2128" i="1"/>
  <c r="AJ2128" i="1"/>
  <c r="AI2128" i="1"/>
  <c r="AE2128" i="1" s="1"/>
  <c r="W2128" i="1"/>
  <c r="AK2127" i="1"/>
  <c r="AJ2127" i="1"/>
  <c r="AI2127" i="1"/>
  <c r="AE2127" i="1" s="1"/>
  <c r="W2127" i="1"/>
  <c r="AK2126" i="1"/>
  <c r="AJ2126" i="1"/>
  <c r="AI2126" i="1"/>
  <c r="AE2126" i="1" s="1"/>
  <c r="W2126" i="1"/>
  <c r="AK2125" i="1"/>
  <c r="AJ2125" i="1"/>
  <c r="AI2125" i="1"/>
  <c r="AE2125" i="1" s="1"/>
  <c r="W2125" i="1"/>
  <c r="AK2124" i="1"/>
  <c r="AJ2124" i="1"/>
  <c r="AI2124" i="1"/>
  <c r="AE2124" i="1" s="1"/>
  <c r="W2124" i="1"/>
  <c r="AI2123" i="1"/>
  <c r="AE2123" i="1" s="1"/>
  <c r="V2123" i="1"/>
  <c r="AK2122" i="1"/>
  <c r="AJ2122" i="1"/>
  <c r="AI2122" i="1"/>
  <c r="AE2122" i="1" s="1"/>
  <c r="W2122" i="1"/>
  <c r="AK2121" i="1"/>
  <c r="AJ2121" i="1"/>
  <c r="AI2121" i="1"/>
  <c r="AE2121" i="1" s="1"/>
  <c r="W2121" i="1"/>
  <c r="AK2120" i="1"/>
  <c r="AJ2120" i="1"/>
  <c r="AI2120" i="1"/>
  <c r="AE2120" i="1" s="1"/>
  <c r="W2120" i="1"/>
  <c r="AK2119" i="1"/>
  <c r="AJ2119" i="1"/>
  <c r="AI2119" i="1"/>
  <c r="AE2119" i="1" s="1"/>
  <c r="W2119" i="1"/>
  <c r="AI2118" i="1"/>
  <c r="AE2118" i="1" s="1"/>
  <c r="V2118" i="1"/>
  <c r="AK2117" i="1"/>
  <c r="AJ2117" i="1"/>
  <c r="AI2117" i="1"/>
  <c r="AE2117" i="1" s="1"/>
  <c r="W2117" i="1"/>
  <c r="AK2116" i="1"/>
  <c r="AJ2116" i="1"/>
  <c r="AI2116" i="1"/>
  <c r="AE2116" i="1" s="1"/>
  <c r="W2116" i="1"/>
  <c r="AI2115" i="1"/>
  <c r="AE2115" i="1" s="1"/>
  <c r="V2115" i="1"/>
  <c r="AK2114" i="1"/>
  <c r="AJ2114" i="1"/>
  <c r="AI2114" i="1"/>
  <c r="AE2114" i="1" s="1"/>
  <c r="W2114" i="1"/>
  <c r="AK2113" i="1"/>
  <c r="AJ2113" i="1"/>
  <c r="AI2113" i="1"/>
  <c r="AE2113" i="1" s="1"/>
  <c r="W2113" i="1"/>
  <c r="AI2112" i="1"/>
  <c r="AE2112" i="1" s="1"/>
  <c r="V2112" i="1"/>
  <c r="AJ2112" i="1" s="1"/>
  <c r="AI2111" i="1"/>
  <c r="AE2111" i="1" s="1"/>
  <c r="V2111" i="1"/>
  <c r="AJ2111" i="1" s="1"/>
  <c r="AI2110" i="1"/>
  <c r="AE2110" i="1" s="1"/>
  <c r="V2110" i="1"/>
  <c r="AJ2110" i="1" s="1"/>
  <c r="AK2109" i="1"/>
  <c r="AJ2109" i="1"/>
  <c r="AI2109" i="1"/>
  <c r="AE2109" i="1" s="1"/>
  <c r="W2109" i="1"/>
  <c r="AK2108" i="1"/>
  <c r="AJ2108" i="1"/>
  <c r="AI2108" i="1"/>
  <c r="AE2108" i="1" s="1"/>
  <c r="W2108" i="1"/>
  <c r="AK2107" i="1"/>
  <c r="AJ2107" i="1"/>
  <c r="AI2107" i="1"/>
  <c r="AE2107" i="1" s="1"/>
  <c r="W2107" i="1"/>
  <c r="AI2106" i="1"/>
  <c r="AE2106" i="1" s="1"/>
  <c r="V2106" i="1"/>
  <c r="AK2105" i="1"/>
  <c r="AJ2105" i="1"/>
  <c r="AI2105" i="1"/>
  <c r="AE2105" i="1" s="1"/>
  <c r="W2105" i="1"/>
  <c r="AK2104" i="1"/>
  <c r="AJ2104" i="1"/>
  <c r="AI2104" i="1"/>
  <c r="AE2104" i="1" s="1"/>
  <c r="W2104" i="1"/>
  <c r="AK2103" i="1"/>
  <c r="AJ2103" i="1"/>
  <c r="AI2103" i="1"/>
  <c r="AE2103" i="1" s="1"/>
  <c r="W2103" i="1"/>
  <c r="AI2102" i="1"/>
  <c r="AE2102" i="1" s="1"/>
  <c r="V2102" i="1"/>
  <c r="AI2101" i="1"/>
  <c r="AE2101" i="1" s="1"/>
  <c r="V2101" i="1"/>
  <c r="AJ2101" i="1" s="1"/>
  <c r="AI2100" i="1"/>
  <c r="AE2100" i="1" s="1"/>
  <c r="V2100" i="1"/>
  <c r="AI2099" i="1"/>
  <c r="AE2099" i="1" s="1"/>
  <c r="V2099" i="1"/>
  <c r="AJ2099" i="1" s="1"/>
  <c r="AK2098" i="1"/>
  <c r="AJ2098" i="1"/>
  <c r="AI2098" i="1"/>
  <c r="AE2098" i="1" s="1"/>
  <c r="W2098" i="1"/>
  <c r="AK2097" i="1"/>
  <c r="AJ2097" i="1"/>
  <c r="AI2097" i="1"/>
  <c r="AE2097" i="1" s="1"/>
  <c r="W2097" i="1"/>
  <c r="AI2096" i="1"/>
  <c r="AE2096" i="1" s="1"/>
  <c r="V2096" i="1"/>
  <c r="AK2096" i="1" s="1"/>
  <c r="AK2095" i="1"/>
  <c r="AJ2095" i="1"/>
  <c r="AI2095" i="1"/>
  <c r="AE2095" i="1" s="1"/>
  <c r="W2095" i="1"/>
  <c r="AI2094" i="1"/>
  <c r="AE2094" i="1" s="1"/>
  <c r="V2094" i="1"/>
  <c r="W2094" i="1" s="1"/>
  <c r="AK2093" i="1"/>
  <c r="AJ2093" i="1"/>
  <c r="AI2093" i="1"/>
  <c r="AE2093" i="1" s="1"/>
  <c r="W2093" i="1"/>
  <c r="AI2092" i="1"/>
  <c r="AE2092" i="1" s="1"/>
  <c r="V2092" i="1"/>
  <c r="W2092" i="1" s="1"/>
  <c r="AK2091" i="1"/>
  <c r="AJ2091" i="1"/>
  <c r="AI2091" i="1"/>
  <c r="AE2091" i="1" s="1"/>
  <c r="W2091" i="1"/>
  <c r="AK2090" i="1"/>
  <c r="AJ2090" i="1"/>
  <c r="AI2090" i="1"/>
  <c r="AE2090" i="1" s="1"/>
  <c r="W2090" i="1"/>
  <c r="AK2089" i="1"/>
  <c r="AJ2089" i="1"/>
  <c r="AI2089" i="1"/>
  <c r="AE2089" i="1" s="1"/>
  <c r="W2089" i="1"/>
  <c r="AK2088" i="1"/>
  <c r="AJ2088" i="1"/>
  <c r="AI2088" i="1"/>
  <c r="AE2088" i="1" s="1"/>
  <c r="W2088" i="1"/>
  <c r="AK2087" i="1"/>
  <c r="AJ2087" i="1"/>
  <c r="AI2087" i="1"/>
  <c r="AE2087" i="1" s="1"/>
  <c r="W2087" i="1"/>
  <c r="AK2086" i="1"/>
  <c r="AJ2086" i="1"/>
  <c r="AI2086" i="1"/>
  <c r="AE2086" i="1" s="1"/>
  <c r="W2086" i="1"/>
  <c r="AK2085" i="1"/>
  <c r="AJ2085" i="1"/>
  <c r="AI2085" i="1"/>
  <c r="AE2085" i="1" s="1"/>
  <c r="W2085" i="1"/>
  <c r="AK2084" i="1"/>
  <c r="AJ2084" i="1"/>
  <c r="AI2084" i="1"/>
  <c r="AE2084" i="1" s="1"/>
  <c r="W2084" i="1"/>
  <c r="AK2083" i="1"/>
  <c r="AJ2083" i="1"/>
  <c r="AI2083" i="1"/>
  <c r="AE2083" i="1" s="1"/>
  <c r="W2083" i="1"/>
  <c r="AK2082" i="1"/>
  <c r="AJ2082" i="1"/>
  <c r="AI2082" i="1"/>
  <c r="AE2082" i="1" s="1"/>
  <c r="W2082" i="1"/>
  <c r="AK2081" i="1"/>
  <c r="AJ2081" i="1"/>
  <c r="AI2081" i="1"/>
  <c r="AE2081" i="1" s="1"/>
  <c r="W2081" i="1"/>
  <c r="AK2080" i="1"/>
  <c r="AJ2080" i="1"/>
  <c r="AI2080" i="1"/>
  <c r="AE2080" i="1" s="1"/>
  <c r="W2080" i="1"/>
  <c r="AK2079" i="1"/>
  <c r="AJ2079" i="1"/>
  <c r="AI2079" i="1"/>
  <c r="AE2079" i="1" s="1"/>
  <c r="W2079" i="1"/>
  <c r="AK2078" i="1"/>
  <c r="AJ2078" i="1"/>
  <c r="AI2078" i="1"/>
  <c r="AE2078" i="1" s="1"/>
  <c r="W2078" i="1"/>
  <c r="AK2077" i="1"/>
  <c r="AJ2077" i="1"/>
  <c r="AI2077" i="1"/>
  <c r="AE2077" i="1" s="1"/>
  <c r="W2077" i="1"/>
  <c r="AK2076" i="1"/>
  <c r="AJ2076" i="1"/>
  <c r="AI2076" i="1"/>
  <c r="AE2076" i="1" s="1"/>
  <c r="W2076" i="1"/>
  <c r="AI2075" i="1"/>
  <c r="AE2075" i="1" s="1"/>
  <c r="V2075" i="1"/>
  <c r="AK2075" i="1" s="1"/>
  <c r="AI2074" i="1"/>
  <c r="AE2074" i="1" s="1"/>
  <c r="V2074" i="1"/>
  <c r="AK2074" i="1" s="1"/>
  <c r="AI2073" i="1"/>
  <c r="AE2073" i="1" s="1"/>
  <c r="V2073" i="1"/>
  <c r="AK2073" i="1" s="1"/>
  <c r="AI2072" i="1"/>
  <c r="AE2072" i="1" s="1"/>
  <c r="V2072" i="1"/>
  <c r="AI2071" i="1"/>
  <c r="AE2071" i="1" s="1"/>
  <c r="V2071" i="1"/>
  <c r="AK2071" i="1" s="1"/>
  <c r="AK2070" i="1"/>
  <c r="AJ2070" i="1"/>
  <c r="AI2070" i="1"/>
  <c r="AE2070" i="1" s="1"/>
  <c r="W2070" i="1"/>
  <c r="AI2069" i="1"/>
  <c r="AE2069" i="1" s="1"/>
  <c r="V2069" i="1"/>
  <c r="AJ2069" i="1" s="1"/>
  <c r="AK2068" i="1"/>
  <c r="AJ2068" i="1"/>
  <c r="AI2068" i="1"/>
  <c r="AE2068" i="1" s="1"/>
  <c r="W2068" i="1"/>
  <c r="AK2067" i="1"/>
  <c r="AJ2067" i="1"/>
  <c r="AI2067" i="1"/>
  <c r="AE2067" i="1" s="1"/>
  <c r="W2067" i="1"/>
  <c r="AI2066" i="1"/>
  <c r="AE2066" i="1" s="1"/>
  <c r="V2066" i="1"/>
  <c r="AJ2066" i="1" s="1"/>
  <c r="AK2065" i="1"/>
  <c r="AJ2065" i="1"/>
  <c r="AI2065" i="1"/>
  <c r="AE2065" i="1" s="1"/>
  <c r="W2065" i="1"/>
  <c r="AI2064" i="1"/>
  <c r="AE2064" i="1" s="1"/>
  <c r="V2064" i="1"/>
  <c r="AK2063" i="1"/>
  <c r="AJ2063" i="1"/>
  <c r="AI2063" i="1"/>
  <c r="AE2063" i="1" s="1"/>
  <c r="W2063" i="1"/>
  <c r="AK2062" i="1"/>
  <c r="AJ2062" i="1"/>
  <c r="AI2062" i="1"/>
  <c r="AE2062" i="1" s="1"/>
  <c r="W2062" i="1"/>
  <c r="AK2061" i="1"/>
  <c r="AJ2061" i="1"/>
  <c r="AI2061" i="1"/>
  <c r="AE2061" i="1" s="1"/>
  <c r="W2061" i="1"/>
  <c r="AK2060" i="1"/>
  <c r="AJ2060" i="1"/>
  <c r="AI2060" i="1"/>
  <c r="AE2060" i="1" s="1"/>
  <c r="W2060" i="1"/>
  <c r="AK2059" i="1"/>
  <c r="AJ2059" i="1"/>
  <c r="AI2059" i="1"/>
  <c r="AE2059" i="1" s="1"/>
  <c r="W2059" i="1"/>
  <c r="AI2058" i="1"/>
  <c r="AE2058" i="1" s="1"/>
  <c r="V2058" i="1"/>
  <c r="AK2057" i="1"/>
  <c r="AJ2057" i="1"/>
  <c r="AI2057" i="1"/>
  <c r="AE2057" i="1" s="1"/>
  <c r="W2057" i="1"/>
  <c r="AK2056" i="1"/>
  <c r="AJ2056" i="1"/>
  <c r="AI2056" i="1"/>
  <c r="AE2056" i="1" s="1"/>
  <c r="W2056" i="1"/>
  <c r="AK2055" i="1"/>
  <c r="AJ2055" i="1"/>
  <c r="AI2055" i="1"/>
  <c r="AE2055" i="1" s="1"/>
  <c r="W2055" i="1"/>
  <c r="AK2054" i="1"/>
  <c r="AJ2054" i="1"/>
  <c r="AI2054" i="1"/>
  <c r="AE2054" i="1" s="1"/>
  <c r="W2054" i="1"/>
  <c r="AI2053" i="1"/>
  <c r="AE2053" i="1" s="1"/>
  <c r="V2053" i="1"/>
  <c r="AK2052" i="1"/>
  <c r="AJ2052" i="1"/>
  <c r="AI2052" i="1"/>
  <c r="AE2052" i="1" s="1"/>
  <c r="W2052" i="1"/>
  <c r="AK2051" i="1"/>
  <c r="AJ2051" i="1"/>
  <c r="AI2051" i="1"/>
  <c r="AE2051" i="1" s="1"/>
  <c r="W2051" i="1"/>
  <c r="AK2050" i="1"/>
  <c r="AJ2050" i="1"/>
  <c r="AI2050" i="1"/>
  <c r="AE2050" i="1" s="1"/>
  <c r="W2050" i="1"/>
  <c r="AK2049" i="1"/>
  <c r="AJ2049" i="1"/>
  <c r="AI2049" i="1"/>
  <c r="AE2049" i="1" s="1"/>
  <c r="W2049" i="1"/>
  <c r="AI2048" i="1"/>
  <c r="AE2048" i="1" s="1"/>
  <c r="V2048" i="1"/>
  <c r="W2048" i="1" s="1"/>
  <c r="AI2047" i="1"/>
  <c r="AE2047" i="1" s="1"/>
  <c r="V2047" i="1"/>
  <c r="AI2046" i="1"/>
  <c r="AE2046" i="1" s="1"/>
  <c r="V2046" i="1"/>
  <c r="AK2045" i="1"/>
  <c r="AJ2045" i="1"/>
  <c r="AI2045" i="1"/>
  <c r="AE2045" i="1" s="1"/>
  <c r="W2045" i="1"/>
  <c r="AK2044" i="1"/>
  <c r="AJ2044" i="1"/>
  <c r="AI2044" i="1"/>
  <c r="AE2044" i="1" s="1"/>
  <c r="W2044" i="1"/>
  <c r="AK2043" i="1"/>
  <c r="AJ2043" i="1"/>
  <c r="AI2043" i="1"/>
  <c r="AE2043" i="1" s="1"/>
  <c r="W2043" i="1"/>
  <c r="AK2042" i="1"/>
  <c r="AJ2042" i="1"/>
  <c r="AI2042" i="1"/>
  <c r="AE2042" i="1" s="1"/>
  <c r="W2042" i="1"/>
  <c r="AK2041" i="1"/>
  <c r="AJ2041" i="1"/>
  <c r="AI2041" i="1"/>
  <c r="AE2041" i="1" s="1"/>
  <c r="W2041" i="1"/>
  <c r="AK2040" i="1"/>
  <c r="AJ2040" i="1"/>
  <c r="AI2040" i="1"/>
  <c r="AE2040" i="1" s="1"/>
  <c r="W2040" i="1"/>
  <c r="AK2039" i="1"/>
  <c r="AJ2039" i="1"/>
  <c r="AI2039" i="1"/>
  <c r="AE2039" i="1" s="1"/>
  <c r="W2039" i="1"/>
  <c r="AI2038" i="1"/>
  <c r="AE2038" i="1" s="1"/>
  <c r="V2038" i="1"/>
  <c r="AK2037" i="1"/>
  <c r="AJ2037" i="1"/>
  <c r="AI2037" i="1"/>
  <c r="AE2037" i="1" s="1"/>
  <c r="W2037" i="1"/>
  <c r="AK2036" i="1"/>
  <c r="AJ2036" i="1"/>
  <c r="AI2036" i="1"/>
  <c r="AE2036" i="1" s="1"/>
  <c r="W2036" i="1"/>
  <c r="AI2035" i="1"/>
  <c r="AE2035" i="1" s="1"/>
  <c r="V2035" i="1"/>
  <c r="W2035" i="1" s="1"/>
  <c r="AI2034" i="1"/>
  <c r="AE2034" i="1" s="1"/>
  <c r="V2034" i="1"/>
  <c r="AI2033" i="1"/>
  <c r="AE2033" i="1" s="1"/>
  <c r="V2033" i="1"/>
  <c r="W2033" i="1" s="1"/>
  <c r="AK2032" i="1"/>
  <c r="AJ2032" i="1"/>
  <c r="AI2032" i="1"/>
  <c r="AE2032" i="1" s="1"/>
  <c r="W2032" i="1"/>
  <c r="AK2031" i="1"/>
  <c r="AJ2031" i="1"/>
  <c r="AI2031" i="1"/>
  <c r="AE2031" i="1" s="1"/>
  <c r="W2031" i="1"/>
  <c r="AK2030" i="1"/>
  <c r="AJ2030" i="1"/>
  <c r="AI2030" i="1"/>
  <c r="AE2030" i="1" s="1"/>
  <c r="W2030" i="1"/>
  <c r="AK2029" i="1"/>
  <c r="AJ2029" i="1"/>
  <c r="AI2029" i="1"/>
  <c r="AE2029" i="1" s="1"/>
  <c r="W2029" i="1"/>
  <c r="AK2028" i="1"/>
  <c r="AJ2028" i="1"/>
  <c r="AI2028" i="1"/>
  <c r="AE2028" i="1" s="1"/>
  <c r="W2028" i="1"/>
  <c r="AK2027" i="1"/>
  <c r="AJ2027" i="1"/>
  <c r="AI2027" i="1"/>
  <c r="AE2027" i="1" s="1"/>
  <c r="W2027" i="1"/>
  <c r="AK2026" i="1"/>
  <c r="AJ2026" i="1"/>
  <c r="AI2026" i="1"/>
  <c r="AE2026" i="1" s="1"/>
  <c r="W2026" i="1"/>
  <c r="AK2025" i="1"/>
  <c r="AJ2025" i="1"/>
  <c r="AI2025" i="1"/>
  <c r="AE2025" i="1" s="1"/>
  <c r="AF2025" i="1"/>
  <c r="W2025" i="1"/>
  <c r="AK2024" i="1"/>
  <c r="AJ2024" i="1"/>
  <c r="AI2024" i="1"/>
  <c r="AE2024" i="1" s="1"/>
  <c r="AF2024" i="1"/>
  <c r="W2024" i="1"/>
  <c r="AI2023" i="1"/>
  <c r="AE2023" i="1" s="1"/>
  <c r="V2023" i="1"/>
  <c r="AJ2023" i="1" s="1"/>
  <c r="AI2022" i="1"/>
  <c r="AE2022" i="1" s="1"/>
  <c r="V2022" i="1"/>
  <c r="W2022" i="1" s="1"/>
  <c r="AK2021" i="1"/>
  <c r="AJ2021" i="1"/>
  <c r="AI2021" i="1"/>
  <c r="AE2021" i="1" s="1"/>
  <c r="W2021" i="1"/>
  <c r="AK2020" i="1"/>
  <c r="AJ2020" i="1"/>
  <c r="AI2020" i="1"/>
  <c r="AE2020" i="1" s="1"/>
  <c r="W2020" i="1"/>
  <c r="AI2019" i="1"/>
  <c r="AE2019" i="1" s="1"/>
  <c r="V2019" i="1"/>
  <c r="AK2018" i="1"/>
  <c r="AJ2018" i="1"/>
  <c r="AI2018" i="1"/>
  <c r="AE2018" i="1" s="1"/>
  <c r="W2018" i="1"/>
  <c r="AK2017" i="1"/>
  <c r="AJ2017" i="1"/>
  <c r="AI2017" i="1"/>
  <c r="AE2017" i="1" s="1"/>
  <c r="W2017" i="1"/>
  <c r="AI2016" i="1"/>
  <c r="AE2016" i="1" s="1"/>
  <c r="V2016" i="1"/>
  <c r="AK2016" i="1" s="1"/>
  <c r="AK2015" i="1"/>
  <c r="AJ2015" i="1"/>
  <c r="AI2015" i="1"/>
  <c r="AE2015" i="1" s="1"/>
  <c r="W2015" i="1"/>
  <c r="AK2014" i="1"/>
  <c r="AJ2014" i="1"/>
  <c r="AI2014" i="1"/>
  <c r="AE2014" i="1" s="1"/>
  <c r="W2014" i="1"/>
  <c r="AK2013" i="1"/>
  <c r="AJ2013" i="1"/>
  <c r="AI2013" i="1"/>
  <c r="AE2013" i="1" s="1"/>
  <c r="W2013" i="1"/>
  <c r="AK2012" i="1"/>
  <c r="AJ2012" i="1"/>
  <c r="AI2012" i="1"/>
  <c r="AE2012" i="1" s="1"/>
  <c r="W2012" i="1"/>
  <c r="AK2011" i="1"/>
  <c r="AJ2011" i="1"/>
  <c r="AI2011" i="1"/>
  <c r="AE2011" i="1" s="1"/>
  <c r="W2011" i="1"/>
  <c r="AK2010" i="1"/>
  <c r="AJ2010" i="1"/>
  <c r="AI2010" i="1"/>
  <c r="AE2010" i="1" s="1"/>
  <c r="W2010" i="1"/>
  <c r="AK2009" i="1"/>
  <c r="AJ2009" i="1"/>
  <c r="AI2009" i="1"/>
  <c r="AE2009" i="1" s="1"/>
  <c r="W2009" i="1"/>
  <c r="AK2008" i="1"/>
  <c r="AJ2008" i="1"/>
  <c r="AI2008" i="1"/>
  <c r="AE2008" i="1" s="1"/>
  <c r="W2008" i="1"/>
  <c r="AK2007" i="1"/>
  <c r="AJ2007" i="1"/>
  <c r="AI2007" i="1"/>
  <c r="AE2007" i="1" s="1"/>
  <c r="W2007" i="1"/>
  <c r="AK2006" i="1"/>
  <c r="AJ2006" i="1"/>
  <c r="AI2006" i="1"/>
  <c r="AE2006" i="1" s="1"/>
  <c r="W2006" i="1"/>
  <c r="AK2005" i="1"/>
  <c r="AJ2005" i="1"/>
  <c r="AI2005" i="1"/>
  <c r="AE2005" i="1" s="1"/>
  <c r="W2005" i="1"/>
  <c r="AK2004" i="1"/>
  <c r="AJ2004" i="1"/>
  <c r="AI2004" i="1"/>
  <c r="AE2004" i="1" s="1"/>
  <c r="W2004" i="1"/>
  <c r="AI2003" i="1"/>
  <c r="AE2003" i="1" s="1"/>
  <c r="V2003" i="1"/>
  <c r="AK2002" i="1"/>
  <c r="AJ2002" i="1"/>
  <c r="AI2002" i="1"/>
  <c r="AE2002" i="1" s="1"/>
  <c r="AK2001" i="1"/>
  <c r="AJ2001" i="1"/>
  <c r="AI2001" i="1"/>
  <c r="AE2001" i="1" s="1"/>
  <c r="W2001" i="1"/>
  <c r="AK2000" i="1"/>
  <c r="AJ2000" i="1"/>
  <c r="AI2000" i="1"/>
  <c r="AE2000" i="1" s="1"/>
  <c r="W2000" i="1"/>
  <c r="AI1999" i="1"/>
  <c r="AE1999" i="1" s="1"/>
  <c r="V1999" i="1"/>
  <c r="AI1998" i="1"/>
  <c r="AE1998" i="1" s="1"/>
  <c r="V1998" i="1"/>
  <c r="AK1998" i="1" s="1"/>
  <c r="AK1997" i="1"/>
  <c r="AJ1997" i="1"/>
  <c r="AI1997" i="1"/>
  <c r="AE1997" i="1" s="1"/>
  <c r="W1997" i="1"/>
  <c r="AK1996" i="1"/>
  <c r="AJ1996" i="1"/>
  <c r="AI1996" i="1"/>
  <c r="AE1996" i="1" s="1"/>
  <c r="W1996" i="1"/>
  <c r="AI1995" i="1"/>
  <c r="AE1995" i="1" s="1"/>
  <c r="V1995" i="1"/>
  <c r="AK1994" i="1"/>
  <c r="AJ1994" i="1"/>
  <c r="AI1994" i="1"/>
  <c r="AE1994" i="1" s="1"/>
  <c r="W1994" i="1"/>
  <c r="AI1993" i="1"/>
  <c r="AE1993" i="1" s="1"/>
  <c r="V1993" i="1"/>
  <c r="AI1992" i="1"/>
  <c r="AE1992" i="1" s="1"/>
  <c r="V1992" i="1"/>
  <c r="W1992" i="1" s="1"/>
  <c r="AI1991" i="1"/>
  <c r="AE1991" i="1" s="1"/>
  <c r="V1991" i="1"/>
  <c r="AK1990" i="1"/>
  <c r="AJ1990" i="1"/>
  <c r="AI1990" i="1"/>
  <c r="AE1990" i="1" s="1"/>
  <c r="W1990" i="1"/>
  <c r="AI1989" i="1"/>
  <c r="AE1989" i="1" s="1"/>
  <c r="V1989" i="1"/>
  <c r="AI1988" i="1"/>
  <c r="AE1988" i="1" s="1"/>
  <c r="V1988" i="1"/>
  <c r="AI1987" i="1"/>
  <c r="AE1987" i="1" s="1"/>
  <c r="V1987" i="1"/>
  <c r="AI1986" i="1"/>
  <c r="AE1986" i="1" s="1"/>
  <c r="V1986" i="1"/>
  <c r="AJ1986" i="1" s="1"/>
  <c r="AI1985" i="1"/>
  <c r="AE1985" i="1" s="1"/>
  <c r="V1985" i="1"/>
  <c r="AJ1985" i="1" s="1"/>
  <c r="AK1984" i="1"/>
  <c r="AJ1984" i="1"/>
  <c r="AI1984" i="1"/>
  <c r="AE1984" i="1" s="1"/>
  <c r="W1984" i="1"/>
  <c r="AK1983" i="1"/>
  <c r="AJ1983" i="1"/>
  <c r="AI1983" i="1"/>
  <c r="AE1983" i="1" s="1"/>
  <c r="W1983" i="1"/>
  <c r="AK1982" i="1"/>
  <c r="AJ1982" i="1"/>
  <c r="AI1982" i="1"/>
  <c r="AE1982" i="1" s="1"/>
  <c r="W1982" i="1"/>
  <c r="AK1981" i="1"/>
  <c r="AJ1981" i="1"/>
  <c r="AI1981" i="1"/>
  <c r="AE1981" i="1" s="1"/>
  <c r="W1981" i="1"/>
  <c r="AK1980" i="1"/>
  <c r="AJ1980" i="1"/>
  <c r="AI1980" i="1"/>
  <c r="AE1980" i="1" s="1"/>
  <c r="W1980" i="1"/>
  <c r="AK1979" i="1"/>
  <c r="AJ1979" i="1"/>
  <c r="AI1979" i="1"/>
  <c r="AE1979" i="1" s="1"/>
  <c r="W1979" i="1"/>
  <c r="AI1978" i="1"/>
  <c r="AE1978" i="1" s="1"/>
  <c r="AI1977" i="1"/>
  <c r="AE1977" i="1" s="1"/>
  <c r="AK1976" i="1"/>
  <c r="AJ1976" i="1"/>
  <c r="AI1976" i="1"/>
  <c r="AE1976" i="1" s="1"/>
  <c r="W1976" i="1"/>
  <c r="AK1975" i="1"/>
  <c r="AJ1975" i="1"/>
  <c r="AI1975" i="1"/>
  <c r="AE1975" i="1" s="1"/>
  <c r="W1975" i="1"/>
  <c r="AK1974" i="1"/>
  <c r="AJ1974" i="1"/>
  <c r="AI1974" i="1"/>
  <c r="AE1974" i="1" s="1"/>
  <c r="W1974" i="1"/>
  <c r="AK1973" i="1"/>
  <c r="AJ1973" i="1"/>
  <c r="AI1973" i="1"/>
  <c r="AE1973" i="1" s="1"/>
  <c r="W1973" i="1"/>
  <c r="AK1972" i="1"/>
  <c r="AJ1972" i="1"/>
  <c r="AI1972" i="1"/>
  <c r="AE1972" i="1" s="1"/>
  <c r="W1972" i="1"/>
  <c r="AK1971" i="1"/>
  <c r="AJ1971" i="1"/>
  <c r="AI1971" i="1"/>
  <c r="AE1971" i="1" s="1"/>
  <c r="W1971" i="1"/>
  <c r="AK1970" i="1"/>
  <c r="AJ1970" i="1"/>
  <c r="AI1970" i="1"/>
  <c r="AE1970" i="1" s="1"/>
  <c r="W1970" i="1"/>
  <c r="AK1969" i="1"/>
  <c r="AJ1969" i="1"/>
  <c r="AI1969" i="1"/>
  <c r="AE1969" i="1" s="1"/>
  <c r="W1969" i="1"/>
  <c r="AK1968" i="1"/>
  <c r="AJ1968" i="1"/>
  <c r="AI1968" i="1"/>
  <c r="AE1968" i="1" s="1"/>
  <c r="W1968" i="1"/>
  <c r="AK1967" i="1"/>
  <c r="AJ1967" i="1"/>
  <c r="AI1967" i="1"/>
  <c r="AE1967" i="1" s="1"/>
  <c r="W1967" i="1"/>
  <c r="AK1966" i="1"/>
  <c r="AJ1966" i="1"/>
  <c r="AI1966" i="1"/>
  <c r="AE1966" i="1" s="1"/>
  <c r="W1966" i="1"/>
  <c r="AK1965" i="1"/>
  <c r="AJ1965" i="1"/>
  <c r="AI1965" i="1"/>
  <c r="AE1965" i="1" s="1"/>
  <c r="W1965" i="1"/>
  <c r="AK1964" i="1"/>
  <c r="AJ1964" i="1"/>
  <c r="AI1964" i="1"/>
  <c r="AE1964" i="1" s="1"/>
  <c r="W1964" i="1"/>
  <c r="AK1963" i="1"/>
  <c r="AJ1963" i="1"/>
  <c r="AI1963" i="1"/>
  <c r="AE1963" i="1" s="1"/>
  <c r="W1963" i="1"/>
  <c r="AK1962" i="1"/>
  <c r="AJ1962" i="1"/>
  <c r="AI1962" i="1"/>
  <c r="AE1962" i="1" s="1"/>
  <c r="W1962" i="1"/>
  <c r="AK1961" i="1"/>
  <c r="AJ1961" i="1"/>
  <c r="AI1961" i="1"/>
  <c r="AE1961" i="1" s="1"/>
  <c r="W1961" i="1"/>
  <c r="AK1960" i="1"/>
  <c r="AJ1960" i="1"/>
  <c r="AI1960" i="1"/>
  <c r="AE1960" i="1" s="1"/>
  <c r="W1960" i="1"/>
  <c r="AI1959" i="1"/>
  <c r="AE1959" i="1" s="1"/>
  <c r="V1959" i="1"/>
  <c r="AK1958" i="1"/>
  <c r="AJ1958" i="1"/>
  <c r="AI1958" i="1"/>
  <c r="AE1958" i="1" s="1"/>
  <c r="W1958" i="1"/>
  <c r="AK1957" i="1"/>
  <c r="AJ1957" i="1"/>
  <c r="AI1957" i="1"/>
  <c r="AE1957" i="1" s="1"/>
  <c r="W1957" i="1"/>
  <c r="AK1956" i="1"/>
  <c r="AJ1956" i="1"/>
  <c r="AI1956" i="1"/>
  <c r="AE1956" i="1" s="1"/>
  <c r="W1956" i="1"/>
  <c r="AK1955" i="1"/>
  <c r="AJ1955" i="1"/>
  <c r="AI1955" i="1"/>
  <c r="AE1955" i="1" s="1"/>
  <c r="W1955" i="1"/>
  <c r="AI1954" i="1"/>
  <c r="AE1954" i="1" s="1"/>
  <c r="V1954" i="1"/>
  <c r="AI1953" i="1"/>
  <c r="AE1953" i="1" s="1"/>
  <c r="V1953" i="1"/>
  <c r="W1953" i="1" s="1"/>
  <c r="AI1952" i="1"/>
  <c r="AE1952" i="1" s="1"/>
  <c r="V1952" i="1"/>
  <c r="AK1951" i="1"/>
  <c r="AJ1951" i="1"/>
  <c r="AI1951" i="1"/>
  <c r="AE1951" i="1" s="1"/>
  <c r="W1951" i="1"/>
  <c r="AK1950" i="1"/>
  <c r="AJ1950" i="1"/>
  <c r="AI1950" i="1"/>
  <c r="AE1950" i="1" s="1"/>
  <c r="W1950" i="1"/>
  <c r="AK1949" i="1"/>
  <c r="AJ1949" i="1"/>
  <c r="AI1949" i="1"/>
  <c r="AE1949" i="1" s="1"/>
  <c r="W1949" i="1"/>
  <c r="AK1948" i="1"/>
  <c r="AJ1948" i="1"/>
  <c r="AI1948" i="1"/>
  <c r="AE1948" i="1" s="1"/>
  <c r="AF1948" i="1"/>
  <c r="W1948" i="1"/>
  <c r="AK1947" i="1"/>
  <c r="AJ1947" i="1"/>
  <c r="AI1947" i="1"/>
  <c r="AE1947" i="1" s="1"/>
  <c r="W1947" i="1"/>
  <c r="AK1946" i="1"/>
  <c r="AJ1946" i="1"/>
  <c r="AI1946" i="1"/>
  <c r="AE1946" i="1" s="1"/>
  <c r="W1946" i="1"/>
  <c r="AK1945" i="1"/>
  <c r="AJ1945" i="1"/>
  <c r="AI1945" i="1"/>
  <c r="AE1945" i="1" s="1"/>
  <c r="W1945" i="1"/>
  <c r="AK1944" i="1"/>
  <c r="AJ1944" i="1"/>
  <c r="AI1944" i="1"/>
  <c r="AE1944" i="1" s="1"/>
  <c r="W1944" i="1"/>
  <c r="AI1943" i="1"/>
  <c r="AE1943" i="1" s="1"/>
  <c r="V1943" i="1"/>
  <c r="AI1942" i="1"/>
  <c r="AE1942" i="1" s="1"/>
  <c r="V1942" i="1"/>
  <c r="AJ1942" i="1" s="1"/>
  <c r="AK1941" i="1"/>
  <c r="AJ1941" i="1"/>
  <c r="AI1941" i="1"/>
  <c r="AE1941" i="1" s="1"/>
  <c r="W1941" i="1"/>
  <c r="AI1940" i="1"/>
  <c r="AE1940" i="1" s="1"/>
  <c r="V1940" i="1"/>
  <c r="AJ1940" i="1" s="1"/>
  <c r="AI1939" i="1"/>
  <c r="AE1939" i="1" s="1"/>
  <c r="V1939" i="1"/>
  <c r="AJ1939" i="1" s="1"/>
  <c r="AK1938" i="1"/>
  <c r="AJ1938" i="1"/>
  <c r="AI1938" i="1"/>
  <c r="AE1938" i="1" s="1"/>
  <c r="W1938" i="1"/>
  <c r="AK1937" i="1"/>
  <c r="AJ1937" i="1"/>
  <c r="AI1937" i="1"/>
  <c r="AE1937" i="1" s="1"/>
  <c r="W1937" i="1"/>
  <c r="AK1936" i="1"/>
  <c r="AJ1936" i="1"/>
  <c r="AI1936" i="1"/>
  <c r="AE1936" i="1" s="1"/>
  <c r="W1936" i="1"/>
  <c r="AK1935" i="1"/>
  <c r="AJ1935" i="1"/>
  <c r="AI1935" i="1"/>
  <c r="AE1935" i="1" s="1"/>
  <c r="W1935" i="1"/>
  <c r="AK1934" i="1"/>
  <c r="AJ1934" i="1"/>
  <c r="AI1934" i="1"/>
  <c r="AE1934" i="1" s="1"/>
  <c r="W1934" i="1"/>
  <c r="AI1933" i="1"/>
  <c r="AE1933" i="1" s="1"/>
  <c r="V1933" i="1"/>
  <c r="AJ1933" i="1" s="1"/>
  <c r="AK1932" i="1"/>
  <c r="AJ1932" i="1"/>
  <c r="AI1932" i="1"/>
  <c r="AE1932" i="1" s="1"/>
  <c r="W1932" i="1"/>
  <c r="AK1931" i="1"/>
  <c r="AJ1931" i="1"/>
  <c r="AI1931" i="1"/>
  <c r="AE1931" i="1" s="1"/>
  <c r="W1931" i="1"/>
  <c r="AK1930" i="1"/>
  <c r="AJ1930" i="1"/>
  <c r="AI1930" i="1"/>
  <c r="AE1930" i="1" s="1"/>
  <c r="W1930" i="1"/>
  <c r="AK1929" i="1"/>
  <c r="AJ1929" i="1"/>
  <c r="AI1929" i="1"/>
  <c r="AE1929" i="1" s="1"/>
  <c r="W1929" i="1"/>
  <c r="AK1928" i="1"/>
  <c r="AJ1928" i="1"/>
  <c r="AI1928" i="1"/>
  <c r="AE1928" i="1" s="1"/>
  <c r="W1928" i="1"/>
  <c r="AK1927" i="1"/>
  <c r="AJ1927" i="1"/>
  <c r="AI1927" i="1"/>
  <c r="AE1927" i="1" s="1"/>
  <c r="W1927" i="1"/>
  <c r="AK1926" i="1"/>
  <c r="AJ1926" i="1"/>
  <c r="AI1926" i="1"/>
  <c r="AE1926" i="1" s="1"/>
  <c r="W1926" i="1"/>
  <c r="AK1925" i="1"/>
  <c r="AJ1925" i="1"/>
  <c r="AI1925" i="1"/>
  <c r="AE1925" i="1" s="1"/>
  <c r="W1925" i="1"/>
  <c r="AK1924" i="1"/>
  <c r="AJ1924" i="1"/>
  <c r="AI1924" i="1"/>
  <c r="AE1924" i="1" s="1"/>
  <c r="W1924" i="1"/>
  <c r="AI1923" i="1"/>
  <c r="AE1923" i="1" s="1"/>
  <c r="V1923" i="1"/>
  <c r="AK1922" i="1"/>
  <c r="AJ1922" i="1"/>
  <c r="AI1922" i="1"/>
  <c r="AE1922" i="1" s="1"/>
  <c r="W1922" i="1"/>
  <c r="AK1921" i="1"/>
  <c r="AJ1921" i="1"/>
  <c r="AI1921" i="1"/>
  <c r="AE1921" i="1" s="1"/>
  <c r="W1921" i="1"/>
  <c r="AK1920" i="1"/>
  <c r="AJ1920" i="1"/>
  <c r="AI1920" i="1"/>
  <c r="AE1920" i="1" s="1"/>
  <c r="W1920" i="1"/>
  <c r="AK1919" i="1"/>
  <c r="AJ1919" i="1"/>
  <c r="AI1919" i="1"/>
  <c r="AE1919" i="1" s="1"/>
  <c r="W1919" i="1"/>
  <c r="AI1918" i="1"/>
  <c r="AE1918" i="1" s="1"/>
  <c r="V1918" i="1"/>
  <c r="AK1917" i="1"/>
  <c r="AJ1917" i="1"/>
  <c r="AI1917" i="1"/>
  <c r="AE1917" i="1" s="1"/>
  <c r="W1917" i="1"/>
  <c r="AI1916" i="1"/>
  <c r="AE1916" i="1" s="1"/>
  <c r="V1916" i="1"/>
  <c r="AI1915" i="1"/>
  <c r="AE1915" i="1" s="1"/>
  <c r="V1915" i="1"/>
  <c r="W1915" i="1" s="1"/>
  <c r="AI1914" i="1"/>
  <c r="AE1914" i="1" s="1"/>
  <c r="V1914" i="1"/>
  <c r="AI1913" i="1"/>
  <c r="AE1913" i="1" s="1"/>
  <c r="V1913" i="1"/>
  <c r="W1913" i="1" s="1"/>
  <c r="AK1912" i="1"/>
  <c r="AJ1912" i="1"/>
  <c r="AI1912" i="1"/>
  <c r="AE1912" i="1" s="1"/>
  <c r="W1912" i="1"/>
  <c r="AK1911" i="1"/>
  <c r="AJ1911" i="1"/>
  <c r="AI1911" i="1"/>
  <c r="AE1911" i="1" s="1"/>
  <c r="W1911" i="1"/>
  <c r="AK1910" i="1"/>
  <c r="AJ1910" i="1"/>
  <c r="AI1910" i="1"/>
  <c r="AE1910" i="1" s="1"/>
  <c r="W1910" i="1"/>
  <c r="AK1909" i="1"/>
  <c r="AJ1909" i="1"/>
  <c r="AI1909" i="1"/>
  <c r="AE1909" i="1" s="1"/>
  <c r="W1909" i="1"/>
  <c r="AK1908" i="1"/>
  <c r="AJ1908" i="1"/>
  <c r="AI1908" i="1"/>
  <c r="AE1908" i="1" s="1"/>
  <c r="W1908" i="1"/>
  <c r="AI1907" i="1"/>
  <c r="AE1907" i="1" s="1"/>
  <c r="V1907" i="1"/>
  <c r="AJ1907" i="1" s="1"/>
  <c r="AI1906" i="1"/>
  <c r="AE1906" i="1" s="1"/>
  <c r="V1906" i="1"/>
  <c r="AK1905" i="1"/>
  <c r="AJ1905" i="1"/>
  <c r="AI1905" i="1"/>
  <c r="AE1905" i="1" s="1"/>
  <c r="W1905" i="1"/>
  <c r="AK1904" i="1"/>
  <c r="AJ1904" i="1"/>
  <c r="AI1904" i="1"/>
  <c r="AE1904" i="1" s="1"/>
  <c r="W1904" i="1"/>
  <c r="AI1903" i="1"/>
  <c r="AE1903" i="1" s="1"/>
  <c r="V1903" i="1"/>
  <c r="AK1902" i="1"/>
  <c r="AJ1902" i="1"/>
  <c r="AI1902" i="1"/>
  <c r="AE1902" i="1" s="1"/>
  <c r="W1902" i="1"/>
  <c r="AK1901" i="1"/>
  <c r="AJ1901" i="1"/>
  <c r="AI1901" i="1"/>
  <c r="AE1901" i="1" s="1"/>
  <c r="W1901" i="1"/>
  <c r="AK1900" i="1"/>
  <c r="AJ1900" i="1"/>
  <c r="AI1900" i="1"/>
  <c r="AE1900" i="1" s="1"/>
  <c r="W1900" i="1"/>
  <c r="AK1899" i="1"/>
  <c r="AJ1899" i="1"/>
  <c r="AI1899" i="1"/>
  <c r="AE1899" i="1" s="1"/>
  <c r="W1899" i="1"/>
  <c r="AK1898" i="1"/>
  <c r="AJ1898" i="1"/>
  <c r="AI1898" i="1"/>
  <c r="AE1898" i="1" s="1"/>
  <c r="W1898" i="1"/>
  <c r="AK1897" i="1"/>
  <c r="AJ1897" i="1"/>
  <c r="AI1897" i="1"/>
  <c r="AE1897" i="1" s="1"/>
  <c r="W1897" i="1"/>
  <c r="AK1896" i="1"/>
  <c r="AJ1896" i="1"/>
  <c r="AI1896" i="1"/>
  <c r="AE1896" i="1" s="1"/>
  <c r="W1896" i="1"/>
  <c r="AK1895" i="1"/>
  <c r="AJ1895" i="1"/>
  <c r="AI1895" i="1"/>
  <c r="AE1895" i="1" s="1"/>
  <c r="W1895" i="1"/>
  <c r="AK1894" i="1"/>
  <c r="AJ1894" i="1"/>
  <c r="AI1894" i="1"/>
  <c r="AE1894" i="1" s="1"/>
  <c r="W1894" i="1"/>
  <c r="AK1893" i="1"/>
  <c r="AJ1893" i="1"/>
  <c r="AI1893" i="1"/>
  <c r="AE1893" i="1" s="1"/>
  <c r="W1893" i="1"/>
  <c r="AI1892" i="1"/>
  <c r="AE1892" i="1" s="1"/>
  <c r="V1892" i="1"/>
  <c r="AJ1892" i="1" s="1"/>
  <c r="AI1891" i="1"/>
  <c r="AE1891" i="1" s="1"/>
  <c r="V1891" i="1"/>
  <c r="AI1890" i="1"/>
  <c r="AE1890" i="1" s="1"/>
  <c r="V1890" i="1"/>
  <c r="AJ1890" i="1" s="1"/>
  <c r="AI1889" i="1"/>
  <c r="AE1889" i="1" s="1"/>
  <c r="V1889" i="1"/>
  <c r="AJ1889" i="1" s="1"/>
  <c r="AK1888" i="1"/>
  <c r="AJ1888" i="1"/>
  <c r="AI1888" i="1"/>
  <c r="AE1888" i="1" s="1"/>
  <c r="W1888" i="1"/>
  <c r="AK1887" i="1"/>
  <c r="AJ1887" i="1"/>
  <c r="AI1887" i="1"/>
  <c r="AE1887" i="1" s="1"/>
  <c r="W1887" i="1"/>
  <c r="AK1886" i="1"/>
  <c r="AJ1886" i="1"/>
  <c r="AI1886" i="1"/>
  <c r="AE1886" i="1" s="1"/>
  <c r="W1886" i="1"/>
  <c r="AI1885" i="1"/>
  <c r="AE1885" i="1" s="1"/>
  <c r="V1885" i="1"/>
  <c r="AK1884" i="1"/>
  <c r="AJ1884" i="1"/>
  <c r="AI1884" i="1"/>
  <c r="AE1884" i="1" s="1"/>
  <c r="W1884" i="1"/>
  <c r="AK1883" i="1"/>
  <c r="AJ1883" i="1"/>
  <c r="AI1883" i="1"/>
  <c r="AE1883" i="1" s="1"/>
  <c r="W1883" i="1"/>
  <c r="AK1882" i="1"/>
  <c r="AJ1882" i="1"/>
  <c r="AI1882" i="1"/>
  <c r="AE1882" i="1" s="1"/>
  <c r="W1882" i="1"/>
  <c r="AK1881" i="1"/>
  <c r="AJ1881" i="1"/>
  <c r="AI1881" i="1"/>
  <c r="AE1881" i="1" s="1"/>
  <c r="W1881" i="1"/>
  <c r="AK1880" i="1"/>
  <c r="AJ1880" i="1"/>
  <c r="AI1880" i="1"/>
  <c r="AE1880" i="1" s="1"/>
  <c r="W1880" i="1"/>
  <c r="AK1879" i="1"/>
  <c r="AJ1879" i="1"/>
  <c r="AI1879" i="1"/>
  <c r="AE1879" i="1" s="1"/>
  <c r="W1879" i="1"/>
  <c r="AK1878" i="1"/>
  <c r="AJ1878" i="1"/>
  <c r="AI1878" i="1"/>
  <c r="AE1878" i="1" s="1"/>
  <c r="W1878" i="1"/>
  <c r="AK1877" i="1"/>
  <c r="AJ1877" i="1"/>
  <c r="AI1877" i="1"/>
  <c r="AE1877" i="1" s="1"/>
  <c r="W1877" i="1"/>
  <c r="AI1876" i="1"/>
  <c r="AE1876" i="1" s="1"/>
  <c r="V1876" i="1"/>
  <c r="AJ1876" i="1" s="1"/>
  <c r="AI1875" i="1"/>
  <c r="AE1875" i="1" s="1"/>
  <c r="V1875" i="1"/>
  <c r="AJ1875" i="1" s="1"/>
  <c r="AK1874" i="1"/>
  <c r="AJ1874" i="1"/>
  <c r="AI1874" i="1"/>
  <c r="AE1874" i="1" s="1"/>
  <c r="W1874" i="1"/>
  <c r="AK1873" i="1"/>
  <c r="AJ1873" i="1"/>
  <c r="AI1873" i="1"/>
  <c r="AE1873" i="1" s="1"/>
  <c r="W1873" i="1"/>
  <c r="AI1872" i="1"/>
  <c r="AE1872" i="1" s="1"/>
  <c r="V1872" i="1"/>
  <c r="W1872" i="1" s="1"/>
  <c r="AK1871" i="1"/>
  <c r="AJ1871" i="1"/>
  <c r="AI1871" i="1"/>
  <c r="AE1871" i="1" s="1"/>
  <c r="W1871" i="1"/>
  <c r="AK1870" i="1"/>
  <c r="AJ1870" i="1"/>
  <c r="AI1870" i="1"/>
  <c r="AE1870" i="1" s="1"/>
  <c r="W1870" i="1"/>
  <c r="AK1869" i="1"/>
  <c r="AJ1869" i="1"/>
  <c r="AI1869" i="1"/>
  <c r="AE1869" i="1" s="1"/>
  <c r="W1869" i="1"/>
  <c r="AK1868" i="1"/>
  <c r="AJ1868" i="1"/>
  <c r="AI1868" i="1"/>
  <c r="AE1868" i="1" s="1"/>
  <c r="W1868" i="1"/>
  <c r="AK1867" i="1"/>
  <c r="AJ1867" i="1"/>
  <c r="AI1867" i="1"/>
  <c r="AE1867" i="1" s="1"/>
  <c r="W1867" i="1"/>
  <c r="AI1866" i="1"/>
  <c r="AE1866" i="1" s="1"/>
  <c r="V1866" i="1"/>
  <c r="AK1865" i="1"/>
  <c r="AJ1865" i="1"/>
  <c r="AI1865" i="1"/>
  <c r="AE1865" i="1" s="1"/>
  <c r="W1865" i="1"/>
  <c r="AK1864" i="1"/>
  <c r="AJ1864" i="1"/>
  <c r="AI1864" i="1"/>
  <c r="AE1864" i="1" s="1"/>
  <c r="W1864" i="1"/>
  <c r="AK1863" i="1"/>
  <c r="AJ1863" i="1"/>
  <c r="AI1863" i="1"/>
  <c r="AE1863" i="1" s="1"/>
  <c r="AK1862" i="1"/>
  <c r="AJ1862" i="1"/>
  <c r="AI1862" i="1"/>
  <c r="AE1862" i="1" s="1"/>
  <c r="W1862" i="1"/>
  <c r="AK1861" i="1"/>
  <c r="AJ1861" i="1"/>
  <c r="AI1861" i="1"/>
  <c r="AE1861" i="1" s="1"/>
  <c r="W1861" i="1"/>
  <c r="AI1860" i="1"/>
  <c r="AE1860" i="1" s="1"/>
  <c r="V1860" i="1"/>
  <c r="AK1859" i="1"/>
  <c r="AJ1859" i="1"/>
  <c r="AI1859" i="1"/>
  <c r="AE1859" i="1" s="1"/>
  <c r="W1859" i="1"/>
  <c r="AI1858" i="1"/>
  <c r="AE1858" i="1" s="1"/>
  <c r="V1858" i="1"/>
  <c r="AK1858" i="1" s="1"/>
  <c r="AK1857" i="1"/>
  <c r="AJ1857" i="1"/>
  <c r="AI1857" i="1"/>
  <c r="AE1857" i="1" s="1"/>
  <c r="W1857" i="1"/>
  <c r="AK1856" i="1"/>
  <c r="AJ1856" i="1"/>
  <c r="AI1856" i="1"/>
  <c r="AE1856" i="1" s="1"/>
  <c r="W1856" i="1"/>
  <c r="AI1855" i="1"/>
  <c r="AE1855" i="1" s="1"/>
  <c r="V1855" i="1"/>
  <c r="AK1855" i="1" s="1"/>
  <c r="AK1854" i="1"/>
  <c r="AJ1854" i="1"/>
  <c r="AI1854" i="1"/>
  <c r="AE1854" i="1" s="1"/>
  <c r="W1854" i="1"/>
  <c r="AK1853" i="1"/>
  <c r="AJ1853" i="1"/>
  <c r="AI1853" i="1"/>
  <c r="AE1853" i="1" s="1"/>
  <c r="W1853" i="1"/>
  <c r="AK1852" i="1"/>
  <c r="AJ1852" i="1"/>
  <c r="AI1852" i="1"/>
  <c r="AE1852" i="1" s="1"/>
  <c r="W1852" i="1"/>
  <c r="AK1851" i="1"/>
  <c r="AJ1851" i="1"/>
  <c r="AI1851" i="1"/>
  <c r="AE1851" i="1" s="1"/>
  <c r="W1851" i="1"/>
  <c r="AK1850" i="1"/>
  <c r="AJ1850" i="1"/>
  <c r="AI1850" i="1"/>
  <c r="AE1850" i="1" s="1"/>
  <c r="W1850" i="1"/>
  <c r="AI1849" i="1"/>
  <c r="AE1849" i="1" s="1"/>
  <c r="V1849" i="1"/>
  <c r="W1849" i="1" s="1"/>
  <c r="AK1848" i="1"/>
  <c r="AJ1848" i="1"/>
  <c r="AI1848" i="1"/>
  <c r="AE1848" i="1" s="1"/>
  <c r="W1848" i="1"/>
  <c r="AK1847" i="1"/>
  <c r="AJ1847" i="1"/>
  <c r="AI1847" i="1"/>
  <c r="AE1847" i="1" s="1"/>
  <c r="W1847" i="1"/>
  <c r="AI1846" i="1"/>
  <c r="AE1846" i="1" s="1"/>
  <c r="V1846" i="1"/>
  <c r="W1846" i="1" s="1"/>
  <c r="AI1845" i="1"/>
  <c r="AE1845" i="1" s="1"/>
  <c r="V1845" i="1"/>
  <c r="W1845" i="1" s="1"/>
  <c r="AK1844" i="1"/>
  <c r="AJ1844" i="1"/>
  <c r="AI1844" i="1"/>
  <c r="AE1844" i="1" s="1"/>
  <c r="W1844" i="1"/>
  <c r="AI1843" i="1"/>
  <c r="AE1843" i="1" s="1"/>
  <c r="V1843" i="1"/>
  <c r="AK1842" i="1"/>
  <c r="AJ1842" i="1"/>
  <c r="AI1842" i="1"/>
  <c r="AE1842" i="1" s="1"/>
  <c r="W1842" i="1"/>
  <c r="AK1841" i="1"/>
  <c r="AJ1841" i="1"/>
  <c r="AI1841" i="1"/>
  <c r="AE1841" i="1" s="1"/>
  <c r="W1841" i="1"/>
  <c r="AK1840" i="1"/>
  <c r="AJ1840" i="1"/>
  <c r="AI1840" i="1"/>
  <c r="AE1840" i="1" s="1"/>
  <c r="AK1839" i="1"/>
  <c r="AJ1839" i="1"/>
  <c r="AI1839" i="1"/>
  <c r="AE1839" i="1" s="1"/>
  <c r="W1839" i="1"/>
  <c r="AK1838" i="1"/>
  <c r="AJ1838" i="1"/>
  <c r="AI1838" i="1"/>
  <c r="AE1838" i="1" s="1"/>
  <c r="W1838" i="1"/>
  <c r="AK1837" i="1"/>
  <c r="AJ1837" i="1"/>
  <c r="AI1837" i="1"/>
  <c r="AE1837" i="1" s="1"/>
  <c r="W1837" i="1"/>
  <c r="AK1836" i="1"/>
  <c r="AJ1836" i="1"/>
  <c r="AI1836" i="1"/>
  <c r="AE1836" i="1" s="1"/>
  <c r="W1836" i="1"/>
  <c r="AI1835" i="1"/>
  <c r="AE1835" i="1" s="1"/>
  <c r="V1835" i="1"/>
  <c r="AK1835" i="1" s="1"/>
  <c r="AK1834" i="1"/>
  <c r="AJ1834" i="1"/>
  <c r="AI1834" i="1"/>
  <c r="AE1834" i="1" s="1"/>
  <c r="W1834" i="1"/>
  <c r="AK1833" i="1"/>
  <c r="AJ1833" i="1"/>
  <c r="AI1833" i="1"/>
  <c r="AE1833" i="1" s="1"/>
  <c r="W1833" i="1"/>
  <c r="AK1832" i="1"/>
  <c r="AJ1832" i="1"/>
  <c r="AI1832" i="1"/>
  <c r="AE1832" i="1" s="1"/>
  <c r="W1832" i="1"/>
  <c r="AK1831" i="1"/>
  <c r="AJ1831" i="1"/>
  <c r="AI1831" i="1"/>
  <c r="AE1831" i="1" s="1"/>
  <c r="W1831" i="1"/>
  <c r="AK1830" i="1"/>
  <c r="AJ1830" i="1"/>
  <c r="AI1830" i="1"/>
  <c r="AE1830" i="1" s="1"/>
  <c r="W1830" i="1"/>
  <c r="AK1829" i="1"/>
  <c r="AJ1829" i="1"/>
  <c r="AI1829" i="1"/>
  <c r="AE1829" i="1" s="1"/>
  <c r="W1829" i="1"/>
  <c r="AK1828" i="1"/>
  <c r="AJ1828" i="1"/>
  <c r="AI1828" i="1"/>
  <c r="AE1828" i="1" s="1"/>
  <c r="W1828" i="1"/>
  <c r="AK1827" i="1"/>
  <c r="AJ1827" i="1"/>
  <c r="AI1827" i="1"/>
  <c r="AE1827" i="1" s="1"/>
  <c r="W1827" i="1"/>
  <c r="AI1826" i="1"/>
  <c r="AE1826" i="1" s="1"/>
  <c r="V1826" i="1"/>
  <c r="W1826" i="1" s="1"/>
  <c r="AI1825" i="1"/>
  <c r="AE1825" i="1" s="1"/>
  <c r="V1825" i="1"/>
  <c r="AI1824" i="1"/>
  <c r="AE1824" i="1" s="1"/>
  <c r="V1824" i="1"/>
  <c r="AK1823" i="1"/>
  <c r="AJ1823" i="1"/>
  <c r="AI1823" i="1"/>
  <c r="AE1823" i="1" s="1"/>
  <c r="W1823" i="1"/>
  <c r="AI1822" i="1"/>
  <c r="AE1822" i="1" s="1"/>
  <c r="V1822" i="1"/>
  <c r="W1822" i="1" s="1"/>
  <c r="AK1821" i="1"/>
  <c r="AJ1821" i="1"/>
  <c r="AI1821" i="1"/>
  <c r="AE1821" i="1" s="1"/>
  <c r="W1821" i="1"/>
  <c r="AK1820" i="1"/>
  <c r="AJ1820" i="1"/>
  <c r="AI1820" i="1"/>
  <c r="AE1820" i="1" s="1"/>
  <c r="W1820" i="1"/>
  <c r="AK1819" i="1"/>
  <c r="AJ1819" i="1"/>
  <c r="AI1819" i="1"/>
  <c r="AE1819" i="1" s="1"/>
  <c r="W1819" i="1"/>
  <c r="AK1818" i="1"/>
  <c r="AJ1818" i="1"/>
  <c r="AI1818" i="1"/>
  <c r="AE1818" i="1" s="1"/>
  <c r="W1818" i="1"/>
  <c r="AK1817" i="1"/>
  <c r="AJ1817" i="1"/>
  <c r="AI1817" i="1"/>
  <c r="AE1817" i="1" s="1"/>
  <c r="W1817" i="1"/>
  <c r="AK1816" i="1"/>
  <c r="AJ1816" i="1"/>
  <c r="AI1816" i="1"/>
  <c r="AE1816" i="1" s="1"/>
  <c r="W1816" i="1"/>
  <c r="AK1815" i="1"/>
  <c r="AJ1815" i="1"/>
  <c r="AI1815" i="1"/>
  <c r="AE1815" i="1" s="1"/>
  <c r="W1815" i="1"/>
  <c r="AI1814" i="1"/>
  <c r="AE1814" i="1" s="1"/>
  <c r="V1814" i="1"/>
  <c r="AJ1814" i="1" s="1"/>
  <c r="AI1813" i="1"/>
  <c r="AE1813" i="1" s="1"/>
  <c r="V1813" i="1"/>
  <c r="AJ1813" i="1" s="1"/>
  <c r="AK1812" i="1"/>
  <c r="AJ1812" i="1"/>
  <c r="AI1812" i="1"/>
  <c r="AE1812" i="1" s="1"/>
  <c r="W1812" i="1"/>
  <c r="AI1811" i="1"/>
  <c r="AE1811" i="1" s="1"/>
  <c r="V1811" i="1"/>
  <c r="W1811" i="1" s="1"/>
  <c r="AK1810" i="1"/>
  <c r="AJ1810" i="1"/>
  <c r="AI1810" i="1"/>
  <c r="AE1810" i="1" s="1"/>
  <c r="W1810" i="1"/>
  <c r="AK1809" i="1"/>
  <c r="AJ1809" i="1"/>
  <c r="AI1809" i="1"/>
  <c r="AE1809" i="1" s="1"/>
  <c r="W1809" i="1"/>
  <c r="AK1808" i="1"/>
  <c r="AJ1808" i="1"/>
  <c r="AI1808" i="1"/>
  <c r="AE1808" i="1" s="1"/>
  <c r="W1808" i="1"/>
  <c r="AI1807" i="1"/>
  <c r="AE1807" i="1" s="1"/>
  <c r="V1807" i="1"/>
  <c r="AK1807" i="1" s="1"/>
  <c r="AK1806" i="1"/>
  <c r="AJ1806" i="1"/>
  <c r="AI1806" i="1"/>
  <c r="AE1806" i="1" s="1"/>
  <c r="W1806" i="1"/>
  <c r="AI1805" i="1"/>
  <c r="AE1805" i="1" s="1"/>
  <c r="V1805" i="1"/>
  <c r="AI1804" i="1"/>
  <c r="AE1804" i="1" s="1"/>
  <c r="V1804" i="1"/>
  <c r="AK1803" i="1"/>
  <c r="AJ1803" i="1"/>
  <c r="AI1803" i="1"/>
  <c r="AE1803" i="1" s="1"/>
  <c r="W1803" i="1"/>
  <c r="AI1802" i="1"/>
  <c r="AE1802" i="1" s="1"/>
  <c r="V1802" i="1"/>
  <c r="AI1801" i="1"/>
  <c r="AE1801" i="1" s="1"/>
  <c r="V1801" i="1"/>
  <c r="AI1800" i="1"/>
  <c r="AE1800" i="1" s="1"/>
  <c r="V1800" i="1"/>
  <c r="AK1800" i="1" s="1"/>
  <c r="AI1799" i="1"/>
  <c r="AE1799" i="1" s="1"/>
  <c r="V1799" i="1"/>
  <c r="AK1798" i="1"/>
  <c r="AJ1798" i="1"/>
  <c r="AI1798" i="1"/>
  <c r="AE1798" i="1" s="1"/>
  <c r="W1798" i="1"/>
  <c r="AK1797" i="1"/>
  <c r="AJ1797" i="1"/>
  <c r="AI1797" i="1"/>
  <c r="AE1797" i="1" s="1"/>
  <c r="W1797" i="1"/>
  <c r="AK1796" i="1"/>
  <c r="AJ1796" i="1"/>
  <c r="AI1796" i="1"/>
  <c r="AE1796" i="1" s="1"/>
  <c r="W1796" i="1"/>
  <c r="AK1795" i="1"/>
  <c r="AJ1795" i="1"/>
  <c r="AI1795" i="1"/>
  <c r="AE1795" i="1" s="1"/>
  <c r="W1795" i="1"/>
  <c r="AK1794" i="1"/>
  <c r="AJ1794" i="1"/>
  <c r="AI1794" i="1"/>
  <c r="AE1794" i="1" s="1"/>
  <c r="W1794" i="1"/>
  <c r="AK1793" i="1"/>
  <c r="AJ1793" i="1"/>
  <c r="AI1793" i="1"/>
  <c r="AE1793" i="1" s="1"/>
  <c r="W1793" i="1"/>
  <c r="AK1792" i="1"/>
  <c r="AJ1792" i="1"/>
  <c r="AI1792" i="1"/>
  <c r="AE1792" i="1" s="1"/>
  <c r="W1792" i="1"/>
  <c r="AI1791" i="1"/>
  <c r="AE1791" i="1" s="1"/>
  <c r="V1791" i="1"/>
  <c r="AJ1791" i="1" s="1"/>
  <c r="AI1790" i="1"/>
  <c r="AE1790" i="1" s="1"/>
  <c r="V1790" i="1"/>
  <c r="AI1789" i="1"/>
  <c r="AE1789" i="1" s="1"/>
  <c r="V1789" i="1"/>
  <c r="W1789" i="1" s="1"/>
  <c r="AI1788" i="1"/>
  <c r="AE1788" i="1" s="1"/>
  <c r="V1788" i="1"/>
  <c r="AI1787" i="1"/>
  <c r="AE1787" i="1" s="1"/>
  <c r="V1787" i="1"/>
  <c r="AI1786" i="1"/>
  <c r="AE1786" i="1" s="1"/>
  <c r="V1786" i="1"/>
  <c r="AI1785" i="1"/>
  <c r="AE1785" i="1" s="1"/>
  <c r="V1785" i="1"/>
  <c r="AK1785" i="1" s="1"/>
  <c r="AK1784" i="1"/>
  <c r="AJ1784" i="1"/>
  <c r="AI1784" i="1"/>
  <c r="AE1784" i="1" s="1"/>
  <c r="W1784" i="1"/>
  <c r="AK1783" i="1"/>
  <c r="AJ1783" i="1"/>
  <c r="AI1783" i="1"/>
  <c r="AE1783" i="1" s="1"/>
  <c r="W1783" i="1"/>
  <c r="AK1782" i="1"/>
  <c r="AJ1782" i="1"/>
  <c r="AI1782" i="1"/>
  <c r="AE1782" i="1" s="1"/>
  <c r="W1782" i="1"/>
  <c r="AI1781" i="1"/>
  <c r="AE1781" i="1" s="1"/>
  <c r="V1781" i="1"/>
  <c r="AK1781" i="1" s="1"/>
  <c r="AK1780" i="1"/>
  <c r="AJ1780" i="1"/>
  <c r="AI1780" i="1"/>
  <c r="AE1780" i="1" s="1"/>
  <c r="W1780" i="1"/>
  <c r="AK1779" i="1"/>
  <c r="AJ1779" i="1"/>
  <c r="AI1779" i="1"/>
  <c r="AE1779" i="1" s="1"/>
  <c r="W1779" i="1"/>
  <c r="AK1778" i="1"/>
  <c r="AJ1778" i="1"/>
  <c r="AI1778" i="1"/>
  <c r="AE1778" i="1" s="1"/>
  <c r="W1778" i="1"/>
  <c r="AK1777" i="1"/>
  <c r="AJ1777" i="1"/>
  <c r="AI1777" i="1"/>
  <c r="AE1777" i="1" s="1"/>
  <c r="W1777" i="1"/>
  <c r="AJ1776" i="1"/>
  <c r="AI1776" i="1"/>
  <c r="AE1776" i="1" s="1"/>
  <c r="W1776" i="1"/>
  <c r="AK1775" i="1"/>
  <c r="AJ1775" i="1"/>
  <c r="AI1775" i="1"/>
  <c r="AE1775" i="1" s="1"/>
  <c r="W1775" i="1"/>
  <c r="AK1774" i="1"/>
  <c r="AJ1774" i="1"/>
  <c r="AI1774" i="1"/>
  <c r="AE1774" i="1" s="1"/>
  <c r="W1774" i="1"/>
  <c r="AI1773" i="1"/>
  <c r="AE1773" i="1" s="1"/>
  <c r="V1773" i="1"/>
  <c r="W1773" i="1" s="1"/>
  <c r="AI1772" i="1"/>
  <c r="AE1772" i="1" s="1"/>
  <c r="V1772" i="1"/>
  <c r="AK1771" i="1"/>
  <c r="AJ1771" i="1"/>
  <c r="AI1771" i="1"/>
  <c r="AE1771" i="1" s="1"/>
  <c r="W1771" i="1"/>
  <c r="AK1770" i="1"/>
  <c r="AJ1770" i="1"/>
  <c r="AI1770" i="1"/>
  <c r="AE1770" i="1" s="1"/>
  <c r="W1770" i="1"/>
  <c r="AI1769" i="1"/>
  <c r="AE1769" i="1" s="1"/>
  <c r="V1769" i="1"/>
  <c r="AI1768" i="1"/>
  <c r="AE1768" i="1" s="1"/>
  <c r="V1768" i="1"/>
  <c r="W1768" i="1" s="1"/>
  <c r="AK1767" i="1"/>
  <c r="AJ1767" i="1"/>
  <c r="AI1767" i="1"/>
  <c r="AE1767" i="1" s="1"/>
  <c r="W1767" i="1"/>
  <c r="AK1766" i="1"/>
  <c r="AJ1766" i="1"/>
  <c r="AI1766" i="1"/>
  <c r="AE1766" i="1" s="1"/>
  <c r="W1766" i="1"/>
  <c r="AI1765" i="1"/>
  <c r="AE1765" i="1" s="1"/>
  <c r="V1765" i="1"/>
  <c r="AK1764" i="1"/>
  <c r="AJ1764" i="1"/>
  <c r="AI1764" i="1"/>
  <c r="AE1764" i="1" s="1"/>
  <c r="W1764" i="1"/>
  <c r="AK1763" i="1"/>
  <c r="AJ1763" i="1"/>
  <c r="AI1763" i="1"/>
  <c r="AE1763" i="1" s="1"/>
  <c r="W1763" i="1"/>
  <c r="AI1762" i="1"/>
  <c r="AE1762" i="1" s="1"/>
  <c r="V1762" i="1"/>
  <c r="AK1762" i="1" s="1"/>
  <c r="AK1761" i="1"/>
  <c r="AJ1761" i="1"/>
  <c r="AI1761" i="1"/>
  <c r="AE1761" i="1" s="1"/>
  <c r="W1761" i="1"/>
  <c r="AI1760" i="1"/>
  <c r="AE1760" i="1" s="1"/>
  <c r="V1760" i="1"/>
  <c r="AI1759" i="1"/>
  <c r="AE1759" i="1" s="1"/>
  <c r="V1759" i="1"/>
  <c r="AK1758" i="1"/>
  <c r="AJ1758" i="1"/>
  <c r="AI1758" i="1"/>
  <c r="AE1758" i="1" s="1"/>
  <c r="W1758" i="1"/>
  <c r="AK1757" i="1"/>
  <c r="AJ1757" i="1"/>
  <c r="AI1757" i="1"/>
  <c r="AE1757" i="1" s="1"/>
  <c r="W1757" i="1"/>
  <c r="AK1756" i="1"/>
  <c r="AJ1756" i="1"/>
  <c r="AI1756" i="1"/>
  <c r="AE1756" i="1" s="1"/>
  <c r="W1756" i="1"/>
  <c r="AK1755" i="1"/>
  <c r="AJ1755" i="1"/>
  <c r="AI1755" i="1"/>
  <c r="AE1755" i="1" s="1"/>
  <c r="W1755" i="1"/>
  <c r="AK1754" i="1"/>
  <c r="AJ1754" i="1"/>
  <c r="AI1754" i="1"/>
  <c r="AE1754" i="1" s="1"/>
  <c r="W1754" i="1"/>
  <c r="AK1753" i="1"/>
  <c r="AJ1753" i="1"/>
  <c r="AI1753" i="1"/>
  <c r="AE1753" i="1" s="1"/>
  <c r="W1753" i="1"/>
  <c r="AI1752" i="1"/>
  <c r="AE1752" i="1" s="1"/>
  <c r="V1752" i="1"/>
  <c r="AK1752" i="1" s="1"/>
  <c r="AK1751" i="1"/>
  <c r="AJ1751" i="1"/>
  <c r="AI1751" i="1"/>
  <c r="AE1751" i="1" s="1"/>
  <c r="W1751" i="1"/>
  <c r="AK1750" i="1"/>
  <c r="AJ1750" i="1"/>
  <c r="AI1750" i="1"/>
  <c r="AE1750" i="1" s="1"/>
  <c r="W1750" i="1"/>
  <c r="AK1749" i="1"/>
  <c r="AJ1749" i="1"/>
  <c r="AI1749" i="1"/>
  <c r="AE1749" i="1" s="1"/>
  <c r="W1749" i="1"/>
  <c r="AK1748" i="1"/>
  <c r="AJ1748" i="1"/>
  <c r="AI1748" i="1"/>
  <c r="AE1748" i="1" s="1"/>
  <c r="W1748" i="1"/>
  <c r="AK1747" i="1"/>
  <c r="AJ1747" i="1"/>
  <c r="AI1747" i="1"/>
  <c r="AE1747" i="1" s="1"/>
  <c r="W1747" i="1"/>
  <c r="AK1746" i="1"/>
  <c r="AJ1746" i="1"/>
  <c r="AI1746" i="1"/>
  <c r="AE1746" i="1" s="1"/>
  <c r="W1746" i="1"/>
  <c r="AI1745" i="1"/>
  <c r="AE1745" i="1" s="1"/>
  <c r="V1745" i="1"/>
  <c r="AK1745" i="1" s="1"/>
  <c r="AI1744" i="1"/>
  <c r="AE1744" i="1" s="1"/>
  <c r="V1744" i="1"/>
  <c r="AK1743" i="1"/>
  <c r="AJ1743" i="1"/>
  <c r="AI1743" i="1"/>
  <c r="AE1743" i="1" s="1"/>
  <c r="W1743" i="1"/>
  <c r="AK1742" i="1"/>
  <c r="AJ1742" i="1"/>
  <c r="AI1742" i="1"/>
  <c r="AE1742" i="1" s="1"/>
  <c r="W1742" i="1"/>
  <c r="AK1741" i="1"/>
  <c r="AJ1741" i="1"/>
  <c r="AI1741" i="1"/>
  <c r="AE1741" i="1" s="1"/>
  <c r="W1741" i="1"/>
  <c r="AK1740" i="1"/>
  <c r="AJ1740" i="1"/>
  <c r="AI1740" i="1"/>
  <c r="AE1740" i="1" s="1"/>
  <c r="W1740" i="1"/>
  <c r="AK1739" i="1"/>
  <c r="AJ1739" i="1"/>
  <c r="AI1739" i="1"/>
  <c r="AE1739" i="1" s="1"/>
  <c r="W1739" i="1"/>
  <c r="AK1738" i="1"/>
  <c r="AJ1738" i="1"/>
  <c r="AI1738" i="1"/>
  <c r="AE1738" i="1" s="1"/>
  <c r="W1738" i="1"/>
  <c r="AK1737" i="1"/>
  <c r="AJ1737" i="1"/>
  <c r="AI1737" i="1"/>
  <c r="AE1737" i="1" s="1"/>
  <c r="W1737" i="1"/>
  <c r="AK1736" i="1"/>
  <c r="AJ1736" i="1"/>
  <c r="AI1736" i="1"/>
  <c r="AE1736" i="1" s="1"/>
  <c r="W1736" i="1"/>
  <c r="AK1735" i="1"/>
  <c r="AJ1735" i="1"/>
  <c r="AI1735" i="1"/>
  <c r="AE1735" i="1" s="1"/>
  <c r="W1735" i="1"/>
  <c r="AK1734" i="1"/>
  <c r="AJ1734" i="1"/>
  <c r="AI1734" i="1"/>
  <c r="AE1734" i="1" s="1"/>
  <c r="W1734" i="1"/>
  <c r="AI1733" i="1"/>
  <c r="AE1733" i="1" s="1"/>
  <c r="V1733" i="1"/>
  <c r="AK1732" i="1"/>
  <c r="AJ1732" i="1"/>
  <c r="AI1732" i="1"/>
  <c r="AE1732" i="1" s="1"/>
  <c r="W1732" i="1"/>
  <c r="AK1731" i="1"/>
  <c r="AJ1731" i="1"/>
  <c r="AI1731" i="1"/>
  <c r="AE1731" i="1" s="1"/>
  <c r="W1731" i="1"/>
  <c r="AK1730" i="1"/>
  <c r="AJ1730" i="1"/>
  <c r="AI1730" i="1"/>
  <c r="AE1730" i="1" s="1"/>
  <c r="W1730" i="1"/>
  <c r="AI1729" i="1"/>
  <c r="AE1729" i="1" s="1"/>
  <c r="V1729" i="1"/>
  <c r="AI1728" i="1"/>
  <c r="AE1728" i="1" s="1"/>
  <c r="V1728" i="1"/>
  <c r="AJ1728" i="1" s="1"/>
  <c r="AK1727" i="1"/>
  <c r="AJ1727" i="1"/>
  <c r="AI1727" i="1"/>
  <c r="AE1727" i="1" s="1"/>
  <c r="W1727" i="1"/>
  <c r="AK1726" i="1"/>
  <c r="AJ1726" i="1"/>
  <c r="AI1726" i="1"/>
  <c r="AE1726" i="1" s="1"/>
  <c r="W1726" i="1"/>
  <c r="AK1725" i="1"/>
  <c r="AJ1725" i="1"/>
  <c r="AI1725" i="1"/>
  <c r="AE1725" i="1" s="1"/>
  <c r="W1725" i="1"/>
  <c r="AK1724" i="1"/>
  <c r="AJ1724" i="1"/>
  <c r="AI1724" i="1"/>
  <c r="AE1724" i="1" s="1"/>
  <c r="W1724" i="1"/>
  <c r="AK1723" i="1"/>
  <c r="AJ1723" i="1"/>
  <c r="AI1723" i="1"/>
  <c r="AE1723" i="1" s="1"/>
  <c r="W1723" i="1"/>
  <c r="AK1722" i="1"/>
  <c r="AJ1722" i="1"/>
  <c r="AI1722" i="1"/>
  <c r="AE1722" i="1" s="1"/>
  <c r="W1722" i="1"/>
  <c r="AK1721" i="1"/>
  <c r="AJ1721" i="1"/>
  <c r="AI1721" i="1"/>
  <c r="AE1721" i="1" s="1"/>
  <c r="W1721" i="1"/>
  <c r="AI1720" i="1"/>
  <c r="AE1720" i="1" s="1"/>
  <c r="V1720" i="1"/>
  <c r="AI1719" i="1"/>
  <c r="AE1719" i="1" s="1"/>
  <c r="V1719" i="1"/>
  <c r="AK1718" i="1"/>
  <c r="AJ1718" i="1"/>
  <c r="AI1718" i="1"/>
  <c r="AE1718" i="1" s="1"/>
  <c r="W1718" i="1"/>
  <c r="AK1717" i="1"/>
  <c r="AJ1717" i="1"/>
  <c r="AI1717" i="1"/>
  <c r="AE1717" i="1" s="1"/>
  <c r="W1717" i="1"/>
  <c r="AK1716" i="1"/>
  <c r="AJ1716" i="1"/>
  <c r="AI1716" i="1"/>
  <c r="AE1716" i="1" s="1"/>
  <c r="W1716" i="1"/>
  <c r="AI1715" i="1"/>
  <c r="AE1715" i="1" s="1"/>
  <c r="V1715" i="1"/>
  <c r="AI1714" i="1"/>
  <c r="AE1714" i="1" s="1"/>
  <c r="V1714" i="1"/>
  <c r="AK1714" i="1" s="1"/>
  <c r="AK1713" i="1"/>
  <c r="AJ1713" i="1"/>
  <c r="AI1713" i="1"/>
  <c r="AE1713" i="1" s="1"/>
  <c r="W1713" i="1"/>
  <c r="AK1712" i="1"/>
  <c r="AJ1712" i="1"/>
  <c r="AI1712" i="1"/>
  <c r="AE1712" i="1" s="1"/>
  <c r="W1712" i="1"/>
  <c r="AI1711" i="1"/>
  <c r="AE1711" i="1" s="1"/>
  <c r="V1711" i="1"/>
  <c r="AI1710" i="1"/>
  <c r="AE1710" i="1" s="1"/>
  <c r="V1710" i="1"/>
  <c r="AJ1710" i="1" s="1"/>
  <c r="AK1709" i="1"/>
  <c r="AJ1709" i="1"/>
  <c r="AI1709" i="1"/>
  <c r="AE1709" i="1" s="1"/>
  <c r="W1709" i="1"/>
  <c r="AK1708" i="1"/>
  <c r="AJ1708" i="1"/>
  <c r="AI1708" i="1"/>
  <c r="AE1708" i="1" s="1"/>
  <c r="W1708" i="1"/>
  <c r="AK1707" i="1"/>
  <c r="AJ1707" i="1"/>
  <c r="AI1707" i="1"/>
  <c r="AE1707" i="1" s="1"/>
  <c r="W1707" i="1"/>
  <c r="AI1706" i="1"/>
  <c r="AE1706" i="1" s="1"/>
  <c r="V1706" i="1"/>
  <c r="AK1706" i="1" s="1"/>
  <c r="AK1705" i="1"/>
  <c r="AJ1705" i="1"/>
  <c r="AI1705" i="1"/>
  <c r="AE1705" i="1" s="1"/>
  <c r="W1705" i="1"/>
  <c r="AK1704" i="1"/>
  <c r="AJ1704" i="1"/>
  <c r="AI1704" i="1"/>
  <c r="AE1704" i="1" s="1"/>
  <c r="W1704" i="1"/>
  <c r="AI1703" i="1"/>
  <c r="AE1703" i="1" s="1"/>
  <c r="V1703" i="1"/>
  <c r="AK1702" i="1"/>
  <c r="AJ1702" i="1"/>
  <c r="AI1702" i="1"/>
  <c r="AE1702" i="1" s="1"/>
  <c r="W1702" i="1"/>
  <c r="AI1701" i="1"/>
  <c r="AE1701" i="1" s="1"/>
  <c r="V1701" i="1"/>
  <c r="W1701" i="1" s="1"/>
  <c r="AI1700" i="1"/>
  <c r="AE1700" i="1" s="1"/>
  <c r="V1700" i="1"/>
  <c r="W1700" i="1" s="1"/>
  <c r="AI1699" i="1"/>
  <c r="AE1699" i="1" s="1"/>
  <c r="V1699" i="1"/>
  <c r="AK1698" i="1"/>
  <c r="AJ1698" i="1"/>
  <c r="AI1698" i="1"/>
  <c r="AE1698" i="1" s="1"/>
  <c r="W1698" i="1"/>
  <c r="AK1697" i="1"/>
  <c r="AJ1697" i="1"/>
  <c r="AI1697" i="1"/>
  <c r="AE1697" i="1" s="1"/>
  <c r="W1697" i="1"/>
  <c r="AI1696" i="1"/>
  <c r="AE1696" i="1" s="1"/>
  <c r="V1696" i="1"/>
  <c r="AK1695" i="1"/>
  <c r="AJ1695" i="1"/>
  <c r="AI1695" i="1"/>
  <c r="AE1695" i="1" s="1"/>
  <c r="W1695" i="1"/>
  <c r="AK1694" i="1"/>
  <c r="AJ1694" i="1"/>
  <c r="AI1694" i="1"/>
  <c r="AE1694" i="1" s="1"/>
  <c r="W1694" i="1"/>
  <c r="AK1693" i="1"/>
  <c r="AJ1693" i="1"/>
  <c r="AI1693" i="1"/>
  <c r="AE1693" i="1" s="1"/>
  <c r="W1693" i="1"/>
  <c r="AK1692" i="1"/>
  <c r="AJ1692" i="1"/>
  <c r="AI1692" i="1"/>
  <c r="AE1692" i="1" s="1"/>
  <c r="W1692" i="1"/>
  <c r="AK1691" i="1"/>
  <c r="AJ1691" i="1"/>
  <c r="AI1691" i="1"/>
  <c r="AE1691" i="1" s="1"/>
  <c r="W1691" i="1"/>
  <c r="AK1690" i="1"/>
  <c r="AJ1690" i="1"/>
  <c r="AI1690" i="1"/>
  <c r="AE1690" i="1" s="1"/>
  <c r="W1690" i="1"/>
  <c r="AK1689" i="1"/>
  <c r="AJ1689" i="1"/>
  <c r="AI1689" i="1"/>
  <c r="AE1689" i="1" s="1"/>
  <c r="W1689" i="1"/>
  <c r="AK1688" i="1"/>
  <c r="AJ1688" i="1"/>
  <c r="AI1688" i="1"/>
  <c r="AE1688" i="1" s="1"/>
  <c r="W1688" i="1"/>
  <c r="AK1687" i="1"/>
  <c r="AJ1687" i="1"/>
  <c r="AI1687" i="1"/>
  <c r="AE1687" i="1" s="1"/>
  <c r="W1687" i="1"/>
  <c r="AI1686" i="1"/>
  <c r="AE1686" i="1" s="1"/>
  <c r="V1686" i="1"/>
  <c r="AK1686" i="1" s="1"/>
  <c r="AK1685" i="1"/>
  <c r="AJ1685" i="1"/>
  <c r="AI1685" i="1"/>
  <c r="AE1685" i="1" s="1"/>
  <c r="W1685" i="1"/>
  <c r="AK1684" i="1"/>
  <c r="AJ1684" i="1"/>
  <c r="AI1684" i="1"/>
  <c r="AE1684" i="1" s="1"/>
  <c r="W1684" i="1"/>
  <c r="AK1683" i="1"/>
  <c r="AJ1683" i="1"/>
  <c r="AI1683" i="1"/>
  <c r="AE1683" i="1" s="1"/>
  <c r="W1683" i="1"/>
  <c r="AI1682" i="1"/>
  <c r="AE1682" i="1" s="1"/>
  <c r="V1682" i="1"/>
  <c r="W1682" i="1" s="1"/>
  <c r="AK1681" i="1"/>
  <c r="AJ1681" i="1"/>
  <c r="AI1681" i="1"/>
  <c r="AE1681" i="1" s="1"/>
  <c r="W1681" i="1"/>
  <c r="AK1680" i="1"/>
  <c r="AJ1680" i="1"/>
  <c r="AI1680" i="1"/>
  <c r="AE1680" i="1" s="1"/>
  <c r="W1680" i="1"/>
  <c r="AK1679" i="1"/>
  <c r="AJ1679" i="1"/>
  <c r="AI1679" i="1"/>
  <c r="AE1679" i="1" s="1"/>
  <c r="W1679" i="1"/>
  <c r="AI1678" i="1"/>
  <c r="AE1678" i="1" s="1"/>
  <c r="V1678" i="1"/>
  <c r="AJ1678" i="1" s="1"/>
  <c r="AK1677" i="1"/>
  <c r="AJ1677" i="1"/>
  <c r="AI1677" i="1"/>
  <c r="AE1677" i="1" s="1"/>
  <c r="W1677" i="1"/>
  <c r="AK1676" i="1"/>
  <c r="AJ1676" i="1"/>
  <c r="AI1676" i="1"/>
  <c r="AE1676" i="1" s="1"/>
  <c r="W1676" i="1"/>
  <c r="AK1675" i="1"/>
  <c r="AJ1675" i="1"/>
  <c r="AI1675" i="1"/>
  <c r="AE1675" i="1" s="1"/>
  <c r="W1675" i="1"/>
  <c r="AI1674" i="1"/>
  <c r="AE1674" i="1" s="1"/>
  <c r="V1674" i="1"/>
  <c r="AK1673" i="1"/>
  <c r="AJ1673" i="1"/>
  <c r="AI1673" i="1"/>
  <c r="AE1673" i="1" s="1"/>
  <c r="W1673" i="1"/>
  <c r="AK1672" i="1"/>
  <c r="AJ1672" i="1"/>
  <c r="AI1672" i="1"/>
  <c r="AE1672" i="1" s="1"/>
  <c r="W1672" i="1"/>
  <c r="AK1671" i="1"/>
  <c r="AJ1671" i="1"/>
  <c r="AI1671" i="1"/>
  <c r="AE1671" i="1" s="1"/>
  <c r="W1671" i="1"/>
  <c r="AK1670" i="1"/>
  <c r="AJ1670" i="1"/>
  <c r="AI1670" i="1"/>
  <c r="AE1670" i="1" s="1"/>
  <c r="W1670" i="1"/>
  <c r="AI1669" i="1"/>
  <c r="AE1669" i="1" s="1"/>
  <c r="V1669" i="1"/>
  <c r="W1669" i="1" s="1"/>
  <c r="AK1668" i="1"/>
  <c r="AJ1668" i="1"/>
  <c r="AI1668" i="1"/>
  <c r="AE1668" i="1" s="1"/>
  <c r="W1668" i="1"/>
  <c r="AI1667" i="1"/>
  <c r="AE1667" i="1" s="1"/>
  <c r="V1667" i="1"/>
  <c r="AK1666" i="1"/>
  <c r="AJ1666" i="1"/>
  <c r="AI1666" i="1"/>
  <c r="AE1666" i="1" s="1"/>
  <c r="W1666" i="1"/>
  <c r="AK1665" i="1"/>
  <c r="AJ1665" i="1"/>
  <c r="AI1665" i="1"/>
  <c r="AE1665" i="1" s="1"/>
  <c r="W1665" i="1"/>
  <c r="AK1664" i="1"/>
  <c r="AJ1664" i="1"/>
  <c r="AI1664" i="1"/>
  <c r="AE1664" i="1" s="1"/>
  <c r="W1664" i="1"/>
  <c r="AK1663" i="1"/>
  <c r="AJ1663" i="1"/>
  <c r="AI1663" i="1"/>
  <c r="AE1663" i="1" s="1"/>
  <c r="W1663" i="1"/>
  <c r="AK1662" i="1"/>
  <c r="AJ1662" i="1"/>
  <c r="AI1662" i="1"/>
  <c r="AE1662" i="1" s="1"/>
  <c r="W1662" i="1"/>
  <c r="AK1661" i="1"/>
  <c r="AJ1661" i="1"/>
  <c r="AI1661" i="1"/>
  <c r="AE1661" i="1" s="1"/>
  <c r="W1661" i="1"/>
  <c r="AK1660" i="1"/>
  <c r="AJ1660" i="1"/>
  <c r="AI1660" i="1"/>
  <c r="AE1660" i="1" s="1"/>
  <c r="W1660" i="1"/>
  <c r="AK1659" i="1"/>
  <c r="AJ1659" i="1"/>
  <c r="AI1659" i="1"/>
  <c r="AE1659" i="1" s="1"/>
  <c r="W1659" i="1"/>
  <c r="AI1658" i="1"/>
  <c r="AE1658" i="1" s="1"/>
  <c r="V1658" i="1"/>
  <c r="AK1658" i="1" s="1"/>
  <c r="AI1657" i="1"/>
  <c r="AE1657" i="1" s="1"/>
  <c r="V1657" i="1"/>
  <c r="AK1657" i="1" s="1"/>
  <c r="AK1656" i="1"/>
  <c r="AJ1656" i="1"/>
  <c r="AI1656" i="1"/>
  <c r="AE1656" i="1" s="1"/>
  <c r="AF1656" i="1"/>
  <c r="W1656" i="1"/>
  <c r="AI1655" i="1"/>
  <c r="AE1655" i="1" s="1"/>
  <c r="V1655" i="1"/>
  <c r="AK1654" i="1"/>
  <c r="AJ1654" i="1"/>
  <c r="AI1654" i="1"/>
  <c r="AE1654" i="1" s="1"/>
  <c r="AK1653" i="1"/>
  <c r="AJ1653" i="1"/>
  <c r="AI1653" i="1"/>
  <c r="AE1653" i="1" s="1"/>
  <c r="W1653" i="1"/>
  <c r="AI1652" i="1"/>
  <c r="AE1652" i="1" s="1"/>
  <c r="V1652" i="1"/>
  <c r="AI1651" i="1"/>
  <c r="AE1651" i="1" s="1"/>
  <c r="V1651" i="1"/>
  <c r="AK1650" i="1"/>
  <c r="AJ1650" i="1"/>
  <c r="AI1650" i="1"/>
  <c r="AE1650" i="1" s="1"/>
  <c r="W1650" i="1"/>
  <c r="AK1649" i="1"/>
  <c r="AJ1649" i="1"/>
  <c r="AI1649" i="1"/>
  <c r="AE1649" i="1" s="1"/>
  <c r="W1649" i="1"/>
  <c r="AI1648" i="1"/>
  <c r="AE1648" i="1" s="1"/>
  <c r="V1648" i="1"/>
  <c r="AJ1648" i="1" s="1"/>
  <c r="AK1647" i="1"/>
  <c r="AJ1647" i="1"/>
  <c r="AI1647" i="1"/>
  <c r="AE1647" i="1" s="1"/>
  <c r="W1647" i="1"/>
  <c r="AK1646" i="1"/>
  <c r="AJ1646" i="1"/>
  <c r="AI1646" i="1"/>
  <c r="AE1646" i="1" s="1"/>
  <c r="W1646" i="1"/>
  <c r="AK1645" i="1"/>
  <c r="AJ1645" i="1"/>
  <c r="AI1645" i="1"/>
  <c r="AE1645" i="1" s="1"/>
  <c r="W1645" i="1"/>
  <c r="AK1644" i="1"/>
  <c r="AJ1644" i="1"/>
  <c r="AI1644" i="1"/>
  <c r="AE1644" i="1" s="1"/>
  <c r="W1644" i="1"/>
  <c r="AK1643" i="1"/>
  <c r="AJ1643" i="1"/>
  <c r="AI1643" i="1"/>
  <c r="AE1643" i="1" s="1"/>
  <c r="W1643" i="1"/>
  <c r="AK1642" i="1"/>
  <c r="AJ1642" i="1"/>
  <c r="AI1642" i="1"/>
  <c r="AE1642" i="1" s="1"/>
  <c r="W1642" i="1"/>
  <c r="AK1641" i="1"/>
  <c r="AJ1641" i="1"/>
  <c r="AI1641" i="1"/>
  <c r="AE1641" i="1" s="1"/>
  <c r="W1641" i="1"/>
  <c r="AK1640" i="1"/>
  <c r="AJ1640" i="1"/>
  <c r="AI1640" i="1"/>
  <c r="AE1640" i="1" s="1"/>
  <c r="W1640" i="1"/>
  <c r="AK1639" i="1"/>
  <c r="AJ1639" i="1"/>
  <c r="AI1639" i="1"/>
  <c r="AE1639" i="1" s="1"/>
  <c r="W1639" i="1"/>
  <c r="AI1638" i="1"/>
  <c r="AE1638" i="1" s="1"/>
  <c r="V1638" i="1"/>
  <c r="W1638" i="1" s="1"/>
  <c r="AI1637" i="1"/>
  <c r="AE1637" i="1" s="1"/>
  <c r="V1637" i="1"/>
  <c r="AK1636" i="1"/>
  <c r="AJ1636" i="1"/>
  <c r="AI1636" i="1"/>
  <c r="AE1636" i="1" s="1"/>
  <c r="W1636" i="1"/>
  <c r="AK1635" i="1"/>
  <c r="AJ1635" i="1"/>
  <c r="AI1635" i="1"/>
  <c r="AE1635" i="1" s="1"/>
  <c r="W1635" i="1"/>
  <c r="AI1634" i="1"/>
  <c r="AE1634" i="1" s="1"/>
  <c r="V1634" i="1"/>
  <c r="AK1633" i="1"/>
  <c r="AJ1633" i="1"/>
  <c r="AI1633" i="1"/>
  <c r="AE1633" i="1" s="1"/>
  <c r="W1633" i="1"/>
  <c r="AK1632" i="1"/>
  <c r="AJ1632" i="1"/>
  <c r="AI1632" i="1"/>
  <c r="AE1632" i="1" s="1"/>
  <c r="W1632" i="1"/>
  <c r="AK1631" i="1"/>
  <c r="AJ1631" i="1"/>
  <c r="AI1631" i="1"/>
  <c r="AE1631" i="1" s="1"/>
  <c r="W1631" i="1"/>
  <c r="AK1630" i="1"/>
  <c r="AJ1630" i="1"/>
  <c r="AI1630" i="1"/>
  <c r="AE1630" i="1" s="1"/>
  <c r="W1630" i="1"/>
  <c r="AK1629" i="1"/>
  <c r="AJ1629" i="1"/>
  <c r="AI1629" i="1"/>
  <c r="AE1629" i="1" s="1"/>
  <c r="W1629" i="1"/>
  <c r="AI1628" i="1"/>
  <c r="AE1628" i="1" s="1"/>
  <c r="V1628" i="1"/>
  <c r="AJ1628" i="1" s="1"/>
  <c r="AK1627" i="1"/>
  <c r="AJ1627" i="1"/>
  <c r="AI1627" i="1"/>
  <c r="AE1627" i="1" s="1"/>
  <c r="W1627" i="1"/>
  <c r="AK1626" i="1"/>
  <c r="AJ1626" i="1"/>
  <c r="AI1626" i="1"/>
  <c r="AE1626" i="1" s="1"/>
  <c r="W1626" i="1"/>
  <c r="AI1625" i="1"/>
  <c r="AE1625" i="1" s="1"/>
  <c r="V1625" i="1"/>
  <c r="W1625" i="1" s="1"/>
  <c r="AK1624" i="1"/>
  <c r="AJ1624" i="1"/>
  <c r="AI1624" i="1"/>
  <c r="AE1624" i="1" s="1"/>
  <c r="W1624" i="1"/>
  <c r="AI1623" i="1"/>
  <c r="AE1623" i="1" s="1"/>
  <c r="V1623" i="1"/>
  <c r="AK1622" i="1"/>
  <c r="AJ1622" i="1"/>
  <c r="AI1622" i="1"/>
  <c r="AE1622" i="1" s="1"/>
  <c r="W1622" i="1"/>
  <c r="AI1621" i="1"/>
  <c r="AE1621" i="1" s="1"/>
  <c r="V1621" i="1"/>
  <c r="AI1620" i="1"/>
  <c r="AE1620" i="1" s="1"/>
  <c r="V1620" i="1"/>
  <c r="AK1619" i="1"/>
  <c r="AJ1619" i="1"/>
  <c r="AI1619" i="1"/>
  <c r="AE1619" i="1" s="1"/>
  <c r="W1619" i="1"/>
  <c r="AI1618" i="1"/>
  <c r="AE1618" i="1" s="1"/>
  <c r="V1618" i="1"/>
  <c r="AK1617" i="1"/>
  <c r="AJ1617" i="1"/>
  <c r="AI1617" i="1"/>
  <c r="AE1617" i="1" s="1"/>
  <c r="W1617" i="1"/>
  <c r="AK1616" i="1"/>
  <c r="AJ1616" i="1"/>
  <c r="AI1616" i="1"/>
  <c r="AE1616" i="1" s="1"/>
  <c r="W1616" i="1"/>
  <c r="AK1615" i="1"/>
  <c r="AJ1615" i="1"/>
  <c r="AI1615" i="1"/>
  <c r="AE1615" i="1" s="1"/>
  <c r="W1615" i="1"/>
  <c r="AI1614" i="1"/>
  <c r="AE1614" i="1" s="1"/>
  <c r="V1614" i="1"/>
  <c r="W1614" i="1" s="1"/>
  <c r="AK1613" i="1"/>
  <c r="AJ1613" i="1"/>
  <c r="AI1613" i="1"/>
  <c r="AE1613" i="1" s="1"/>
  <c r="W1613" i="1"/>
  <c r="AK1612" i="1"/>
  <c r="AJ1612" i="1"/>
  <c r="AI1612" i="1"/>
  <c r="AE1612" i="1" s="1"/>
  <c r="W1612" i="1"/>
  <c r="AK1611" i="1"/>
  <c r="AJ1611" i="1"/>
  <c r="AI1611" i="1"/>
  <c r="AE1611" i="1" s="1"/>
  <c r="W1611" i="1"/>
  <c r="AK1610" i="1"/>
  <c r="AJ1610" i="1"/>
  <c r="AI1610" i="1"/>
  <c r="AE1610" i="1" s="1"/>
  <c r="W1610" i="1"/>
  <c r="AK1609" i="1"/>
  <c r="AJ1609" i="1"/>
  <c r="AI1609" i="1"/>
  <c r="AE1609" i="1" s="1"/>
  <c r="W1609" i="1"/>
  <c r="AK1608" i="1"/>
  <c r="AJ1608" i="1"/>
  <c r="AI1608" i="1"/>
  <c r="AE1608" i="1" s="1"/>
  <c r="W1608" i="1"/>
  <c r="AK1607" i="1"/>
  <c r="AJ1607" i="1"/>
  <c r="AI1607" i="1"/>
  <c r="AE1607" i="1" s="1"/>
  <c r="W1607" i="1"/>
  <c r="AK1606" i="1"/>
  <c r="AJ1606" i="1"/>
  <c r="AI1606" i="1"/>
  <c r="AE1606" i="1" s="1"/>
  <c r="W1606" i="1"/>
  <c r="AK1605" i="1"/>
  <c r="AJ1605" i="1"/>
  <c r="AI1605" i="1"/>
  <c r="AE1605" i="1" s="1"/>
  <c r="W1605" i="1"/>
  <c r="AK1604" i="1"/>
  <c r="AJ1604" i="1"/>
  <c r="AI1604" i="1"/>
  <c r="AE1604" i="1" s="1"/>
  <c r="W1604" i="1"/>
  <c r="AK1603" i="1"/>
  <c r="AJ1603" i="1"/>
  <c r="AI1603" i="1"/>
  <c r="AE1603" i="1" s="1"/>
  <c r="W1603" i="1"/>
  <c r="AK1602" i="1"/>
  <c r="AJ1602" i="1"/>
  <c r="AI1602" i="1"/>
  <c r="AE1602" i="1" s="1"/>
  <c r="W1602" i="1"/>
  <c r="AK1601" i="1"/>
  <c r="AJ1601" i="1"/>
  <c r="AI1601" i="1"/>
  <c r="AE1601" i="1" s="1"/>
  <c r="W1601" i="1"/>
  <c r="AK1600" i="1"/>
  <c r="AJ1600" i="1"/>
  <c r="AI1600" i="1"/>
  <c r="AE1600" i="1" s="1"/>
  <c r="W1600" i="1"/>
  <c r="AK1599" i="1"/>
  <c r="AJ1599" i="1"/>
  <c r="AI1599" i="1"/>
  <c r="AE1599" i="1" s="1"/>
  <c r="W1599" i="1"/>
  <c r="AK1598" i="1"/>
  <c r="AJ1598" i="1"/>
  <c r="AI1598" i="1"/>
  <c r="AE1598" i="1" s="1"/>
  <c r="W1598" i="1"/>
  <c r="AK1597" i="1"/>
  <c r="AJ1597" i="1"/>
  <c r="AI1597" i="1"/>
  <c r="AE1597" i="1" s="1"/>
  <c r="W1597" i="1"/>
  <c r="AK1596" i="1"/>
  <c r="AJ1596" i="1"/>
  <c r="AI1596" i="1"/>
  <c r="AE1596" i="1" s="1"/>
  <c r="W1596" i="1"/>
  <c r="AK1595" i="1"/>
  <c r="AJ1595" i="1"/>
  <c r="AI1595" i="1"/>
  <c r="AE1595" i="1" s="1"/>
  <c r="W1595" i="1"/>
  <c r="AK1594" i="1"/>
  <c r="AJ1594" i="1"/>
  <c r="AI1594" i="1"/>
  <c r="AE1594" i="1" s="1"/>
  <c r="W1594" i="1"/>
  <c r="AK1593" i="1"/>
  <c r="AJ1593" i="1"/>
  <c r="AI1593" i="1"/>
  <c r="AE1593" i="1" s="1"/>
  <c r="W1593" i="1"/>
  <c r="AK1592" i="1"/>
  <c r="AJ1592" i="1"/>
  <c r="AI1592" i="1"/>
  <c r="AE1592" i="1" s="1"/>
  <c r="W1592" i="1"/>
  <c r="AK1591" i="1"/>
  <c r="AJ1591" i="1"/>
  <c r="AI1591" i="1"/>
  <c r="AE1591" i="1" s="1"/>
  <c r="W1591" i="1"/>
  <c r="AK1590" i="1"/>
  <c r="AJ1590" i="1"/>
  <c r="AI1590" i="1"/>
  <c r="AE1590" i="1" s="1"/>
  <c r="AI1589" i="1"/>
  <c r="AE1589" i="1" s="1"/>
  <c r="V1589" i="1"/>
  <c r="AI1588" i="1"/>
  <c r="AE1588" i="1" s="1"/>
  <c r="V1588" i="1"/>
  <c r="AI1587" i="1"/>
  <c r="AE1587" i="1" s="1"/>
  <c r="V1587" i="1"/>
  <c r="W1587" i="1" s="1"/>
  <c r="AK1586" i="1"/>
  <c r="AJ1586" i="1"/>
  <c r="AI1586" i="1"/>
  <c r="AE1586" i="1" s="1"/>
  <c r="W1586" i="1"/>
  <c r="AI1585" i="1"/>
  <c r="AE1585" i="1" s="1"/>
  <c r="V1585" i="1"/>
  <c r="AJ1585" i="1" s="1"/>
  <c r="AK1584" i="1"/>
  <c r="AJ1584" i="1"/>
  <c r="AI1584" i="1"/>
  <c r="AE1584" i="1" s="1"/>
  <c r="W1584" i="1"/>
  <c r="AK1583" i="1"/>
  <c r="AJ1583" i="1"/>
  <c r="AI1583" i="1"/>
  <c r="AE1583" i="1" s="1"/>
  <c r="W1583" i="1"/>
  <c r="AK1582" i="1"/>
  <c r="AJ1582" i="1"/>
  <c r="AI1582" i="1"/>
  <c r="AE1582" i="1" s="1"/>
  <c r="W1582" i="1"/>
  <c r="AK1581" i="1"/>
  <c r="AJ1581" i="1"/>
  <c r="AI1581" i="1"/>
  <c r="AE1581" i="1" s="1"/>
  <c r="W1581" i="1"/>
  <c r="AK1580" i="1"/>
  <c r="AJ1580" i="1"/>
  <c r="AI1580" i="1"/>
  <c r="AE1580" i="1" s="1"/>
  <c r="W1580" i="1"/>
  <c r="AI1579" i="1"/>
  <c r="AE1579" i="1" s="1"/>
  <c r="V1579" i="1"/>
  <c r="AJ1579" i="1" s="1"/>
  <c r="AK1578" i="1"/>
  <c r="AJ1578" i="1"/>
  <c r="AI1578" i="1"/>
  <c r="AE1578" i="1" s="1"/>
  <c r="W1578" i="1"/>
  <c r="AI1577" i="1"/>
  <c r="AE1577" i="1" s="1"/>
  <c r="V1577" i="1"/>
  <c r="W1577" i="1" s="1"/>
  <c r="AI1576" i="1"/>
  <c r="AE1576" i="1" s="1"/>
  <c r="V1576" i="1"/>
  <c r="AK1575" i="1"/>
  <c r="AJ1575" i="1"/>
  <c r="AI1575" i="1"/>
  <c r="AE1575" i="1" s="1"/>
  <c r="W1575" i="1"/>
  <c r="AK1574" i="1"/>
  <c r="AJ1574" i="1"/>
  <c r="AI1574" i="1"/>
  <c r="AE1574" i="1" s="1"/>
  <c r="W1574" i="1"/>
  <c r="AK1573" i="1"/>
  <c r="AJ1573" i="1"/>
  <c r="AI1573" i="1"/>
  <c r="AE1573" i="1" s="1"/>
  <c r="W1573" i="1"/>
  <c r="AK1572" i="1"/>
  <c r="AJ1572" i="1"/>
  <c r="AI1572" i="1"/>
  <c r="AE1572" i="1" s="1"/>
  <c r="W1572" i="1"/>
  <c r="AK1571" i="1"/>
  <c r="AJ1571" i="1"/>
  <c r="AI1571" i="1"/>
  <c r="AE1571" i="1" s="1"/>
  <c r="W1571" i="1"/>
  <c r="AK1570" i="1"/>
  <c r="AJ1570" i="1"/>
  <c r="AI1570" i="1"/>
  <c r="AE1570" i="1" s="1"/>
  <c r="W1570" i="1"/>
  <c r="AK1569" i="1"/>
  <c r="AJ1569" i="1"/>
  <c r="AI1569" i="1"/>
  <c r="AE1569" i="1" s="1"/>
  <c r="W1569" i="1"/>
  <c r="AK1568" i="1"/>
  <c r="AJ1568" i="1"/>
  <c r="AI1568" i="1"/>
  <c r="AE1568" i="1" s="1"/>
  <c r="W1568" i="1"/>
  <c r="AK1567" i="1"/>
  <c r="AJ1567" i="1"/>
  <c r="AI1567" i="1"/>
  <c r="AE1567" i="1" s="1"/>
  <c r="W1567" i="1"/>
  <c r="AI1566" i="1"/>
  <c r="AE1566" i="1" s="1"/>
  <c r="V1566" i="1"/>
  <c r="AK1566" i="1" s="1"/>
  <c r="AK1565" i="1"/>
  <c r="AJ1565" i="1"/>
  <c r="AI1565" i="1"/>
  <c r="AE1565" i="1" s="1"/>
  <c r="W1565" i="1"/>
  <c r="AK1564" i="1"/>
  <c r="AJ1564" i="1"/>
  <c r="AI1564" i="1"/>
  <c r="AE1564" i="1" s="1"/>
  <c r="W1564" i="1"/>
  <c r="AK1563" i="1"/>
  <c r="AJ1563" i="1"/>
  <c r="AI1563" i="1"/>
  <c r="AE1563" i="1" s="1"/>
  <c r="W1563" i="1"/>
  <c r="AK1562" i="1"/>
  <c r="AJ1562" i="1"/>
  <c r="AI1562" i="1"/>
  <c r="AE1562" i="1" s="1"/>
  <c r="W1562" i="1"/>
  <c r="AK1561" i="1"/>
  <c r="AJ1561" i="1"/>
  <c r="AI1561" i="1"/>
  <c r="AE1561" i="1" s="1"/>
  <c r="W1561" i="1"/>
  <c r="AI1560" i="1"/>
  <c r="AE1560" i="1" s="1"/>
  <c r="V1560" i="1"/>
  <c r="AK1559" i="1"/>
  <c r="AJ1559" i="1"/>
  <c r="AI1559" i="1"/>
  <c r="AE1559" i="1" s="1"/>
  <c r="W1559" i="1"/>
  <c r="AI1558" i="1"/>
  <c r="AE1558" i="1" s="1"/>
  <c r="V1558" i="1"/>
  <c r="AJ1558" i="1" s="1"/>
  <c r="AK1557" i="1"/>
  <c r="AJ1557" i="1"/>
  <c r="AI1557" i="1"/>
  <c r="AE1557" i="1" s="1"/>
  <c r="W1557" i="1"/>
  <c r="AI1556" i="1"/>
  <c r="AE1556" i="1" s="1"/>
  <c r="V1556" i="1"/>
  <c r="AK1555" i="1"/>
  <c r="AJ1555" i="1"/>
  <c r="AI1555" i="1"/>
  <c r="AE1555" i="1" s="1"/>
  <c r="W1555" i="1"/>
  <c r="AK1554" i="1"/>
  <c r="AJ1554" i="1"/>
  <c r="AI1554" i="1"/>
  <c r="AE1554" i="1" s="1"/>
  <c r="AK1553" i="1"/>
  <c r="AJ1553" i="1"/>
  <c r="AI1553" i="1"/>
  <c r="AE1553" i="1" s="1"/>
  <c r="AK1552" i="1"/>
  <c r="AJ1552" i="1"/>
  <c r="AI1552" i="1"/>
  <c r="AE1552" i="1" s="1"/>
  <c r="W1552" i="1"/>
  <c r="AK1551" i="1"/>
  <c r="AJ1551" i="1"/>
  <c r="AI1551" i="1"/>
  <c r="AE1551" i="1" s="1"/>
  <c r="W1551" i="1"/>
  <c r="AK1550" i="1"/>
  <c r="AJ1550" i="1"/>
  <c r="AI1550" i="1"/>
  <c r="AE1550" i="1" s="1"/>
  <c r="W1550" i="1"/>
  <c r="AI1549" i="1"/>
  <c r="AE1549" i="1" s="1"/>
  <c r="V1549" i="1"/>
  <c r="W1549" i="1" s="1"/>
  <c r="AK1548" i="1"/>
  <c r="AJ1548" i="1"/>
  <c r="AI1548" i="1"/>
  <c r="AE1548" i="1" s="1"/>
  <c r="W1548" i="1"/>
  <c r="AK1547" i="1"/>
  <c r="AJ1547" i="1"/>
  <c r="AI1547" i="1"/>
  <c r="AE1547" i="1" s="1"/>
  <c r="W1547" i="1"/>
  <c r="AK1546" i="1"/>
  <c r="AJ1546" i="1"/>
  <c r="AI1546" i="1"/>
  <c r="AE1546" i="1" s="1"/>
  <c r="W1546" i="1"/>
  <c r="AK1545" i="1"/>
  <c r="AJ1545" i="1"/>
  <c r="AI1545" i="1"/>
  <c r="AE1545" i="1" s="1"/>
  <c r="W1545" i="1"/>
  <c r="AK1544" i="1"/>
  <c r="AJ1544" i="1"/>
  <c r="AI1544" i="1"/>
  <c r="AE1544" i="1" s="1"/>
  <c r="W1544" i="1"/>
  <c r="AK1543" i="1"/>
  <c r="AJ1543" i="1"/>
  <c r="AI1543" i="1"/>
  <c r="AE1543" i="1" s="1"/>
  <c r="W1543" i="1"/>
  <c r="AK1542" i="1"/>
  <c r="AJ1542" i="1"/>
  <c r="AI1542" i="1"/>
  <c r="AE1542" i="1" s="1"/>
  <c r="W1542" i="1"/>
  <c r="AK1541" i="1"/>
  <c r="AJ1541" i="1"/>
  <c r="AI1541" i="1"/>
  <c r="AE1541" i="1" s="1"/>
  <c r="W1541" i="1"/>
  <c r="AK1540" i="1"/>
  <c r="AJ1540" i="1"/>
  <c r="AI1540" i="1"/>
  <c r="AE1540" i="1" s="1"/>
  <c r="W1540" i="1"/>
  <c r="AK1539" i="1"/>
  <c r="AJ1539" i="1"/>
  <c r="AI1539" i="1"/>
  <c r="AE1539" i="1" s="1"/>
  <c r="W1539" i="1"/>
  <c r="AK1538" i="1"/>
  <c r="AJ1538" i="1"/>
  <c r="AI1538" i="1"/>
  <c r="AE1538" i="1" s="1"/>
  <c r="W1538" i="1"/>
  <c r="AK1537" i="1"/>
  <c r="AJ1537" i="1"/>
  <c r="AI1537" i="1"/>
  <c r="AE1537" i="1" s="1"/>
  <c r="W1537" i="1"/>
  <c r="AK1536" i="1"/>
  <c r="AJ1536" i="1"/>
  <c r="AI1536" i="1"/>
  <c r="AE1536" i="1" s="1"/>
  <c r="W1536" i="1"/>
  <c r="AI1535" i="1"/>
  <c r="AE1535" i="1" s="1"/>
  <c r="V1535" i="1"/>
  <c r="W1535" i="1" s="1"/>
  <c r="AK1534" i="1"/>
  <c r="AJ1534" i="1"/>
  <c r="AI1534" i="1"/>
  <c r="AE1534" i="1" s="1"/>
  <c r="W1534" i="1"/>
  <c r="AI1533" i="1"/>
  <c r="AE1533" i="1" s="1"/>
  <c r="V1533" i="1"/>
  <c r="AK1532" i="1"/>
  <c r="AJ1532" i="1"/>
  <c r="AI1532" i="1"/>
  <c r="AE1532" i="1" s="1"/>
  <c r="W1532" i="1"/>
  <c r="AK1531" i="1"/>
  <c r="AJ1531" i="1"/>
  <c r="AI1531" i="1"/>
  <c r="AE1531" i="1" s="1"/>
  <c r="W1531" i="1"/>
  <c r="AK1530" i="1"/>
  <c r="AJ1530" i="1"/>
  <c r="AI1530" i="1"/>
  <c r="AE1530" i="1" s="1"/>
  <c r="W1530" i="1"/>
  <c r="AK1529" i="1"/>
  <c r="AJ1529" i="1"/>
  <c r="AI1529" i="1"/>
  <c r="AE1529" i="1" s="1"/>
  <c r="W1529" i="1"/>
  <c r="AI1528" i="1"/>
  <c r="AE1528" i="1" s="1"/>
  <c r="V1528" i="1"/>
  <c r="W1528" i="1" s="1"/>
  <c r="AK1527" i="1"/>
  <c r="AJ1527" i="1"/>
  <c r="AI1527" i="1"/>
  <c r="AE1527" i="1" s="1"/>
  <c r="W1527" i="1"/>
  <c r="AK1526" i="1"/>
  <c r="AJ1526" i="1"/>
  <c r="AI1526" i="1"/>
  <c r="AE1526" i="1" s="1"/>
  <c r="W1526" i="1"/>
  <c r="AK1525" i="1"/>
  <c r="AJ1525" i="1"/>
  <c r="AI1525" i="1"/>
  <c r="AE1525" i="1" s="1"/>
  <c r="W1525" i="1"/>
  <c r="AK1524" i="1"/>
  <c r="AJ1524" i="1"/>
  <c r="AI1524" i="1"/>
  <c r="AE1524" i="1" s="1"/>
  <c r="W1524" i="1"/>
  <c r="AK1523" i="1"/>
  <c r="AJ1523" i="1"/>
  <c r="AI1523" i="1"/>
  <c r="AE1523" i="1" s="1"/>
  <c r="W1523" i="1"/>
  <c r="AK1522" i="1"/>
  <c r="AJ1522" i="1"/>
  <c r="AI1522" i="1"/>
  <c r="AE1522" i="1" s="1"/>
  <c r="W1522" i="1"/>
  <c r="AK1521" i="1"/>
  <c r="AJ1521" i="1"/>
  <c r="AI1521" i="1"/>
  <c r="AE1521" i="1" s="1"/>
  <c r="W1521" i="1"/>
  <c r="AK1520" i="1"/>
  <c r="AJ1520" i="1"/>
  <c r="AI1520" i="1"/>
  <c r="AE1520" i="1" s="1"/>
  <c r="W1520" i="1"/>
  <c r="AI1519" i="1"/>
  <c r="AE1519" i="1" s="1"/>
  <c r="V1519" i="1"/>
  <c r="AK1518" i="1"/>
  <c r="AJ1518" i="1"/>
  <c r="AI1518" i="1"/>
  <c r="AE1518" i="1" s="1"/>
  <c r="W1518" i="1"/>
  <c r="AK1517" i="1"/>
  <c r="AJ1517" i="1"/>
  <c r="AI1517" i="1"/>
  <c r="AE1517" i="1" s="1"/>
  <c r="W1517" i="1"/>
  <c r="AK1516" i="1"/>
  <c r="AJ1516" i="1"/>
  <c r="AI1516" i="1"/>
  <c r="AE1516" i="1" s="1"/>
  <c r="AK1515" i="1"/>
  <c r="AJ1515" i="1"/>
  <c r="AI1515" i="1"/>
  <c r="AE1515" i="1" s="1"/>
  <c r="W1515" i="1"/>
  <c r="AK1514" i="1"/>
  <c r="AJ1514" i="1"/>
  <c r="AI1514" i="1"/>
  <c r="AE1514" i="1" s="1"/>
  <c r="W1514" i="1"/>
  <c r="AK1513" i="1"/>
  <c r="AJ1513" i="1"/>
  <c r="AI1513" i="1"/>
  <c r="AE1513" i="1" s="1"/>
  <c r="W1513" i="1"/>
  <c r="AI1512" i="1"/>
  <c r="AE1512" i="1" s="1"/>
  <c r="V1512" i="1"/>
  <c r="W1512" i="1" s="1"/>
  <c r="AK1511" i="1"/>
  <c r="AJ1511" i="1"/>
  <c r="AI1511" i="1"/>
  <c r="AE1511" i="1" s="1"/>
  <c r="W1511" i="1"/>
  <c r="AK1510" i="1"/>
  <c r="AJ1510" i="1"/>
  <c r="AI1510" i="1"/>
  <c r="AE1510" i="1" s="1"/>
  <c r="W1510" i="1"/>
  <c r="AK1509" i="1"/>
  <c r="AJ1509" i="1"/>
  <c r="AI1509" i="1"/>
  <c r="AE1509" i="1" s="1"/>
  <c r="W1509" i="1"/>
  <c r="AK1508" i="1"/>
  <c r="AJ1508" i="1"/>
  <c r="AI1508" i="1"/>
  <c r="AE1508" i="1" s="1"/>
  <c r="W1508" i="1"/>
  <c r="AK1507" i="1"/>
  <c r="AJ1507" i="1"/>
  <c r="AI1507" i="1"/>
  <c r="AE1507" i="1" s="1"/>
  <c r="W1507" i="1"/>
  <c r="AK1506" i="1"/>
  <c r="AJ1506" i="1"/>
  <c r="AI1506" i="1"/>
  <c r="AE1506" i="1" s="1"/>
  <c r="W1506" i="1"/>
  <c r="AK1505" i="1"/>
  <c r="AJ1505" i="1"/>
  <c r="AI1505" i="1"/>
  <c r="AE1505" i="1" s="1"/>
  <c r="W1505" i="1"/>
  <c r="AK1504" i="1"/>
  <c r="AJ1504" i="1"/>
  <c r="AI1504" i="1"/>
  <c r="AE1504" i="1" s="1"/>
  <c r="W1504" i="1"/>
  <c r="AK1503" i="1"/>
  <c r="AJ1503" i="1"/>
  <c r="AI1503" i="1"/>
  <c r="AE1503" i="1" s="1"/>
  <c r="W1503" i="1"/>
  <c r="AK1502" i="1"/>
  <c r="AJ1502" i="1"/>
  <c r="AI1502" i="1"/>
  <c r="AE1502" i="1" s="1"/>
  <c r="W1502" i="1"/>
  <c r="AK1501" i="1"/>
  <c r="AJ1501" i="1"/>
  <c r="AI1501" i="1"/>
  <c r="AE1501" i="1" s="1"/>
  <c r="W1501" i="1"/>
  <c r="AK1500" i="1"/>
  <c r="AJ1500" i="1"/>
  <c r="AI1500" i="1"/>
  <c r="AE1500" i="1" s="1"/>
  <c r="W1500" i="1"/>
  <c r="AK1499" i="1"/>
  <c r="AJ1499" i="1"/>
  <c r="AI1499" i="1"/>
  <c r="AE1499" i="1" s="1"/>
  <c r="W1499" i="1"/>
  <c r="AK1498" i="1"/>
  <c r="AJ1498" i="1"/>
  <c r="AI1498" i="1"/>
  <c r="AE1498" i="1" s="1"/>
  <c r="W1498" i="1"/>
  <c r="AK1497" i="1"/>
  <c r="AJ1497" i="1"/>
  <c r="AI1497" i="1"/>
  <c r="AE1497" i="1" s="1"/>
  <c r="W1497" i="1"/>
  <c r="AK1496" i="1"/>
  <c r="AJ1496" i="1"/>
  <c r="AI1496" i="1"/>
  <c r="AE1496" i="1" s="1"/>
  <c r="W1496" i="1"/>
  <c r="AK1495" i="1"/>
  <c r="AJ1495" i="1"/>
  <c r="AI1495" i="1"/>
  <c r="AE1495" i="1" s="1"/>
  <c r="W1495" i="1"/>
  <c r="AK1494" i="1"/>
  <c r="AJ1494" i="1"/>
  <c r="AI1494" i="1"/>
  <c r="AE1494" i="1" s="1"/>
  <c r="W1494" i="1"/>
  <c r="AK1493" i="1"/>
  <c r="AJ1493" i="1"/>
  <c r="AI1493" i="1"/>
  <c r="AE1493" i="1" s="1"/>
  <c r="W1493" i="1"/>
  <c r="AI1492" i="1"/>
  <c r="AE1492" i="1" s="1"/>
  <c r="V1492" i="1"/>
  <c r="AK1492" i="1" s="1"/>
  <c r="AI1491" i="1"/>
  <c r="AE1491" i="1" s="1"/>
  <c r="V1491" i="1"/>
  <c r="AJ1491" i="1" s="1"/>
  <c r="AI1490" i="1"/>
  <c r="AE1490" i="1" s="1"/>
  <c r="V1490" i="1"/>
  <c r="AJ1490" i="1" s="1"/>
  <c r="AI1489" i="1"/>
  <c r="AE1489" i="1" s="1"/>
  <c r="V1489" i="1"/>
  <c r="AK1488" i="1"/>
  <c r="AJ1488" i="1"/>
  <c r="AI1488" i="1"/>
  <c r="AE1488" i="1" s="1"/>
  <c r="W1488" i="1"/>
  <c r="AK1487" i="1"/>
  <c r="AJ1487" i="1"/>
  <c r="AI1487" i="1"/>
  <c r="AE1487" i="1" s="1"/>
  <c r="W1487" i="1"/>
  <c r="AK1486" i="1"/>
  <c r="AJ1486" i="1"/>
  <c r="AI1486" i="1"/>
  <c r="AE1486" i="1" s="1"/>
  <c r="W1486" i="1"/>
  <c r="AI1485" i="1"/>
  <c r="AE1485" i="1" s="1"/>
  <c r="V1485" i="1"/>
  <c r="AI1484" i="1"/>
  <c r="AE1484" i="1" s="1"/>
  <c r="V1484" i="1"/>
  <c r="W1484" i="1" s="1"/>
  <c r="AK1483" i="1"/>
  <c r="AJ1483" i="1"/>
  <c r="AI1483" i="1"/>
  <c r="AE1483" i="1" s="1"/>
  <c r="W1483" i="1"/>
  <c r="AK1482" i="1"/>
  <c r="AJ1482" i="1"/>
  <c r="AI1482" i="1"/>
  <c r="AE1482" i="1" s="1"/>
  <c r="W1482" i="1"/>
  <c r="AK1481" i="1"/>
  <c r="AJ1481" i="1"/>
  <c r="AI1481" i="1"/>
  <c r="AE1481" i="1" s="1"/>
  <c r="W1481" i="1"/>
  <c r="AK1480" i="1"/>
  <c r="AJ1480" i="1"/>
  <c r="AI1480" i="1"/>
  <c r="AE1480" i="1" s="1"/>
  <c r="W1480" i="1"/>
  <c r="AK1479" i="1"/>
  <c r="AJ1479" i="1"/>
  <c r="AI1479" i="1"/>
  <c r="AE1479" i="1" s="1"/>
  <c r="W1479" i="1"/>
  <c r="AK1478" i="1"/>
  <c r="AJ1478" i="1"/>
  <c r="AI1478" i="1"/>
  <c r="AE1478" i="1" s="1"/>
  <c r="W1478" i="1"/>
  <c r="AI1477" i="1"/>
  <c r="AE1477" i="1" s="1"/>
  <c r="V1477" i="1"/>
  <c r="AI1476" i="1"/>
  <c r="AE1476" i="1" s="1"/>
  <c r="V1476" i="1"/>
  <c r="AK1476" i="1" s="1"/>
  <c r="AI1475" i="1"/>
  <c r="AE1475" i="1" s="1"/>
  <c r="V1475" i="1"/>
  <c r="W1475" i="1" s="1"/>
  <c r="AK1474" i="1"/>
  <c r="AJ1474" i="1"/>
  <c r="AI1474" i="1"/>
  <c r="AE1474" i="1" s="1"/>
  <c r="W1474" i="1"/>
  <c r="AI1473" i="1"/>
  <c r="AE1473" i="1" s="1"/>
  <c r="V1473" i="1"/>
  <c r="AK1472" i="1"/>
  <c r="AJ1472" i="1"/>
  <c r="AI1472" i="1"/>
  <c r="AE1472" i="1" s="1"/>
  <c r="W1472" i="1"/>
  <c r="AK1471" i="1"/>
  <c r="AJ1471" i="1"/>
  <c r="AI1471" i="1"/>
  <c r="AE1471" i="1" s="1"/>
  <c r="W1471" i="1"/>
  <c r="AK1470" i="1"/>
  <c r="AJ1470" i="1"/>
  <c r="AI1470" i="1"/>
  <c r="AE1470" i="1" s="1"/>
  <c r="AK1469" i="1"/>
  <c r="AJ1469" i="1"/>
  <c r="AI1469" i="1"/>
  <c r="AE1469" i="1" s="1"/>
  <c r="W1469" i="1"/>
  <c r="AK1468" i="1"/>
  <c r="AJ1468" i="1"/>
  <c r="AI1468" i="1"/>
  <c r="AE1468" i="1" s="1"/>
  <c r="W1468" i="1"/>
  <c r="AK1467" i="1"/>
  <c r="AJ1467" i="1"/>
  <c r="AI1467" i="1"/>
  <c r="AE1467" i="1" s="1"/>
  <c r="W1467" i="1"/>
  <c r="AI1466" i="1"/>
  <c r="AE1466" i="1" s="1"/>
  <c r="V1466" i="1"/>
  <c r="AK1465" i="1"/>
  <c r="AJ1465" i="1"/>
  <c r="AI1465" i="1"/>
  <c r="AE1465" i="1" s="1"/>
  <c r="W1465" i="1"/>
  <c r="AK1464" i="1"/>
  <c r="AJ1464" i="1"/>
  <c r="AI1464" i="1"/>
  <c r="AE1464" i="1" s="1"/>
  <c r="W1464" i="1"/>
  <c r="AI1463" i="1"/>
  <c r="AE1463" i="1" s="1"/>
  <c r="V1463" i="1"/>
  <c r="W1463" i="1" s="1"/>
  <c r="AK1462" i="1"/>
  <c r="AJ1462" i="1"/>
  <c r="AI1462" i="1"/>
  <c r="AE1462" i="1" s="1"/>
  <c r="W1462" i="1"/>
  <c r="AK1461" i="1"/>
  <c r="AJ1461" i="1"/>
  <c r="AI1461" i="1"/>
  <c r="AE1461" i="1" s="1"/>
  <c r="W1461" i="1"/>
  <c r="AK1460" i="1"/>
  <c r="AJ1460" i="1"/>
  <c r="AI1460" i="1"/>
  <c r="AE1460" i="1" s="1"/>
  <c r="W1460" i="1"/>
  <c r="AK1459" i="1"/>
  <c r="AJ1459" i="1"/>
  <c r="AI1459" i="1"/>
  <c r="AE1459" i="1" s="1"/>
  <c r="W1459" i="1"/>
  <c r="AK1458" i="1"/>
  <c r="AJ1458" i="1"/>
  <c r="AI1458" i="1"/>
  <c r="AE1458" i="1" s="1"/>
  <c r="W1458" i="1"/>
  <c r="AK1457" i="1"/>
  <c r="AJ1457" i="1"/>
  <c r="AI1457" i="1"/>
  <c r="AE1457" i="1" s="1"/>
  <c r="W1457" i="1"/>
  <c r="AK1456" i="1"/>
  <c r="AJ1456" i="1"/>
  <c r="AI1456" i="1"/>
  <c r="AE1456" i="1" s="1"/>
  <c r="W1456" i="1"/>
  <c r="AI1455" i="1"/>
  <c r="AE1455" i="1" s="1"/>
  <c r="V1455" i="1"/>
  <c r="AJ1455" i="1" s="1"/>
  <c r="AK1454" i="1"/>
  <c r="AJ1454" i="1"/>
  <c r="AI1454" i="1"/>
  <c r="AE1454" i="1" s="1"/>
  <c r="W1454" i="1"/>
  <c r="AK1453" i="1"/>
  <c r="AJ1453" i="1"/>
  <c r="AI1453" i="1"/>
  <c r="AE1453" i="1" s="1"/>
  <c r="W1453" i="1"/>
  <c r="AK1452" i="1"/>
  <c r="AJ1452" i="1"/>
  <c r="AI1452" i="1"/>
  <c r="AE1452" i="1" s="1"/>
  <c r="AK1451" i="1"/>
  <c r="AJ1451" i="1"/>
  <c r="AI1451" i="1"/>
  <c r="AE1451" i="1" s="1"/>
  <c r="W1451" i="1"/>
  <c r="AK1450" i="1"/>
  <c r="AJ1450" i="1"/>
  <c r="AI1450" i="1"/>
  <c r="AE1450" i="1" s="1"/>
  <c r="W1450" i="1"/>
  <c r="AI1449" i="1"/>
  <c r="AE1449" i="1" s="1"/>
  <c r="V1449" i="1"/>
  <c r="AK1448" i="1"/>
  <c r="AJ1448" i="1"/>
  <c r="AI1448" i="1"/>
  <c r="AE1448" i="1" s="1"/>
  <c r="W1448" i="1"/>
  <c r="AK1447" i="1"/>
  <c r="AJ1447" i="1"/>
  <c r="AI1447" i="1"/>
  <c r="AE1447" i="1" s="1"/>
  <c r="W1447" i="1"/>
  <c r="AK1446" i="1"/>
  <c r="AJ1446" i="1"/>
  <c r="AI1446" i="1"/>
  <c r="AE1446" i="1" s="1"/>
  <c r="W1446" i="1"/>
  <c r="AK1445" i="1"/>
  <c r="AJ1445" i="1"/>
  <c r="AI1445" i="1"/>
  <c r="AE1445" i="1" s="1"/>
  <c r="W1445" i="1"/>
  <c r="AK1444" i="1"/>
  <c r="AJ1444" i="1"/>
  <c r="AI1444" i="1"/>
  <c r="AE1444" i="1" s="1"/>
  <c r="W1444" i="1"/>
  <c r="AK1443" i="1"/>
  <c r="AJ1443" i="1"/>
  <c r="AI1443" i="1"/>
  <c r="AE1443" i="1" s="1"/>
  <c r="W1443" i="1"/>
  <c r="AK1442" i="1"/>
  <c r="AJ1442" i="1"/>
  <c r="AI1442" i="1"/>
  <c r="AE1442" i="1" s="1"/>
  <c r="W1442" i="1"/>
  <c r="AK1441" i="1"/>
  <c r="AJ1441" i="1"/>
  <c r="AI1441" i="1"/>
  <c r="AE1441" i="1" s="1"/>
  <c r="W1441" i="1"/>
  <c r="AK1440" i="1"/>
  <c r="AJ1440" i="1"/>
  <c r="AI1440" i="1"/>
  <c r="AE1440" i="1" s="1"/>
  <c r="W1440" i="1"/>
  <c r="AK1439" i="1"/>
  <c r="AJ1439" i="1"/>
  <c r="AI1439" i="1"/>
  <c r="AE1439" i="1" s="1"/>
  <c r="W1439" i="1"/>
  <c r="AK1438" i="1"/>
  <c r="AJ1438" i="1"/>
  <c r="AI1438" i="1"/>
  <c r="AE1438" i="1" s="1"/>
  <c r="W1438" i="1"/>
  <c r="AI1437" i="1"/>
  <c r="AE1437" i="1" s="1"/>
  <c r="V1437" i="1"/>
  <c r="AK1437" i="1" s="1"/>
  <c r="AK1436" i="1"/>
  <c r="AJ1436" i="1"/>
  <c r="AI1436" i="1"/>
  <c r="AE1436" i="1" s="1"/>
  <c r="W1436" i="1"/>
  <c r="AK1435" i="1"/>
  <c r="AJ1435" i="1"/>
  <c r="AI1435" i="1"/>
  <c r="AE1435" i="1" s="1"/>
  <c r="W1435" i="1"/>
  <c r="AI1434" i="1"/>
  <c r="AE1434" i="1" s="1"/>
  <c r="V1434" i="1"/>
  <c r="AK1433" i="1"/>
  <c r="AJ1433" i="1"/>
  <c r="AI1433" i="1"/>
  <c r="AE1433" i="1" s="1"/>
  <c r="W1433" i="1"/>
  <c r="AI1432" i="1"/>
  <c r="AE1432" i="1" s="1"/>
  <c r="V1432" i="1"/>
  <c r="W1432" i="1" s="1"/>
  <c r="AI1431" i="1"/>
  <c r="AE1431" i="1" s="1"/>
  <c r="V1431" i="1"/>
  <c r="W1431" i="1" s="1"/>
  <c r="AI1430" i="1"/>
  <c r="AE1430" i="1" s="1"/>
  <c r="V1430" i="1"/>
  <c r="AK1429" i="1"/>
  <c r="AJ1429" i="1"/>
  <c r="AI1429" i="1"/>
  <c r="AE1429" i="1" s="1"/>
  <c r="W1429" i="1"/>
  <c r="AK1428" i="1"/>
  <c r="AJ1428" i="1"/>
  <c r="AI1428" i="1"/>
  <c r="AE1428" i="1" s="1"/>
  <c r="W1428" i="1"/>
  <c r="AI1427" i="1"/>
  <c r="AE1427" i="1" s="1"/>
  <c r="V1427" i="1"/>
  <c r="AJ1427" i="1" s="1"/>
  <c r="AI1426" i="1"/>
  <c r="AE1426" i="1" s="1"/>
  <c r="V1426" i="1"/>
  <c r="W1426" i="1" s="1"/>
  <c r="AI1425" i="1"/>
  <c r="AE1425" i="1" s="1"/>
  <c r="V1425" i="1"/>
  <c r="AI1424" i="1"/>
  <c r="AE1424" i="1" s="1"/>
  <c r="V1424" i="1"/>
  <c r="AK1424" i="1" s="1"/>
  <c r="AI1423" i="1"/>
  <c r="AE1423" i="1" s="1"/>
  <c r="V1423" i="1"/>
  <c r="AJ1423" i="1" s="1"/>
  <c r="AI1422" i="1"/>
  <c r="AE1422" i="1" s="1"/>
  <c r="V1422" i="1"/>
  <c r="AK1422" i="1" s="1"/>
  <c r="AK1421" i="1"/>
  <c r="AJ1421" i="1"/>
  <c r="AI1421" i="1"/>
  <c r="AE1421" i="1" s="1"/>
  <c r="W1421" i="1"/>
  <c r="AK1420" i="1"/>
  <c r="AJ1420" i="1"/>
  <c r="AI1420" i="1"/>
  <c r="AE1420" i="1" s="1"/>
  <c r="W1420" i="1"/>
  <c r="AI1419" i="1"/>
  <c r="AE1419" i="1" s="1"/>
  <c r="V1419" i="1"/>
  <c r="W1419" i="1" s="1"/>
  <c r="AI1418" i="1"/>
  <c r="AE1418" i="1" s="1"/>
  <c r="V1418" i="1"/>
  <c r="W1418" i="1" s="1"/>
  <c r="AK1417" i="1"/>
  <c r="AJ1417" i="1"/>
  <c r="AI1417" i="1"/>
  <c r="AE1417" i="1" s="1"/>
  <c r="W1417" i="1"/>
  <c r="AI1416" i="1"/>
  <c r="AE1416" i="1" s="1"/>
  <c r="V1416" i="1"/>
  <c r="AK1415" i="1"/>
  <c r="AJ1415" i="1"/>
  <c r="AI1415" i="1"/>
  <c r="AE1415" i="1" s="1"/>
  <c r="W1415" i="1"/>
  <c r="AK1414" i="1"/>
  <c r="AJ1414" i="1"/>
  <c r="AI1414" i="1"/>
  <c r="AE1414" i="1" s="1"/>
  <c r="W1414" i="1"/>
  <c r="AK1413" i="1"/>
  <c r="AJ1413" i="1"/>
  <c r="AI1413" i="1"/>
  <c r="AE1413" i="1" s="1"/>
  <c r="W1413" i="1"/>
  <c r="AK1412" i="1"/>
  <c r="AJ1412" i="1"/>
  <c r="AI1412" i="1"/>
  <c r="AE1412" i="1" s="1"/>
  <c r="W1412" i="1"/>
  <c r="AI1411" i="1"/>
  <c r="AE1411" i="1" s="1"/>
  <c r="V1411" i="1"/>
  <c r="W1411" i="1" s="1"/>
  <c r="AK1410" i="1"/>
  <c r="AJ1410" i="1"/>
  <c r="AI1410" i="1"/>
  <c r="AE1410" i="1" s="1"/>
  <c r="W1410" i="1"/>
  <c r="AK1409" i="1"/>
  <c r="AJ1409" i="1"/>
  <c r="AI1409" i="1"/>
  <c r="AE1409" i="1" s="1"/>
  <c r="W1409" i="1"/>
  <c r="AK1408" i="1"/>
  <c r="AJ1408" i="1"/>
  <c r="AI1408" i="1"/>
  <c r="AE1408" i="1" s="1"/>
  <c r="W1408" i="1"/>
  <c r="AK1407" i="1"/>
  <c r="AJ1407" i="1"/>
  <c r="AI1407" i="1"/>
  <c r="AE1407" i="1" s="1"/>
  <c r="W1407" i="1"/>
  <c r="AK1406" i="1"/>
  <c r="AJ1406" i="1"/>
  <c r="AI1406" i="1"/>
  <c r="AE1406" i="1" s="1"/>
  <c r="W1406" i="1"/>
  <c r="AK1405" i="1"/>
  <c r="AJ1405" i="1"/>
  <c r="AI1405" i="1"/>
  <c r="AE1405" i="1" s="1"/>
  <c r="W1405" i="1"/>
  <c r="AK1404" i="1"/>
  <c r="AJ1404" i="1"/>
  <c r="AI1404" i="1"/>
  <c r="AE1404" i="1" s="1"/>
  <c r="W1404" i="1"/>
  <c r="AK1403" i="1"/>
  <c r="AJ1403" i="1"/>
  <c r="AI1403" i="1"/>
  <c r="AE1403" i="1" s="1"/>
  <c r="W1403" i="1"/>
  <c r="AK1402" i="1"/>
  <c r="AJ1402" i="1"/>
  <c r="AI1402" i="1"/>
  <c r="AE1402" i="1" s="1"/>
  <c r="W1402" i="1"/>
  <c r="AK1401" i="1"/>
  <c r="AJ1401" i="1"/>
  <c r="AI1401" i="1"/>
  <c r="AE1401" i="1" s="1"/>
  <c r="W1401" i="1"/>
  <c r="AK1400" i="1"/>
  <c r="AJ1400" i="1"/>
  <c r="AI1400" i="1"/>
  <c r="AE1400" i="1" s="1"/>
  <c r="W1400" i="1"/>
  <c r="AI1399" i="1"/>
  <c r="AE1399" i="1" s="1"/>
  <c r="V1399" i="1"/>
  <c r="AK1398" i="1"/>
  <c r="AJ1398" i="1"/>
  <c r="AI1398" i="1"/>
  <c r="AE1398" i="1" s="1"/>
  <c r="AI1397" i="1"/>
  <c r="AE1397" i="1" s="1"/>
  <c r="V1397" i="1"/>
  <c r="W1397" i="1" s="1"/>
  <c r="AK1396" i="1"/>
  <c r="AJ1396" i="1"/>
  <c r="AI1396" i="1"/>
  <c r="AE1396" i="1" s="1"/>
  <c r="W1396" i="1"/>
  <c r="AK1395" i="1"/>
  <c r="AJ1395" i="1"/>
  <c r="AI1395" i="1"/>
  <c r="AE1395" i="1" s="1"/>
  <c r="W1395" i="1"/>
  <c r="AK1394" i="1"/>
  <c r="AJ1394" i="1"/>
  <c r="AI1394" i="1"/>
  <c r="AE1394" i="1" s="1"/>
  <c r="W1394" i="1"/>
  <c r="AK1393" i="1"/>
  <c r="AJ1393" i="1"/>
  <c r="AI1393" i="1"/>
  <c r="AE1393" i="1" s="1"/>
  <c r="W1393" i="1"/>
  <c r="AK1392" i="1"/>
  <c r="AJ1392" i="1"/>
  <c r="AI1392" i="1"/>
  <c r="AE1392" i="1" s="1"/>
  <c r="W1392" i="1"/>
  <c r="AK1391" i="1"/>
  <c r="AJ1391" i="1"/>
  <c r="AI1391" i="1"/>
  <c r="AE1391" i="1" s="1"/>
  <c r="W1391" i="1"/>
  <c r="AK1390" i="1"/>
  <c r="AJ1390" i="1"/>
  <c r="AI1390" i="1"/>
  <c r="AE1390" i="1" s="1"/>
  <c r="W1390" i="1"/>
  <c r="AK1389" i="1"/>
  <c r="AJ1389" i="1"/>
  <c r="AI1389" i="1"/>
  <c r="AE1389" i="1" s="1"/>
  <c r="AF1389" i="1"/>
  <c r="W1389" i="1"/>
  <c r="AK1388" i="1"/>
  <c r="AJ1388" i="1"/>
  <c r="AI1388" i="1"/>
  <c r="AE1388" i="1" s="1"/>
  <c r="W1388" i="1"/>
  <c r="AI1387" i="1"/>
  <c r="AE1387" i="1" s="1"/>
  <c r="V1387" i="1"/>
  <c r="AK1386" i="1"/>
  <c r="AJ1386" i="1"/>
  <c r="AI1386" i="1"/>
  <c r="AE1386" i="1" s="1"/>
  <c r="W1386" i="1"/>
  <c r="AK1385" i="1"/>
  <c r="AJ1385" i="1"/>
  <c r="AI1385" i="1"/>
  <c r="AE1385" i="1" s="1"/>
  <c r="W1385" i="1"/>
  <c r="AK1384" i="1"/>
  <c r="AJ1384" i="1"/>
  <c r="AI1384" i="1"/>
  <c r="AE1384" i="1" s="1"/>
  <c r="W1384" i="1"/>
  <c r="AK1383" i="1"/>
  <c r="AJ1383" i="1"/>
  <c r="AI1383" i="1"/>
  <c r="AE1383" i="1" s="1"/>
  <c r="W1383" i="1"/>
  <c r="AK1382" i="1"/>
  <c r="AJ1382" i="1"/>
  <c r="AI1382" i="1"/>
  <c r="AE1382" i="1" s="1"/>
  <c r="W1382" i="1"/>
  <c r="AI1381" i="1"/>
  <c r="AE1381" i="1" s="1"/>
  <c r="V1381" i="1"/>
  <c r="AK1380" i="1"/>
  <c r="AJ1380" i="1"/>
  <c r="AI1380" i="1"/>
  <c r="AE1380" i="1" s="1"/>
  <c r="W1380" i="1"/>
  <c r="AK1379" i="1"/>
  <c r="AJ1379" i="1"/>
  <c r="AI1379" i="1"/>
  <c r="AE1379" i="1" s="1"/>
  <c r="W1379" i="1"/>
  <c r="AK1378" i="1"/>
  <c r="AJ1378" i="1"/>
  <c r="AI1378" i="1"/>
  <c r="AE1378" i="1" s="1"/>
  <c r="W1378" i="1"/>
  <c r="AK1377" i="1"/>
  <c r="AJ1377" i="1"/>
  <c r="AI1377" i="1"/>
  <c r="AE1377" i="1" s="1"/>
  <c r="W1377" i="1"/>
  <c r="AK1376" i="1"/>
  <c r="AJ1376" i="1"/>
  <c r="AI1376" i="1"/>
  <c r="AE1376" i="1" s="1"/>
  <c r="W1376" i="1"/>
  <c r="AK1375" i="1"/>
  <c r="AJ1375" i="1"/>
  <c r="AI1375" i="1"/>
  <c r="AE1375" i="1" s="1"/>
  <c r="AK1374" i="1"/>
  <c r="AJ1374" i="1"/>
  <c r="AI1374" i="1"/>
  <c r="AE1374" i="1" s="1"/>
  <c r="W1374" i="1"/>
  <c r="AI1373" i="1"/>
  <c r="AE1373" i="1" s="1"/>
  <c r="V1373" i="1"/>
  <c r="AJ1373" i="1" s="1"/>
  <c r="AI1372" i="1"/>
  <c r="AE1372" i="1" s="1"/>
  <c r="V1372" i="1"/>
  <c r="AK1371" i="1"/>
  <c r="AJ1371" i="1"/>
  <c r="AI1371" i="1"/>
  <c r="AE1371" i="1" s="1"/>
  <c r="W1371" i="1"/>
  <c r="AK1370" i="1"/>
  <c r="AJ1370" i="1"/>
  <c r="AI1370" i="1"/>
  <c r="AE1370" i="1" s="1"/>
  <c r="W1370" i="1"/>
  <c r="AK1369" i="1"/>
  <c r="AJ1369" i="1"/>
  <c r="AI1369" i="1"/>
  <c r="AE1369" i="1" s="1"/>
  <c r="W1369" i="1"/>
  <c r="AK1368" i="1"/>
  <c r="AJ1368" i="1"/>
  <c r="AI1368" i="1"/>
  <c r="AE1368" i="1" s="1"/>
  <c r="W1368" i="1"/>
  <c r="AI1367" i="1"/>
  <c r="AE1367" i="1" s="1"/>
  <c r="V1367" i="1"/>
  <c r="AI1366" i="1"/>
  <c r="AE1366" i="1" s="1"/>
  <c r="V1366" i="1"/>
  <c r="AK1366" i="1" s="1"/>
  <c r="AI1365" i="1"/>
  <c r="AE1365" i="1" s="1"/>
  <c r="V1365" i="1"/>
  <c r="W1365" i="1" s="1"/>
  <c r="AK1364" i="1"/>
  <c r="AJ1364" i="1"/>
  <c r="AI1364" i="1"/>
  <c r="AE1364" i="1" s="1"/>
  <c r="W1364" i="1"/>
  <c r="AK1363" i="1"/>
  <c r="AJ1363" i="1"/>
  <c r="AI1363" i="1"/>
  <c r="AE1363" i="1" s="1"/>
  <c r="W1363" i="1"/>
  <c r="AK1362" i="1"/>
  <c r="AJ1362" i="1"/>
  <c r="AI1362" i="1"/>
  <c r="AE1362" i="1" s="1"/>
  <c r="W1362" i="1"/>
  <c r="AK1361" i="1"/>
  <c r="AJ1361" i="1"/>
  <c r="AI1361" i="1"/>
  <c r="AE1361" i="1" s="1"/>
  <c r="W1361" i="1"/>
  <c r="AK1360" i="1"/>
  <c r="AJ1360" i="1"/>
  <c r="AI1360" i="1"/>
  <c r="AE1360" i="1" s="1"/>
  <c r="W1360" i="1"/>
  <c r="AI1359" i="1"/>
  <c r="AE1359" i="1" s="1"/>
  <c r="V1359" i="1"/>
  <c r="AK1359" i="1" s="1"/>
  <c r="AI1358" i="1"/>
  <c r="AE1358" i="1" s="1"/>
  <c r="V1358" i="1"/>
  <c r="W1358" i="1" s="1"/>
  <c r="AI1357" i="1"/>
  <c r="AE1357" i="1" s="1"/>
  <c r="V1357" i="1"/>
  <c r="AJ1357" i="1" s="1"/>
  <c r="AI1356" i="1"/>
  <c r="AE1356" i="1" s="1"/>
  <c r="V1356" i="1"/>
  <c r="W1356" i="1" s="1"/>
  <c r="AK1355" i="1"/>
  <c r="AJ1355" i="1"/>
  <c r="AI1355" i="1"/>
  <c r="AE1355" i="1" s="1"/>
  <c r="W1355" i="1"/>
  <c r="AI1354" i="1"/>
  <c r="AE1354" i="1" s="1"/>
  <c r="V1354" i="1"/>
  <c r="W1354" i="1" s="1"/>
  <c r="AK1353" i="1"/>
  <c r="AJ1353" i="1"/>
  <c r="AI1353" i="1"/>
  <c r="AE1353" i="1" s="1"/>
  <c r="W1353" i="1"/>
  <c r="AI1352" i="1"/>
  <c r="AE1352" i="1" s="1"/>
  <c r="V1352" i="1"/>
  <c r="AK1351" i="1"/>
  <c r="AJ1351" i="1"/>
  <c r="AI1351" i="1"/>
  <c r="AE1351" i="1" s="1"/>
  <c r="W1351" i="1"/>
  <c r="AK1350" i="1"/>
  <c r="AJ1350" i="1"/>
  <c r="AI1350" i="1"/>
  <c r="AE1350" i="1" s="1"/>
  <c r="W1350" i="1"/>
  <c r="AK1349" i="1"/>
  <c r="AJ1349" i="1"/>
  <c r="AI1349" i="1"/>
  <c r="AE1349" i="1" s="1"/>
  <c r="W1349" i="1"/>
  <c r="AK1348" i="1"/>
  <c r="AJ1348" i="1"/>
  <c r="AI1348" i="1"/>
  <c r="AE1348" i="1" s="1"/>
  <c r="W1348" i="1"/>
  <c r="AK1347" i="1"/>
  <c r="AJ1347" i="1"/>
  <c r="AI1347" i="1"/>
  <c r="AE1347" i="1" s="1"/>
  <c r="W1347" i="1"/>
  <c r="AK1346" i="1"/>
  <c r="AJ1346" i="1"/>
  <c r="AI1346" i="1"/>
  <c r="AE1346" i="1" s="1"/>
  <c r="W1346" i="1"/>
  <c r="AK1345" i="1"/>
  <c r="AJ1345" i="1"/>
  <c r="AI1345" i="1"/>
  <c r="AE1345" i="1" s="1"/>
  <c r="W1345" i="1"/>
  <c r="AK1344" i="1"/>
  <c r="AJ1344" i="1"/>
  <c r="AI1344" i="1"/>
  <c r="AE1344" i="1" s="1"/>
  <c r="W1344" i="1"/>
  <c r="AK1343" i="1"/>
  <c r="AJ1343" i="1"/>
  <c r="AI1343" i="1"/>
  <c r="AE1343" i="1" s="1"/>
  <c r="W1343" i="1"/>
  <c r="AI1342" i="1"/>
  <c r="AE1342" i="1" s="1"/>
  <c r="V1342" i="1"/>
  <c r="AI1341" i="1"/>
  <c r="AE1341" i="1" s="1"/>
  <c r="V1341" i="1"/>
  <c r="AI1340" i="1"/>
  <c r="AE1340" i="1" s="1"/>
  <c r="V1340" i="1"/>
  <c r="AK1340" i="1" s="1"/>
  <c r="AK1339" i="1"/>
  <c r="AJ1339" i="1"/>
  <c r="AI1339" i="1"/>
  <c r="AE1339" i="1" s="1"/>
  <c r="W1339" i="1"/>
  <c r="AK1338" i="1"/>
  <c r="AJ1338" i="1"/>
  <c r="AI1338" i="1"/>
  <c r="AE1338" i="1" s="1"/>
  <c r="W1338" i="1"/>
  <c r="AK1337" i="1"/>
  <c r="AJ1337" i="1"/>
  <c r="AI1337" i="1"/>
  <c r="AE1337" i="1" s="1"/>
  <c r="W1337" i="1"/>
  <c r="AK1336" i="1"/>
  <c r="AJ1336" i="1"/>
  <c r="AI1336" i="1"/>
  <c r="AE1336" i="1" s="1"/>
  <c r="W1336" i="1"/>
  <c r="AK1335" i="1"/>
  <c r="AJ1335" i="1"/>
  <c r="AI1335" i="1"/>
  <c r="AE1335" i="1" s="1"/>
  <c r="AK1334" i="1"/>
  <c r="AJ1334" i="1"/>
  <c r="AI1334" i="1"/>
  <c r="AE1334" i="1" s="1"/>
  <c r="W1334" i="1"/>
  <c r="AK1333" i="1"/>
  <c r="AJ1333" i="1"/>
  <c r="AI1333" i="1"/>
  <c r="AE1333" i="1" s="1"/>
  <c r="W1333" i="1"/>
  <c r="AK1332" i="1"/>
  <c r="AJ1332" i="1"/>
  <c r="AI1332" i="1"/>
  <c r="AE1332" i="1" s="1"/>
  <c r="AK1331" i="1"/>
  <c r="AJ1331" i="1"/>
  <c r="AI1331" i="1"/>
  <c r="AE1331" i="1" s="1"/>
  <c r="AF1331" i="1"/>
  <c r="W1331" i="1"/>
  <c r="AK1330" i="1"/>
  <c r="AJ1330" i="1"/>
  <c r="AI1330" i="1"/>
  <c r="AE1330" i="1" s="1"/>
  <c r="AK1329" i="1"/>
  <c r="AJ1329" i="1"/>
  <c r="AI1329" i="1"/>
  <c r="AE1329" i="1" s="1"/>
  <c r="AK1328" i="1"/>
  <c r="AJ1328" i="1"/>
  <c r="AI1328" i="1"/>
  <c r="AE1328" i="1" s="1"/>
  <c r="W1328" i="1"/>
  <c r="AK1327" i="1"/>
  <c r="AJ1327" i="1"/>
  <c r="AI1327" i="1"/>
  <c r="AE1327" i="1" s="1"/>
  <c r="W1327" i="1"/>
  <c r="AK1326" i="1"/>
  <c r="AJ1326" i="1"/>
  <c r="AI1326" i="1"/>
  <c r="AE1326" i="1" s="1"/>
  <c r="W1326" i="1"/>
  <c r="AK1325" i="1"/>
  <c r="AJ1325" i="1"/>
  <c r="AI1325" i="1"/>
  <c r="AE1325" i="1" s="1"/>
  <c r="W1325" i="1"/>
  <c r="AK1324" i="1"/>
  <c r="AJ1324" i="1"/>
  <c r="AI1324" i="1"/>
  <c r="AE1324" i="1" s="1"/>
  <c r="W1324" i="1"/>
  <c r="AI1323" i="1"/>
  <c r="AE1323" i="1" s="1"/>
  <c r="V1323" i="1"/>
  <c r="W1323" i="1" s="1"/>
  <c r="AK1322" i="1"/>
  <c r="AJ1322" i="1"/>
  <c r="AI1322" i="1"/>
  <c r="AE1322" i="1" s="1"/>
  <c r="W1322" i="1"/>
  <c r="AK1321" i="1"/>
  <c r="AJ1321" i="1"/>
  <c r="AI1321" i="1"/>
  <c r="AE1321" i="1" s="1"/>
  <c r="W1321" i="1"/>
  <c r="AK1320" i="1"/>
  <c r="AJ1320" i="1"/>
  <c r="AI1320" i="1"/>
  <c r="AE1320" i="1" s="1"/>
  <c r="W1320" i="1"/>
  <c r="AI1319" i="1"/>
  <c r="AE1319" i="1" s="1"/>
  <c r="V1319" i="1"/>
  <c r="AK1318" i="1"/>
  <c r="AJ1318" i="1"/>
  <c r="AI1318" i="1"/>
  <c r="AE1318" i="1" s="1"/>
  <c r="W1318" i="1"/>
  <c r="AK1317" i="1"/>
  <c r="AJ1317" i="1"/>
  <c r="AI1317" i="1"/>
  <c r="AE1317" i="1" s="1"/>
  <c r="W1317" i="1"/>
  <c r="AK1316" i="1"/>
  <c r="AJ1316" i="1"/>
  <c r="AI1316" i="1"/>
  <c r="AE1316" i="1" s="1"/>
  <c r="W1316" i="1"/>
  <c r="AK1315" i="1"/>
  <c r="AJ1315" i="1"/>
  <c r="AI1315" i="1"/>
  <c r="AE1315" i="1" s="1"/>
  <c r="W1315" i="1"/>
  <c r="AK1314" i="1"/>
  <c r="AJ1314" i="1"/>
  <c r="AI1314" i="1"/>
  <c r="AE1314" i="1" s="1"/>
  <c r="W1314" i="1"/>
  <c r="AK1313" i="1"/>
  <c r="AJ1313" i="1"/>
  <c r="AI1313" i="1"/>
  <c r="AE1313" i="1" s="1"/>
  <c r="W1313" i="1"/>
  <c r="AI1312" i="1"/>
  <c r="AE1312" i="1" s="1"/>
  <c r="V1312" i="1"/>
  <c r="AK1312" i="1" s="1"/>
  <c r="AK1311" i="1"/>
  <c r="AJ1311" i="1"/>
  <c r="AI1311" i="1"/>
  <c r="AE1311" i="1" s="1"/>
  <c r="W1311" i="1"/>
  <c r="AK1310" i="1"/>
  <c r="AJ1310" i="1"/>
  <c r="AI1310" i="1"/>
  <c r="AE1310" i="1" s="1"/>
  <c r="W1310" i="1"/>
  <c r="AK1309" i="1"/>
  <c r="AJ1309" i="1"/>
  <c r="AI1309" i="1"/>
  <c r="AE1309" i="1" s="1"/>
  <c r="W1309" i="1"/>
  <c r="AK1308" i="1"/>
  <c r="AJ1308" i="1"/>
  <c r="AI1308" i="1"/>
  <c r="AE1308" i="1" s="1"/>
  <c r="W1308" i="1"/>
  <c r="AK1307" i="1"/>
  <c r="AJ1307" i="1"/>
  <c r="AI1307" i="1"/>
  <c r="AE1307" i="1" s="1"/>
  <c r="W1307" i="1"/>
  <c r="AK1306" i="1"/>
  <c r="AJ1306" i="1"/>
  <c r="AI1306" i="1"/>
  <c r="AE1306" i="1" s="1"/>
  <c r="W1306" i="1"/>
  <c r="AI1305" i="1"/>
  <c r="AE1305" i="1" s="1"/>
  <c r="V1305" i="1"/>
  <c r="AK1304" i="1"/>
  <c r="AJ1304" i="1"/>
  <c r="AI1304" i="1"/>
  <c r="AE1304" i="1" s="1"/>
  <c r="W1304" i="1"/>
  <c r="AK1303" i="1"/>
  <c r="AJ1303" i="1"/>
  <c r="AI1303" i="1"/>
  <c r="AE1303" i="1" s="1"/>
  <c r="W1303" i="1"/>
  <c r="AK1302" i="1"/>
  <c r="AJ1302" i="1"/>
  <c r="AI1302" i="1"/>
  <c r="AE1302" i="1" s="1"/>
  <c r="W1302" i="1"/>
  <c r="AK1301" i="1"/>
  <c r="AJ1301" i="1"/>
  <c r="AI1301" i="1"/>
  <c r="AE1301" i="1" s="1"/>
  <c r="W1301" i="1"/>
  <c r="AI1300" i="1"/>
  <c r="AE1300" i="1" s="1"/>
  <c r="V1300" i="1"/>
  <c r="W1300" i="1" s="1"/>
  <c r="AK1299" i="1"/>
  <c r="AJ1299" i="1"/>
  <c r="AI1299" i="1"/>
  <c r="AE1299" i="1" s="1"/>
  <c r="W1299" i="1"/>
  <c r="AI1298" i="1"/>
  <c r="AE1298" i="1" s="1"/>
  <c r="V1298" i="1"/>
  <c r="AJ1298" i="1" s="1"/>
  <c r="AI1297" i="1"/>
  <c r="AE1297" i="1" s="1"/>
  <c r="V1297" i="1"/>
  <c r="AK1297" i="1" s="1"/>
  <c r="AI1296" i="1"/>
  <c r="AE1296" i="1" s="1"/>
  <c r="V1296" i="1"/>
  <c r="AI1295" i="1"/>
  <c r="AE1295" i="1" s="1"/>
  <c r="V1295" i="1"/>
  <c r="AK1295" i="1" s="1"/>
  <c r="AK1294" i="1"/>
  <c r="AJ1294" i="1"/>
  <c r="AI1294" i="1"/>
  <c r="AE1294" i="1" s="1"/>
  <c r="W1294" i="1"/>
  <c r="AK1293" i="1"/>
  <c r="AJ1293" i="1"/>
  <c r="AI1293" i="1"/>
  <c r="AE1293" i="1" s="1"/>
  <c r="W1293" i="1"/>
  <c r="AI1292" i="1"/>
  <c r="AE1292" i="1" s="1"/>
  <c r="V1292" i="1"/>
  <c r="AK1292" i="1" s="1"/>
  <c r="AK1291" i="1"/>
  <c r="AJ1291" i="1"/>
  <c r="AI1291" i="1"/>
  <c r="AE1291" i="1" s="1"/>
  <c r="W1291" i="1"/>
  <c r="AK1290" i="1"/>
  <c r="AJ1290" i="1"/>
  <c r="AI1290" i="1"/>
  <c r="AE1290" i="1" s="1"/>
  <c r="W1290" i="1"/>
  <c r="AI1289" i="1"/>
  <c r="AE1289" i="1" s="1"/>
  <c r="V1289" i="1"/>
  <c r="W1289" i="1" s="1"/>
  <c r="AK1288" i="1"/>
  <c r="AJ1288" i="1"/>
  <c r="AI1288" i="1"/>
  <c r="AE1288" i="1" s="1"/>
  <c r="W1288" i="1"/>
  <c r="AK1287" i="1"/>
  <c r="AJ1287" i="1"/>
  <c r="AI1287" i="1"/>
  <c r="AE1287" i="1" s="1"/>
  <c r="W1287" i="1"/>
  <c r="AK1286" i="1"/>
  <c r="AJ1286" i="1"/>
  <c r="AI1286" i="1"/>
  <c r="AE1286" i="1" s="1"/>
  <c r="W1286" i="1"/>
  <c r="AI1285" i="1"/>
  <c r="AE1285" i="1" s="1"/>
  <c r="V1285" i="1"/>
  <c r="AK1284" i="1"/>
  <c r="AJ1284" i="1"/>
  <c r="AI1284" i="1"/>
  <c r="AE1284" i="1" s="1"/>
  <c r="W1284" i="1"/>
  <c r="AK1283" i="1"/>
  <c r="AJ1283" i="1"/>
  <c r="AI1283" i="1"/>
  <c r="AE1283" i="1" s="1"/>
  <c r="W1283" i="1"/>
  <c r="AK1282" i="1"/>
  <c r="AJ1282" i="1"/>
  <c r="AI1282" i="1"/>
  <c r="AE1282" i="1" s="1"/>
  <c r="W1282" i="1"/>
  <c r="AK1281" i="1"/>
  <c r="AJ1281" i="1"/>
  <c r="AI1281" i="1"/>
  <c r="AE1281" i="1" s="1"/>
  <c r="W1281" i="1"/>
  <c r="AK1280" i="1"/>
  <c r="AJ1280" i="1"/>
  <c r="AI1280" i="1"/>
  <c r="AE1280" i="1" s="1"/>
  <c r="W1280" i="1"/>
  <c r="AK1279" i="1"/>
  <c r="AJ1279" i="1"/>
  <c r="AI1279" i="1"/>
  <c r="AE1279" i="1" s="1"/>
  <c r="AK1278" i="1"/>
  <c r="AJ1278" i="1"/>
  <c r="AI1278" i="1"/>
  <c r="AE1278" i="1" s="1"/>
  <c r="W1278" i="1"/>
  <c r="AK1277" i="1"/>
  <c r="AJ1277" i="1"/>
  <c r="AI1277" i="1"/>
  <c r="AE1277" i="1" s="1"/>
  <c r="W1277" i="1"/>
  <c r="AK1276" i="1"/>
  <c r="AJ1276" i="1"/>
  <c r="AI1276" i="1"/>
  <c r="AE1276" i="1" s="1"/>
  <c r="W1276" i="1"/>
  <c r="AI1275" i="1"/>
  <c r="AE1275" i="1" s="1"/>
  <c r="V1275" i="1"/>
  <c r="AK1274" i="1"/>
  <c r="AJ1274" i="1"/>
  <c r="AI1274" i="1"/>
  <c r="AE1274" i="1" s="1"/>
  <c r="W1274" i="1"/>
  <c r="AK1273" i="1"/>
  <c r="AJ1273" i="1"/>
  <c r="AI1273" i="1"/>
  <c r="AE1273" i="1" s="1"/>
  <c r="W1273" i="1"/>
  <c r="AK1272" i="1"/>
  <c r="AJ1272" i="1"/>
  <c r="AI1272" i="1"/>
  <c r="AE1272" i="1" s="1"/>
  <c r="W1272" i="1"/>
  <c r="AI1271" i="1"/>
  <c r="AE1271" i="1" s="1"/>
  <c r="V1271" i="1"/>
  <c r="AK1270" i="1"/>
  <c r="AJ1270" i="1"/>
  <c r="AI1270" i="1"/>
  <c r="AE1270" i="1" s="1"/>
  <c r="W1270" i="1"/>
  <c r="AK1269" i="1"/>
  <c r="AJ1269" i="1"/>
  <c r="AI1269" i="1"/>
  <c r="AE1269" i="1" s="1"/>
  <c r="W1269" i="1"/>
  <c r="AK1268" i="1"/>
  <c r="AJ1268" i="1"/>
  <c r="AI1268" i="1"/>
  <c r="AE1268" i="1" s="1"/>
  <c r="W1268" i="1"/>
  <c r="AK1267" i="1"/>
  <c r="AJ1267" i="1"/>
  <c r="AI1267" i="1"/>
  <c r="AE1267" i="1" s="1"/>
  <c r="W1267" i="1"/>
  <c r="AK1266" i="1"/>
  <c r="AJ1266" i="1"/>
  <c r="AI1266" i="1"/>
  <c r="AE1266" i="1" s="1"/>
  <c r="W1266" i="1"/>
  <c r="AK1265" i="1"/>
  <c r="AJ1265" i="1"/>
  <c r="AI1265" i="1"/>
  <c r="AE1265" i="1" s="1"/>
  <c r="W1265" i="1"/>
  <c r="AK1264" i="1"/>
  <c r="AJ1264" i="1"/>
  <c r="AI1264" i="1"/>
  <c r="AE1264" i="1" s="1"/>
  <c r="W1264" i="1"/>
  <c r="AK1263" i="1"/>
  <c r="AJ1263" i="1"/>
  <c r="AI1263" i="1"/>
  <c r="AE1263" i="1" s="1"/>
  <c r="W1263" i="1"/>
  <c r="AK1262" i="1"/>
  <c r="AJ1262" i="1"/>
  <c r="AI1262" i="1"/>
  <c r="AE1262" i="1" s="1"/>
  <c r="W1262" i="1"/>
  <c r="AK1261" i="1"/>
  <c r="AJ1261" i="1"/>
  <c r="AI1261" i="1"/>
  <c r="AE1261" i="1" s="1"/>
  <c r="W1261" i="1"/>
  <c r="AK1260" i="1"/>
  <c r="AJ1260" i="1"/>
  <c r="AI1260" i="1"/>
  <c r="AE1260" i="1" s="1"/>
  <c r="W1260" i="1"/>
  <c r="AK1259" i="1"/>
  <c r="AJ1259" i="1"/>
  <c r="AI1259" i="1"/>
  <c r="AE1259" i="1" s="1"/>
  <c r="AI1258" i="1"/>
  <c r="AE1258" i="1" s="1"/>
  <c r="V1258" i="1"/>
  <c r="AK1257" i="1"/>
  <c r="AJ1257" i="1"/>
  <c r="AI1257" i="1"/>
  <c r="AE1257" i="1" s="1"/>
  <c r="W1257" i="1"/>
  <c r="AK1256" i="1"/>
  <c r="AJ1256" i="1"/>
  <c r="AI1256" i="1"/>
  <c r="AE1256" i="1" s="1"/>
  <c r="W1256" i="1"/>
  <c r="AK1255" i="1"/>
  <c r="AJ1255" i="1"/>
  <c r="AI1255" i="1"/>
  <c r="AE1255" i="1" s="1"/>
  <c r="W1255" i="1"/>
  <c r="AI1254" i="1"/>
  <c r="AE1254" i="1" s="1"/>
  <c r="V1254" i="1"/>
  <c r="W1254" i="1" s="1"/>
  <c r="AK1253" i="1"/>
  <c r="AJ1253" i="1"/>
  <c r="AI1253" i="1"/>
  <c r="AE1253" i="1" s="1"/>
  <c r="W1253" i="1"/>
  <c r="AK1252" i="1"/>
  <c r="AJ1252" i="1"/>
  <c r="AI1252" i="1"/>
  <c r="AE1252" i="1" s="1"/>
  <c r="W1252" i="1"/>
  <c r="AK1251" i="1"/>
  <c r="AJ1251" i="1"/>
  <c r="AI1251" i="1"/>
  <c r="AE1251" i="1" s="1"/>
  <c r="W1251" i="1"/>
  <c r="AK1250" i="1"/>
  <c r="AJ1250" i="1"/>
  <c r="AI1250" i="1"/>
  <c r="AE1250" i="1" s="1"/>
  <c r="W1250" i="1"/>
  <c r="AK1249" i="1"/>
  <c r="AJ1249" i="1"/>
  <c r="AI1249" i="1"/>
  <c r="AE1249" i="1" s="1"/>
  <c r="W1249" i="1"/>
  <c r="AK1248" i="1"/>
  <c r="AJ1248" i="1"/>
  <c r="AI1248" i="1"/>
  <c r="AE1248" i="1" s="1"/>
  <c r="W1248" i="1"/>
  <c r="AI1247" i="1"/>
  <c r="AE1247" i="1" s="1"/>
  <c r="V1247" i="1"/>
  <c r="W1247" i="1" s="1"/>
  <c r="AK1246" i="1"/>
  <c r="AJ1246" i="1"/>
  <c r="AI1246" i="1"/>
  <c r="AE1246" i="1" s="1"/>
  <c r="W1246" i="1"/>
  <c r="AI1245" i="1"/>
  <c r="AE1245" i="1" s="1"/>
  <c r="V1245" i="1"/>
  <c r="W1245" i="1" s="1"/>
  <c r="AI1244" i="1"/>
  <c r="AE1244" i="1" s="1"/>
  <c r="V1244" i="1"/>
  <c r="AK1243" i="1"/>
  <c r="AJ1243" i="1"/>
  <c r="AI1243" i="1"/>
  <c r="AE1243" i="1" s="1"/>
  <c r="W1243" i="1"/>
  <c r="AK1242" i="1"/>
  <c r="AJ1242" i="1"/>
  <c r="AI1242" i="1"/>
  <c r="AE1242" i="1" s="1"/>
  <c r="W1242" i="1"/>
  <c r="AK1241" i="1"/>
  <c r="AJ1241" i="1"/>
  <c r="AI1241" i="1"/>
  <c r="AE1241" i="1" s="1"/>
  <c r="W1241" i="1"/>
  <c r="AK1240" i="1"/>
  <c r="AJ1240" i="1"/>
  <c r="AI1240" i="1"/>
  <c r="AE1240" i="1" s="1"/>
  <c r="W1240" i="1"/>
  <c r="AI1239" i="1"/>
  <c r="AE1239" i="1" s="1"/>
  <c r="V1239" i="1"/>
  <c r="AI1238" i="1"/>
  <c r="AE1238" i="1" s="1"/>
  <c r="V1238" i="1"/>
  <c r="AI1237" i="1"/>
  <c r="AE1237" i="1" s="1"/>
  <c r="V1237" i="1"/>
  <c r="AI1236" i="1"/>
  <c r="AE1236" i="1" s="1"/>
  <c r="V1236" i="1"/>
  <c r="AI1235" i="1"/>
  <c r="AE1235" i="1" s="1"/>
  <c r="V1235" i="1"/>
  <c r="AJ1235" i="1" s="1"/>
  <c r="AK1234" i="1"/>
  <c r="AJ1234" i="1"/>
  <c r="AI1234" i="1"/>
  <c r="AE1234" i="1" s="1"/>
  <c r="W1234" i="1"/>
  <c r="AI1233" i="1"/>
  <c r="AE1233" i="1" s="1"/>
  <c r="V1233" i="1"/>
  <c r="W1233" i="1" s="1"/>
  <c r="AK1232" i="1"/>
  <c r="AJ1232" i="1"/>
  <c r="AI1232" i="1"/>
  <c r="AE1232" i="1" s="1"/>
  <c r="W1232" i="1"/>
  <c r="AK1231" i="1"/>
  <c r="AJ1231" i="1"/>
  <c r="AI1231" i="1"/>
  <c r="AE1231" i="1" s="1"/>
  <c r="W1231" i="1"/>
  <c r="AK1230" i="1"/>
  <c r="AJ1230" i="1"/>
  <c r="AI1230" i="1"/>
  <c r="AE1230" i="1" s="1"/>
  <c r="W1230" i="1"/>
  <c r="AI1229" i="1"/>
  <c r="AE1229" i="1" s="1"/>
  <c r="V1229" i="1"/>
  <c r="AK1229" i="1" s="1"/>
  <c r="AI1228" i="1"/>
  <c r="AE1228" i="1" s="1"/>
  <c r="V1228" i="1"/>
  <c r="AJ1228" i="1" s="1"/>
  <c r="AK1227" i="1"/>
  <c r="AJ1227" i="1"/>
  <c r="AI1227" i="1"/>
  <c r="AE1227" i="1" s="1"/>
  <c r="W1227" i="1"/>
  <c r="AK1226" i="1"/>
  <c r="AJ1226" i="1"/>
  <c r="AI1226" i="1"/>
  <c r="AE1226" i="1" s="1"/>
  <c r="W1226" i="1"/>
  <c r="AK1225" i="1"/>
  <c r="AJ1225" i="1"/>
  <c r="AI1225" i="1"/>
  <c r="AE1225" i="1" s="1"/>
  <c r="W1225" i="1"/>
  <c r="AK1224" i="1"/>
  <c r="AJ1224" i="1"/>
  <c r="AI1224" i="1"/>
  <c r="AE1224" i="1" s="1"/>
  <c r="W1224" i="1"/>
  <c r="AK1223" i="1"/>
  <c r="AJ1223" i="1"/>
  <c r="AI1223" i="1"/>
  <c r="AE1223" i="1" s="1"/>
  <c r="W1223" i="1"/>
  <c r="AK1222" i="1"/>
  <c r="AJ1222" i="1"/>
  <c r="AI1222" i="1"/>
  <c r="AE1222" i="1" s="1"/>
  <c r="W1222" i="1"/>
  <c r="AI1221" i="1"/>
  <c r="AE1221" i="1" s="1"/>
  <c r="V1221" i="1"/>
  <c r="AJ1221" i="1" s="1"/>
  <c r="AK1220" i="1"/>
  <c r="AJ1220" i="1"/>
  <c r="AI1220" i="1"/>
  <c r="AE1220" i="1" s="1"/>
  <c r="W1220" i="1"/>
  <c r="AK1219" i="1"/>
  <c r="AJ1219" i="1"/>
  <c r="AI1219" i="1"/>
  <c r="AE1219" i="1" s="1"/>
  <c r="W1219" i="1"/>
  <c r="AK1218" i="1"/>
  <c r="AJ1218" i="1"/>
  <c r="AI1218" i="1"/>
  <c r="AE1218" i="1" s="1"/>
  <c r="W1218" i="1"/>
  <c r="AK1217" i="1"/>
  <c r="AJ1217" i="1"/>
  <c r="AI1217" i="1"/>
  <c r="AE1217" i="1" s="1"/>
  <c r="AK1216" i="1"/>
  <c r="AJ1216" i="1"/>
  <c r="AI1216" i="1"/>
  <c r="AE1216" i="1" s="1"/>
  <c r="W1216" i="1"/>
  <c r="AK1215" i="1"/>
  <c r="AJ1215" i="1"/>
  <c r="AI1215" i="1"/>
  <c r="AE1215" i="1" s="1"/>
  <c r="W1215" i="1"/>
  <c r="AK1214" i="1"/>
  <c r="AJ1214" i="1"/>
  <c r="AI1214" i="1"/>
  <c r="AE1214" i="1" s="1"/>
  <c r="W1214" i="1"/>
  <c r="AI1213" i="1"/>
  <c r="AE1213" i="1" s="1"/>
  <c r="V1213" i="1"/>
  <c r="AK1213" i="1" s="1"/>
  <c r="AK1212" i="1"/>
  <c r="AJ1212" i="1"/>
  <c r="AI1212" i="1"/>
  <c r="AE1212" i="1" s="1"/>
  <c r="W1212" i="1"/>
  <c r="AK1211" i="1"/>
  <c r="AJ1211" i="1"/>
  <c r="AI1211" i="1"/>
  <c r="AE1211" i="1" s="1"/>
  <c r="W1211" i="1"/>
  <c r="AK1210" i="1"/>
  <c r="AJ1210" i="1"/>
  <c r="AI1210" i="1"/>
  <c r="AE1210" i="1" s="1"/>
  <c r="W1210" i="1"/>
  <c r="AK1209" i="1"/>
  <c r="AJ1209" i="1"/>
  <c r="AI1209" i="1"/>
  <c r="AE1209" i="1" s="1"/>
  <c r="W1209" i="1"/>
  <c r="AK1208" i="1"/>
  <c r="AJ1208" i="1"/>
  <c r="AI1208" i="1"/>
  <c r="AE1208" i="1" s="1"/>
  <c r="W1208" i="1"/>
  <c r="AK1207" i="1"/>
  <c r="AJ1207" i="1"/>
  <c r="AI1207" i="1"/>
  <c r="AE1207" i="1" s="1"/>
  <c r="W1207" i="1"/>
  <c r="AI1206" i="1"/>
  <c r="AE1206" i="1" s="1"/>
  <c r="V1206" i="1"/>
  <c r="AK1205" i="1"/>
  <c r="AJ1205" i="1"/>
  <c r="AI1205" i="1"/>
  <c r="AE1205" i="1" s="1"/>
  <c r="W1205" i="1"/>
  <c r="AI1204" i="1"/>
  <c r="AE1204" i="1" s="1"/>
  <c r="V1204" i="1"/>
  <c r="AI1203" i="1"/>
  <c r="AE1203" i="1" s="1"/>
  <c r="V1203" i="1"/>
  <c r="W1203" i="1" s="1"/>
  <c r="AK1202" i="1"/>
  <c r="AJ1202" i="1"/>
  <c r="AI1202" i="1"/>
  <c r="AE1202" i="1" s="1"/>
  <c r="W1202" i="1"/>
  <c r="AK1201" i="1"/>
  <c r="AJ1201" i="1"/>
  <c r="AI1201" i="1"/>
  <c r="AE1201" i="1" s="1"/>
  <c r="W1201" i="1"/>
  <c r="AK1200" i="1"/>
  <c r="AJ1200" i="1"/>
  <c r="AI1200" i="1"/>
  <c r="AE1200" i="1" s="1"/>
  <c r="W1200" i="1"/>
  <c r="AI1199" i="1"/>
  <c r="AE1199" i="1" s="1"/>
  <c r="V1199" i="1"/>
  <c r="AK1198" i="1"/>
  <c r="AJ1198" i="1"/>
  <c r="AI1198" i="1"/>
  <c r="AE1198" i="1" s="1"/>
  <c r="W1198" i="1"/>
  <c r="AK1197" i="1"/>
  <c r="AJ1197" i="1"/>
  <c r="AI1197" i="1"/>
  <c r="AE1197" i="1" s="1"/>
  <c r="W1197" i="1"/>
  <c r="AK1196" i="1"/>
  <c r="AJ1196" i="1"/>
  <c r="AI1196" i="1"/>
  <c r="AE1196" i="1" s="1"/>
  <c r="W1196" i="1"/>
  <c r="AK1195" i="1"/>
  <c r="AJ1195" i="1"/>
  <c r="AI1195" i="1"/>
  <c r="AE1195" i="1" s="1"/>
  <c r="W1195" i="1"/>
  <c r="AK1194" i="1"/>
  <c r="AJ1194" i="1"/>
  <c r="AI1194" i="1"/>
  <c r="AE1194" i="1" s="1"/>
  <c r="W1194" i="1"/>
  <c r="AK1193" i="1"/>
  <c r="AJ1193" i="1"/>
  <c r="AI1193" i="1"/>
  <c r="AE1193" i="1" s="1"/>
  <c r="W1193" i="1"/>
  <c r="AI1192" i="1"/>
  <c r="AE1192" i="1" s="1"/>
  <c r="V1192" i="1"/>
  <c r="AK1192" i="1" s="1"/>
  <c r="AI1191" i="1"/>
  <c r="AE1191" i="1" s="1"/>
  <c r="V1191" i="1"/>
  <c r="W1191" i="1" s="1"/>
  <c r="AK1190" i="1"/>
  <c r="AJ1190" i="1"/>
  <c r="AI1190" i="1"/>
  <c r="AE1190" i="1" s="1"/>
  <c r="W1190" i="1"/>
  <c r="AI1189" i="1"/>
  <c r="AE1189" i="1" s="1"/>
  <c r="V1189" i="1"/>
  <c r="AK1188" i="1"/>
  <c r="AJ1188" i="1"/>
  <c r="AI1188" i="1"/>
  <c r="AE1188" i="1" s="1"/>
  <c r="W1188" i="1"/>
  <c r="AI1187" i="1"/>
  <c r="AE1187" i="1" s="1"/>
  <c r="V1187" i="1"/>
  <c r="W1187" i="1" s="1"/>
  <c r="AI1186" i="1"/>
  <c r="AE1186" i="1" s="1"/>
  <c r="V1186" i="1"/>
  <c r="AK1185" i="1"/>
  <c r="AJ1185" i="1"/>
  <c r="AI1185" i="1"/>
  <c r="AE1185" i="1" s="1"/>
  <c r="W1185" i="1"/>
  <c r="AK1184" i="1"/>
  <c r="AJ1184" i="1"/>
  <c r="AI1184" i="1"/>
  <c r="AE1184" i="1" s="1"/>
  <c r="W1184" i="1"/>
  <c r="AI1183" i="1"/>
  <c r="AE1183" i="1" s="1"/>
  <c r="V1183" i="1"/>
  <c r="AJ1183" i="1" s="1"/>
  <c r="AK1182" i="1"/>
  <c r="AJ1182" i="1"/>
  <c r="AI1182" i="1"/>
  <c r="AE1182" i="1" s="1"/>
  <c r="W1182" i="1"/>
  <c r="AK1181" i="1"/>
  <c r="AJ1181" i="1"/>
  <c r="AI1181" i="1"/>
  <c r="AE1181" i="1" s="1"/>
  <c r="W1181" i="1"/>
  <c r="AK1180" i="1"/>
  <c r="AJ1180" i="1"/>
  <c r="AI1180" i="1"/>
  <c r="AE1180" i="1" s="1"/>
  <c r="W1180" i="1"/>
  <c r="AI1179" i="1"/>
  <c r="AE1179" i="1" s="1"/>
  <c r="V1179" i="1"/>
  <c r="AK1179" i="1" s="1"/>
  <c r="AI1178" i="1"/>
  <c r="AE1178" i="1" s="1"/>
  <c r="V1178" i="1"/>
  <c r="AJ1178" i="1" s="1"/>
  <c r="AK1177" i="1"/>
  <c r="AJ1177" i="1"/>
  <c r="AI1177" i="1"/>
  <c r="AE1177" i="1" s="1"/>
  <c r="W1177" i="1"/>
  <c r="AK1176" i="1"/>
  <c r="AJ1176" i="1"/>
  <c r="AI1176" i="1"/>
  <c r="AE1176" i="1" s="1"/>
  <c r="W1176" i="1"/>
  <c r="AI1175" i="1"/>
  <c r="AE1175" i="1" s="1"/>
  <c r="V1175" i="1"/>
  <c r="W1175" i="1" s="1"/>
  <c r="AI1174" i="1"/>
  <c r="AE1174" i="1" s="1"/>
  <c r="V1174" i="1"/>
  <c r="AI1173" i="1"/>
  <c r="AE1173" i="1" s="1"/>
  <c r="V1173" i="1"/>
  <c r="AK1172" i="1"/>
  <c r="AJ1172" i="1"/>
  <c r="AI1172" i="1"/>
  <c r="AE1172" i="1" s="1"/>
  <c r="W1172" i="1"/>
  <c r="AK1171" i="1"/>
  <c r="AJ1171" i="1"/>
  <c r="AI1171" i="1"/>
  <c r="AE1171" i="1" s="1"/>
  <c r="W1171" i="1"/>
  <c r="AI1170" i="1"/>
  <c r="AE1170" i="1" s="1"/>
  <c r="V1170" i="1"/>
  <c r="AI1169" i="1"/>
  <c r="AE1169" i="1" s="1"/>
  <c r="V1169" i="1"/>
  <c r="AK1169" i="1" s="1"/>
  <c r="AI1168" i="1"/>
  <c r="AE1168" i="1" s="1"/>
  <c r="V1168" i="1"/>
  <c r="AJ1168" i="1" s="1"/>
  <c r="AI1167" i="1"/>
  <c r="AE1167" i="1" s="1"/>
  <c r="V1167" i="1"/>
  <c r="AI1166" i="1"/>
  <c r="AE1166" i="1" s="1"/>
  <c r="V1166" i="1"/>
  <c r="AK1165" i="1"/>
  <c r="AJ1165" i="1"/>
  <c r="AI1165" i="1"/>
  <c r="AE1165" i="1" s="1"/>
  <c r="W1165" i="1"/>
  <c r="AK1164" i="1"/>
  <c r="AJ1164" i="1"/>
  <c r="AI1164" i="1"/>
  <c r="AE1164" i="1" s="1"/>
  <c r="W1164" i="1"/>
  <c r="AI1163" i="1"/>
  <c r="AE1163" i="1" s="1"/>
  <c r="V1163" i="1"/>
  <c r="AK1162" i="1"/>
  <c r="AJ1162" i="1"/>
  <c r="AI1162" i="1"/>
  <c r="AE1162" i="1" s="1"/>
  <c r="W1162" i="1"/>
  <c r="AI1161" i="1"/>
  <c r="AE1161" i="1" s="1"/>
  <c r="V1161" i="1"/>
  <c r="AK1160" i="1"/>
  <c r="AJ1160" i="1"/>
  <c r="AI1160" i="1"/>
  <c r="AE1160" i="1" s="1"/>
  <c r="W1160" i="1"/>
  <c r="AK1159" i="1"/>
  <c r="AJ1159" i="1"/>
  <c r="AI1159" i="1"/>
  <c r="AE1159" i="1" s="1"/>
  <c r="W1159" i="1"/>
  <c r="AK1158" i="1"/>
  <c r="AJ1158" i="1"/>
  <c r="AI1158" i="1"/>
  <c r="AE1158" i="1" s="1"/>
  <c r="AF1158" i="1"/>
  <c r="W1158" i="1"/>
  <c r="AK1157" i="1"/>
  <c r="AJ1157" i="1"/>
  <c r="AI1157" i="1"/>
  <c r="AE1157" i="1" s="1"/>
  <c r="W1157" i="1"/>
  <c r="AK1156" i="1"/>
  <c r="AJ1156" i="1"/>
  <c r="AI1156" i="1"/>
  <c r="AE1156" i="1" s="1"/>
  <c r="W1156" i="1"/>
  <c r="AI1155" i="1"/>
  <c r="AE1155" i="1" s="1"/>
  <c r="V1155" i="1"/>
  <c r="AK1154" i="1"/>
  <c r="AJ1154" i="1"/>
  <c r="AI1154" i="1"/>
  <c r="AE1154" i="1" s="1"/>
  <c r="W1154" i="1"/>
  <c r="AK1153" i="1"/>
  <c r="AJ1153" i="1"/>
  <c r="AI1153" i="1"/>
  <c r="AE1153" i="1" s="1"/>
  <c r="W1153" i="1"/>
  <c r="AK1152" i="1"/>
  <c r="AJ1152" i="1"/>
  <c r="AI1152" i="1"/>
  <c r="AE1152" i="1" s="1"/>
  <c r="W1152" i="1"/>
  <c r="AK1151" i="1"/>
  <c r="AJ1151" i="1"/>
  <c r="AI1151" i="1"/>
  <c r="AE1151" i="1" s="1"/>
  <c r="W1151" i="1"/>
  <c r="AK1150" i="1"/>
  <c r="AJ1150" i="1"/>
  <c r="AI1150" i="1"/>
  <c r="AE1150" i="1" s="1"/>
  <c r="W1150" i="1"/>
  <c r="AK1149" i="1"/>
  <c r="AJ1149" i="1"/>
  <c r="AI1149" i="1"/>
  <c r="AE1149" i="1" s="1"/>
  <c r="W1149" i="1"/>
  <c r="AK1148" i="1"/>
  <c r="AJ1148" i="1"/>
  <c r="AI1148" i="1"/>
  <c r="AE1148" i="1" s="1"/>
  <c r="W1148" i="1"/>
  <c r="AK1147" i="1"/>
  <c r="AJ1147" i="1"/>
  <c r="AI1147" i="1"/>
  <c r="AE1147" i="1" s="1"/>
  <c r="W1147" i="1"/>
  <c r="AK1146" i="1"/>
  <c r="AJ1146" i="1"/>
  <c r="AI1146" i="1"/>
  <c r="AE1146" i="1" s="1"/>
  <c r="W1146" i="1"/>
  <c r="AI1145" i="1"/>
  <c r="AE1145" i="1" s="1"/>
  <c r="V1145" i="1"/>
  <c r="W1145" i="1" s="1"/>
  <c r="AI1144" i="1"/>
  <c r="AE1144" i="1" s="1"/>
  <c r="V1144" i="1"/>
  <c r="AK1144" i="1" s="1"/>
  <c r="AI1143" i="1"/>
  <c r="AE1143" i="1" s="1"/>
  <c r="V1143" i="1"/>
  <c r="AI1142" i="1"/>
  <c r="AE1142" i="1" s="1"/>
  <c r="V1142" i="1"/>
  <c r="AI1141" i="1"/>
  <c r="AE1141" i="1" s="1"/>
  <c r="V1141" i="1"/>
  <c r="W1141" i="1" s="1"/>
  <c r="AI1140" i="1"/>
  <c r="AE1140" i="1" s="1"/>
  <c r="V1140" i="1"/>
  <c r="AJ1140" i="1" s="1"/>
  <c r="AK1139" i="1"/>
  <c r="AJ1139" i="1"/>
  <c r="AI1139" i="1"/>
  <c r="AE1139" i="1" s="1"/>
  <c r="W1139" i="1"/>
  <c r="AK1138" i="1"/>
  <c r="AJ1138" i="1"/>
  <c r="AI1138" i="1"/>
  <c r="AE1138" i="1" s="1"/>
  <c r="W1138" i="1"/>
  <c r="AK1137" i="1"/>
  <c r="AJ1137" i="1"/>
  <c r="AI1137" i="1"/>
  <c r="AE1137" i="1" s="1"/>
  <c r="W1137" i="1"/>
  <c r="AK1136" i="1"/>
  <c r="AJ1136" i="1"/>
  <c r="AI1136" i="1"/>
  <c r="AE1136" i="1" s="1"/>
  <c r="W1136" i="1"/>
  <c r="AI1135" i="1"/>
  <c r="AE1135" i="1" s="1"/>
  <c r="V1135" i="1"/>
  <c r="W1135" i="1" s="1"/>
  <c r="AK1134" i="1"/>
  <c r="AJ1134" i="1"/>
  <c r="AI1134" i="1"/>
  <c r="AE1134" i="1" s="1"/>
  <c r="W1134" i="1"/>
  <c r="AI1133" i="1"/>
  <c r="AE1133" i="1" s="1"/>
  <c r="V1133" i="1"/>
  <c r="W1133" i="1" s="1"/>
  <c r="AI1132" i="1"/>
  <c r="AE1132" i="1" s="1"/>
  <c r="V1132" i="1"/>
  <c r="AK1132" i="1" s="1"/>
  <c r="AK1131" i="1"/>
  <c r="AJ1131" i="1"/>
  <c r="AI1131" i="1"/>
  <c r="AE1131" i="1" s="1"/>
  <c r="AI1130" i="1"/>
  <c r="AE1130" i="1" s="1"/>
  <c r="V1130" i="1"/>
  <c r="AK1129" i="1"/>
  <c r="AJ1129" i="1"/>
  <c r="AI1129" i="1"/>
  <c r="AE1129" i="1" s="1"/>
  <c r="W1129" i="1"/>
  <c r="AK1128" i="1"/>
  <c r="AJ1128" i="1"/>
  <c r="AI1128" i="1"/>
  <c r="AE1128" i="1" s="1"/>
  <c r="W1128" i="1"/>
  <c r="AK1127" i="1"/>
  <c r="AJ1127" i="1"/>
  <c r="AI1127" i="1"/>
  <c r="AE1127" i="1" s="1"/>
  <c r="W1127" i="1"/>
  <c r="AK1126" i="1"/>
  <c r="AJ1126" i="1"/>
  <c r="AI1126" i="1"/>
  <c r="AE1126" i="1" s="1"/>
  <c r="W1126" i="1"/>
  <c r="AK1125" i="1"/>
  <c r="AJ1125" i="1"/>
  <c r="AI1125" i="1"/>
  <c r="AE1125" i="1" s="1"/>
  <c r="W1125" i="1"/>
  <c r="AK1124" i="1"/>
  <c r="AJ1124" i="1"/>
  <c r="AI1124" i="1"/>
  <c r="AE1124" i="1" s="1"/>
  <c r="W1124" i="1"/>
  <c r="AK1123" i="1"/>
  <c r="AJ1123" i="1"/>
  <c r="AI1123" i="1"/>
  <c r="AE1123" i="1" s="1"/>
  <c r="W1123" i="1"/>
  <c r="AK1120" i="1"/>
  <c r="AJ1120" i="1"/>
  <c r="AI1120" i="1"/>
  <c r="AE1120" i="1" s="1"/>
  <c r="W1120" i="1"/>
  <c r="AK1119" i="1"/>
  <c r="AJ1119" i="1"/>
  <c r="AI1119" i="1"/>
  <c r="AE1119" i="1" s="1"/>
  <c r="W1119" i="1"/>
  <c r="AK1118" i="1"/>
  <c r="AJ1118" i="1"/>
  <c r="AI1118" i="1"/>
  <c r="AE1118" i="1" s="1"/>
  <c r="W1118" i="1"/>
  <c r="AK1117" i="1"/>
  <c r="AJ1117" i="1"/>
  <c r="AI1117" i="1"/>
  <c r="AE1117" i="1" s="1"/>
  <c r="W1117" i="1"/>
  <c r="AK1116" i="1"/>
  <c r="AJ1116" i="1"/>
  <c r="AI1116" i="1"/>
  <c r="AE1116" i="1" s="1"/>
  <c r="W1116" i="1"/>
  <c r="AK1115" i="1"/>
  <c r="AJ1115" i="1"/>
  <c r="AI1115" i="1"/>
  <c r="AE1115" i="1" s="1"/>
  <c r="W1115" i="1"/>
  <c r="AI1114" i="1"/>
  <c r="AE1114" i="1" s="1"/>
  <c r="V1114" i="1"/>
  <c r="AK1113" i="1"/>
  <c r="AJ1113" i="1"/>
  <c r="AI1113" i="1"/>
  <c r="AE1113" i="1" s="1"/>
  <c r="W1113" i="1"/>
  <c r="AK1112" i="1"/>
  <c r="AJ1112" i="1"/>
  <c r="AI1112" i="1"/>
  <c r="AE1112" i="1" s="1"/>
  <c r="W1112" i="1"/>
  <c r="AK1111" i="1"/>
  <c r="AJ1111" i="1"/>
  <c r="AI1111" i="1"/>
  <c r="AE1111" i="1" s="1"/>
  <c r="W1111" i="1"/>
  <c r="AK1110" i="1"/>
  <c r="AJ1110" i="1"/>
  <c r="AI1110" i="1"/>
  <c r="AE1110" i="1" s="1"/>
  <c r="W1110" i="1"/>
  <c r="AK1109" i="1"/>
  <c r="AJ1109" i="1"/>
  <c r="AI1109" i="1"/>
  <c r="AE1109" i="1" s="1"/>
  <c r="W1109" i="1"/>
  <c r="AI1108" i="1"/>
  <c r="AE1108" i="1" s="1"/>
  <c r="V1108" i="1"/>
  <c r="AJ1108" i="1" s="1"/>
  <c r="AK1107" i="1"/>
  <c r="AJ1107" i="1"/>
  <c r="AI1107" i="1"/>
  <c r="AE1107" i="1" s="1"/>
  <c r="W1107" i="1"/>
  <c r="AK1106" i="1"/>
  <c r="AJ1106" i="1"/>
  <c r="AI1106" i="1"/>
  <c r="AE1106" i="1" s="1"/>
  <c r="W1106" i="1"/>
  <c r="AI1105" i="1"/>
  <c r="AE1105" i="1" s="1"/>
  <c r="V1105" i="1"/>
  <c r="AK1104" i="1"/>
  <c r="AJ1104" i="1"/>
  <c r="AI1104" i="1"/>
  <c r="AE1104" i="1" s="1"/>
  <c r="W1104" i="1"/>
  <c r="AK1103" i="1"/>
  <c r="AJ1103" i="1"/>
  <c r="AI1103" i="1"/>
  <c r="AE1103" i="1" s="1"/>
  <c r="W1103" i="1"/>
  <c r="AI1102" i="1"/>
  <c r="AE1102" i="1" s="1"/>
  <c r="V1102" i="1"/>
  <c r="W1102" i="1" s="1"/>
  <c r="AK1101" i="1"/>
  <c r="AJ1101" i="1"/>
  <c r="AI1101" i="1"/>
  <c r="AE1101" i="1" s="1"/>
  <c r="W1101" i="1"/>
  <c r="AI1100" i="1"/>
  <c r="AE1100" i="1" s="1"/>
  <c r="V1100" i="1"/>
  <c r="W1100" i="1" s="1"/>
  <c r="AI1099" i="1"/>
  <c r="AE1099" i="1" s="1"/>
  <c r="V1099" i="1"/>
  <c r="AK1098" i="1"/>
  <c r="AJ1098" i="1"/>
  <c r="AI1098" i="1"/>
  <c r="AE1098" i="1" s="1"/>
  <c r="W1098" i="1"/>
  <c r="AI1097" i="1"/>
  <c r="AE1097" i="1" s="1"/>
  <c r="V1097" i="1"/>
  <c r="AK1097" i="1" s="1"/>
  <c r="AI1096" i="1"/>
  <c r="AE1096" i="1" s="1"/>
  <c r="V1096" i="1"/>
  <c r="AK1095" i="1"/>
  <c r="AJ1095" i="1"/>
  <c r="AI1095" i="1"/>
  <c r="AE1095" i="1" s="1"/>
  <c r="W1095" i="1"/>
  <c r="AK1094" i="1"/>
  <c r="AJ1094" i="1"/>
  <c r="AI1094" i="1"/>
  <c r="AE1094" i="1" s="1"/>
  <c r="W1094" i="1"/>
  <c r="AI1093" i="1"/>
  <c r="AE1093" i="1" s="1"/>
  <c r="V1093" i="1"/>
  <c r="AK1092" i="1"/>
  <c r="AJ1092" i="1"/>
  <c r="AI1092" i="1"/>
  <c r="AE1092" i="1" s="1"/>
  <c r="W1092" i="1"/>
  <c r="AK1091" i="1"/>
  <c r="AJ1091" i="1"/>
  <c r="AI1091" i="1"/>
  <c r="AE1091" i="1" s="1"/>
  <c r="W1091" i="1"/>
  <c r="AK1090" i="1"/>
  <c r="AJ1090" i="1"/>
  <c r="AI1090" i="1"/>
  <c r="AE1090" i="1" s="1"/>
  <c r="W1090" i="1"/>
  <c r="AK1089" i="1"/>
  <c r="AJ1089" i="1"/>
  <c r="AI1089" i="1"/>
  <c r="AE1089" i="1" s="1"/>
  <c r="W1089" i="1"/>
  <c r="AK1088" i="1"/>
  <c r="AJ1088" i="1"/>
  <c r="AI1088" i="1"/>
  <c r="AE1088" i="1" s="1"/>
  <c r="W1088" i="1"/>
  <c r="AI1087" i="1"/>
  <c r="AE1087" i="1" s="1"/>
  <c r="V1087" i="1"/>
  <c r="AJ1087" i="1" s="1"/>
  <c r="AK1086" i="1"/>
  <c r="AJ1086" i="1"/>
  <c r="AI1086" i="1"/>
  <c r="AE1086" i="1" s="1"/>
  <c r="W1086" i="1"/>
  <c r="AK1085" i="1"/>
  <c r="AJ1085" i="1"/>
  <c r="AI1085" i="1"/>
  <c r="AE1085" i="1" s="1"/>
  <c r="W1085" i="1"/>
  <c r="AK1084" i="1"/>
  <c r="AJ1084" i="1"/>
  <c r="AI1084" i="1"/>
  <c r="AE1084" i="1" s="1"/>
  <c r="W1084" i="1"/>
  <c r="AK1083" i="1"/>
  <c r="AJ1083" i="1"/>
  <c r="AI1083" i="1"/>
  <c r="AE1083" i="1" s="1"/>
  <c r="W1083" i="1"/>
  <c r="AK1082" i="1"/>
  <c r="AJ1082" i="1"/>
  <c r="AI1082" i="1"/>
  <c r="AE1082" i="1" s="1"/>
  <c r="W1082" i="1"/>
  <c r="AK1081" i="1"/>
  <c r="AJ1081" i="1"/>
  <c r="AI1081" i="1"/>
  <c r="AE1081" i="1" s="1"/>
  <c r="W1081" i="1"/>
  <c r="AK1080" i="1"/>
  <c r="AJ1080" i="1"/>
  <c r="AI1080" i="1"/>
  <c r="AE1080" i="1" s="1"/>
  <c r="W1080" i="1"/>
  <c r="AK1079" i="1"/>
  <c r="AJ1079" i="1"/>
  <c r="AI1079" i="1"/>
  <c r="AE1079" i="1" s="1"/>
  <c r="W1079" i="1"/>
  <c r="AK1078" i="1"/>
  <c r="AJ1078" i="1"/>
  <c r="AI1078" i="1"/>
  <c r="AE1078" i="1" s="1"/>
  <c r="W1078" i="1"/>
  <c r="AI1077" i="1"/>
  <c r="AE1077" i="1" s="1"/>
  <c r="AK1076" i="1"/>
  <c r="AJ1076" i="1"/>
  <c r="AI1076" i="1"/>
  <c r="AE1076" i="1" s="1"/>
  <c r="W1076" i="1"/>
  <c r="AK1075" i="1"/>
  <c r="AJ1075" i="1"/>
  <c r="AI1075" i="1"/>
  <c r="AE1075" i="1" s="1"/>
  <c r="W1075" i="1"/>
  <c r="AK1074" i="1"/>
  <c r="AJ1074" i="1"/>
  <c r="AI1074" i="1"/>
  <c r="AE1074" i="1" s="1"/>
  <c r="W1074" i="1"/>
  <c r="AK1073" i="1"/>
  <c r="AJ1073" i="1"/>
  <c r="AI1073" i="1"/>
  <c r="AE1073" i="1" s="1"/>
  <c r="W1073" i="1"/>
  <c r="AK1072" i="1"/>
  <c r="AJ1072" i="1"/>
  <c r="AI1072" i="1"/>
  <c r="AE1072" i="1" s="1"/>
  <c r="W1072" i="1"/>
  <c r="AI1071" i="1"/>
  <c r="AE1071" i="1" s="1"/>
  <c r="V1071" i="1"/>
  <c r="W1071" i="1" s="1"/>
  <c r="AI1070" i="1"/>
  <c r="AE1070" i="1" s="1"/>
  <c r="V1070" i="1"/>
  <c r="AK1070" i="1" s="1"/>
  <c r="AK1069" i="1"/>
  <c r="AJ1069" i="1"/>
  <c r="AI1069" i="1"/>
  <c r="AE1069" i="1" s="1"/>
  <c r="W1069" i="1"/>
  <c r="AK1068" i="1"/>
  <c r="AJ1068" i="1"/>
  <c r="AI1068" i="1"/>
  <c r="AE1068" i="1" s="1"/>
  <c r="W1068" i="1"/>
  <c r="AK1067" i="1"/>
  <c r="AJ1067" i="1"/>
  <c r="AI1067" i="1"/>
  <c r="AE1067" i="1" s="1"/>
  <c r="W1067" i="1"/>
  <c r="AK1066" i="1"/>
  <c r="AJ1066" i="1"/>
  <c r="AI1066" i="1"/>
  <c r="AE1066" i="1" s="1"/>
  <c r="W1066" i="1"/>
  <c r="AK1065" i="1"/>
  <c r="AJ1065" i="1"/>
  <c r="AI1065" i="1"/>
  <c r="AE1065" i="1" s="1"/>
  <c r="W1065" i="1"/>
  <c r="AK1064" i="1"/>
  <c r="AJ1064" i="1"/>
  <c r="AI1064" i="1"/>
  <c r="AE1064" i="1" s="1"/>
  <c r="W1064" i="1"/>
  <c r="AK1063" i="1"/>
  <c r="AJ1063" i="1"/>
  <c r="AI1063" i="1"/>
  <c r="AE1063" i="1" s="1"/>
  <c r="W1063" i="1"/>
  <c r="AI1062" i="1"/>
  <c r="AE1062" i="1" s="1"/>
  <c r="V1062" i="1"/>
  <c r="AK1061" i="1"/>
  <c r="AJ1061" i="1"/>
  <c r="AI1061" i="1"/>
  <c r="AE1061" i="1" s="1"/>
  <c r="W1061" i="1"/>
  <c r="AK1060" i="1"/>
  <c r="AJ1060" i="1"/>
  <c r="AI1060" i="1"/>
  <c r="AE1060" i="1" s="1"/>
  <c r="W1060" i="1"/>
  <c r="AK1059" i="1"/>
  <c r="AJ1059" i="1"/>
  <c r="AI1059" i="1"/>
  <c r="AE1059" i="1" s="1"/>
  <c r="W1059" i="1"/>
  <c r="AI1058" i="1"/>
  <c r="AE1058" i="1" s="1"/>
  <c r="V1058" i="1"/>
  <c r="AK1058" i="1" s="1"/>
  <c r="AK1057" i="1"/>
  <c r="AJ1057" i="1"/>
  <c r="AI1057" i="1"/>
  <c r="AE1057" i="1" s="1"/>
  <c r="AI1056" i="1"/>
  <c r="AE1056" i="1" s="1"/>
  <c r="V1056" i="1"/>
  <c r="W1056" i="1" s="1"/>
  <c r="AI1055" i="1"/>
  <c r="AE1055" i="1" s="1"/>
  <c r="V1055" i="1"/>
  <c r="W1055" i="1" s="1"/>
  <c r="AK1054" i="1"/>
  <c r="AJ1054" i="1"/>
  <c r="AI1054" i="1"/>
  <c r="AE1054" i="1" s="1"/>
  <c r="W1054" i="1"/>
  <c r="AK1053" i="1"/>
  <c r="AJ1053" i="1"/>
  <c r="AI1053" i="1"/>
  <c r="AE1053" i="1" s="1"/>
  <c r="W1053" i="1"/>
  <c r="AK1052" i="1"/>
  <c r="AJ1052" i="1"/>
  <c r="AI1052" i="1"/>
  <c r="AE1052" i="1" s="1"/>
  <c r="W1052" i="1"/>
  <c r="AK1051" i="1"/>
  <c r="AJ1051" i="1"/>
  <c r="AI1051" i="1"/>
  <c r="AE1051" i="1" s="1"/>
  <c r="W1051" i="1"/>
  <c r="AK1050" i="1"/>
  <c r="AJ1050" i="1"/>
  <c r="AI1050" i="1"/>
  <c r="AE1050" i="1" s="1"/>
  <c r="W1050" i="1"/>
  <c r="AK1049" i="1"/>
  <c r="AJ1049" i="1"/>
  <c r="AI1049" i="1"/>
  <c r="AE1049" i="1" s="1"/>
  <c r="W1049" i="1"/>
  <c r="AK1048" i="1"/>
  <c r="AJ1048" i="1"/>
  <c r="AI1048" i="1"/>
  <c r="AE1048" i="1" s="1"/>
  <c r="W1048" i="1"/>
  <c r="AK1047" i="1"/>
  <c r="AJ1047" i="1"/>
  <c r="AI1047" i="1"/>
  <c r="AE1047" i="1" s="1"/>
  <c r="W1047" i="1"/>
  <c r="AK1046" i="1"/>
  <c r="AJ1046" i="1"/>
  <c r="AI1046" i="1"/>
  <c r="AE1046" i="1" s="1"/>
  <c r="W1046" i="1"/>
  <c r="AK1045" i="1"/>
  <c r="AJ1045" i="1"/>
  <c r="AI1045" i="1"/>
  <c r="AE1045" i="1" s="1"/>
  <c r="W1045" i="1"/>
  <c r="AK1044" i="1"/>
  <c r="AJ1044" i="1"/>
  <c r="AI1044" i="1"/>
  <c r="AE1044" i="1" s="1"/>
  <c r="W1044" i="1"/>
  <c r="AK1043" i="1"/>
  <c r="AJ1043" i="1"/>
  <c r="AI1043" i="1"/>
  <c r="AE1043" i="1" s="1"/>
  <c r="W1043" i="1"/>
  <c r="AI1042" i="1"/>
  <c r="AE1042" i="1" s="1"/>
  <c r="V1042" i="1"/>
  <c r="AK1041" i="1"/>
  <c r="AJ1041" i="1"/>
  <c r="AI1041" i="1"/>
  <c r="AE1041" i="1" s="1"/>
  <c r="W1041" i="1"/>
  <c r="AK1040" i="1"/>
  <c r="AJ1040" i="1"/>
  <c r="AI1040" i="1"/>
  <c r="AE1040" i="1" s="1"/>
  <c r="W1040" i="1"/>
  <c r="AK1039" i="1"/>
  <c r="AJ1039" i="1"/>
  <c r="AI1039" i="1"/>
  <c r="AE1039" i="1" s="1"/>
  <c r="W1039" i="1"/>
  <c r="AK1038" i="1"/>
  <c r="AJ1038" i="1"/>
  <c r="AI1038" i="1"/>
  <c r="AE1038" i="1" s="1"/>
  <c r="W1038" i="1"/>
  <c r="AK1037" i="1"/>
  <c r="AJ1037" i="1"/>
  <c r="AI1037" i="1"/>
  <c r="AE1037" i="1" s="1"/>
  <c r="W1037" i="1"/>
  <c r="AI1036" i="1"/>
  <c r="AE1036" i="1" s="1"/>
  <c r="V1036" i="1"/>
  <c r="AK1035" i="1"/>
  <c r="AJ1035" i="1"/>
  <c r="AI1035" i="1"/>
  <c r="AE1035" i="1" s="1"/>
  <c r="W1035" i="1"/>
  <c r="AK1034" i="1"/>
  <c r="AJ1034" i="1"/>
  <c r="AI1034" i="1"/>
  <c r="AE1034" i="1" s="1"/>
  <c r="W1034" i="1"/>
  <c r="AK1033" i="1"/>
  <c r="AJ1033" i="1"/>
  <c r="AI1033" i="1"/>
  <c r="AE1033" i="1" s="1"/>
  <c r="W1033" i="1"/>
  <c r="AK1032" i="1"/>
  <c r="AJ1032" i="1"/>
  <c r="AI1032" i="1"/>
  <c r="AE1032" i="1" s="1"/>
  <c r="W1032" i="1"/>
  <c r="AI1031" i="1"/>
  <c r="AE1031" i="1" s="1"/>
  <c r="V1031" i="1"/>
  <c r="AI1030" i="1"/>
  <c r="AE1030" i="1" s="1"/>
  <c r="AK1029" i="1"/>
  <c r="AJ1029" i="1"/>
  <c r="AI1029" i="1"/>
  <c r="AE1029" i="1" s="1"/>
  <c r="W1029" i="1"/>
  <c r="AK1028" i="1"/>
  <c r="AJ1028" i="1"/>
  <c r="AI1028" i="1"/>
  <c r="AE1028" i="1" s="1"/>
  <c r="W1028" i="1"/>
  <c r="AI1027" i="1"/>
  <c r="AE1027" i="1" s="1"/>
  <c r="V1027" i="1"/>
  <c r="W1027" i="1" s="1"/>
  <c r="AI1026" i="1"/>
  <c r="AE1026" i="1" s="1"/>
  <c r="V1026" i="1"/>
  <c r="AI1025" i="1"/>
  <c r="AE1025" i="1" s="1"/>
  <c r="V1025" i="1"/>
  <c r="AK1025" i="1" s="1"/>
  <c r="AK1024" i="1"/>
  <c r="AJ1024" i="1"/>
  <c r="AI1024" i="1"/>
  <c r="AE1024" i="1" s="1"/>
  <c r="W1024" i="1"/>
  <c r="AK1023" i="1"/>
  <c r="AJ1023" i="1"/>
  <c r="AI1023" i="1"/>
  <c r="AE1023" i="1" s="1"/>
  <c r="W1023" i="1"/>
  <c r="AI1022" i="1"/>
  <c r="AE1022" i="1" s="1"/>
  <c r="V1022" i="1"/>
  <c r="AJ1022" i="1" s="1"/>
  <c r="AK1021" i="1"/>
  <c r="AJ1021" i="1"/>
  <c r="AI1021" i="1"/>
  <c r="AE1021" i="1" s="1"/>
  <c r="W1021" i="1"/>
  <c r="AK1020" i="1"/>
  <c r="AJ1020" i="1"/>
  <c r="AI1020" i="1"/>
  <c r="AE1020" i="1" s="1"/>
  <c r="W1020" i="1"/>
  <c r="AI1019" i="1"/>
  <c r="AE1019" i="1" s="1"/>
  <c r="V1019" i="1"/>
  <c r="AK1018" i="1"/>
  <c r="AJ1018" i="1"/>
  <c r="AI1018" i="1"/>
  <c r="AE1018" i="1" s="1"/>
  <c r="W1018" i="1"/>
  <c r="AK1017" i="1"/>
  <c r="AJ1017" i="1"/>
  <c r="AI1017" i="1"/>
  <c r="AE1017" i="1" s="1"/>
  <c r="W1017" i="1"/>
  <c r="AK1016" i="1"/>
  <c r="AJ1016" i="1"/>
  <c r="AI1016" i="1"/>
  <c r="AE1016" i="1" s="1"/>
  <c r="W1016" i="1"/>
  <c r="AK1015" i="1"/>
  <c r="AJ1015" i="1"/>
  <c r="AI1015" i="1"/>
  <c r="AE1015" i="1" s="1"/>
  <c r="W1015" i="1"/>
  <c r="AK1014" i="1"/>
  <c r="AJ1014" i="1"/>
  <c r="AI1014" i="1"/>
  <c r="AE1014" i="1" s="1"/>
  <c r="AF1014" i="1"/>
  <c r="W1014" i="1"/>
  <c r="AK1013" i="1"/>
  <c r="AJ1013" i="1"/>
  <c r="AI1013" i="1"/>
  <c r="AE1013" i="1" s="1"/>
  <c r="W1013" i="1"/>
  <c r="AK1012" i="1"/>
  <c r="AJ1012" i="1"/>
  <c r="AI1012" i="1"/>
  <c r="AE1012" i="1" s="1"/>
  <c r="W1012" i="1"/>
  <c r="AI1011" i="1"/>
  <c r="AE1011" i="1" s="1"/>
  <c r="V1011" i="1"/>
  <c r="W1011" i="1" s="1"/>
  <c r="AK1010" i="1"/>
  <c r="AJ1010" i="1"/>
  <c r="AI1010" i="1"/>
  <c r="AE1010" i="1" s="1"/>
  <c r="W1010" i="1"/>
  <c r="AK1009" i="1"/>
  <c r="AJ1009" i="1"/>
  <c r="AI1009" i="1"/>
  <c r="AE1009" i="1" s="1"/>
  <c r="W1009" i="1"/>
  <c r="AI1008" i="1"/>
  <c r="AE1008" i="1" s="1"/>
  <c r="V1008" i="1"/>
  <c r="W1008" i="1" s="1"/>
  <c r="AI1007" i="1"/>
  <c r="AE1007" i="1" s="1"/>
  <c r="V1007" i="1"/>
  <c r="AK1006" i="1"/>
  <c r="AJ1006" i="1"/>
  <c r="AI1006" i="1"/>
  <c r="AE1006" i="1" s="1"/>
  <c r="W1006" i="1"/>
  <c r="AI1005" i="1"/>
  <c r="AE1005" i="1" s="1"/>
  <c r="V1005" i="1"/>
  <c r="AI1004" i="1"/>
  <c r="AE1004" i="1" s="1"/>
  <c r="V1004" i="1"/>
  <c r="AK1003" i="1"/>
  <c r="AJ1003" i="1"/>
  <c r="AI1003" i="1"/>
  <c r="AE1003" i="1" s="1"/>
  <c r="W1003" i="1"/>
  <c r="AK1002" i="1"/>
  <c r="AJ1002" i="1"/>
  <c r="AI1002" i="1"/>
  <c r="AE1002" i="1" s="1"/>
  <c r="W1002" i="1"/>
  <c r="AK1001" i="1"/>
  <c r="AJ1001" i="1"/>
  <c r="AI1001" i="1"/>
  <c r="AE1001" i="1" s="1"/>
  <c r="W1001" i="1"/>
  <c r="AI1000" i="1"/>
  <c r="AE1000" i="1" s="1"/>
  <c r="V1000" i="1"/>
  <c r="W1000" i="1" s="1"/>
  <c r="AK999" i="1"/>
  <c r="AJ999" i="1"/>
  <c r="AI999" i="1"/>
  <c r="AE999" i="1" s="1"/>
  <c r="W999" i="1"/>
  <c r="AK998" i="1"/>
  <c r="AJ998" i="1"/>
  <c r="AI998" i="1"/>
  <c r="AE998" i="1" s="1"/>
  <c r="W998" i="1"/>
  <c r="AK997" i="1"/>
  <c r="AJ997" i="1"/>
  <c r="AI997" i="1"/>
  <c r="AE997" i="1" s="1"/>
  <c r="W997" i="1"/>
  <c r="AI996" i="1"/>
  <c r="AE996" i="1" s="1"/>
  <c r="V996" i="1"/>
  <c r="AI995" i="1"/>
  <c r="AE995" i="1" s="1"/>
  <c r="V995" i="1"/>
  <c r="AJ995" i="1" s="1"/>
  <c r="AK994" i="1"/>
  <c r="AJ994" i="1"/>
  <c r="AI994" i="1"/>
  <c r="AE994" i="1" s="1"/>
  <c r="W994" i="1"/>
  <c r="AK993" i="1"/>
  <c r="AJ993" i="1"/>
  <c r="AI993" i="1"/>
  <c r="AE993" i="1" s="1"/>
  <c r="W993" i="1"/>
  <c r="AI992" i="1"/>
  <c r="AE992" i="1" s="1"/>
  <c r="V992" i="1"/>
  <c r="AK992" i="1" s="1"/>
  <c r="AK991" i="1"/>
  <c r="AJ991" i="1"/>
  <c r="AI991" i="1"/>
  <c r="AE991" i="1" s="1"/>
  <c r="W991" i="1"/>
  <c r="AK990" i="1"/>
  <c r="AJ990" i="1"/>
  <c r="AI990" i="1"/>
  <c r="AE990" i="1" s="1"/>
  <c r="W990" i="1"/>
  <c r="AK989" i="1"/>
  <c r="AJ989" i="1"/>
  <c r="AI989" i="1"/>
  <c r="AE989" i="1" s="1"/>
  <c r="W989" i="1"/>
  <c r="AK988" i="1"/>
  <c r="AJ988" i="1"/>
  <c r="AI988" i="1"/>
  <c r="AE988" i="1" s="1"/>
  <c r="W988" i="1"/>
  <c r="AK987" i="1"/>
  <c r="AJ987" i="1"/>
  <c r="AI987" i="1"/>
  <c r="AE987" i="1" s="1"/>
  <c r="AK986" i="1"/>
  <c r="AJ986" i="1"/>
  <c r="AI986" i="1"/>
  <c r="AE986" i="1" s="1"/>
  <c r="W986" i="1"/>
  <c r="AK985" i="1"/>
  <c r="AJ985" i="1"/>
  <c r="AI985" i="1"/>
  <c r="AE985" i="1" s="1"/>
  <c r="W985" i="1"/>
  <c r="AK984" i="1"/>
  <c r="AJ984" i="1"/>
  <c r="AI984" i="1"/>
  <c r="AE984" i="1" s="1"/>
  <c r="AK983" i="1"/>
  <c r="AJ983" i="1"/>
  <c r="AI983" i="1"/>
  <c r="AE983" i="1" s="1"/>
  <c r="W983" i="1"/>
  <c r="AK982" i="1"/>
  <c r="AJ982" i="1"/>
  <c r="AI982" i="1"/>
  <c r="AE982" i="1" s="1"/>
  <c r="W982" i="1"/>
  <c r="AK981" i="1"/>
  <c r="AJ981" i="1"/>
  <c r="AI981" i="1"/>
  <c r="AE981" i="1" s="1"/>
  <c r="W981" i="1"/>
  <c r="AK980" i="1"/>
  <c r="AJ980" i="1"/>
  <c r="AI980" i="1"/>
  <c r="AE980" i="1" s="1"/>
  <c r="W980" i="1"/>
  <c r="AK979" i="1"/>
  <c r="AJ979" i="1"/>
  <c r="AI979" i="1"/>
  <c r="AE979" i="1" s="1"/>
  <c r="W979" i="1"/>
  <c r="AK978" i="1"/>
  <c r="AJ978" i="1"/>
  <c r="AI978" i="1"/>
  <c r="AE978" i="1" s="1"/>
  <c r="W978" i="1"/>
  <c r="AK977" i="1"/>
  <c r="AJ977" i="1"/>
  <c r="AI977" i="1"/>
  <c r="AE977" i="1" s="1"/>
  <c r="W977" i="1"/>
  <c r="AI976" i="1"/>
  <c r="AE976" i="1" s="1"/>
  <c r="V976" i="1"/>
  <c r="AJ976" i="1" s="1"/>
  <c r="AI975" i="1"/>
  <c r="AE975" i="1" s="1"/>
  <c r="V975" i="1"/>
  <c r="AK975" i="1" s="1"/>
  <c r="AK974" i="1"/>
  <c r="AJ974" i="1"/>
  <c r="AI974" i="1"/>
  <c r="AE974" i="1" s="1"/>
  <c r="W974" i="1"/>
  <c r="AI973" i="1"/>
  <c r="AE973" i="1" s="1"/>
  <c r="V973" i="1"/>
  <c r="AI972" i="1"/>
  <c r="AE972" i="1" s="1"/>
  <c r="V972" i="1"/>
  <c r="AK971" i="1"/>
  <c r="AJ971" i="1"/>
  <c r="AI971" i="1"/>
  <c r="AE971" i="1" s="1"/>
  <c r="W971" i="1"/>
  <c r="AK970" i="1"/>
  <c r="AJ970" i="1"/>
  <c r="AI970" i="1"/>
  <c r="AE970" i="1" s="1"/>
  <c r="W970" i="1"/>
  <c r="AK969" i="1"/>
  <c r="AJ969" i="1"/>
  <c r="AI969" i="1"/>
  <c r="AE969" i="1" s="1"/>
  <c r="W969" i="1"/>
  <c r="AK968" i="1"/>
  <c r="AJ968" i="1"/>
  <c r="AI968" i="1"/>
  <c r="AE968" i="1" s="1"/>
  <c r="W968" i="1"/>
  <c r="AK967" i="1"/>
  <c r="AJ967" i="1"/>
  <c r="AI967" i="1"/>
  <c r="AE967" i="1" s="1"/>
  <c r="W967" i="1"/>
  <c r="AK966" i="1"/>
  <c r="AJ966" i="1"/>
  <c r="AI966" i="1"/>
  <c r="AE966" i="1" s="1"/>
  <c r="W966" i="1"/>
  <c r="AK965" i="1"/>
  <c r="AJ965" i="1"/>
  <c r="AI965" i="1"/>
  <c r="AE965" i="1" s="1"/>
  <c r="W965" i="1"/>
  <c r="AK964" i="1"/>
  <c r="AJ964" i="1"/>
  <c r="AI964" i="1"/>
  <c r="AE964" i="1" s="1"/>
  <c r="W964" i="1"/>
  <c r="AI963" i="1"/>
  <c r="AE963" i="1" s="1"/>
  <c r="V963" i="1"/>
  <c r="AK963" i="1" s="1"/>
  <c r="AK962" i="1"/>
  <c r="AJ962" i="1"/>
  <c r="AI962" i="1"/>
  <c r="AE962" i="1" s="1"/>
  <c r="AI961" i="1"/>
  <c r="AE961" i="1" s="1"/>
  <c r="V961" i="1"/>
  <c r="W961" i="1" s="1"/>
  <c r="AI960" i="1"/>
  <c r="AE960" i="1" s="1"/>
  <c r="V960" i="1"/>
  <c r="AK959" i="1"/>
  <c r="AJ959" i="1"/>
  <c r="AI959" i="1"/>
  <c r="AE959" i="1" s="1"/>
  <c r="W959" i="1"/>
  <c r="AK958" i="1"/>
  <c r="AJ958" i="1"/>
  <c r="AI958" i="1"/>
  <c r="AE958" i="1" s="1"/>
  <c r="W958" i="1"/>
  <c r="AI957" i="1"/>
  <c r="AE957" i="1" s="1"/>
  <c r="V957" i="1"/>
  <c r="W957" i="1" s="1"/>
  <c r="AK956" i="1"/>
  <c r="AJ956" i="1"/>
  <c r="AI956" i="1"/>
  <c r="AE956" i="1" s="1"/>
  <c r="W956" i="1"/>
  <c r="AI955" i="1"/>
  <c r="AE955" i="1" s="1"/>
  <c r="V955" i="1"/>
  <c r="AI954" i="1"/>
  <c r="AE954" i="1" s="1"/>
  <c r="V954" i="1"/>
  <c r="AK954" i="1" s="1"/>
  <c r="AI953" i="1"/>
  <c r="AE953" i="1" s="1"/>
  <c r="V953" i="1"/>
  <c r="AK953" i="1" s="1"/>
  <c r="AI952" i="1"/>
  <c r="AE952" i="1" s="1"/>
  <c r="V952" i="1"/>
  <c r="AJ952" i="1" s="1"/>
  <c r="AK951" i="1"/>
  <c r="AJ951" i="1"/>
  <c r="AI951" i="1"/>
  <c r="AE951" i="1" s="1"/>
  <c r="W951" i="1"/>
  <c r="AK950" i="1"/>
  <c r="AJ950" i="1"/>
  <c r="AI950" i="1"/>
  <c r="AE950" i="1" s="1"/>
  <c r="W950" i="1"/>
  <c r="AI949" i="1"/>
  <c r="AE949" i="1" s="1"/>
  <c r="V949" i="1"/>
  <c r="AI948" i="1"/>
  <c r="AE948" i="1" s="1"/>
  <c r="V948" i="1"/>
  <c r="W948" i="1" s="1"/>
  <c r="AK947" i="1"/>
  <c r="AJ947" i="1"/>
  <c r="AI947" i="1"/>
  <c r="AE947" i="1" s="1"/>
  <c r="W947" i="1"/>
  <c r="AK946" i="1"/>
  <c r="AJ946" i="1"/>
  <c r="AI946" i="1"/>
  <c r="AE946" i="1" s="1"/>
  <c r="W946" i="1"/>
  <c r="AK945" i="1"/>
  <c r="AJ945" i="1"/>
  <c r="AI945" i="1"/>
  <c r="AE945" i="1" s="1"/>
  <c r="W945" i="1"/>
  <c r="AK944" i="1"/>
  <c r="AJ944" i="1"/>
  <c r="AI944" i="1"/>
  <c r="AE944" i="1" s="1"/>
  <c r="W944" i="1"/>
  <c r="AK943" i="1"/>
  <c r="AJ943" i="1"/>
  <c r="AI943" i="1"/>
  <c r="AE943" i="1" s="1"/>
  <c r="W943" i="1"/>
  <c r="AK942" i="1"/>
  <c r="AJ942" i="1"/>
  <c r="AI942" i="1"/>
  <c r="AE942" i="1" s="1"/>
  <c r="W942" i="1"/>
  <c r="AK941" i="1"/>
  <c r="AJ941" i="1"/>
  <c r="AI941" i="1"/>
  <c r="AE941" i="1" s="1"/>
  <c r="W941" i="1"/>
  <c r="AK940" i="1"/>
  <c r="AJ940" i="1"/>
  <c r="AI940" i="1"/>
  <c r="AE940" i="1" s="1"/>
  <c r="W940" i="1"/>
  <c r="AK939" i="1"/>
  <c r="AJ939" i="1"/>
  <c r="AI939" i="1"/>
  <c r="AE939" i="1" s="1"/>
  <c r="W939" i="1"/>
  <c r="AI938" i="1"/>
  <c r="AE938" i="1" s="1"/>
  <c r="AI937" i="1"/>
  <c r="AE937" i="1" s="1"/>
  <c r="V937" i="1"/>
  <c r="AK937" i="1" s="1"/>
  <c r="T937" i="1"/>
  <c r="U937" i="1" s="1"/>
  <c r="AI936" i="1"/>
  <c r="AE936" i="1" s="1"/>
  <c r="V936" i="1"/>
  <c r="AJ936" i="1" s="1"/>
  <c r="T936" i="1"/>
  <c r="U936" i="1" s="1"/>
  <c r="AI935" i="1"/>
  <c r="AE935" i="1" s="1"/>
  <c r="V935" i="1"/>
  <c r="AK935" i="1" s="1"/>
  <c r="T935" i="1"/>
  <c r="U935" i="1" s="1"/>
  <c r="AK934" i="1"/>
  <c r="AJ934" i="1"/>
  <c r="AI934" i="1"/>
  <c r="AE934" i="1" s="1"/>
  <c r="W934" i="1"/>
  <c r="AK933" i="1"/>
  <c r="AJ933" i="1"/>
  <c r="AI933" i="1"/>
  <c r="AE933" i="1" s="1"/>
  <c r="W933" i="1"/>
  <c r="AK932" i="1"/>
  <c r="AJ932" i="1"/>
  <c r="AI932" i="1"/>
  <c r="AE932" i="1" s="1"/>
  <c r="W932" i="1"/>
  <c r="AK931" i="1"/>
  <c r="AJ931" i="1"/>
  <c r="AI931" i="1"/>
  <c r="AE931" i="1" s="1"/>
  <c r="W931" i="1"/>
  <c r="AK930" i="1"/>
  <c r="AJ930" i="1"/>
  <c r="AI930" i="1"/>
  <c r="AE930" i="1" s="1"/>
  <c r="W930" i="1"/>
  <c r="AK929" i="1"/>
  <c r="AJ929" i="1"/>
  <c r="AI929" i="1"/>
  <c r="AE929" i="1" s="1"/>
  <c r="W929" i="1"/>
  <c r="AK928" i="1"/>
  <c r="AJ928" i="1"/>
  <c r="AI928" i="1"/>
  <c r="AE928" i="1" s="1"/>
  <c r="W928" i="1"/>
  <c r="AK927" i="1"/>
  <c r="AJ927" i="1"/>
  <c r="AI927" i="1"/>
  <c r="AE927" i="1" s="1"/>
  <c r="W927" i="1"/>
  <c r="AK926" i="1"/>
  <c r="AJ926" i="1"/>
  <c r="AI926" i="1"/>
  <c r="AE926" i="1" s="1"/>
  <c r="W926" i="1"/>
  <c r="AI925" i="1"/>
  <c r="AE925" i="1" s="1"/>
  <c r="V925" i="1"/>
  <c r="AK925" i="1" s="1"/>
  <c r="T925" i="1"/>
  <c r="U925" i="1" s="1"/>
  <c r="AK924" i="1"/>
  <c r="AJ924" i="1"/>
  <c r="AI924" i="1"/>
  <c r="AE924" i="1" s="1"/>
  <c r="W924" i="1"/>
  <c r="AI923" i="1"/>
  <c r="AE923" i="1" s="1"/>
  <c r="V923" i="1"/>
  <c r="AK922" i="1"/>
  <c r="AJ922" i="1"/>
  <c r="AI922" i="1"/>
  <c r="AE922" i="1" s="1"/>
  <c r="W922" i="1"/>
  <c r="AK921" i="1"/>
  <c r="AJ921" i="1"/>
  <c r="AI921" i="1"/>
  <c r="AE921" i="1" s="1"/>
  <c r="W921" i="1"/>
  <c r="AK920" i="1"/>
  <c r="AJ920" i="1"/>
  <c r="AI920" i="1"/>
  <c r="AE920" i="1" s="1"/>
  <c r="W920" i="1"/>
  <c r="AK919" i="1"/>
  <c r="AJ919" i="1"/>
  <c r="AI919" i="1"/>
  <c r="AE919" i="1" s="1"/>
  <c r="W919" i="1"/>
  <c r="AK918" i="1"/>
  <c r="AJ918" i="1"/>
  <c r="AI918" i="1"/>
  <c r="AE918" i="1" s="1"/>
  <c r="W918" i="1"/>
  <c r="AK917" i="1"/>
  <c r="AJ917" i="1"/>
  <c r="AI917" i="1"/>
  <c r="AE917" i="1" s="1"/>
  <c r="W917" i="1"/>
  <c r="AK916" i="1"/>
  <c r="AJ916" i="1"/>
  <c r="AI916" i="1"/>
  <c r="AE916" i="1" s="1"/>
  <c r="W916" i="1"/>
  <c r="AK915" i="1"/>
  <c r="AJ915" i="1"/>
  <c r="AI915" i="1"/>
  <c r="AE915" i="1" s="1"/>
  <c r="W915" i="1"/>
  <c r="AK914" i="1"/>
  <c r="AJ914" i="1"/>
  <c r="AI914" i="1"/>
  <c r="AE914" i="1" s="1"/>
  <c r="W914" i="1"/>
  <c r="AK913" i="1"/>
  <c r="AJ913" i="1"/>
  <c r="AI913" i="1"/>
  <c r="AE913" i="1" s="1"/>
  <c r="W913" i="1"/>
  <c r="AK912" i="1"/>
  <c r="AJ912" i="1"/>
  <c r="AI912" i="1"/>
  <c r="AE912" i="1" s="1"/>
  <c r="W912" i="1"/>
  <c r="AI911" i="1"/>
  <c r="AE911" i="1" s="1"/>
  <c r="V911" i="1"/>
  <c r="AK911" i="1" s="1"/>
  <c r="AK910" i="1"/>
  <c r="AJ910" i="1"/>
  <c r="AI910" i="1"/>
  <c r="AE910" i="1" s="1"/>
  <c r="W910" i="1"/>
  <c r="AK909" i="1"/>
  <c r="AJ909" i="1"/>
  <c r="AI909" i="1"/>
  <c r="AE909" i="1" s="1"/>
  <c r="W909" i="1"/>
  <c r="AK908" i="1"/>
  <c r="AJ908" i="1"/>
  <c r="AI908" i="1"/>
  <c r="AE908" i="1" s="1"/>
  <c r="W908" i="1"/>
  <c r="AK907" i="1"/>
  <c r="AJ907" i="1"/>
  <c r="AI907" i="1"/>
  <c r="AE907" i="1" s="1"/>
  <c r="W907" i="1"/>
  <c r="AK906" i="1"/>
  <c r="AJ906" i="1"/>
  <c r="AI906" i="1"/>
  <c r="AE906" i="1" s="1"/>
  <c r="W906" i="1"/>
  <c r="AK905" i="1"/>
  <c r="AJ905" i="1"/>
  <c r="AI905" i="1"/>
  <c r="AE905" i="1" s="1"/>
  <c r="W905" i="1"/>
  <c r="AI904" i="1"/>
  <c r="AE904" i="1" s="1"/>
  <c r="V904" i="1"/>
  <c r="AK904" i="1" s="1"/>
  <c r="AK903" i="1"/>
  <c r="AJ903" i="1"/>
  <c r="AI903" i="1"/>
  <c r="AE903" i="1" s="1"/>
  <c r="W903" i="1"/>
  <c r="AI902" i="1"/>
  <c r="AE902" i="1" s="1"/>
  <c r="AK901" i="1"/>
  <c r="AJ901" i="1"/>
  <c r="AI901" i="1"/>
  <c r="AE901" i="1" s="1"/>
  <c r="W901" i="1"/>
  <c r="AI900" i="1"/>
  <c r="AE900" i="1" s="1"/>
  <c r="AK899" i="1"/>
  <c r="AJ899" i="1"/>
  <c r="AI899" i="1"/>
  <c r="AE899" i="1" s="1"/>
  <c r="W899" i="1"/>
  <c r="AK898" i="1"/>
  <c r="AJ898" i="1"/>
  <c r="AI898" i="1"/>
  <c r="AE898" i="1" s="1"/>
  <c r="W898" i="1"/>
  <c r="AK897" i="1"/>
  <c r="AJ897" i="1"/>
  <c r="AI897" i="1"/>
  <c r="AE897" i="1" s="1"/>
  <c r="W897" i="1"/>
  <c r="AK896" i="1"/>
  <c r="AJ896" i="1"/>
  <c r="AI896" i="1"/>
  <c r="AE896" i="1" s="1"/>
  <c r="W896" i="1"/>
  <c r="AI895" i="1"/>
  <c r="AE895" i="1" s="1"/>
  <c r="V895" i="1"/>
  <c r="AK894" i="1"/>
  <c r="AJ894" i="1"/>
  <c r="AI894" i="1"/>
  <c r="AE894" i="1" s="1"/>
  <c r="W894" i="1"/>
  <c r="AI893" i="1"/>
  <c r="AE893" i="1" s="1"/>
  <c r="V893" i="1"/>
  <c r="W893" i="1" s="1"/>
  <c r="AI892" i="1"/>
  <c r="AE892" i="1" s="1"/>
  <c r="V892" i="1"/>
  <c r="T892" i="1"/>
  <c r="U892" i="1" s="1"/>
  <c r="AI891" i="1"/>
  <c r="AE891" i="1" s="1"/>
  <c r="V891" i="1"/>
  <c r="T891" i="1"/>
  <c r="U891" i="1" s="1"/>
  <c r="AI890" i="1"/>
  <c r="AE890" i="1" s="1"/>
  <c r="V890" i="1"/>
  <c r="AK890" i="1" s="1"/>
  <c r="AI889" i="1"/>
  <c r="AE889" i="1" s="1"/>
  <c r="V889" i="1"/>
  <c r="AJ889" i="1" s="1"/>
  <c r="T889" i="1"/>
  <c r="U889" i="1" s="1"/>
  <c r="AK888" i="1"/>
  <c r="AJ888" i="1"/>
  <c r="AI888" i="1"/>
  <c r="AE888" i="1" s="1"/>
  <c r="W888" i="1"/>
  <c r="AK887" i="1"/>
  <c r="AJ887" i="1"/>
  <c r="AI887" i="1"/>
  <c r="AE887" i="1" s="1"/>
  <c r="W887" i="1"/>
  <c r="AK886" i="1"/>
  <c r="AJ886" i="1"/>
  <c r="AI886" i="1"/>
  <c r="AE886" i="1" s="1"/>
  <c r="W886" i="1"/>
  <c r="AK885" i="1"/>
  <c r="AJ885" i="1"/>
  <c r="AI885" i="1"/>
  <c r="AE885" i="1" s="1"/>
  <c r="W885" i="1"/>
  <c r="AK884" i="1"/>
  <c r="AJ884" i="1"/>
  <c r="AI884" i="1"/>
  <c r="AE884" i="1" s="1"/>
  <c r="W884" i="1"/>
  <c r="AK883" i="1"/>
  <c r="AJ883" i="1"/>
  <c r="AI883" i="1"/>
  <c r="AE883" i="1" s="1"/>
  <c r="W883" i="1"/>
  <c r="AK882" i="1"/>
  <c r="AJ882" i="1"/>
  <c r="AI882" i="1"/>
  <c r="AE882" i="1" s="1"/>
  <c r="W882" i="1"/>
  <c r="AK881" i="1"/>
  <c r="AJ881" i="1"/>
  <c r="AI881" i="1"/>
  <c r="AE881" i="1" s="1"/>
  <c r="W881" i="1"/>
  <c r="AK880" i="1"/>
  <c r="AJ880" i="1"/>
  <c r="AI880" i="1"/>
  <c r="AE880" i="1" s="1"/>
  <c r="W880" i="1"/>
  <c r="AK879" i="1"/>
  <c r="AJ879" i="1"/>
  <c r="AI879" i="1"/>
  <c r="AE879" i="1" s="1"/>
  <c r="AF879" i="1"/>
  <c r="W879" i="1"/>
  <c r="AK878" i="1"/>
  <c r="AJ878" i="1"/>
  <c r="AI878" i="1"/>
  <c r="AE878" i="1" s="1"/>
  <c r="W878" i="1"/>
  <c r="AI877" i="1"/>
  <c r="AE877" i="1" s="1"/>
  <c r="V877" i="1"/>
  <c r="AK876" i="1"/>
  <c r="AJ876" i="1"/>
  <c r="AI876" i="1"/>
  <c r="AE876" i="1" s="1"/>
  <c r="W876" i="1"/>
  <c r="AI875" i="1"/>
  <c r="AE875" i="1" s="1"/>
  <c r="V875" i="1"/>
  <c r="T875" i="1"/>
  <c r="U875" i="1" s="1"/>
  <c r="AK874" i="1"/>
  <c r="AJ874" i="1"/>
  <c r="AI874" i="1"/>
  <c r="AE874" i="1" s="1"/>
  <c r="W874" i="1"/>
  <c r="AK873" i="1"/>
  <c r="AJ873" i="1"/>
  <c r="AI873" i="1"/>
  <c r="AE873" i="1" s="1"/>
  <c r="W873" i="1"/>
  <c r="AK872" i="1"/>
  <c r="AJ872" i="1"/>
  <c r="AI872" i="1"/>
  <c r="AE872" i="1" s="1"/>
  <c r="W872" i="1"/>
  <c r="AK871" i="1"/>
  <c r="AJ871" i="1"/>
  <c r="AI871" i="1"/>
  <c r="AE871" i="1" s="1"/>
  <c r="W871" i="1"/>
  <c r="AI870" i="1"/>
  <c r="AE870" i="1" s="1"/>
  <c r="V870" i="1"/>
  <c r="AK870" i="1" s="1"/>
  <c r="T870" i="1"/>
  <c r="U870" i="1" s="1"/>
  <c r="AI869" i="1"/>
  <c r="AE869" i="1" s="1"/>
  <c r="V869" i="1"/>
  <c r="AK869" i="1" s="1"/>
  <c r="T869" i="1"/>
  <c r="U869" i="1" s="1"/>
  <c r="AI868" i="1"/>
  <c r="AE868" i="1" s="1"/>
  <c r="V868" i="1"/>
  <c r="AJ868" i="1" s="1"/>
  <c r="T868" i="1"/>
  <c r="U868" i="1" s="1"/>
  <c r="AK867" i="1"/>
  <c r="AJ867" i="1"/>
  <c r="AI867" i="1"/>
  <c r="AE867" i="1" s="1"/>
  <c r="W867" i="1"/>
  <c r="AK866" i="1"/>
  <c r="AJ866" i="1"/>
  <c r="AI866" i="1"/>
  <c r="AE866" i="1" s="1"/>
  <c r="W866" i="1"/>
  <c r="AK865" i="1"/>
  <c r="AJ865" i="1"/>
  <c r="AI865" i="1"/>
  <c r="AE865" i="1" s="1"/>
  <c r="W865" i="1"/>
  <c r="AK864" i="1"/>
  <c r="AJ864" i="1"/>
  <c r="AI864" i="1"/>
  <c r="AE864" i="1" s="1"/>
  <c r="W864" i="1"/>
  <c r="AK863" i="1"/>
  <c r="AJ863" i="1"/>
  <c r="AI863" i="1"/>
  <c r="AE863" i="1" s="1"/>
  <c r="W863" i="1"/>
  <c r="AK862" i="1"/>
  <c r="AJ862" i="1"/>
  <c r="AI862" i="1"/>
  <c r="AE862" i="1" s="1"/>
  <c r="W862" i="1"/>
  <c r="AI861" i="1"/>
  <c r="AE861" i="1" s="1"/>
  <c r="V861" i="1"/>
  <c r="W861" i="1" s="1"/>
  <c r="AK860" i="1"/>
  <c r="AJ860" i="1"/>
  <c r="AI860" i="1"/>
  <c r="AE860" i="1" s="1"/>
  <c r="W860" i="1"/>
  <c r="AK859" i="1"/>
  <c r="AJ859" i="1"/>
  <c r="AI859" i="1"/>
  <c r="AE859" i="1" s="1"/>
  <c r="W859" i="1"/>
  <c r="AI858" i="1"/>
  <c r="AE858" i="1" s="1"/>
  <c r="V858" i="1"/>
  <c r="AK858" i="1" s="1"/>
  <c r="T858" i="1"/>
  <c r="U858" i="1" s="1"/>
  <c r="AK857" i="1"/>
  <c r="AJ857" i="1"/>
  <c r="AI857" i="1"/>
  <c r="AE857" i="1" s="1"/>
  <c r="W857" i="1"/>
  <c r="AK856" i="1"/>
  <c r="AJ856" i="1"/>
  <c r="AI856" i="1"/>
  <c r="AE856" i="1" s="1"/>
  <c r="W856" i="1"/>
  <c r="AK855" i="1"/>
  <c r="AJ855" i="1"/>
  <c r="AI855" i="1"/>
  <c r="AE855" i="1" s="1"/>
  <c r="W855" i="1"/>
  <c r="AK854" i="1"/>
  <c r="AJ854" i="1"/>
  <c r="AI854" i="1"/>
  <c r="AE854" i="1" s="1"/>
  <c r="W854" i="1"/>
  <c r="AI853" i="1"/>
  <c r="AE853" i="1" s="1"/>
  <c r="V853" i="1"/>
  <c r="W853" i="1" s="1"/>
  <c r="T853" i="1"/>
  <c r="U853" i="1" s="1"/>
  <c r="AK852" i="1"/>
  <c r="AJ852" i="1"/>
  <c r="AI852" i="1"/>
  <c r="AE852" i="1" s="1"/>
  <c r="W852" i="1"/>
  <c r="AI851" i="1"/>
  <c r="AE851" i="1" s="1"/>
  <c r="V851" i="1"/>
  <c r="AK851" i="1" s="1"/>
  <c r="AK850" i="1"/>
  <c r="AJ850" i="1"/>
  <c r="AI850" i="1"/>
  <c r="AE850" i="1" s="1"/>
  <c r="W850" i="1"/>
  <c r="AI849" i="1"/>
  <c r="AE849" i="1" s="1"/>
  <c r="V849" i="1"/>
  <c r="W849" i="1" s="1"/>
  <c r="AK848" i="1"/>
  <c r="AJ848" i="1"/>
  <c r="AI848" i="1"/>
  <c r="AE848" i="1" s="1"/>
  <c r="W848" i="1"/>
  <c r="AK847" i="1"/>
  <c r="AJ847" i="1"/>
  <c r="AI847" i="1"/>
  <c r="AE847" i="1" s="1"/>
  <c r="W847" i="1"/>
  <c r="AK846" i="1"/>
  <c r="AJ846" i="1"/>
  <c r="AI846" i="1"/>
  <c r="AE846" i="1" s="1"/>
  <c r="W846" i="1"/>
  <c r="AI845" i="1"/>
  <c r="AE845" i="1" s="1"/>
  <c r="V845" i="1"/>
  <c r="AK845" i="1" s="1"/>
  <c r="T845" i="1"/>
  <c r="U845" i="1" s="1"/>
  <c r="AI844" i="1"/>
  <c r="AE844" i="1" s="1"/>
  <c r="V844" i="1"/>
  <c r="AK843" i="1"/>
  <c r="AJ843" i="1"/>
  <c r="AI843" i="1"/>
  <c r="AE843" i="1" s="1"/>
  <c r="W843" i="1"/>
  <c r="AI842" i="1"/>
  <c r="AE842" i="1" s="1"/>
  <c r="V842" i="1"/>
  <c r="W842" i="1" s="1"/>
  <c r="T842" i="1"/>
  <c r="U842" i="1" s="1"/>
  <c r="AI841" i="1"/>
  <c r="AE841" i="1" s="1"/>
  <c r="V841" i="1"/>
  <c r="W841" i="1" s="1"/>
  <c r="T841" i="1"/>
  <c r="U841" i="1" s="1"/>
  <c r="AK840" i="1"/>
  <c r="AJ840" i="1"/>
  <c r="AI840" i="1"/>
  <c r="AE840" i="1" s="1"/>
  <c r="AK839" i="1"/>
  <c r="AJ839" i="1"/>
  <c r="AI839" i="1"/>
  <c r="AE839" i="1" s="1"/>
  <c r="W839" i="1"/>
  <c r="AK838" i="1"/>
  <c r="AJ838" i="1"/>
  <c r="AI838" i="1"/>
  <c r="AE838" i="1" s="1"/>
  <c r="W838" i="1"/>
  <c r="AI837" i="1"/>
  <c r="AE837" i="1" s="1"/>
  <c r="V837" i="1"/>
  <c r="W837" i="1" s="1"/>
  <c r="AK836" i="1"/>
  <c r="AJ836" i="1"/>
  <c r="AI836" i="1"/>
  <c r="AE836" i="1" s="1"/>
  <c r="W836" i="1"/>
  <c r="AK835" i="1"/>
  <c r="AJ835" i="1"/>
  <c r="AI835" i="1"/>
  <c r="AE835" i="1" s="1"/>
  <c r="W835" i="1"/>
  <c r="AK834" i="1"/>
  <c r="AJ834" i="1"/>
  <c r="AI834" i="1"/>
  <c r="AE834" i="1" s="1"/>
  <c r="W834" i="1"/>
  <c r="AK833" i="1"/>
  <c r="AJ833" i="1"/>
  <c r="AI833" i="1"/>
  <c r="AE833" i="1" s="1"/>
  <c r="W833" i="1"/>
  <c r="AK832" i="1"/>
  <c r="AJ832" i="1"/>
  <c r="AI832" i="1"/>
  <c r="AE832" i="1" s="1"/>
  <c r="W832" i="1"/>
  <c r="AI831" i="1"/>
  <c r="AE831" i="1" s="1"/>
  <c r="V831" i="1"/>
  <c r="AK830" i="1"/>
  <c r="AJ830" i="1"/>
  <c r="AI830" i="1"/>
  <c r="AE830" i="1" s="1"/>
  <c r="W830" i="1"/>
  <c r="AK829" i="1"/>
  <c r="AJ829" i="1"/>
  <c r="AI829" i="1"/>
  <c r="AE829" i="1" s="1"/>
  <c r="W829" i="1"/>
  <c r="AK828" i="1"/>
  <c r="AJ828" i="1"/>
  <c r="AI828" i="1"/>
  <c r="AE828" i="1" s="1"/>
  <c r="W828" i="1"/>
  <c r="AK827" i="1"/>
  <c r="AJ827" i="1"/>
  <c r="AI827" i="1"/>
  <c r="AE827" i="1" s="1"/>
  <c r="W827" i="1"/>
  <c r="AK826" i="1"/>
  <c r="AJ826" i="1"/>
  <c r="AI826" i="1"/>
  <c r="AE826" i="1" s="1"/>
  <c r="W826" i="1"/>
  <c r="AK825" i="1"/>
  <c r="AJ825" i="1"/>
  <c r="AI825" i="1"/>
  <c r="AE825" i="1" s="1"/>
  <c r="W825" i="1"/>
  <c r="AK824" i="1"/>
  <c r="AJ824" i="1"/>
  <c r="AI824" i="1"/>
  <c r="AE824" i="1" s="1"/>
  <c r="AF824" i="1"/>
  <c r="W824" i="1"/>
  <c r="AI823" i="1"/>
  <c r="AE823" i="1" s="1"/>
  <c r="V823" i="1"/>
  <c r="W823" i="1" s="1"/>
  <c r="AI822" i="1"/>
  <c r="AE822" i="1" s="1"/>
  <c r="V822" i="1"/>
  <c r="T822" i="1"/>
  <c r="U822" i="1" s="1"/>
  <c r="AI821" i="1"/>
  <c r="AE821" i="1" s="1"/>
  <c r="V821" i="1"/>
  <c r="W821" i="1" s="1"/>
  <c r="T821" i="1"/>
  <c r="U821" i="1" s="1"/>
  <c r="AK820" i="1"/>
  <c r="AJ820" i="1"/>
  <c r="AI820" i="1"/>
  <c r="AE820" i="1" s="1"/>
  <c r="W820" i="1"/>
  <c r="T820" i="1"/>
  <c r="U820" i="1" s="1"/>
  <c r="AI819" i="1"/>
  <c r="AE819" i="1" s="1"/>
  <c r="V819" i="1"/>
  <c r="AK819" i="1" s="1"/>
  <c r="AI818" i="1"/>
  <c r="AE818" i="1" s="1"/>
  <c r="V818" i="1"/>
  <c r="AK818" i="1" s="1"/>
  <c r="T818" i="1"/>
  <c r="U818" i="1" s="1"/>
  <c r="AI817" i="1"/>
  <c r="AE817" i="1" s="1"/>
  <c r="V817" i="1"/>
  <c r="AK817" i="1" s="1"/>
  <c r="AK816" i="1"/>
  <c r="AJ816" i="1"/>
  <c r="AI816" i="1"/>
  <c r="AE816" i="1" s="1"/>
  <c r="W816" i="1"/>
  <c r="AK815" i="1"/>
  <c r="AJ815" i="1"/>
  <c r="AI815" i="1"/>
  <c r="AE815" i="1" s="1"/>
  <c r="W815" i="1"/>
  <c r="AK814" i="1"/>
  <c r="AJ814" i="1"/>
  <c r="AI814" i="1"/>
  <c r="AE814" i="1" s="1"/>
  <c r="W814" i="1"/>
  <c r="AK813" i="1"/>
  <c r="AJ813" i="1"/>
  <c r="AI813" i="1"/>
  <c r="AE813" i="1" s="1"/>
  <c r="W813" i="1"/>
  <c r="AK812" i="1"/>
  <c r="AJ812" i="1"/>
  <c r="AI812" i="1"/>
  <c r="AE812" i="1" s="1"/>
  <c r="W812" i="1"/>
  <c r="AK811" i="1"/>
  <c r="AJ811" i="1"/>
  <c r="AI811" i="1"/>
  <c r="AE811" i="1" s="1"/>
  <c r="W811" i="1"/>
  <c r="AK810" i="1"/>
  <c r="AJ810" i="1"/>
  <c r="AI810" i="1"/>
  <c r="AE810" i="1" s="1"/>
  <c r="W810" i="1"/>
  <c r="AK809" i="1"/>
  <c r="AJ809" i="1"/>
  <c r="AI809" i="1"/>
  <c r="AE809" i="1" s="1"/>
  <c r="W809" i="1"/>
  <c r="AK808" i="1"/>
  <c r="AJ808" i="1"/>
  <c r="AI808" i="1"/>
  <c r="AE808" i="1" s="1"/>
  <c r="W808" i="1"/>
  <c r="AI807" i="1"/>
  <c r="AE807" i="1" s="1"/>
  <c r="V807" i="1"/>
  <c r="AI806" i="1"/>
  <c r="AE806" i="1" s="1"/>
  <c r="V806" i="1"/>
  <c r="T806" i="1"/>
  <c r="U806" i="1" s="1"/>
  <c r="AI805" i="1"/>
  <c r="AE805" i="1" s="1"/>
  <c r="V805" i="1"/>
  <c r="W805" i="1" s="1"/>
  <c r="T805" i="1"/>
  <c r="U805" i="1" s="1"/>
  <c r="AK804" i="1"/>
  <c r="AJ804" i="1"/>
  <c r="AI804" i="1"/>
  <c r="AE804" i="1" s="1"/>
  <c r="W804" i="1"/>
  <c r="AK803" i="1"/>
  <c r="AJ803" i="1"/>
  <c r="AI803" i="1"/>
  <c r="AE803" i="1" s="1"/>
  <c r="W803" i="1"/>
  <c r="AK802" i="1"/>
  <c r="AJ802" i="1"/>
  <c r="AI802" i="1"/>
  <c r="AE802" i="1" s="1"/>
  <c r="AI801" i="1"/>
  <c r="AE801" i="1" s="1"/>
  <c r="V801" i="1"/>
  <c r="AK801" i="1" s="1"/>
  <c r="AK800" i="1"/>
  <c r="AJ800" i="1"/>
  <c r="AI800" i="1"/>
  <c r="AE800" i="1" s="1"/>
  <c r="W800" i="1"/>
  <c r="AK799" i="1"/>
  <c r="AJ799" i="1"/>
  <c r="AI799" i="1"/>
  <c r="AE799" i="1" s="1"/>
  <c r="W799" i="1"/>
  <c r="AK798" i="1"/>
  <c r="AJ798" i="1"/>
  <c r="AI798" i="1"/>
  <c r="AE798" i="1" s="1"/>
  <c r="W798" i="1"/>
  <c r="AK797" i="1"/>
  <c r="AJ797" i="1"/>
  <c r="AI797" i="1"/>
  <c r="AE797" i="1" s="1"/>
  <c r="W797" i="1"/>
  <c r="AK796" i="1"/>
  <c r="AJ796" i="1"/>
  <c r="AI796" i="1"/>
  <c r="AE796" i="1" s="1"/>
  <c r="W796" i="1"/>
  <c r="AK795" i="1"/>
  <c r="AJ795" i="1"/>
  <c r="AI795" i="1"/>
  <c r="AE795" i="1" s="1"/>
  <c r="W795" i="1"/>
  <c r="AK794" i="1"/>
  <c r="AJ794" i="1"/>
  <c r="AI794" i="1"/>
  <c r="AE794" i="1" s="1"/>
  <c r="W794" i="1"/>
  <c r="AK793" i="1"/>
  <c r="AJ793" i="1"/>
  <c r="AI793" i="1"/>
  <c r="AE793" i="1" s="1"/>
  <c r="W793" i="1"/>
  <c r="AK792" i="1"/>
  <c r="AJ792" i="1"/>
  <c r="AI792" i="1"/>
  <c r="AE792" i="1" s="1"/>
  <c r="W792" i="1"/>
  <c r="AK791" i="1"/>
  <c r="AJ791" i="1"/>
  <c r="AI791" i="1"/>
  <c r="AE791" i="1" s="1"/>
  <c r="W791" i="1"/>
  <c r="AK790" i="1"/>
  <c r="AJ790" i="1"/>
  <c r="AI790" i="1"/>
  <c r="AE790" i="1" s="1"/>
  <c r="W790" i="1"/>
  <c r="AK789" i="1"/>
  <c r="AJ789" i="1"/>
  <c r="AI789" i="1"/>
  <c r="AE789" i="1" s="1"/>
  <c r="W789" i="1"/>
  <c r="AK788" i="1"/>
  <c r="AJ788" i="1"/>
  <c r="AI788" i="1"/>
  <c r="AE788" i="1" s="1"/>
  <c r="W788" i="1"/>
  <c r="AI787" i="1"/>
  <c r="AE787" i="1" s="1"/>
  <c r="V787" i="1"/>
  <c r="T787" i="1"/>
  <c r="U787" i="1" s="1"/>
  <c r="AK786" i="1"/>
  <c r="AJ786" i="1"/>
  <c r="AI786" i="1"/>
  <c r="AE786" i="1" s="1"/>
  <c r="W786" i="1"/>
  <c r="AK785" i="1"/>
  <c r="AJ785" i="1"/>
  <c r="AI785" i="1"/>
  <c r="AE785" i="1" s="1"/>
  <c r="W785" i="1"/>
  <c r="AK784" i="1"/>
  <c r="AJ784" i="1"/>
  <c r="AI784" i="1"/>
  <c r="AE784" i="1" s="1"/>
  <c r="W784" i="1"/>
  <c r="AK783" i="1"/>
  <c r="AJ783" i="1"/>
  <c r="AI783" i="1"/>
  <c r="AE783" i="1" s="1"/>
  <c r="W783" i="1"/>
  <c r="AK782" i="1"/>
  <c r="AJ782" i="1"/>
  <c r="AI782" i="1"/>
  <c r="AE782" i="1" s="1"/>
  <c r="W782" i="1"/>
  <c r="AI781" i="1"/>
  <c r="AE781" i="1" s="1"/>
  <c r="V781" i="1"/>
  <c r="AK781" i="1" s="1"/>
  <c r="AK780" i="1"/>
  <c r="AJ780" i="1"/>
  <c r="AI780" i="1"/>
  <c r="AE780" i="1" s="1"/>
  <c r="W780" i="1"/>
  <c r="AK779" i="1"/>
  <c r="AJ779" i="1"/>
  <c r="AI779" i="1"/>
  <c r="AE779" i="1" s="1"/>
  <c r="W779" i="1"/>
  <c r="AI778" i="1"/>
  <c r="AE778" i="1" s="1"/>
  <c r="V778" i="1"/>
  <c r="AK777" i="1"/>
  <c r="AJ777" i="1"/>
  <c r="AI777" i="1"/>
  <c r="AE777" i="1" s="1"/>
  <c r="AK776" i="1"/>
  <c r="AJ776" i="1"/>
  <c r="AI776" i="1"/>
  <c r="AE776" i="1" s="1"/>
  <c r="W776" i="1"/>
  <c r="AI775" i="1"/>
  <c r="AE775" i="1" s="1"/>
  <c r="V775" i="1"/>
  <c r="AK774" i="1"/>
  <c r="AJ774" i="1"/>
  <c r="AI774" i="1"/>
  <c r="AE774" i="1" s="1"/>
  <c r="W774" i="1"/>
  <c r="AK773" i="1"/>
  <c r="AJ773" i="1"/>
  <c r="AI773" i="1"/>
  <c r="AE773" i="1" s="1"/>
  <c r="W773" i="1"/>
  <c r="AK772" i="1"/>
  <c r="AJ772" i="1"/>
  <c r="AI772" i="1"/>
  <c r="AE772" i="1" s="1"/>
  <c r="W772" i="1"/>
  <c r="AK771" i="1"/>
  <c r="AJ771" i="1"/>
  <c r="AI771" i="1"/>
  <c r="AE771" i="1" s="1"/>
  <c r="W771" i="1"/>
  <c r="AK770" i="1"/>
  <c r="AJ770" i="1"/>
  <c r="AI770" i="1"/>
  <c r="AE770" i="1" s="1"/>
  <c r="W770" i="1"/>
  <c r="AK769" i="1"/>
  <c r="AJ769" i="1"/>
  <c r="AI769" i="1"/>
  <c r="AE769" i="1" s="1"/>
  <c r="W769" i="1"/>
  <c r="AK768" i="1"/>
  <c r="AJ768" i="1"/>
  <c r="AI768" i="1"/>
  <c r="AE768" i="1" s="1"/>
  <c r="W768" i="1"/>
  <c r="AK767" i="1"/>
  <c r="AJ767" i="1"/>
  <c r="AI767" i="1"/>
  <c r="AE767" i="1" s="1"/>
  <c r="W767" i="1"/>
  <c r="AI766" i="1"/>
  <c r="AE766" i="1" s="1"/>
  <c r="V766" i="1"/>
  <c r="AK766" i="1" s="1"/>
  <c r="AK765" i="1"/>
  <c r="AJ765" i="1"/>
  <c r="AI765" i="1"/>
  <c r="AE765" i="1" s="1"/>
  <c r="W765" i="1"/>
  <c r="AK764" i="1"/>
  <c r="AJ764" i="1"/>
  <c r="AI764" i="1"/>
  <c r="AE764" i="1" s="1"/>
  <c r="W764" i="1"/>
  <c r="T764" i="1"/>
  <c r="U764" i="1" s="1"/>
  <c r="AI763" i="1"/>
  <c r="AE763" i="1" s="1"/>
  <c r="V763" i="1"/>
  <c r="W763" i="1" s="1"/>
  <c r="AK762" i="1"/>
  <c r="AJ762" i="1"/>
  <c r="AI762" i="1"/>
  <c r="AE762" i="1" s="1"/>
  <c r="W762" i="1"/>
  <c r="AI761" i="1"/>
  <c r="AE761" i="1" s="1"/>
  <c r="V761" i="1"/>
  <c r="AK760" i="1"/>
  <c r="AJ760" i="1"/>
  <c r="AI760" i="1"/>
  <c r="AE760" i="1" s="1"/>
  <c r="W760" i="1"/>
  <c r="AK759" i="1"/>
  <c r="AJ759" i="1"/>
  <c r="AI759" i="1"/>
  <c r="AE759" i="1" s="1"/>
  <c r="W759" i="1"/>
  <c r="AK758" i="1"/>
  <c r="AJ758" i="1"/>
  <c r="AI758" i="1"/>
  <c r="AE758" i="1" s="1"/>
  <c r="AK757" i="1"/>
  <c r="AJ757" i="1"/>
  <c r="AI757" i="1"/>
  <c r="AE757" i="1" s="1"/>
  <c r="W757" i="1"/>
  <c r="AK756" i="1"/>
  <c r="AJ756" i="1"/>
  <c r="AI756" i="1"/>
  <c r="AE756" i="1" s="1"/>
  <c r="W756" i="1"/>
  <c r="AK755" i="1"/>
  <c r="AJ755" i="1"/>
  <c r="AI755" i="1"/>
  <c r="AE755" i="1" s="1"/>
  <c r="W755" i="1"/>
  <c r="AK754" i="1"/>
  <c r="AJ754" i="1"/>
  <c r="AI754" i="1"/>
  <c r="AE754" i="1" s="1"/>
  <c r="W754" i="1"/>
  <c r="AK753" i="1"/>
  <c r="AJ753" i="1"/>
  <c r="AI753" i="1"/>
  <c r="AE753" i="1" s="1"/>
  <c r="W753" i="1"/>
  <c r="AK752" i="1"/>
  <c r="AJ752" i="1"/>
  <c r="AI752" i="1"/>
  <c r="AE752" i="1" s="1"/>
  <c r="W752" i="1"/>
  <c r="AI751" i="1"/>
  <c r="AE751" i="1" s="1"/>
  <c r="V751" i="1"/>
  <c r="AK751" i="1" s="1"/>
  <c r="AK750" i="1"/>
  <c r="AJ750" i="1"/>
  <c r="AI750" i="1"/>
  <c r="AE750" i="1" s="1"/>
  <c r="W750" i="1"/>
  <c r="AI749" i="1"/>
  <c r="AE749" i="1" s="1"/>
  <c r="V749" i="1"/>
  <c r="W749" i="1" s="1"/>
  <c r="AI748" i="1"/>
  <c r="AE748" i="1" s="1"/>
  <c r="V748" i="1"/>
  <c r="AK748" i="1" s="1"/>
  <c r="AI747" i="1"/>
  <c r="AE747" i="1" s="1"/>
  <c r="V747" i="1"/>
  <c r="AI746" i="1"/>
  <c r="AE746" i="1" s="1"/>
  <c r="V746" i="1"/>
  <c r="AK746" i="1" s="1"/>
  <c r="AI745" i="1"/>
  <c r="AE745" i="1" s="1"/>
  <c r="V745" i="1"/>
  <c r="W745" i="1" s="1"/>
  <c r="AI744" i="1"/>
  <c r="AE744" i="1" s="1"/>
  <c r="V744" i="1"/>
  <c r="AK744" i="1" s="1"/>
  <c r="AI743" i="1"/>
  <c r="AE743" i="1" s="1"/>
  <c r="V743" i="1"/>
  <c r="W743" i="1" s="1"/>
  <c r="AI742" i="1"/>
  <c r="AE742" i="1" s="1"/>
  <c r="V742" i="1"/>
  <c r="AI741" i="1"/>
  <c r="AE741" i="1" s="1"/>
  <c r="V741" i="1"/>
  <c r="AK740" i="1"/>
  <c r="AJ740" i="1"/>
  <c r="AI740" i="1"/>
  <c r="AE740" i="1" s="1"/>
  <c r="W740" i="1"/>
  <c r="AK739" i="1"/>
  <c r="AJ739" i="1"/>
  <c r="AI739" i="1"/>
  <c r="AE739" i="1" s="1"/>
  <c r="W739" i="1"/>
  <c r="AK738" i="1"/>
  <c r="AJ738" i="1"/>
  <c r="AI738" i="1"/>
  <c r="AE738" i="1" s="1"/>
  <c r="W738" i="1"/>
  <c r="AK737" i="1"/>
  <c r="AJ737" i="1"/>
  <c r="AI737" i="1"/>
  <c r="AE737" i="1" s="1"/>
  <c r="W737" i="1"/>
  <c r="AI736" i="1"/>
  <c r="AE736" i="1" s="1"/>
  <c r="V736" i="1"/>
  <c r="AK735" i="1"/>
  <c r="AJ735" i="1"/>
  <c r="AI735" i="1"/>
  <c r="AE735" i="1" s="1"/>
  <c r="W735" i="1"/>
  <c r="AI734" i="1"/>
  <c r="AE734" i="1" s="1"/>
  <c r="V734" i="1"/>
  <c r="AK733" i="1"/>
  <c r="AJ733" i="1"/>
  <c r="AI733" i="1"/>
  <c r="AE733" i="1" s="1"/>
  <c r="W733" i="1"/>
  <c r="AK732" i="1"/>
  <c r="AJ732" i="1"/>
  <c r="AI732" i="1"/>
  <c r="AE732" i="1" s="1"/>
  <c r="W732" i="1"/>
  <c r="AK731" i="1"/>
  <c r="AJ731" i="1"/>
  <c r="AI731" i="1"/>
  <c r="AE731" i="1" s="1"/>
  <c r="W731" i="1"/>
  <c r="AK730" i="1"/>
  <c r="AJ730" i="1"/>
  <c r="AI730" i="1"/>
  <c r="AE730" i="1" s="1"/>
  <c r="W730" i="1"/>
  <c r="AK729" i="1"/>
  <c r="AJ729" i="1"/>
  <c r="AI729" i="1"/>
  <c r="AE729" i="1" s="1"/>
  <c r="W729" i="1"/>
  <c r="AI728" i="1"/>
  <c r="AE728" i="1" s="1"/>
  <c r="V728" i="1"/>
  <c r="W728" i="1" s="1"/>
  <c r="AK727" i="1"/>
  <c r="AJ727" i="1"/>
  <c r="AI727" i="1"/>
  <c r="AE727" i="1" s="1"/>
  <c r="W727" i="1"/>
  <c r="AK726" i="1"/>
  <c r="AJ726" i="1"/>
  <c r="AI726" i="1"/>
  <c r="AE726" i="1" s="1"/>
  <c r="W726" i="1"/>
  <c r="AK725" i="1"/>
  <c r="AJ725" i="1"/>
  <c r="AI725" i="1"/>
  <c r="AE725" i="1" s="1"/>
  <c r="W725" i="1"/>
  <c r="AK724" i="1"/>
  <c r="AJ724" i="1"/>
  <c r="AI724" i="1"/>
  <c r="AE724" i="1" s="1"/>
  <c r="W724" i="1"/>
  <c r="AI723" i="1"/>
  <c r="AE723" i="1" s="1"/>
  <c r="V723" i="1"/>
  <c r="AK722" i="1"/>
  <c r="AJ722" i="1"/>
  <c r="AI722" i="1"/>
  <c r="AE722" i="1" s="1"/>
  <c r="W722" i="1"/>
  <c r="AI721" i="1"/>
  <c r="AE721" i="1" s="1"/>
  <c r="V721" i="1"/>
  <c r="W721" i="1" s="1"/>
  <c r="AI720" i="1"/>
  <c r="AE720" i="1" s="1"/>
  <c r="V720" i="1"/>
  <c r="AK720" i="1" s="1"/>
  <c r="AK719" i="1"/>
  <c r="AJ719" i="1"/>
  <c r="AI719" i="1"/>
  <c r="AE719" i="1" s="1"/>
  <c r="W719" i="1"/>
  <c r="AI718" i="1"/>
  <c r="AE718" i="1" s="1"/>
  <c r="V718" i="1"/>
  <c r="AK717" i="1"/>
  <c r="AJ717" i="1"/>
  <c r="AI717" i="1"/>
  <c r="AE717" i="1" s="1"/>
  <c r="W717" i="1"/>
  <c r="AK716" i="1"/>
  <c r="AJ716" i="1"/>
  <c r="AI716" i="1"/>
  <c r="AE716" i="1" s="1"/>
  <c r="W716" i="1"/>
  <c r="AK715" i="1"/>
  <c r="AJ715" i="1"/>
  <c r="AI715" i="1"/>
  <c r="AE715" i="1" s="1"/>
  <c r="W715" i="1"/>
  <c r="AK714" i="1"/>
  <c r="AJ714" i="1"/>
  <c r="AI714" i="1"/>
  <c r="AE714" i="1" s="1"/>
  <c r="W714" i="1"/>
  <c r="AI713" i="1"/>
  <c r="AE713" i="1" s="1"/>
  <c r="V713" i="1"/>
  <c r="W713" i="1" s="1"/>
  <c r="AI712" i="1"/>
  <c r="AE712" i="1" s="1"/>
  <c r="V712" i="1"/>
  <c r="AI711" i="1"/>
  <c r="AE711" i="1" s="1"/>
  <c r="V711" i="1"/>
  <c r="W711" i="1" s="1"/>
  <c r="AI710" i="1"/>
  <c r="AE710" i="1" s="1"/>
  <c r="V710" i="1"/>
  <c r="AK710" i="1" s="1"/>
  <c r="AI709" i="1"/>
  <c r="AE709" i="1" s="1"/>
  <c r="V709" i="1"/>
  <c r="AJ709" i="1" s="1"/>
  <c r="AI708" i="1"/>
  <c r="AE708" i="1" s="1"/>
  <c r="V708" i="1"/>
  <c r="AK708" i="1" s="1"/>
  <c r="AI707" i="1"/>
  <c r="AE707" i="1" s="1"/>
  <c r="V707" i="1"/>
  <c r="W707" i="1" s="1"/>
  <c r="AK706" i="1"/>
  <c r="AJ706" i="1"/>
  <c r="AI706" i="1"/>
  <c r="AE706" i="1" s="1"/>
  <c r="W706" i="1"/>
  <c r="AK705" i="1"/>
  <c r="AJ705" i="1"/>
  <c r="AI705" i="1"/>
  <c r="AE705" i="1" s="1"/>
  <c r="W705" i="1"/>
  <c r="AK704" i="1"/>
  <c r="AJ704" i="1"/>
  <c r="AI704" i="1"/>
  <c r="AE704" i="1" s="1"/>
  <c r="W704" i="1"/>
  <c r="AI703" i="1"/>
  <c r="AE703" i="1" s="1"/>
  <c r="V703" i="1"/>
  <c r="AK703" i="1" s="1"/>
  <c r="AK702" i="1"/>
  <c r="AJ702" i="1"/>
  <c r="AI702" i="1"/>
  <c r="AE702" i="1" s="1"/>
  <c r="W702" i="1"/>
  <c r="AK701" i="1"/>
  <c r="AJ701" i="1"/>
  <c r="AI701" i="1"/>
  <c r="AE701" i="1" s="1"/>
  <c r="W701" i="1"/>
  <c r="AK700" i="1"/>
  <c r="AJ700" i="1"/>
  <c r="AI700" i="1"/>
  <c r="AE700" i="1" s="1"/>
  <c r="W700" i="1"/>
  <c r="AI699" i="1"/>
  <c r="AE699" i="1" s="1"/>
  <c r="V699" i="1"/>
  <c r="W699" i="1" s="1"/>
  <c r="AK698" i="1"/>
  <c r="AJ698" i="1"/>
  <c r="AI698" i="1"/>
  <c r="AE698" i="1" s="1"/>
  <c r="W698" i="1"/>
  <c r="AK697" i="1"/>
  <c r="AJ697" i="1"/>
  <c r="AI697" i="1"/>
  <c r="AE697" i="1" s="1"/>
  <c r="W697" i="1"/>
  <c r="AK696" i="1"/>
  <c r="AJ696" i="1"/>
  <c r="AI696" i="1"/>
  <c r="AE696" i="1" s="1"/>
  <c r="W696" i="1"/>
  <c r="AK695" i="1"/>
  <c r="AJ695" i="1"/>
  <c r="AI695" i="1"/>
  <c r="AE695" i="1" s="1"/>
  <c r="W695" i="1"/>
  <c r="AK694" i="1"/>
  <c r="AJ694" i="1"/>
  <c r="AI694" i="1"/>
  <c r="AE694" i="1" s="1"/>
  <c r="W694" i="1"/>
  <c r="AK693" i="1"/>
  <c r="AJ693" i="1"/>
  <c r="AI693" i="1"/>
  <c r="AE693" i="1" s="1"/>
  <c r="W693" i="1"/>
  <c r="AK692" i="1"/>
  <c r="AJ692" i="1"/>
  <c r="AI692" i="1"/>
  <c r="AE692" i="1" s="1"/>
  <c r="W692" i="1"/>
  <c r="AK691" i="1"/>
  <c r="AJ691" i="1"/>
  <c r="AI691" i="1"/>
  <c r="AE691" i="1" s="1"/>
  <c r="W691" i="1"/>
  <c r="AI690" i="1"/>
  <c r="AE690" i="1" s="1"/>
  <c r="V690" i="1"/>
  <c r="W690" i="1" s="1"/>
  <c r="AK689" i="1"/>
  <c r="AJ689" i="1"/>
  <c r="AI689" i="1"/>
  <c r="AE689" i="1" s="1"/>
  <c r="AK688" i="1"/>
  <c r="AJ688" i="1"/>
  <c r="AI688" i="1"/>
  <c r="AE688" i="1" s="1"/>
  <c r="W688" i="1"/>
  <c r="AK687" i="1"/>
  <c r="AJ687" i="1"/>
  <c r="AI687" i="1"/>
  <c r="AE687" i="1" s="1"/>
  <c r="W687" i="1"/>
  <c r="AK686" i="1"/>
  <c r="AJ686" i="1"/>
  <c r="AI686" i="1"/>
  <c r="AE686" i="1" s="1"/>
  <c r="W686" i="1"/>
  <c r="AK685" i="1"/>
  <c r="AJ685" i="1"/>
  <c r="AI685" i="1"/>
  <c r="AE685" i="1" s="1"/>
  <c r="W685" i="1"/>
  <c r="AK684" i="1"/>
  <c r="AJ684" i="1"/>
  <c r="AI684" i="1"/>
  <c r="AE684" i="1" s="1"/>
  <c r="W684" i="1"/>
  <c r="AK683" i="1"/>
  <c r="AJ683" i="1"/>
  <c r="AI683" i="1"/>
  <c r="AE683" i="1" s="1"/>
  <c r="AF683" i="1"/>
  <c r="W683" i="1"/>
  <c r="AK682" i="1"/>
  <c r="AJ682" i="1"/>
  <c r="AI682" i="1"/>
  <c r="AE682" i="1" s="1"/>
  <c r="W682" i="1"/>
  <c r="AK681" i="1"/>
  <c r="AJ681" i="1"/>
  <c r="AI681" i="1"/>
  <c r="AE681" i="1" s="1"/>
  <c r="W681" i="1"/>
  <c r="AK680" i="1"/>
  <c r="AJ680" i="1"/>
  <c r="AI680" i="1"/>
  <c r="AE680" i="1" s="1"/>
  <c r="W680" i="1"/>
  <c r="AK679" i="1"/>
  <c r="AJ679" i="1"/>
  <c r="AI679" i="1"/>
  <c r="AE679" i="1" s="1"/>
  <c r="W679" i="1"/>
  <c r="AK678" i="1"/>
  <c r="AJ678" i="1"/>
  <c r="AI678" i="1"/>
  <c r="AE678" i="1" s="1"/>
  <c r="W678" i="1"/>
  <c r="AI677" i="1"/>
  <c r="AE677" i="1" s="1"/>
  <c r="V677" i="1"/>
  <c r="AI676" i="1"/>
  <c r="AE676" i="1" s="1"/>
  <c r="V676" i="1"/>
  <c r="W676" i="1" s="1"/>
  <c r="AK675" i="1"/>
  <c r="AJ675" i="1"/>
  <c r="AI675" i="1"/>
  <c r="AE675" i="1" s="1"/>
  <c r="W675" i="1"/>
  <c r="AK674" i="1"/>
  <c r="AJ674" i="1"/>
  <c r="AI674" i="1"/>
  <c r="AE674" i="1" s="1"/>
  <c r="W674" i="1"/>
  <c r="AK673" i="1"/>
  <c r="AJ673" i="1"/>
  <c r="AI673" i="1"/>
  <c r="AE673" i="1" s="1"/>
  <c r="W673" i="1"/>
  <c r="AI672" i="1"/>
  <c r="AE672" i="1" s="1"/>
  <c r="V672" i="1"/>
  <c r="AK672" i="1" s="1"/>
  <c r="AI671" i="1"/>
  <c r="AE671" i="1" s="1"/>
  <c r="V671" i="1"/>
  <c r="AK670" i="1"/>
  <c r="AJ670" i="1"/>
  <c r="AI670" i="1"/>
  <c r="AE670" i="1" s="1"/>
  <c r="W670" i="1"/>
  <c r="AK669" i="1"/>
  <c r="AJ669" i="1"/>
  <c r="AI669" i="1"/>
  <c r="AE669" i="1" s="1"/>
  <c r="W669" i="1"/>
  <c r="AK668" i="1"/>
  <c r="AJ668" i="1"/>
  <c r="AI668" i="1"/>
  <c r="AE668" i="1" s="1"/>
  <c r="W668" i="1"/>
  <c r="AK667" i="1"/>
  <c r="AJ667" i="1"/>
  <c r="AI667" i="1"/>
  <c r="AE667" i="1" s="1"/>
  <c r="W667" i="1"/>
  <c r="AK666" i="1"/>
  <c r="AJ666" i="1"/>
  <c r="AI666" i="1"/>
  <c r="AE666" i="1" s="1"/>
  <c r="W666" i="1"/>
  <c r="AK665" i="1"/>
  <c r="AJ665" i="1"/>
  <c r="AI665" i="1"/>
  <c r="AE665" i="1" s="1"/>
  <c r="W665" i="1"/>
  <c r="AI664" i="1"/>
  <c r="AE664" i="1" s="1"/>
  <c r="V664" i="1"/>
  <c r="AI663" i="1"/>
  <c r="AE663" i="1" s="1"/>
  <c r="V663" i="1"/>
  <c r="AK662" i="1"/>
  <c r="AJ662" i="1"/>
  <c r="AI662" i="1"/>
  <c r="AE662" i="1" s="1"/>
  <c r="W662" i="1"/>
  <c r="AK661" i="1"/>
  <c r="AJ661" i="1"/>
  <c r="AI661" i="1"/>
  <c r="AE661" i="1" s="1"/>
  <c r="W661" i="1"/>
  <c r="AK660" i="1"/>
  <c r="AJ660" i="1"/>
  <c r="AI660" i="1"/>
  <c r="AE660" i="1" s="1"/>
  <c r="W660" i="1"/>
  <c r="AK659" i="1"/>
  <c r="AJ659" i="1"/>
  <c r="AI659" i="1"/>
  <c r="AE659" i="1" s="1"/>
  <c r="W659" i="1"/>
  <c r="AK658" i="1"/>
  <c r="AJ658" i="1"/>
  <c r="AI658" i="1"/>
  <c r="AE658" i="1" s="1"/>
  <c r="W658" i="1"/>
  <c r="AI657" i="1"/>
  <c r="AE657" i="1" s="1"/>
  <c r="AK656" i="1"/>
  <c r="AJ656" i="1"/>
  <c r="AI656" i="1"/>
  <c r="AE656" i="1" s="1"/>
  <c r="W656" i="1"/>
  <c r="AI655" i="1"/>
  <c r="AE655" i="1" s="1"/>
  <c r="V655" i="1"/>
  <c r="AK654" i="1"/>
  <c r="AJ654" i="1"/>
  <c r="AI654" i="1"/>
  <c r="AE654" i="1" s="1"/>
  <c r="W654" i="1"/>
  <c r="AK653" i="1"/>
  <c r="AJ653" i="1"/>
  <c r="AI653" i="1"/>
  <c r="AE653" i="1" s="1"/>
  <c r="W653" i="1"/>
  <c r="AK652" i="1"/>
  <c r="AJ652" i="1"/>
  <c r="AI652" i="1"/>
  <c r="AE652" i="1" s="1"/>
  <c r="W652" i="1"/>
  <c r="AK651" i="1"/>
  <c r="AJ651" i="1"/>
  <c r="AI651" i="1"/>
  <c r="AE651" i="1" s="1"/>
  <c r="W651" i="1"/>
  <c r="AK650" i="1"/>
  <c r="AJ650" i="1"/>
  <c r="AI650" i="1"/>
  <c r="AE650" i="1" s="1"/>
  <c r="W650" i="1"/>
  <c r="AI649" i="1"/>
  <c r="AE649" i="1" s="1"/>
  <c r="V649" i="1"/>
  <c r="AK648" i="1"/>
  <c r="AJ648" i="1"/>
  <c r="AI648" i="1"/>
  <c r="AE648" i="1" s="1"/>
  <c r="W648" i="1"/>
  <c r="AI647" i="1"/>
  <c r="AE647" i="1" s="1"/>
  <c r="V647" i="1"/>
  <c r="AK647" i="1" s="1"/>
  <c r="AK646" i="1"/>
  <c r="AJ646" i="1"/>
  <c r="AI646" i="1"/>
  <c r="AE646" i="1" s="1"/>
  <c r="W646" i="1"/>
  <c r="AK645" i="1"/>
  <c r="AJ645" i="1"/>
  <c r="AI645" i="1"/>
  <c r="AE645" i="1" s="1"/>
  <c r="W645" i="1"/>
  <c r="AK644" i="1"/>
  <c r="AJ644" i="1"/>
  <c r="AI644" i="1"/>
  <c r="AE644" i="1" s="1"/>
  <c r="W644" i="1"/>
  <c r="AK643" i="1"/>
  <c r="AJ643" i="1"/>
  <c r="AI643" i="1"/>
  <c r="AE643" i="1" s="1"/>
  <c r="W643" i="1"/>
  <c r="AK642" i="1"/>
  <c r="AJ642" i="1"/>
  <c r="AI642" i="1"/>
  <c r="AE642" i="1" s="1"/>
  <c r="W642" i="1"/>
  <c r="AI641" i="1"/>
  <c r="AE641" i="1" s="1"/>
  <c r="V641" i="1"/>
  <c r="AK640" i="1"/>
  <c r="AJ640" i="1"/>
  <c r="AI640" i="1"/>
  <c r="AE640" i="1" s="1"/>
  <c r="W640" i="1"/>
  <c r="AK639" i="1"/>
  <c r="AJ639" i="1"/>
  <c r="AI639" i="1"/>
  <c r="AE639" i="1" s="1"/>
  <c r="W639" i="1"/>
  <c r="AK638" i="1"/>
  <c r="AJ638" i="1"/>
  <c r="AI638" i="1"/>
  <c r="AE638" i="1" s="1"/>
  <c r="W638" i="1"/>
  <c r="AK637" i="1"/>
  <c r="AJ637" i="1"/>
  <c r="AI637" i="1"/>
  <c r="AE637" i="1" s="1"/>
  <c r="W637" i="1"/>
  <c r="AK636" i="1"/>
  <c r="AJ636" i="1"/>
  <c r="AI636" i="1"/>
  <c r="AE636" i="1" s="1"/>
  <c r="W636" i="1"/>
  <c r="AI635" i="1"/>
  <c r="AE635" i="1" s="1"/>
  <c r="V635" i="1"/>
  <c r="AK634" i="1"/>
  <c r="AJ634" i="1"/>
  <c r="AI634" i="1"/>
  <c r="AE634" i="1" s="1"/>
  <c r="W634" i="1"/>
  <c r="AK633" i="1"/>
  <c r="AJ633" i="1"/>
  <c r="AI633" i="1"/>
  <c r="AE633" i="1" s="1"/>
  <c r="W633" i="1"/>
  <c r="AK632" i="1"/>
  <c r="AJ632" i="1"/>
  <c r="AI632" i="1"/>
  <c r="AE632" i="1" s="1"/>
  <c r="W632" i="1"/>
  <c r="AK631" i="1"/>
  <c r="AJ631" i="1"/>
  <c r="AI631" i="1"/>
  <c r="AE631" i="1" s="1"/>
  <c r="W631" i="1"/>
  <c r="AI630" i="1"/>
  <c r="AE630" i="1" s="1"/>
  <c r="V630" i="1"/>
  <c r="W630" i="1" s="1"/>
  <c r="AK629" i="1"/>
  <c r="AJ629" i="1"/>
  <c r="AI629" i="1"/>
  <c r="AE629" i="1" s="1"/>
  <c r="W629" i="1"/>
  <c r="AI628" i="1"/>
  <c r="AE628" i="1" s="1"/>
  <c r="V628" i="1"/>
  <c r="AK628" i="1" s="1"/>
  <c r="AI627" i="1"/>
  <c r="AE627" i="1" s="1"/>
  <c r="V627" i="1"/>
  <c r="W627" i="1" s="1"/>
  <c r="AI626" i="1"/>
  <c r="AE626" i="1" s="1"/>
  <c r="V626" i="1"/>
  <c r="AK626" i="1" s="1"/>
  <c r="AI625" i="1"/>
  <c r="AE625" i="1" s="1"/>
  <c r="V625" i="1"/>
  <c r="AK624" i="1"/>
  <c r="AJ624" i="1"/>
  <c r="AI624" i="1"/>
  <c r="AE624" i="1" s="1"/>
  <c r="W624" i="1"/>
  <c r="AI623" i="1"/>
  <c r="AE623" i="1" s="1"/>
  <c r="V623" i="1"/>
  <c r="AK623" i="1" s="1"/>
  <c r="AK622" i="1"/>
  <c r="AJ622" i="1"/>
  <c r="AI622" i="1"/>
  <c r="AE622" i="1" s="1"/>
  <c r="W622" i="1"/>
  <c r="AK621" i="1"/>
  <c r="AJ621" i="1"/>
  <c r="AI621" i="1"/>
  <c r="AE621" i="1" s="1"/>
  <c r="W621" i="1"/>
  <c r="AI620" i="1"/>
  <c r="AE620" i="1" s="1"/>
  <c r="V620" i="1"/>
  <c r="AK619" i="1"/>
  <c r="AJ619" i="1"/>
  <c r="AI619" i="1"/>
  <c r="AE619" i="1" s="1"/>
  <c r="W619" i="1"/>
  <c r="AK618" i="1"/>
  <c r="AJ618" i="1"/>
  <c r="AI618" i="1"/>
  <c r="AE618" i="1" s="1"/>
  <c r="W618" i="1"/>
  <c r="AI617" i="1"/>
  <c r="AE617" i="1" s="1"/>
  <c r="V617" i="1"/>
  <c r="AK617" i="1" s="1"/>
  <c r="AI616" i="1"/>
  <c r="AE616" i="1" s="1"/>
  <c r="V616" i="1"/>
  <c r="AJ616" i="1" s="1"/>
  <c r="AI615" i="1"/>
  <c r="AE615" i="1" s="1"/>
  <c r="V615" i="1"/>
  <c r="AJ615" i="1" s="1"/>
  <c r="AK614" i="1"/>
  <c r="AJ614" i="1"/>
  <c r="AI614" i="1"/>
  <c r="AE614" i="1" s="1"/>
  <c r="W614" i="1"/>
  <c r="AK613" i="1"/>
  <c r="AJ613" i="1"/>
  <c r="AI613" i="1"/>
  <c r="AE613" i="1" s="1"/>
  <c r="W613" i="1"/>
  <c r="AK612" i="1"/>
  <c r="AJ612" i="1"/>
  <c r="AI612" i="1"/>
  <c r="AE612" i="1" s="1"/>
  <c r="W612" i="1"/>
  <c r="AK611" i="1"/>
  <c r="AJ611" i="1"/>
  <c r="AI611" i="1"/>
  <c r="AE611" i="1" s="1"/>
  <c r="W611" i="1"/>
  <c r="AK610" i="1"/>
  <c r="AJ610" i="1"/>
  <c r="AI610" i="1"/>
  <c r="AE610" i="1" s="1"/>
  <c r="W610" i="1"/>
  <c r="AK609" i="1"/>
  <c r="AJ609" i="1"/>
  <c r="AI609" i="1"/>
  <c r="AE609" i="1" s="1"/>
  <c r="W609" i="1"/>
  <c r="AK608" i="1"/>
  <c r="AJ608" i="1"/>
  <c r="AI608" i="1"/>
  <c r="AE608" i="1" s="1"/>
  <c r="W608" i="1"/>
  <c r="AK607" i="1"/>
  <c r="AJ607" i="1"/>
  <c r="AI607" i="1"/>
  <c r="AE607" i="1" s="1"/>
  <c r="W607" i="1"/>
  <c r="AI606" i="1"/>
  <c r="AE606" i="1" s="1"/>
  <c r="V606" i="1"/>
  <c r="AJ606" i="1" s="1"/>
  <c r="AK605" i="1"/>
  <c r="AJ605" i="1"/>
  <c r="AI605" i="1"/>
  <c r="AE605" i="1" s="1"/>
  <c r="W605" i="1"/>
  <c r="AK604" i="1"/>
  <c r="AJ604" i="1"/>
  <c r="AI604" i="1"/>
  <c r="AE604" i="1" s="1"/>
  <c r="W604" i="1"/>
  <c r="AK603" i="1"/>
  <c r="AJ603" i="1"/>
  <c r="AI603" i="1"/>
  <c r="AE603" i="1" s="1"/>
  <c r="W603" i="1"/>
  <c r="AK602" i="1"/>
  <c r="AJ602" i="1"/>
  <c r="AI602" i="1"/>
  <c r="AE602" i="1" s="1"/>
  <c r="W602" i="1"/>
  <c r="AK601" i="1"/>
  <c r="AJ601" i="1"/>
  <c r="AI601" i="1"/>
  <c r="AE601" i="1" s="1"/>
  <c r="W601" i="1"/>
  <c r="AK600" i="1"/>
  <c r="AJ600" i="1"/>
  <c r="AI600" i="1"/>
  <c r="AE600" i="1" s="1"/>
  <c r="W600" i="1"/>
  <c r="AK599" i="1"/>
  <c r="AJ599" i="1"/>
  <c r="AI599" i="1"/>
  <c r="AE599" i="1" s="1"/>
  <c r="W599" i="1"/>
  <c r="AI598" i="1"/>
  <c r="AE598" i="1" s="1"/>
  <c r="V598" i="1"/>
  <c r="W598" i="1" s="1"/>
  <c r="AK597" i="1"/>
  <c r="AJ597" i="1"/>
  <c r="AI597" i="1"/>
  <c r="AE597" i="1" s="1"/>
  <c r="W597" i="1"/>
  <c r="AK596" i="1"/>
  <c r="AJ596" i="1"/>
  <c r="AI596" i="1"/>
  <c r="AE596" i="1" s="1"/>
  <c r="W596" i="1"/>
  <c r="AK595" i="1"/>
  <c r="AJ595" i="1"/>
  <c r="AI595" i="1"/>
  <c r="AE595" i="1" s="1"/>
  <c r="W595" i="1"/>
  <c r="AK594" i="1"/>
  <c r="AJ594" i="1"/>
  <c r="AI594" i="1"/>
  <c r="AE594" i="1" s="1"/>
  <c r="W594" i="1"/>
  <c r="AI593" i="1"/>
  <c r="AE593" i="1" s="1"/>
  <c r="V593" i="1"/>
  <c r="AK593" i="1" s="1"/>
  <c r="AK592" i="1"/>
  <c r="AJ592" i="1"/>
  <c r="AI592" i="1"/>
  <c r="AE592" i="1" s="1"/>
  <c r="W592" i="1"/>
  <c r="AK591" i="1"/>
  <c r="AJ591" i="1"/>
  <c r="AI591" i="1"/>
  <c r="AE591" i="1" s="1"/>
  <c r="W591" i="1"/>
  <c r="AK590" i="1"/>
  <c r="AJ590" i="1"/>
  <c r="AI590" i="1"/>
  <c r="AE590" i="1" s="1"/>
  <c r="W590" i="1"/>
  <c r="AI589" i="1"/>
  <c r="AE589" i="1" s="1"/>
  <c r="V589" i="1"/>
  <c r="AI588" i="1"/>
  <c r="AE588" i="1" s="1"/>
  <c r="V588" i="1"/>
  <c r="AK588" i="1" s="1"/>
  <c r="AI587" i="1"/>
  <c r="AE587" i="1" s="1"/>
  <c r="V587" i="1"/>
  <c r="AK587" i="1" s="1"/>
  <c r="AI586" i="1"/>
  <c r="AE586" i="1" s="1"/>
  <c r="V586" i="1"/>
  <c r="AK585" i="1"/>
  <c r="AJ585" i="1"/>
  <c r="AI585" i="1"/>
  <c r="AE585" i="1" s="1"/>
  <c r="W585" i="1"/>
  <c r="AK584" i="1"/>
  <c r="AJ584" i="1"/>
  <c r="AI584" i="1"/>
  <c r="AE584" i="1" s="1"/>
  <c r="AF584" i="1"/>
  <c r="W584" i="1"/>
  <c r="AI583" i="1"/>
  <c r="AE583" i="1" s="1"/>
  <c r="V583" i="1"/>
  <c r="AK582" i="1"/>
  <c r="AJ582" i="1"/>
  <c r="AI582" i="1"/>
  <c r="AE582" i="1" s="1"/>
  <c r="W582" i="1"/>
  <c r="AK581" i="1"/>
  <c r="AJ581" i="1"/>
  <c r="AI581" i="1"/>
  <c r="AE581" i="1" s="1"/>
  <c r="W581" i="1"/>
  <c r="AK580" i="1"/>
  <c r="AJ580" i="1"/>
  <c r="AI580" i="1"/>
  <c r="AE580" i="1" s="1"/>
  <c r="W580" i="1"/>
  <c r="AK579" i="1"/>
  <c r="AJ579" i="1"/>
  <c r="AI579" i="1"/>
  <c r="AE579" i="1" s="1"/>
  <c r="W579" i="1"/>
  <c r="AK578" i="1"/>
  <c r="AJ578" i="1"/>
  <c r="AI578" i="1"/>
  <c r="AE578" i="1" s="1"/>
  <c r="W578" i="1"/>
  <c r="AK577" i="1"/>
  <c r="AJ577" i="1"/>
  <c r="AI577" i="1"/>
  <c r="AE577" i="1" s="1"/>
  <c r="W577" i="1"/>
  <c r="AK576" i="1"/>
  <c r="AJ576" i="1"/>
  <c r="AI576" i="1"/>
  <c r="AE576" i="1" s="1"/>
  <c r="W576" i="1"/>
  <c r="AI575" i="1"/>
  <c r="AE575" i="1" s="1"/>
  <c r="V575" i="1"/>
  <c r="AJ575" i="1" s="1"/>
  <c r="AI574" i="1"/>
  <c r="AE574" i="1" s="1"/>
  <c r="V574" i="1"/>
  <c r="AJ574" i="1" s="1"/>
  <c r="AK573" i="1"/>
  <c r="AJ573" i="1"/>
  <c r="AI573" i="1"/>
  <c r="AE573" i="1" s="1"/>
  <c r="W573" i="1"/>
  <c r="AK572" i="1"/>
  <c r="AJ572" i="1"/>
  <c r="AI572" i="1"/>
  <c r="AE572" i="1" s="1"/>
  <c r="W572" i="1"/>
  <c r="AK571" i="1"/>
  <c r="AJ571" i="1"/>
  <c r="AI571" i="1"/>
  <c r="AE571" i="1" s="1"/>
  <c r="W571" i="1"/>
  <c r="AK570" i="1"/>
  <c r="AJ570" i="1"/>
  <c r="AI570" i="1"/>
  <c r="AE570" i="1" s="1"/>
  <c r="W570" i="1"/>
  <c r="AK569" i="1"/>
  <c r="AJ569" i="1"/>
  <c r="AI569" i="1"/>
  <c r="AE569" i="1" s="1"/>
  <c r="W569" i="1"/>
  <c r="AK568" i="1"/>
  <c r="AJ568" i="1"/>
  <c r="AI568" i="1"/>
  <c r="AE568" i="1" s="1"/>
  <c r="W568" i="1"/>
  <c r="AK567" i="1"/>
  <c r="AJ567" i="1"/>
  <c r="AI567" i="1"/>
  <c r="AE567" i="1" s="1"/>
  <c r="W567" i="1"/>
  <c r="AK566" i="1"/>
  <c r="AJ566" i="1"/>
  <c r="AI566" i="1"/>
  <c r="AE566" i="1" s="1"/>
  <c r="W566" i="1"/>
  <c r="AK565" i="1"/>
  <c r="AJ565" i="1"/>
  <c r="AI565" i="1"/>
  <c r="AE565" i="1" s="1"/>
  <c r="W565" i="1"/>
  <c r="AK564" i="1"/>
  <c r="AJ564" i="1"/>
  <c r="AI564" i="1"/>
  <c r="AE564" i="1" s="1"/>
  <c r="W564" i="1"/>
  <c r="AK563" i="1"/>
  <c r="AJ563" i="1"/>
  <c r="AI563" i="1"/>
  <c r="AE563" i="1" s="1"/>
  <c r="W563" i="1"/>
  <c r="AK562" i="1"/>
  <c r="AJ562" i="1"/>
  <c r="AI562" i="1"/>
  <c r="AE562" i="1" s="1"/>
  <c r="AK561" i="1"/>
  <c r="AJ561" i="1"/>
  <c r="AI561" i="1"/>
  <c r="AE561" i="1" s="1"/>
  <c r="W561" i="1"/>
  <c r="AK560" i="1"/>
  <c r="AJ560" i="1"/>
  <c r="AI560" i="1"/>
  <c r="AE560" i="1" s="1"/>
  <c r="W560" i="1"/>
  <c r="AI559" i="1"/>
  <c r="AE559" i="1" s="1"/>
  <c r="V559" i="1"/>
  <c r="AI558" i="1"/>
  <c r="AE558" i="1" s="1"/>
  <c r="V558" i="1"/>
  <c r="AK558" i="1" s="1"/>
  <c r="AK557" i="1"/>
  <c r="AJ557" i="1"/>
  <c r="AI557" i="1"/>
  <c r="AE557" i="1" s="1"/>
  <c r="W557" i="1"/>
  <c r="AK556" i="1"/>
  <c r="AJ556" i="1"/>
  <c r="AI556" i="1"/>
  <c r="AE556" i="1" s="1"/>
  <c r="W556" i="1"/>
  <c r="AI555" i="1"/>
  <c r="AE555" i="1" s="1"/>
  <c r="V555" i="1"/>
  <c r="W555" i="1" s="1"/>
  <c r="AK554" i="1"/>
  <c r="AJ554" i="1"/>
  <c r="AI554" i="1"/>
  <c r="AE554" i="1" s="1"/>
  <c r="W554" i="1"/>
  <c r="AK553" i="1"/>
  <c r="AJ553" i="1"/>
  <c r="AI553" i="1"/>
  <c r="AE553" i="1" s="1"/>
  <c r="W553" i="1"/>
  <c r="AK552" i="1"/>
  <c r="AJ552" i="1"/>
  <c r="AI552" i="1"/>
  <c r="AE552" i="1" s="1"/>
  <c r="W552" i="1"/>
  <c r="AK551" i="1"/>
  <c r="AJ551" i="1"/>
  <c r="AI551" i="1"/>
  <c r="AE551" i="1" s="1"/>
  <c r="W551" i="1"/>
  <c r="AK550" i="1"/>
  <c r="AJ550" i="1"/>
  <c r="AI550" i="1"/>
  <c r="AE550" i="1" s="1"/>
  <c r="W550" i="1"/>
  <c r="AI549" i="1"/>
  <c r="AE549" i="1" s="1"/>
  <c r="V549" i="1"/>
  <c r="AK549" i="1" s="1"/>
  <c r="AI548" i="1"/>
  <c r="AE548" i="1" s="1"/>
  <c r="V548" i="1"/>
  <c r="W548" i="1" s="1"/>
  <c r="AK547" i="1"/>
  <c r="AJ547" i="1"/>
  <c r="AI547" i="1"/>
  <c r="AE547" i="1" s="1"/>
  <c r="W547" i="1"/>
  <c r="AK546" i="1"/>
  <c r="AJ546" i="1"/>
  <c r="AI546" i="1"/>
  <c r="AE546" i="1" s="1"/>
  <c r="W546" i="1"/>
  <c r="AI545" i="1"/>
  <c r="AE545" i="1" s="1"/>
  <c r="V545" i="1"/>
  <c r="AJ545" i="1" s="1"/>
  <c r="AI544" i="1"/>
  <c r="AE544" i="1" s="1"/>
  <c r="V544" i="1"/>
  <c r="W544" i="1" s="1"/>
  <c r="AK543" i="1"/>
  <c r="AJ543" i="1"/>
  <c r="AI543" i="1"/>
  <c r="AE543" i="1" s="1"/>
  <c r="W543" i="1"/>
  <c r="AK542" i="1"/>
  <c r="AJ542" i="1"/>
  <c r="AI542" i="1"/>
  <c r="AE542" i="1" s="1"/>
  <c r="W542" i="1"/>
  <c r="AK541" i="1"/>
  <c r="AJ541" i="1"/>
  <c r="AI541" i="1"/>
  <c r="AE541" i="1" s="1"/>
  <c r="W541" i="1"/>
  <c r="AK540" i="1"/>
  <c r="AJ540" i="1"/>
  <c r="AI540" i="1"/>
  <c r="AE540" i="1" s="1"/>
  <c r="W540" i="1"/>
  <c r="AK539" i="1"/>
  <c r="AJ539" i="1"/>
  <c r="AI539" i="1"/>
  <c r="AE539" i="1" s="1"/>
  <c r="W539" i="1"/>
  <c r="AI538" i="1"/>
  <c r="AE538" i="1" s="1"/>
  <c r="V538" i="1"/>
  <c r="W538" i="1" s="1"/>
  <c r="AI537" i="1"/>
  <c r="AE537" i="1" s="1"/>
  <c r="V537" i="1"/>
  <c r="W537" i="1" s="1"/>
  <c r="AI536" i="1"/>
  <c r="AE536" i="1" s="1"/>
  <c r="V536" i="1"/>
  <c r="W536" i="1" s="1"/>
  <c r="AK535" i="1"/>
  <c r="AJ535" i="1"/>
  <c r="AI535" i="1"/>
  <c r="AE535" i="1" s="1"/>
  <c r="W535" i="1"/>
  <c r="AK534" i="1"/>
  <c r="AJ534" i="1"/>
  <c r="AI534" i="1"/>
  <c r="AE534" i="1" s="1"/>
  <c r="W534" i="1"/>
  <c r="AK533" i="1"/>
  <c r="AJ533" i="1"/>
  <c r="AI533" i="1"/>
  <c r="AE533" i="1" s="1"/>
  <c r="W533" i="1"/>
  <c r="AK532" i="1"/>
  <c r="AJ532" i="1"/>
  <c r="AI532" i="1"/>
  <c r="AE532" i="1" s="1"/>
  <c r="W532" i="1"/>
  <c r="AK531" i="1"/>
  <c r="AJ531" i="1"/>
  <c r="AI531" i="1"/>
  <c r="AE531" i="1" s="1"/>
  <c r="W531" i="1"/>
  <c r="AK530" i="1"/>
  <c r="AJ530" i="1"/>
  <c r="AI530" i="1"/>
  <c r="AE530" i="1" s="1"/>
  <c r="W530" i="1"/>
  <c r="AJ529" i="1"/>
  <c r="AI529" i="1"/>
  <c r="AE529" i="1" s="1"/>
  <c r="AK528" i="1"/>
  <c r="AJ528" i="1"/>
  <c r="AI528" i="1"/>
  <c r="AE528" i="1" s="1"/>
  <c r="W528" i="1"/>
  <c r="AK527" i="1"/>
  <c r="AJ527" i="1"/>
  <c r="AI527" i="1"/>
  <c r="AE527" i="1" s="1"/>
  <c r="W527" i="1"/>
  <c r="AI526" i="1"/>
  <c r="AE526" i="1" s="1"/>
  <c r="V526" i="1"/>
  <c r="AK526" i="1" s="1"/>
  <c r="AI525" i="1"/>
  <c r="AE525" i="1" s="1"/>
  <c r="V525" i="1"/>
  <c r="W525" i="1" s="1"/>
  <c r="AK524" i="1"/>
  <c r="AJ524" i="1"/>
  <c r="AI524" i="1"/>
  <c r="AE524" i="1" s="1"/>
  <c r="W524" i="1"/>
  <c r="AK523" i="1"/>
  <c r="AJ523" i="1"/>
  <c r="AI523" i="1"/>
  <c r="AE523" i="1" s="1"/>
  <c r="W523" i="1"/>
  <c r="AK522" i="1"/>
  <c r="AJ522" i="1"/>
  <c r="AI522" i="1"/>
  <c r="AE522" i="1" s="1"/>
  <c r="W522" i="1"/>
  <c r="AK521" i="1"/>
  <c r="AJ521" i="1"/>
  <c r="AI521" i="1"/>
  <c r="AE521" i="1" s="1"/>
  <c r="W521" i="1"/>
  <c r="AK520" i="1"/>
  <c r="AJ520" i="1"/>
  <c r="AI520" i="1"/>
  <c r="AE520" i="1" s="1"/>
  <c r="W520" i="1"/>
  <c r="AK519" i="1"/>
  <c r="AJ519" i="1"/>
  <c r="AI519" i="1"/>
  <c r="AE519" i="1" s="1"/>
  <c r="W519" i="1"/>
  <c r="AI518" i="1"/>
  <c r="AE518" i="1" s="1"/>
  <c r="V518" i="1"/>
  <c r="AI517" i="1"/>
  <c r="AE517" i="1" s="1"/>
  <c r="V517" i="1"/>
  <c r="AK517" i="1" s="1"/>
  <c r="AI516" i="1"/>
  <c r="AE516" i="1" s="1"/>
  <c r="V516" i="1"/>
  <c r="AJ516" i="1" s="1"/>
  <c r="AK515" i="1"/>
  <c r="AJ515" i="1"/>
  <c r="AI515" i="1"/>
  <c r="AE515" i="1" s="1"/>
  <c r="W515" i="1"/>
  <c r="AK514" i="1"/>
  <c r="AJ514" i="1"/>
  <c r="AI514" i="1"/>
  <c r="AE514" i="1" s="1"/>
  <c r="W514" i="1"/>
  <c r="AI513" i="1"/>
  <c r="AE513" i="1" s="1"/>
  <c r="V513" i="1"/>
  <c r="AJ513" i="1" s="1"/>
  <c r="AI512" i="1"/>
  <c r="AE512" i="1" s="1"/>
  <c r="V512" i="1"/>
  <c r="W512" i="1" s="1"/>
  <c r="AK511" i="1"/>
  <c r="AJ511" i="1"/>
  <c r="AI511" i="1"/>
  <c r="AE511" i="1" s="1"/>
  <c r="W511" i="1"/>
  <c r="AK510" i="1"/>
  <c r="AJ510" i="1"/>
  <c r="AI510" i="1"/>
  <c r="AE510" i="1" s="1"/>
  <c r="W510" i="1"/>
  <c r="AK509" i="1"/>
  <c r="AJ509" i="1"/>
  <c r="AI509" i="1"/>
  <c r="AE509" i="1" s="1"/>
  <c r="W509" i="1"/>
  <c r="AK508" i="1"/>
  <c r="AJ508" i="1"/>
  <c r="AI508" i="1"/>
  <c r="AE508" i="1" s="1"/>
  <c r="W508" i="1"/>
  <c r="AI507" i="1"/>
  <c r="AE507" i="1" s="1"/>
  <c r="V507" i="1"/>
  <c r="W507" i="1" s="1"/>
  <c r="AI506" i="1"/>
  <c r="AE506" i="1" s="1"/>
  <c r="V506" i="1"/>
  <c r="W506" i="1" s="1"/>
  <c r="AK505" i="1"/>
  <c r="AJ505" i="1"/>
  <c r="AI505" i="1"/>
  <c r="AE505" i="1" s="1"/>
  <c r="W505" i="1"/>
  <c r="AK504" i="1"/>
  <c r="AJ504" i="1"/>
  <c r="AI504" i="1"/>
  <c r="AE504" i="1" s="1"/>
  <c r="W504" i="1"/>
  <c r="AK503" i="1"/>
  <c r="AJ503" i="1"/>
  <c r="AI503" i="1"/>
  <c r="AE503" i="1" s="1"/>
  <c r="W503" i="1"/>
  <c r="AK502" i="1"/>
  <c r="AJ502" i="1"/>
  <c r="AI502" i="1"/>
  <c r="AE502" i="1" s="1"/>
  <c r="W502" i="1"/>
  <c r="AK501" i="1"/>
  <c r="AJ501" i="1"/>
  <c r="AI501" i="1"/>
  <c r="AE501" i="1" s="1"/>
  <c r="W501" i="1"/>
  <c r="AK500" i="1"/>
  <c r="AJ500" i="1"/>
  <c r="AI500" i="1"/>
  <c r="AE500" i="1" s="1"/>
  <c r="W500" i="1"/>
  <c r="AI499" i="1"/>
  <c r="AE499" i="1" s="1"/>
  <c r="V499" i="1"/>
  <c r="AI498" i="1"/>
  <c r="AE498" i="1" s="1"/>
  <c r="V498" i="1"/>
  <c r="AK497" i="1"/>
  <c r="AJ497" i="1"/>
  <c r="AI497" i="1"/>
  <c r="AE497" i="1" s="1"/>
  <c r="W497" i="1"/>
  <c r="AK496" i="1"/>
  <c r="AJ496" i="1"/>
  <c r="AI496" i="1"/>
  <c r="AE496" i="1" s="1"/>
  <c r="W496" i="1"/>
  <c r="AK495" i="1"/>
  <c r="AJ495" i="1"/>
  <c r="AI495" i="1"/>
  <c r="AE495" i="1" s="1"/>
  <c r="W495" i="1"/>
  <c r="AI494" i="1"/>
  <c r="AE494" i="1" s="1"/>
  <c r="V494" i="1"/>
  <c r="AJ494" i="1" s="1"/>
  <c r="AK493" i="1"/>
  <c r="AJ493" i="1"/>
  <c r="AI493" i="1"/>
  <c r="AE493" i="1" s="1"/>
  <c r="W493" i="1"/>
  <c r="AK492" i="1"/>
  <c r="AJ492" i="1"/>
  <c r="AI492" i="1"/>
  <c r="AE492" i="1" s="1"/>
  <c r="W492" i="1"/>
  <c r="AI491" i="1"/>
  <c r="AE491" i="1" s="1"/>
  <c r="V491" i="1"/>
  <c r="AJ491" i="1" s="1"/>
  <c r="AK490" i="1"/>
  <c r="AJ490" i="1"/>
  <c r="AI490" i="1"/>
  <c r="AE490" i="1" s="1"/>
  <c r="W490" i="1"/>
  <c r="AK489" i="1"/>
  <c r="AJ489" i="1"/>
  <c r="AI489" i="1"/>
  <c r="AE489" i="1" s="1"/>
  <c r="W489" i="1"/>
  <c r="AK488" i="1"/>
  <c r="AJ488" i="1"/>
  <c r="AI488" i="1"/>
  <c r="AE488" i="1" s="1"/>
  <c r="AI487" i="1"/>
  <c r="AE487" i="1" s="1"/>
  <c r="V487" i="1"/>
  <c r="AK486" i="1"/>
  <c r="AJ486" i="1"/>
  <c r="AI486" i="1"/>
  <c r="AE486" i="1" s="1"/>
  <c r="W486" i="1"/>
  <c r="AK485" i="1"/>
  <c r="AJ485" i="1"/>
  <c r="AI485" i="1"/>
  <c r="AE485" i="1" s="1"/>
  <c r="W485" i="1"/>
  <c r="AI484" i="1"/>
  <c r="AE484" i="1" s="1"/>
  <c r="V484" i="1"/>
  <c r="AI483" i="1"/>
  <c r="AE483" i="1" s="1"/>
  <c r="V483" i="1"/>
  <c r="AK483" i="1" s="1"/>
  <c r="AK482" i="1"/>
  <c r="AJ482" i="1"/>
  <c r="AI482" i="1"/>
  <c r="AE482" i="1" s="1"/>
  <c r="W482" i="1"/>
  <c r="AK481" i="1"/>
  <c r="AJ481" i="1"/>
  <c r="AI481" i="1"/>
  <c r="AE481" i="1" s="1"/>
  <c r="W481" i="1"/>
  <c r="AK480" i="1"/>
  <c r="AJ480" i="1"/>
  <c r="AI480" i="1"/>
  <c r="AE480" i="1" s="1"/>
  <c r="W480" i="1"/>
  <c r="AI479" i="1"/>
  <c r="AE479" i="1" s="1"/>
  <c r="V479" i="1"/>
  <c r="AJ479" i="1" s="1"/>
  <c r="AK478" i="1"/>
  <c r="AJ478" i="1"/>
  <c r="AI478" i="1"/>
  <c r="AE478" i="1" s="1"/>
  <c r="W478" i="1"/>
  <c r="AK477" i="1"/>
  <c r="AJ477" i="1"/>
  <c r="AI477" i="1"/>
  <c r="AE477" i="1" s="1"/>
  <c r="W477" i="1"/>
  <c r="AK476" i="1"/>
  <c r="AJ476" i="1"/>
  <c r="AI476" i="1"/>
  <c r="AE476" i="1" s="1"/>
  <c r="W476" i="1"/>
  <c r="AI475" i="1"/>
  <c r="AE475" i="1" s="1"/>
  <c r="V475" i="1"/>
  <c r="AK475" i="1" s="1"/>
  <c r="AK474" i="1"/>
  <c r="AJ474" i="1"/>
  <c r="AI474" i="1"/>
  <c r="AE474" i="1" s="1"/>
  <c r="W474" i="1"/>
  <c r="AI473" i="1"/>
  <c r="AE473" i="1" s="1"/>
  <c r="V473" i="1"/>
  <c r="AK472" i="1"/>
  <c r="AJ472" i="1"/>
  <c r="AI472" i="1"/>
  <c r="AE472" i="1" s="1"/>
  <c r="W472" i="1"/>
  <c r="AK471" i="1"/>
  <c r="AJ471" i="1"/>
  <c r="AI471" i="1"/>
  <c r="AE471" i="1" s="1"/>
  <c r="W471" i="1"/>
  <c r="AK470" i="1"/>
  <c r="AJ470" i="1"/>
  <c r="AI470" i="1"/>
  <c r="AE470" i="1" s="1"/>
  <c r="W470" i="1"/>
  <c r="AK469" i="1"/>
  <c r="AJ469" i="1"/>
  <c r="AI469" i="1"/>
  <c r="AE469" i="1" s="1"/>
  <c r="AK468" i="1"/>
  <c r="AJ468" i="1"/>
  <c r="AI468" i="1"/>
  <c r="AE468" i="1" s="1"/>
  <c r="W468" i="1"/>
  <c r="AK467" i="1"/>
  <c r="AJ467" i="1"/>
  <c r="AI467" i="1"/>
  <c r="AE467" i="1" s="1"/>
  <c r="W467" i="1"/>
  <c r="AK466" i="1"/>
  <c r="AJ466" i="1"/>
  <c r="AI466" i="1"/>
  <c r="AE466" i="1" s="1"/>
  <c r="W466" i="1"/>
  <c r="AI465" i="1"/>
  <c r="AE465" i="1" s="1"/>
  <c r="V465" i="1"/>
  <c r="AJ465" i="1" s="1"/>
  <c r="AI464" i="1"/>
  <c r="AE464" i="1" s="1"/>
  <c r="V464" i="1"/>
  <c r="AJ464" i="1" s="1"/>
  <c r="AI463" i="1"/>
  <c r="AE463" i="1" s="1"/>
  <c r="V463" i="1"/>
  <c r="AK463" i="1" s="1"/>
  <c r="AK462" i="1"/>
  <c r="AJ462" i="1"/>
  <c r="AI462" i="1"/>
  <c r="AE462" i="1" s="1"/>
  <c r="W462" i="1"/>
  <c r="AI461" i="1"/>
  <c r="AE461" i="1" s="1"/>
  <c r="V461" i="1"/>
  <c r="AK461" i="1" s="1"/>
  <c r="AK460" i="1"/>
  <c r="AJ460" i="1"/>
  <c r="AI460" i="1"/>
  <c r="AE460" i="1" s="1"/>
  <c r="W460" i="1"/>
  <c r="AK459" i="1"/>
  <c r="AJ459" i="1"/>
  <c r="AI459" i="1"/>
  <c r="AE459" i="1" s="1"/>
  <c r="W459" i="1"/>
  <c r="AK458" i="1"/>
  <c r="AJ458" i="1"/>
  <c r="AI458" i="1"/>
  <c r="AE458" i="1" s="1"/>
  <c r="W458" i="1"/>
  <c r="AK457" i="1"/>
  <c r="AJ457" i="1"/>
  <c r="AI457" i="1"/>
  <c r="AE457" i="1" s="1"/>
  <c r="W457" i="1"/>
  <c r="AK456" i="1"/>
  <c r="AJ456" i="1"/>
  <c r="AI456" i="1"/>
  <c r="AE456" i="1" s="1"/>
  <c r="W456" i="1"/>
  <c r="AK455" i="1"/>
  <c r="AJ455" i="1"/>
  <c r="AI455" i="1"/>
  <c r="AE455" i="1" s="1"/>
  <c r="AK454" i="1"/>
  <c r="AJ454" i="1"/>
  <c r="AI454" i="1"/>
  <c r="AE454" i="1" s="1"/>
  <c r="W454" i="1"/>
  <c r="AK453" i="1"/>
  <c r="AJ453" i="1"/>
  <c r="AI453" i="1"/>
  <c r="AE453" i="1" s="1"/>
  <c r="W453" i="1"/>
  <c r="AK452" i="1"/>
  <c r="AJ452" i="1"/>
  <c r="AI452" i="1"/>
  <c r="AE452" i="1" s="1"/>
  <c r="W452" i="1"/>
  <c r="AK451" i="1"/>
  <c r="AJ451" i="1"/>
  <c r="AI451" i="1"/>
  <c r="AE451" i="1" s="1"/>
  <c r="W451" i="1"/>
  <c r="AK450" i="1"/>
  <c r="AJ450" i="1"/>
  <c r="AI450" i="1"/>
  <c r="AE450" i="1" s="1"/>
  <c r="W450" i="1"/>
  <c r="AK449" i="1"/>
  <c r="AJ449" i="1"/>
  <c r="AI449" i="1"/>
  <c r="AE449" i="1" s="1"/>
  <c r="W449" i="1"/>
  <c r="AK448" i="1"/>
  <c r="AJ448" i="1"/>
  <c r="AI448" i="1"/>
  <c r="AE448" i="1" s="1"/>
  <c r="W448" i="1"/>
  <c r="AI447" i="1"/>
  <c r="AE447" i="1" s="1"/>
  <c r="V447" i="1"/>
  <c r="AJ447" i="1" s="1"/>
  <c r="AK446" i="1"/>
  <c r="AJ446" i="1"/>
  <c r="AI446" i="1"/>
  <c r="AE446" i="1" s="1"/>
  <c r="W446" i="1"/>
  <c r="AK445" i="1"/>
  <c r="AJ445" i="1"/>
  <c r="AI445" i="1"/>
  <c r="AE445" i="1" s="1"/>
  <c r="W445" i="1"/>
  <c r="AI444" i="1"/>
  <c r="AE444" i="1" s="1"/>
  <c r="V444" i="1"/>
  <c r="W444" i="1" s="1"/>
  <c r="AI443" i="1"/>
  <c r="AE443" i="1" s="1"/>
  <c r="V443" i="1"/>
  <c r="AI442" i="1"/>
  <c r="AE442" i="1" s="1"/>
  <c r="V442" i="1"/>
  <c r="AI441" i="1"/>
  <c r="AE441" i="1" s="1"/>
  <c r="V441" i="1"/>
  <c r="AK441" i="1" s="1"/>
  <c r="AK440" i="1"/>
  <c r="AJ440" i="1"/>
  <c r="AI440" i="1"/>
  <c r="AE440" i="1" s="1"/>
  <c r="W440" i="1"/>
  <c r="AK439" i="1"/>
  <c r="AJ439" i="1"/>
  <c r="AI439" i="1"/>
  <c r="AE439" i="1" s="1"/>
  <c r="W439" i="1"/>
  <c r="AK438" i="1"/>
  <c r="AJ438" i="1"/>
  <c r="AI438" i="1"/>
  <c r="AE438" i="1" s="1"/>
  <c r="W438" i="1"/>
  <c r="AK437" i="1"/>
  <c r="AJ437" i="1"/>
  <c r="AI437" i="1"/>
  <c r="AE437" i="1" s="1"/>
  <c r="W437" i="1"/>
  <c r="AI436" i="1"/>
  <c r="AE436" i="1" s="1"/>
  <c r="V436" i="1"/>
  <c r="AK436" i="1" s="1"/>
  <c r="AK435" i="1"/>
  <c r="AJ435" i="1"/>
  <c r="AI435" i="1"/>
  <c r="AE435" i="1" s="1"/>
  <c r="W435" i="1"/>
  <c r="AK434" i="1"/>
  <c r="AJ434" i="1"/>
  <c r="AI434" i="1"/>
  <c r="AE434" i="1" s="1"/>
  <c r="W434" i="1"/>
  <c r="AI433" i="1"/>
  <c r="AE433" i="1" s="1"/>
  <c r="V433" i="1"/>
  <c r="W433" i="1" s="1"/>
  <c r="AK432" i="1"/>
  <c r="AJ432" i="1"/>
  <c r="AI432" i="1"/>
  <c r="AE432" i="1" s="1"/>
  <c r="W432" i="1"/>
  <c r="AK431" i="1"/>
  <c r="AJ431" i="1"/>
  <c r="AI431" i="1"/>
  <c r="AE431" i="1" s="1"/>
  <c r="W431" i="1"/>
  <c r="AK430" i="1"/>
  <c r="AJ430" i="1"/>
  <c r="AI430" i="1"/>
  <c r="AE430" i="1" s="1"/>
  <c r="W430" i="1"/>
  <c r="AI429" i="1"/>
  <c r="AE429" i="1" s="1"/>
  <c r="AI428" i="1"/>
  <c r="AE428" i="1" s="1"/>
  <c r="V428" i="1"/>
  <c r="AK428" i="1" s="1"/>
  <c r="AK427" i="1"/>
  <c r="AJ427" i="1"/>
  <c r="AI427" i="1"/>
  <c r="AE427" i="1" s="1"/>
  <c r="W427" i="1"/>
  <c r="AK426" i="1"/>
  <c r="AJ426" i="1"/>
  <c r="AI426" i="1"/>
  <c r="AE426" i="1" s="1"/>
  <c r="W426" i="1"/>
  <c r="AK425" i="1"/>
  <c r="AJ425" i="1"/>
  <c r="AI425" i="1"/>
  <c r="AE425" i="1" s="1"/>
  <c r="W425" i="1"/>
  <c r="AI424" i="1"/>
  <c r="AE424" i="1" s="1"/>
  <c r="V424" i="1"/>
  <c r="AJ424" i="1" s="1"/>
  <c r="AK423" i="1"/>
  <c r="AJ423" i="1"/>
  <c r="AI423" i="1"/>
  <c r="AE423" i="1" s="1"/>
  <c r="W423" i="1"/>
  <c r="AK422" i="1"/>
  <c r="AJ422" i="1"/>
  <c r="AI422" i="1"/>
  <c r="AE422" i="1" s="1"/>
  <c r="W422" i="1"/>
  <c r="AK421" i="1"/>
  <c r="AJ421" i="1"/>
  <c r="AI421" i="1"/>
  <c r="AE421" i="1" s="1"/>
  <c r="W421" i="1"/>
  <c r="AK420" i="1"/>
  <c r="AJ420" i="1"/>
  <c r="AI420" i="1"/>
  <c r="AE420" i="1" s="1"/>
  <c r="W420" i="1"/>
  <c r="AK419" i="1"/>
  <c r="AJ419" i="1"/>
  <c r="AI419" i="1"/>
  <c r="AE419" i="1" s="1"/>
  <c r="W419" i="1"/>
  <c r="AK418" i="1"/>
  <c r="AJ418" i="1"/>
  <c r="AI418" i="1"/>
  <c r="AE418" i="1" s="1"/>
  <c r="W418" i="1"/>
  <c r="AK417" i="1"/>
  <c r="AJ417" i="1"/>
  <c r="AI417" i="1"/>
  <c r="AE417" i="1" s="1"/>
  <c r="W417" i="1"/>
  <c r="AK416" i="1"/>
  <c r="AJ416" i="1"/>
  <c r="AI416" i="1"/>
  <c r="AE416" i="1" s="1"/>
  <c r="W416" i="1"/>
  <c r="AK415" i="1"/>
  <c r="AJ415" i="1"/>
  <c r="AI415" i="1"/>
  <c r="AE415" i="1" s="1"/>
  <c r="W415" i="1"/>
  <c r="AK414" i="1"/>
  <c r="AJ414" i="1"/>
  <c r="AI414" i="1"/>
  <c r="AE414" i="1" s="1"/>
  <c r="W414" i="1"/>
  <c r="AK413" i="1"/>
  <c r="AJ413" i="1"/>
  <c r="AI413" i="1"/>
  <c r="AE413" i="1" s="1"/>
  <c r="W413" i="1"/>
  <c r="AK412" i="1"/>
  <c r="AJ412" i="1"/>
  <c r="AI412" i="1"/>
  <c r="AE412" i="1" s="1"/>
  <c r="W412" i="1"/>
  <c r="AK411" i="1"/>
  <c r="AJ411" i="1"/>
  <c r="AI411" i="1"/>
  <c r="AE411" i="1" s="1"/>
  <c r="W411" i="1"/>
  <c r="AK410" i="1"/>
  <c r="AJ410" i="1"/>
  <c r="AI410" i="1"/>
  <c r="AE410" i="1" s="1"/>
  <c r="W410" i="1"/>
  <c r="AK409" i="1"/>
  <c r="AJ409" i="1"/>
  <c r="AI409" i="1"/>
  <c r="AE409" i="1" s="1"/>
  <c r="W409" i="1"/>
  <c r="AK408" i="1"/>
  <c r="AJ408" i="1"/>
  <c r="AI408" i="1"/>
  <c r="AE408" i="1" s="1"/>
  <c r="W408" i="1"/>
  <c r="AK407" i="1"/>
  <c r="AJ407" i="1"/>
  <c r="AI407" i="1"/>
  <c r="AE407" i="1" s="1"/>
  <c r="W407" i="1"/>
  <c r="AI406" i="1"/>
  <c r="AE406" i="1" s="1"/>
  <c r="V406" i="1"/>
  <c r="AI405" i="1"/>
  <c r="AE405" i="1" s="1"/>
  <c r="V405" i="1"/>
  <c r="W405" i="1" s="1"/>
  <c r="AK404" i="1"/>
  <c r="AJ404" i="1"/>
  <c r="AI404" i="1"/>
  <c r="AE404" i="1" s="1"/>
  <c r="W404" i="1"/>
  <c r="AK403" i="1"/>
  <c r="AJ403" i="1"/>
  <c r="AI403" i="1"/>
  <c r="AE403" i="1" s="1"/>
  <c r="W403" i="1"/>
  <c r="AK402" i="1"/>
  <c r="AJ402" i="1"/>
  <c r="AI402" i="1"/>
  <c r="AE402" i="1" s="1"/>
  <c r="W402" i="1"/>
  <c r="AI401" i="1"/>
  <c r="AE401" i="1" s="1"/>
  <c r="V401" i="1"/>
  <c r="AK400" i="1"/>
  <c r="AJ400" i="1"/>
  <c r="AI400" i="1"/>
  <c r="AE400" i="1" s="1"/>
  <c r="W400" i="1"/>
  <c r="AK399" i="1"/>
  <c r="AJ399" i="1"/>
  <c r="AI399" i="1"/>
  <c r="AE399" i="1" s="1"/>
  <c r="W399" i="1"/>
  <c r="AK398" i="1"/>
  <c r="AJ398" i="1"/>
  <c r="AI398" i="1"/>
  <c r="AE398" i="1" s="1"/>
  <c r="W398" i="1"/>
  <c r="AI397" i="1"/>
  <c r="AE397" i="1" s="1"/>
  <c r="V397" i="1"/>
  <c r="AK397" i="1" s="1"/>
  <c r="AK396" i="1"/>
  <c r="AJ396" i="1"/>
  <c r="AI396" i="1"/>
  <c r="AE396" i="1" s="1"/>
  <c r="W396" i="1"/>
  <c r="AK395" i="1"/>
  <c r="AJ395" i="1"/>
  <c r="AI395" i="1"/>
  <c r="AE395" i="1" s="1"/>
  <c r="W395" i="1"/>
  <c r="AK394" i="1"/>
  <c r="AJ394" i="1"/>
  <c r="AI394" i="1"/>
  <c r="AE394" i="1" s="1"/>
  <c r="W394" i="1"/>
  <c r="AK393" i="1"/>
  <c r="AJ393" i="1"/>
  <c r="AI393" i="1"/>
  <c r="AE393" i="1" s="1"/>
  <c r="W393" i="1"/>
  <c r="AK392" i="1"/>
  <c r="AJ392" i="1"/>
  <c r="AI392" i="1"/>
  <c r="AE392" i="1" s="1"/>
  <c r="W392" i="1"/>
  <c r="AK391" i="1"/>
  <c r="AJ391" i="1"/>
  <c r="AI391" i="1"/>
  <c r="AE391" i="1" s="1"/>
  <c r="W391" i="1"/>
  <c r="AI390" i="1"/>
  <c r="AE390" i="1" s="1"/>
  <c r="V390" i="1"/>
  <c r="AK390" i="1" s="1"/>
  <c r="AK389" i="1"/>
  <c r="AJ389" i="1"/>
  <c r="AI389" i="1"/>
  <c r="AE389" i="1" s="1"/>
  <c r="W389" i="1"/>
  <c r="AK388" i="1"/>
  <c r="AJ388" i="1"/>
  <c r="AI388" i="1"/>
  <c r="AE388" i="1" s="1"/>
  <c r="W388" i="1"/>
  <c r="AK387" i="1"/>
  <c r="AJ387" i="1"/>
  <c r="AI387" i="1"/>
  <c r="AE387" i="1" s="1"/>
  <c r="W387" i="1"/>
  <c r="AK386" i="1"/>
  <c r="AJ386" i="1"/>
  <c r="AI386" i="1"/>
  <c r="AE386" i="1" s="1"/>
  <c r="W386" i="1"/>
  <c r="AK385" i="1"/>
  <c r="AJ385" i="1"/>
  <c r="AI385" i="1"/>
  <c r="AE385" i="1" s="1"/>
  <c r="AF385" i="1"/>
  <c r="W385" i="1"/>
  <c r="AK384" i="1"/>
  <c r="AJ384" i="1"/>
  <c r="AI384" i="1"/>
  <c r="AE384" i="1" s="1"/>
  <c r="W384" i="1"/>
  <c r="AI383" i="1"/>
  <c r="AE383" i="1" s="1"/>
  <c r="V383" i="1"/>
  <c r="AK383" i="1" s="1"/>
  <c r="AK382" i="1"/>
  <c r="AJ382" i="1"/>
  <c r="AI382" i="1"/>
  <c r="AE382" i="1" s="1"/>
  <c r="W382" i="1"/>
  <c r="AI381" i="1"/>
  <c r="AE381" i="1" s="1"/>
  <c r="V381" i="1"/>
  <c r="AK381" i="1" s="1"/>
  <c r="AK380" i="1"/>
  <c r="AJ380" i="1"/>
  <c r="AI380" i="1"/>
  <c r="AE380" i="1" s="1"/>
  <c r="W380" i="1"/>
  <c r="AI379" i="1"/>
  <c r="AE379" i="1" s="1"/>
  <c r="V379" i="1"/>
  <c r="AJ379" i="1" s="1"/>
  <c r="AK378" i="1"/>
  <c r="AJ378" i="1"/>
  <c r="AI378" i="1"/>
  <c r="AE378" i="1" s="1"/>
  <c r="W378" i="1"/>
  <c r="AK377" i="1"/>
  <c r="AJ377" i="1"/>
  <c r="AI377" i="1"/>
  <c r="AE377" i="1" s="1"/>
  <c r="W377" i="1"/>
  <c r="AK376" i="1"/>
  <c r="AJ376" i="1"/>
  <c r="AI376" i="1"/>
  <c r="AE376" i="1" s="1"/>
  <c r="W376" i="1"/>
  <c r="AI375" i="1"/>
  <c r="AE375" i="1" s="1"/>
  <c r="V375" i="1"/>
  <c r="AK375" i="1" s="1"/>
  <c r="AK374" i="1"/>
  <c r="AJ374" i="1"/>
  <c r="AI374" i="1"/>
  <c r="AE374" i="1" s="1"/>
  <c r="W374" i="1"/>
  <c r="AK373" i="1"/>
  <c r="AJ373" i="1"/>
  <c r="AI373" i="1"/>
  <c r="AE373" i="1" s="1"/>
  <c r="W373" i="1"/>
  <c r="AK372" i="1"/>
  <c r="AJ372" i="1"/>
  <c r="AI372" i="1"/>
  <c r="AE372" i="1" s="1"/>
  <c r="W372" i="1"/>
  <c r="AK371" i="1"/>
  <c r="AJ371" i="1"/>
  <c r="AI371" i="1"/>
  <c r="AE371" i="1" s="1"/>
  <c r="W371" i="1"/>
  <c r="AK370" i="1"/>
  <c r="AJ370" i="1"/>
  <c r="AI370" i="1"/>
  <c r="AE370" i="1" s="1"/>
  <c r="W370" i="1"/>
  <c r="AI369" i="1"/>
  <c r="AE369" i="1" s="1"/>
  <c r="V369" i="1"/>
  <c r="W369" i="1" s="1"/>
  <c r="AK368" i="1"/>
  <c r="AJ368" i="1"/>
  <c r="AI368" i="1"/>
  <c r="AE368" i="1" s="1"/>
  <c r="W368" i="1"/>
  <c r="AK367" i="1"/>
  <c r="AJ367" i="1"/>
  <c r="AI367" i="1"/>
  <c r="AE367" i="1" s="1"/>
  <c r="W367" i="1"/>
  <c r="AI366" i="1"/>
  <c r="AE366" i="1" s="1"/>
  <c r="V366" i="1"/>
  <c r="AK365" i="1"/>
  <c r="AJ365" i="1"/>
  <c r="AI365" i="1"/>
  <c r="AE365" i="1" s="1"/>
  <c r="W365" i="1"/>
  <c r="AK364" i="1"/>
  <c r="AJ364" i="1"/>
  <c r="AI364" i="1"/>
  <c r="AE364" i="1" s="1"/>
  <c r="W364" i="1"/>
  <c r="AK363" i="1"/>
  <c r="AJ363" i="1"/>
  <c r="AI363" i="1"/>
  <c r="AE363" i="1" s="1"/>
  <c r="W363" i="1"/>
  <c r="AK362" i="1"/>
  <c r="AJ362" i="1"/>
  <c r="AI362" i="1"/>
  <c r="AE362" i="1" s="1"/>
  <c r="W362" i="1"/>
  <c r="AK361" i="1"/>
  <c r="AJ361" i="1"/>
  <c r="AI361" i="1"/>
  <c r="AE361" i="1" s="1"/>
  <c r="W361" i="1"/>
  <c r="AK360" i="1"/>
  <c r="AJ360" i="1"/>
  <c r="AI360" i="1"/>
  <c r="AE360" i="1" s="1"/>
  <c r="W360" i="1"/>
  <c r="AK359" i="1"/>
  <c r="AJ359" i="1"/>
  <c r="AI359" i="1"/>
  <c r="AE359" i="1" s="1"/>
  <c r="W359" i="1"/>
  <c r="AI358" i="1"/>
  <c r="AE358" i="1" s="1"/>
  <c r="V358" i="1"/>
  <c r="AJ358" i="1" s="1"/>
  <c r="AK357" i="1"/>
  <c r="AJ357" i="1"/>
  <c r="AI357" i="1"/>
  <c r="AE357" i="1" s="1"/>
  <c r="W357" i="1"/>
  <c r="AI356" i="1"/>
  <c r="AE356" i="1" s="1"/>
  <c r="V356" i="1"/>
  <c r="W356" i="1" s="1"/>
  <c r="AK355" i="1"/>
  <c r="AJ355" i="1"/>
  <c r="AI355" i="1"/>
  <c r="AE355" i="1" s="1"/>
  <c r="W355" i="1"/>
  <c r="AK354" i="1"/>
  <c r="AJ354" i="1"/>
  <c r="AI354" i="1"/>
  <c r="AE354" i="1" s="1"/>
  <c r="W354" i="1"/>
  <c r="AK353" i="1"/>
  <c r="AJ353" i="1"/>
  <c r="AI353" i="1"/>
  <c r="AE353" i="1" s="1"/>
  <c r="W353" i="1"/>
  <c r="AK352" i="1"/>
  <c r="AJ352" i="1"/>
  <c r="AI352" i="1"/>
  <c r="AE352" i="1" s="1"/>
  <c r="W352" i="1"/>
  <c r="AK351" i="1"/>
  <c r="AJ351" i="1"/>
  <c r="AI351" i="1"/>
  <c r="AE351" i="1" s="1"/>
  <c r="W351" i="1"/>
  <c r="AK350" i="1"/>
  <c r="AJ350" i="1"/>
  <c r="AI350" i="1"/>
  <c r="AE350" i="1" s="1"/>
  <c r="W350" i="1"/>
  <c r="AK349" i="1"/>
  <c r="AJ349" i="1"/>
  <c r="AI349" i="1"/>
  <c r="AE349" i="1" s="1"/>
  <c r="W349" i="1"/>
  <c r="AI348" i="1"/>
  <c r="AE348" i="1" s="1"/>
  <c r="V348" i="1"/>
  <c r="AJ348" i="1" s="1"/>
  <c r="AI347" i="1"/>
  <c r="AE347" i="1" s="1"/>
  <c r="V347" i="1"/>
  <c r="AK347" i="1" s="1"/>
  <c r="AI346" i="1"/>
  <c r="AE346" i="1" s="1"/>
  <c r="V346" i="1"/>
  <c r="W346" i="1" s="1"/>
  <c r="AI345" i="1"/>
  <c r="AE345" i="1" s="1"/>
  <c r="V345" i="1"/>
  <c r="AK345" i="1" s="1"/>
  <c r="AI344" i="1"/>
  <c r="AE344" i="1" s="1"/>
  <c r="V344" i="1"/>
  <c r="AK343" i="1"/>
  <c r="AJ343" i="1"/>
  <c r="AI343" i="1"/>
  <c r="AE343" i="1" s="1"/>
  <c r="W343" i="1"/>
  <c r="AK342" i="1"/>
  <c r="AJ342" i="1"/>
  <c r="AI342" i="1"/>
  <c r="AE342" i="1" s="1"/>
  <c r="W342" i="1"/>
  <c r="AK341" i="1"/>
  <c r="AJ341" i="1"/>
  <c r="AI341" i="1"/>
  <c r="AE341" i="1" s="1"/>
  <c r="W341" i="1"/>
  <c r="AK340" i="1"/>
  <c r="AJ340" i="1"/>
  <c r="AI340" i="1"/>
  <c r="AE340" i="1" s="1"/>
  <c r="W340" i="1"/>
  <c r="AK339" i="1"/>
  <c r="AJ339" i="1"/>
  <c r="AI339" i="1"/>
  <c r="AE339" i="1" s="1"/>
  <c r="W339" i="1"/>
  <c r="AK338" i="1"/>
  <c r="AJ338" i="1"/>
  <c r="AI338" i="1"/>
  <c r="AE338" i="1" s="1"/>
  <c r="W338" i="1"/>
  <c r="AK337" i="1"/>
  <c r="AJ337" i="1"/>
  <c r="AI337" i="1"/>
  <c r="AE337" i="1" s="1"/>
  <c r="W337" i="1"/>
  <c r="AI336" i="1"/>
  <c r="AE336" i="1" s="1"/>
  <c r="AI335" i="1"/>
  <c r="AE335" i="1" s="1"/>
  <c r="V335" i="1"/>
  <c r="W335" i="1" s="1"/>
  <c r="AK334" i="1"/>
  <c r="AJ334" i="1"/>
  <c r="AI334" i="1"/>
  <c r="AE334" i="1" s="1"/>
  <c r="W334" i="1"/>
  <c r="AK333" i="1"/>
  <c r="AJ333" i="1"/>
  <c r="AI333" i="1"/>
  <c r="AE333" i="1" s="1"/>
  <c r="W333" i="1"/>
  <c r="AK332" i="1"/>
  <c r="AJ332" i="1"/>
  <c r="AI332" i="1"/>
  <c r="AE332" i="1" s="1"/>
  <c r="W332" i="1"/>
  <c r="AK331" i="1"/>
  <c r="AJ331" i="1"/>
  <c r="AI331" i="1"/>
  <c r="AE331" i="1" s="1"/>
  <c r="W331" i="1"/>
  <c r="AK330" i="1"/>
  <c r="AJ330" i="1"/>
  <c r="AI330" i="1"/>
  <c r="AE330" i="1" s="1"/>
  <c r="W330" i="1"/>
  <c r="AK329" i="1"/>
  <c r="AJ329" i="1"/>
  <c r="AI329" i="1"/>
  <c r="AE329" i="1" s="1"/>
  <c r="W329" i="1"/>
  <c r="AK328" i="1"/>
  <c r="AJ328" i="1"/>
  <c r="AI328" i="1"/>
  <c r="AE328" i="1" s="1"/>
  <c r="AK327" i="1"/>
  <c r="AJ327" i="1"/>
  <c r="AI327" i="1"/>
  <c r="AE327" i="1" s="1"/>
  <c r="AK326" i="1"/>
  <c r="AJ326" i="1"/>
  <c r="AI326" i="1"/>
  <c r="AE326" i="1" s="1"/>
  <c r="W326" i="1"/>
  <c r="AK325" i="1"/>
  <c r="AJ325" i="1"/>
  <c r="AI325" i="1"/>
  <c r="AE325" i="1" s="1"/>
  <c r="W325" i="1"/>
  <c r="AI324" i="1"/>
  <c r="AE324" i="1" s="1"/>
  <c r="AI323" i="1"/>
  <c r="AE323" i="1" s="1"/>
  <c r="V323" i="1"/>
  <c r="W323" i="1" s="1"/>
  <c r="AK322" i="1"/>
  <c r="AJ322" i="1"/>
  <c r="AI322" i="1"/>
  <c r="AE322" i="1" s="1"/>
  <c r="W322" i="1"/>
  <c r="AK321" i="1"/>
  <c r="AJ321" i="1"/>
  <c r="AI321" i="1"/>
  <c r="AE321" i="1" s="1"/>
  <c r="W321" i="1"/>
  <c r="AI320" i="1"/>
  <c r="AE320" i="1" s="1"/>
  <c r="V320" i="1"/>
  <c r="AK320" i="1" s="1"/>
  <c r="AK319" i="1"/>
  <c r="AJ319" i="1"/>
  <c r="AI319" i="1"/>
  <c r="AE319" i="1" s="1"/>
  <c r="W319" i="1"/>
  <c r="AK318" i="1"/>
  <c r="AJ318" i="1"/>
  <c r="AI318" i="1"/>
  <c r="AE318" i="1" s="1"/>
  <c r="W318" i="1"/>
  <c r="AK317" i="1"/>
  <c r="AJ317" i="1"/>
  <c r="AI317" i="1"/>
  <c r="AE317" i="1" s="1"/>
  <c r="W317" i="1"/>
  <c r="AK316" i="1"/>
  <c r="AJ316" i="1"/>
  <c r="AI316" i="1"/>
  <c r="AE316" i="1" s="1"/>
  <c r="AK315" i="1"/>
  <c r="AJ315" i="1"/>
  <c r="AI315" i="1"/>
  <c r="AE315" i="1" s="1"/>
  <c r="W315" i="1"/>
  <c r="AK314" i="1"/>
  <c r="AJ314" i="1"/>
  <c r="AI314" i="1"/>
  <c r="AE314" i="1" s="1"/>
  <c r="W314" i="1"/>
  <c r="AK313" i="1"/>
  <c r="AJ313" i="1"/>
  <c r="AI313" i="1"/>
  <c r="AE313" i="1" s="1"/>
  <c r="W313" i="1"/>
  <c r="AK312" i="1"/>
  <c r="AJ312" i="1"/>
  <c r="AI312" i="1"/>
  <c r="AE312" i="1" s="1"/>
  <c r="W312" i="1"/>
  <c r="AI311" i="1"/>
  <c r="AE311" i="1" s="1"/>
  <c r="V311" i="1"/>
  <c r="AJ311" i="1" s="1"/>
  <c r="AK310" i="1"/>
  <c r="AJ310" i="1"/>
  <c r="AI310" i="1"/>
  <c r="AE310" i="1" s="1"/>
  <c r="W310" i="1"/>
  <c r="AK309" i="1"/>
  <c r="AJ309" i="1"/>
  <c r="AI309" i="1"/>
  <c r="AE309" i="1" s="1"/>
  <c r="W309" i="1"/>
  <c r="AK308" i="1"/>
  <c r="AJ308" i="1"/>
  <c r="AI308" i="1"/>
  <c r="AE308" i="1" s="1"/>
  <c r="W308" i="1"/>
  <c r="AK307" i="1"/>
  <c r="AJ307" i="1"/>
  <c r="AI307" i="1"/>
  <c r="AE307" i="1" s="1"/>
  <c r="W307" i="1"/>
  <c r="AI306" i="1"/>
  <c r="AE306" i="1" s="1"/>
  <c r="V306" i="1"/>
  <c r="AK306" i="1" s="1"/>
  <c r="AI305" i="1"/>
  <c r="AE305" i="1" s="1"/>
  <c r="V305" i="1"/>
  <c r="AI304" i="1"/>
  <c r="AE304" i="1" s="1"/>
  <c r="V304" i="1"/>
  <c r="AK304" i="1" s="1"/>
  <c r="AK303" i="1"/>
  <c r="AJ303" i="1"/>
  <c r="AI303" i="1"/>
  <c r="AE303" i="1" s="1"/>
  <c r="W303" i="1"/>
  <c r="AK302" i="1"/>
  <c r="AJ302" i="1"/>
  <c r="AI302" i="1"/>
  <c r="AE302" i="1" s="1"/>
  <c r="W302" i="1"/>
  <c r="AK301" i="1"/>
  <c r="AJ301" i="1"/>
  <c r="AI301" i="1"/>
  <c r="AE301" i="1" s="1"/>
  <c r="W301" i="1"/>
  <c r="AI300" i="1"/>
  <c r="AE300" i="1" s="1"/>
  <c r="V300" i="1"/>
  <c r="AK300" i="1" s="1"/>
  <c r="AK299" i="1"/>
  <c r="AJ299" i="1"/>
  <c r="AI299" i="1"/>
  <c r="AE299" i="1" s="1"/>
  <c r="W299" i="1"/>
  <c r="AK298" i="1"/>
  <c r="AJ298" i="1"/>
  <c r="AI298" i="1"/>
  <c r="AE298" i="1" s="1"/>
  <c r="W298" i="1"/>
  <c r="AK297" i="1"/>
  <c r="AJ297" i="1"/>
  <c r="AI297" i="1"/>
  <c r="AE297" i="1" s="1"/>
  <c r="W297" i="1"/>
  <c r="AK296" i="1"/>
  <c r="AJ296" i="1"/>
  <c r="AI296" i="1"/>
  <c r="AE296" i="1" s="1"/>
  <c r="W296" i="1"/>
  <c r="AK295" i="1"/>
  <c r="AJ295" i="1"/>
  <c r="AI295" i="1"/>
  <c r="AE295" i="1" s="1"/>
  <c r="W295" i="1"/>
  <c r="AK294" i="1"/>
  <c r="AJ294" i="1"/>
  <c r="AI294" i="1"/>
  <c r="AE294" i="1" s="1"/>
  <c r="W294" i="1"/>
  <c r="AI293" i="1"/>
  <c r="AE293" i="1" s="1"/>
  <c r="V293" i="1"/>
  <c r="AI292" i="1"/>
  <c r="AE292" i="1" s="1"/>
  <c r="V292" i="1"/>
  <c r="AK292" i="1" s="1"/>
  <c r="AK291" i="1"/>
  <c r="AJ291" i="1"/>
  <c r="AI291" i="1"/>
  <c r="AE291" i="1" s="1"/>
  <c r="W291" i="1"/>
  <c r="AI290" i="1"/>
  <c r="AE290" i="1" s="1"/>
  <c r="V290" i="1"/>
  <c r="AJ290" i="1" s="1"/>
  <c r="AI289" i="1"/>
  <c r="AE289" i="1" s="1"/>
  <c r="V289" i="1"/>
  <c r="W289" i="1" s="1"/>
  <c r="AK288" i="1"/>
  <c r="AJ288" i="1"/>
  <c r="AI288" i="1"/>
  <c r="AE288" i="1" s="1"/>
  <c r="W288" i="1"/>
  <c r="AK287" i="1"/>
  <c r="AJ287" i="1"/>
  <c r="AI287" i="1"/>
  <c r="AE287" i="1" s="1"/>
  <c r="W287" i="1"/>
  <c r="AK286" i="1"/>
  <c r="AJ286" i="1"/>
  <c r="AI286" i="1"/>
  <c r="AE286" i="1" s="1"/>
  <c r="W286" i="1"/>
  <c r="AK285" i="1"/>
  <c r="AJ285" i="1"/>
  <c r="AI285" i="1"/>
  <c r="AE285" i="1" s="1"/>
  <c r="W285" i="1"/>
  <c r="AI284" i="1"/>
  <c r="AE284" i="1" s="1"/>
  <c r="V284" i="1"/>
  <c r="W284" i="1" s="1"/>
  <c r="AK283" i="1"/>
  <c r="AJ283" i="1"/>
  <c r="AI283" i="1"/>
  <c r="AE283" i="1" s="1"/>
  <c r="W283" i="1"/>
  <c r="AK282" i="1"/>
  <c r="AJ282" i="1"/>
  <c r="AI282" i="1"/>
  <c r="AE282" i="1" s="1"/>
  <c r="W282" i="1"/>
  <c r="AK281" i="1"/>
  <c r="AJ281" i="1"/>
  <c r="AI281" i="1"/>
  <c r="AE281" i="1" s="1"/>
  <c r="W281" i="1"/>
  <c r="AK280" i="1"/>
  <c r="AJ280" i="1"/>
  <c r="AI280" i="1"/>
  <c r="AE280" i="1" s="1"/>
  <c r="W280" i="1"/>
  <c r="AK279" i="1"/>
  <c r="AJ279" i="1"/>
  <c r="AI279" i="1"/>
  <c r="AE279" i="1" s="1"/>
  <c r="W279" i="1"/>
  <c r="AI278" i="1"/>
  <c r="AE278" i="1" s="1"/>
  <c r="V278" i="1"/>
  <c r="AJ278" i="1" s="1"/>
  <c r="AK277" i="1"/>
  <c r="AJ277" i="1"/>
  <c r="AI277" i="1"/>
  <c r="AE277" i="1" s="1"/>
  <c r="W277" i="1"/>
  <c r="AK276" i="1"/>
  <c r="AJ276" i="1"/>
  <c r="AI276" i="1"/>
  <c r="AE276" i="1" s="1"/>
  <c r="W276" i="1"/>
  <c r="AI275" i="1"/>
  <c r="AE275" i="1" s="1"/>
  <c r="V275" i="1"/>
  <c r="AK275" i="1" s="1"/>
  <c r="AI274" i="1"/>
  <c r="AE274" i="1" s="1"/>
  <c r="V274" i="1"/>
  <c r="AK274" i="1" s="1"/>
  <c r="AI273" i="1"/>
  <c r="AE273" i="1" s="1"/>
  <c r="V273" i="1"/>
  <c r="AK273" i="1" s="1"/>
  <c r="AI272" i="1"/>
  <c r="AE272" i="1" s="1"/>
  <c r="V272" i="1"/>
  <c r="AK272" i="1" s="1"/>
  <c r="AI271" i="1"/>
  <c r="AE271" i="1" s="1"/>
  <c r="V271" i="1"/>
  <c r="AI270" i="1"/>
  <c r="AE270" i="1" s="1"/>
  <c r="V270" i="1"/>
  <c r="W270" i="1" s="1"/>
  <c r="AK269" i="1"/>
  <c r="AJ269" i="1"/>
  <c r="AI269" i="1"/>
  <c r="AE269" i="1" s="1"/>
  <c r="W269" i="1"/>
  <c r="AK268" i="1"/>
  <c r="AJ268" i="1"/>
  <c r="AI268" i="1"/>
  <c r="AE268" i="1" s="1"/>
  <c r="W268" i="1"/>
  <c r="AK267" i="1"/>
  <c r="AJ267" i="1"/>
  <c r="AI267" i="1"/>
  <c r="AE267" i="1" s="1"/>
  <c r="W267" i="1"/>
  <c r="AK266" i="1"/>
  <c r="AJ266" i="1"/>
  <c r="AI266" i="1"/>
  <c r="AE266" i="1" s="1"/>
  <c r="W266" i="1"/>
  <c r="AI265" i="1"/>
  <c r="AE265" i="1" s="1"/>
  <c r="V265" i="1"/>
  <c r="AJ265" i="1" s="1"/>
  <c r="AI264" i="1"/>
  <c r="AE264" i="1" s="1"/>
  <c r="V264" i="1"/>
  <c r="AI263" i="1"/>
  <c r="AE263" i="1" s="1"/>
  <c r="V263" i="1"/>
  <c r="AK263" i="1" s="1"/>
  <c r="AK262" i="1"/>
  <c r="AJ262" i="1"/>
  <c r="AI262" i="1"/>
  <c r="AE262" i="1" s="1"/>
  <c r="AK261" i="1"/>
  <c r="AJ261" i="1"/>
  <c r="AI261" i="1"/>
  <c r="AE261" i="1" s="1"/>
  <c r="W261" i="1"/>
  <c r="AI260" i="1"/>
  <c r="AE260" i="1" s="1"/>
  <c r="V260" i="1"/>
  <c r="W260" i="1" s="1"/>
  <c r="AK259" i="1"/>
  <c r="AJ259" i="1"/>
  <c r="AI259" i="1"/>
  <c r="AE259" i="1" s="1"/>
  <c r="W259" i="1"/>
  <c r="AI258" i="1"/>
  <c r="AE258" i="1" s="1"/>
  <c r="V258" i="1"/>
  <c r="AK257" i="1"/>
  <c r="AJ257" i="1"/>
  <c r="AI257" i="1"/>
  <c r="AE257" i="1" s="1"/>
  <c r="W257" i="1"/>
  <c r="AK256" i="1"/>
  <c r="AJ256" i="1"/>
  <c r="AI256" i="1"/>
  <c r="AE256" i="1" s="1"/>
  <c r="W256" i="1"/>
  <c r="AK255" i="1"/>
  <c r="AJ255" i="1"/>
  <c r="AI255" i="1"/>
  <c r="AE255" i="1" s="1"/>
  <c r="W255" i="1"/>
  <c r="AK254" i="1"/>
  <c r="AJ254" i="1"/>
  <c r="AI254" i="1"/>
  <c r="AE254" i="1" s="1"/>
  <c r="W254" i="1"/>
  <c r="AK253" i="1"/>
  <c r="AJ253" i="1"/>
  <c r="AI253" i="1"/>
  <c r="AE253" i="1" s="1"/>
  <c r="W253" i="1"/>
  <c r="AK252" i="1"/>
  <c r="AJ252" i="1"/>
  <c r="AI252" i="1"/>
  <c r="AE252" i="1" s="1"/>
  <c r="W252" i="1"/>
  <c r="AK251" i="1"/>
  <c r="AJ251" i="1"/>
  <c r="AI251" i="1"/>
  <c r="AE251" i="1" s="1"/>
  <c r="W251" i="1"/>
  <c r="AK250" i="1"/>
  <c r="AJ250" i="1"/>
  <c r="AI250" i="1"/>
  <c r="AE250" i="1" s="1"/>
  <c r="W250" i="1"/>
  <c r="AK249" i="1"/>
  <c r="AJ249" i="1"/>
  <c r="AI249" i="1"/>
  <c r="AE249" i="1" s="1"/>
  <c r="W249" i="1"/>
  <c r="AK248" i="1"/>
  <c r="AJ248" i="1"/>
  <c r="AI248" i="1"/>
  <c r="AE248" i="1" s="1"/>
  <c r="W248" i="1"/>
  <c r="AK247" i="1"/>
  <c r="AJ247" i="1"/>
  <c r="AI247" i="1"/>
  <c r="AE247" i="1" s="1"/>
  <c r="W247" i="1"/>
  <c r="AK246" i="1"/>
  <c r="AJ246" i="1"/>
  <c r="AI246" i="1"/>
  <c r="AE246" i="1" s="1"/>
  <c r="W246" i="1"/>
  <c r="AI245" i="1"/>
  <c r="AE245" i="1" s="1"/>
  <c r="V245" i="1"/>
  <c r="AK245" i="1" s="1"/>
  <c r="AJ244" i="1"/>
  <c r="AI244" i="1"/>
  <c r="AE244" i="1" s="1"/>
  <c r="AK243" i="1"/>
  <c r="AJ243" i="1"/>
  <c r="AI243" i="1"/>
  <c r="AE243" i="1" s="1"/>
  <c r="W243" i="1"/>
  <c r="AK242" i="1"/>
  <c r="AJ242" i="1"/>
  <c r="AI242" i="1"/>
  <c r="AE242" i="1" s="1"/>
  <c r="W242" i="1"/>
  <c r="AK241" i="1"/>
  <c r="AJ241" i="1"/>
  <c r="AI241" i="1"/>
  <c r="AE241" i="1" s="1"/>
  <c r="W241" i="1"/>
  <c r="AK240" i="1"/>
  <c r="AJ240" i="1"/>
  <c r="AI240" i="1"/>
  <c r="AE240" i="1" s="1"/>
  <c r="W240" i="1"/>
  <c r="AK239" i="1"/>
  <c r="AJ239" i="1"/>
  <c r="AI239" i="1"/>
  <c r="AE239" i="1" s="1"/>
  <c r="W239" i="1"/>
  <c r="AK238" i="1"/>
  <c r="AJ238" i="1"/>
  <c r="AI238" i="1"/>
  <c r="AE238" i="1" s="1"/>
  <c r="W238" i="1"/>
  <c r="AK237" i="1"/>
  <c r="AJ237" i="1"/>
  <c r="AI237" i="1"/>
  <c r="AE237" i="1" s="1"/>
  <c r="W237" i="1"/>
  <c r="AK236" i="1"/>
  <c r="AJ236" i="1"/>
  <c r="AI236" i="1"/>
  <c r="AE236" i="1" s="1"/>
  <c r="W236" i="1"/>
  <c r="AI235" i="1"/>
  <c r="AE235" i="1" s="1"/>
  <c r="V235" i="1"/>
  <c r="AK235" i="1" s="1"/>
  <c r="AK234" i="1"/>
  <c r="AJ234" i="1"/>
  <c r="AI234" i="1"/>
  <c r="AE234" i="1" s="1"/>
  <c r="W234" i="1"/>
  <c r="AK233" i="1"/>
  <c r="AJ233" i="1"/>
  <c r="AI233" i="1"/>
  <c r="AE233" i="1" s="1"/>
  <c r="W233" i="1"/>
  <c r="AI232" i="1"/>
  <c r="AE232" i="1" s="1"/>
  <c r="V232" i="1"/>
  <c r="W232" i="1" s="1"/>
  <c r="AI231" i="1"/>
  <c r="AE231" i="1" s="1"/>
  <c r="V231" i="1"/>
  <c r="AK231" i="1" s="1"/>
  <c r="AI230" i="1"/>
  <c r="AE230" i="1" s="1"/>
  <c r="V230" i="1"/>
  <c r="AK230" i="1" s="1"/>
  <c r="AI229" i="1"/>
  <c r="AE229" i="1" s="1"/>
  <c r="V229" i="1"/>
  <c r="AI228" i="1"/>
  <c r="AE228" i="1" s="1"/>
  <c r="V228" i="1"/>
  <c r="AK227" i="1"/>
  <c r="AJ227" i="1"/>
  <c r="AI227" i="1"/>
  <c r="AE227" i="1" s="1"/>
  <c r="W227" i="1"/>
  <c r="AK226" i="1"/>
  <c r="AJ226" i="1"/>
  <c r="AI226" i="1"/>
  <c r="AE226" i="1" s="1"/>
  <c r="W226" i="1"/>
  <c r="AI225" i="1"/>
  <c r="AE225" i="1" s="1"/>
  <c r="V225" i="1"/>
  <c r="AJ225" i="1" s="1"/>
  <c r="AK224" i="1"/>
  <c r="AJ224" i="1"/>
  <c r="AI224" i="1"/>
  <c r="AE224" i="1" s="1"/>
  <c r="W224" i="1"/>
  <c r="AK223" i="1"/>
  <c r="AJ223" i="1"/>
  <c r="AI223" i="1"/>
  <c r="AE223" i="1" s="1"/>
  <c r="W223" i="1"/>
  <c r="AK222" i="1"/>
  <c r="AJ222" i="1"/>
  <c r="AI222" i="1"/>
  <c r="AE222" i="1" s="1"/>
  <c r="W222" i="1"/>
  <c r="AK221" i="1"/>
  <c r="AJ221" i="1"/>
  <c r="AI221" i="1"/>
  <c r="AE221" i="1" s="1"/>
  <c r="W221" i="1"/>
  <c r="AI220" i="1"/>
  <c r="AE220" i="1" s="1"/>
  <c r="V220" i="1"/>
  <c r="AK219" i="1"/>
  <c r="AJ219" i="1"/>
  <c r="AI219" i="1"/>
  <c r="AE219" i="1" s="1"/>
  <c r="W219" i="1"/>
  <c r="AK218" i="1"/>
  <c r="AJ218" i="1"/>
  <c r="AI218" i="1"/>
  <c r="AE218" i="1" s="1"/>
  <c r="W218" i="1"/>
  <c r="AK217" i="1"/>
  <c r="AJ217" i="1"/>
  <c r="AI217" i="1"/>
  <c r="AE217" i="1" s="1"/>
  <c r="W217" i="1"/>
  <c r="AK216" i="1"/>
  <c r="AJ216" i="1"/>
  <c r="AI216" i="1"/>
  <c r="AE216" i="1" s="1"/>
  <c r="W216" i="1"/>
  <c r="AK215" i="1"/>
  <c r="AJ215" i="1"/>
  <c r="AI215" i="1"/>
  <c r="AE215" i="1" s="1"/>
  <c r="W215" i="1"/>
  <c r="AK214" i="1"/>
  <c r="AJ214" i="1"/>
  <c r="AI214" i="1"/>
  <c r="AE214" i="1" s="1"/>
  <c r="W214" i="1"/>
  <c r="AK213" i="1"/>
  <c r="AJ213" i="1"/>
  <c r="AI213" i="1"/>
  <c r="AE213" i="1" s="1"/>
  <c r="W213" i="1"/>
  <c r="AK212" i="1"/>
  <c r="AJ212" i="1"/>
  <c r="AI212" i="1"/>
  <c r="AE212" i="1" s="1"/>
  <c r="W212" i="1"/>
  <c r="AI211" i="1"/>
  <c r="AE211" i="1" s="1"/>
  <c r="V211" i="1"/>
  <c r="AJ211" i="1" s="1"/>
  <c r="AK210" i="1"/>
  <c r="AJ210" i="1"/>
  <c r="AI210" i="1"/>
  <c r="AE210" i="1" s="1"/>
  <c r="W210" i="1"/>
  <c r="AI209" i="1"/>
  <c r="AE209" i="1" s="1"/>
  <c r="V209" i="1"/>
  <c r="AK209" i="1" s="1"/>
  <c r="AI208" i="1"/>
  <c r="AE208" i="1" s="1"/>
  <c r="V208" i="1"/>
  <c r="AK208" i="1" s="1"/>
  <c r="AI207" i="1"/>
  <c r="AE207" i="1" s="1"/>
  <c r="V207" i="1"/>
  <c r="AK207" i="1" s="1"/>
  <c r="AI206" i="1"/>
  <c r="AE206" i="1" s="1"/>
  <c r="V206" i="1"/>
  <c r="AJ206" i="1" s="1"/>
  <c r="AK205" i="1"/>
  <c r="AJ205" i="1"/>
  <c r="AI205" i="1"/>
  <c r="AE205" i="1" s="1"/>
  <c r="W205" i="1"/>
  <c r="AK204" i="1"/>
  <c r="AJ204" i="1"/>
  <c r="AI204" i="1"/>
  <c r="AE204" i="1" s="1"/>
  <c r="W204" i="1"/>
  <c r="AK203" i="1"/>
  <c r="AJ203" i="1"/>
  <c r="AI203" i="1"/>
  <c r="AE203" i="1" s="1"/>
  <c r="W203" i="1"/>
  <c r="AI202" i="1"/>
  <c r="AE202" i="1" s="1"/>
  <c r="V202" i="1"/>
  <c r="AK202" i="1" s="1"/>
  <c r="AI201" i="1"/>
  <c r="AE201" i="1" s="1"/>
  <c r="V201" i="1"/>
  <c r="W201" i="1" s="1"/>
  <c r="AK200" i="1"/>
  <c r="AJ200" i="1"/>
  <c r="AI200" i="1"/>
  <c r="AE200" i="1" s="1"/>
  <c r="W200" i="1"/>
  <c r="AK199" i="1"/>
  <c r="AJ199" i="1"/>
  <c r="AI199" i="1"/>
  <c r="AE199" i="1" s="1"/>
  <c r="W199" i="1"/>
  <c r="AK198" i="1"/>
  <c r="AJ198" i="1"/>
  <c r="AI198" i="1"/>
  <c r="AE198" i="1" s="1"/>
  <c r="W198" i="1"/>
  <c r="AI197" i="1"/>
  <c r="AE197" i="1" s="1"/>
  <c r="AI196" i="1"/>
  <c r="AE196" i="1" s="1"/>
  <c r="V196" i="1"/>
  <c r="W196" i="1" s="1"/>
  <c r="AI195" i="1"/>
  <c r="AE195" i="1" s="1"/>
  <c r="V195" i="1"/>
  <c r="AK195" i="1" s="1"/>
  <c r="AK194" i="1"/>
  <c r="AJ194" i="1"/>
  <c r="AI194" i="1"/>
  <c r="AE194" i="1" s="1"/>
  <c r="W194" i="1"/>
  <c r="AK193" i="1"/>
  <c r="AJ193" i="1"/>
  <c r="AI193" i="1"/>
  <c r="AE193" i="1" s="1"/>
  <c r="W193" i="1"/>
  <c r="AK192" i="1"/>
  <c r="AJ192" i="1"/>
  <c r="AI192" i="1"/>
  <c r="AE192" i="1" s="1"/>
  <c r="W192" i="1"/>
  <c r="AK191" i="1"/>
  <c r="AJ191" i="1"/>
  <c r="AI191" i="1"/>
  <c r="AE191" i="1" s="1"/>
  <c r="W191" i="1"/>
  <c r="AK190" i="1"/>
  <c r="AJ190" i="1"/>
  <c r="AI190" i="1"/>
  <c r="AE190" i="1" s="1"/>
  <c r="AF190" i="1"/>
  <c r="W190" i="1"/>
  <c r="AI189" i="1"/>
  <c r="AE189" i="1" s="1"/>
  <c r="V189" i="1"/>
  <c r="AI188" i="1"/>
  <c r="AE188" i="1" s="1"/>
  <c r="V188" i="1"/>
  <c r="AK188" i="1" s="1"/>
  <c r="AK187" i="1"/>
  <c r="AJ187" i="1"/>
  <c r="AI187" i="1"/>
  <c r="AE187" i="1" s="1"/>
  <c r="W187" i="1"/>
  <c r="AI186" i="1"/>
  <c r="AE186" i="1" s="1"/>
  <c r="V186" i="1"/>
  <c r="AJ186" i="1" s="1"/>
  <c r="AI185" i="1"/>
  <c r="AE185" i="1" s="1"/>
  <c r="V185" i="1"/>
  <c r="AJ185" i="1" s="1"/>
  <c r="AI184" i="1"/>
  <c r="AE184" i="1" s="1"/>
  <c r="V184" i="1"/>
  <c r="AK184" i="1" s="1"/>
  <c r="AK183" i="1"/>
  <c r="AJ183" i="1"/>
  <c r="AI183" i="1"/>
  <c r="AE183" i="1" s="1"/>
  <c r="W183" i="1"/>
  <c r="AK182" i="1"/>
  <c r="AJ182" i="1"/>
  <c r="AI182" i="1"/>
  <c r="AE182" i="1" s="1"/>
  <c r="W182" i="1"/>
  <c r="AK181" i="1"/>
  <c r="AJ181" i="1"/>
  <c r="AI181" i="1"/>
  <c r="AE181" i="1" s="1"/>
  <c r="W181" i="1"/>
  <c r="AK180" i="1"/>
  <c r="AJ180" i="1"/>
  <c r="AI180" i="1"/>
  <c r="AE180" i="1" s="1"/>
  <c r="AI179" i="1"/>
  <c r="AE179" i="1" s="1"/>
  <c r="V179" i="1"/>
  <c r="AJ179" i="1" s="1"/>
  <c r="AK178" i="1"/>
  <c r="AJ178" i="1"/>
  <c r="AI178" i="1"/>
  <c r="AE178" i="1" s="1"/>
  <c r="W178" i="1"/>
  <c r="AK177" i="1"/>
  <c r="AJ177" i="1"/>
  <c r="AI177" i="1"/>
  <c r="AE177" i="1" s="1"/>
  <c r="W177" i="1"/>
  <c r="AK176" i="1"/>
  <c r="AJ176" i="1"/>
  <c r="AI176" i="1"/>
  <c r="AE176" i="1" s="1"/>
  <c r="W176" i="1"/>
  <c r="AK175" i="1"/>
  <c r="AJ175" i="1"/>
  <c r="AI175" i="1"/>
  <c r="AE175" i="1" s="1"/>
  <c r="W175" i="1"/>
  <c r="AK174" i="1"/>
  <c r="AJ174" i="1"/>
  <c r="AI174" i="1"/>
  <c r="AE174" i="1" s="1"/>
  <c r="W174" i="1"/>
  <c r="AK173" i="1"/>
  <c r="AJ173" i="1"/>
  <c r="AI173" i="1"/>
  <c r="AE173" i="1" s="1"/>
  <c r="W173" i="1"/>
  <c r="AK172" i="1"/>
  <c r="AJ172" i="1"/>
  <c r="AI172" i="1"/>
  <c r="AE172" i="1" s="1"/>
  <c r="W172" i="1"/>
  <c r="AI171" i="1"/>
  <c r="AE171" i="1" s="1"/>
  <c r="V171" i="1"/>
  <c r="AK171" i="1" s="1"/>
  <c r="AK170" i="1"/>
  <c r="AJ170" i="1"/>
  <c r="AI170" i="1"/>
  <c r="AE170" i="1" s="1"/>
  <c r="W170" i="1"/>
  <c r="AK169" i="1"/>
  <c r="AJ169" i="1"/>
  <c r="AI169" i="1"/>
  <c r="AE169" i="1" s="1"/>
  <c r="W169" i="1"/>
  <c r="AK168" i="1"/>
  <c r="AJ168" i="1"/>
  <c r="AI168" i="1"/>
  <c r="AE168" i="1" s="1"/>
  <c r="W168" i="1"/>
  <c r="AK167" i="1"/>
  <c r="AJ167" i="1"/>
  <c r="AI167" i="1"/>
  <c r="AE167" i="1" s="1"/>
  <c r="W167" i="1"/>
  <c r="AK166" i="1"/>
  <c r="AJ166" i="1"/>
  <c r="AI166" i="1"/>
  <c r="AE166" i="1" s="1"/>
  <c r="W166" i="1"/>
  <c r="AK165" i="1"/>
  <c r="AJ165" i="1"/>
  <c r="AI165" i="1"/>
  <c r="AE165" i="1" s="1"/>
  <c r="W165" i="1"/>
  <c r="AK164" i="1"/>
  <c r="AJ164" i="1"/>
  <c r="AI164" i="1"/>
  <c r="AE164" i="1" s="1"/>
  <c r="W164" i="1"/>
  <c r="AK163" i="1"/>
  <c r="AJ163" i="1"/>
  <c r="AI163" i="1"/>
  <c r="AE163" i="1" s="1"/>
  <c r="W163" i="1"/>
  <c r="AK162" i="1"/>
  <c r="AJ162" i="1"/>
  <c r="AI162" i="1"/>
  <c r="AE162" i="1" s="1"/>
  <c r="W162" i="1"/>
  <c r="AK161" i="1"/>
  <c r="AJ161" i="1"/>
  <c r="AI161" i="1"/>
  <c r="AE161" i="1" s="1"/>
  <c r="W161" i="1"/>
  <c r="AK160" i="1"/>
  <c r="AJ160" i="1"/>
  <c r="AI160" i="1"/>
  <c r="AE160" i="1" s="1"/>
  <c r="W160" i="1"/>
  <c r="AK159" i="1"/>
  <c r="AJ159" i="1"/>
  <c r="AI159" i="1"/>
  <c r="AE159" i="1" s="1"/>
  <c r="W159" i="1"/>
  <c r="AK158" i="1"/>
  <c r="AJ158" i="1"/>
  <c r="AI158" i="1"/>
  <c r="AE158" i="1" s="1"/>
  <c r="W158" i="1"/>
  <c r="AK157" i="1"/>
  <c r="AJ157" i="1"/>
  <c r="AI157" i="1"/>
  <c r="AE157" i="1" s="1"/>
  <c r="W157" i="1"/>
  <c r="AI156" i="1"/>
  <c r="AE156" i="1" s="1"/>
  <c r="V156" i="1"/>
  <c r="AK156" i="1" s="1"/>
  <c r="T156" i="1"/>
  <c r="U156" i="1" s="1"/>
  <c r="AI155" i="1"/>
  <c r="AE155" i="1" s="1"/>
  <c r="V155" i="1"/>
  <c r="W155" i="1" s="1"/>
  <c r="T155" i="1"/>
  <c r="U155" i="1" s="1"/>
  <c r="AI154" i="1"/>
  <c r="AE154" i="1" s="1"/>
  <c r="V154" i="1"/>
  <c r="AK154" i="1" s="1"/>
  <c r="AK153" i="1"/>
  <c r="AJ153" i="1"/>
  <c r="AI153" i="1"/>
  <c r="AE153" i="1" s="1"/>
  <c r="W153" i="1"/>
  <c r="AK152" i="1"/>
  <c r="AJ152" i="1"/>
  <c r="AI152" i="1"/>
  <c r="AE152" i="1" s="1"/>
  <c r="W152" i="1"/>
  <c r="AK151" i="1"/>
  <c r="AJ151" i="1"/>
  <c r="AI151" i="1"/>
  <c r="AE151" i="1" s="1"/>
  <c r="W151" i="1"/>
  <c r="AI150" i="1"/>
  <c r="AE150" i="1" s="1"/>
  <c r="V150" i="1"/>
  <c r="AK150" i="1" s="1"/>
  <c r="AI149" i="1"/>
  <c r="AE149" i="1" s="1"/>
  <c r="V149" i="1"/>
  <c r="W149" i="1" s="1"/>
  <c r="AK148" i="1"/>
  <c r="AJ148" i="1"/>
  <c r="AI148" i="1"/>
  <c r="AE148" i="1" s="1"/>
  <c r="W148" i="1"/>
  <c r="AI147" i="1"/>
  <c r="AE147" i="1" s="1"/>
  <c r="V147" i="1"/>
  <c r="W147" i="1" s="1"/>
  <c r="AI146" i="1"/>
  <c r="AE146" i="1" s="1"/>
  <c r="V146" i="1"/>
  <c r="AK145" i="1"/>
  <c r="AJ145" i="1"/>
  <c r="AI145" i="1"/>
  <c r="AE145" i="1" s="1"/>
  <c r="W145" i="1"/>
  <c r="AI144" i="1"/>
  <c r="AE144" i="1" s="1"/>
  <c r="V144" i="1"/>
  <c r="W144" i="1" s="1"/>
  <c r="AK143" i="1"/>
  <c r="AJ143" i="1"/>
  <c r="AI143" i="1"/>
  <c r="AE143" i="1" s="1"/>
  <c r="W143" i="1"/>
  <c r="AK142" i="1"/>
  <c r="AJ142" i="1"/>
  <c r="AI142" i="1"/>
  <c r="AE142" i="1" s="1"/>
  <c r="W142" i="1"/>
  <c r="AI141" i="1"/>
  <c r="AE141" i="1" s="1"/>
  <c r="V141" i="1"/>
  <c r="AJ141" i="1" s="1"/>
  <c r="AI140" i="1"/>
  <c r="AE140" i="1" s="1"/>
  <c r="V140" i="1"/>
  <c r="AI139" i="1"/>
  <c r="AE139" i="1" s="1"/>
  <c r="V139" i="1"/>
  <c r="AK138" i="1"/>
  <c r="AJ138" i="1"/>
  <c r="AI138" i="1"/>
  <c r="AE138" i="1" s="1"/>
  <c r="W138" i="1"/>
  <c r="AK137" i="1"/>
  <c r="AJ137" i="1"/>
  <c r="AI137" i="1"/>
  <c r="AE137" i="1" s="1"/>
  <c r="W137" i="1"/>
  <c r="AI136" i="1"/>
  <c r="AE136" i="1" s="1"/>
  <c r="V136" i="1"/>
  <c r="AK136" i="1" s="1"/>
  <c r="AK135" i="1"/>
  <c r="AJ135" i="1"/>
  <c r="AI135" i="1"/>
  <c r="AE135" i="1" s="1"/>
  <c r="W135" i="1"/>
  <c r="AK134" i="1"/>
  <c r="AJ134" i="1"/>
  <c r="AI134" i="1"/>
  <c r="AE134" i="1" s="1"/>
  <c r="W134" i="1"/>
  <c r="AK133" i="1"/>
  <c r="AJ133" i="1"/>
  <c r="AI133" i="1"/>
  <c r="AE133" i="1" s="1"/>
  <c r="W133" i="1"/>
  <c r="AK132" i="1"/>
  <c r="AJ132" i="1"/>
  <c r="AI132" i="1"/>
  <c r="AE132" i="1" s="1"/>
  <c r="W132" i="1"/>
  <c r="AI131" i="1"/>
  <c r="AE131" i="1" s="1"/>
  <c r="V131" i="1"/>
  <c r="AK131" i="1" s="1"/>
  <c r="AK130" i="1"/>
  <c r="AJ130" i="1"/>
  <c r="AI130" i="1"/>
  <c r="AE130" i="1" s="1"/>
  <c r="W130" i="1"/>
  <c r="AK129" i="1"/>
  <c r="AJ129" i="1"/>
  <c r="AI129" i="1"/>
  <c r="AE129" i="1" s="1"/>
  <c r="W129" i="1"/>
  <c r="AK128" i="1"/>
  <c r="AJ128" i="1"/>
  <c r="AI128" i="1"/>
  <c r="AE128" i="1" s="1"/>
  <c r="W128" i="1"/>
  <c r="AK127" i="1"/>
  <c r="AJ127" i="1"/>
  <c r="AI127" i="1"/>
  <c r="AE127" i="1" s="1"/>
  <c r="W127" i="1"/>
  <c r="AI126" i="1"/>
  <c r="AE126" i="1" s="1"/>
  <c r="V126" i="1"/>
  <c r="W126" i="1" s="1"/>
  <c r="AI125" i="1"/>
  <c r="AE125" i="1" s="1"/>
  <c r="V125" i="1"/>
  <c r="AK125" i="1" s="1"/>
  <c r="AK124" i="1"/>
  <c r="AJ124" i="1"/>
  <c r="AI124" i="1"/>
  <c r="AE124" i="1" s="1"/>
  <c r="W124" i="1"/>
  <c r="AK123" i="1"/>
  <c r="AJ123" i="1"/>
  <c r="AI123" i="1"/>
  <c r="AE123" i="1" s="1"/>
  <c r="W123" i="1"/>
  <c r="AK122" i="1"/>
  <c r="AJ122" i="1"/>
  <c r="AI122" i="1"/>
  <c r="AE122" i="1" s="1"/>
  <c r="W122" i="1"/>
  <c r="AK121" i="1"/>
  <c r="AJ121" i="1"/>
  <c r="AI121" i="1"/>
  <c r="AE121" i="1" s="1"/>
  <c r="W121" i="1"/>
  <c r="AK120" i="1"/>
  <c r="AJ120" i="1"/>
  <c r="AI120" i="1"/>
  <c r="AE120" i="1" s="1"/>
  <c r="W120" i="1"/>
  <c r="AK119" i="1"/>
  <c r="AJ119" i="1"/>
  <c r="AI119" i="1"/>
  <c r="AE119" i="1" s="1"/>
  <c r="W119" i="1"/>
  <c r="AK118" i="1"/>
  <c r="AJ118" i="1"/>
  <c r="AI118" i="1"/>
  <c r="AE118" i="1" s="1"/>
  <c r="W118" i="1"/>
  <c r="AK117" i="1"/>
  <c r="AJ117" i="1"/>
  <c r="AI117" i="1"/>
  <c r="AE117" i="1" s="1"/>
  <c r="W117" i="1"/>
  <c r="AI116" i="1"/>
  <c r="AE116" i="1" s="1"/>
  <c r="V116" i="1"/>
  <c r="AK115" i="1"/>
  <c r="AJ115" i="1"/>
  <c r="AI115" i="1"/>
  <c r="AE115" i="1" s="1"/>
  <c r="W115" i="1"/>
  <c r="AK114" i="1"/>
  <c r="AJ114" i="1"/>
  <c r="AI114" i="1"/>
  <c r="AE114" i="1" s="1"/>
  <c r="W114" i="1"/>
  <c r="AK113" i="1"/>
  <c r="AJ113" i="1"/>
  <c r="AI113" i="1"/>
  <c r="AE113" i="1" s="1"/>
  <c r="W113" i="1"/>
  <c r="AI112" i="1"/>
  <c r="AE112" i="1" s="1"/>
  <c r="V112" i="1"/>
  <c r="AK112" i="1" s="1"/>
  <c r="AI111" i="1"/>
  <c r="AE111" i="1" s="1"/>
  <c r="V111" i="1"/>
  <c r="AK110" i="1"/>
  <c r="AJ110" i="1"/>
  <c r="AI110" i="1"/>
  <c r="AE110" i="1" s="1"/>
  <c r="W110" i="1"/>
  <c r="AK109" i="1"/>
  <c r="AJ109" i="1"/>
  <c r="AI109" i="1"/>
  <c r="AE109" i="1" s="1"/>
  <c r="W109" i="1"/>
  <c r="AK108" i="1"/>
  <c r="AJ108" i="1"/>
  <c r="AI108" i="1"/>
  <c r="AE108" i="1" s="1"/>
  <c r="W108" i="1"/>
  <c r="AK107" i="1"/>
  <c r="AJ107" i="1"/>
  <c r="AI107" i="1"/>
  <c r="AE107" i="1" s="1"/>
  <c r="W107" i="1"/>
  <c r="AK106" i="1"/>
  <c r="AJ106" i="1"/>
  <c r="AI106" i="1"/>
  <c r="AE106" i="1" s="1"/>
  <c r="W106" i="1"/>
  <c r="AK105" i="1"/>
  <c r="AJ105" i="1"/>
  <c r="AI105" i="1"/>
  <c r="AE105" i="1" s="1"/>
  <c r="W105" i="1"/>
  <c r="AK104" i="1"/>
  <c r="AJ104" i="1"/>
  <c r="AI104" i="1"/>
  <c r="AE104" i="1" s="1"/>
  <c r="W104" i="1"/>
  <c r="AK103" i="1"/>
  <c r="AJ103" i="1"/>
  <c r="AI103" i="1"/>
  <c r="AE103" i="1" s="1"/>
  <c r="W103" i="1"/>
  <c r="AK102" i="1"/>
  <c r="AJ102" i="1"/>
  <c r="AI102" i="1"/>
  <c r="AE102" i="1" s="1"/>
  <c r="W102" i="1"/>
  <c r="AK101" i="1"/>
  <c r="AJ101" i="1"/>
  <c r="AI101" i="1"/>
  <c r="AE101" i="1" s="1"/>
  <c r="W101" i="1"/>
  <c r="AK100" i="1"/>
  <c r="AJ100" i="1"/>
  <c r="AI100" i="1"/>
  <c r="AE100" i="1" s="1"/>
  <c r="W100" i="1"/>
  <c r="AK99" i="1"/>
  <c r="AJ99" i="1"/>
  <c r="AI99" i="1"/>
  <c r="AE99" i="1" s="1"/>
  <c r="W99" i="1"/>
  <c r="AI98" i="1"/>
  <c r="AE98" i="1" s="1"/>
  <c r="V98" i="1"/>
  <c r="AK98" i="1" s="1"/>
  <c r="AI97" i="1"/>
  <c r="AE97" i="1" s="1"/>
  <c r="V97" i="1"/>
  <c r="AJ97" i="1" s="1"/>
  <c r="AK96" i="1"/>
  <c r="AJ96" i="1"/>
  <c r="AI96" i="1"/>
  <c r="AE96" i="1" s="1"/>
  <c r="W96" i="1"/>
  <c r="AK95" i="1"/>
  <c r="AJ95" i="1"/>
  <c r="AI95" i="1"/>
  <c r="AE95" i="1" s="1"/>
  <c r="W95" i="1"/>
  <c r="AK94" i="1"/>
  <c r="AJ94" i="1"/>
  <c r="AI94" i="1"/>
  <c r="AE94" i="1" s="1"/>
  <c r="W94" i="1"/>
  <c r="AK93" i="1"/>
  <c r="AJ93" i="1"/>
  <c r="AI93" i="1"/>
  <c r="AE93" i="1" s="1"/>
  <c r="W93" i="1"/>
  <c r="AI92" i="1"/>
  <c r="AE92" i="1" s="1"/>
  <c r="V92" i="1"/>
  <c r="W92" i="1" s="1"/>
  <c r="AI91" i="1"/>
  <c r="AE91" i="1" s="1"/>
  <c r="V91" i="1"/>
  <c r="AJ91" i="1" s="1"/>
  <c r="AK90" i="1"/>
  <c r="AJ90" i="1"/>
  <c r="AI90" i="1"/>
  <c r="AE90" i="1" s="1"/>
  <c r="W90" i="1"/>
  <c r="AK89" i="1"/>
  <c r="AJ89" i="1"/>
  <c r="AI89" i="1"/>
  <c r="AE89" i="1" s="1"/>
  <c r="W89" i="1"/>
  <c r="AI88" i="1"/>
  <c r="AE88" i="1" s="1"/>
  <c r="V88" i="1"/>
  <c r="AK88" i="1" s="1"/>
  <c r="AK87" i="1"/>
  <c r="AJ87" i="1"/>
  <c r="AI87" i="1"/>
  <c r="AE87" i="1" s="1"/>
  <c r="W87" i="1"/>
  <c r="AK86" i="1"/>
  <c r="AJ86" i="1"/>
  <c r="AI86" i="1"/>
  <c r="AE86" i="1" s="1"/>
  <c r="W86" i="1"/>
  <c r="AK85" i="1"/>
  <c r="AJ85" i="1"/>
  <c r="AI85" i="1"/>
  <c r="AE85" i="1" s="1"/>
  <c r="W85" i="1"/>
  <c r="AK84" i="1"/>
  <c r="AJ84" i="1"/>
  <c r="AI84" i="1"/>
  <c r="AE84" i="1" s="1"/>
  <c r="W84" i="1"/>
  <c r="AK83" i="1"/>
  <c r="AJ83" i="1"/>
  <c r="AI83" i="1"/>
  <c r="AE83" i="1" s="1"/>
  <c r="W83" i="1"/>
  <c r="AK82" i="1"/>
  <c r="AJ82" i="1"/>
  <c r="AI82" i="1"/>
  <c r="AE82" i="1" s="1"/>
  <c r="W82" i="1"/>
  <c r="AK81" i="1"/>
  <c r="AJ81" i="1"/>
  <c r="AI81" i="1"/>
  <c r="AE81" i="1" s="1"/>
  <c r="W81" i="1"/>
  <c r="AK80" i="1"/>
  <c r="AJ80" i="1"/>
  <c r="AI80" i="1"/>
  <c r="AE80" i="1" s="1"/>
  <c r="W80" i="1"/>
  <c r="AK79" i="1"/>
  <c r="AJ79" i="1"/>
  <c r="AI79" i="1"/>
  <c r="AE79" i="1" s="1"/>
  <c r="W79" i="1"/>
  <c r="AK78" i="1"/>
  <c r="AJ78" i="1"/>
  <c r="AI78" i="1"/>
  <c r="AE78" i="1" s="1"/>
  <c r="W78" i="1"/>
  <c r="AK77" i="1"/>
  <c r="AJ77" i="1"/>
  <c r="AI77" i="1"/>
  <c r="AE77" i="1" s="1"/>
  <c r="W77" i="1"/>
  <c r="AK76" i="1"/>
  <c r="AJ76" i="1"/>
  <c r="AI76" i="1"/>
  <c r="AE76" i="1" s="1"/>
  <c r="W76" i="1"/>
  <c r="AK75" i="1"/>
  <c r="AJ75" i="1"/>
  <c r="AI75" i="1"/>
  <c r="AE75" i="1" s="1"/>
  <c r="W75" i="1"/>
  <c r="AK74" i="1"/>
  <c r="AJ74" i="1"/>
  <c r="AI74" i="1"/>
  <c r="AE74" i="1" s="1"/>
  <c r="W74" i="1"/>
  <c r="AK73" i="1"/>
  <c r="AJ73" i="1"/>
  <c r="AI73" i="1"/>
  <c r="AE73" i="1" s="1"/>
  <c r="W73" i="1"/>
  <c r="AK72" i="1"/>
  <c r="AJ72" i="1"/>
  <c r="AI72" i="1"/>
  <c r="AE72" i="1" s="1"/>
  <c r="W72" i="1"/>
  <c r="AK71" i="1"/>
  <c r="AJ71" i="1"/>
  <c r="AI71" i="1"/>
  <c r="AE71" i="1" s="1"/>
  <c r="W71" i="1"/>
  <c r="AK70" i="1"/>
  <c r="AJ70" i="1"/>
  <c r="AI70" i="1"/>
  <c r="AE70" i="1" s="1"/>
  <c r="W70" i="1"/>
  <c r="AI69" i="1"/>
  <c r="AE69" i="1" s="1"/>
  <c r="V69" i="1"/>
  <c r="AK69" i="1" s="1"/>
  <c r="AI68" i="1"/>
  <c r="AE68" i="1" s="1"/>
  <c r="V68" i="1"/>
  <c r="AK68" i="1" s="1"/>
  <c r="AK67" i="1"/>
  <c r="AJ67" i="1"/>
  <c r="AI67" i="1"/>
  <c r="AE67" i="1" s="1"/>
  <c r="W67" i="1"/>
  <c r="AK66" i="1"/>
  <c r="AJ66" i="1"/>
  <c r="AI66" i="1"/>
  <c r="AE66" i="1" s="1"/>
  <c r="W66" i="1"/>
  <c r="AK65" i="1"/>
  <c r="AJ65" i="1"/>
  <c r="AI65" i="1"/>
  <c r="AE65" i="1" s="1"/>
  <c r="W65" i="1"/>
  <c r="AI64" i="1"/>
  <c r="AE64" i="1" s="1"/>
  <c r="V64" i="1"/>
  <c r="AJ64" i="1" s="1"/>
  <c r="AI63" i="1"/>
  <c r="AE63" i="1" s="1"/>
  <c r="V63" i="1"/>
  <c r="AK63" i="1" s="1"/>
  <c r="AK62" i="1"/>
  <c r="AJ62" i="1"/>
  <c r="AI62" i="1"/>
  <c r="AE62" i="1" s="1"/>
  <c r="W62" i="1"/>
  <c r="AK61" i="1"/>
  <c r="AJ61" i="1"/>
  <c r="AI61" i="1"/>
  <c r="AE61" i="1" s="1"/>
  <c r="W61" i="1"/>
  <c r="AI60" i="1"/>
  <c r="AE60" i="1" s="1"/>
  <c r="V60" i="1"/>
  <c r="W60" i="1" s="1"/>
  <c r="AI59" i="1"/>
  <c r="AE59" i="1" s="1"/>
  <c r="V59" i="1"/>
  <c r="AK59" i="1" s="1"/>
  <c r="AI58" i="1"/>
  <c r="AE58" i="1" s="1"/>
  <c r="V58" i="1"/>
  <c r="AK58" i="1" s="1"/>
  <c r="AI57" i="1"/>
  <c r="AE57" i="1" s="1"/>
  <c r="V57" i="1"/>
  <c r="AK57" i="1" s="1"/>
  <c r="AI56" i="1"/>
  <c r="AE56" i="1" s="1"/>
  <c r="V56" i="1"/>
  <c r="AK55" i="1"/>
  <c r="AJ55" i="1"/>
  <c r="AI55" i="1"/>
  <c r="AE55" i="1" s="1"/>
  <c r="W55" i="1"/>
  <c r="AK54" i="1"/>
  <c r="AJ54" i="1"/>
  <c r="AI54" i="1"/>
  <c r="AE54" i="1" s="1"/>
  <c r="W54" i="1"/>
  <c r="AK53" i="1"/>
  <c r="AJ53" i="1"/>
  <c r="AI53" i="1"/>
  <c r="AE53" i="1" s="1"/>
  <c r="W53" i="1"/>
  <c r="AK52" i="1"/>
  <c r="AJ52" i="1"/>
  <c r="AI52" i="1"/>
  <c r="AE52" i="1" s="1"/>
  <c r="W52" i="1"/>
  <c r="AK51" i="1"/>
  <c r="AJ51" i="1"/>
  <c r="AI51" i="1"/>
  <c r="AE51" i="1" s="1"/>
  <c r="W51" i="1"/>
  <c r="AK50" i="1"/>
  <c r="AJ50" i="1"/>
  <c r="AI50" i="1"/>
  <c r="AE50" i="1" s="1"/>
  <c r="W50" i="1"/>
  <c r="AK49" i="1"/>
  <c r="AJ49" i="1"/>
  <c r="AI49" i="1"/>
  <c r="AE49" i="1" s="1"/>
  <c r="W49" i="1"/>
  <c r="AK48" i="1"/>
  <c r="AJ48" i="1"/>
  <c r="AI48" i="1"/>
  <c r="AE48" i="1" s="1"/>
  <c r="W48" i="1"/>
  <c r="AK47" i="1"/>
  <c r="AJ47" i="1"/>
  <c r="AI47" i="1"/>
  <c r="AE47" i="1" s="1"/>
  <c r="W47" i="1"/>
  <c r="AK46" i="1"/>
  <c r="AJ46" i="1"/>
  <c r="AI46" i="1"/>
  <c r="AE46" i="1" s="1"/>
  <c r="W46" i="1"/>
  <c r="AK45" i="1"/>
  <c r="AJ45" i="1"/>
  <c r="AI45" i="1"/>
  <c r="AE45" i="1" s="1"/>
  <c r="W45" i="1"/>
  <c r="AK44" i="1"/>
  <c r="AJ44" i="1"/>
  <c r="AI44" i="1"/>
  <c r="AE44" i="1" s="1"/>
  <c r="W44" i="1"/>
  <c r="AK43" i="1"/>
  <c r="AJ43" i="1"/>
  <c r="AI43" i="1"/>
  <c r="AE43" i="1" s="1"/>
  <c r="W43" i="1"/>
  <c r="AK42" i="1"/>
  <c r="AJ42" i="1"/>
  <c r="AI42" i="1"/>
  <c r="AE42" i="1" s="1"/>
  <c r="W42" i="1"/>
  <c r="AK41" i="1"/>
  <c r="AJ41" i="1"/>
  <c r="AI41" i="1"/>
  <c r="AE41" i="1" s="1"/>
  <c r="W41" i="1"/>
  <c r="AI40" i="1"/>
  <c r="AE40" i="1" s="1"/>
  <c r="V40" i="1"/>
  <c r="AJ40" i="1" s="1"/>
  <c r="AK39" i="1"/>
  <c r="AJ39" i="1"/>
  <c r="AI39" i="1"/>
  <c r="AE39" i="1" s="1"/>
  <c r="W39" i="1"/>
  <c r="AI38" i="1"/>
  <c r="AE38" i="1" s="1"/>
  <c r="V38" i="1"/>
  <c r="AK38" i="1" s="1"/>
  <c r="AI37" i="1"/>
  <c r="AE37" i="1" s="1"/>
  <c r="V37" i="1"/>
  <c r="AK37" i="1" s="1"/>
  <c r="AI36" i="1"/>
  <c r="AE36" i="1" s="1"/>
  <c r="V36" i="1"/>
  <c r="AJ36" i="1" s="1"/>
  <c r="AI35" i="1"/>
  <c r="AE35" i="1" s="1"/>
  <c r="V35" i="1"/>
  <c r="AJ35" i="1" s="1"/>
  <c r="AI34" i="1"/>
  <c r="AE34" i="1" s="1"/>
  <c r="V34" i="1"/>
  <c r="W34" i="1" s="1"/>
  <c r="AI33" i="1"/>
  <c r="AE33" i="1" s="1"/>
  <c r="V33" i="1"/>
  <c r="W33" i="1" s="1"/>
  <c r="AK32" i="1"/>
  <c r="AJ32" i="1"/>
  <c r="AI32" i="1"/>
  <c r="AE32" i="1" s="1"/>
  <c r="W32" i="1"/>
  <c r="AK31" i="1"/>
  <c r="AJ31" i="1"/>
  <c r="AI31" i="1"/>
  <c r="AE31" i="1" s="1"/>
  <c r="W31" i="1"/>
  <c r="AK30" i="1"/>
  <c r="AJ30" i="1"/>
  <c r="AI30" i="1"/>
  <c r="AE30" i="1" s="1"/>
  <c r="W30" i="1"/>
  <c r="AK29" i="1"/>
  <c r="AJ29" i="1"/>
  <c r="AI29" i="1"/>
  <c r="AE29" i="1" s="1"/>
  <c r="W29" i="1"/>
  <c r="AK28" i="1"/>
  <c r="AJ28" i="1"/>
  <c r="AI28" i="1"/>
  <c r="AE28" i="1" s="1"/>
  <c r="W28" i="1"/>
  <c r="AI27" i="1"/>
  <c r="AE27" i="1" s="1"/>
  <c r="AK26" i="1"/>
  <c r="AJ26" i="1"/>
  <c r="AI26" i="1"/>
  <c r="AE26" i="1" s="1"/>
  <c r="AK25" i="1"/>
  <c r="AJ25" i="1"/>
  <c r="AI25" i="1"/>
  <c r="AE25" i="1" s="1"/>
  <c r="W25" i="1"/>
  <c r="AK24" i="1"/>
  <c r="AJ24" i="1"/>
  <c r="AI24" i="1"/>
  <c r="AE24" i="1" s="1"/>
  <c r="W24" i="1"/>
  <c r="AI23" i="1"/>
  <c r="AE23" i="1" s="1"/>
  <c r="V23" i="1"/>
  <c r="AI22" i="1"/>
  <c r="AE22" i="1" s="1"/>
  <c r="V22" i="1"/>
  <c r="AK21" i="1"/>
  <c r="AJ21" i="1"/>
  <c r="AI21" i="1"/>
  <c r="AE21" i="1" s="1"/>
  <c r="W21" i="1"/>
  <c r="AI20" i="1"/>
  <c r="AE20" i="1" s="1"/>
  <c r="V20" i="1"/>
  <c r="AK20" i="1" s="1"/>
  <c r="AK19" i="1"/>
  <c r="AI19" i="1"/>
  <c r="AE19" i="1" s="1"/>
  <c r="AK18" i="1"/>
  <c r="AJ18" i="1"/>
  <c r="AI18" i="1"/>
  <c r="AE18" i="1" s="1"/>
  <c r="W18" i="1"/>
  <c r="AI17" i="1"/>
  <c r="AE17" i="1" s="1"/>
  <c r="AK16" i="1"/>
  <c r="AJ16" i="1"/>
  <c r="AI16" i="1"/>
  <c r="AE16" i="1" s="1"/>
  <c r="W16" i="1"/>
  <c r="AI15" i="1"/>
  <c r="AE15" i="1" s="1"/>
  <c r="AK14" i="1"/>
  <c r="AJ14" i="1"/>
  <c r="AI14" i="1"/>
  <c r="AE14" i="1" s="1"/>
  <c r="AF14" i="1"/>
  <c r="W14" i="1"/>
  <c r="AK13" i="1"/>
  <c r="AJ13" i="1"/>
  <c r="AI13" i="1"/>
  <c r="AE13" i="1" s="1"/>
  <c r="W13" i="1"/>
  <c r="AK12" i="1"/>
  <c r="AJ12" i="1"/>
  <c r="AI12" i="1"/>
  <c r="AE12" i="1" s="1"/>
  <c r="W12" i="1"/>
  <c r="AI11" i="1"/>
  <c r="AE11" i="1" s="1"/>
  <c r="AI10" i="1"/>
  <c r="AE10" i="1" s="1"/>
  <c r="V10" i="1"/>
  <c r="W10" i="1" s="1"/>
  <c r="AI9" i="1"/>
  <c r="AE9" i="1" s="1"/>
  <c r="V9" i="1"/>
  <c r="AJ9" i="1" s="1"/>
  <c r="AI8" i="1"/>
  <c r="AE8" i="1" s="1"/>
  <c r="V8" i="1"/>
  <c r="AK8" i="1" s="1"/>
  <c r="AI7" i="1"/>
  <c r="AE7" i="1" s="1"/>
  <c r="V7" i="1"/>
  <c r="AI6" i="1"/>
  <c r="AE6" i="1" s="1"/>
  <c r="V6" i="1"/>
  <c r="AK6" i="1" s="1"/>
  <c r="AI5" i="1"/>
  <c r="AE5" i="1" s="1"/>
  <c r="V5" i="1"/>
  <c r="AJ5" i="1" s="1"/>
  <c r="AI4" i="1"/>
  <c r="AE4" i="1" s="1"/>
  <c r="V4" i="1"/>
  <c r="AK4" i="1" s="1"/>
  <c r="AI3" i="1"/>
  <c r="AE3" i="1" s="1"/>
  <c r="V3" i="1"/>
  <c r="W3" i="1" s="1"/>
  <c r="AK2" i="1"/>
  <c r="AJ2" i="1"/>
  <c r="AI2" i="1"/>
  <c r="AE2" i="1" s="1"/>
  <c r="W2" i="1"/>
  <c r="AK11" i="1" l="1"/>
  <c r="W11" i="1"/>
  <c r="AJ900" i="1"/>
  <c r="W900" i="1"/>
  <c r="AJ1077" i="1"/>
  <c r="AK1077" i="1"/>
  <c r="W197" i="1"/>
  <c r="W429" i="1"/>
  <c r="AJ2275" i="1"/>
  <c r="AK2275" i="1"/>
  <c r="W3701" i="1"/>
  <c r="AJ3701" i="1"/>
  <c r="W4188" i="1"/>
  <c r="W3218" i="1"/>
  <c r="W4259" i="1"/>
  <c r="W3366" i="1"/>
  <c r="AK3366" i="1"/>
  <c r="AK4259" i="1"/>
  <c r="AK197" i="1"/>
  <c r="AJ2493" i="1"/>
  <c r="AJ27" i="1"/>
  <c r="AJ4161" i="1"/>
  <c r="W27" i="1"/>
  <c r="W2831" i="1"/>
  <c r="W2720" i="1"/>
  <c r="AJ2831" i="1"/>
  <c r="AK2979" i="1"/>
  <c r="W17" i="1"/>
  <c r="W4161" i="1"/>
  <c r="AJ156" i="1"/>
  <c r="AJ17" i="1"/>
  <c r="AJ429" i="1"/>
  <c r="AJ155" i="1"/>
  <c r="W156" i="1"/>
  <c r="AK155" i="1"/>
  <c r="AJ1030" i="1"/>
  <c r="AK1030" i="1"/>
  <c r="W324" i="1"/>
  <c r="AJ324" i="1"/>
  <c r="AJ4188" i="1"/>
  <c r="W19" i="1"/>
  <c r="AK2704" i="1"/>
  <c r="AJ3218" i="1"/>
  <c r="W2977" i="1"/>
  <c r="W3479" i="1"/>
  <c r="AJ3970" i="1"/>
  <c r="W4149" i="1"/>
  <c r="AJ2979" i="1"/>
  <c r="AK3970" i="1"/>
  <c r="AJ3479" i="1"/>
  <c r="W20" i="1"/>
  <c r="W3085" i="1"/>
  <c r="AJ3085" i="1"/>
  <c r="W3962" i="1"/>
  <c r="W3501" i="1"/>
  <c r="AJ2720" i="1"/>
  <c r="W2827" i="1"/>
  <c r="AJ3962" i="1"/>
  <c r="W963" i="1"/>
  <c r="AJ963" i="1"/>
  <c r="AJ2827" i="1"/>
  <c r="AJ3501" i="1"/>
  <c r="AJ4149" i="1"/>
  <c r="AJ20" i="1"/>
  <c r="W336" i="1"/>
  <c r="AJ336" i="1"/>
  <c r="AJ902" i="1"/>
  <c r="W2221" i="1"/>
  <c r="AJ2221" i="1"/>
  <c r="W938" i="1"/>
  <c r="AJ1977" i="1"/>
  <c r="AK1977" i="1"/>
  <c r="W657" i="1"/>
  <c r="W902" i="1"/>
  <c r="AJ1978" i="1"/>
  <c r="AJ657" i="1"/>
  <c r="AK1978" i="1"/>
  <c r="AJ15" i="1"/>
  <c r="AK15" i="1"/>
  <c r="W2704" i="1"/>
  <c r="AK938" i="1"/>
  <c r="AK3740" i="1"/>
  <c r="W3739" i="1"/>
  <c r="AJ3740" i="1"/>
  <c r="AJ3739" i="1"/>
  <c r="AK4249" i="1"/>
  <c r="AJ544" i="1"/>
  <c r="AK4062" i="1"/>
  <c r="AJ2071" i="1"/>
  <c r="AJ3140" i="1"/>
  <c r="AJ1426" i="1"/>
  <c r="AK3789" i="1"/>
  <c r="AK711" i="1"/>
  <c r="AJ2984" i="1"/>
  <c r="AJ1492" i="1"/>
  <c r="AJ3253" i="1"/>
  <c r="AJ2157" i="1"/>
  <c r="AK3373" i="1"/>
  <c r="AK1791" i="1"/>
  <c r="AJ3184" i="1"/>
  <c r="AK3253" i="1"/>
  <c r="W2016" i="1"/>
  <c r="AK2157" i="1"/>
  <c r="AJ1359" i="1"/>
  <c r="AK1108" i="1"/>
  <c r="W3708" i="1"/>
  <c r="W2984" i="1"/>
  <c r="AK2871" i="1"/>
  <c r="AJ3373" i="1"/>
  <c r="W766" i="1"/>
  <c r="W1228" i="1"/>
  <c r="AK1933" i="1"/>
  <c r="AK2544" i="1"/>
  <c r="W746" i="1"/>
  <c r="AJ1254" i="1"/>
  <c r="AK1490" i="1"/>
  <c r="W1585" i="1"/>
  <c r="AJ1913" i="1"/>
  <c r="W3359" i="1"/>
  <c r="W3707" i="1"/>
  <c r="W3777" i="1"/>
  <c r="AF3966" i="1"/>
  <c r="W3973" i="1"/>
  <c r="W2561" i="1"/>
  <c r="AK2996" i="1"/>
  <c r="AK1175" i="1"/>
  <c r="AK232" i="1"/>
  <c r="AK1913" i="1"/>
  <c r="W2274" i="1"/>
  <c r="W2277" i="1"/>
  <c r="AJ2400" i="1"/>
  <c r="AJ2822" i="1"/>
  <c r="AJ2924" i="1"/>
  <c r="AJ3882" i="1"/>
  <c r="AJ3992" i="1"/>
  <c r="W1025" i="1"/>
  <c r="AK1773" i="1"/>
  <c r="AJ1701" i="1"/>
  <c r="W2096" i="1"/>
  <c r="AK2561" i="1"/>
  <c r="AJ2096" i="1"/>
  <c r="AK1228" i="1"/>
  <c r="AK889" i="1"/>
  <c r="AJ1144" i="1"/>
  <c r="AJ1872" i="1"/>
  <c r="W1875" i="1"/>
  <c r="W2873" i="1"/>
  <c r="AJ2899" i="1"/>
  <c r="AK2924" i="1"/>
  <c r="AK3882" i="1"/>
  <c r="AK3980" i="1"/>
  <c r="AJ4050" i="1"/>
  <c r="AK4136" i="1"/>
  <c r="AK206" i="1"/>
  <c r="W1022" i="1"/>
  <c r="W2343" i="1"/>
  <c r="W1678" i="1"/>
  <c r="AJ208" i="1"/>
  <c r="AK3" i="1"/>
  <c r="AK179" i="1"/>
  <c r="AK699" i="1"/>
  <c r="AJ1000" i="1"/>
  <c r="AK1872" i="1"/>
  <c r="W2247" i="1"/>
  <c r="AK2257" i="1"/>
  <c r="AK2274" i="1"/>
  <c r="AJ2277" i="1"/>
  <c r="AJ2291" i="1"/>
  <c r="AK2899" i="1"/>
  <c r="W3528" i="1"/>
  <c r="AJ3707" i="1"/>
  <c r="AK4145" i="1"/>
  <c r="W904" i="1"/>
  <c r="AJ3261" i="1"/>
  <c r="AJ1587" i="1"/>
  <c r="AJ2522" i="1"/>
  <c r="AK465" i="1"/>
  <c r="AK2343" i="1"/>
  <c r="AK33" i="1"/>
  <c r="AK936" i="1"/>
  <c r="AK1000" i="1"/>
  <c r="AK1455" i="1"/>
  <c r="W1492" i="1"/>
  <c r="AK1875" i="1"/>
  <c r="AJ2467" i="1"/>
  <c r="AJ3879" i="1"/>
  <c r="W3161" i="1"/>
  <c r="AK3161" i="1"/>
  <c r="AK3180" i="1"/>
  <c r="AJ3180" i="1"/>
  <c r="W3180" i="1"/>
  <c r="W3374" i="1"/>
  <c r="AK3374" i="1"/>
  <c r="W4044" i="1"/>
  <c r="AJ975" i="1"/>
  <c r="AK1168" i="1"/>
  <c r="AK1728" i="1"/>
  <c r="AK2895" i="1"/>
  <c r="AK2936" i="1"/>
  <c r="AJ2985" i="1"/>
  <c r="AK3369" i="1"/>
  <c r="AF3786" i="1"/>
  <c r="AJ3786" i="1"/>
  <c r="AF4044" i="1"/>
  <c r="AJ228" i="1"/>
  <c r="W228" i="1"/>
  <c r="AK1995" i="1"/>
  <c r="AJ1995" i="1"/>
  <c r="W2805" i="1"/>
  <c r="AK2805" i="1"/>
  <c r="W751" i="1"/>
  <c r="W1995" i="1"/>
  <c r="W1744" i="1"/>
  <c r="AJ1744" i="1"/>
  <c r="W2256" i="1"/>
  <c r="AJ2256" i="1"/>
  <c r="AK2484" i="1"/>
  <c r="W2568" i="1"/>
  <c r="AK2568" i="1"/>
  <c r="AK2581" i="1"/>
  <c r="AJ2805" i="1"/>
  <c r="W2985" i="1"/>
  <c r="W3369" i="1"/>
  <c r="W3523" i="1"/>
  <c r="AK3523" i="1"/>
  <c r="AJ3523" i="1"/>
  <c r="AJ69" i="1"/>
  <c r="AJ473" i="1"/>
  <c r="AK473" i="1"/>
  <c r="W2764" i="1"/>
  <c r="AJ2764" i="1"/>
  <c r="AK2881" i="1"/>
  <c r="AJ2895" i="1"/>
  <c r="AK346" i="1"/>
  <c r="AJ4" i="1"/>
  <c r="W781" i="1"/>
  <c r="W889" i="1"/>
  <c r="W1155" i="1"/>
  <c r="AJ1155" i="1"/>
  <c r="AJ1238" i="1"/>
  <c r="W1238" i="1"/>
  <c r="AJ1424" i="1"/>
  <c r="W1424" i="1"/>
  <c r="W2291" i="1"/>
  <c r="W2595" i="1"/>
  <c r="AK2727" i="1"/>
  <c r="AJ3171" i="1"/>
  <c r="W3253" i="1"/>
  <c r="AJ3267" i="1"/>
  <c r="AJ3374" i="1"/>
  <c r="AK3439" i="1"/>
  <c r="W3778" i="1"/>
  <c r="AK3778" i="1"/>
  <c r="W4112" i="1"/>
  <c r="AK4112" i="1"/>
  <c r="AJ4112" i="1"/>
  <c r="AF4112" i="1"/>
  <c r="AK3436" i="1"/>
  <c r="AJ3436" i="1"/>
  <c r="W3849" i="1"/>
  <c r="AK3849" i="1"/>
  <c r="AK7" i="1"/>
  <c r="W7" i="1"/>
  <c r="AK1114" i="1"/>
  <c r="W1114" i="1"/>
  <c r="W2270" i="1"/>
  <c r="AK2270" i="1"/>
  <c r="AJ7" i="1"/>
  <c r="W1168" i="1"/>
  <c r="AK1986" i="1"/>
  <c r="AK92" i="1"/>
  <c r="W1566" i="1"/>
  <c r="AJ1566" i="1"/>
  <c r="W1876" i="1"/>
  <c r="AJ2755" i="1"/>
  <c r="AK2755" i="1"/>
  <c r="AF3245" i="1"/>
  <c r="W3250" i="1"/>
  <c r="W3411" i="1"/>
  <c r="AK2402" i="1"/>
  <c r="AJ2402" i="1"/>
  <c r="AK3527" i="1"/>
  <c r="AJ3527" i="1"/>
  <c r="AF4208" i="1"/>
  <c r="AK4208" i="1"/>
  <c r="W443" i="1"/>
  <c r="AK443" i="1"/>
  <c r="W4027" i="1"/>
  <c r="AJ4027" i="1"/>
  <c r="W516" i="1"/>
  <c r="AJ1341" i="1"/>
  <c r="W1341" i="1"/>
  <c r="AJ275" i="1"/>
  <c r="AJ60" i="1"/>
  <c r="W111" i="1"/>
  <c r="AK111" i="1"/>
  <c r="AJ140" i="1"/>
  <c r="W140" i="1"/>
  <c r="W231" i="1"/>
  <c r="AK271" i="1"/>
  <c r="AJ271" i="1"/>
  <c r="AK1824" i="1"/>
  <c r="W1824" i="1"/>
  <c r="AJ2175" i="1"/>
  <c r="AK2175" i="1"/>
  <c r="W2556" i="1"/>
  <c r="AK2556" i="1"/>
  <c r="AJ2556" i="1"/>
  <c r="W2755" i="1"/>
  <c r="W2837" i="1"/>
  <c r="W3187" i="1"/>
  <c r="AF3250" i="1"/>
  <c r="W3264" i="1"/>
  <c r="AK3264" i="1"/>
  <c r="AJ3264" i="1"/>
  <c r="AJ3849" i="1"/>
  <c r="AK3759" i="1"/>
  <c r="AF3759" i="1"/>
  <c r="W436" i="1"/>
  <c r="AK228" i="1"/>
  <c r="AK630" i="1"/>
  <c r="AJ818" i="1"/>
  <c r="W818" i="1"/>
  <c r="AJ2797" i="1"/>
  <c r="W2797" i="1"/>
  <c r="AK60" i="1"/>
  <c r="AK1186" i="1"/>
  <c r="W1186" i="1"/>
  <c r="W1319" i="1"/>
  <c r="AJ1319" i="1"/>
  <c r="AJ2141" i="1"/>
  <c r="W2165" i="1"/>
  <c r="AJ2165" i="1"/>
  <c r="AF3009" i="1"/>
  <c r="AJ3009" i="1"/>
  <c r="W3363" i="1"/>
  <c r="AK3363" i="1"/>
  <c r="AJ3363" i="1"/>
  <c r="AK3411" i="1"/>
  <c r="AJ3421" i="1"/>
  <c r="AK3421" i="1"/>
  <c r="AJ3521" i="1"/>
  <c r="W4013" i="1"/>
  <c r="AK4013" i="1"/>
  <c r="AJ4013" i="1"/>
  <c r="AK225" i="1"/>
  <c r="AJ6" i="1"/>
  <c r="W179" i="1"/>
  <c r="AJ231" i="1"/>
  <c r="AK289" i="1"/>
  <c r="AJ507" i="1"/>
  <c r="W703" i="1"/>
  <c r="AJ891" i="1"/>
  <c r="W891" i="1"/>
  <c r="AJ1011" i="1"/>
  <c r="W1144" i="1"/>
  <c r="AJ1247" i="1"/>
  <c r="AK2837" i="1"/>
  <c r="AK3164" i="1"/>
  <c r="AJ3164" i="1"/>
  <c r="AK3187" i="1"/>
  <c r="AJ3250" i="1"/>
  <c r="W4139" i="1"/>
  <c r="AK4139" i="1"/>
  <c r="W4271" i="1"/>
  <c r="AF4271" i="1"/>
  <c r="AJ4062" i="1"/>
  <c r="AJ4249" i="1"/>
  <c r="AK4271" i="1"/>
  <c r="AK3992" i="1"/>
  <c r="AK4050" i="1"/>
  <c r="AK544" i="1"/>
  <c r="AK821" i="1"/>
  <c r="AK837" i="1"/>
  <c r="AK1585" i="1"/>
  <c r="AK1678" i="1"/>
  <c r="AK1701" i="1"/>
  <c r="AK2467" i="1"/>
  <c r="AK2522" i="1"/>
  <c r="W3138" i="1"/>
  <c r="W3174" i="1"/>
  <c r="AK3184" i="1"/>
  <c r="AF3251" i="1"/>
  <c r="AF3255" i="1"/>
  <c r="W3305" i="1"/>
  <c r="AJ3359" i="1"/>
  <c r="W3410" i="1"/>
  <c r="W3423" i="1"/>
  <c r="AK4260" i="1"/>
  <c r="AJ1614" i="1"/>
  <c r="W2257" i="1"/>
  <c r="AJ2391" i="1"/>
  <c r="AJ2407" i="1"/>
  <c r="AJ2410" i="1"/>
  <c r="AJ2877" i="1"/>
  <c r="AJ3165" i="1"/>
  <c r="AJ3771" i="1"/>
  <c r="AJ3932" i="1"/>
  <c r="AJ4040" i="1"/>
  <c r="W801" i="1"/>
  <c r="AK1022" i="1"/>
  <c r="W1087" i="1"/>
  <c r="W1221" i="1"/>
  <c r="W1791" i="1"/>
  <c r="AK1942" i="1"/>
  <c r="W1985" i="1"/>
  <c r="W2023" i="1"/>
  <c r="W2069" i="1"/>
  <c r="AK2391" i="1"/>
  <c r="AK2407" i="1"/>
  <c r="W2871" i="1"/>
  <c r="AK2877" i="1"/>
  <c r="AK3165" i="1"/>
  <c r="AJ3174" i="1"/>
  <c r="AJ3410" i="1"/>
  <c r="W3710" i="1"/>
  <c r="W3714" i="1"/>
  <c r="AK3771" i="1"/>
  <c r="AK3932" i="1"/>
  <c r="AK3959" i="1"/>
  <c r="W498" i="1"/>
  <c r="AK498" i="1"/>
  <c r="AJ518" i="1"/>
  <c r="W518" i="1"/>
  <c r="AK518" i="1"/>
  <c r="AK3514" i="1"/>
  <c r="W3514" i="1"/>
  <c r="AJ22" i="1"/>
  <c r="AK22" i="1"/>
  <c r="AJ320" i="1"/>
  <c r="AJ323" i="1"/>
  <c r="AK344" i="1"/>
  <c r="W344" i="1"/>
  <c r="W406" i="1"/>
  <c r="AK406" i="1"/>
  <c r="AK1623" i="1"/>
  <c r="W1623" i="1"/>
  <c r="W1916" i="1"/>
  <c r="AJ1916" i="1"/>
  <c r="AK1916" i="1"/>
  <c r="W4042" i="1"/>
  <c r="AK4042" i="1"/>
  <c r="AJ4042" i="1"/>
  <c r="AK139" i="1"/>
  <c r="AJ139" i="1"/>
  <c r="W22" i="1"/>
  <c r="AK305" i="1"/>
  <c r="AJ305" i="1"/>
  <c r="AK323" i="1"/>
  <c r="W559" i="1"/>
  <c r="AK559" i="1"/>
  <c r="AK718" i="1"/>
  <c r="W718" i="1"/>
  <c r="W2330" i="1"/>
  <c r="AJ2330" i="1"/>
  <c r="AK2330" i="1"/>
  <c r="W2604" i="1"/>
  <c r="AK2604" i="1"/>
  <c r="AJ2604" i="1"/>
  <c r="AJ2909" i="1"/>
  <c r="AK2926" i="1"/>
  <c r="AJ2926" i="1"/>
  <c r="W2926" i="1"/>
  <c r="W305" i="1"/>
  <c r="AJ406" i="1"/>
  <c r="AK2299" i="1"/>
  <c r="AJ2299" i="1"/>
  <c r="W2905" i="1"/>
  <c r="AK2905" i="1"/>
  <c r="AJ2905" i="1"/>
  <c r="W2918" i="1"/>
  <c r="AK2918" i="1"/>
  <c r="AK512" i="1"/>
  <c r="AJ512" i="1"/>
  <c r="AJ559" i="1"/>
  <c r="W628" i="1"/>
  <c r="W712" i="1"/>
  <c r="AK712" i="1"/>
  <c r="AJ712" i="1"/>
  <c r="AJ1399" i="1"/>
  <c r="W1399" i="1"/>
  <c r="AK1399" i="1"/>
  <c r="AJ3418" i="1"/>
  <c r="AK3418" i="1"/>
  <c r="AJ116" i="1"/>
  <c r="AK116" i="1"/>
  <c r="W748" i="1"/>
  <c r="AK1099" i="1"/>
  <c r="W1099" i="1"/>
  <c r="AJ56" i="1"/>
  <c r="AK56" i="1"/>
  <c r="AK220" i="1"/>
  <c r="AJ220" i="1"/>
  <c r="AK2237" i="1"/>
  <c r="W2237" i="1"/>
  <c r="AJ2237" i="1"/>
  <c r="W56" i="1"/>
  <c r="W116" i="1"/>
  <c r="AJ149" i="1"/>
  <c r="AJ3016" i="1"/>
  <c r="AK3016" i="1"/>
  <c r="AF3016" i="1"/>
  <c r="AJ3027" i="1"/>
  <c r="W5" i="1"/>
  <c r="AK5" i="1"/>
  <c r="AJ1071" i="1"/>
  <c r="AK1071" i="1"/>
  <c r="AJ2053" i="1"/>
  <c r="AK2053" i="1"/>
  <c r="W2100" i="1"/>
  <c r="AK2100" i="1"/>
  <c r="AJ2100" i="1"/>
  <c r="AK4197" i="1"/>
  <c r="AJ4197" i="1"/>
  <c r="W4197" i="1"/>
  <c r="AK775" i="1"/>
  <c r="AJ775" i="1"/>
  <c r="AJ146" i="1"/>
  <c r="AK146" i="1"/>
  <c r="AJ258" i="1"/>
  <c r="AK258" i="1"/>
  <c r="AK1825" i="1"/>
  <c r="W1825" i="1"/>
  <c r="W2053" i="1"/>
  <c r="W3017" i="1"/>
  <c r="AK3017" i="1"/>
  <c r="AJ3017" i="1"/>
  <c r="AF3017" i="1"/>
  <c r="W3680" i="1"/>
  <c r="AK3680" i="1"/>
  <c r="AJ3680" i="1"/>
  <c r="W4162" i="1"/>
  <c r="AK4162" i="1"/>
  <c r="AJ4162" i="1"/>
  <c r="AK506" i="1"/>
  <c r="AJ506" i="1"/>
  <c r="W744" i="1"/>
  <c r="W1891" i="1"/>
  <c r="AK1891" i="1"/>
  <c r="AJ1891" i="1"/>
  <c r="AJ2179" i="1"/>
  <c r="AK2179" i="1"/>
  <c r="W2179" i="1"/>
  <c r="W258" i="1"/>
  <c r="AJ721" i="1"/>
  <c r="AK721" i="1"/>
  <c r="AK822" i="1"/>
  <c r="W822" i="1"/>
  <c r="AK1720" i="1"/>
  <c r="AJ1720" i="1"/>
  <c r="W1720" i="1"/>
  <c r="AK2654" i="1"/>
  <c r="AJ2654" i="1"/>
  <c r="W2654" i="1"/>
  <c r="AK4266" i="1"/>
  <c r="AF4266" i="1"/>
  <c r="W2338" i="1"/>
  <c r="AJ2338" i="1"/>
  <c r="W2833" i="1"/>
  <c r="AK2833" i="1"/>
  <c r="AJ2833" i="1"/>
  <c r="AK2934" i="1"/>
  <c r="AJ2934" i="1"/>
  <c r="W2934" i="1"/>
  <c r="AJ3241" i="1"/>
  <c r="AF3241" i="1"/>
  <c r="W3241" i="1"/>
  <c r="AK3241" i="1"/>
  <c r="AK3419" i="1"/>
  <c r="AJ3419" i="1"/>
  <c r="W3509" i="1"/>
  <c r="AK3509" i="1"/>
  <c r="AJ3509" i="1"/>
  <c r="AF3800" i="1"/>
  <c r="W3800" i="1"/>
  <c r="W574" i="1"/>
  <c r="W995" i="1"/>
  <c r="AK1062" i="1"/>
  <c r="W1062" i="1"/>
  <c r="W1179" i="1"/>
  <c r="W1835" i="1"/>
  <c r="W2047" i="1"/>
  <c r="AJ2047" i="1"/>
  <c r="AJ3282" i="1"/>
  <c r="AK3282" i="1"/>
  <c r="W3419" i="1"/>
  <c r="AF3509" i="1"/>
  <c r="AJ548" i="1"/>
  <c r="W870" i="1"/>
  <c r="W992" i="1"/>
  <c r="AK1189" i="1"/>
  <c r="W1189" i="1"/>
  <c r="W1235" i="1"/>
  <c r="AJ1989" i="1"/>
  <c r="AK1989" i="1"/>
  <c r="W1989" i="1"/>
  <c r="AK2338" i="1"/>
  <c r="AJ2345" i="1"/>
  <c r="AK2345" i="1"/>
  <c r="W2781" i="1"/>
  <c r="AK2812" i="1"/>
  <c r="AJ2812" i="1"/>
  <c r="AK3185" i="1"/>
  <c r="W3282" i="1"/>
  <c r="AJ3801" i="1"/>
  <c r="AK3801" i="1"/>
  <c r="AF3801" i="1"/>
  <c r="W3801" i="1"/>
  <c r="W3924" i="1"/>
  <c r="AK3924" i="1"/>
  <c r="AJ3924" i="1"/>
  <c r="W4260" i="1"/>
  <c r="W4266" i="1"/>
  <c r="AJ1297" i="1"/>
  <c r="W1297" i="1"/>
  <c r="AK548" i="1"/>
  <c r="AJ1179" i="1"/>
  <c r="AJ1835" i="1"/>
  <c r="W2915" i="1"/>
  <c r="AK2915" i="1"/>
  <c r="AJ2915" i="1"/>
  <c r="AJ3487" i="1"/>
  <c r="W4072" i="1"/>
  <c r="AK4072" i="1"/>
  <c r="AF4072" i="1"/>
  <c r="AK9" i="1"/>
  <c r="AK574" i="1"/>
  <c r="W1772" i="1"/>
  <c r="AJ1772" i="1"/>
  <c r="AJ2760" i="1"/>
  <c r="AK2760" i="1"/>
  <c r="AJ2781" i="1"/>
  <c r="W3217" i="1"/>
  <c r="AK3217" i="1"/>
  <c r="AJ3217" i="1"/>
  <c r="AK3808" i="1"/>
  <c r="AF3808" i="1"/>
  <c r="AK4025" i="1"/>
  <c r="AJ4025" i="1"/>
  <c r="W4025" i="1"/>
  <c r="W4248" i="1"/>
  <c r="AJ4266" i="1"/>
  <c r="AJ3" i="1"/>
  <c r="AJ111" i="1"/>
  <c r="AJ131" i="1"/>
  <c r="AK201" i="1"/>
  <c r="AJ345" i="1"/>
  <c r="AK348" i="1"/>
  <c r="AJ436" i="1"/>
  <c r="W473" i="1"/>
  <c r="W513" i="1"/>
  <c r="AJ537" i="1"/>
  <c r="W558" i="1"/>
  <c r="AJ707" i="1"/>
  <c r="AJ713" i="1"/>
  <c r="AK1087" i="1"/>
  <c r="AK1319" i="1"/>
  <c r="AK1426" i="1"/>
  <c r="AK1614" i="1"/>
  <c r="AJ1625" i="1"/>
  <c r="AJ1769" i="1"/>
  <c r="AK1769" i="1"/>
  <c r="W1769" i="1"/>
  <c r="W2744" i="1"/>
  <c r="W2760" i="1"/>
  <c r="AK3171" i="1"/>
  <c r="W3404" i="1"/>
  <c r="AK3404" i="1"/>
  <c r="AJ3404" i="1"/>
  <c r="AJ3440" i="1"/>
  <c r="AK3440" i="1"/>
  <c r="W3677" i="1"/>
  <c r="AK3677" i="1"/>
  <c r="AJ3677" i="1"/>
  <c r="W3808" i="1"/>
  <c r="AF4019" i="1"/>
  <c r="AK4019" i="1"/>
  <c r="AJ4019" i="1"/>
  <c r="AJ4072" i="1"/>
  <c r="AK1163" i="1"/>
  <c r="AJ1163" i="1"/>
  <c r="W1163" i="1"/>
  <c r="AK3019" i="1"/>
  <c r="AJ3019" i="1"/>
  <c r="W3019" i="1"/>
  <c r="W3163" i="1"/>
  <c r="AK3163" i="1"/>
  <c r="AJ3163" i="1"/>
  <c r="AJ1762" i="1"/>
  <c r="AK1772" i="1"/>
  <c r="W2278" i="1"/>
  <c r="AK2278" i="1"/>
  <c r="AJ2278" i="1"/>
  <c r="AJ2728" i="1"/>
  <c r="AJ2757" i="1"/>
  <c r="AK2757" i="1"/>
  <c r="AJ3862" i="1"/>
  <c r="W3862" i="1"/>
  <c r="AK4056" i="1"/>
  <c r="W4056" i="1"/>
  <c r="AJ4248" i="1"/>
  <c r="AK995" i="1"/>
  <c r="AJ1422" i="1"/>
  <c r="W1422" i="1"/>
  <c r="AJ2569" i="1"/>
  <c r="AK2569" i="1"/>
  <c r="AK3768" i="1"/>
  <c r="AJ3768" i="1"/>
  <c r="AK40" i="1"/>
  <c r="W91" i="1"/>
  <c r="AK507" i="1"/>
  <c r="AK877" i="1"/>
  <c r="AJ877" i="1"/>
  <c r="W877" i="1"/>
  <c r="AK1011" i="1"/>
  <c r="AK1135" i="1"/>
  <c r="AK1235" i="1"/>
  <c r="W1298" i="1"/>
  <c r="W1489" i="1"/>
  <c r="AJ1489" i="1"/>
  <c r="W1762" i="1"/>
  <c r="AJ58" i="1"/>
  <c r="AJ88" i="1"/>
  <c r="AK91" i="1"/>
  <c r="AK537" i="1"/>
  <c r="AJ588" i="1"/>
  <c r="AK1244" i="1"/>
  <c r="AJ1244" i="1"/>
  <c r="W1244" i="1"/>
  <c r="AK1556" i="1"/>
  <c r="AJ1556" i="1"/>
  <c r="AJ230" i="1"/>
  <c r="AJ274" i="1"/>
  <c r="AJ525" i="1"/>
  <c r="AJ558" i="1"/>
  <c r="AK615" i="1"/>
  <c r="AJ954" i="1"/>
  <c r="W975" i="1"/>
  <c r="AJ1133" i="1"/>
  <c r="W1183" i="1"/>
  <c r="W1359" i="1"/>
  <c r="W1556" i="1"/>
  <c r="W2387" i="1"/>
  <c r="AK2387" i="1"/>
  <c r="W2437" i="1"/>
  <c r="AK2437" i="1"/>
  <c r="AJ2437" i="1"/>
  <c r="AJ2744" i="1"/>
  <c r="AJ2997" i="1"/>
  <c r="AK3168" i="1"/>
  <c r="AJ3168" i="1"/>
  <c r="W3168" i="1"/>
  <c r="AF3239" i="1"/>
  <c r="AK3986" i="1"/>
  <c r="AJ3986" i="1"/>
  <c r="W3990" i="1"/>
  <c r="AK3990" i="1"/>
  <c r="AJ3990" i="1"/>
  <c r="AK1765" i="1"/>
  <c r="W1765" i="1"/>
  <c r="W230" i="1"/>
  <c r="W615" i="1"/>
  <c r="W954" i="1"/>
  <c r="AK97" i="1"/>
  <c r="AJ555" i="1"/>
  <c r="AK707" i="1"/>
  <c r="AK1489" i="1"/>
  <c r="AJ346" i="1"/>
  <c r="AJ443" i="1"/>
  <c r="AK513" i="1"/>
  <c r="AK516" i="1"/>
  <c r="AK525" i="1"/>
  <c r="AJ630" i="1"/>
  <c r="AJ699" i="1"/>
  <c r="AJ711" i="1"/>
  <c r="AJ720" i="1"/>
  <c r="W819" i="1"/>
  <c r="AJ821" i="1"/>
  <c r="W936" i="1"/>
  <c r="AK955" i="1"/>
  <c r="W955" i="1"/>
  <c r="AK1133" i="1"/>
  <c r="AK1588" i="1"/>
  <c r="W1588" i="1"/>
  <c r="W1998" i="1"/>
  <c r="AJ1998" i="1"/>
  <c r="AJ2016" i="1"/>
  <c r="AJ2517" i="1"/>
  <c r="W2517" i="1"/>
  <c r="AJ2544" i="1"/>
  <c r="AJ2547" i="1"/>
  <c r="W2836" i="1"/>
  <c r="AK2836" i="1"/>
  <c r="W3400" i="1"/>
  <c r="AK3400" i="1"/>
  <c r="AJ3400" i="1"/>
  <c r="AJ4056" i="1"/>
  <c r="AJ2480" i="1"/>
  <c r="AK2480" i="1"/>
  <c r="W2480" i="1"/>
  <c r="AJ2564" i="1"/>
  <c r="AK2564" i="1"/>
  <c r="W3433" i="1"/>
  <c r="AJ3433" i="1"/>
  <c r="W3437" i="1"/>
  <c r="AK3437" i="1"/>
  <c r="AJ3437" i="1"/>
  <c r="AK3528" i="1"/>
  <c r="AJ3528" i="1"/>
  <c r="AJ3781" i="1"/>
  <c r="AK3781" i="1"/>
  <c r="AF3781" i="1"/>
  <c r="AK4007" i="1"/>
  <c r="AJ4007" i="1"/>
  <c r="W4007" i="1"/>
  <c r="AK1221" i="1"/>
  <c r="AK1247" i="1"/>
  <c r="AK1587" i="1"/>
  <c r="AJ1824" i="1"/>
  <c r="AK2023" i="1"/>
  <c r="AJ2075" i="1"/>
  <c r="AJ2094" i="1"/>
  <c r="AK2094" i="1"/>
  <c r="W2111" i="1"/>
  <c r="AK2111" i="1"/>
  <c r="AK2256" i="1"/>
  <c r="AJ2530" i="1"/>
  <c r="AK2530" i="1"/>
  <c r="AK2595" i="1"/>
  <c r="W2627" i="1"/>
  <c r="AK2627" i="1"/>
  <c r="AJ2718" i="1"/>
  <c r="W2718" i="1"/>
  <c r="AJ3423" i="1"/>
  <c r="W4036" i="1"/>
  <c r="AK4036" i="1"/>
  <c r="AJ2260" i="1"/>
  <c r="W2260" i="1"/>
  <c r="W2581" i="1"/>
  <c r="W2881" i="1"/>
  <c r="AK3138" i="1"/>
  <c r="W3412" i="1"/>
  <c r="AK3412" i="1"/>
  <c r="AK3805" i="1"/>
  <c r="AF3805" i="1"/>
  <c r="W3918" i="1"/>
  <c r="AK3918" i="1"/>
  <c r="AJ3918" i="1"/>
  <c r="AJ3973" i="1"/>
  <c r="AF4036" i="1"/>
  <c r="W4226" i="1"/>
  <c r="AK4226" i="1"/>
  <c r="AJ4226" i="1"/>
  <c r="AJ1432" i="1"/>
  <c r="AK1512" i="1"/>
  <c r="AJ1849" i="1"/>
  <c r="W3173" i="1"/>
  <c r="AK3173" i="1"/>
  <c r="AJ3173" i="1"/>
  <c r="AK3238" i="1"/>
  <c r="AJ3238" i="1"/>
  <c r="AF3238" i="1"/>
  <c r="W3238" i="1"/>
  <c r="W3259" i="1"/>
  <c r="AF3259" i="1"/>
  <c r="AJ3416" i="1"/>
  <c r="AK3416" i="1"/>
  <c r="AJ3794" i="1"/>
  <c r="W3879" i="1"/>
  <c r="AK3907" i="1"/>
  <c r="AJ3907" i="1"/>
  <c r="W3959" i="1"/>
  <c r="AK891" i="1"/>
  <c r="W953" i="1"/>
  <c r="AK1238" i="1"/>
  <c r="W1490" i="1"/>
  <c r="AK1849" i="1"/>
  <c r="AK2524" i="1"/>
  <c r="AJ2524" i="1"/>
  <c r="W2524" i="1"/>
  <c r="AK2628" i="1"/>
  <c r="W2628" i="1"/>
  <c r="AJ3412" i="1"/>
  <c r="AJ3583" i="1"/>
  <c r="AK3583" i="1"/>
  <c r="AK3794" i="1"/>
  <c r="AJ4036" i="1"/>
  <c r="W4198" i="1"/>
  <c r="AK4198" i="1"/>
  <c r="W3140" i="1"/>
  <c r="W3170" i="1"/>
  <c r="AJ3372" i="1"/>
  <c r="AF3778" i="1"/>
  <c r="AJ2048" i="1"/>
  <c r="AK2066" i="1"/>
  <c r="AJ2073" i="1"/>
  <c r="AK2796" i="1"/>
  <c r="W2822" i="1"/>
  <c r="W3009" i="1"/>
  <c r="AF3012" i="1"/>
  <c r="AJ3303" i="1"/>
  <c r="AK2048" i="1"/>
  <c r="AJ2270" i="1"/>
  <c r="W2936" i="1"/>
  <c r="AJ3161" i="1"/>
  <c r="W3164" i="1"/>
  <c r="AJ3170" i="1"/>
  <c r="AJ3260" i="1"/>
  <c r="AF3264" i="1"/>
  <c r="AK3303" i="1"/>
  <c r="AF3523" i="1"/>
  <c r="AK3686" i="1"/>
  <c r="AJ3778" i="1"/>
  <c r="AF3789" i="1"/>
  <c r="W2072" i="1"/>
  <c r="AK2072" i="1"/>
  <c r="W139" i="1"/>
  <c r="AK147" i="1"/>
  <c r="AK335" i="1"/>
  <c r="W358" i="1"/>
  <c r="AK358" i="1"/>
  <c r="AJ598" i="1"/>
  <c r="W708" i="1"/>
  <c r="AJ708" i="1"/>
  <c r="W720" i="1"/>
  <c r="W723" i="1"/>
  <c r="AJ723" i="1"/>
  <c r="AK723" i="1"/>
  <c r="W868" i="1"/>
  <c r="AK868" i="1"/>
  <c r="AJ893" i="1"/>
  <c r="W925" i="1"/>
  <c r="W1108" i="1"/>
  <c r="AK1342" i="1"/>
  <c r="AJ1342" i="1"/>
  <c r="W1342" i="1"/>
  <c r="W1558" i="1"/>
  <c r="AK1558" i="1"/>
  <c r="AJ1576" i="1"/>
  <c r="AK1576" i="1"/>
  <c r="W1576" i="1"/>
  <c r="AJ1682" i="1"/>
  <c r="AK2321" i="1"/>
  <c r="W2321" i="1"/>
  <c r="AJ2321" i="1"/>
  <c r="W2428" i="1"/>
  <c r="AK2428" i="1"/>
  <c r="W2520" i="1"/>
  <c r="AJ2520" i="1"/>
  <c r="AK2520" i="1"/>
  <c r="W2680" i="1"/>
  <c r="AK2680" i="1"/>
  <c r="AJ2680" i="1"/>
  <c r="W63" i="1"/>
  <c r="AK229" i="1"/>
  <c r="AJ229" i="1"/>
  <c r="W98" i="1"/>
  <c r="W125" i="1"/>
  <c r="AK196" i="1"/>
  <c r="W937" i="1"/>
  <c r="W1423" i="1"/>
  <c r="AK1423" i="1"/>
  <c r="W1655" i="1"/>
  <c r="AJ1655" i="1"/>
  <c r="AK1655" i="1"/>
  <c r="AJ2072" i="1"/>
  <c r="W2300" i="1"/>
  <c r="AJ2300" i="1"/>
  <c r="AK2300" i="1"/>
  <c r="W2324" i="1"/>
  <c r="AK2324" i="1"/>
  <c r="AJ2324" i="1"/>
  <c r="AK2382" i="1"/>
  <c r="W2382" i="1"/>
  <c r="AJ2382" i="1"/>
  <c r="AK2783" i="1"/>
  <c r="AJ2783" i="1"/>
  <c r="W2783" i="1"/>
  <c r="W2917" i="1"/>
  <c r="AK2917" i="1"/>
  <c r="AJ2917" i="1"/>
  <c r="AK4186" i="1"/>
  <c r="AJ4186" i="1"/>
  <c r="AF4186" i="1"/>
  <c r="W4186" i="1"/>
  <c r="W8" i="1"/>
  <c r="AJ147" i="1"/>
  <c r="AJ150" i="1"/>
  <c r="W300" i="1"/>
  <c r="AJ335" i="1"/>
  <c r="AJ347" i="1"/>
  <c r="W347" i="1"/>
  <c r="W494" i="1"/>
  <c r="W626" i="1"/>
  <c r="AJ817" i="1"/>
  <c r="AK844" i="1"/>
  <c r="W844" i="1"/>
  <c r="AK1036" i="1"/>
  <c r="W1036" i="1"/>
  <c r="AJ1036" i="1"/>
  <c r="W1093" i="1"/>
  <c r="AJ1093" i="1"/>
  <c r="AK1093" i="1"/>
  <c r="AK1161" i="1"/>
  <c r="AJ1161" i="1"/>
  <c r="W1161" i="1"/>
  <c r="AJ1271" i="1"/>
  <c r="W1271" i="1"/>
  <c r="AK1271" i="1"/>
  <c r="W1387" i="1"/>
  <c r="AK1387" i="1"/>
  <c r="W1914" i="1"/>
  <c r="AK1914" i="1"/>
  <c r="AJ2133" i="1"/>
  <c r="W2133" i="1"/>
  <c r="W2194" i="1"/>
  <c r="AJ2194" i="1"/>
  <c r="AK2194" i="1"/>
  <c r="W2337" i="1"/>
  <c r="AK2337" i="1"/>
  <c r="AJ2337" i="1"/>
  <c r="AK2427" i="1"/>
  <c r="AJ2466" i="1"/>
  <c r="AK2466" i="1"/>
  <c r="W2913" i="1"/>
  <c r="AJ2913" i="1"/>
  <c r="AK2913" i="1"/>
  <c r="AJ3657" i="1"/>
  <c r="W3657" i="1"/>
  <c r="W6" i="1"/>
  <c r="AJ10" i="1"/>
  <c r="AJ34" i="1"/>
  <c r="W58" i="1"/>
  <c r="AJ63" i="1"/>
  <c r="W69" i="1"/>
  <c r="W4" i="1"/>
  <c r="AJ8" i="1"/>
  <c r="AK10" i="1"/>
  <c r="AK34" i="1"/>
  <c r="W88" i="1"/>
  <c r="AJ125" i="1"/>
  <c r="AJ136" i="1"/>
  <c r="AJ184" i="1"/>
  <c r="AJ232" i="1"/>
  <c r="AJ300" i="1"/>
  <c r="W475" i="1"/>
  <c r="AJ475" i="1"/>
  <c r="AK586" i="1"/>
  <c r="AJ586" i="1"/>
  <c r="AK598" i="1"/>
  <c r="AK893" i="1"/>
  <c r="AK952" i="1"/>
  <c r="W1105" i="1"/>
  <c r="AK1105" i="1"/>
  <c r="AJ1105" i="1"/>
  <c r="W1373" i="1"/>
  <c r="AK1373" i="1"/>
  <c r="AJ1387" i="1"/>
  <c r="AK1682" i="1"/>
  <c r="AJ1914" i="1"/>
  <c r="AK2133" i="1"/>
  <c r="AK2240" i="1"/>
  <c r="W2240" i="1"/>
  <c r="AK2347" i="1"/>
  <c r="AJ2347" i="1"/>
  <c r="W2434" i="1"/>
  <c r="AK2434" i="1"/>
  <c r="AJ2434" i="1"/>
  <c r="AK2615" i="1"/>
  <c r="AJ2615" i="1"/>
  <c r="W2615" i="1"/>
  <c r="AJ2630" i="1"/>
  <c r="AK2630" i="1"/>
  <c r="AJ2639" i="1"/>
  <c r="W2711" i="1"/>
  <c r="AK2711" i="1"/>
  <c r="AJ2711" i="1"/>
  <c r="AK831" i="1"/>
  <c r="W831" i="1"/>
  <c r="AJ1167" i="1"/>
  <c r="AK1167" i="1"/>
  <c r="W1167" i="1"/>
  <c r="W2279" i="1"/>
  <c r="AJ2279" i="1"/>
  <c r="W817" i="1"/>
  <c r="W184" i="1"/>
  <c r="W229" i="1"/>
  <c r="AJ272" i="1"/>
  <c r="W272" i="1"/>
  <c r="AJ284" i="1"/>
  <c r="AK284" i="1"/>
  <c r="AJ383" i="1"/>
  <c r="W383" i="1"/>
  <c r="AJ463" i="1"/>
  <c r="W463" i="1"/>
  <c r="W491" i="1"/>
  <c r="AK491" i="1"/>
  <c r="AK589" i="1"/>
  <c r="AJ589" i="1"/>
  <c r="W589" i="1"/>
  <c r="AK742" i="1"/>
  <c r="W742" i="1"/>
  <c r="W952" i="1"/>
  <c r="W35" i="1"/>
  <c r="AK494" i="1"/>
  <c r="AK555" i="1"/>
  <c r="W655" i="1"/>
  <c r="AJ655" i="1"/>
  <c r="AK677" i="1"/>
  <c r="W677" i="1"/>
  <c r="W851" i="1"/>
  <c r="AK923" i="1"/>
  <c r="AJ923" i="1"/>
  <c r="AK1589" i="1"/>
  <c r="AJ1589" i="1"/>
  <c r="W1719" i="1"/>
  <c r="AK1719" i="1"/>
  <c r="W1858" i="1"/>
  <c r="AK1903" i="1"/>
  <c r="AJ1903" i="1"/>
  <c r="W2155" i="1"/>
  <c r="AK2155" i="1"/>
  <c r="W2389" i="1"/>
  <c r="AJ2389" i="1"/>
  <c r="AK2389" i="1"/>
  <c r="W2473" i="1"/>
  <c r="AJ2473" i="1"/>
  <c r="W2923" i="1"/>
  <c r="AJ2923" i="1"/>
  <c r="AK2923" i="1"/>
  <c r="AF3024" i="1"/>
  <c r="W3024" i="1"/>
  <c r="AK3024" i="1"/>
  <c r="AJ3024" i="1"/>
  <c r="W3957" i="1"/>
  <c r="AK3957" i="1"/>
  <c r="AF4264" i="1"/>
  <c r="AK4264" i="1"/>
  <c r="W9" i="1"/>
  <c r="W97" i="1"/>
  <c r="W185" i="1"/>
  <c r="AJ189" i="1"/>
  <c r="AK189" i="1"/>
  <c r="AJ270" i="1"/>
  <c r="AJ292" i="1"/>
  <c r="W292" i="1"/>
  <c r="W304" i="1"/>
  <c r="W348" i="1"/>
  <c r="W587" i="1"/>
  <c r="AJ617" i="1"/>
  <c r="W617" i="1"/>
  <c r="AK620" i="1"/>
  <c r="AJ620" i="1"/>
  <c r="W911" i="1"/>
  <c r="W923" i="1"/>
  <c r="AJ1473" i="1"/>
  <c r="AK1473" i="1"/>
  <c r="W1473" i="1"/>
  <c r="W1589" i="1"/>
  <c r="AK1637" i="1"/>
  <c r="W1637" i="1"/>
  <c r="W1786" i="1"/>
  <c r="AK1786" i="1"/>
  <c r="AJ1799" i="1"/>
  <c r="W1799" i="1"/>
  <c r="W1855" i="1"/>
  <c r="W2019" i="1"/>
  <c r="AK2019" i="1"/>
  <c r="W2064" i="1"/>
  <c r="AK2064" i="1"/>
  <c r="AJ2064" i="1"/>
  <c r="AJ2139" i="1"/>
  <c r="AK2139" i="1"/>
  <c r="W2139" i="1"/>
  <c r="W2401" i="1"/>
  <c r="AK2401" i="1"/>
  <c r="AJ2401" i="1"/>
  <c r="AJ2444" i="1"/>
  <c r="W2444" i="1"/>
  <c r="W2919" i="1"/>
  <c r="AK2919" i="1"/>
  <c r="AJ2919" i="1"/>
  <c r="W647" i="1"/>
  <c r="AJ647" i="1"/>
  <c r="W858" i="1"/>
  <c r="AJ858" i="1"/>
  <c r="AK875" i="1"/>
  <c r="W875" i="1"/>
  <c r="AK1187" i="1"/>
  <c r="AJ1187" i="1"/>
  <c r="AK366" i="1"/>
  <c r="AJ366" i="1"/>
  <c r="W1710" i="1"/>
  <c r="AK1710" i="1"/>
  <c r="AJ1801" i="1"/>
  <c r="AK1801" i="1"/>
  <c r="W1801" i="1"/>
  <c r="W2038" i="1"/>
  <c r="AK2038" i="1"/>
  <c r="AJ2038" i="1"/>
  <c r="AJ2599" i="1"/>
  <c r="AK2599" i="1"/>
  <c r="W2599" i="1"/>
  <c r="AJ1620" i="1"/>
  <c r="AK1620" i="1"/>
  <c r="W1620" i="1"/>
  <c r="W1745" i="1"/>
  <c r="AJ1745" i="1"/>
  <c r="AJ1807" i="1"/>
  <c r="W1807" i="1"/>
  <c r="AK1885" i="1"/>
  <c r="W1885" i="1"/>
  <c r="AJ1987" i="1"/>
  <c r="AK1987" i="1"/>
  <c r="W1987" i="1"/>
  <c r="W2074" i="1"/>
  <c r="AJ2074" i="1"/>
  <c r="AK2118" i="1"/>
  <c r="AJ2118" i="1"/>
  <c r="AJ2404" i="1"/>
  <c r="AK2404" i="1"/>
  <c r="W64" i="1"/>
  <c r="W154" i="1"/>
  <c r="W401" i="1"/>
  <c r="AJ401" i="1"/>
  <c r="AJ154" i="1"/>
  <c r="AK270" i="1"/>
  <c r="AJ356" i="1"/>
  <c r="AK401" i="1"/>
  <c r="AJ1237" i="1"/>
  <c r="AK1237" i="1"/>
  <c r="W1237" i="1"/>
  <c r="AK1923" i="1"/>
  <c r="AJ1923" i="1"/>
  <c r="AK260" i="1"/>
  <c r="AJ260" i="1"/>
  <c r="W171" i="1"/>
  <c r="W447" i="1"/>
  <c r="AK447" i="1"/>
  <c r="W461" i="1"/>
  <c r="AK35" i="1"/>
  <c r="AK734" i="1"/>
  <c r="W734" i="1"/>
  <c r="AJ851" i="1"/>
  <c r="W1199" i="1"/>
  <c r="AJ1199" i="1"/>
  <c r="AK1199" i="1"/>
  <c r="W1425" i="1"/>
  <c r="AJ1425" i="1"/>
  <c r="AJ1437" i="1"/>
  <c r="W1634" i="1"/>
  <c r="AJ1634" i="1"/>
  <c r="AJ1719" i="1"/>
  <c r="AK1814" i="1"/>
  <c r="AJ1858" i="1"/>
  <c r="W2046" i="1"/>
  <c r="AK2046" i="1"/>
  <c r="AJ2046" i="1"/>
  <c r="AJ2155" i="1"/>
  <c r="AK2349" i="1"/>
  <c r="W2349" i="1"/>
  <c r="AK2473" i="1"/>
  <c r="AJ3584" i="1"/>
  <c r="AK3584" i="1"/>
  <c r="W3584" i="1"/>
  <c r="AK3788" i="1"/>
  <c r="AJ3788" i="1"/>
  <c r="AF3788" i="1"/>
  <c r="W3788" i="1"/>
  <c r="AK64" i="1"/>
  <c r="AK185" i="1"/>
  <c r="W220" i="1"/>
  <c r="AK356" i="1"/>
  <c r="W375" i="1"/>
  <c r="AJ375" i="1"/>
  <c r="AJ587" i="1"/>
  <c r="W606" i="1"/>
  <c r="AK606" i="1"/>
  <c r="AK655" i="1"/>
  <c r="W869" i="1"/>
  <c r="AK1007" i="1"/>
  <c r="W1007" i="1"/>
  <c r="W1170" i="1"/>
  <c r="AJ1170" i="1"/>
  <c r="AJ1206" i="1"/>
  <c r="AK1206" i="1"/>
  <c r="W1206" i="1"/>
  <c r="AJ1236" i="1"/>
  <c r="AK1236" i="1"/>
  <c r="W1236" i="1"/>
  <c r="W1455" i="1"/>
  <c r="AJ1786" i="1"/>
  <c r="AK1999" i="1"/>
  <c r="AJ1999" i="1"/>
  <c r="AJ2019" i="1"/>
  <c r="AK2106" i="1"/>
  <c r="AJ2106" i="1"/>
  <c r="W2106" i="1"/>
  <c r="AJ2140" i="1"/>
  <c r="W2140" i="1"/>
  <c r="W2199" i="1"/>
  <c r="AJ2199" i="1"/>
  <c r="W2518" i="1"/>
  <c r="AK2518" i="1"/>
  <c r="AJ2518" i="1"/>
  <c r="AJ2571" i="1"/>
  <c r="AK2571" i="1"/>
  <c r="AK2810" i="1"/>
  <c r="W892" i="1"/>
  <c r="AJ892" i="1"/>
  <c r="W2336" i="1"/>
  <c r="AJ2336" i="1"/>
  <c r="W2749" i="1"/>
  <c r="AJ2749" i="1"/>
  <c r="AK2995" i="1"/>
  <c r="AJ2995" i="1"/>
  <c r="AK487" i="1"/>
  <c r="AJ487" i="1"/>
  <c r="AK499" i="1"/>
  <c r="W499" i="1"/>
  <c r="AJ2540" i="1"/>
  <c r="AK2540" i="1"/>
  <c r="AK2605" i="1"/>
  <c r="AJ2605" i="1"/>
  <c r="W2605" i="1"/>
  <c r="AK3922" i="1"/>
  <c r="AJ3922" i="1"/>
  <c r="W3922" i="1"/>
  <c r="AJ37" i="1"/>
  <c r="W136" i="1"/>
  <c r="W428" i="1"/>
  <c r="AJ428" i="1"/>
  <c r="AK484" i="1"/>
  <c r="AJ484" i="1"/>
  <c r="W484" i="1"/>
  <c r="AJ273" i="1"/>
  <c r="AJ461" i="1"/>
  <c r="AJ33" i="1"/>
  <c r="W40" i="1"/>
  <c r="AJ92" i="1"/>
  <c r="AK140" i="1"/>
  <c r="AJ201" i="1"/>
  <c r="W274" i="1"/>
  <c r="AJ293" i="1"/>
  <c r="AK293" i="1"/>
  <c r="W311" i="1"/>
  <c r="AJ498" i="1"/>
  <c r="W710" i="1"/>
  <c r="AJ710" i="1"/>
  <c r="W895" i="1"/>
  <c r="AK895" i="1"/>
  <c r="AJ895" i="1"/>
  <c r="AJ1135" i="1"/>
  <c r="AK1419" i="1"/>
  <c r="AJ1419" i="1"/>
  <c r="AK1425" i="1"/>
  <c r="AK1634" i="1"/>
  <c r="W1999" i="1"/>
  <c r="AJ2190" i="1"/>
  <c r="AK2190" i="1"/>
  <c r="AK2444" i="1"/>
  <c r="W2462" i="1"/>
  <c r="AK2462" i="1"/>
  <c r="W2559" i="1"/>
  <c r="AJ2559" i="1"/>
  <c r="AK2559" i="1"/>
  <c r="AJ2770" i="1"/>
  <c r="AK2770" i="1"/>
  <c r="W1305" i="1"/>
  <c r="AJ1305" i="1"/>
  <c r="W1466" i="1"/>
  <c r="AJ1466" i="1"/>
  <c r="W1785" i="1"/>
  <c r="AJ1785" i="1"/>
  <c r="W1939" i="1"/>
  <c r="AK1939" i="1"/>
  <c r="AJ2003" i="1"/>
  <c r="AK2003" i="1"/>
  <c r="W2003" i="1"/>
  <c r="AJ2169" i="1"/>
  <c r="AK2169" i="1"/>
  <c r="AJ2318" i="1"/>
  <c r="AK2318" i="1"/>
  <c r="AJ2370" i="1"/>
  <c r="AK2370" i="1"/>
  <c r="AJ2425" i="1"/>
  <c r="W2425" i="1"/>
  <c r="AK2916" i="1"/>
  <c r="AJ2916" i="1"/>
  <c r="W3020" i="1"/>
  <c r="AK3020" i="1"/>
  <c r="AJ3020" i="1"/>
  <c r="AF3020" i="1"/>
  <c r="W3190" i="1"/>
  <c r="AK3190" i="1"/>
  <c r="AJ3190" i="1"/>
  <c r="AK3711" i="1"/>
  <c r="AJ3711" i="1"/>
  <c r="W3711" i="1"/>
  <c r="AK3772" i="1"/>
  <c r="AJ3772" i="1"/>
  <c r="AF3772" i="1"/>
  <c r="AK1166" i="1"/>
  <c r="W1166" i="1"/>
  <c r="W1192" i="1"/>
  <c r="AJ1192" i="1"/>
  <c r="AK1463" i="1"/>
  <c r="AJ1463" i="1"/>
  <c r="W1657" i="1"/>
  <c r="AJ1657" i="1"/>
  <c r="W1711" i="1"/>
  <c r="AK1711" i="1"/>
  <c r="AJ1711" i="1"/>
  <c r="W1907" i="1"/>
  <c r="AK1907" i="1"/>
  <c r="AJ1943" i="1"/>
  <c r="W1943" i="1"/>
  <c r="AK2158" i="1"/>
  <c r="W2158" i="1"/>
  <c r="AJ2172" i="1"/>
  <c r="W2172" i="1"/>
  <c r="AK2172" i="1"/>
  <c r="W2353" i="1"/>
  <c r="AJ2353" i="1"/>
  <c r="W2435" i="1"/>
  <c r="AJ2435" i="1"/>
  <c r="AK2529" i="1"/>
  <c r="AJ2529" i="1"/>
  <c r="W2631" i="1"/>
  <c r="AJ2631" i="1"/>
  <c r="AK3522" i="1"/>
  <c r="AF3522" i="1"/>
  <c r="W996" i="1"/>
  <c r="AK996" i="1"/>
  <c r="AK1055" i="1"/>
  <c r="AJ1055" i="1"/>
  <c r="AJ1096" i="1"/>
  <c r="AK1096" i="1"/>
  <c r="W1096" i="1"/>
  <c r="AJ1099" i="1"/>
  <c r="AK1254" i="1"/>
  <c r="AJ1519" i="1"/>
  <c r="W1519" i="1"/>
  <c r="AK1519" i="1"/>
  <c r="AJ1623" i="1"/>
  <c r="W1648" i="1"/>
  <c r="AK1648" i="1"/>
  <c r="W1703" i="1"/>
  <c r="AK1703" i="1"/>
  <c r="AJ1703" i="1"/>
  <c r="AJ1765" i="1"/>
  <c r="AK1943" i="1"/>
  <c r="AK2047" i="1"/>
  <c r="AJ2158" i="1"/>
  <c r="W2521" i="1"/>
  <c r="AK2521" i="1"/>
  <c r="AJ2521" i="1"/>
  <c r="W2921" i="1"/>
  <c r="AJ2921" i="1"/>
  <c r="AK2921" i="1"/>
  <c r="AK3216" i="1"/>
  <c r="AJ3216" i="1"/>
  <c r="W3216" i="1"/>
  <c r="W709" i="1"/>
  <c r="AK709" i="1"/>
  <c r="AK976" i="1"/>
  <c r="W976" i="1"/>
  <c r="AJ996" i="1"/>
  <c r="AK1178" i="1"/>
  <c r="W1178" i="1"/>
  <c r="AK1357" i="1"/>
  <c r="W1357" i="1"/>
  <c r="AJ1366" i="1"/>
  <c r="W1366" i="1"/>
  <c r="W1372" i="1"/>
  <c r="AJ1372" i="1"/>
  <c r="W1491" i="1"/>
  <c r="AK1491" i="1"/>
  <c r="AJ1988" i="1"/>
  <c r="W1988" i="1"/>
  <c r="W2132" i="1"/>
  <c r="AJ2132" i="1"/>
  <c r="AK2156" i="1"/>
  <c r="AJ2156" i="1"/>
  <c r="W2156" i="1"/>
  <c r="AJ2182" i="1"/>
  <c r="AK2182" i="1"/>
  <c r="W2182" i="1"/>
  <c r="AJ2590" i="1"/>
  <c r="AK2590" i="1"/>
  <c r="AK3530" i="1"/>
  <c r="AJ3530" i="1"/>
  <c r="AF3530" i="1"/>
  <c r="W225" i="1"/>
  <c r="W465" i="1"/>
  <c r="AK736" i="1"/>
  <c r="W736" i="1"/>
  <c r="AK778" i="1"/>
  <c r="W778" i="1"/>
  <c r="AK807" i="1"/>
  <c r="W807" i="1"/>
  <c r="AJ837" i="1"/>
  <c r="AK973" i="1"/>
  <c r="W973" i="1"/>
  <c r="AJ1186" i="1"/>
  <c r="W1285" i="1"/>
  <c r="AJ1285" i="1"/>
  <c r="AK1285" i="1"/>
  <c r="W1292" i="1"/>
  <c r="AJ1292" i="1"/>
  <c r="AJ1295" i="1"/>
  <c r="W1295" i="1"/>
  <c r="AJ1800" i="1"/>
  <c r="W1800" i="1"/>
  <c r="AK1813" i="1"/>
  <c r="W2433" i="1"/>
  <c r="AJ2433" i="1"/>
  <c r="AJ2558" i="1"/>
  <c r="AK2558" i="1"/>
  <c r="W2590" i="1"/>
  <c r="AK2626" i="1"/>
  <c r="W2626" i="1"/>
  <c r="AJ2626" i="1"/>
  <c r="W2757" i="1"/>
  <c r="AK2894" i="1"/>
  <c r="AJ2894" i="1"/>
  <c r="AK2937" i="1"/>
  <c r="AJ2937" i="1"/>
  <c r="W2937" i="1"/>
  <c r="W3258" i="1"/>
  <c r="AF3258" i="1"/>
  <c r="AK3258" i="1"/>
  <c r="AJ3258" i="1"/>
  <c r="W3530" i="1"/>
  <c r="W3782" i="1"/>
  <c r="AF3782" i="1"/>
  <c r="AK3806" i="1"/>
  <c r="AF3806" i="1"/>
  <c r="AJ3806" i="1"/>
  <c r="AK3172" i="1"/>
  <c r="AJ3172" i="1"/>
  <c r="AJ3178" i="1"/>
  <c r="AK3178" i="1"/>
  <c r="W3246" i="1"/>
  <c r="AF3246" i="1"/>
  <c r="AK3246" i="1"/>
  <c r="AJ3246" i="1"/>
  <c r="AK3510" i="1"/>
  <c r="AF3510" i="1"/>
  <c r="W3510" i="1"/>
  <c r="AK1579" i="1"/>
  <c r="W1579" i="1"/>
  <c r="AK1915" i="1"/>
  <c r="AJ1915" i="1"/>
  <c r="W1918" i="1"/>
  <c r="AK1918" i="1"/>
  <c r="AJ1918" i="1"/>
  <c r="W1959" i="1"/>
  <c r="AK1959" i="1"/>
  <c r="AJ1959" i="1"/>
  <c r="W2102" i="1"/>
  <c r="AK2102" i="1"/>
  <c r="AJ2102" i="1"/>
  <c r="W2280" i="1"/>
  <c r="AK2280" i="1"/>
  <c r="AJ2280" i="1"/>
  <c r="W2901" i="1"/>
  <c r="AJ2901" i="1"/>
  <c r="AJ2914" i="1"/>
  <c r="AK2914" i="1"/>
  <c r="AJ3005" i="1"/>
  <c r="AK3005" i="1"/>
  <c r="AF3005" i="1"/>
  <c r="W3169" i="1"/>
  <c r="AK3169" i="1"/>
  <c r="AJ3169" i="1"/>
  <c r="W3172" i="1"/>
  <c r="W3178" i="1"/>
  <c r="AK3478" i="1"/>
  <c r="AJ3478" i="1"/>
  <c r="W3681" i="1"/>
  <c r="AK3681" i="1"/>
  <c r="AJ3681" i="1"/>
  <c r="W3911" i="1"/>
  <c r="AK3911" i="1"/>
  <c r="AK1140" i="1"/>
  <c r="W1140" i="1"/>
  <c r="AJ1175" i="1"/>
  <c r="AK1432" i="1"/>
  <c r="W1560" i="1"/>
  <c r="AJ1560" i="1"/>
  <c r="AK1651" i="1"/>
  <c r="W1651" i="1"/>
  <c r="AK1669" i="1"/>
  <c r="AJ1669" i="1"/>
  <c r="AJ1733" i="1"/>
  <c r="AK1733" i="1"/>
  <c r="AJ1773" i="1"/>
  <c r="W1788" i="1"/>
  <c r="AK1788" i="1"/>
  <c r="AJ1788" i="1"/>
  <c r="W1889" i="1"/>
  <c r="AK1889" i="1"/>
  <c r="AK2069" i="1"/>
  <c r="W2369" i="1"/>
  <c r="AJ2369" i="1"/>
  <c r="AJ2729" i="1"/>
  <c r="AK2729" i="1"/>
  <c r="AK2735" i="1"/>
  <c r="W2735" i="1"/>
  <c r="AK2834" i="1"/>
  <c r="AJ2834" i="1"/>
  <c r="W3006" i="1"/>
  <c r="AF3006" i="1"/>
  <c r="AK3006" i="1"/>
  <c r="AJ3146" i="1"/>
  <c r="AK3146" i="1"/>
  <c r="W3146" i="1"/>
  <c r="AK3209" i="1"/>
  <c r="AJ3209" i="1"/>
  <c r="AJ3426" i="1"/>
  <c r="W3426" i="1"/>
  <c r="AK3426" i="1"/>
  <c r="AK3766" i="1"/>
  <c r="AJ3766" i="1"/>
  <c r="AF3766" i="1"/>
  <c r="W2426" i="1"/>
  <c r="AK2426" i="1"/>
  <c r="AJ2426" i="1"/>
  <c r="AK2598" i="1"/>
  <c r="AJ2598" i="1"/>
  <c r="AJ2709" i="1"/>
  <c r="W2709" i="1"/>
  <c r="W3027" i="1"/>
  <c r="AF3027" i="1"/>
  <c r="W3167" i="1"/>
  <c r="AK3167" i="1"/>
  <c r="AJ3167" i="1"/>
  <c r="AJ3408" i="1"/>
  <c r="W3408" i="1"/>
  <c r="AK3408" i="1"/>
  <c r="AF3767" i="1"/>
  <c r="AK3767" i="1"/>
  <c r="AJ3767" i="1"/>
  <c r="W4008" i="1"/>
  <c r="AJ4008" i="1"/>
  <c r="AK4008" i="1"/>
  <c r="AK713" i="1"/>
  <c r="AK1341" i="1"/>
  <c r="W1427" i="1"/>
  <c r="AK1427" i="1"/>
  <c r="AJ1588" i="1"/>
  <c r="AK1625" i="1"/>
  <c r="AK1744" i="1"/>
  <c r="AK1826" i="1"/>
  <c r="AJ1826" i="1"/>
  <c r="AK2369" i="1"/>
  <c r="AK2517" i="1"/>
  <c r="AK3150" i="1"/>
  <c r="AJ3150" i="1"/>
  <c r="AJ3361" i="1"/>
  <c r="W3361" i="1"/>
  <c r="W3371" i="1"/>
  <c r="AK3371" i="1"/>
  <c r="W3679" i="1"/>
  <c r="AK3679" i="1"/>
  <c r="AJ3679" i="1"/>
  <c r="AK3166" i="1"/>
  <c r="AJ3166" i="1"/>
  <c r="W3182" i="1"/>
  <c r="AK3182" i="1"/>
  <c r="AJ3182" i="1"/>
  <c r="AK3252" i="1"/>
  <c r="AF3252" i="1"/>
  <c r="W3252" i="1"/>
  <c r="W3365" i="1"/>
  <c r="AJ3365" i="1"/>
  <c r="AK3365" i="1"/>
  <c r="AK3442" i="1"/>
  <c r="W3442" i="1"/>
  <c r="AK3676" i="1"/>
  <c r="W3676" i="1"/>
  <c r="W2539" i="1"/>
  <c r="AK2539" i="1"/>
  <c r="AJ2932" i="1"/>
  <c r="W2932" i="1"/>
  <c r="AJ3252" i="1"/>
  <c r="AJ3266" i="1"/>
  <c r="AF3266" i="1"/>
  <c r="AK3266" i="1"/>
  <c r="AJ3427" i="1"/>
  <c r="AK3427" i="1"/>
  <c r="AJ3442" i="1"/>
  <c r="AJ3516" i="1"/>
  <c r="AF3516" i="1"/>
  <c r="W3516" i="1"/>
  <c r="AF3529" i="1"/>
  <c r="AK3602" i="1"/>
  <c r="AF3602" i="1"/>
  <c r="AJ3676" i="1"/>
  <c r="AJ3878" i="1"/>
  <c r="W3878" i="1"/>
  <c r="AK4272" i="1"/>
  <c r="W4272" i="1"/>
  <c r="AJ3589" i="1"/>
  <c r="AK3589" i="1"/>
  <c r="W3769" i="1"/>
  <c r="AK3769" i="1"/>
  <c r="AF3769" i="1"/>
  <c r="AK1985" i="1"/>
  <c r="AJ2247" i="1"/>
  <c r="AK2260" i="1"/>
  <c r="AK3013" i="1"/>
  <c r="AJ3013" i="1"/>
  <c r="AF3013" i="1"/>
  <c r="AK3257" i="1"/>
  <c r="AJ3257" i="1"/>
  <c r="AF3257" i="1"/>
  <c r="W3267" i="1"/>
  <c r="AF3267" i="1"/>
  <c r="AJ3305" i="1"/>
  <c r="W3406" i="1"/>
  <c r="AK3406" i="1"/>
  <c r="AK3524" i="1"/>
  <c r="AF3524" i="1"/>
  <c r="W3589" i="1"/>
  <c r="AK3756" i="1"/>
  <c r="AF3756" i="1"/>
  <c r="W3756" i="1"/>
  <c r="AJ3756" i="1"/>
  <c r="AJ3773" i="1"/>
  <c r="AF3773" i="1"/>
  <c r="W3773" i="1"/>
  <c r="AK3773" i="1"/>
  <c r="AJ3791" i="1"/>
  <c r="AF3791" i="1"/>
  <c r="AK3791" i="1"/>
  <c r="AK3795" i="1"/>
  <c r="AF3795" i="1"/>
  <c r="W3795" i="1"/>
  <c r="W3883" i="1"/>
  <c r="AJ3883" i="1"/>
  <c r="W3900" i="1"/>
  <c r="AK3900" i="1"/>
  <c r="AJ3900" i="1"/>
  <c r="W2813" i="1"/>
  <c r="AK2813" i="1"/>
  <c r="AJ2816" i="1"/>
  <c r="AK2816" i="1"/>
  <c r="AK3010" i="1"/>
  <c r="AF3010" i="1"/>
  <c r="W3243" i="1"/>
  <c r="AJ3243" i="1"/>
  <c r="AF3243" i="1"/>
  <c r="AJ3678" i="1"/>
  <c r="W3678" i="1"/>
  <c r="AJ3769" i="1"/>
  <c r="AK3855" i="1"/>
  <c r="AJ3855" i="1"/>
  <c r="W3982" i="1"/>
  <c r="AK3982" i="1"/>
  <c r="W1686" i="1"/>
  <c r="W1714" i="1"/>
  <c r="W1728" i="1"/>
  <c r="W2066" i="1"/>
  <c r="W2136" i="1"/>
  <c r="W2175" i="1"/>
  <c r="W2547" i="1"/>
  <c r="W2564" i="1"/>
  <c r="W2816" i="1"/>
  <c r="W3010" i="1"/>
  <c r="AF3025" i="1"/>
  <c r="AK3136" i="1"/>
  <c r="W3136" i="1"/>
  <c r="AF3514" i="1"/>
  <c r="AJ3514" i="1"/>
  <c r="W3706" i="1"/>
  <c r="W3713" i="1"/>
  <c r="AK3713" i="1"/>
  <c r="AK3757" i="1"/>
  <c r="AF3757" i="1"/>
  <c r="AK3774" i="1"/>
  <c r="AF3774" i="1"/>
  <c r="W3855" i="1"/>
  <c r="AJ3880" i="1"/>
  <c r="W3880" i="1"/>
  <c r="W3887" i="1"/>
  <c r="AK3887" i="1"/>
  <c r="AJ3887" i="1"/>
  <c r="AJ3930" i="1"/>
  <c r="W3930" i="1"/>
  <c r="AK3979" i="1"/>
  <c r="AF3979" i="1"/>
  <c r="AF3982" i="1"/>
  <c r="AK4029" i="1"/>
  <c r="AJ4029" i="1"/>
  <c r="W4029" i="1"/>
  <c r="AF4071" i="1"/>
  <c r="W4071" i="1"/>
  <c r="W4227" i="1"/>
  <c r="AK4227" i="1"/>
  <c r="AJ4227" i="1"/>
  <c r="AK4256" i="1"/>
  <c r="AJ4256" i="1"/>
  <c r="W4256" i="1"/>
  <c r="W3188" i="1"/>
  <c r="AJ3188" i="1"/>
  <c r="AJ3383" i="1"/>
  <c r="AK3383" i="1"/>
  <c r="AK3417" i="1"/>
  <c r="AJ3417" i="1"/>
  <c r="AJ3420" i="1"/>
  <c r="AK3420" i="1"/>
  <c r="AJ3443" i="1"/>
  <c r="W3443" i="1"/>
  <c r="W3847" i="1"/>
  <c r="AJ3847" i="1"/>
  <c r="AK3847" i="1"/>
  <c r="W3931" i="1"/>
  <c r="AK3931" i="1"/>
  <c r="AJ3931" i="1"/>
  <c r="W3944" i="1"/>
  <c r="AK3944" i="1"/>
  <c r="W4187" i="1"/>
  <c r="AK4187" i="1"/>
  <c r="AJ4187" i="1"/>
  <c r="AJ2692" i="1"/>
  <c r="AK2692" i="1"/>
  <c r="AK2717" i="1"/>
  <c r="W2717" i="1"/>
  <c r="W3185" i="1"/>
  <c r="W3245" i="1"/>
  <c r="W3383" i="1"/>
  <c r="AJ3407" i="1"/>
  <c r="AK3407" i="1"/>
  <c r="W3417" i="1"/>
  <c r="AF3515" i="1"/>
  <c r="AK3987" i="1"/>
  <c r="W3987" i="1"/>
  <c r="AK3162" i="1"/>
  <c r="AJ3162" i="1"/>
  <c r="AJ3183" i="1"/>
  <c r="AK3183" i="1"/>
  <c r="W3186" i="1"/>
  <c r="AJ3186" i="1"/>
  <c r="AK3240" i="1"/>
  <c r="AF3240" i="1"/>
  <c r="AK3245" i="1"/>
  <c r="AK3372" i="1"/>
  <c r="AF3526" i="1"/>
  <c r="W3526" i="1"/>
  <c r="AK3917" i="1"/>
  <c r="AJ3917" i="1"/>
  <c r="AK4240" i="1"/>
  <c r="AJ4240" i="1"/>
  <c r="W4240" i="1"/>
  <c r="W2798" i="1"/>
  <c r="AJ2798" i="1"/>
  <c r="AJ3240" i="1"/>
  <c r="AJ3367" i="1"/>
  <c r="AK3367" i="1"/>
  <c r="W3477" i="1"/>
  <c r="AK3477" i="1"/>
  <c r="AJ3477" i="1"/>
  <c r="AK3526" i="1"/>
  <c r="W3745" i="1"/>
  <c r="AK3745" i="1"/>
  <c r="AJ3745" i="1"/>
  <c r="AK3770" i="1"/>
  <c r="AF3770" i="1"/>
  <c r="AK3790" i="1"/>
  <c r="AF3790" i="1"/>
  <c r="W3845" i="1"/>
  <c r="AK3845" i="1"/>
  <c r="AJ3845" i="1"/>
  <c r="AK4027" i="1"/>
  <c r="AK4040" i="1"/>
  <c r="AK3777" i="1"/>
  <c r="AF3777" i="1"/>
  <c r="AJ3792" i="1"/>
  <c r="AF3792" i="1"/>
  <c r="AK4028" i="1"/>
  <c r="AJ4028" i="1"/>
  <c r="W4028" i="1"/>
  <c r="AK4045" i="1"/>
  <c r="AJ4045" i="1"/>
  <c r="AF4045" i="1"/>
  <c r="W4063" i="1"/>
  <c r="AK4063" i="1"/>
  <c r="W4169" i="1"/>
  <c r="AF4169" i="1"/>
  <c r="AK3764" i="1"/>
  <c r="AJ3764" i="1"/>
  <c r="AK3809" i="1"/>
  <c r="AJ3809" i="1"/>
  <c r="AK3875" i="1"/>
  <c r="W3875" i="1"/>
  <c r="AJ4063" i="1"/>
  <c r="AK4169" i="1"/>
  <c r="AK4267" i="1"/>
  <c r="AJ4267" i="1"/>
  <c r="W4267" i="1"/>
  <c r="W3001" i="1"/>
  <c r="AK3001" i="1"/>
  <c r="AJ3001" i="1"/>
  <c r="AJ3424" i="1"/>
  <c r="W3424" i="1"/>
  <c r="W3991" i="1"/>
  <c r="AK3991" i="1"/>
  <c r="AJ3991" i="1"/>
  <c r="AK4210" i="1"/>
  <c r="AJ4210" i="1"/>
  <c r="AF4210" i="1"/>
  <c r="AF4248" i="1"/>
  <c r="W3255" i="1"/>
  <c r="AK3255" i="1"/>
  <c r="AK3775" i="1"/>
  <c r="AJ3775" i="1"/>
  <c r="AF3775" i="1"/>
  <c r="AK3800" i="1"/>
  <c r="AJ3800" i="1"/>
  <c r="AF3809" i="1"/>
  <c r="AK4026" i="1"/>
  <c r="AJ4026" i="1"/>
  <c r="W4026" i="1"/>
  <c r="AJ4198" i="1"/>
  <c r="AF4015" i="1"/>
  <c r="AK4015" i="1"/>
  <c r="W4038" i="1"/>
  <c r="AK4038" i="1"/>
  <c r="AJ4038" i="1"/>
  <c r="W4179" i="1"/>
  <c r="AK4179" i="1"/>
  <c r="AK3709" i="1"/>
  <c r="AJ3709" i="1"/>
  <c r="AF3804" i="1"/>
  <c r="AK3804" i="1"/>
  <c r="AJ3804" i="1"/>
  <c r="AK4009" i="1"/>
  <c r="AJ4009" i="1"/>
  <c r="AJ4024" i="1"/>
  <c r="W4024" i="1"/>
  <c r="W3418" i="1"/>
  <c r="W3436" i="1"/>
  <c r="W3663" i="1"/>
  <c r="AK3663" i="1"/>
  <c r="W3709" i="1"/>
  <c r="W3761" i="1"/>
  <c r="W3804" i="1"/>
  <c r="AK3909" i="1"/>
  <c r="AJ3909" i="1"/>
  <c r="W3909" i="1"/>
  <c r="W3942" i="1"/>
  <c r="AK3942" i="1"/>
  <c r="AJ3942" i="1"/>
  <c r="W4009" i="1"/>
  <c r="AJ4015" i="1"/>
  <c r="AK4030" i="1"/>
  <c r="AJ4030" i="1"/>
  <c r="W4030" i="1"/>
  <c r="AF4051" i="1"/>
  <c r="AJ4051" i="1"/>
  <c r="AK4175" i="1"/>
  <c r="AJ4175" i="1"/>
  <c r="AJ4179" i="1"/>
  <c r="W3759" i="1"/>
  <c r="W3781" i="1"/>
  <c r="W3903" i="1"/>
  <c r="AF3980" i="1"/>
  <c r="W3986" i="1"/>
  <c r="W3712" i="1"/>
  <c r="AK36" i="1"/>
  <c r="AK141" i="1"/>
  <c r="AK186" i="1"/>
  <c r="AK265" i="1"/>
  <c r="AK278" i="1"/>
  <c r="AK290" i="1"/>
  <c r="W293" i="1"/>
  <c r="AK379" i="1"/>
  <c r="AK464" i="1"/>
  <c r="AK741" i="1"/>
  <c r="AJ741" i="1"/>
  <c r="AK747" i="1"/>
  <c r="AJ747" i="1"/>
  <c r="AJ761" i="1"/>
  <c r="W761" i="1"/>
  <c r="AK761" i="1"/>
  <c r="AJ1004" i="1"/>
  <c r="AK1004" i="1"/>
  <c r="W1004" i="1"/>
  <c r="AK1026" i="1"/>
  <c r="AJ1026" i="1"/>
  <c r="AJ1142" i="1"/>
  <c r="W1142" i="1"/>
  <c r="AK1477" i="1"/>
  <c r="AJ1477" i="1"/>
  <c r="W1477" i="1"/>
  <c r="W189" i="1"/>
  <c r="W208" i="1"/>
  <c r="AJ263" i="1"/>
  <c r="AJ344" i="1"/>
  <c r="AK433" i="1"/>
  <c r="AJ433" i="1"/>
  <c r="AK538" i="1"/>
  <c r="AJ538" i="1"/>
  <c r="W575" i="1"/>
  <c r="AJ672" i="1"/>
  <c r="W672" i="1"/>
  <c r="W741" i="1"/>
  <c r="W747" i="1"/>
  <c r="W1026" i="1"/>
  <c r="W1430" i="1"/>
  <c r="AK1430" i="1"/>
  <c r="AJ1430" i="1"/>
  <c r="W37" i="1"/>
  <c r="AJ98" i="1"/>
  <c r="AK149" i="1"/>
  <c r="AJ196" i="1"/>
  <c r="W206" i="1"/>
  <c r="W320" i="1"/>
  <c r="AK479" i="1"/>
  <c r="AJ517" i="1"/>
  <c r="AK545" i="1"/>
  <c r="W583" i="1"/>
  <c r="AK583" i="1"/>
  <c r="AJ583" i="1"/>
  <c r="AJ593" i="1"/>
  <c r="AJ623" i="1"/>
  <c r="W623" i="1"/>
  <c r="AJ649" i="1"/>
  <c r="W649" i="1"/>
  <c r="AK1142" i="1"/>
  <c r="AJ1352" i="1"/>
  <c r="AK1352" i="1"/>
  <c r="W1352" i="1"/>
  <c r="AK264" i="1"/>
  <c r="AJ264" i="1"/>
  <c r="AJ663" i="1"/>
  <c r="W663" i="1"/>
  <c r="AJ960" i="1"/>
  <c r="AK960" i="1"/>
  <c r="W960" i="1"/>
  <c r="AK1005" i="1"/>
  <c r="AJ1005" i="1"/>
  <c r="AK1143" i="1"/>
  <c r="AJ1143" i="1"/>
  <c r="W1143" i="1"/>
  <c r="AJ1173" i="1"/>
  <c r="W1173" i="1"/>
  <c r="AK1258" i="1"/>
  <c r="AJ1258" i="1"/>
  <c r="W1258" i="1"/>
  <c r="AK1275" i="1"/>
  <c r="AJ1275" i="1"/>
  <c r="AK23" i="1"/>
  <c r="AJ23" i="1"/>
  <c r="W150" i="1"/>
  <c r="W264" i="1"/>
  <c r="W271" i="1"/>
  <c r="W273" i="1"/>
  <c r="W275" i="1"/>
  <c r="W345" i="1"/>
  <c r="W366" i="1"/>
  <c r="W487" i="1"/>
  <c r="AK536" i="1"/>
  <c r="AJ536" i="1"/>
  <c r="AK575" i="1"/>
  <c r="AK635" i="1"/>
  <c r="AJ635" i="1"/>
  <c r="AK649" i="1"/>
  <c r="AK745" i="1"/>
  <c r="AJ745" i="1"/>
  <c r="AJ935" i="1"/>
  <c r="W935" i="1"/>
  <c r="W1005" i="1"/>
  <c r="W1275" i="1"/>
  <c r="AK1358" i="1"/>
  <c r="AJ1358" i="1"/>
  <c r="W23" i="1"/>
  <c r="W68" i="1"/>
  <c r="AK126" i="1"/>
  <c r="AJ126" i="1"/>
  <c r="W131" i="1"/>
  <c r="W211" i="1"/>
  <c r="W235" i="1"/>
  <c r="W245" i="1"/>
  <c r="AJ289" i="1"/>
  <c r="W306" i="1"/>
  <c r="W390" i="1"/>
  <c r="W397" i="1"/>
  <c r="W424" i="1"/>
  <c r="W441" i="1"/>
  <c r="AK627" i="1"/>
  <c r="AJ627" i="1"/>
  <c r="AJ641" i="1"/>
  <c r="W641" i="1"/>
  <c r="AK641" i="1"/>
  <c r="AK663" i="1"/>
  <c r="AK842" i="1"/>
  <c r="AJ842" i="1"/>
  <c r="AK861" i="1"/>
  <c r="AJ861" i="1"/>
  <c r="AK1173" i="1"/>
  <c r="AJ1204" i="1"/>
  <c r="W1204" i="1"/>
  <c r="AJ1533" i="1"/>
  <c r="AK1533" i="1"/>
  <c r="W1533" i="1"/>
  <c r="AK2183" i="1"/>
  <c r="AJ2183" i="1"/>
  <c r="W2183" i="1"/>
  <c r="AK2418" i="1"/>
  <c r="AJ2418" i="1"/>
  <c r="W2418" i="1"/>
  <c r="W57" i="1"/>
  <c r="W188" i="1"/>
  <c r="W195" i="1"/>
  <c r="W381" i="1"/>
  <c r="W526" i="1"/>
  <c r="AJ787" i="1"/>
  <c r="W787" i="1"/>
  <c r="W1031" i="1"/>
  <c r="AK1031" i="1"/>
  <c r="AJ1031" i="1"/>
  <c r="AK4265" i="1"/>
  <c r="AJ4265" i="1"/>
  <c r="AF4265" i="1"/>
  <c r="W4265" i="1"/>
  <c r="W36" i="1"/>
  <c r="AJ68" i="1"/>
  <c r="W112" i="1"/>
  <c r="W141" i="1"/>
  <c r="AJ171" i="1"/>
  <c r="W186" i="1"/>
  <c r="W207" i="1"/>
  <c r="AK211" i="1"/>
  <c r="AJ235" i="1"/>
  <c r="AJ245" i="1"/>
  <c r="W265" i="1"/>
  <c r="W278" i="1"/>
  <c r="W290" i="1"/>
  <c r="AJ306" i="1"/>
  <c r="AJ369" i="1"/>
  <c r="W379" i="1"/>
  <c r="AJ390" i="1"/>
  <c r="AJ397" i="1"/>
  <c r="AK405" i="1"/>
  <c r="AJ405" i="1"/>
  <c r="AK424" i="1"/>
  <c r="AJ441" i="1"/>
  <c r="AK444" i="1"/>
  <c r="AJ444" i="1"/>
  <c r="W464" i="1"/>
  <c r="AJ499" i="1"/>
  <c r="AK743" i="1"/>
  <c r="AJ743" i="1"/>
  <c r="AK749" i="1"/>
  <c r="AJ749" i="1"/>
  <c r="AJ845" i="1"/>
  <c r="W845" i="1"/>
  <c r="AK1204" i="1"/>
  <c r="AK1804" i="1"/>
  <c r="AJ1804" i="1"/>
  <c r="W1804" i="1"/>
  <c r="AK2137" i="1"/>
  <c r="AJ2137" i="1"/>
  <c r="W2137" i="1"/>
  <c r="AJ664" i="1"/>
  <c r="W664" i="1"/>
  <c r="AK664" i="1"/>
  <c r="AK806" i="1"/>
  <c r="AJ806" i="1"/>
  <c r="AK961" i="1"/>
  <c r="AJ961" i="1"/>
  <c r="AK1019" i="1"/>
  <c r="AJ1019" i="1"/>
  <c r="AK1042" i="1"/>
  <c r="AJ1042" i="1"/>
  <c r="W1042" i="1"/>
  <c r="AK1102" i="1"/>
  <c r="AJ1102" i="1"/>
  <c r="AK1174" i="1"/>
  <c r="AJ1174" i="1"/>
  <c r="W1174" i="1"/>
  <c r="W1239" i="1"/>
  <c r="AK1239" i="1"/>
  <c r="AJ1239" i="1"/>
  <c r="W38" i="1"/>
  <c r="W59" i="1"/>
  <c r="W202" i="1"/>
  <c r="W209" i="1"/>
  <c r="W483" i="1"/>
  <c r="W549" i="1"/>
  <c r="W616" i="1"/>
  <c r="AK763" i="1"/>
  <c r="AJ763" i="1"/>
  <c r="W806" i="1"/>
  <c r="W972" i="1"/>
  <c r="AK972" i="1"/>
  <c r="AJ972" i="1"/>
  <c r="W1019" i="1"/>
  <c r="AJ2058" i="1"/>
  <c r="AK2058" i="1"/>
  <c r="W2058" i="1"/>
  <c r="AJ209" i="1"/>
  <c r="AJ304" i="1"/>
  <c r="AK311" i="1"/>
  <c r="AK369" i="1"/>
  <c r="AK787" i="1"/>
  <c r="W1790" i="1"/>
  <c r="AK1790" i="1"/>
  <c r="AJ1790" i="1"/>
  <c r="AJ38" i="1"/>
  <c r="AJ57" i="1"/>
  <c r="AJ59" i="1"/>
  <c r="AJ188" i="1"/>
  <c r="AJ195" i="1"/>
  <c r="AJ202" i="1"/>
  <c r="AJ207" i="1"/>
  <c r="AJ381" i="1"/>
  <c r="AK442" i="1"/>
  <c r="AJ442" i="1"/>
  <c r="AJ483" i="1"/>
  <c r="AJ526" i="1"/>
  <c r="AJ549" i="1"/>
  <c r="AK616" i="1"/>
  <c r="AK625" i="1"/>
  <c r="AJ625" i="1"/>
  <c r="AJ890" i="1"/>
  <c r="W890" i="1"/>
  <c r="AK1367" i="1"/>
  <c r="AJ1367" i="1"/>
  <c r="W1367" i="1"/>
  <c r="AJ112" i="1"/>
  <c r="AK144" i="1"/>
  <c r="AJ144" i="1"/>
  <c r="W442" i="1"/>
  <c r="W479" i="1"/>
  <c r="W517" i="1"/>
  <c r="W545" i="1"/>
  <c r="W593" i="1"/>
  <c r="W625" i="1"/>
  <c r="AJ671" i="1"/>
  <c r="W671" i="1"/>
  <c r="AK671" i="1"/>
  <c r="AJ1130" i="1"/>
  <c r="AK1130" i="1"/>
  <c r="W1130" i="1"/>
  <c r="W1696" i="1"/>
  <c r="AK1696" i="1"/>
  <c r="AJ1696" i="1"/>
  <c r="AK1991" i="1"/>
  <c r="AJ1991" i="1"/>
  <c r="W1991" i="1"/>
  <c r="AJ2334" i="1"/>
  <c r="AK2334" i="1"/>
  <c r="W2334" i="1"/>
  <c r="AJ676" i="1"/>
  <c r="AJ690" i="1"/>
  <c r="AJ728" i="1"/>
  <c r="AJ805" i="1"/>
  <c r="AJ823" i="1"/>
  <c r="AJ841" i="1"/>
  <c r="AJ849" i="1"/>
  <c r="AJ853" i="1"/>
  <c r="AJ948" i="1"/>
  <c r="AJ957" i="1"/>
  <c r="AJ1027" i="1"/>
  <c r="AJ1132" i="1"/>
  <c r="AK1170" i="1"/>
  <c r="AJ1191" i="1"/>
  <c r="AJ1233" i="1"/>
  <c r="AJ1245" i="1"/>
  <c r="AK1372" i="1"/>
  <c r="AK676" i="1"/>
  <c r="AK690" i="1"/>
  <c r="AK728" i="1"/>
  <c r="AK805" i="1"/>
  <c r="AK823" i="1"/>
  <c r="AK841" i="1"/>
  <c r="AK849" i="1"/>
  <c r="AK853" i="1"/>
  <c r="AK948" i="1"/>
  <c r="AK957" i="1"/>
  <c r="AK1027" i="1"/>
  <c r="AJ1166" i="1"/>
  <c r="AK1191" i="1"/>
  <c r="AK1233" i="1"/>
  <c r="AK1245" i="1"/>
  <c r="AK1300" i="1"/>
  <c r="AJ1300" i="1"/>
  <c r="AK1365" i="1"/>
  <c r="AJ1365" i="1"/>
  <c r="AJ1431" i="1"/>
  <c r="AK1431" i="1"/>
  <c r="AJ1715" i="1"/>
  <c r="AK1715" i="1"/>
  <c r="W1715" i="1"/>
  <c r="W586" i="1"/>
  <c r="W588" i="1"/>
  <c r="W620" i="1"/>
  <c r="AJ626" i="1"/>
  <c r="AJ628" i="1"/>
  <c r="AJ742" i="1"/>
  <c r="AJ744" i="1"/>
  <c r="AJ746" i="1"/>
  <c r="AJ748" i="1"/>
  <c r="AJ766" i="1"/>
  <c r="AJ778" i="1"/>
  <c r="AJ801" i="1"/>
  <c r="AJ807" i="1"/>
  <c r="AJ870" i="1"/>
  <c r="AK949" i="1"/>
  <c r="AJ949" i="1"/>
  <c r="AJ953" i="1"/>
  <c r="AJ955" i="1"/>
  <c r="AJ992" i="1"/>
  <c r="AJ1025" i="1"/>
  <c r="AJ1062" i="1"/>
  <c r="AJ1189" i="1"/>
  <c r="AK1381" i="1"/>
  <c r="AJ1381" i="1"/>
  <c r="W1381" i="1"/>
  <c r="AK1434" i="1"/>
  <c r="AJ1434" i="1"/>
  <c r="AJ1618" i="1"/>
  <c r="AK1618" i="1"/>
  <c r="W949" i="1"/>
  <c r="W1070" i="1"/>
  <c r="W1097" i="1"/>
  <c r="AK1145" i="1"/>
  <c r="AJ1145" i="1"/>
  <c r="W1169" i="1"/>
  <c r="W1229" i="1"/>
  <c r="AK1305" i="1"/>
  <c r="W1340" i="1"/>
  <c r="AK1418" i="1"/>
  <c r="AJ1418" i="1"/>
  <c r="W1434" i="1"/>
  <c r="W1618" i="1"/>
  <c r="AJ1699" i="1"/>
  <c r="AK1699" i="1"/>
  <c r="W1699" i="1"/>
  <c r="W1729" i="1"/>
  <c r="AJ1729" i="1"/>
  <c r="AK1729" i="1"/>
  <c r="AJ677" i="1"/>
  <c r="AJ718" i="1"/>
  <c r="AJ736" i="1"/>
  <c r="AJ781" i="1"/>
  <c r="AJ822" i="1"/>
  <c r="AJ831" i="1"/>
  <c r="AJ869" i="1"/>
  <c r="AJ875" i="1"/>
  <c r="AK892" i="1"/>
  <c r="AJ911" i="1"/>
  <c r="AJ925" i="1"/>
  <c r="AJ937" i="1"/>
  <c r="AJ1058" i="1"/>
  <c r="AJ1070" i="1"/>
  <c r="AJ1097" i="1"/>
  <c r="AJ1114" i="1"/>
  <c r="AK1155" i="1"/>
  <c r="AJ1169" i="1"/>
  <c r="AJ1229" i="1"/>
  <c r="AJ1296" i="1"/>
  <c r="AK1296" i="1"/>
  <c r="AJ1340" i="1"/>
  <c r="AK1416" i="1"/>
  <c r="AJ1416" i="1"/>
  <c r="AJ1760" i="1"/>
  <c r="AK1760" i="1"/>
  <c r="W1760" i="1"/>
  <c r="W1906" i="1"/>
  <c r="AK1906" i="1"/>
  <c r="AJ1906" i="1"/>
  <c r="AJ703" i="1"/>
  <c r="AJ734" i="1"/>
  <c r="AJ751" i="1"/>
  <c r="AJ819" i="1"/>
  <c r="AJ844" i="1"/>
  <c r="AJ904" i="1"/>
  <c r="AJ973" i="1"/>
  <c r="AJ1007" i="1"/>
  <c r="AK1056" i="1"/>
  <c r="AJ1056" i="1"/>
  <c r="AK1100" i="1"/>
  <c r="AJ1100" i="1"/>
  <c r="AK1141" i="1"/>
  <c r="AJ1141" i="1"/>
  <c r="AK1183" i="1"/>
  <c r="AK1203" i="1"/>
  <c r="AJ1203" i="1"/>
  <c r="AJ1213" i="1"/>
  <c r="W1213" i="1"/>
  <c r="W1296" i="1"/>
  <c r="AK1298" i="1"/>
  <c r="AK1411" i="1"/>
  <c r="AJ1411" i="1"/>
  <c r="W1416" i="1"/>
  <c r="AJ1476" i="1"/>
  <c r="W1476" i="1"/>
  <c r="AK1577" i="1"/>
  <c r="AJ1577" i="1"/>
  <c r="W1787" i="1"/>
  <c r="AK1787" i="1"/>
  <c r="AJ1787" i="1"/>
  <c r="AK2129" i="1"/>
  <c r="AJ2129" i="1"/>
  <c r="W2129" i="1"/>
  <c r="W1312" i="1"/>
  <c r="AJ1312" i="1"/>
  <c r="AK1811" i="1"/>
  <c r="AJ1811" i="1"/>
  <c r="AK1008" i="1"/>
  <c r="AJ1008" i="1"/>
  <c r="W1132" i="1"/>
  <c r="AK1289" i="1"/>
  <c r="AJ1289" i="1"/>
  <c r="AK1354" i="1"/>
  <c r="AJ1354" i="1"/>
  <c r="AK1449" i="1"/>
  <c r="AJ1449" i="1"/>
  <c r="W1449" i="1"/>
  <c r="AJ1485" i="1"/>
  <c r="AK1485" i="1"/>
  <c r="W1485" i="1"/>
  <c r="AK1628" i="1"/>
  <c r="AK1952" i="1"/>
  <c r="AJ1952" i="1"/>
  <c r="W1952" i="1"/>
  <c r="AJ2553" i="1"/>
  <c r="AK2553" i="1"/>
  <c r="W2553" i="1"/>
  <c r="AK1484" i="1"/>
  <c r="AJ1484" i="1"/>
  <c r="AK1528" i="1"/>
  <c r="AJ1528" i="1"/>
  <c r="AJ1752" i="1"/>
  <c r="W1752" i="1"/>
  <c r="AK1789" i="1"/>
  <c r="AJ1789" i="1"/>
  <c r="AK2034" i="1"/>
  <c r="AJ2034" i="1"/>
  <c r="W2034" i="1"/>
  <c r="AJ2360" i="1"/>
  <c r="W2360" i="1"/>
  <c r="AK2360" i="1"/>
  <c r="AJ1512" i="1"/>
  <c r="AK1549" i="1"/>
  <c r="AJ1549" i="1"/>
  <c r="AK1621" i="1"/>
  <c r="AJ1621" i="1"/>
  <c r="W1621" i="1"/>
  <c r="AJ1781" i="1"/>
  <c r="W1781" i="1"/>
  <c r="AJ2226" i="1"/>
  <c r="W2226" i="1"/>
  <c r="AK2226" i="1"/>
  <c r="AK2253" i="1"/>
  <c r="AJ2253" i="1"/>
  <c r="W2253" i="1"/>
  <c r="AK1667" i="1"/>
  <c r="AJ1667" i="1"/>
  <c r="W1667" i="1"/>
  <c r="AJ1843" i="1"/>
  <c r="W1843" i="1"/>
  <c r="AK1356" i="1"/>
  <c r="AJ1356" i="1"/>
  <c r="AK1466" i="1"/>
  <c r="AK1560" i="1"/>
  <c r="AK1843" i="1"/>
  <c r="W1860" i="1"/>
  <c r="AK1860" i="1"/>
  <c r="AJ1860" i="1"/>
  <c r="W1866" i="1"/>
  <c r="AK1866" i="1"/>
  <c r="AJ1866" i="1"/>
  <c r="AJ2022" i="1"/>
  <c r="AK2022" i="1"/>
  <c r="AK2268" i="1"/>
  <c r="AJ2268" i="1"/>
  <c r="W2268" i="1"/>
  <c r="AJ2379" i="1"/>
  <c r="W2379" i="1"/>
  <c r="AK2379" i="1"/>
  <c r="AK1323" i="1"/>
  <c r="AJ1323" i="1"/>
  <c r="AK1475" i="1"/>
  <c r="AJ1475" i="1"/>
  <c r="AK1638" i="1"/>
  <c r="AJ1638" i="1"/>
  <c r="AJ1706" i="1"/>
  <c r="W1706" i="1"/>
  <c r="AK1954" i="1"/>
  <c r="AJ1954" i="1"/>
  <c r="W1954" i="1"/>
  <c r="W2246" i="1"/>
  <c r="AK2246" i="1"/>
  <c r="AJ2246" i="1"/>
  <c r="AK1759" i="1"/>
  <c r="AJ1759" i="1"/>
  <c r="AJ1802" i="1"/>
  <c r="AK1802" i="1"/>
  <c r="AK1397" i="1"/>
  <c r="AJ1397" i="1"/>
  <c r="W1437" i="1"/>
  <c r="AK1535" i="1"/>
  <c r="AJ1535" i="1"/>
  <c r="W1628" i="1"/>
  <c r="W1652" i="1"/>
  <c r="AK1652" i="1"/>
  <c r="AJ1652" i="1"/>
  <c r="AJ1658" i="1"/>
  <c r="W1658" i="1"/>
  <c r="AK1674" i="1"/>
  <c r="AJ1674" i="1"/>
  <c r="W1674" i="1"/>
  <c r="W1759" i="1"/>
  <c r="W1802" i="1"/>
  <c r="AK2185" i="1"/>
  <c r="AJ2185" i="1"/>
  <c r="W2185" i="1"/>
  <c r="AJ2348" i="1"/>
  <c r="W2348" i="1"/>
  <c r="AK2348" i="1"/>
  <c r="AJ2174" i="1"/>
  <c r="W2174" i="1"/>
  <c r="AK2289" i="1"/>
  <c r="AJ2289" i="1"/>
  <c r="AK2341" i="1"/>
  <c r="AJ2341" i="1"/>
  <c r="W2341" i="1"/>
  <c r="W1814" i="1"/>
  <c r="AK1846" i="1"/>
  <c r="AJ1846" i="1"/>
  <c r="W1942" i="1"/>
  <c r="AK1993" i="1"/>
  <c r="AJ1993" i="1"/>
  <c r="W1993" i="1"/>
  <c r="W2289" i="1"/>
  <c r="AK2492" i="1"/>
  <c r="AJ2492" i="1"/>
  <c r="AJ2870" i="1"/>
  <c r="W2870" i="1"/>
  <c r="AK2870" i="1"/>
  <c r="AK1822" i="1"/>
  <c r="AJ1822" i="1"/>
  <c r="AK1953" i="1"/>
  <c r="AJ1953" i="1"/>
  <c r="AK2033" i="1"/>
  <c r="AJ2033" i="1"/>
  <c r="AK2092" i="1"/>
  <c r="AJ2092" i="1"/>
  <c r="AJ2297" i="1"/>
  <c r="AK2297" i="1"/>
  <c r="W2297" i="1"/>
  <c r="AK2423" i="1"/>
  <c r="AJ2423" i="1"/>
  <c r="W2423" i="1"/>
  <c r="AK2479" i="1"/>
  <c r="AJ2479" i="1"/>
  <c r="W2479" i="1"/>
  <c r="W2492" i="1"/>
  <c r="W1892" i="1"/>
  <c r="AK1892" i="1"/>
  <c r="W1940" i="1"/>
  <c r="AK1940" i="1"/>
  <c r="W2112" i="1"/>
  <c r="AK2112" i="1"/>
  <c r="W2123" i="1"/>
  <c r="AK2123" i="1"/>
  <c r="AJ2123" i="1"/>
  <c r="AJ2476" i="1"/>
  <c r="W2476" i="1"/>
  <c r="AJ2664" i="1"/>
  <c r="AK2664" i="1"/>
  <c r="W2101" i="1"/>
  <c r="AK2101" i="1"/>
  <c r="AK2115" i="1"/>
  <c r="AJ2115" i="1"/>
  <c r="W2115" i="1"/>
  <c r="W2570" i="1"/>
  <c r="AK2570" i="1"/>
  <c r="AJ2570" i="1"/>
  <c r="AJ1686" i="1"/>
  <c r="AJ1700" i="1"/>
  <c r="AJ1768" i="1"/>
  <c r="AK1799" i="1"/>
  <c r="AK1805" i="1"/>
  <c r="AJ1805" i="1"/>
  <c r="AK1876" i="1"/>
  <c r="W1890" i="1"/>
  <c r="AK1890" i="1"/>
  <c r="AK1988" i="1"/>
  <c r="W2110" i="1"/>
  <c r="AK2110" i="1"/>
  <c r="AK2440" i="1"/>
  <c r="AJ2440" i="1"/>
  <c r="AJ3028" i="1"/>
  <c r="AF3028" i="1"/>
  <c r="AK3028" i="1"/>
  <c r="W3028" i="1"/>
  <c r="AJ1637" i="1"/>
  <c r="AJ1651" i="1"/>
  <c r="AK1700" i="1"/>
  <c r="AJ1714" i="1"/>
  <c r="W1733" i="1"/>
  <c r="AK1768" i="1"/>
  <c r="W1805" i="1"/>
  <c r="W1813" i="1"/>
  <c r="W1933" i="1"/>
  <c r="W1986" i="1"/>
  <c r="W2152" i="1"/>
  <c r="AK2152" i="1"/>
  <c r="AJ2152" i="1"/>
  <c r="AK2184" i="1"/>
  <c r="AJ2184" i="1"/>
  <c r="W2184" i="1"/>
  <c r="AK2267" i="1"/>
  <c r="AJ2267" i="1"/>
  <c r="W2267" i="1"/>
  <c r="W2440" i="1"/>
  <c r="AJ2509" i="1"/>
  <c r="W2509" i="1"/>
  <c r="AK1845" i="1"/>
  <c r="AJ1845" i="1"/>
  <c r="AK1992" i="1"/>
  <c r="AJ1992" i="1"/>
  <c r="AK2035" i="1"/>
  <c r="AJ2035" i="1"/>
  <c r="W2099" i="1"/>
  <c r="AK2099" i="1"/>
  <c r="AJ2138" i="1"/>
  <c r="AK2138" i="1"/>
  <c r="W2138" i="1"/>
  <c r="AK2254" i="1"/>
  <c r="AJ2254" i="1"/>
  <c r="AK2446" i="1"/>
  <c r="AJ2446" i="1"/>
  <c r="W2446" i="1"/>
  <c r="AK2478" i="1"/>
  <c r="AJ2478" i="1"/>
  <c r="W2572" i="1"/>
  <c r="AJ2572" i="1"/>
  <c r="AK2572" i="1"/>
  <c r="AK2165" i="1"/>
  <c r="AK2353" i="1"/>
  <c r="AK2410" i="1"/>
  <c r="W2768" i="1"/>
  <c r="AK2768" i="1"/>
  <c r="AJ2768" i="1"/>
  <c r="AK3189" i="1"/>
  <c r="W3189" i="1"/>
  <c r="W2477" i="1"/>
  <c r="AK2584" i="1"/>
  <c r="AJ2584" i="1"/>
  <c r="AJ2685" i="1"/>
  <c r="W2685" i="1"/>
  <c r="AJ2821" i="1"/>
  <c r="W2821" i="1"/>
  <c r="AK2821" i="1"/>
  <c r="W2347" i="1"/>
  <c r="W2484" i="1"/>
  <c r="W2584" i="1"/>
  <c r="AK2818" i="1"/>
  <c r="AJ2818" i="1"/>
  <c r="AJ2145" i="1"/>
  <c r="W2402" i="1"/>
  <c r="W2529" i="1"/>
  <c r="AJ2541" i="1"/>
  <c r="W2818" i="1"/>
  <c r="AJ2874" i="1"/>
  <c r="W2874" i="1"/>
  <c r="AK2874" i="1"/>
  <c r="W1903" i="1"/>
  <c r="W1923" i="1"/>
  <c r="W2071" i="1"/>
  <c r="W2073" i="1"/>
  <c r="W2075" i="1"/>
  <c r="W2118" i="1"/>
  <c r="AK2136" i="1"/>
  <c r="W2141" i="1"/>
  <c r="AK2145" i="1"/>
  <c r="W2345" i="1"/>
  <c r="AJ2349" i="1"/>
  <c r="W2400" i="1"/>
  <c r="W2466" i="1"/>
  <c r="AJ2477" i="1"/>
  <c r="AK2541" i="1"/>
  <c r="W2613" i="1"/>
  <c r="AK2613" i="1"/>
  <c r="AK2685" i="1"/>
  <c r="AJ3189" i="1"/>
  <c r="AK2706" i="1"/>
  <c r="AJ2706" i="1"/>
  <c r="AK3026" i="1"/>
  <c r="AJ3026" i="1"/>
  <c r="AF3026" i="1"/>
  <c r="W3026" i="1"/>
  <c r="AK3135" i="1"/>
  <c r="AJ3135" i="1"/>
  <c r="W3135" i="1"/>
  <c r="AJ1825" i="1"/>
  <c r="AJ1855" i="1"/>
  <c r="AJ1885" i="1"/>
  <c r="AK2199" i="1"/>
  <c r="AJ2240" i="1"/>
  <c r="W2530" i="1"/>
  <c r="W2706" i="1"/>
  <c r="AK2933" i="1"/>
  <c r="AJ2933" i="1"/>
  <c r="W2933" i="1"/>
  <c r="AF2998" i="1"/>
  <c r="AK2998" i="1"/>
  <c r="AJ2998" i="1"/>
  <c r="W2998" i="1"/>
  <c r="W3362" i="1"/>
  <c r="AK3362" i="1"/>
  <c r="AJ3362" i="1"/>
  <c r="AJ3690" i="1"/>
  <c r="AK3690" i="1"/>
  <c r="W3690" i="1"/>
  <c r="W2318" i="1"/>
  <c r="AJ2643" i="1"/>
  <c r="W2643" i="1"/>
  <c r="AK2904" i="1"/>
  <c r="AJ2904" i="1"/>
  <c r="AJ2920" i="1"/>
  <c r="AK2920" i="1"/>
  <c r="AJ3511" i="1"/>
  <c r="AF3511" i="1"/>
  <c r="W3511" i="1"/>
  <c r="AK3511" i="1"/>
  <c r="W2299" i="1"/>
  <c r="W2370" i="1"/>
  <c r="W2427" i="1"/>
  <c r="AJ2462" i="1"/>
  <c r="AF3237" i="1"/>
  <c r="AK3237" i="1"/>
  <c r="AJ3237" i="1"/>
  <c r="AK2593" i="1"/>
  <c r="AJ2593" i="1"/>
  <c r="AK2883" i="1"/>
  <c r="AJ2883" i="1"/>
  <c r="W3011" i="1"/>
  <c r="AK3011" i="1"/>
  <c r="AJ3011" i="1"/>
  <c r="AK3021" i="1"/>
  <c r="AJ3021" i="1"/>
  <c r="AF3021" i="1"/>
  <c r="W3021" i="1"/>
  <c r="AF3249" i="1"/>
  <c r="AK3249" i="1"/>
  <c r="AJ3249" i="1"/>
  <c r="W3249" i="1"/>
  <c r="W3358" i="1"/>
  <c r="AK3358" i="1"/>
  <c r="AJ3358" i="1"/>
  <c r="AJ3415" i="1"/>
  <c r="AK3415" i="1"/>
  <c r="AF3513" i="1"/>
  <c r="W3513" i="1"/>
  <c r="AK3513" i="1"/>
  <c r="AJ3513" i="1"/>
  <c r="AF3760" i="1"/>
  <c r="AK3760" i="1"/>
  <c r="AJ3760" i="1"/>
  <c r="W3760" i="1"/>
  <c r="AJ2820" i="1"/>
  <c r="AF2820" i="1"/>
  <c r="AK2897" i="1"/>
  <c r="AJ2897" i="1"/>
  <c r="AK2903" i="1"/>
  <c r="AJ2903" i="1"/>
  <c r="AK3401" i="1"/>
  <c r="AJ3401" i="1"/>
  <c r="AJ3688" i="1"/>
  <c r="AK3688" i="1"/>
  <c r="W3688" i="1"/>
  <c r="AK3803" i="1"/>
  <c r="AF3803" i="1"/>
  <c r="AJ3803" i="1"/>
  <c r="W3803" i="1"/>
  <c r="W2820" i="1"/>
  <c r="W2897" i="1"/>
  <c r="W2903" i="1"/>
  <c r="AK2907" i="1"/>
  <c r="AJ2907" i="1"/>
  <c r="W2907" i="1"/>
  <c r="AK3083" i="1"/>
  <c r="AJ3083" i="1"/>
  <c r="AF3265" i="1"/>
  <c r="W3265" i="1"/>
  <c r="AK3265" i="1"/>
  <c r="AJ3265" i="1"/>
  <c r="W3401" i="1"/>
  <c r="AJ3684" i="1"/>
  <c r="AK3684" i="1"/>
  <c r="W3684" i="1"/>
  <c r="AK3698" i="1"/>
  <c r="AJ3698" i="1"/>
  <c r="AK3779" i="1"/>
  <c r="AJ3779" i="1"/>
  <c r="AF3779" i="1"/>
  <c r="W2692" i="1"/>
  <c r="W2770" i="1"/>
  <c r="AK2798" i="1"/>
  <c r="AK2822" i="1"/>
  <c r="AK2922" i="1"/>
  <c r="AJ2922" i="1"/>
  <c r="AK2935" i="1"/>
  <c r="AJ2935" i="1"/>
  <c r="AF3022" i="1"/>
  <c r="W3022" i="1"/>
  <c r="AK3022" i="1"/>
  <c r="W3083" i="1"/>
  <c r="AF3236" i="1"/>
  <c r="W3236" i="1"/>
  <c r="AK3236" i="1"/>
  <c r="AJ3236" i="1"/>
  <c r="AF3244" i="1"/>
  <c r="W3244" i="1"/>
  <c r="AK3244" i="1"/>
  <c r="AJ3244" i="1"/>
  <c r="AJ3525" i="1"/>
  <c r="AF3525" i="1"/>
  <c r="AK3525" i="1"/>
  <c r="W3698" i="1"/>
  <c r="AJ2796" i="1"/>
  <c r="AK2873" i="1"/>
  <c r="AK2884" i="1"/>
  <c r="AJ2884" i="1"/>
  <c r="AK2898" i="1"/>
  <c r="AJ2898" i="1"/>
  <c r="AK2908" i="1"/>
  <c r="AJ2908" i="1"/>
  <c r="AK3007" i="1"/>
  <c r="AJ3007" i="1"/>
  <c r="AF3007" i="1"/>
  <c r="AK3141" i="1"/>
  <c r="AJ3141" i="1"/>
  <c r="AF3587" i="1"/>
  <c r="AK3587" i="1"/>
  <c r="AJ3587" i="1"/>
  <c r="W3654" i="1"/>
  <c r="AK3654" i="1"/>
  <c r="AJ3654" i="1"/>
  <c r="AJ2872" i="1"/>
  <c r="W2872" i="1"/>
  <c r="AK2885" i="1"/>
  <c r="AJ2885" i="1"/>
  <c r="AK2901" i="1"/>
  <c r="AF3008" i="1"/>
  <c r="AK3008" i="1"/>
  <c r="AJ3008" i="1"/>
  <c r="AJ3047" i="1"/>
  <c r="AK3047" i="1"/>
  <c r="AJ3441" i="1"/>
  <c r="AK3441" i="1"/>
  <c r="W3368" i="1"/>
  <c r="AK3368" i="1"/>
  <c r="AJ3368" i="1"/>
  <c r="W3435" i="1"/>
  <c r="AK3435" i="1"/>
  <c r="AJ3435" i="1"/>
  <c r="AK2678" i="1"/>
  <c r="AJ2678" i="1"/>
  <c r="AK2707" i="1"/>
  <c r="AJ2707" i="1"/>
  <c r="AK2819" i="1"/>
  <c r="AJ2819" i="1"/>
  <c r="AK2896" i="1"/>
  <c r="AJ2896" i="1"/>
  <c r="W2896" i="1"/>
  <c r="AF3518" i="1"/>
  <c r="W3518" i="1"/>
  <c r="AK3518" i="1"/>
  <c r="AJ3518" i="1"/>
  <c r="AK2631" i="1"/>
  <c r="AK2728" i="1"/>
  <c r="AK2749" i="1"/>
  <c r="AK2906" i="1"/>
  <c r="AJ2906" i="1"/>
  <c r="W2927" i="1"/>
  <c r="AK2927" i="1"/>
  <c r="AF3018" i="1"/>
  <c r="AK3018" i="1"/>
  <c r="AJ3018" i="1"/>
  <c r="AF3248" i="1"/>
  <c r="W3248" i="1"/>
  <c r="W3370" i="1"/>
  <c r="AK3370" i="1"/>
  <c r="AJ3658" i="1"/>
  <c r="AK3658" i="1"/>
  <c r="AJ3685" i="1"/>
  <c r="W3685" i="1"/>
  <c r="AK3685" i="1"/>
  <c r="W2598" i="1"/>
  <c r="W2639" i="1"/>
  <c r="W2812" i="1"/>
  <c r="W2834" i="1"/>
  <c r="W2894" i="1"/>
  <c r="W2906" i="1"/>
  <c r="W2916" i="1"/>
  <c r="W3012" i="1"/>
  <c r="W3018" i="1"/>
  <c r="AF3023" i="1"/>
  <c r="AK3023" i="1"/>
  <c r="AF3260" i="1"/>
  <c r="W3260" i="1"/>
  <c r="AJ3263" i="1"/>
  <c r="AF3263" i="1"/>
  <c r="W3360" i="1"/>
  <c r="AK3360" i="1"/>
  <c r="AJ3422" i="1"/>
  <c r="AK3422" i="1"/>
  <c r="W3658" i="1"/>
  <c r="AK3848" i="1"/>
  <c r="AJ3848" i="1"/>
  <c r="W3848" i="1"/>
  <c r="W2540" i="1"/>
  <c r="W2558" i="1"/>
  <c r="W2569" i="1"/>
  <c r="W2571" i="1"/>
  <c r="W2630" i="1"/>
  <c r="W2727" i="1"/>
  <c r="W2729" i="1"/>
  <c r="W2810" i="1"/>
  <c r="W2909" i="1"/>
  <c r="W2914" i="1"/>
  <c r="AJ2927" i="1"/>
  <c r="AF2996" i="1"/>
  <c r="AF3001" i="1"/>
  <c r="W3016" i="1"/>
  <c r="W3023" i="1"/>
  <c r="W3179" i="1"/>
  <c r="AK3179" i="1"/>
  <c r="AJ3248" i="1"/>
  <c r="W3263" i="1"/>
  <c r="W3304" i="1"/>
  <c r="AK3304" i="1"/>
  <c r="W3402" i="1"/>
  <c r="AK3402" i="1"/>
  <c r="AJ3402" i="1"/>
  <c r="W3422" i="1"/>
  <c r="AJ3624" i="1"/>
  <c r="AK3624" i="1"/>
  <c r="AK2902" i="1"/>
  <c r="AJ2902" i="1"/>
  <c r="AJ3012" i="1"/>
  <c r="AK3139" i="1"/>
  <c r="AJ3139" i="1"/>
  <c r="W3177" i="1"/>
  <c r="AK3177" i="1"/>
  <c r="AF3256" i="1"/>
  <c r="W3256" i="1"/>
  <c r="AK3256" i="1"/>
  <c r="AJ3256" i="1"/>
  <c r="AF3261" i="1"/>
  <c r="AK3261" i="1"/>
  <c r="W3302" i="1"/>
  <c r="AK3302" i="1"/>
  <c r="AK3403" i="1"/>
  <c r="AJ3403" i="1"/>
  <c r="AK3434" i="1"/>
  <c r="AJ3434" i="1"/>
  <c r="AJ3691" i="1"/>
  <c r="W3691" i="1"/>
  <c r="AK3691" i="1"/>
  <c r="AK3934" i="1"/>
  <c r="AJ3934" i="1"/>
  <c r="W3934" i="1"/>
  <c r="AK4064" i="1"/>
  <c r="AJ4064" i="1"/>
  <c r="AF4064" i="1"/>
  <c r="W4064" i="1"/>
  <c r="AK2910" i="1"/>
  <c r="AJ2910" i="1"/>
  <c r="AF3002" i="1"/>
  <c r="AK3002" i="1"/>
  <c r="AJ3242" i="1"/>
  <c r="AF3242" i="1"/>
  <c r="W3434" i="1"/>
  <c r="AF3532" i="1"/>
  <c r="AK3532" i="1"/>
  <c r="AJ3532" i="1"/>
  <c r="W3581" i="1"/>
  <c r="AK3581" i="1"/>
  <c r="AJ3581" i="1"/>
  <c r="AJ3687" i="1"/>
  <c r="W3687" i="1"/>
  <c r="AK3687" i="1"/>
  <c r="AK3892" i="1"/>
  <c r="AJ3892" i="1"/>
  <c r="AF3892" i="1"/>
  <c r="AK2900" i="1"/>
  <c r="AJ2900" i="1"/>
  <c r="W2910" i="1"/>
  <c r="W3002" i="1"/>
  <c r="AJ3098" i="1"/>
  <c r="W3098" i="1"/>
  <c r="AK3137" i="1"/>
  <c r="AJ3137" i="1"/>
  <c r="W3242" i="1"/>
  <c r="AK3247" i="1"/>
  <c r="AJ3247" i="1"/>
  <c r="AJ3254" i="1"/>
  <c r="AF3254" i="1"/>
  <c r="W3364" i="1"/>
  <c r="AK3364" i="1"/>
  <c r="AK3409" i="1"/>
  <c r="AJ3409" i="1"/>
  <c r="W3409" i="1"/>
  <c r="AK3850" i="1"/>
  <c r="AJ3850" i="1"/>
  <c r="W3850" i="1"/>
  <c r="W2900" i="1"/>
  <c r="AK2997" i="1"/>
  <c r="W3137" i="1"/>
  <c r="AJ3177" i="1"/>
  <c r="W3247" i="1"/>
  <c r="W3254" i="1"/>
  <c r="AK3259" i="1"/>
  <c r="AJ3259" i="1"/>
  <c r="AJ3302" i="1"/>
  <c r="AK4178" i="1"/>
  <c r="AJ4178" i="1"/>
  <c r="AF4178" i="1"/>
  <c r="AJ3399" i="1"/>
  <c r="AJ3425" i="1"/>
  <c r="AJ3531" i="1"/>
  <c r="AF3531" i="1"/>
  <c r="AK3590" i="1"/>
  <c r="AK3646" i="1"/>
  <c r="AJ3646" i="1"/>
  <c r="AK3649" i="1"/>
  <c r="AJ3649" i="1"/>
  <c r="AK3656" i="1"/>
  <c r="AK3763" i="1"/>
  <c r="AF3763" i="1"/>
  <c r="AJ3776" i="1"/>
  <c r="AK3776" i="1"/>
  <c r="AJ3025" i="1"/>
  <c r="AJ3093" i="1"/>
  <c r="AJ3239" i="1"/>
  <c r="AJ3251" i="1"/>
  <c r="W3407" i="1"/>
  <c r="W3416" i="1"/>
  <c r="W3421" i="1"/>
  <c r="AK3425" i="1"/>
  <c r="W3440" i="1"/>
  <c r="W3512" i="1"/>
  <c r="AF3519" i="1"/>
  <c r="W3519" i="1"/>
  <c r="W3531" i="1"/>
  <c r="W3646" i="1"/>
  <c r="W3649" i="1"/>
  <c r="W3763" i="1"/>
  <c r="W3776" i="1"/>
  <c r="AK3908" i="1"/>
  <c r="AJ3908" i="1"/>
  <c r="W3908" i="1"/>
  <c r="AK4111" i="1"/>
  <c r="AJ4111" i="1"/>
  <c r="AF4111" i="1"/>
  <c r="W4111" i="1"/>
  <c r="AK3025" i="1"/>
  <c r="AK3093" i="1"/>
  <c r="AK3239" i="1"/>
  <c r="AK3251" i="1"/>
  <c r="AJ3517" i="1"/>
  <c r="AF3517" i="1"/>
  <c r="AK3748" i="1"/>
  <c r="AJ3748" i="1"/>
  <c r="AJ3758" i="1"/>
  <c r="AK3758" i="1"/>
  <c r="AF3776" i="1"/>
  <c r="W3799" i="1"/>
  <c r="AJ3799" i="1"/>
  <c r="AF3799" i="1"/>
  <c r="AJ3512" i="1"/>
  <c r="W3517" i="1"/>
  <c r="AJ3519" i="1"/>
  <c r="AF3527" i="1"/>
  <c r="W3527" i="1"/>
  <c r="AJ3689" i="1"/>
  <c r="W3689" i="1"/>
  <c r="AK3692" i="1"/>
  <c r="AJ3692" i="1"/>
  <c r="W3748" i="1"/>
  <c r="W3758" i="1"/>
  <c r="AJ3761" i="1"/>
  <c r="AF3761" i="1"/>
  <c r="AJ3763" i="1"/>
  <c r="AF3787" i="1"/>
  <c r="W3787" i="1"/>
  <c r="AK3787" i="1"/>
  <c r="AK3433" i="1"/>
  <c r="AK3512" i="1"/>
  <c r="AK3519" i="1"/>
  <c r="AK3531" i="1"/>
  <c r="AK3644" i="1"/>
  <c r="AJ3644" i="1"/>
  <c r="AK3647" i="1"/>
  <c r="AJ3647" i="1"/>
  <c r="AK3657" i="1"/>
  <c r="W3686" i="1"/>
  <c r="W3692" i="1"/>
  <c r="AF3764" i="1"/>
  <c r="W3764" i="1"/>
  <c r="AK3799" i="1"/>
  <c r="AK3645" i="1"/>
  <c r="AJ3645" i="1"/>
  <c r="AK3648" i="1"/>
  <c r="AJ3648" i="1"/>
  <c r="W3762" i="1"/>
  <c r="AJ3762" i="1"/>
  <c r="AF3762" i="1"/>
  <c r="AK3983" i="1"/>
  <c r="AJ3983" i="1"/>
  <c r="AF3983" i="1"/>
  <c r="W3983" i="1"/>
  <c r="W3399" i="1"/>
  <c r="W3420" i="1"/>
  <c r="W3439" i="1"/>
  <c r="W3590" i="1"/>
  <c r="W3645" i="1"/>
  <c r="W3648" i="1"/>
  <c r="W3656" i="1"/>
  <c r="AF3765" i="1"/>
  <c r="W3765" i="1"/>
  <c r="AK3765" i="1"/>
  <c r="AF3780" i="1"/>
  <c r="AK3780" i="1"/>
  <c r="AJ3780" i="1"/>
  <c r="AK3956" i="1"/>
  <c r="AJ3956" i="1"/>
  <c r="AK4047" i="1"/>
  <c r="AJ4047" i="1"/>
  <c r="AF3521" i="1"/>
  <c r="W3521" i="1"/>
  <c r="W3583" i="1"/>
  <c r="AJ3699" i="1"/>
  <c r="AK3699" i="1"/>
  <c r="AK3857" i="1"/>
  <c r="AJ3857" i="1"/>
  <c r="W3857" i="1"/>
  <c r="W3956" i="1"/>
  <c r="W4047" i="1"/>
  <c r="AK4137" i="1"/>
  <c r="AJ4137" i="1"/>
  <c r="AF4137" i="1"/>
  <c r="W4137" i="1"/>
  <c r="W3802" i="1"/>
  <c r="AJ3802" i="1"/>
  <c r="AF3807" i="1"/>
  <c r="AK3807" i="1"/>
  <c r="AJ3807" i="1"/>
  <c r="AK4012" i="1"/>
  <c r="AJ4012" i="1"/>
  <c r="W4012" i="1"/>
  <c r="AK4224" i="1"/>
  <c r="AJ4224" i="1"/>
  <c r="W4224" i="1"/>
  <c r="W3786" i="1"/>
  <c r="W3794" i="1"/>
  <c r="AF3802" i="1"/>
  <c r="W3807" i="1"/>
  <c r="AK3873" i="1"/>
  <c r="AJ3873" i="1"/>
  <c r="AK3925" i="1"/>
  <c r="AJ3925" i="1"/>
  <c r="AK4181" i="1"/>
  <c r="AJ4181" i="1"/>
  <c r="AF4181" i="1"/>
  <c r="W3522" i="1"/>
  <c r="W3766" i="1"/>
  <c r="W3768" i="1"/>
  <c r="W3790" i="1"/>
  <c r="AK3798" i="1"/>
  <c r="AJ3798" i="1"/>
  <c r="AJ3805" i="1"/>
  <c r="W3805" i="1"/>
  <c r="W3873" i="1"/>
  <c r="AK3888" i="1"/>
  <c r="AJ3888" i="1"/>
  <c r="W3925" i="1"/>
  <c r="AK3945" i="1"/>
  <c r="AJ3945" i="1"/>
  <c r="W3945" i="1"/>
  <c r="AK4035" i="1"/>
  <c r="AJ4035" i="1"/>
  <c r="AF4035" i="1"/>
  <c r="AK4071" i="1"/>
  <c r="AJ4071" i="1"/>
  <c r="AK4118" i="1"/>
  <c r="AJ4118" i="1"/>
  <c r="AF4118" i="1"/>
  <c r="W4181" i="1"/>
  <c r="W3478" i="1"/>
  <c r="W3487" i="1"/>
  <c r="W3515" i="1"/>
  <c r="W3529" i="1"/>
  <c r="W3602" i="1"/>
  <c r="W3770" i="1"/>
  <c r="W3774" i="1"/>
  <c r="W3798" i="1"/>
  <c r="AK3802" i="1"/>
  <c r="W3888" i="1"/>
  <c r="AK3912" i="1"/>
  <c r="AJ3912" i="1"/>
  <c r="AK3949" i="1"/>
  <c r="AJ3949" i="1"/>
  <c r="AK4016" i="1"/>
  <c r="AJ4016" i="1"/>
  <c r="AF4016" i="1"/>
  <c r="W4016" i="1"/>
  <c r="AJ3515" i="1"/>
  <c r="AJ3529" i="1"/>
  <c r="AJ3602" i="1"/>
  <c r="AJ3706" i="1"/>
  <c r="AJ3708" i="1"/>
  <c r="AJ3710" i="1"/>
  <c r="AJ3712" i="1"/>
  <c r="AJ3714" i="1"/>
  <c r="AJ3770" i="1"/>
  <c r="AJ3774" i="1"/>
  <c r="AJ3782" i="1"/>
  <c r="AK3886" i="1"/>
  <c r="AJ3886" i="1"/>
  <c r="AK4164" i="1"/>
  <c r="AJ4164" i="1"/>
  <c r="AF4164" i="1"/>
  <c r="AK4204" i="1"/>
  <c r="AJ4204" i="1"/>
  <c r="W4204" i="1"/>
  <c r="AK4209" i="1"/>
  <c r="AJ4209" i="1"/>
  <c r="AF4209" i="1"/>
  <c r="W4209" i="1"/>
  <c r="AJ3510" i="1"/>
  <c r="AJ3524" i="1"/>
  <c r="AJ3757" i="1"/>
  <c r="AJ3759" i="1"/>
  <c r="AK3782" i="1"/>
  <c r="AK3792" i="1"/>
  <c r="AJ3808" i="1"/>
  <c r="AK3943" i="1"/>
  <c r="AJ3943" i="1"/>
  <c r="W3943" i="1"/>
  <c r="AK3947" i="1"/>
  <c r="AJ3947" i="1"/>
  <c r="W3789" i="1"/>
  <c r="AF3793" i="1"/>
  <c r="AK3793" i="1"/>
  <c r="AK3846" i="1"/>
  <c r="AJ3846" i="1"/>
  <c r="AK3899" i="1"/>
  <c r="AJ3899" i="1"/>
  <c r="W3947" i="1"/>
  <c r="AK4168" i="1"/>
  <c r="AJ4168" i="1"/>
  <c r="AF4168" i="1"/>
  <c r="AK3862" i="1"/>
  <c r="AJ3876" i="1"/>
  <c r="AK3878" i="1"/>
  <c r="AK3880" i="1"/>
  <c r="AJ3969" i="1"/>
  <c r="W4050" i="1"/>
  <c r="AJ4117" i="1"/>
  <c r="AJ4127" i="1"/>
  <c r="AJ4163" i="1"/>
  <c r="AJ4166" i="1"/>
  <c r="AJ4180" i="1"/>
  <c r="AF4187" i="1"/>
  <c r="AF4227" i="1"/>
  <c r="AJ4232" i="1"/>
  <c r="AF4249" i="1"/>
  <c r="AJ4253" i="1"/>
  <c r="W3806" i="1"/>
  <c r="AK3876" i="1"/>
  <c r="AJ3891" i="1"/>
  <c r="AJ3967" i="1"/>
  <c r="AK3969" i="1"/>
  <c r="AJ3980" i="1"/>
  <c r="AJ3982" i="1"/>
  <c r="AK4051" i="1"/>
  <c r="AK4117" i="1"/>
  <c r="AK4127" i="1"/>
  <c r="AJ4136" i="1"/>
  <c r="AJ4139" i="1"/>
  <c r="AJ4145" i="1"/>
  <c r="AK4163" i="1"/>
  <c r="AK4166" i="1"/>
  <c r="AK4180" i="1"/>
  <c r="AJ4208" i="1"/>
  <c r="AK4232" i="1"/>
  <c r="AK4253" i="1"/>
  <c r="AJ4264" i="1"/>
  <c r="AK3891" i="1"/>
  <c r="AJ3957" i="1"/>
  <c r="W3966" i="1"/>
  <c r="AK3967" i="1"/>
  <c r="AJ3875" i="1"/>
  <c r="AJ3903" i="1"/>
  <c r="AJ3966" i="1"/>
  <c r="AJ3979" i="1"/>
  <c r="AJ3987" i="1"/>
  <c r="AF4272" i="1"/>
  <c r="AJ4044" i="1"/>
  <c r="W4143" i="1"/>
  <c r="W4199" i="1"/>
  <c r="W4051" i="1"/>
  <c r="AJ4272" i="1"/>
  <c r="W3891" i="1"/>
  <c r="W3967" i="1"/>
  <c r="W4117" i="1"/>
  <c r="W4163" i="1"/>
  <c r="W4180" i="1"/>
  <c r="W4208" i="1"/>
  <c r="W4136" i="1"/>
  <c r="AJ4143" i="1"/>
  <c r="AJ4199" i="1"/>
  <c r="W4264" i="1"/>
</calcChain>
</file>

<file path=xl/sharedStrings.xml><?xml version="1.0" encoding="utf-8"?>
<sst xmlns="http://schemas.openxmlformats.org/spreadsheetml/2006/main" count="50670" uniqueCount="3324">
  <si>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</si>
  <si>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</si>
  <si>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</si>
  <si>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</si>
  <si>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</si>
  <si>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</si>
  <si>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</si>
  <si>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</si>
  <si>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</si>
  <si>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</si>
  <si>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</si>
  <si>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</si>
  <si>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</si>
  <si>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</si>
  <si>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</si>
  <si>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</si>
  <si>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</si>
  <si>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</si>
  <si>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</si>
  <si>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</si>
  <si>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</si>
  <si>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</si>
  <si>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</si>
  <si>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</si>
  <si>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</si>
  <si>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</si>
  <si>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</si>
  <si>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</si>
  <si>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</si>
  <si>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</si>
  <si>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</si>
  <si>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</si>
  <si>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</si>
  <si>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</si>
  <si>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</si>
  <si>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</si>
  <si>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</si>
  <si>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</si>
  <si>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</si>
  <si>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</si>
  <si>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</si>
  <si>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</si>
  <si>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</si>
  <si>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</si>
  <si>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</si>
  <si>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</si>
  <si>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</si>
  <si>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</si>
  <si>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</si>
  <si>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</si>
  <si>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</si>
  <si>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</si>
  <si>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</si>
  <si>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</si>
  <si>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</si>
  <si>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</si>
  <si>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</si>
  <si>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</si>
  <si>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</si>
  <si>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</si>
  <si>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</si>
  <si>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</si>
  <si>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</si>
  <si>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</si>
  <si>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</si>
  <si>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</si>
  <si>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</si>
  <si>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</si>
  <si>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</si>
  <si>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</si>
  <si>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</si>
  <si>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</si>
  <si>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</si>
  <si>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</si>
  <si>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</si>
  <si>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</si>
  <si>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</si>
  <si>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</si>
  <si>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</si>
  <si>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</si>
  <si>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</si>
  <si>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</si>
  <si>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</si>
  <si>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</si>
  <si>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</si>
  <si>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</si>
  <si>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</si>
  <si>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</si>
  <si>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</si>
  <si>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</si>
  <si>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</si>
  <si>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</si>
  <si>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</si>
  <si>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</si>
  <si>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</si>
  <si>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</si>
  <si>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</si>
  <si>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</si>
  <si>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</si>
  <si>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</si>
  <si>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</si>
  <si>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</si>
  <si>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</si>
  <si>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</si>
  <si>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</si>
  <si>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</si>
  <si>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</si>
  <si>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</si>
  <si>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</si>
  <si>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</si>
  <si>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</si>
  <si>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</si>
  <si>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</si>
  <si>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</si>
  <si>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</si>
  <si>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</si>
  <si>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</si>
  <si>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</si>
  <si>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</si>
  <si>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</si>
  <si>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</si>
  <si>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</si>
  <si>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</si>
  <si>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</si>
  <si>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</si>
  <si>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</si>
  <si>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</si>
  <si>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</si>
  <si>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</si>
  <si>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</si>
  <si>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</si>
  <si>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</si>
  <si>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</si>
  <si>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</si>
  <si>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</si>
  <si>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</si>
  <si>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</si>
  <si>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</si>
  <si>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</si>
  <si>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</si>
  <si>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</si>
  <si>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</si>
  <si>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</si>
  <si>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</si>
  <si>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</si>
  <si>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</si>
  <si>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</si>
  <si>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</si>
  <si>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</si>
  <si>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</si>
  <si>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</si>
  <si>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</si>
  <si>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</si>
  <si>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</si>
  <si>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</si>
  <si>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</si>
  <si>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</si>
  <si>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</si>
  <si>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</si>
  <si>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</si>
  <si>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</si>
  <si>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</si>
  <si>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</si>
  <si>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</si>
  <si>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</si>
  <si>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</si>
  <si>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</si>
  <si>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</si>
  <si>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</si>
  <si>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</si>
  <si>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</si>
  <si>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</si>
  <si>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</si>
  <si>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</si>
  <si>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</si>
  <si>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</si>
  <si>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</si>
  <si>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</si>
  <si>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</si>
  <si>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</si>
  <si>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</si>
  <si>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</si>
  <si>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</si>
  <si>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</si>
  <si>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</si>
  <si>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</si>
  <si>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</si>
  <si>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</si>
  <si>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</si>
  <si>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</si>
  <si>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</si>
  <si>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</si>
  <si>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</si>
  <si>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</si>
  <si>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</si>
  <si>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</si>
  <si>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</si>
  <si>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</si>
  <si>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</si>
  <si>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</si>
  <si>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</si>
  <si>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</si>
  <si>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</si>
  <si>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</si>
  <si>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</si>
  <si>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</si>
  <si>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</si>
  <si>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</si>
  <si>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</si>
  <si>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</si>
  <si>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</si>
  <si>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</si>
  <si>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</si>
  <si>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</si>
  <si>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</si>
  <si>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</si>
  <si>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</si>
  <si>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</si>
  <si>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</si>
  <si>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</si>
  <si>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</si>
  <si>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</si>
  <si>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</si>
  <si>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</si>
  <si>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</si>
  <si>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</si>
  <si>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</si>
  <si>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</si>
  <si>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</si>
  <si>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</si>
  <si>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</si>
  <si>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</si>
  <si>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</si>
  <si>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</si>
  <si>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</si>
  <si>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</si>
  <si>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</si>
  <si>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</si>
  <si>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</si>
  <si>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</si>
  <si>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</si>
  <si>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</si>
  <si>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</si>
  <si>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</si>
  <si>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</si>
  <si>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</si>
  <si>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</si>
  <si>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</si>
  <si>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</si>
  <si>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</si>
  <si>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</si>
  <si>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</si>
  <si>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</si>
  <si>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</si>
  <si>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</si>
  <si>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</si>
  <si>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</si>
  <si>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</si>
  <si>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</si>
  <si>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</si>
  <si>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</si>
  <si>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</si>
  <si>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</si>
  <si>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</si>
  <si>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</si>
  <si>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</si>
  <si>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</si>
  <si>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</si>
  <si>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</si>
  <si>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</si>
  <si>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</si>
  <si>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</si>
  <si>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</si>
  <si>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</si>
  <si>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</si>
  <si>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</si>
  <si>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</si>
  <si>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</si>
  <si>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</si>
  <si>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</si>
  <si>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</si>
  <si>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</si>
  <si>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</si>
  <si>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</si>
  <si>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</si>
  <si>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</si>
  <si>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</si>
  <si>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</si>
  <si>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</si>
  <si>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</si>
  <si>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</si>
  <si>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</si>
  <si>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</si>
  <si>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</si>
  <si>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</si>
  <si>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</si>
  <si>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</si>
  <si>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</si>
  <si>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</si>
  <si>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</si>
  <si>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</si>
  <si>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</si>
  <si>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</si>
  <si>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</si>
  <si>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</si>
  <si>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</si>
  <si>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</si>
  <si>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</si>
  <si>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</si>
  <si>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</si>
  <si>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</si>
  <si>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</si>
  <si>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</si>
  <si>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</si>
  <si>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</si>
  <si>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</si>
  <si>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</si>
  <si>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</si>
  <si>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</si>
  <si>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</si>
  <si>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</si>
  <si>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</si>
  <si>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</si>
  <si>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</si>
  <si>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</si>
  <si>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</si>
  <si>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</si>
  <si>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</si>
  <si>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</si>
  <si>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</si>
  <si>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</si>
  <si>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</si>
  <si>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</si>
  <si>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</si>
  <si>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</si>
  <si>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</si>
  <si>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</si>
  <si>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</si>
  <si>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</si>
  <si>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</si>
  <si>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</si>
  <si>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</si>
  <si>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</si>
  <si>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</si>
  <si>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</si>
  <si>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</si>
  <si>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</si>
  <si>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</si>
  <si>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</si>
  <si>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</si>
  <si>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</si>
  <si>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</si>
  <si>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</si>
  <si>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</si>
  <si>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</si>
  <si>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</si>
  <si>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</si>
  <si>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</si>
  <si>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</si>
  <si>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</si>
  <si>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</si>
  <si>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</si>
  <si>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</si>
  <si>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</si>
  <si>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</si>
  <si>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</si>
  <si>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RENTING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</si>
  <si>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</si>
  <si>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</si>
  <si>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</si>
  <si>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</si>
  <si>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</si>
  <si>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</si>
  <si>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</si>
  <si>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</si>
  <si>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</si>
  <si>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</si>
  <si>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</si>
  <si>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</si>
  <si>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</si>
  <si>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</si>
  <si>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</si>
  <si>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</si>
  <si>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</si>
  <si>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</si>
  <si>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</si>
  <si>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</si>
  <si>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</si>
  <si>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</si>
  <si>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</si>
  <si>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</si>
  <si>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</si>
  <si>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</si>
  <si>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</si>
  <si>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</si>
  <si>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</si>
  <si>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</si>
  <si>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</si>
  <si>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</si>
  <si>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</si>
  <si>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</si>
  <si>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</si>
  <si>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</si>
  <si>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XTOOL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</si>
  <si>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</si>
  <si>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</si>
  <si>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</si>
  <si>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</si>
  <si>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</si>
  <si>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</si>
  <si>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</si>
  <si>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</si>
  <si>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</si>
  <si>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</si>
  <si>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GRENKE RENTING S.A.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</si>
  <si>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</si>
  <si>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</si>
  <si>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</si>
  <si>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</si>
  <si>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</si>
  <si>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</si>
  <si>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</si>
  <si>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</si>
  <si>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</si>
  <si>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</si>
  <si>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</si>
  <si>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</si>
  <si>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</si>
  <si>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</si>
  <si>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</si>
  <si>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</si>
  <si>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</si>
  <si>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</si>
  <si>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</si>
  <si>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</si>
  <si>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</si>
  <si>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</si>
  <si>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</si>
  <si>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</si>
  <si>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</si>
  <si>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</si>
  <si>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</si>
  <si>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</si>
  <si>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</si>
  <si>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</si>
  <si>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</si>
  <si>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</si>
  <si>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</si>
  <si>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</si>
  <si>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</si>
  <si>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</si>
  <si>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</si>
  <si>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</si>
  <si>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</si>
  <si>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</si>
  <si>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</si>
  <si>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</si>
  <si>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</si>
  <si>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</si>
  <si>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</si>
  <si>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</si>
  <si>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</si>
  <si>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</si>
  <si>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</si>
  <si>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</si>
  <si>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</si>
  <si>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</si>
  <si>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</si>
  <si>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</si>
  <si>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</si>
  <si>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</si>
  <si>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</si>
  <si>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</si>
  <si>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</si>
  <si>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</si>
  <si>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</si>
  <si>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</si>
  <si>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</si>
  <si>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</si>
  <si>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</si>
  <si>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</si>
  <si>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</si>
  <si>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</si>
  <si>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</si>
  <si>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</si>
  <si>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</si>
  <si>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</si>
  <si>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</si>
  <si>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</si>
  <si>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</si>
  <si>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</si>
  <si>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</si>
  <si>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</si>
  <si>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</si>
  <si>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</si>
  <si>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</si>
  <si>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</si>
  <si>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</si>
  <si>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</si>
  <si>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</si>
  <si>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</si>
  <si>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</si>
  <si>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</si>
  <si>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</si>
  <si>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</si>
  <si>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</si>
  <si>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</si>
  <si>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</si>
  <si>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</si>
  <si>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</si>
  <si>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</si>
  <si>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</si>
  <si>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</si>
  <si>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</si>
  <si>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</si>
  <si>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</si>
  <si>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</si>
  <si>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</si>
  <si>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</si>
  <si>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</si>
  <si>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</si>
  <si>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</si>
  <si>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</si>
  <si>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</si>
  <si>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</si>
  <si>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</si>
  <si>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</si>
  <si>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</si>
  <si>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</si>
  <si>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</si>
  <si>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</si>
  <si>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</si>
  <si>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</si>
  <si>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</si>
  <si>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</si>
  <si>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</si>
  <si>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</si>
  <si>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</si>
  <si>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</si>
  <si>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</si>
  <si>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</si>
  <si>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</si>
  <si>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</si>
  <si>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</si>
  <si>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</si>
  <si>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</si>
  <si>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</si>
  <si>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</si>
  <si>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</si>
  <si>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</si>
  <si>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</si>
  <si>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</si>
  <si>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</si>
  <si>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</si>
  <si>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</si>
  <si>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</si>
  <si>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</si>
  <si>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</si>
  <si>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</si>
  <si>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</si>
  <si>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</si>
  <si>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</si>
  <si>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</si>
  <si>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</si>
  <si>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</si>
  <si>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</si>
  <si>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</si>
  <si>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</si>
  <si>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</si>
  <si>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</si>
  <si>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</si>
  <si>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PEÇAS P/MAQUINAS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</si>
  <si>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</si>
  <si>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</si>
  <si>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</si>
  <si>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</si>
  <si>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</si>
  <si>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</si>
  <si>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</si>
  <si>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</si>
  <si>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</si>
  <si>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</si>
  <si>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</si>
  <si>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</si>
  <si>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</si>
  <si>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</si>
  <si>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</si>
  <si>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</si>
  <si>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</si>
  <si>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</si>
  <si>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</si>
  <si>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</si>
  <si>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</si>
  <si>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</si>
  <si>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</si>
  <si>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</si>
  <si>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</si>
  <si>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</si>
  <si>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</si>
  <si>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</si>
  <si>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</si>
  <si>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</si>
  <si>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</si>
  <si>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</si>
  <si>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</si>
  <si>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</si>
  <si>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</si>
  <si>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</si>
  <si>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</si>
  <si>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</si>
  <si>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</si>
  <si>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</si>
  <si>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</si>
  <si>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</si>
  <si>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</si>
  <si>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</si>
  <si>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</si>
  <si>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</si>
  <si>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</si>
  <si>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</si>
  <si>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</si>
  <si>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</si>
  <si>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</si>
  <si>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</si>
  <si>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</si>
  <si>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</si>
  <si>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</si>
  <si>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</si>
  <si>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</si>
  <si>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</si>
  <si>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</si>
  <si>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</si>
  <si>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</si>
  <si>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</si>
  <si>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</si>
  <si>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</si>
  <si>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</si>
  <si>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</si>
  <si>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</si>
  <si>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</si>
  <si>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</si>
  <si>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</si>
  <si>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</si>
  <si>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</si>
  <si>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</si>
  <si>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</si>
  <si>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</si>
  <si>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</si>
  <si>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</si>
  <si>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</si>
  <si>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</si>
  <si>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</si>
  <si>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</si>
  <si>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</si>
  <si>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</si>
  <si>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</si>
  <si>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</si>
  <si>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</si>
  <si>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</si>
  <si>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</si>
  <si>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</si>
  <si>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</si>
  <si>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</si>
  <si>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</si>
  <si>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</si>
  <si>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</si>
  <si>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</si>
  <si>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</si>
  <si>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</si>
  <si>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</si>
  <si>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</si>
  <si>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</si>
  <si>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</si>
  <si>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</si>
  <si>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</si>
  <si>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</si>
  <si>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</si>
  <si>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</si>
  <si>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</si>
  <si>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</si>
  <si>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</si>
  <si>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</si>
  <si>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</si>
  <si>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</si>
  <si>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</si>
  <si>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</si>
  <si>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</si>
  <si>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</si>
  <si>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</si>
  <si>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</si>
  <si>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</si>
  <si>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</si>
  <si>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</si>
  <si>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</si>
  <si>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</si>
  <si>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</si>
  <si>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</si>
  <si>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</si>
  <si>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</si>
  <si>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</si>
  <si>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</si>
  <si>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</si>
  <si>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</si>
  <si>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</si>
  <si>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</si>
  <si>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</si>
  <si>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</si>
  <si>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</si>
  <si>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</si>
  <si>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</si>
  <si>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</si>
  <si>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</si>
  <si>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</si>
  <si>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</si>
  <si>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</si>
  <si>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</si>
  <si>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</si>
  <si>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</si>
  <si>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</si>
  <si>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</si>
  <si>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</si>
  <si>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</si>
  <si>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</si>
  <si>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</si>
  <si>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</si>
  <si>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</si>
  <si>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</si>
  <si>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</si>
  <si>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</si>
  <si>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</si>
  <si>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</si>
  <si>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</si>
  <si>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</si>
  <si>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</si>
  <si>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</si>
  <si>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</si>
  <si>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</si>
  <si>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</si>
  <si>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</si>
  <si>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</si>
  <si>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</si>
  <si>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</si>
  <si>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</si>
  <si>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</si>
  <si>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</si>
  <si>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</si>
  <si>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</si>
  <si>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</si>
  <si>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</si>
  <si>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</si>
  <si>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</si>
  <si>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</si>
  <si>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</si>
  <si>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</si>
  <si>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</si>
  <si>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</si>
  <si>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</si>
  <si>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</si>
  <si>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</si>
  <si>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</si>
  <si>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</si>
  <si>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</si>
  <si>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</si>
  <si>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</si>
  <si>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</si>
  <si>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</si>
  <si>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</si>
  <si>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</si>
  <si>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</si>
  <si>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</si>
  <si>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</si>
  <si>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</si>
  <si>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</si>
  <si>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</si>
  <si>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</si>
  <si>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</si>
  <si>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</si>
  <si>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</si>
  <si>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</si>
  <si>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</si>
  <si>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</si>
  <si>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</si>
  <si>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</si>
  <si>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</si>
  <si>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</si>
  <si>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</si>
  <si>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</si>
  <si>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</si>
  <si>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</si>
  <si>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</si>
  <si>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</si>
  <si>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</si>
  <si>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</si>
  <si>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</si>
  <si>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</si>
  <si>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</si>
  <si>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</si>
  <si>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</si>
  <si>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</si>
  <si>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</si>
  <si>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</si>
  <si>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</si>
  <si>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</si>
  <si>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</si>
  <si>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</si>
  <si>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</si>
  <si>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</si>
  <si>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</si>
  <si>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</si>
  <si>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</si>
  <si>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</si>
  <si>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</si>
  <si>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</si>
  <si>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</si>
  <si>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</si>
  <si>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</si>
  <si>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</si>
  <si>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</si>
  <si>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</si>
  <si>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</si>
  <si>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</si>
  <si>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</si>
  <si>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</si>
  <si>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</si>
  <si>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</si>
  <si>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</si>
  <si>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</si>
  <si>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</si>
  <si>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</si>
  <si>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</si>
  <si>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</si>
  <si>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</si>
  <si>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</si>
  <si>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</si>
  <si>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</si>
  <si>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</si>
  <si>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</si>
  <si>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</si>
  <si>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</si>
  <si>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</si>
  <si>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</si>
  <si>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</si>
  <si>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</si>
  <si>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</si>
  <si>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</si>
  <si>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</si>
  <si>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</si>
  <si>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</si>
  <si>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</si>
  <si>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</si>
  <si>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</si>
  <si>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</si>
  <si>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</si>
  <si>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</si>
  <si>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</si>
  <si>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</si>
  <si>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</si>
  <si>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</si>
  <si>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</si>
  <si>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</si>
  <si>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</si>
  <si>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</si>
  <si>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</si>
  <si>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</si>
  <si>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</si>
  <si>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</si>
  <si>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</si>
  <si>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</si>
  <si>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</si>
  <si>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</si>
  <si>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</si>
  <si>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</si>
  <si>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</si>
  <si>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</si>
  <si>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</si>
  <si>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</si>
  <si>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</si>
  <si>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</si>
  <si>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</si>
  <si>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</si>
  <si>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</si>
  <si>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</si>
  <si>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</si>
  <si>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</si>
  <si>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</si>
  <si>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</si>
  <si>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</si>
  <si>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</si>
  <si>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</si>
  <si>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</si>
  <si>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</si>
  <si>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</si>
  <si>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</si>
  <si>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</si>
  <si>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</si>
  <si>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</si>
  <si>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</si>
  <si>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</si>
  <si>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</si>
  <si>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</si>
  <si>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</si>
  <si>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</si>
  <si>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</si>
  <si>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</si>
  <si>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</si>
  <si>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</si>
  <si>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</si>
  <si>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</si>
  <si>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</si>
  <si>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</si>
  <si>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</si>
  <si>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</si>
  <si>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</si>
  <si>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</si>
  <si>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</si>
  <si>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</si>
  <si>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</si>
  <si>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</si>
  <si>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</si>
  <si>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</si>
  <si>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</si>
  <si>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</si>
  <si>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</si>
  <si>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</si>
  <si>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</si>
  <si>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</si>
  <si>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</si>
  <si>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</si>
  <si>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</si>
  <si>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</si>
  <si>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</si>
  <si>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</si>
  <si>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</si>
  <si>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</si>
  <si>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</si>
  <si>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</si>
  <si>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</si>
  <si>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</si>
  <si>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</si>
  <si>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</si>
  <si>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</si>
  <si>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</si>
  <si>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</si>
  <si>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</si>
  <si>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</si>
  <si>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</si>
  <si>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</si>
  <si>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</si>
  <si>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</si>
  <si>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</si>
  <si>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</si>
  <si>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</si>
  <si>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</si>
  <si>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</si>
  <si>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</si>
  <si>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</si>
  <si>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</si>
  <si>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</si>
  <si>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</si>
  <si>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</si>
  <si>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</si>
  <si>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</si>
  <si>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 xml:space="preserve"> 01-6027703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</si>
  <si>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</si>
  <si>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</si>
  <si>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</si>
  <si>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</si>
  <si>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</si>
  <si>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</si>
  <si>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</si>
  <si>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</si>
  <si>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</si>
  <si>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</si>
  <si>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</si>
  <si>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</si>
  <si>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</si>
  <si>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</si>
  <si>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</si>
  <si>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</si>
  <si>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</si>
  <si>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</si>
  <si>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</si>
  <si>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</si>
  <si>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</si>
  <si>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</si>
  <si>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</si>
  <si>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</si>
  <si>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</si>
  <si>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</si>
  <si>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</si>
  <si>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</si>
  <si>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</si>
  <si>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</si>
  <si>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</si>
  <si>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</si>
  <si>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</si>
  <si>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ELEVADOR TESOURA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</si>
  <si>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</si>
  <si>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</si>
  <si>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</si>
  <si>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</si>
  <si>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</si>
  <si>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</si>
  <si>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</si>
  <si>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</si>
  <si>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</si>
  <si>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</si>
  <si>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</si>
  <si>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</si>
  <si>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</si>
  <si>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</si>
  <si>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</si>
  <si>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</si>
  <si>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</si>
  <si>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</si>
  <si>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</si>
  <si>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</si>
  <si>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</si>
  <si>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</si>
  <si>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</si>
  <si>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</si>
  <si>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</si>
  <si>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</si>
  <si>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</si>
  <si>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</si>
  <si>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</si>
  <si>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</si>
  <si>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</si>
  <si>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</si>
  <si>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</si>
  <si>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</si>
  <si>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</si>
  <si>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</si>
  <si>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</si>
  <si>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</si>
  <si>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</si>
  <si>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</si>
  <si>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</si>
  <si>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</si>
  <si>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</si>
  <si>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</si>
  <si>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</si>
  <si>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</si>
  <si>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</si>
  <si>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</si>
  <si>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</si>
  <si>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</si>
  <si>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</si>
  <si>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</si>
  <si>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</si>
  <si>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</si>
  <si>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</si>
  <si>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</si>
  <si>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</si>
  <si>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</si>
  <si>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</si>
  <si>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</si>
  <si>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</si>
  <si>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</si>
  <si>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</si>
  <si>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</si>
  <si>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</si>
  <si>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</si>
  <si>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</si>
  <si>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</si>
  <si>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</si>
  <si>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</si>
  <si>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</si>
  <si>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</si>
  <si>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</si>
  <si>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</si>
  <si>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</si>
  <si>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</si>
  <si>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</si>
  <si>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</si>
  <si>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</si>
  <si>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</si>
  <si>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</si>
  <si>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</si>
  <si>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</si>
  <si>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</si>
  <si>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</si>
  <si>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</si>
  <si>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</si>
  <si>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</si>
  <si>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</si>
  <si>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</si>
  <si>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</si>
  <si>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</si>
  <si>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</si>
  <si>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</si>
  <si>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</si>
  <si>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</si>
  <si>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</si>
  <si>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</si>
  <si>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</si>
  <si>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</si>
  <si>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</si>
  <si>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</si>
  <si>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</si>
  <si>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</si>
  <si>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</si>
  <si>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</si>
  <si>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</si>
  <si>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</si>
  <si>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</si>
  <si>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</si>
  <si>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</si>
  <si>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</si>
  <si>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</si>
  <si>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</si>
  <si>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</si>
  <si>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</si>
  <si>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</si>
  <si>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</si>
  <si>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</si>
  <si>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</si>
  <si>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</si>
  <si>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</si>
  <si>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</si>
  <si>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</si>
  <si>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</si>
  <si>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</si>
  <si>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</si>
  <si>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</si>
  <si>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</si>
  <si>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</si>
  <si>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</si>
  <si>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</si>
  <si>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</si>
  <si>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</si>
  <si>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</si>
  <si>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</si>
  <si>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</si>
  <si>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</si>
  <si>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</si>
  <si>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</si>
  <si>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</si>
  <si>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</si>
  <si>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</si>
  <si>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</si>
  <si>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</si>
  <si>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</si>
  <si>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</si>
  <si>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</si>
  <si>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</si>
  <si>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</si>
  <si>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</si>
  <si>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</si>
  <si>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</si>
  <si>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</si>
  <si>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</si>
  <si>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</si>
  <si>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</si>
  <si>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</si>
  <si>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</si>
  <si>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</si>
  <si>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</si>
  <si>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</si>
  <si>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</si>
  <si>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</si>
  <si>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</si>
  <si>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</si>
  <si>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</si>
  <si>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</si>
  <si>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</si>
  <si>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</si>
  <si>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</si>
  <si>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</si>
  <si>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</si>
  <si>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</si>
  <si>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</si>
  <si>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</si>
  <si>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</si>
  <si>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</si>
  <si>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</si>
  <si>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</si>
  <si>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</si>
  <si>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</si>
  <si>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</si>
  <si>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</si>
  <si>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</si>
  <si>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</si>
  <si>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</si>
  <si>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</si>
  <si>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</si>
  <si>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</si>
  <si>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</si>
  <si>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</si>
  <si>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</si>
  <si>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</si>
  <si>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</si>
  <si>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</si>
  <si>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</si>
  <si>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</si>
  <si>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</si>
  <si>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</si>
  <si>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</si>
  <si>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</si>
  <si>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</si>
  <si>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</si>
  <si>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</si>
  <si>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</si>
  <si>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</si>
  <si>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</si>
  <si>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</si>
  <si>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</si>
  <si>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</si>
  <si>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</si>
  <si>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</si>
  <si>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</si>
  <si>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</si>
  <si>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</si>
  <si>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</si>
  <si>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</si>
  <si>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</si>
  <si>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</si>
  <si>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</si>
  <si>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</si>
  <si>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</si>
  <si>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</si>
  <si>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</si>
  <si>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</si>
  <si>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</si>
  <si>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</si>
  <si>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</si>
  <si>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</si>
  <si>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</si>
  <si>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</si>
  <si>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</si>
  <si>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</si>
  <si>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</si>
  <si>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</si>
  <si>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</si>
  <si>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</si>
  <si>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</si>
  <si>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</si>
  <si>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</si>
  <si>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</si>
  <si>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</si>
  <si>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</si>
  <si>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</si>
  <si>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</si>
  <si>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</si>
  <si>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</si>
  <si>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</si>
  <si>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</si>
  <si>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</si>
  <si>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</si>
  <si>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</si>
  <si>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</si>
  <si>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</si>
  <si>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</si>
  <si>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</si>
  <si>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</si>
  <si>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</si>
  <si>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</si>
  <si>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</si>
  <si>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</si>
  <si>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</si>
  <si>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</si>
  <si>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</si>
  <si>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</si>
  <si>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</si>
  <si>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</si>
  <si>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</si>
  <si>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</si>
  <si>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</si>
  <si>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</si>
  <si>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</si>
  <si>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</si>
  <si>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</si>
  <si>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</si>
  <si>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</si>
  <si>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</si>
  <si>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</si>
  <si>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</si>
  <si>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</si>
  <si>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</si>
  <si>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</si>
  <si>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</si>
  <si>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</si>
  <si>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</si>
  <si>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</si>
  <si>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</si>
  <si>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</si>
  <si>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</si>
  <si>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</si>
  <si>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</si>
  <si>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</si>
  <si>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</si>
  <si>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</si>
  <si>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</si>
  <si>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</si>
  <si>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</si>
  <si>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</si>
  <si>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</si>
  <si>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</si>
  <si>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</si>
  <si>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</si>
  <si>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</si>
  <si>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</si>
  <si>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</si>
  <si>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</si>
  <si>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</si>
  <si>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</si>
  <si>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</si>
  <si>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</si>
  <si>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</si>
  <si>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</si>
  <si>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</si>
  <si>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</si>
  <si>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</si>
  <si>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</si>
  <si>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</si>
  <si>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</si>
  <si>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</si>
  <si>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</si>
  <si>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</si>
  <si>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</si>
  <si>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</si>
  <si>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</si>
  <si>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</si>
  <si>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</si>
  <si>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</si>
  <si>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</si>
  <si>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</si>
  <si>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</si>
  <si>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</si>
  <si>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</si>
  <si>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</si>
  <si>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</si>
  <si>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</si>
  <si>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</si>
  <si>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</si>
  <si>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</si>
  <si>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</si>
  <si>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</si>
  <si>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</si>
  <si>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</si>
  <si>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</si>
  <si>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</si>
  <si>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</si>
  <si>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</si>
  <si>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</si>
  <si>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</si>
  <si>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</si>
  <si>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</si>
  <si>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</si>
  <si>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</si>
  <si>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</si>
  <si>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</si>
  <si>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</si>
  <si>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</si>
  <si>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</si>
  <si>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</si>
  <si>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</si>
  <si>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</si>
  <si>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</si>
  <si>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</si>
  <si>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</si>
  <si>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</si>
  <si>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</si>
  <si>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</si>
  <si>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</si>
  <si>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</si>
  <si>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</si>
  <si>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</si>
  <si>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</si>
  <si>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</si>
  <si>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</si>
  <si>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</si>
  <si>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</si>
  <si>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</si>
  <si>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</si>
  <si>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</si>
  <si>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</si>
  <si>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</si>
  <si>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</si>
  <si>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</si>
  <si>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</si>
  <si>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</si>
  <si>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</si>
  <si>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</si>
  <si>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</si>
  <si>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</si>
  <si>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</si>
  <si>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NEIVA</t>
  </si>
  <si>
    <t>geral@irmaos-cruz.com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</si>
  <si>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</si>
  <si>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</si>
  <si>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</si>
  <si>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</si>
  <si>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</si>
  <si>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</si>
  <si>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</si>
  <si>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</si>
  <si>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</si>
  <si>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</si>
  <si>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</si>
  <si>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</si>
  <si>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</si>
  <si>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</si>
  <si>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</si>
  <si>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</si>
  <si>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</si>
  <si>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</si>
  <si>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</si>
  <si>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</si>
  <si>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</si>
  <si>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</si>
  <si>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</si>
  <si>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</si>
  <si>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</si>
  <si>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</si>
  <si>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</si>
  <si>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</si>
  <si>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</si>
  <si>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</si>
  <si>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</si>
  <si>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</si>
  <si>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</si>
  <si>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</si>
  <si>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</si>
  <si>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</si>
  <si>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</si>
  <si>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</si>
  <si>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</si>
  <si>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</si>
  <si>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</si>
  <si>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</si>
  <si>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</si>
  <si>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</si>
  <si>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</si>
  <si>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</si>
  <si>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</si>
  <si>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</si>
  <si>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</si>
  <si>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</si>
  <si>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</si>
  <si>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</si>
  <si>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</si>
  <si>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</si>
  <si>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</si>
  <si>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</si>
  <si>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</si>
  <si>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</si>
  <si>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</si>
  <si>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</si>
  <si>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</si>
  <si>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</si>
  <si>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</si>
  <si>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</si>
  <si>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</si>
  <si>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</si>
  <si>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</si>
  <si>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</si>
  <si>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</si>
  <si>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</si>
  <si>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</si>
  <si>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</si>
  <si>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</si>
  <si>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</si>
  <si>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</si>
  <si>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</si>
  <si>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</si>
  <si>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</si>
  <si>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</si>
  <si>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</si>
  <si>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</si>
  <si>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</si>
  <si>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</si>
  <si>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</si>
  <si>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</si>
  <si>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</si>
  <si>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</si>
  <si>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</si>
  <si>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</si>
  <si>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</si>
  <si>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</si>
  <si>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</si>
  <si>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</si>
  <si>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</si>
  <si>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</si>
  <si>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</si>
  <si>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</si>
  <si>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</si>
  <si>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</si>
  <si>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</si>
  <si>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</si>
  <si>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</si>
  <si>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</si>
  <si>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</si>
  <si>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</si>
  <si>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</si>
  <si>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</si>
  <si>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</si>
  <si>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</si>
  <si>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</si>
  <si>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</si>
  <si>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</si>
  <si>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</si>
  <si>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</si>
  <si>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</si>
  <si>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</si>
  <si>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</si>
  <si>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</si>
  <si>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</si>
  <si>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</si>
  <si>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</si>
  <si>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</si>
  <si>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</si>
  <si>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</si>
  <si>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</si>
  <si>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</si>
  <si>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</si>
  <si>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</si>
  <si>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</si>
  <si>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</si>
  <si>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</si>
  <si>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</si>
  <si>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</si>
  <si>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</si>
  <si>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</si>
  <si>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</si>
  <si>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</si>
  <si>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</si>
  <si>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</si>
  <si>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</si>
  <si>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</si>
  <si>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</si>
  <si>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</si>
  <si>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</si>
  <si>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</si>
  <si>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PARA SERVIÇOS RAPIDO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</si>
  <si>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</si>
  <si>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</si>
  <si>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</si>
  <si>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</si>
  <si>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</si>
  <si>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</si>
  <si>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</si>
  <si>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</si>
  <si>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</si>
  <si>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</si>
  <si>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</si>
  <si>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</si>
  <si>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</si>
  <si>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</si>
  <si>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</si>
  <si>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</si>
  <si>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</si>
  <si>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</si>
  <si>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</si>
  <si>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</si>
  <si>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</si>
  <si>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</si>
  <si>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</si>
  <si>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</si>
  <si>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</si>
  <si>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</si>
  <si>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</si>
  <si>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</si>
  <si>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</si>
  <si>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</si>
  <si>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</si>
  <si>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</si>
  <si>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</si>
  <si>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</si>
  <si>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</si>
  <si>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</si>
  <si>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</si>
  <si>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</si>
  <si>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</si>
  <si>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</si>
  <si>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</si>
  <si>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</si>
  <si>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</si>
  <si>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</si>
  <si>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</si>
  <si>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</si>
  <si>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</si>
  <si>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</si>
  <si>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</si>
  <si>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</si>
  <si>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</si>
  <si>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</si>
  <si>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</si>
  <si>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</si>
  <si>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</si>
  <si>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</si>
  <si>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</si>
  <si>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</si>
  <si>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</si>
  <si>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</si>
  <si>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</si>
  <si>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</si>
  <si>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</si>
  <si>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</si>
  <si>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</si>
  <si>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</si>
  <si>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</si>
  <si>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</si>
  <si>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</si>
  <si>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</si>
  <si>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</si>
  <si>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</si>
  <si>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</si>
  <si>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</si>
  <si>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</si>
  <si>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</si>
  <si>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</si>
  <si>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</si>
  <si>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</si>
  <si>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</si>
  <si>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</si>
  <si>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</si>
  <si>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</si>
  <si>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</si>
  <si>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</si>
  <si>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</si>
  <si>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</si>
  <si>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</si>
  <si>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</si>
  <si>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</si>
  <si>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</si>
  <si>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</si>
  <si>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</si>
  <si>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</si>
  <si>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</si>
  <si>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</si>
  <si>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</si>
  <si>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</si>
  <si>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</si>
  <si>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</si>
  <si>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</si>
  <si>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</si>
  <si>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</si>
  <si>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</si>
  <si>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</si>
  <si>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</si>
  <si>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</si>
  <si>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</si>
  <si>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</si>
  <si>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</si>
  <si>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</si>
  <si>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</si>
  <si>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</si>
  <si>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</si>
  <si>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</si>
  <si>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</si>
  <si>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</si>
  <si>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</si>
  <si>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</si>
  <si>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</si>
  <si>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PJ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</si>
  <si>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</si>
  <si>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</si>
  <si>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</si>
  <si>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</si>
  <si>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</si>
  <si>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</si>
  <si>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</si>
  <si>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</si>
  <si>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</si>
  <si>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</si>
  <si>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</si>
  <si>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</si>
  <si>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</si>
  <si>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</si>
  <si>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</si>
  <si>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</si>
  <si>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</si>
  <si>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</si>
  <si>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</si>
  <si>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</si>
  <si>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</si>
  <si>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</si>
  <si>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</si>
  <si>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</si>
  <si>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</si>
  <si>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</si>
  <si>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</si>
  <si>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</si>
  <si>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</si>
  <si>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</si>
  <si>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</si>
  <si>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</si>
  <si>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</si>
  <si>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</si>
  <si>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</si>
  <si>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</si>
  <si>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</si>
  <si>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</si>
  <si>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BANCO COMERCIAL PORTUGUÊS, SA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</si>
  <si>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</si>
  <si>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</si>
  <si>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</si>
  <si>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</si>
  <si>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</si>
  <si>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</si>
  <si>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</si>
  <si>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</si>
  <si>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</si>
  <si>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</si>
  <si>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</si>
  <si>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</si>
  <si>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</si>
  <si>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</si>
  <si>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</si>
  <si>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</si>
  <si>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</si>
  <si>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</si>
  <si>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</si>
  <si>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</si>
  <si>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</si>
  <si>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</si>
  <si>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</si>
  <si>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</si>
  <si>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</si>
  <si>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</si>
  <si>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</si>
  <si>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</si>
  <si>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</si>
  <si>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</si>
  <si>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</si>
  <si>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</si>
  <si>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</si>
  <si>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</si>
  <si>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</si>
  <si>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</si>
  <si>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</si>
  <si>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</si>
  <si>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</si>
  <si>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</si>
  <si>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</si>
  <si>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</si>
  <si>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</si>
  <si>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</si>
  <si>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</si>
  <si>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</si>
  <si>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</si>
  <si>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</si>
  <si>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</si>
  <si>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</si>
  <si>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</si>
  <si>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</si>
  <si>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</si>
  <si>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</si>
  <si>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</si>
  <si>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</si>
  <si>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</si>
  <si>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</si>
  <si>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</si>
  <si>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</si>
  <si>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</si>
  <si>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</si>
  <si>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</si>
  <si>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</si>
  <si>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</si>
  <si>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</si>
  <si>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</si>
  <si>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</si>
  <si>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</si>
  <si>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</si>
  <si>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</si>
  <si>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</si>
  <si>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</si>
  <si>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</si>
  <si>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</si>
  <si>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</si>
  <si>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</si>
  <si>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</si>
  <si>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</si>
  <si>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</si>
  <si>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</si>
  <si>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</si>
  <si>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</si>
  <si>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</si>
  <si>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</si>
  <si>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</si>
  <si>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</si>
  <si>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</si>
  <si>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</si>
  <si>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</si>
  <si>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</si>
  <si>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</si>
  <si>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</si>
  <si>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</si>
  <si>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</si>
  <si>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</si>
  <si>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</si>
  <si>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</si>
  <si>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</si>
  <si>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</si>
  <si>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</si>
  <si>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</si>
  <si>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</si>
  <si>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</si>
  <si>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</si>
  <si>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</si>
  <si>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</si>
  <si>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</si>
  <si>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</si>
  <si>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</si>
  <si>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</si>
  <si>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</si>
  <si>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</si>
  <si>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</si>
  <si>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</si>
  <si>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</si>
  <si>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</si>
  <si>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</si>
  <si>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</si>
  <si>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</si>
  <si>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</si>
  <si>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</si>
  <si>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</si>
  <si>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</si>
  <si>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</si>
  <si>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</si>
  <si>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</si>
  <si>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</si>
  <si>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</si>
  <si>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</si>
  <si>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</si>
  <si>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</si>
  <si>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</si>
  <si>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</si>
  <si>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</si>
  <si>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</si>
  <si>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</si>
  <si>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</si>
  <si>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</si>
  <si>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</si>
  <si>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</si>
  <si>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</si>
  <si>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</si>
  <si>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</si>
  <si>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</si>
  <si>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</si>
  <si>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</si>
  <si>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</si>
  <si>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</si>
  <si>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</si>
  <si>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</si>
  <si>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</si>
  <si>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</si>
  <si>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</si>
  <si>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</si>
  <si>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</si>
  <si>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</si>
  <si>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</si>
  <si>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</si>
  <si>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</si>
  <si>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</si>
  <si>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</si>
  <si>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</si>
  <si>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</si>
  <si>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</si>
  <si>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</si>
  <si>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</si>
  <si>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</si>
  <si>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</si>
  <si>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</si>
  <si>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</si>
  <si>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</si>
  <si>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</si>
  <si>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</si>
  <si>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</si>
  <si>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</si>
  <si>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</si>
  <si>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</si>
  <si>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</si>
  <si>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</si>
  <si>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</si>
  <si>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</si>
  <si>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</si>
  <si>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</si>
  <si>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</si>
  <si>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</si>
  <si>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</si>
  <si>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</si>
  <si>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</si>
  <si>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</si>
  <si>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</si>
  <si>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</si>
  <si>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</si>
  <si>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</si>
  <si>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</si>
  <si>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</si>
  <si>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</si>
  <si>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</si>
  <si>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</si>
  <si>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</si>
  <si>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</si>
  <si>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</si>
  <si>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</si>
  <si>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</si>
  <si>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</si>
  <si>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</si>
  <si>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</si>
  <si>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</si>
  <si>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</si>
  <si>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</si>
  <si>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</si>
  <si>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</si>
  <si>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</si>
  <si>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</si>
  <si>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</si>
  <si>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</si>
  <si>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</si>
  <si>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</si>
  <si>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</si>
  <si>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</si>
  <si>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</si>
  <si>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</si>
  <si>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</si>
  <si>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</si>
  <si>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</si>
  <si>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</si>
  <si>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</si>
  <si>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</si>
  <si>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</si>
  <si>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</si>
  <si>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</si>
  <si>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</si>
  <si>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</si>
  <si>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</si>
  <si>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</si>
  <si>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</si>
  <si>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</si>
  <si>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</si>
  <si>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</si>
  <si>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</si>
  <si>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</si>
  <si>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</si>
  <si>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</si>
  <si>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</si>
  <si>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</si>
  <si>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</si>
  <si>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</si>
  <si>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</si>
  <si>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</si>
  <si>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</si>
  <si>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</si>
  <si>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</si>
  <si>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</si>
  <si>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</si>
  <si>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</si>
  <si>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</si>
  <si>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</si>
  <si>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</si>
  <si>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</si>
  <si>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</si>
  <si>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</si>
  <si>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</si>
  <si>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</si>
  <si>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</si>
  <si>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</si>
  <si>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</si>
  <si>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</si>
  <si>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</si>
  <si>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</si>
  <si>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</si>
  <si>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</si>
  <si>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</si>
  <si>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</si>
  <si>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</si>
  <si>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</si>
  <si>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</si>
  <si>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</si>
  <si>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</si>
  <si>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</si>
  <si>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</si>
  <si>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</si>
  <si>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</si>
  <si>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</si>
  <si>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</si>
  <si>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</si>
  <si>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</si>
  <si>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</si>
  <si>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</si>
  <si>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</si>
  <si>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</si>
  <si>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</si>
  <si>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</si>
  <si>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</si>
  <si>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</si>
  <si>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</si>
  <si>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</si>
  <si>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</si>
  <si>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</si>
  <si>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</si>
  <si>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</si>
  <si>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</si>
  <si>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</si>
  <si>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</si>
  <si>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</si>
  <si>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</si>
  <si>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</si>
  <si>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</si>
  <si>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</si>
  <si>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</si>
  <si>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</si>
  <si>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JANTES CAMIAO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</si>
  <si>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</si>
  <si>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</si>
  <si>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</si>
  <si>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</si>
  <si>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</si>
  <si>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</si>
  <si>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</si>
  <si>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</si>
  <si>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</si>
  <si>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</si>
  <si>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</si>
  <si>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</si>
  <si>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</si>
  <si>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</si>
  <si>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</si>
  <si>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</si>
  <si>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</si>
  <si>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</si>
  <si>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</si>
  <si>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</si>
  <si>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</si>
  <si>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</si>
  <si>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</si>
  <si>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</si>
  <si>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</si>
  <si>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</si>
  <si>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</si>
  <si>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</si>
  <si>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</si>
  <si>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</si>
  <si>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</si>
  <si>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</si>
  <si>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</si>
  <si>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</si>
  <si>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</si>
  <si>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</si>
  <si>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</si>
  <si>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</si>
  <si>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</si>
  <si>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</si>
  <si>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</si>
  <si>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</si>
  <si>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</si>
  <si>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</si>
  <si>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</si>
  <si>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</si>
  <si>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</si>
  <si>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</si>
  <si>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</si>
  <si>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</si>
  <si>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</si>
  <si>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</si>
  <si>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</si>
  <si>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</si>
  <si>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</si>
  <si>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</si>
  <si>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</si>
  <si>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</si>
  <si>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</si>
  <si>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</si>
  <si>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</si>
  <si>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</si>
  <si>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</si>
  <si>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</si>
  <si>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</si>
  <si>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</si>
  <si>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</si>
  <si>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</si>
  <si>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</si>
  <si>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</si>
  <si>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</si>
  <si>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</si>
  <si>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</si>
  <si>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</si>
  <si>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</si>
  <si>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</si>
  <si>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</si>
  <si>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</si>
  <si>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</si>
  <si>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</si>
  <si>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</si>
  <si>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</si>
  <si>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</si>
  <si>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</si>
  <si>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</si>
  <si>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</si>
  <si>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</si>
  <si>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</si>
  <si>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</si>
  <si>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</si>
  <si>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</si>
  <si>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</si>
  <si>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</si>
  <si>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</si>
  <si>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</si>
  <si>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</si>
  <si>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</si>
  <si>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</si>
  <si>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CHINA</t>
  </si>
  <si>
    <t>44-126695205120</t>
  </si>
  <si>
    <t>JANTE 9.5X20 5X120 ET45 F.1266</t>
  </si>
  <si>
    <t>FULVIO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</si>
  <si>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</si>
  <si>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</si>
  <si>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</si>
  <si>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</si>
  <si>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</si>
  <si>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</si>
  <si>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</si>
  <si>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</si>
  <si>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</si>
  <si>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</si>
  <si>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</si>
  <si>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</si>
  <si>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</si>
  <si>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</si>
  <si>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</si>
  <si>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</si>
  <si>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</si>
  <si>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</si>
  <si>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</si>
  <si>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</si>
  <si>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</si>
  <si>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</si>
  <si>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</si>
  <si>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</si>
  <si>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</si>
  <si>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</si>
  <si>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</si>
  <si>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</si>
  <si>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</si>
  <si>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</si>
  <si>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</si>
  <si>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</si>
  <si>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</si>
  <si>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</si>
  <si>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</si>
  <si>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</si>
  <si>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</si>
  <si>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</si>
  <si>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</si>
  <si>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</si>
  <si>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</si>
  <si>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</si>
  <si>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</si>
  <si>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</si>
  <si>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</si>
  <si>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</si>
  <si>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</si>
  <si>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</si>
  <si>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</si>
  <si>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</si>
  <si>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</si>
  <si>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</si>
  <si>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</si>
  <si>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</si>
  <si>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</si>
  <si>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</si>
  <si>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</si>
  <si>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</si>
  <si>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</si>
  <si>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</si>
  <si>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</si>
  <si>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</si>
  <si>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</si>
  <si>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</si>
  <si>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</si>
  <si>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</si>
  <si>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</si>
  <si>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</si>
  <si>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</si>
  <si>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</si>
  <si>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</si>
  <si>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</si>
  <si>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</si>
  <si>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</si>
  <si>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</si>
  <si>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</si>
  <si>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</si>
  <si>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</si>
  <si>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</si>
  <si>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</si>
  <si>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</si>
  <si>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</si>
  <si>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</si>
  <si>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</si>
  <si>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</si>
  <si>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</si>
  <si>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</si>
  <si>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</si>
  <si>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</si>
  <si>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</si>
  <si>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</si>
  <si>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</si>
  <si>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</si>
  <si>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</si>
  <si>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</si>
  <si>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</si>
  <si>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</si>
  <si>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</si>
  <si>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</si>
  <si>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</si>
  <si>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</si>
  <si>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</si>
  <si>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</si>
  <si>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</si>
  <si>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</si>
  <si>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</si>
  <si>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</si>
  <si>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</si>
  <si>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</si>
  <si>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</si>
  <si>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</si>
  <si>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</si>
  <si>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</si>
  <si>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</si>
  <si>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</si>
  <si>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</si>
  <si>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</si>
  <si>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</si>
  <si>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</si>
  <si>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</si>
  <si>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</si>
  <si>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</si>
  <si>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</si>
  <si>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</si>
  <si>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</si>
  <si>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</si>
  <si>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</si>
  <si>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</si>
  <si>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</si>
  <si>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</si>
  <si>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</si>
  <si>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</si>
  <si>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</si>
  <si>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</si>
  <si>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</si>
  <si>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</si>
  <si>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</si>
  <si>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</si>
  <si>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</si>
  <si>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</si>
  <si>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</si>
  <si>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</si>
  <si>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</si>
  <si>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</si>
  <si>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</si>
  <si>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</si>
  <si>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</si>
  <si>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</si>
  <si>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</si>
  <si>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</si>
  <si>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</si>
  <si>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</si>
  <si>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</si>
  <si>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</si>
  <si>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</si>
  <si>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</si>
  <si>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</si>
  <si>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</si>
  <si>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</si>
  <si>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</si>
  <si>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</si>
  <si>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</si>
  <si>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</si>
  <si>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</si>
  <si>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</si>
  <si>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</si>
  <si>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</si>
  <si>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</si>
  <si>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</si>
  <si>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</si>
  <si>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</si>
  <si>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</si>
  <si>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</si>
  <si>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</si>
  <si>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</si>
  <si>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</si>
  <si>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</si>
  <si>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</si>
  <si>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</si>
  <si>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</si>
  <si>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</si>
  <si>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</si>
  <si>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</si>
  <si>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</si>
  <si>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</si>
  <si>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</si>
  <si>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</si>
  <si>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</si>
  <si>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</si>
  <si>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</si>
  <si>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</si>
  <si>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</si>
  <si>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</si>
  <si>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</si>
  <si>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</si>
  <si>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</si>
  <si>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</si>
  <si>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</si>
  <si>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</si>
  <si>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</si>
  <si>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</si>
  <si>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</si>
  <si>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</si>
  <si>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</si>
  <si>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</si>
  <si>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</si>
  <si>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</si>
  <si>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</si>
  <si>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</si>
  <si>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</si>
  <si>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</si>
  <si>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</si>
  <si>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</si>
  <si>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</si>
  <si>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</si>
  <si>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</si>
  <si>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</si>
  <si>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</si>
  <si>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</si>
  <si>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</si>
  <si>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</si>
  <si>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</si>
  <si>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</si>
  <si>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</si>
  <si>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</si>
  <si>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</si>
  <si>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</si>
  <si>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</si>
  <si>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</si>
  <si>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</si>
  <si>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</si>
  <si>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</si>
  <si>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</si>
  <si>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</si>
  <si>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</si>
  <si>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</si>
  <si>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</si>
  <si>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</si>
  <si>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</si>
  <si>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</si>
  <si>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</si>
  <si>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</si>
  <si>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</si>
  <si>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</si>
  <si>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</si>
  <si>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</si>
  <si>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</si>
  <si>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</si>
  <si>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</si>
  <si>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</si>
  <si>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</si>
  <si>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</si>
  <si>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</si>
  <si>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</si>
  <si>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</si>
  <si>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</si>
  <si>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</si>
  <si>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</si>
  <si>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</si>
  <si>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</si>
  <si>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</si>
  <si>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</si>
  <si>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</si>
  <si>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</si>
  <si>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</si>
  <si>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</si>
  <si>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</si>
  <si>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</si>
  <si>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</si>
  <si>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</si>
  <si>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</si>
  <si>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</si>
  <si>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</si>
  <si>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</si>
  <si>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</si>
  <si>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</si>
  <si>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</si>
  <si>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</si>
  <si>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</si>
  <si>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</si>
  <si>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</si>
  <si>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</si>
  <si>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</si>
  <si>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</si>
  <si>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</si>
  <si>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</si>
  <si>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</si>
  <si>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</si>
  <si>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</si>
  <si>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</si>
  <si>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</si>
  <si>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</si>
  <si>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</si>
  <si>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</si>
  <si>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</si>
  <si>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</si>
  <si>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</si>
  <si>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</si>
  <si>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</si>
  <si>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</si>
  <si>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</si>
  <si>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</si>
  <si>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</si>
  <si>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</si>
  <si>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</si>
  <si>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</si>
  <si>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</si>
  <si>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</si>
  <si>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</si>
  <si>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</si>
  <si>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</si>
  <si>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</si>
  <si>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</si>
  <si>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</si>
  <si>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</si>
  <si>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</si>
  <si>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</si>
  <si>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</si>
  <si>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</si>
  <si>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</si>
  <si>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</si>
  <si>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</si>
  <si>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</si>
  <si>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</si>
  <si>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</si>
  <si>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</si>
  <si>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</si>
  <si>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</si>
  <si>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</si>
  <si>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</si>
  <si>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</si>
  <si>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</si>
  <si>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</si>
  <si>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</si>
  <si>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</si>
  <si>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</si>
  <si>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</si>
  <si>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</si>
  <si>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</si>
  <si>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</si>
  <si>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</si>
  <si>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</si>
  <si>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</si>
  <si>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</si>
  <si>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</si>
  <si>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</si>
  <si>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</si>
  <si>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</si>
  <si>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</si>
  <si>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</si>
  <si>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</si>
  <si>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</si>
  <si>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</si>
  <si>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</si>
  <si>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</si>
  <si>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</si>
  <si>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</si>
  <si>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</si>
  <si>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</si>
  <si>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</si>
  <si>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</si>
  <si>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</si>
  <si>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</si>
  <si>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</si>
  <si>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</si>
  <si>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</si>
  <si>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</si>
  <si>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</si>
  <si>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</si>
  <si>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</si>
  <si>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</si>
  <si>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</si>
  <si>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</si>
  <si>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</si>
  <si>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</si>
  <si>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</si>
  <si>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</si>
  <si>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</si>
  <si>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</si>
  <si>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</si>
  <si>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</si>
  <si>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</si>
  <si>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</si>
  <si>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</si>
  <si>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</si>
  <si>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</si>
  <si>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</si>
  <si>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</si>
  <si>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</si>
  <si>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</si>
  <si>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</si>
  <si>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</si>
  <si>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</si>
  <si>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</si>
  <si>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</si>
  <si>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</si>
  <si>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</si>
  <si>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</si>
  <si>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</si>
  <si>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</si>
  <si>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</si>
  <si>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</si>
  <si>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</si>
  <si>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</si>
  <si>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</si>
  <si>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</si>
  <si>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</si>
  <si>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</si>
  <si>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</si>
  <si>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</si>
  <si>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</si>
  <si>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</si>
  <si>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</si>
  <si>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</si>
  <si>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</si>
  <si>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</si>
  <si>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</si>
  <si>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</si>
  <si>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</si>
  <si>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</si>
  <si>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</si>
  <si>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</si>
  <si>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</si>
  <si>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</si>
  <si>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</si>
  <si>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</si>
  <si>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</si>
  <si>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</si>
  <si>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</si>
  <si>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</si>
  <si>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</si>
  <si>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</si>
  <si>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</si>
  <si>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</si>
  <si>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</si>
  <si>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</si>
  <si>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</si>
  <si>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</si>
  <si>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</si>
  <si>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</si>
  <si>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</si>
  <si>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</si>
  <si>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</si>
  <si>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</si>
  <si>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</si>
  <si>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</si>
  <si>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</si>
  <si>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</si>
  <si>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</si>
  <si>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</si>
  <si>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</si>
  <si>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</si>
  <si>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</si>
  <si>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</si>
  <si>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</si>
  <si>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</si>
  <si>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</si>
  <si>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</si>
  <si>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</si>
  <si>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</si>
  <si>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</si>
  <si>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</si>
  <si>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</si>
  <si>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</si>
  <si>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</si>
  <si>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</si>
  <si>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</si>
  <si>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</si>
  <si>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</si>
  <si>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</si>
  <si>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</si>
  <si>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</si>
  <si>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</si>
  <si>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</si>
  <si>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</si>
  <si>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</si>
  <si>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</si>
  <si>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</si>
  <si>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</si>
  <si>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</si>
  <si>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</si>
  <si>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</si>
  <si>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</si>
  <si>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</si>
  <si>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</si>
  <si>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</si>
  <si>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</si>
  <si>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</si>
  <si>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</si>
  <si>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</si>
  <si>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</si>
  <si>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</si>
  <si>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</si>
  <si>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</si>
  <si>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</si>
  <si>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</si>
  <si>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</si>
  <si>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</si>
  <si>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</si>
  <si>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</si>
  <si>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</si>
  <si>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</si>
  <si>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</si>
  <si>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</si>
  <si>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</si>
  <si>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</si>
  <si>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</si>
  <si>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</si>
  <si>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</si>
  <si>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</si>
  <si>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</si>
  <si>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</si>
  <si>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</si>
  <si>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</si>
  <si>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</si>
  <si>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</si>
  <si>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</si>
  <si>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</si>
  <si>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</si>
  <si>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</si>
  <si>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</si>
  <si>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</si>
  <si>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</si>
  <si>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</si>
  <si>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</si>
  <si>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</si>
  <si>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</si>
  <si>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</si>
  <si>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</si>
  <si>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</si>
  <si>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</si>
  <si>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</si>
  <si>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</si>
  <si>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</si>
  <si>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</si>
  <si>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</si>
  <si>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</si>
  <si>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</si>
  <si>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</si>
  <si>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</si>
  <si>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</si>
  <si>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</si>
  <si>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</si>
  <si>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</si>
  <si>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</si>
  <si>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</si>
  <si>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</si>
  <si>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</si>
  <si>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</si>
  <si>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</si>
  <si>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</si>
  <si>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</si>
  <si>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</si>
  <si>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</si>
  <si>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</si>
  <si>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</si>
  <si>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</si>
  <si>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</si>
  <si>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</si>
  <si>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</si>
  <si>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</si>
  <si>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</si>
  <si>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</si>
  <si>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</si>
  <si>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</si>
  <si>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</si>
  <si>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</si>
  <si>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</si>
  <si>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</si>
  <si>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</si>
  <si>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</si>
  <si>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</si>
  <si>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</si>
  <si>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</si>
  <si>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</si>
  <si>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</si>
  <si>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</si>
  <si>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</si>
  <si>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</si>
  <si>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</si>
  <si>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</si>
  <si>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</si>
  <si>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</si>
  <si>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</si>
  <si>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</si>
  <si>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</si>
  <si>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</si>
  <si>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</si>
  <si>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</si>
  <si>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</si>
  <si>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</si>
  <si>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</si>
  <si>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</si>
  <si>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</si>
  <si>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</si>
  <si>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</si>
  <si>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</si>
  <si>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</si>
  <si>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</si>
  <si>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</si>
  <si>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</si>
  <si>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</si>
  <si>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</si>
  <si>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</si>
  <si>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</si>
  <si>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</si>
  <si>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</si>
  <si>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</si>
  <si>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</si>
  <si>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</si>
  <si>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</si>
  <si>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</si>
  <si>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</si>
  <si>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</si>
  <si>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</si>
  <si>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</si>
  <si>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</si>
  <si>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</si>
  <si>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</si>
  <si>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</si>
  <si>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</si>
  <si>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</si>
  <si>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</si>
  <si>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</si>
  <si>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</si>
  <si>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</si>
  <si>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</si>
  <si>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</si>
  <si>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</si>
  <si>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</si>
  <si>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</si>
  <si>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</si>
  <si>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</si>
  <si>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</si>
  <si>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</si>
  <si>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</si>
  <si>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</si>
  <si>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</si>
  <si>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</si>
  <si>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</si>
  <si>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</si>
  <si>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</si>
  <si>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</si>
  <si>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</si>
  <si>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</si>
  <si>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</si>
  <si>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</si>
  <si>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</si>
  <si>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</si>
  <si>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</si>
  <si>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</si>
  <si>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</si>
  <si>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</si>
  <si>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</si>
  <si>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</si>
  <si>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</si>
  <si>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</si>
  <si>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</si>
  <si>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</si>
  <si>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</si>
  <si>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</si>
  <si>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</si>
  <si>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</si>
  <si>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</si>
  <si>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</si>
  <si>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</si>
  <si>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</si>
  <si>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</si>
  <si>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</si>
  <si>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</si>
  <si>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</si>
  <si>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</si>
  <si>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</si>
  <si>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</si>
  <si>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</si>
  <si>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</si>
  <si>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</si>
  <si>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</si>
  <si>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</si>
  <si>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</si>
  <si>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</si>
  <si>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</si>
  <si>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</si>
  <si>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</si>
  <si>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</si>
  <si>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</si>
  <si>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</si>
  <si>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</si>
  <si>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</si>
  <si>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</si>
  <si>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</si>
  <si>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</si>
  <si>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</si>
  <si>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</si>
  <si>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</si>
  <si>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</si>
  <si>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</si>
  <si>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</si>
  <si>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</si>
  <si>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</si>
  <si>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</si>
  <si>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</si>
  <si>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</si>
  <si>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</si>
  <si>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</si>
  <si>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</si>
  <si>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</si>
  <si>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</si>
  <si>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</si>
  <si>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</si>
  <si>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</si>
  <si>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</si>
  <si>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</si>
  <si>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</si>
  <si>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</si>
  <si>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</si>
  <si>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</si>
  <si>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</si>
  <si>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</si>
  <si>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</si>
  <si>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</si>
  <si>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</si>
  <si>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</si>
  <si>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</si>
  <si>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</si>
  <si>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</si>
  <si>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</si>
  <si>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</si>
  <si>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</si>
  <si>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</si>
  <si>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</si>
  <si>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</si>
  <si>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</si>
  <si>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</si>
  <si>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</si>
  <si>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</si>
  <si>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</si>
  <si>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</si>
  <si>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</si>
  <si>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</si>
  <si>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</si>
  <si>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</si>
  <si>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</si>
  <si>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</si>
  <si>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</si>
  <si>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</si>
  <si>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</si>
  <si>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</si>
  <si>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</si>
  <si>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</si>
  <si>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</si>
  <si>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</si>
  <si>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</si>
  <si>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</si>
  <si>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</si>
  <si>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</si>
  <si>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</si>
  <si>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</si>
  <si>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</si>
  <si>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</si>
  <si>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</si>
  <si>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</si>
  <si>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</si>
  <si>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</si>
  <si>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</si>
  <si>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</si>
  <si>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</si>
  <si>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</si>
  <si>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</si>
  <si>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</si>
  <si>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</si>
  <si>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</si>
  <si>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</si>
  <si>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</si>
  <si>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</si>
  <si>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</si>
  <si>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</si>
  <si>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</si>
  <si>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</si>
  <si>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</si>
  <si>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</si>
  <si>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</si>
  <si>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</si>
  <si>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</si>
  <si>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</si>
  <si>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</si>
  <si>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</si>
  <si>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</si>
  <si>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</si>
  <si>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</si>
  <si>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</si>
  <si>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</si>
  <si>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</si>
  <si>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</si>
  <si>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</si>
  <si>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</si>
  <si>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</si>
  <si>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</si>
  <si>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</si>
  <si>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</si>
  <si>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</si>
  <si>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</si>
  <si>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</si>
  <si>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</si>
  <si>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</si>
  <si>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</si>
  <si>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</si>
  <si>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</si>
  <si>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</si>
  <si>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</si>
  <si>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</si>
  <si>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</si>
  <si>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</si>
  <si>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</si>
  <si>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</si>
  <si>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</si>
  <si>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</si>
  <si>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</si>
  <si>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</si>
  <si>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</si>
  <si>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</si>
  <si>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</si>
  <si>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</si>
  <si>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</si>
  <si>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</si>
  <si>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</si>
  <si>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</si>
  <si>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</si>
  <si>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</si>
  <si>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</si>
  <si>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</si>
  <si>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</si>
  <si>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</si>
  <si>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</si>
  <si>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</si>
  <si>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</si>
  <si>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</si>
  <si>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</si>
  <si>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</si>
  <si>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</si>
  <si>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</si>
  <si>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</si>
  <si>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</si>
  <si>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</si>
  <si>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</si>
  <si>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</si>
  <si>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</si>
  <si>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</si>
  <si>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</si>
  <si>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</si>
  <si>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</si>
  <si>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</si>
  <si>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</si>
  <si>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</si>
  <si>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</si>
  <si>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</si>
  <si>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</si>
  <si>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</si>
  <si>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</si>
  <si>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</si>
  <si>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</si>
  <si>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</si>
  <si>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</si>
  <si>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</si>
  <si>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</si>
  <si>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</si>
  <si>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</si>
  <si>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</si>
  <si>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</si>
  <si>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</si>
  <si>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</si>
  <si>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</si>
  <si>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</si>
  <si>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</si>
  <si>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</si>
  <si>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</si>
  <si>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</si>
  <si>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</si>
  <si>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</si>
  <si>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</si>
  <si>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</si>
  <si>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</si>
  <si>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</si>
  <si>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</si>
  <si>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</si>
  <si>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</si>
  <si>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</si>
  <si>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</si>
  <si>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</si>
  <si>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</si>
  <si>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</si>
  <si>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</si>
  <si>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</si>
  <si>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</si>
  <si>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</si>
  <si>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</si>
  <si>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</si>
  <si>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</si>
  <si>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</si>
  <si>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</si>
  <si>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</si>
  <si>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</si>
  <si>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</si>
  <si>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</si>
  <si>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</si>
  <si>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</si>
  <si>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</si>
  <si>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</si>
  <si>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</si>
  <si>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</si>
  <si>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</si>
  <si>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</si>
  <si>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</si>
  <si>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</si>
  <si>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</si>
  <si>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</si>
  <si>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</si>
  <si>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</si>
  <si>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</si>
  <si>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</si>
  <si>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</si>
  <si>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</si>
  <si>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</si>
  <si>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</si>
  <si>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</si>
  <si>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</si>
  <si>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</si>
  <si>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</si>
  <si>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</si>
  <si>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</si>
  <si>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</si>
  <si>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</si>
  <si>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</si>
  <si>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</si>
  <si>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</si>
  <si>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</si>
  <si>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</si>
  <si>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</si>
  <si>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</si>
  <si>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</si>
  <si>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</si>
  <si>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</si>
  <si>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</si>
  <si>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</si>
  <si>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</si>
  <si>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</si>
  <si>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</si>
  <si>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</si>
  <si>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</si>
  <si>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</si>
  <si>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</si>
  <si>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</si>
  <si>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</si>
  <si>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</si>
  <si>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</si>
  <si>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</si>
  <si>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</si>
  <si>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</si>
  <si>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</si>
  <si>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</si>
  <si>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</si>
  <si>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</si>
  <si>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</si>
  <si>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</si>
  <si>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</si>
  <si>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</si>
  <si>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</si>
  <si>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</si>
  <si>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</si>
  <si>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</si>
  <si>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</si>
  <si>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</si>
  <si>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</si>
  <si>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</si>
  <si>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</si>
  <si>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</si>
  <si>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</si>
  <si>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</si>
  <si>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</si>
  <si>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</si>
  <si>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</si>
  <si>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</si>
  <si>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</si>
  <si>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</si>
  <si>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</si>
  <si>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</si>
  <si>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</si>
  <si>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</si>
  <si>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</si>
  <si>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</si>
  <si>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</si>
  <si>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</si>
  <si>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</si>
  <si>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</si>
  <si>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</si>
  <si>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</si>
  <si>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</si>
  <si>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</si>
  <si>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</si>
  <si>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</si>
  <si>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</si>
  <si>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</si>
  <si>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</si>
  <si>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</si>
  <si>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</si>
  <si>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</si>
  <si>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</si>
  <si>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</si>
  <si>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</si>
  <si>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</si>
  <si>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</si>
  <si>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</si>
  <si>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</si>
  <si>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</si>
  <si>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</si>
  <si>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</si>
  <si>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</si>
  <si>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</si>
  <si>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</si>
  <si>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</si>
  <si>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</si>
  <si>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</si>
  <si>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</si>
  <si>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</si>
  <si>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</si>
  <si>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</si>
  <si>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</si>
  <si>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</si>
  <si>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</si>
  <si>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</si>
  <si>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</si>
  <si>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</si>
  <si>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</si>
  <si>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</si>
  <si>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</si>
  <si>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</si>
  <si>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</si>
  <si>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ATUALIZAÇAO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</si>
  <si>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</si>
  <si>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</si>
  <si>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</si>
  <si>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</si>
  <si>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</si>
  <si>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</si>
  <si>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</si>
  <si>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</si>
  <si>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</si>
  <si>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</si>
  <si>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</si>
  <si>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</si>
  <si>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</si>
  <si>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</si>
  <si>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</si>
  <si>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</si>
  <si>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</si>
  <si>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</si>
  <si>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</si>
  <si>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</si>
  <si>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</si>
  <si>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</si>
  <si>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</si>
  <si>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</si>
  <si>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</si>
  <si>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</si>
  <si>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</si>
  <si>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</si>
  <si>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</si>
  <si>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</si>
  <si>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</si>
  <si>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</si>
  <si>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</si>
  <si>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</si>
  <si>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</si>
  <si>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</si>
  <si>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</si>
  <si>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</si>
  <si>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JOÃO REBELOS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</si>
  <si>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</si>
  <si>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</si>
  <si>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</si>
  <si>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</si>
  <si>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</si>
  <si>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</si>
  <si>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</si>
  <si>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</si>
  <si>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</si>
  <si>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</si>
  <si>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B340</t>
  </si>
  <si>
    <t>PARA SERVIÇOS RAPIDOS</t>
  </si>
  <si>
    <t>DIAGNOSTICO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</si>
  <si>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</si>
  <si>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</si>
  <si>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</si>
  <si>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</si>
  <si>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</si>
  <si>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</si>
  <si>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</si>
  <si>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</si>
  <si>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</si>
  <si>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</si>
  <si>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</si>
  <si>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</si>
  <si>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</si>
  <si>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</si>
  <si>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</si>
  <si>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</si>
  <si>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</si>
  <si>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</si>
  <si>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</si>
  <si>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</si>
  <si>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</si>
  <si>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</si>
  <si>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</si>
  <si>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</si>
  <si>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</si>
  <si>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</si>
  <si>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</si>
  <si>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</si>
  <si>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</si>
  <si>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</si>
  <si>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</si>
  <si>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</si>
  <si>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</si>
  <si>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</si>
  <si>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</si>
  <si>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</si>
  <si>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</si>
  <si>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</si>
  <si>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</si>
  <si>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</si>
  <si>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</si>
  <si>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</si>
  <si>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</si>
  <si>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</si>
  <si>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</si>
  <si>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</si>
  <si>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</si>
  <si>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</si>
  <si>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</si>
  <si>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</si>
  <si>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</si>
  <si>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</si>
  <si>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</si>
  <si>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</si>
  <si>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</si>
  <si>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</si>
  <si>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</si>
  <si>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</si>
  <si>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</si>
  <si>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</si>
  <si>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</si>
  <si>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</si>
  <si>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</si>
  <si>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</si>
  <si>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</si>
  <si>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</si>
  <si>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</si>
  <si>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</si>
  <si>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</si>
  <si>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</si>
  <si>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</si>
  <si>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</si>
  <si>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</si>
  <si>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</si>
  <si>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</si>
  <si>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</si>
  <si>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</si>
  <si>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</si>
  <si>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</si>
  <si>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</si>
  <si>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</si>
  <si>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</si>
  <si>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</si>
  <si>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</si>
  <si>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</si>
  <si>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</si>
  <si>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</si>
  <si>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</si>
  <si>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</si>
  <si>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</si>
  <si>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</si>
  <si>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</si>
  <si>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</si>
  <si>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</si>
  <si>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</si>
  <si>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</si>
  <si>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</si>
  <si>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</si>
  <si>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</si>
  <si>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</si>
  <si>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</si>
  <si>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</si>
  <si>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</si>
  <si>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</si>
  <si>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</si>
  <si>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</si>
  <si>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</si>
  <si>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</si>
  <si>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</si>
  <si>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</si>
  <si>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</si>
  <si>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</si>
  <si>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</si>
  <si>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</si>
  <si>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</si>
  <si>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</si>
  <si>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</si>
  <si>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</si>
  <si>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</si>
  <si>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BOSH CAR SERVICE</t>
  </si>
  <si>
    <t>FANZERES</t>
  </si>
  <si>
    <t>FTT1039</t>
  </si>
  <si>
    <t>MOITA</t>
  </si>
  <si>
    <t>FT2376</t>
  </si>
  <si>
    <t>FTT1054</t>
  </si>
  <si>
    <t>RESIDUOS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</si>
</sst>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3" x14ac:knownFonts="1">
    <font>
      <sz val="11"/>
      <color theme="1"/>
      <name val="Calibri"/>
    </font>
    <font>
      <b/>
      <sz val="8"/>
      <color theme="1"/>
      <name val="Arial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10" fontId="1" fillId="0" borderId="1" xfId="0" applyNumberFormat="1" applyFont="1" applyBorder="1" applyAlignment="1">
      <alignment horizontal="center" vertical="top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/>
    <xf numFmtId="1" fontId="1" fillId="0" borderId="1" xfId="0" applyNumberFormat="1" applyFont="1" applyBorder="1" applyAlignment="1">
      <alignment horizontal="center" vertical="top"/>
    </xf>
    <xf numFmtId="166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4303"/>
  <sheetViews>
    <sheetView tabSelected="1" topLeftCell="D1" workbookViewId="0">
      <pane ySplit="1" topLeftCell="A391" activePane="bottomLeft" state="frozen"/>
      <selection pane="bottomLeft" activeCell="L426" sqref="L426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65.140625" style="2" customWidth="1"/>
    <col min="4" max="4" width="23.5703125" style="2" customWidth="1"/>
    <col min="5" max="5" width="19.7109375" style="2" customWidth="1"/>
    <col min="6" max="6" width="12" style="2" customWidth="1"/>
    <col min="7" max="7" width="15.140625" style="2" customWidth="1"/>
    <col min="8" max="8" width="21" style="2" customWidth="1"/>
    <col min="9" max="9" width="31.7109375" style="2" customWidth="1"/>
    <col min="10" max="10" width="10.28515625" style="2" customWidth="1"/>
    <col min="11" max="11" width="15.7109375" style="2" customWidth="1"/>
    <col min="12" max="12" width="15.140625" style="2" customWidth="1"/>
    <col min="13" max="13" width="3.140625" style="2" customWidth="1"/>
    <col min="14" max="14" width="17" style="2" customWidth="1"/>
    <col min="15" max="15" width="15.5703125" style="2" bestFit="1" customWidth="1"/>
    <col min="16" max="16" width="20.28515625" style="6" customWidth="1"/>
    <col min="17" max="17" width="52.5703125" style="2" customWidth="1"/>
    <col min="18" max="18" width="10.7109375" style="8" customWidth="1"/>
    <col min="19" max="19" width="13.140625" style="2" customWidth="1"/>
    <col min="20" max="20" width="9.28515625" style="2" customWidth="1"/>
    <col min="21" max="21" width="12.140625" style="2" customWidth="1"/>
    <col min="22" max="22" width="8.7109375" style="2" customWidth="1"/>
    <col min="23" max="23" width="20" style="5" customWidth="1"/>
    <col min="24" max="24" width="7.7109375" style="2" customWidth="1"/>
    <col min="25" max="25" width="14.85546875" style="2" customWidth="1"/>
    <col min="26" max="26" width="24.140625" style="2" customWidth="1"/>
    <col min="27" max="27" width="20.140625" style="2" customWidth="1"/>
    <col min="28" max="28" width="16" style="2" bestFit="1" customWidth="1"/>
    <col min="29" max="29" width="10.85546875" style="2" customWidth="1"/>
    <col min="30" max="30" width="17" style="2" customWidth="1"/>
    <col min="31" max="31" width="18.140625" style="2" customWidth="1"/>
    <col min="32" max="32" width="8.85546875" style="2" customWidth="1"/>
    <col min="33" max="33" width="9.28515625" style="2" customWidth="1"/>
    <col min="34" max="34" width="17.42578125" style="5" customWidth="1"/>
    <col min="35" max="35" width="15.85546875" style="2" customWidth="1"/>
    <col min="36" max="36" width="8.5703125" style="2" customWidth="1"/>
    <col min="37" max="37" width="15.85546875" style="5" customWidth="1"/>
    <col min="38" max="16384" width="9.140625" style="2"/>
  </cols>
  <sheetData>
    <row r="1" spans="1:3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1" t="s">
        <v>16</v>
      </c>
      <c r="R1" s="1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4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4" t="s">
        <v>33</v>
      </c>
      <c r="AI1" s="1" t="s">
        <v>34</v>
      </c>
      <c r="AJ1" s="1" t="s">
        <v>35</v>
      </c>
      <c r="AK1" s="4" t="s">
        <v>36</v>
      </c>
    </row>
    <row r="2" spans="1:37" x14ac:dyDescent="0.2">
      <c r="A2" s="2">
        <v>2025</v>
      </c>
      <c r="B2" s="2">
        <v>1</v>
      </c>
      <c r="C2" s="2" t="s">
        <v>37</v>
      </c>
      <c r="D2" s="2" t="s">
        <v>38</v>
      </c>
      <c r="E2" s="2" t="s">
        <v>39</v>
      </c>
      <c r="G2" s="2" t="s">
        <v>40</v>
      </c>
      <c r="L2" s="2" t="s">
        <v>41</v>
      </c>
      <c r="N2" s="2" t="s">
        <v>42</v>
      </c>
      <c r="O2" s="2" t="s">
        <v>43</v>
      </c>
      <c r="P2" s="2" t="s">
        <v>44</v>
      </c>
      <c r="Q2" s="2" t="s">
        <v>45</v>
      </c>
      <c r="R2" s="2">
        <v>1</v>
      </c>
      <c r="S2" s="2">
        <v>25.2</v>
      </c>
      <c r="T2" s="2">
        <v>5.7960000000000003</v>
      </c>
      <c r="U2" s="2">
        <v>30.995999999999999</v>
      </c>
      <c r="V2" s="2">
        <v>14.535</v>
      </c>
      <c r="W2" s="5">
        <f t="shared" ref="W2:W25" si="0">(S2-V2)/S2</f>
        <v>0.42321428571428571</v>
      </c>
      <c r="Y2" s="2" t="s">
        <v>3256</v>
      </c>
      <c r="Z2" s="2" t="s">
        <v>46</v>
      </c>
      <c r="AA2" s="2" t="s">
        <v>47</v>
      </c>
      <c r="AB2" s="2" t="s">
        <v>48</v>
      </c>
      <c r="AE2" s="2">
        <f t="shared" ref="AE2:AE65" si="1">AI2</f>
        <v>0</v>
      </c>
      <c r="AF2" s="2">
        <v>14.535</v>
      </c>
      <c r="AG2" s="2">
        <v>25.2</v>
      </c>
      <c r="AH2" s="5">
        <v>0</v>
      </c>
      <c r="AI2" s="2">
        <f t="shared" ref="AI2:AI65" si="2">AH2*S2</f>
        <v>0</v>
      </c>
      <c r="AJ2" s="2">
        <f t="shared" ref="AJ2:AJ65" si="3">S2-V2</f>
        <v>10.664999999999999</v>
      </c>
      <c r="AK2" s="5">
        <f t="shared" ref="AK2:AK33" si="4">(S2-V2)/S2</f>
        <v>0.42321428571428571</v>
      </c>
    </row>
    <row r="3" spans="1:37" x14ac:dyDescent="0.2">
      <c r="A3" s="2">
        <v>2025</v>
      </c>
      <c r="B3" s="2">
        <v>1</v>
      </c>
      <c r="C3" s="2" t="s">
        <v>37</v>
      </c>
      <c r="D3" s="2" t="s">
        <v>38</v>
      </c>
      <c r="E3" s="2" t="s">
        <v>39</v>
      </c>
      <c r="G3" s="2" t="s">
        <v>40</v>
      </c>
      <c r="O3" s="2" t="s">
        <v>43</v>
      </c>
      <c r="P3" s="2" t="s">
        <v>49</v>
      </c>
      <c r="Q3" s="2" t="s">
        <v>50</v>
      </c>
      <c r="R3" s="2">
        <v>6</v>
      </c>
      <c r="S3" s="2">
        <v>67</v>
      </c>
      <c r="T3" s="2">
        <v>15.41</v>
      </c>
      <c r="U3" s="2">
        <v>82.41</v>
      </c>
      <c r="V3" s="2">
        <f>6.6267*R3</f>
        <v>39.760199999999998</v>
      </c>
      <c r="W3" s="5">
        <f t="shared" si="0"/>
        <v>0.40656417910447767</v>
      </c>
      <c r="Y3" s="2" t="s">
        <v>3256</v>
      </c>
      <c r="Z3" s="2" t="s">
        <v>46</v>
      </c>
      <c r="AA3" s="2" t="s">
        <v>47</v>
      </c>
      <c r="AB3" s="2" t="s">
        <v>48</v>
      </c>
      <c r="AE3" s="2">
        <f t="shared" si="1"/>
        <v>0</v>
      </c>
      <c r="AF3" s="2">
        <v>6.6266999999999996</v>
      </c>
      <c r="AG3" s="2">
        <v>12</v>
      </c>
      <c r="AI3" s="2">
        <f t="shared" si="2"/>
        <v>0</v>
      </c>
      <c r="AJ3" s="2">
        <f t="shared" si="3"/>
        <v>27.239800000000002</v>
      </c>
      <c r="AK3" s="5">
        <f t="shared" si="4"/>
        <v>0.40656417910447767</v>
      </c>
    </row>
    <row r="4" spans="1:37" x14ac:dyDescent="0.2">
      <c r="A4" s="2">
        <v>2025</v>
      </c>
      <c r="B4" s="2">
        <v>1</v>
      </c>
      <c r="C4" s="2" t="s">
        <v>37</v>
      </c>
      <c r="D4" s="2" t="s">
        <v>38</v>
      </c>
      <c r="E4" s="2" t="s">
        <v>39</v>
      </c>
      <c r="G4" s="2" t="s">
        <v>40</v>
      </c>
      <c r="O4" s="2" t="s">
        <v>43</v>
      </c>
      <c r="P4" s="2" t="s">
        <v>51</v>
      </c>
      <c r="Q4" s="2" t="s">
        <v>52</v>
      </c>
      <c r="R4" s="2">
        <v>1</v>
      </c>
      <c r="S4" s="2">
        <v>15.96</v>
      </c>
      <c r="T4" s="2">
        <v>3.6707999999999998</v>
      </c>
      <c r="U4" s="2">
        <v>19.630800000000001</v>
      </c>
      <c r="V4" s="2">
        <f>10.2346*R4</f>
        <v>10.2346</v>
      </c>
      <c r="W4" s="5">
        <f t="shared" si="0"/>
        <v>0.35873433583959902</v>
      </c>
      <c r="Y4" s="2" t="s">
        <v>3256</v>
      </c>
      <c r="Z4" s="2" t="s">
        <v>46</v>
      </c>
      <c r="AA4" s="2" t="s">
        <v>47</v>
      </c>
      <c r="AB4" s="2" t="s">
        <v>48</v>
      </c>
      <c r="AE4" s="2">
        <f t="shared" si="1"/>
        <v>0</v>
      </c>
      <c r="AF4" s="2">
        <v>10.2346</v>
      </c>
      <c r="AG4" s="2">
        <v>18</v>
      </c>
      <c r="AI4" s="2">
        <f t="shared" si="2"/>
        <v>0</v>
      </c>
      <c r="AJ4" s="2">
        <f t="shared" si="3"/>
        <v>5.7254000000000005</v>
      </c>
      <c r="AK4" s="5">
        <f t="shared" si="4"/>
        <v>0.35873433583959902</v>
      </c>
    </row>
    <row r="5" spans="1:37" x14ac:dyDescent="0.2">
      <c r="A5" s="2">
        <v>2025</v>
      </c>
      <c r="B5" s="2">
        <v>1</v>
      </c>
      <c r="C5" s="2" t="s">
        <v>37</v>
      </c>
      <c r="D5" s="2" t="s">
        <v>38</v>
      </c>
      <c r="E5" s="2" t="s">
        <v>39</v>
      </c>
      <c r="G5" s="2" t="s">
        <v>40</v>
      </c>
      <c r="O5" s="2" t="s">
        <v>43</v>
      </c>
      <c r="P5" s="2" t="s">
        <v>53</v>
      </c>
      <c r="Q5" s="2" t="s">
        <v>54</v>
      </c>
      <c r="R5" s="2">
        <v>1</v>
      </c>
      <c r="S5" s="2">
        <v>9.1199999999999992</v>
      </c>
      <c r="T5" s="2">
        <v>2.0975999999999999</v>
      </c>
      <c r="U5" s="2">
        <v>11.217599999999999</v>
      </c>
      <c r="V5" s="2">
        <f>5.2973*R5</f>
        <v>5.2972999999999999</v>
      </c>
      <c r="W5" s="5">
        <f t="shared" si="0"/>
        <v>0.41915570175438593</v>
      </c>
      <c r="Y5" s="2" t="s">
        <v>3256</v>
      </c>
      <c r="Z5" s="2" t="s">
        <v>46</v>
      </c>
      <c r="AA5" s="2" t="s">
        <v>47</v>
      </c>
      <c r="AB5" s="2" t="s">
        <v>48</v>
      </c>
      <c r="AE5" s="2">
        <f t="shared" si="1"/>
        <v>0</v>
      </c>
      <c r="AF5" s="2">
        <v>5.2972999999999999</v>
      </c>
      <c r="AG5" s="2">
        <v>10.8</v>
      </c>
      <c r="AI5" s="2">
        <f t="shared" si="2"/>
        <v>0</v>
      </c>
      <c r="AJ5" s="2">
        <f t="shared" si="3"/>
        <v>3.8226999999999993</v>
      </c>
      <c r="AK5" s="5">
        <f t="shared" si="4"/>
        <v>0.41915570175438593</v>
      </c>
    </row>
    <row r="6" spans="1:37" x14ac:dyDescent="0.2">
      <c r="A6" s="2">
        <v>2025</v>
      </c>
      <c r="B6" s="2">
        <v>1</v>
      </c>
      <c r="C6" s="2" t="s">
        <v>37</v>
      </c>
      <c r="D6" s="2" t="s">
        <v>38</v>
      </c>
      <c r="E6" s="2" t="s">
        <v>39</v>
      </c>
      <c r="G6" s="2" t="s">
        <v>40</v>
      </c>
      <c r="O6" s="2" t="s">
        <v>43</v>
      </c>
      <c r="P6" s="2" t="s">
        <v>55</v>
      </c>
      <c r="Q6" s="2" t="s">
        <v>56</v>
      </c>
      <c r="R6" s="2">
        <v>18</v>
      </c>
      <c r="S6" s="2">
        <v>296</v>
      </c>
      <c r="T6" s="2">
        <v>68.08</v>
      </c>
      <c r="U6" s="2">
        <v>364.08</v>
      </c>
      <c r="V6" s="2">
        <f>10.6*R6</f>
        <v>190.79999999999998</v>
      </c>
      <c r="W6" s="5">
        <f t="shared" si="0"/>
        <v>0.35540540540540544</v>
      </c>
      <c r="Y6" s="2" t="s">
        <v>3256</v>
      </c>
      <c r="Z6" s="2" t="s">
        <v>46</v>
      </c>
      <c r="AA6" s="2" t="s">
        <v>57</v>
      </c>
      <c r="AB6" s="2" t="s">
        <v>58</v>
      </c>
      <c r="AE6" s="2">
        <f t="shared" si="1"/>
        <v>0</v>
      </c>
      <c r="AF6" s="2">
        <v>10.6</v>
      </c>
      <c r="AG6" s="2">
        <v>18</v>
      </c>
      <c r="AI6" s="2">
        <f t="shared" si="2"/>
        <v>0</v>
      </c>
      <c r="AJ6" s="2">
        <f t="shared" si="3"/>
        <v>105.20000000000002</v>
      </c>
      <c r="AK6" s="5">
        <f t="shared" si="4"/>
        <v>0.35540540540540544</v>
      </c>
    </row>
    <row r="7" spans="1:37" x14ac:dyDescent="0.2">
      <c r="A7" s="2">
        <v>2025</v>
      </c>
      <c r="B7" s="2">
        <v>1</v>
      </c>
      <c r="C7" s="2" t="s">
        <v>37</v>
      </c>
      <c r="D7" s="2" t="s">
        <v>38</v>
      </c>
      <c r="E7" s="2" t="s">
        <v>39</v>
      </c>
      <c r="G7" s="2" t="s">
        <v>40</v>
      </c>
      <c r="O7" s="2" t="s">
        <v>43</v>
      </c>
      <c r="P7" s="2" t="s">
        <v>59</v>
      </c>
      <c r="Q7" s="2" t="s">
        <v>60</v>
      </c>
      <c r="R7" s="2">
        <v>100</v>
      </c>
      <c r="S7" s="2">
        <v>13</v>
      </c>
      <c r="T7" s="2">
        <v>2.99</v>
      </c>
      <c r="U7" s="2">
        <v>15.99</v>
      </c>
      <c r="V7" s="2">
        <f>0.0914*R7</f>
        <v>9.1399999999999988</v>
      </c>
      <c r="W7" s="5">
        <f t="shared" si="0"/>
        <v>0.29692307692307701</v>
      </c>
      <c r="Y7" s="2" t="s">
        <v>3256</v>
      </c>
      <c r="Z7" s="2" t="s">
        <v>46</v>
      </c>
      <c r="AA7" s="2" t="s">
        <v>61</v>
      </c>
      <c r="AB7" s="2" t="s">
        <v>58</v>
      </c>
      <c r="AE7" s="2">
        <f t="shared" si="1"/>
        <v>0</v>
      </c>
      <c r="AF7" s="2">
        <v>9.14</v>
      </c>
      <c r="AG7" s="2">
        <v>16</v>
      </c>
      <c r="AI7" s="2">
        <f t="shared" si="2"/>
        <v>0</v>
      </c>
      <c r="AJ7" s="2">
        <f t="shared" si="3"/>
        <v>3.8600000000000012</v>
      </c>
      <c r="AK7" s="5">
        <f t="shared" si="4"/>
        <v>0.29692307692307701</v>
      </c>
    </row>
    <row r="8" spans="1:37" x14ac:dyDescent="0.2">
      <c r="A8" s="2">
        <v>2025</v>
      </c>
      <c r="B8" s="2">
        <v>1</v>
      </c>
      <c r="C8" s="2" t="s">
        <v>37</v>
      </c>
      <c r="D8" s="2" t="s">
        <v>38</v>
      </c>
      <c r="E8" s="2" t="s">
        <v>39</v>
      </c>
      <c r="G8" s="2" t="s">
        <v>40</v>
      </c>
      <c r="O8" s="2" t="s">
        <v>43</v>
      </c>
      <c r="P8" s="2" t="s">
        <v>62</v>
      </c>
      <c r="Q8" s="2" t="s">
        <v>63</v>
      </c>
      <c r="R8" s="2">
        <v>3300</v>
      </c>
      <c r="S8" s="2">
        <v>369</v>
      </c>
      <c r="T8" s="2">
        <v>84.87</v>
      </c>
      <c r="U8" s="2">
        <v>453.87</v>
      </c>
      <c r="V8" s="2">
        <f>0.082*R8</f>
        <v>270.60000000000002</v>
      </c>
      <c r="W8" s="5">
        <f t="shared" si="0"/>
        <v>0.26666666666666661</v>
      </c>
      <c r="Y8" s="2" t="s">
        <v>3256</v>
      </c>
      <c r="Z8" s="2" t="s">
        <v>46</v>
      </c>
      <c r="AA8" s="2" t="s">
        <v>61</v>
      </c>
      <c r="AB8" s="2" t="s">
        <v>58</v>
      </c>
      <c r="AE8" s="2">
        <f t="shared" si="1"/>
        <v>0</v>
      </c>
      <c r="AF8" s="2">
        <v>8.1999999999999993</v>
      </c>
      <c r="AG8" s="2">
        <v>13</v>
      </c>
      <c r="AI8" s="2">
        <f t="shared" si="2"/>
        <v>0</v>
      </c>
      <c r="AJ8" s="2">
        <f t="shared" si="3"/>
        <v>98.399999999999977</v>
      </c>
      <c r="AK8" s="5">
        <f t="shared" si="4"/>
        <v>0.26666666666666661</v>
      </c>
    </row>
    <row r="9" spans="1:37" x14ac:dyDescent="0.2">
      <c r="A9" s="2">
        <v>2025</v>
      </c>
      <c r="B9" s="2">
        <v>1</v>
      </c>
      <c r="C9" s="2" t="s">
        <v>37</v>
      </c>
      <c r="D9" s="2" t="s">
        <v>38</v>
      </c>
      <c r="E9" s="2" t="s">
        <v>39</v>
      </c>
      <c r="G9" s="2" t="s">
        <v>40</v>
      </c>
      <c r="O9" s="2" t="s">
        <v>43</v>
      </c>
      <c r="P9" s="2" t="s">
        <v>64</v>
      </c>
      <c r="Q9" s="2" t="s">
        <v>65</v>
      </c>
      <c r="R9" s="2">
        <v>20</v>
      </c>
      <c r="S9" s="2">
        <v>36</v>
      </c>
      <c r="T9" s="2">
        <v>8.2800000000000011</v>
      </c>
      <c r="U9" s="2">
        <v>44.28</v>
      </c>
      <c r="V9" s="2">
        <f>0.8561*R9</f>
        <v>17.122</v>
      </c>
      <c r="W9" s="5">
        <f t="shared" si="0"/>
        <v>0.5243888888888889</v>
      </c>
      <c r="Y9" s="2" t="s">
        <v>3256</v>
      </c>
      <c r="Z9" s="2" t="s">
        <v>46</v>
      </c>
      <c r="AA9" s="2" t="s">
        <v>61</v>
      </c>
      <c r="AB9" s="2" t="s">
        <v>58</v>
      </c>
      <c r="AE9" s="2">
        <f t="shared" si="1"/>
        <v>0</v>
      </c>
      <c r="AF9" s="2">
        <v>0.85609999999999997</v>
      </c>
      <c r="AG9" s="2">
        <v>1.8</v>
      </c>
      <c r="AI9" s="2">
        <f t="shared" si="2"/>
        <v>0</v>
      </c>
      <c r="AJ9" s="2">
        <f t="shared" si="3"/>
        <v>18.878</v>
      </c>
      <c r="AK9" s="5">
        <f t="shared" si="4"/>
        <v>0.5243888888888889</v>
      </c>
    </row>
    <row r="10" spans="1:37" x14ac:dyDescent="0.2">
      <c r="A10" s="2">
        <v>2025</v>
      </c>
      <c r="B10" s="2">
        <v>1</v>
      </c>
      <c r="C10" s="2" t="s">
        <v>37</v>
      </c>
      <c r="D10" s="2" t="s">
        <v>38</v>
      </c>
      <c r="E10" s="2" t="s">
        <v>39</v>
      </c>
      <c r="G10" s="2" t="s">
        <v>40</v>
      </c>
      <c r="O10" s="2" t="s">
        <v>43</v>
      </c>
      <c r="P10" s="2" t="s">
        <v>66</v>
      </c>
      <c r="Q10" s="2" t="s">
        <v>67</v>
      </c>
      <c r="R10" s="2">
        <v>1</v>
      </c>
      <c r="S10" s="2">
        <v>23</v>
      </c>
      <c r="T10" s="2">
        <v>5.29</v>
      </c>
      <c r="U10" s="2">
        <v>28.29</v>
      </c>
      <c r="V10" s="2">
        <f>15.0203*R10</f>
        <v>15.020300000000001</v>
      </c>
      <c r="W10" s="5">
        <f t="shared" si="0"/>
        <v>0.34694347826086952</v>
      </c>
      <c r="Y10" s="2" t="s">
        <v>3256</v>
      </c>
      <c r="Z10" s="2" t="s">
        <v>46</v>
      </c>
      <c r="AA10" s="2" t="s">
        <v>68</v>
      </c>
      <c r="AB10" s="2" t="s">
        <v>58</v>
      </c>
      <c r="AE10" s="2">
        <f t="shared" si="1"/>
        <v>0</v>
      </c>
      <c r="AF10" s="2">
        <v>15.020300000000001</v>
      </c>
      <c r="AG10" s="2">
        <v>27.6</v>
      </c>
      <c r="AI10" s="2">
        <f t="shared" si="2"/>
        <v>0</v>
      </c>
      <c r="AJ10" s="2">
        <f t="shared" si="3"/>
        <v>7.9796999999999993</v>
      </c>
      <c r="AK10" s="5">
        <f t="shared" si="4"/>
        <v>0.34694347826086952</v>
      </c>
    </row>
    <row r="11" spans="1:37" x14ac:dyDescent="0.2">
      <c r="A11" s="2">
        <v>2025</v>
      </c>
      <c r="B11" s="2">
        <v>1</v>
      </c>
      <c r="C11" s="2" t="s">
        <v>37</v>
      </c>
      <c r="D11" s="2" t="s">
        <v>38</v>
      </c>
      <c r="E11" s="2" t="s">
        <v>39</v>
      </c>
      <c r="G11" s="2" t="s">
        <v>40</v>
      </c>
      <c r="O11" s="2" t="s">
        <v>69</v>
      </c>
      <c r="P11" s="2" t="s">
        <v>70</v>
      </c>
      <c r="Q11" s="2" t="s">
        <v>71</v>
      </c>
      <c r="R11" s="2">
        <v>2</v>
      </c>
      <c r="S11" s="2">
        <v>13.68</v>
      </c>
      <c r="T11" s="2">
        <v>3.1463999999999999</v>
      </c>
      <c r="U11" s="2">
        <v>16.8264</v>
      </c>
      <c r="V11" s="2">
        <f>5.472*R11</f>
        <v>10.944000000000001</v>
      </c>
      <c r="W11" s="5">
        <f t="shared" si="0"/>
        <v>0.19999999999999993</v>
      </c>
      <c r="Y11" s="2" t="s">
        <v>3256</v>
      </c>
      <c r="Z11" s="2" t="s">
        <v>72</v>
      </c>
      <c r="AA11" s="2" t="s">
        <v>69</v>
      </c>
      <c r="AB11" s="2" t="s">
        <v>3261</v>
      </c>
      <c r="AE11" s="2">
        <f t="shared" si="1"/>
        <v>0</v>
      </c>
      <c r="AF11" s="2">
        <v>5.4720000000000004</v>
      </c>
      <c r="AI11" s="2">
        <f t="shared" si="2"/>
        <v>0</v>
      </c>
      <c r="AJ11" s="2">
        <f t="shared" si="3"/>
        <v>2.7359999999999989</v>
      </c>
      <c r="AK11" s="5">
        <f t="shared" si="4"/>
        <v>0.19999999999999993</v>
      </c>
    </row>
    <row r="12" spans="1:37" x14ac:dyDescent="0.2">
      <c r="A12" s="2">
        <v>2025</v>
      </c>
      <c r="B12" s="2">
        <v>1</v>
      </c>
      <c r="C12" s="2" t="s">
        <v>37</v>
      </c>
      <c r="D12" s="2" t="s">
        <v>38</v>
      </c>
      <c r="E12" s="2" t="s">
        <v>39</v>
      </c>
      <c r="G12" s="2" t="s">
        <v>40</v>
      </c>
      <c r="O12" s="2" t="s">
        <v>73</v>
      </c>
      <c r="P12" s="2" t="s">
        <v>74</v>
      </c>
      <c r="Q12" s="2" t="s">
        <v>75</v>
      </c>
      <c r="R12" s="2">
        <v>2</v>
      </c>
      <c r="S12" s="2">
        <v>419.7</v>
      </c>
      <c r="T12" s="2">
        <v>96.531000000000006</v>
      </c>
      <c r="U12" s="2">
        <v>516.23099999999999</v>
      </c>
      <c r="V12" s="2">
        <v>234.90600000000001</v>
      </c>
      <c r="W12" s="5">
        <f t="shared" si="0"/>
        <v>0.4403002144388849</v>
      </c>
      <c r="Y12" s="2" t="s">
        <v>3256</v>
      </c>
      <c r="Z12" s="2" t="s">
        <v>76</v>
      </c>
      <c r="AA12" s="2" t="s">
        <v>77</v>
      </c>
      <c r="AB12" s="2" t="s">
        <v>78</v>
      </c>
      <c r="AE12" s="2">
        <f t="shared" si="1"/>
        <v>0</v>
      </c>
      <c r="AF12" s="2">
        <v>117.453</v>
      </c>
      <c r="AG12" s="2">
        <v>220</v>
      </c>
      <c r="AI12" s="2">
        <f t="shared" si="2"/>
        <v>0</v>
      </c>
      <c r="AJ12" s="2">
        <f t="shared" si="3"/>
        <v>184.79399999999998</v>
      </c>
      <c r="AK12" s="5">
        <f t="shared" si="4"/>
        <v>0.4403002144388849</v>
      </c>
    </row>
    <row r="13" spans="1:37" x14ac:dyDescent="0.2">
      <c r="A13" s="2">
        <v>2025</v>
      </c>
      <c r="B13" s="2">
        <v>1</v>
      </c>
      <c r="C13" s="2" t="s">
        <v>37</v>
      </c>
      <c r="D13" s="2" t="s">
        <v>38</v>
      </c>
      <c r="E13" s="2" t="s">
        <v>39</v>
      </c>
      <c r="G13" s="2" t="s">
        <v>40</v>
      </c>
      <c r="L13" s="2" t="s">
        <v>81</v>
      </c>
      <c r="N13" s="2" t="s">
        <v>3227</v>
      </c>
      <c r="O13" s="2" t="s">
        <v>73</v>
      </c>
      <c r="P13" s="2" t="s">
        <v>79</v>
      </c>
      <c r="Q13" s="2" t="s">
        <v>80</v>
      </c>
      <c r="R13" s="2">
        <v>1</v>
      </c>
      <c r="S13" s="2">
        <v>202</v>
      </c>
      <c r="T13" s="2">
        <v>46.46</v>
      </c>
      <c r="U13" s="2">
        <v>248.46</v>
      </c>
      <c r="V13" s="2">
        <v>111.98</v>
      </c>
      <c r="W13" s="5">
        <f t="shared" si="0"/>
        <v>0.44564356435643565</v>
      </c>
      <c r="Y13" s="2" t="s">
        <v>3256</v>
      </c>
      <c r="Z13" s="2" t="s">
        <v>76</v>
      </c>
      <c r="AA13" s="2" t="s">
        <v>77</v>
      </c>
      <c r="AB13" s="2" t="s">
        <v>78</v>
      </c>
      <c r="AE13" s="2">
        <f t="shared" si="1"/>
        <v>0</v>
      </c>
      <c r="AF13" s="2">
        <v>111.98</v>
      </c>
      <c r="AG13" s="2">
        <v>210</v>
      </c>
      <c r="AI13" s="2">
        <f t="shared" si="2"/>
        <v>0</v>
      </c>
      <c r="AJ13" s="2">
        <f t="shared" si="3"/>
        <v>90.02</v>
      </c>
      <c r="AK13" s="5">
        <f t="shared" si="4"/>
        <v>0.44564356435643565</v>
      </c>
    </row>
    <row r="14" spans="1:37" x14ac:dyDescent="0.2">
      <c r="A14" s="2">
        <v>2025</v>
      </c>
      <c r="B14" s="2">
        <v>1</v>
      </c>
      <c r="C14" s="2" t="s">
        <v>37</v>
      </c>
      <c r="D14" s="2" t="s">
        <v>38</v>
      </c>
      <c r="E14" s="2" t="s">
        <v>39</v>
      </c>
      <c r="G14" s="2" t="s">
        <v>40</v>
      </c>
      <c r="L14" s="2" t="s">
        <v>81</v>
      </c>
      <c r="N14" s="2" t="s">
        <v>82</v>
      </c>
      <c r="O14" s="2" t="s">
        <v>73</v>
      </c>
      <c r="P14" s="2" t="s">
        <v>83</v>
      </c>
      <c r="Q14" s="2" t="s">
        <v>84</v>
      </c>
      <c r="R14" s="2">
        <v>1</v>
      </c>
      <c r="S14" s="2">
        <v>226.55</v>
      </c>
      <c r="T14" s="2">
        <v>52.106499999999997</v>
      </c>
      <c r="U14" s="2">
        <v>278.65649999999999</v>
      </c>
      <c r="V14" s="2">
        <v>208.69</v>
      </c>
      <c r="W14" s="5">
        <f t="shared" si="0"/>
        <v>7.8834694327962973E-2</v>
      </c>
      <c r="Y14" s="2" t="s">
        <v>3256</v>
      </c>
      <c r="Z14" s="2" t="s">
        <v>76</v>
      </c>
      <c r="AA14" s="2" t="s">
        <v>77</v>
      </c>
      <c r="AB14" s="2" t="s">
        <v>78</v>
      </c>
      <c r="AE14" s="2">
        <f t="shared" si="1"/>
        <v>0</v>
      </c>
      <c r="AF14" s="2">
        <f>198.32+10.37</f>
        <v>208.69</v>
      </c>
      <c r="AG14" s="2">
        <v>340</v>
      </c>
      <c r="AI14" s="2">
        <f t="shared" si="2"/>
        <v>0</v>
      </c>
      <c r="AJ14" s="2">
        <f t="shared" si="3"/>
        <v>17.860000000000014</v>
      </c>
      <c r="AK14" s="5">
        <f t="shared" si="4"/>
        <v>7.8834694327962973E-2</v>
      </c>
    </row>
    <row r="15" spans="1:37" x14ac:dyDescent="0.2">
      <c r="A15" s="2">
        <v>2025</v>
      </c>
      <c r="B15" s="2">
        <v>1</v>
      </c>
      <c r="C15" s="2" t="s">
        <v>37</v>
      </c>
      <c r="D15" s="2" t="s">
        <v>38</v>
      </c>
      <c r="E15" s="2" t="s">
        <v>39</v>
      </c>
      <c r="G15" s="2" t="s">
        <v>40</v>
      </c>
      <c r="L15" s="2" t="s">
        <v>41</v>
      </c>
      <c r="N15" s="2" t="s">
        <v>3170</v>
      </c>
      <c r="O15" s="2" t="s">
        <v>85</v>
      </c>
      <c r="P15" s="2" t="s">
        <v>86</v>
      </c>
      <c r="Q15" s="2" t="s">
        <v>87</v>
      </c>
      <c r="R15" s="2">
        <v>25</v>
      </c>
      <c r="S15" s="2">
        <v>18</v>
      </c>
      <c r="T15" s="2">
        <v>4.1400000000000006</v>
      </c>
      <c r="U15" s="2">
        <v>22.14</v>
      </c>
      <c r="V15" s="2">
        <f>0.3995*R15</f>
        <v>9.9875000000000007</v>
      </c>
      <c r="W15" s="5">
        <f t="shared" si="0"/>
        <v>0.44513888888888886</v>
      </c>
      <c r="Y15" s="2" t="s">
        <v>3256</v>
      </c>
      <c r="Z15" s="2" t="s">
        <v>88</v>
      </c>
      <c r="AA15" s="2" t="s">
        <v>61</v>
      </c>
      <c r="AB15" s="2" t="s">
        <v>85</v>
      </c>
      <c r="AE15" s="2">
        <f t="shared" si="1"/>
        <v>0</v>
      </c>
      <c r="AF15" s="2">
        <f>0.3995</f>
        <v>0.39950000000000002</v>
      </c>
      <c r="AG15" s="2">
        <v>0.72</v>
      </c>
      <c r="AI15" s="2">
        <f t="shared" si="2"/>
        <v>0</v>
      </c>
      <c r="AJ15" s="2">
        <f t="shared" si="3"/>
        <v>8.0124999999999993</v>
      </c>
      <c r="AK15" s="5">
        <f t="shared" si="4"/>
        <v>0.44513888888888886</v>
      </c>
    </row>
    <row r="16" spans="1:37" x14ac:dyDescent="0.2">
      <c r="A16" s="2">
        <v>2025</v>
      </c>
      <c r="B16" s="2">
        <v>1</v>
      </c>
      <c r="C16" s="2" t="s">
        <v>37</v>
      </c>
      <c r="D16" s="2" t="s">
        <v>38</v>
      </c>
      <c r="E16" s="2" t="s">
        <v>39</v>
      </c>
      <c r="G16" s="2" t="s">
        <v>40</v>
      </c>
      <c r="O16" s="2" t="s">
        <v>85</v>
      </c>
      <c r="P16" s="2" t="s">
        <v>89</v>
      </c>
      <c r="Q16" s="2" t="s">
        <v>90</v>
      </c>
      <c r="R16" s="2">
        <v>1</v>
      </c>
      <c r="S16" s="2">
        <v>7.41</v>
      </c>
      <c r="T16" s="2">
        <v>1.7042999999999999</v>
      </c>
      <c r="U16" s="2">
        <v>9.1143000000000001</v>
      </c>
      <c r="V16" s="2">
        <v>3.5966999999999998</v>
      </c>
      <c r="W16" s="5">
        <f t="shared" si="0"/>
        <v>0.5146153846153847</v>
      </c>
      <c r="Y16" s="2" t="s">
        <v>3256</v>
      </c>
      <c r="Z16" s="2" t="s">
        <v>88</v>
      </c>
      <c r="AA16" s="2" t="s">
        <v>91</v>
      </c>
      <c r="AB16" s="2" t="s">
        <v>85</v>
      </c>
      <c r="AE16" s="2">
        <f t="shared" si="1"/>
        <v>0</v>
      </c>
      <c r="AF16" s="2">
        <v>3.5966999999999998</v>
      </c>
      <c r="AG16" s="2">
        <v>7.2</v>
      </c>
      <c r="AI16" s="2">
        <f t="shared" si="2"/>
        <v>0</v>
      </c>
      <c r="AJ16" s="2">
        <f t="shared" si="3"/>
        <v>3.8133000000000004</v>
      </c>
      <c r="AK16" s="5">
        <f t="shared" si="4"/>
        <v>0.5146153846153847</v>
      </c>
    </row>
    <row r="17" spans="1:37" x14ac:dyDescent="0.2">
      <c r="A17" s="2">
        <v>2025</v>
      </c>
      <c r="B17" s="2">
        <v>1</v>
      </c>
      <c r="C17" s="2" t="s">
        <v>37</v>
      </c>
      <c r="D17" s="2" t="s">
        <v>38</v>
      </c>
      <c r="E17" s="2" t="s">
        <v>39</v>
      </c>
      <c r="G17" s="2" t="s">
        <v>40</v>
      </c>
      <c r="O17" s="2" t="s">
        <v>85</v>
      </c>
      <c r="P17" s="2" t="s">
        <v>92</v>
      </c>
      <c r="Q17" s="2" t="s">
        <v>93</v>
      </c>
      <c r="R17" s="2">
        <v>4</v>
      </c>
      <c r="S17" s="2">
        <v>16.8</v>
      </c>
      <c r="T17" s="2">
        <v>3.8639999999999999</v>
      </c>
      <c r="U17" s="2">
        <v>20.664000000000001</v>
      </c>
      <c r="V17" s="2">
        <f>2.475*R17</f>
        <v>9.9</v>
      </c>
      <c r="W17" s="5">
        <f t="shared" si="0"/>
        <v>0.4107142857142857</v>
      </c>
      <c r="Y17" s="2" t="s">
        <v>3256</v>
      </c>
      <c r="Z17" s="2" t="s">
        <v>88</v>
      </c>
      <c r="AA17" s="2" t="s">
        <v>91</v>
      </c>
      <c r="AB17" s="2" t="s">
        <v>85</v>
      </c>
      <c r="AE17" s="2">
        <f t="shared" si="1"/>
        <v>0</v>
      </c>
      <c r="AF17" s="2">
        <v>2.4750000000000001</v>
      </c>
      <c r="AG17" s="2">
        <v>3.6</v>
      </c>
      <c r="AI17" s="2">
        <f t="shared" si="2"/>
        <v>0</v>
      </c>
      <c r="AJ17" s="2">
        <f t="shared" si="3"/>
        <v>6.9</v>
      </c>
      <c r="AK17" s="5">
        <f t="shared" si="4"/>
        <v>0.4107142857142857</v>
      </c>
    </row>
    <row r="18" spans="1:37" x14ac:dyDescent="0.2">
      <c r="A18" s="2">
        <v>2025</v>
      </c>
      <c r="B18" s="2">
        <v>1</v>
      </c>
      <c r="C18" s="2" t="s">
        <v>37</v>
      </c>
      <c r="D18" s="2" t="s">
        <v>38</v>
      </c>
      <c r="E18" s="2" t="s">
        <v>39</v>
      </c>
      <c r="G18" s="2" t="s">
        <v>40</v>
      </c>
      <c r="O18" s="2" t="s">
        <v>94</v>
      </c>
      <c r="P18" s="2" t="s">
        <v>95</v>
      </c>
      <c r="Q18" s="2" t="s">
        <v>96</v>
      </c>
      <c r="R18" s="2">
        <v>4</v>
      </c>
      <c r="S18" s="2">
        <v>4.5599999999999996</v>
      </c>
      <c r="T18" s="2">
        <v>1.0488</v>
      </c>
      <c r="U18" s="2">
        <v>5.6087999999999996</v>
      </c>
      <c r="V18" s="2">
        <v>4.5599999999999996</v>
      </c>
      <c r="W18" s="5">
        <f t="shared" si="0"/>
        <v>0</v>
      </c>
      <c r="Y18" s="2" t="s">
        <v>3256</v>
      </c>
      <c r="Z18" s="2" t="s">
        <v>97</v>
      </c>
      <c r="AA18" s="2" t="s">
        <v>77</v>
      </c>
      <c r="AB18" s="2" t="s">
        <v>94</v>
      </c>
      <c r="AE18" s="2">
        <f t="shared" si="1"/>
        <v>0</v>
      </c>
      <c r="AF18" s="2">
        <v>1.1399999999999999</v>
      </c>
      <c r="AG18" s="2">
        <v>1.1399999999999999</v>
      </c>
      <c r="AI18" s="2">
        <f t="shared" si="2"/>
        <v>0</v>
      </c>
      <c r="AJ18" s="2">
        <f t="shared" si="3"/>
        <v>0</v>
      </c>
      <c r="AK18" s="5">
        <f t="shared" si="4"/>
        <v>0</v>
      </c>
    </row>
    <row r="19" spans="1:37" x14ac:dyDescent="0.2">
      <c r="A19" s="2">
        <v>2025</v>
      </c>
      <c r="B19" s="2">
        <v>1</v>
      </c>
      <c r="C19" s="2" t="s">
        <v>98</v>
      </c>
      <c r="D19" s="2" t="s">
        <v>99</v>
      </c>
      <c r="E19" s="2" t="s">
        <v>39</v>
      </c>
      <c r="F19" s="2">
        <v>517450925</v>
      </c>
      <c r="G19" s="2" t="s">
        <v>40</v>
      </c>
      <c r="H19" s="2" t="s">
        <v>100</v>
      </c>
      <c r="I19" s="2" t="s">
        <v>101</v>
      </c>
      <c r="K19" s="2" t="s">
        <v>100</v>
      </c>
      <c r="L19" s="2" t="s">
        <v>40</v>
      </c>
      <c r="N19" s="2" t="s">
        <v>3201</v>
      </c>
      <c r="O19" s="2" t="s">
        <v>102</v>
      </c>
      <c r="P19" s="2" t="s">
        <v>103</v>
      </c>
      <c r="Q19" s="2" t="s">
        <v>104</v>
      </c>
      <c r="R19" s="2">
        <v>2</v>
      </c>
      <c r="S19" s="2">
        <v>4406</v>
      </c>
      <c r="T19" s="2">
        <v>1013.38</v>
      </c>
      <c r="U19" s="2">
        <v>5419.38</v>
      </c>
      <c r="V19" s="2">
        <f>1985.04*R19</f>
        <v>3970.08</v>
      </c>
      <c r="W19" s="5">
        <f t="shared" si="0"/>
        <v>9.8937812074443951E-2</v>
      </c>
      <c r="Y19" s="2" t="s">
        <v>105</v>
      </c>
      <c r="Z19" s="2" t="s">
        <v>106</v>
      </c>
      <c r="AA19" s="2" t="s">
        <v>107</v>
      </c>
      <c r="AB19" s="2" t="s">
        <v>102</v>
      </c>
      <c r="AE19" s="2">
        <f t="shared" si="1"/>
        <v>0</v>
      </c>
      <c r="AF19" s="2">
        <f>1873.3+111.74</f>
        <v>1985.04</v>
      </c>
      <c r="AI19" s="2">
        <f t="shared" si="2"/>
        <v>0</v>
      </c>
      <c r="AJ19" s="2">
        <f t="shared" si="3"/>
        <v>435.92000000000007</v>
      </c>
      <c r="AK19" s="5">
        <f t="shared" si="4"/>
        <v>9.8937812074443951E-2</v>
      </c>
    </row>
    <row r="20" spans="1:37" x14ac:dyDescent="0.2">
      <c r="A20" s="2">
        <v>2025</v>
      </c>
      <c r="B20" s="2">
        <v>1</v>
      </c>
      <c r="C20" s="2" t="s">
        <v>108</v>
      </c>
      <c r="D20" s="2" t="s">
        <v>109</v>
      </c>
      <c r="E20" s="2" t="s">
        <v>39</v>
      </c>
      <c r="F20" s="2">
        <v>507499760</v>
      </c>
      <c r="G20" s="2" t="s">
        <v>110</v>
      </c>
      <c r="H20" s="2" t="s">
        <v>111</v>
      </c>
      <c r="I20" s="2" t="s">
        <v>112</v>
      </c>
      <c r="J20" s="2">
        <v>962002636</v>
      </c>
      <c r="K20" s="2" t="s">
        <v>113</v>
      </c>
      <c r="L20" s="2" t="s">
        <v>40</v>
      </c>
      <c r="N20" s="2" t="s">
        <v>114</v>
      </c>
      <c r="O20" s="2" t="s">
        <v>115</v>
      </c>
      <c r="P20" s="2" t="s">
        <v>116</v>
      </c>
      <c r="Q20" s="2" t="s">
        <v>117</v>
      </c>
      <c r="R20" s="2">
        <v>1</v>
      </c>
      <c r="S20" s="2">
        <v>7.39</v>
      </c>
      <c r="T20" s="2">
        <v>1.6997</v>
      </c>
      <c r="U20" s="2">
        <v>9.0897000000000006</v>
      </c>
      <c r="V20" s="2">
        <f>3.35</f>
        <v>3.35</v>
      </c>
      <c r="W20" s="5">
        <f t="shared" si="0"/>
        <v>0.54668470906630573</v>
      </c>
      <c r="Y20" s="2" t="s">
        <v>118</v>
      </c>
      <c r="Z20" s="2" t="s">
        <v>119</v>
      </c>
      <c r="AA20" s="2" t="s">
        <v>120</v>
      </c>
      <c r="AB20" s="2" t="s">
        <v>115</v>
      </c>
      <c r="AE20" s="2">
        <f t="shared" si="1"/>
        <v>0</v>
      </c>
      <c r="AF20" s="2">
        <v>3.35</v>
      </c>
      <c r="AI20" s="2">
        <f t="shared" si="2"/>
        <v>0</v>
      </c>
      <c r="AJ20" s="2">
        <f t="shared" si="3"/>
        <v>4.0399999999999991</v>
      </c>
      <c r="AK20" s="5">
        <f t="shared" si="4"/>
        <v>0.54668470906630573</v>
      </c>
    </row>
    <row r="21" spans="1:37" x14ac:dyDescent="0.2">
      <c r="A21" s="2">
        <v>2025</v>
      </c>
      <c r="B21" s="2">
        <v>1</v>
      </c>
      <c r="C21" s="2" t="s">
        <v>108</v>
      </c>
      <c r="D21" s="2" t="s">
        <v>109</v>
      </c>
      <c r="E21" s="2" t="s">
        <v>39</v>
      </c>
      <c r="F21" s="2">
        <v>507499760</v>
      </c>
      <c r="G21" s="2" t="s">
        <v>110</v>
      </c>
      <c r="H21" s="2" t="s">
        <v>111</v>
      </c>
      <c r="I21" s="2" t="s">
        <v>112</v>
      </c>
      <c r="J21" s="2">
        <v>962002636</v>
      </c>
      <c r="K21" s="2" t="s">
        <v>113</v>
      </c>
      <c r="L21" s="2" t="s">
        <v>40</v>
      </c>
      <c r="N21" s="2" t="s">
        <v>114</v>
      </c>
      <c r="O21" s="2" t="s">
        <v>115</v>
      </c>
      <c r="P21" s="2" t="s">
        <v>121</v>
      </c>
      <c r="Q21" s="2" t="s">
        <v>122</v>
      </c>
      <c r="R21" s="2">
        <v>1</v>
      </c>
      <c r="S21" s="2">
        <v>14.69</v>
      </c>
      <c r="T21" s="2">
        <v>3.3786999999999998</v>
      </c>
      <c r="U21" s="2">
        <v>18.0687</v>
      </c>
      <c r="V21" s="2">
        <v>6.66</v>
      </c>
      <c r="W21" s="5">
        <f t="shared" si="0"/>
        <v>0.54663036078965277</v>
      </c>
      <c r="Y21" s="2" t="s">
        <v>118</v>
      </c>
      <c r="Z21" s="2" t="s">
        <v>119</v>
      </c>
      <c r="AA21" s="2" t="s">
        <v>120</v>
      </c>
      <c r="AB21" s="2" t="s">
        <v>115</v>
      </c>
      <c r="AE21" s="2">
        <f t="shared" si="1"/>
        <v>0</v>
      </c>
      <c r="AF21" s="2">
        <v>6.66</v>
      </c>
      <c r="AI21" s="2">
        <f t="shared" si="2"/>
        <v>0</v>
      </c>
      <c r="AJ21" s="2">
        <f t="shared" si="3"/>
        <v>8.0299999999999994</v>
      </c>
      <c r="AK21" s="5">
        <f t="shared" si="4"/>
        <v>0.54663036078965277</v>
      </c>
    </row>
    <row r="22" spans="1:37" x14ac:dyDescent="0.2">
      <c r="A22" s="2">
        <v>2025</v>
      </c>
      <c r="B22" s="2">
        <v>1</v>
      </c>
      <c r="C22" s="2" t="s">
        <v>108</v>
      </c>
      <c r="D22" s="2" t="s">
        <v>109</v>
      </c>
      <c r="E22" s="2" t="s">
        <v>39</v>
      </c>
      <c r="F22" s="2">
        <v>507499760</v>
      </c>
      <c r="G22" s="2" t="s">
        <v>110</v>
      </c>
      <c r="H22" s="2" t="s">
        <v>111</v>
      </c>
      <c r="I22" s="2" t="s">
        <v>112</v>
      </c>
      <c r="J22" s="2">
        <v>962002636</v>
      </c>
      <c r="K22" s="2" t="s">
        <v>113</v>
      </c>
      <c r="L22" s="2" t="s">
        <v>40</v>
      </c>
      <c r="N22" s="2" t="s">
        <v>114</v>
      </c>
      <c r="O22" s="2" t="s">
        <v>115</v>
      </c>
      <c r="P22" s="2" t="s">
        <v>123</v>
      </c>
      <c r="Q22" s="2" t="s">
        <v>124</v>
      </c>
      <c r="R22" s="2">
        <v>2</v>
      </c>
      <c r="S22" s="2">
        <v>96.74</v>
      </c>
      <c r="T22" s="2">
        <v>22.2502</v>
      </c>
      <c r="U22" s="2">
        <v>118.9902</v>
      </c>
      <c r="V22" s="2">
        <f>21.94*R22</f>
        <v>43.88</v>
      </c>
      <c r="W22" s="5">
        <f t="shared" si="0"/>
        <v>0.54641306594996897</v>
      </c>
      <c r="Y22" s="2" t="s">
        <v>118</v>
      </c>
      <c r="Z22" s="2" t="s">
        <v>119</v>
      </c>
      <c r="AA22" s="2" t="s">
        <v>120</v>
      </c>
      <c r="AB22" s="2" t="s">
        <v>115</v>
      </c>
      <c r="AE22" s="2">
        <f t="shared" si="1"/>
        <v>0</v>
      </c>
      <c r="AF22" s="2">
        <v>21.94</v>
      </c>
      <c r="AI22" s="2">
        <f t="shared" si="2"/>
        <v>0</v>
      </c>
      <c r="AJ22" s="2">
        <f t="shared" si="3"/>
        <v>52.859999999999992</v>
      </c>
      <c r="AK22" s="5">
        <f t="shared" si="4"/>
        <v>0.54641306594996897</v>
      </c>
    </row>
    <row r="23" spans="1:37" x14ac:dyDescent="0.2">
      <c r="A23" s="2">
        <v>2025</v>
      </c>
      <c r="B23" s="2">
        <v>1</v>
      </c>
      <c r="C23" s="2" t="s">
        <v>108</v>
      </c>
      <c r="D23" s="2" t="s">
        <v>109</v>
      </c>
      <c r="E23" s="2" t="s">
        <v>39</v>
      </c>
      <c r="F23" s="2">
        <v>507499760</v>
      </c>
      <c r="G23" s="2" t="s">
        <v>110</v>
      </c>
      <c r="H23" s="2" t="s">
        <v>111</v>
      </c>
      <c r="I23" s="2" t="s">
        <v>112</v>
      </c>
      <c r="J23" s="2">
        <v>962002636</v>
      </c>
      <c r="K23" s="2" t="s">
        <v>113</v>
      </c>
      <c r="L23" s="2" t="s">
        <v>40</v>
      </c>
      <c r="N23" s="2" t="s">
        <v>114</v>
      </c>
      <c r="O23" s="2" t="s">
        <v>115</v>
      </c>
      <c r="P23" s="2" t="s">
        <v>125</v>
      </c>
      <c r="Q23" s="2" t="s">
        <v>126</v>
      </c>
      <c r="R23" s="2">
        <v>2</v>
      </c>
      <c r="S23" s="2">
        <v>16.170000000000002</v>
      </c>
      <c r="T23" s="2">
        <v>3.719100000000001</v>
      </c>
      <c r="U23" s="2">
        <v>19.889099999999999</v>
      </c>
      <c r="V23" s="2">
        <f>3.35*R23</f>
        <v>6.7</v>
      </c>
      <c r="W23" s="5">
        <f t="shared" si="0"/>
        <v>0.58565244279530004</v>
      </c>
      <c r="Y23" s="2" t="s">
        <v>118</v>
      </c>
      <c r="Z23" s="2" t="s">
        <v>119</v>
      </c>
      <c r="AA23" s="2" t="s">
        <v>120</v>
      </c>
      <c r="AB23" s="2" t="s">
        <v>115</v>
      </c>
      <c r="AE23" s="2">
        <f t="shared" si="1"/>
        <v>0</v>
      </c>
      <c r="AF23" s="2">
        <v>3.35</v>
      </c>
      <c r="AI23" s="2">
        <f t="shared" si="2"/>
        <v>0</v>
      </c>
      <c r="AJ23" s="2">
        <f t="shared" si="3"/>
        <v>9.4700000000000024</v>
      </c>
      <c r="AK23" s="5">
        <f t="shared" si="4"/>
        <v>0.58565244279530004</v>
      </c>
    </row>
    <row r="24" spans="1:37" x14ac:dyDescent="0.2">
      <c r="A24" s="2">
        <v>2025</v>
      </c>
      <c r="B24" s="2">
        <v>1</v>
      </c>
      <c r="C24" s="2" t="s">
        <v>108</v>
      </c>
      <c r="D24" s="2" t="s">
        <v>109</v>
      </c>
      <c r="E24" s="2" t="s">
        <v>39</v>
      </c>
      <c r="F24" s="2">
        <v>507499760</v>
      </c>
      <c r="G24" s="2" t="s">
        <v>110</v>
      </c>
      <c r="H24" s="2" t="s">
        <v>111</v>
      </c>
      <c r="I24" s="2" t="s">
        <v>112</v>
      </c>
      <c r="J24" s="2">
        <v>962002636</v>
      </c>
      <c r="K24" s="2" t="s">
        <v>113</v>
      </c>
      <c r="L24" s="2" t="s">
        <v>40</v>
      </c>
      <c r="N24" s="2" t="s">
        <v>114</v>
      </c>
      <c r="O24" s="2" t="s">
        <v>115</v>
      </c>
      <c r="P24" s="6" t="s">
        <v>127</v>
      </c>
      <c r="Q24" s="2" t="s">
        <v>128</v>
      </c>
      <c r="R24" s="2">
        <v>1</v>
      </c>
      <c r="S24" s="2">
        <v>7.11</v>
      </c>
      <c r="T24" s="2">
        <v>1.6353</v>
      </c>
      <c r="U24" s="2">
        <v>8.7453000000000003</v>
      </c>
      <c r="V24" s="2">
        <v>3.3595999999999999</v>
      </c>
      <c r="W24" s="5">
        <f t="shared" si="0"/>
        <v>0.52748241912798877</v>
      </c>
      <c r="Y24" s="2" t="s">
        <v>118</v>
      </c>
      <c r="Z24" s="2" t="s">
        <v>119</v>
      </c>
      <c r="AA24" s="2" t="s">
        <v>120</v>
      </c>
      <c r="AB24" s="2" t="s">
        <v>115</v>
      </c>
      <c r="AE24" s="2">
        <f t="shared" si="1"/>
        <v>0</v>
      </c>
      <c r="AF24" s="2">
        <v>3.3595999999999999</v>
      </c>
      <c r="AI24" s="2">
        <f t="shared" si="2"/>
        <v>0</v>
      </c>
      <c r="AJ24" s="2">
        <f t="shared" si="3"/>
        <v>3.7504000000000004</v>
      </c>
      <c r="AK24" s="5">
        <f t="shared" si="4"/>
        <v>0.52748241912798877</v>
      </c>
    </row>
    <row r="25" spans="1:37" x14ac:dyDescent="0.2">
      <c r="A25" s="2">
        <v>2025</v>
      </c>
      <c r="B25" s="2">
        <v>1</v>
      </c>
      <c r="C25" s="2" t="s">
        <v>108</v>
      </c>
      <c r="D25" s="2" t="s">
        <v>109</v>
      </c>
      <c r="E25" s="2" t="s">
        <v>39</v>
      </c>
      <c r="F25" s="2">
        <v>507499760</v>
      </c>
      <c r="G25" s="2" t="s">
        <v>110</v>
      </c>
      <c r="H25" s="2" t="s">
        <v>111</v>
      </c>
      <c r="I25" s="2" t="s">
        <v>112</v>
      </c>
      <c r="J25" s="2">
        <v>962002636</v>
      </c>
      <c r="K25" s="2" t="s">
        <v>113</v>
      </c>
      <c r="L25" s="2" t="s">
        <v>40</v>
      </c>
      <c r="N25" s="2" t="s">
        <v>114</v>
      </c>
      <c r="O25" s="2" t="s">
        <v>115</v>
      </c>
      <c r="P25" s="2" t="s">
        <v>129</v>
      </c>
      <c r="Q25" s="2" t="s">
        <v>130</v>
      </c>
      <c r="R25" s="2">
        <v>1</v>
      </c>
      <c r="S25" s="2">
        <v>11.07</v>
      </c>
      <c r="T25" s="2">
        <v>2.5461</v>
      </c>
      <c r="U25" s="2">
        <v>13.616099999999999</v>
      </c>
      <c r="W25" s="5">
        <f t="shared" si="0"/>
        <v>1</v>
      </c>
      <c r="Y25" s="2" t="s">
        <v>118</v>
      </c>
      <c r="Z25" s="2" t="s">
        <v>119</v>
      </c>
      <c r="AE25" s="2">
        <f t="shared" si="1"/>
        <v>0</v>
      </c>
      <c r="AI25" s="2">
        <f t="shared" si="2"/>
        <v>0</v>
      </c>
      <c r="AJ25" s="2">
        <f t="shared" si="3"/>
        <v>11.07</v>
      </c>
      <c r="AK25" s="5">
        <f t="shared" si="4"/>
        <v>1</v>
      </c>
    </row>
    <row r="26" spans="1:37" x14ac:dyDescent="0.2">
      <c r="A26" s="2">
        <v>2025</v>
      </c>
      <c r="B26" s="2">
        <v>1</v>
      </c>
      <c r="C26" s="2" t="s">
        <v>131</v>
      </c>
      <c r="D26" s="2" t="s">
        <v>38</v>
      </c>
      <c r="E26" s="2" t="s">
        <v>39</v>
      </c>
      <c r="F26" s="2">
        <v>503989959</v>
      </c>
      <c r="G26" s="2" t="s">
        <v>110</v>
      </c>
      <c r="H26" s="2" t="s">
        <v>132</v>
      </c>
      <c r="I26" s="2" t="s">
        <v>133</v>
      </c>
      <c r="K26" s="2" t="s">
        <v>134</v>
      </c>
      <c r="L26" s="2" t="s">
        <v>40</v>
      </c>
      <c r="N26" s="2" t="s">
        <v>135</v>
      </c>
      <c r="O26" s="2" t="s">
        <v>115</v>
      </c>
      <c r="P26" s="2" t="s">
        <v>136</v>
      </c>
      <c r="Q26" s="2" t="s">
        <v>137</v>
      </c>
      <c r="R26" s="2">
        <v>0</v>
      </c>
      <c r="S26" s="2">
        <v>0</v>
      </c>
      <c r="T26" s="2">
        <v>0</v>
      </c>
      <c r="U26" s="2">
        <v>0</v>
      </c>
      <c r="W26" s="5">
        <v>0</v>
      </c>
      <c r="Y26" s="2" t="s">
        <v>118</v>
      </c>
      <c r="Z26" s="2" t="s">
        <v>119</v>
      </c>
      <c r="AE26" s="2">
        <f t="shared" si="1"/>
        <v>0</v>
      </c>
      <c r="AI26" s="2">
        <f t="shared" si="2"/>
        <v>0</v>
      </c>
      <c r="AJ26" s="2">
        <f t="shared" si="3"/>
        <v>0</v>
      </c>
      <c r="AK26" s="5" t="e">
        <f t="shared" si="4"/>
        <v>#DIV/0!</v>
      </c>
    </row>
    <row r="27" spans="1:37" x14ac:dyDescent="0.2">
      <c r="A27" s="2">
        <v>2025</v>
      </c>
      <c r="B27" s="2">
        <v>1</v>
      </c>
      <c r="C27" s="2" t="s">
        <v>131</v>
      </c>
      <c r="D27" s="2" t="s">
        <v>38</v>
      </c>
      <c r="E27" s="2" t="s">
        <v>39</v>
      </c>
      <c r="F27" s="2">
        <v>503989959</v>
      </c>
      <c r="G27" s="2" t="s">
        <v>110</v>
      </c>
      <c r="H27" s="2" t="s">
        <v>132</v>
      </c>
      <c r="I27" s="2" t="s">
        <v>133</v>
      </c>
      <c r="K27" s="2" t="s">
        <v>134</v>
      </c>
      <c r="L27" s="2" t="s">
        <v>40</v>
      </c>
      <c r="N27" s="2" t="s">
        <v>135</v>
      </c>
      <c r="O27" s="2" t="s">
        <v>115</v>
      </c>
      <c r="P27" s="2" t="s">
        <v>138</v>
      </c>
      <c r="Q27" s="2" t="s">
        <v>139</v>
      </c>
      <c r="R27" s="2">
        <v>1</v>
      </c>
      <c r="S27" s="2">
        <v>4075.64</v>
      </c>
      <c r="T27" s="2">
        <v>937.3972</v>
      </c>
      <c r="U27" s="2">
        <v>5013.0371999999998</v>
      </c>
      <c r="V27" s="2">
        <f>1346.9279</f>
        <v>1346.9278999999999</v>
      </c>
      <c r="W27" s="5">
        <f t="shared" ref="W27:W58" si="5">(S27-V27)/S27</f>
        <v>0.66951745002011953</v>
      </c>
      <c r="Y27" s="2" t="s">
        <v>118</v>
      </c>
      <c r="Z27" s="2" t="s">
        <v>119</v>
      </c>
      <c r="AA27" s="2" t="s">
        <v>120</v>
      </c>
      <c r="AB27" s="2" t="s">
        <v>115</v>
      </c>
      <c r="AE27" s="2">
        <f t="shared" si="1"/>
        <v>0</v>
      </c>
      <c r="AF27" s="2">
        <f>1329.3279+17.6</f>
        <v>1346.9278999999999</v>
      </c>
      <c r="AI27" s="2">
        <f t="shared" si="2"/>
        <v>0</v>
      </c>
      <c r="AJ27" s="2">
        <f t="shared" si="3"/>
        <v>2728.7120999999997</v>
      </c>
      <c r="AK27" s="5">
        <f t="shared" si="4"/>
        <v>0.66951745002011953</v>
      </c>
    </row>
    <row r="28" spans="1:37" x14ac:dyDescent="0.2">
      <c r="A28" s="2">
        <v>2025</v>
      </c>
      <c r="B28" s="2">
        <v>1</v>
      </c>
      <c r="C28" s="2" t="s">
        <v>131</v>
      </c>
      <c r="D28" s="2" t="s">
        <v>38</v>
      </c>
      <c r="F28" s="2">
        <v>503989959</v>
      </c>
      <c r="G28" s="2" t="s">
        <v>110</v>
      </c>
      <c r="H28" s="2" t="s">
        <v>132</v>
      </c>
      <c r="I28" s="2" t="s">
        <v>133</v>
      </c>
      <c r="K28" s="2" t="s">
        <v>134</v>
      </c>
      <c r="L28" s="2" t="s">
        <v>40</v>
      </c>
      <c r="M28" s="2" t="s">
        <v>140</v>
      </c>
      <c r="N28" s="2" t="s">
        <v>135</v>
      </c>
      <c r="O28" s="2" t="s">
        <v>40</v>
      </c>
      <c r="P28" s="2" t="s">
        <v>141</v>
      </c>
      <c r="Q28" s="2" t="s">
        <v>142</v>
      </c>
      <c r="R28" s="2">
        <v>-1</v>
      </c>
      <c r="S28" s="2">
        <v>-1222.69</v>
      </c>
      <c r="T28" s="2">
        <v>-281.21870000000001</v>
      </c>
      <c r="U28" s="2">
        <v>-1503.9087</v>
      </c>
      <c r="W28" s="5">
        <f t="shared" si="5"/>
        <v>1</v>
      </c>
      <c r="Y28" s="2" t="s">
        <v>120</v>
      </c>
      <c r="Z28" s="2" t="s">
        <v>143</v>
      </c>
      <c r="AE28" s="2">
        <f t="shared" si="1"/>
        <v>0</v>
      </c>
      <c r="AI28" s="2">
        <f t="shared" si="2"/>
        <v>0</v>
      </c>
      <c r="AJ28" s="2">
        <f t="shared" si="3"/>
        <v>-1222.69</v>
      </c>
      <c r="AK28" s="5">
        <f t="shared" si="4"/>
        <v>1</v>
      </c>
    </row>
    <row r="29" spans="1:37" x14ac:dyDescent="0.2">
      <c r="A29" s="2">
        <v>2025</v>
      </c>
      <c r="B29" s="2">
        <v>1</v>
      </c>
      <c r="C29" s="2" t="s">
        <v>144</v>
      </c>
      <c r="L29" s="2" t="s">
        <v>81</v>
      </c>
      <c r="O29" s="2" t="s">
        <v>73</v>
      </c>
      <c r="P29" s="2" t="s">
        <v>74</v>
      </c>
      <c r="Q29" s="2" t="s">
        <v>75</v>
      </c>
      <c r="R29" s="2">
        <v>1</v>
      </c>
      <c r="S29" s="2">
        <v>200</v>
      </c>
      <c r="T29" s="2">
        <v>46</v>
      </c>
      <c r="U29" s="2">
        <v>246</v>
      </c>
      <c r="V29" s="2">
        <v>117.453</v>
      </c>
      <c r="W29" s="5">
        <f t="shared" si="5"/>
        <v>0.41273499999999996</v>
      </c>
      <c r="Y29" s="2" t="s">
        <v>3256</v>
      </c>
      <c r="Z29" s="2" t="s">
        <v>76</v>
      </c>
      <c r="AA29" s="2" t="s">
        <v>77</v>
      </c>
      <c r="AB29" s="2" t="s">
        <v>78</v>
      </c>
      <c r="AE29" s="2">
        <f t="shared" si="1"/>
        <v>0</v>
      </c>
      <c r="AF29" s="2">
        <v>117.453</v>
      </c>
      <c r="AG29" s="2">
        <v>220</v>
      </c>
      <c r="AI29" s="2">
        <f t="shared" si="2"/>
        <v>0</v>
      </c>
      <c r="AJ29" s="2">
        <f t="shared" si="3"/>
        <v>82.546999999999997</v>
      </c>
      <c r="AK29" s="5">
        <f t="shared" si="4"/>
        <v>0.41273499999999996</v>
      </c>
    </row>
    <row r="30" spans="1:37" x14ac:dyDescent="0.2">
      <c r="A30" s="2">
        <v>2025</v>
      </c>
      <c r="B30" s="2">
        <v>1</v>
      </c>
      <c r="C30" s="2" t="s">
        <v>144</v>
      </c>
      <c r="L30" s="2" t="s">
        <v>81</v>
      </c>
      <c r="O30" s="2" t="s">
        <v>94</v>
      </c>
      <c r="P30" s="2" t="s">
        <v>95</v>
      </c>
      <c r="Q30" s="2" t="s">
        <v>96</v>
      </c>
      <c r="R30" s="2">
        <v>1</v>
      </c>
      <c r="S30" s="2">
        <v>1.1399999999999999</v>
      </c>
      <c r="T30" s="2">
        <v>0.26219999999999999</v>
      </c>
      <c r="U30" s="2">
        <v>1.4021999999999999</v>
      </c>
      <c r="V30" s="2">
        <v>1.1399999999999999</v>
      </c>
      <c r="W30" s="5">
        <f t="shared" si="5"/>
        <v>0</v>
      </c>
      <c r="Y30" s="2" t="s">
        <v>3256</v>
      </c>
      <c r="Z30" s="2" t="s">
        <v>97</v>
      </c>
      <c r="AA30" s="2" t="s">
        <v>77</v>
      </c>
      <c r="AB30" s="2" t="s">
        <v>94</v>
      </c>
      <c r="AE30" s="2">
        <f t="shared" si="1"/>
        <v>0</v>
      </c>
      <c r="AI30" s="2">
        <f t="shared" si="2"/>
        <v>0</v>
      </c>
      <c r="AJ30" s="2">
        <f t="shared" si="3"/>
        <v>0</v>
      </c>
      <c r="AK30" s="5">
        <f t="shared" si="4"/>
        <v>0</v>
      </c>
    </row>
    <row r="31" spans="1:37" x14ac:dyDescent="0.2">
      <c r="A31" s="2">
        <v>2025</v>
      </c>
      <c r="B31" s="2">
        <v>1</v>
      </c>
      <c r="C31" s="2" t="s">
        <v>145</v>
      </c>
      <c r="D31" s="2" t="s">
        <v>38</v>
      </c>
      <c r="E31" s="2" t="s">
        <v>39</v>
      </c>
      <c r="F31" s="2">
        <v>505883970</v>
      </c>
      <c r="G31" s="2" t="s">
        <v>41</v>
      </c>
      <c r="H31" s="2" t="s">
        <v>146</v>
      </c>
      <c r="I31" s="2" t="s">
        <v>147</v>
      </c>
      <c r="K31" s="2" t="s">
        <v>100</v>
      </c>
      <c r="L31" s="2" t="s">
        <v>41</v>
      </c>
      <c r="N31" s="2" t="s">
        <v>148</v>
      </c>
      <c r="O31" s="2" t="s">
        <v>115</v>
      </c>
      <c r="P31" s="2" t="s">
        <v>149</v>
      </c>
      <c r="Q31" s="2" t="s">
        <v>150</v>
      </c>
      <c r="R31" s="2">
        <v>1</v>
      </c>
      <c r="S31" s="2">
        <v>3200</v>
      </c>
      <c r="T31" s="2">
        <v>736</v>
      </c>
      <c r="U31" s="2">
        <v>3936</v>
      </c>
      <c r="V31" s="2">
        <v>2997.97</v>
      </c>
      <c r="W31" s="5">
        <f t="shared" si="5"/>
        <v>6.3134375000000062E-2</v>
      </c>
      <c r="Y31" s="2" t="s">
        <v>105</v>
      </c>
      <c r="Z31" s="2" t="s">
        <v>151</v>
      </c>
      <c r="AA31" s="2" t="s">
        <v>152</v>
      </c>
      <c r="AB31" s="2" t="s">
        <v>115</v>
      </c>
      <c r="AE31" s="2">
        <f t="shared" si="1"/>
        <v>0</v>
      </c>
      <c r="AI31" s="2">
        <f t="shared" si="2"/>
        <v>0</v>
      </c>
      <c r="AJ31" s="2">
        <f t="shared" si="3"/>
        <v>202.0300000000002</v>
      </c>
      <c r="AK31" s="5">
        <f t="shared" si="4"/>
        <v>6.3134375000000062E-2</v>
      </c>
    </row>
    <row r="32" spans="1:37" x14ac:dyDescent="0.2">
      <c r="A32" s="2">
        <v>2025</v>
      </c>
      <c r="B32" s="2">
        <v>2</v>
      </c>
      <c r="C32" s="2" t="s">
        <v>37</v>
      </c>
      <c r="D32" s="2" t="s">
        <v>38</v>
      </c>
      <c r="E32" s="2" t="s">
        <v>39</v>
      </c>
      <c r="G32" s="2" t="s">
        <v>40</v>
      </c>
      <c r="O32" s="2" t="s">
        <v>153</v>
      </c>
      <c r="P32" s="2" t="s">
        <v>154</v>
      </c>
      <c r="Q32" s="2" t="s">
        <v>155</v>
      </c>
      <c r="R32" s="2">
        <v>8</v>
      </c>
      <c r="S32" s="2">
        <v>8.16</v>
      </c>
      <c r="T32" s="2">
        <v>1.8768</v>
      </c>
      <c r="U32" s="2">
        <v>10.036799999999999</v>
      </c>
      <c r="W32" s="5">
        <f t="shared" si="5"/>
        <v>1</v>
      </c>
      <c r="Y32" s="2" t="s">
        <v>3256</v>
      </c>
      <c r="Z32" s="2" t="s">
        <v>156</v>
      </c>
      <c r="AA32" s="2" t="s">
        <v>155</v>
      </c>
      <c r="AB32" s="2" t="s">
        <v>153</v>
      </c>
      <c r="AE32" s="2">
        <f t="shared" si="1"/>
        <v>0</v>
      </c>
      <c r="AI32" s="2">
        <f t="shared" si="2"/>
        <v>0</v>
      </c>
      <c r="AJ32" s="2">
        <f t="shared" si="3"/>
        <v>8.16</v>
      </c>
      <c r="AK32" s="5">
        <f t="shared" si="4"/>
        <v>1</v>
      </c>
    </row>
    <row r="33" spans="1:37" x14ac:dyDescent="0.2">
      <c r="A33" s="2">
        <v>2025</v>
      </c>
      <c r="B33" s="2">
        <v>2</v>
      </c>
      <c r="C33" s="2" t="s">
        <v>37</v>
      </c>
      <c r="D33" s="2" t="s">
        <v>38</v>
      </c>
      <c r="E33" s="2" t="s">
        <v>39</v>
      </c>
      <c r="G33" s="2" t="s">
        <v>40</v>
      </c>
      <c r="H33" s="2" t="s">
        <v>157</v>
      </c>
      <c r="K33" s="2" t="s">
        <v>100</v>
      </c>
      <c r="L33" s="2" t="s">
        <v>81</v>
      </c>
      <c r="N33" s="2" t="s">
        <v>158</v>
      </c>
      <c r="O33" s="2" t="s">
        <v>43</v>
      </c>
      <c r="P33" s="2" t="s">
        <v>159</v>
      </c>
      <c r="Q33" s="2" t="s">
        <v>160</v>
      </c>
      <c r="R33" s="2">
        <v>2</v>
      </c>
      <c r="S33" s="2">
        <v>38.450000000000003</v>
      </c>
      <c r="T33" s="2">
        <v>8.8435000000000006</v>
      </c>
      <c r="U33" s="2">
        <v>47.293500000000002</v>
      </c>
      <c r="V33" s="2">
        <f>9.3*R33</f>
        <v>18.600000000000001</v>
      </c>
      <c r="W33" s="5">
        <f t="shared" si="5"/>
        <v>0.51625487646293888</v>
      </c>
      <c r="Y33" s="2" t="s">
        <v>3256</v>
      </c>
      <c r="Z33" s="2" t="s">
        <v>46</v>
      </c>
      <c r="AA33" s="2" t="s">
        <v>47</v>
      </c>
      <c r="AB33" s="2" t="s">
        <v>48</v>
      </c>
      <c r="AE33" s="2">
        <f t="shared" si="1"/>
        <v>0</v>
      </c>
      <c r="AF33" s="2">
        <v>9.3000000000000007</v>
      </c>
      <c r="AG33" s="2">
        <v>21</v>
      </c>
      <c r="AI33" s="2">
        <f t="shared" si="2"/>
        <v>0</v>
      </c>
      <c r="AJ33" s="2">
        <f t="shared" si="3"/>
        <v>19.850000000000001</v>
      </c>
      <c r="AK33" s="5">
        <f t="shared" si="4"/>
        <v>0.51625487646293888</v>
      </c>
    </row>
    <row r="34" spans="1:37" x14ac:dyDescent="0.2">
      <c r="A34" s="2">
        <v>2025</v>
      </c>
      <c r="B34" s="2">
        <v>2</v>
      </c>
      <c r="C34" s="2" t="s">
        <v>37</v>
      </c>
      <c r="D34" s="2" t="s">
        <v>38</v>
      </c>
      <c r="E34" s="2" t="s">
        <v>39</v>
      </c>
      <c r="G34" s="2" t="s">
        <v>40</v>
      </c>
      <c r="O34" s="2" t="s">
        <v>43</v>
      </c>
      <c r="P34" s="2" t="s">
        <v>49</v>
      </c>
      <c r="Q34" s="2" t="s">
        <v>50</v>
      </c>
      <c r="R34" s="2">
        <v>2</v>
      </c>
      <c r="S34" s="2">
        <v>24</v>
      </c>
      <c r="T34" s="2">
        <v>5.52</v>
      </c>
      <c r="U34" s="2">
        <v>29.52</v>
      </c>
      <c r="V34" s="2">
        <f>6.6267*R34</f>
        <v>13.253399999999999</v>
      </c>
      <c r="W34" s="5">
        <f t="shared" si="5"/>
        <v>0.44777500000000003</v>
      </c>
      <c r="Y34" s="2" t="s">
        <v>3256</v>
      </c>
      <c r="Z34" s="2" t="s">
        <v>46</v>
      </c>
      <c r="AA34" s="2" t="s">
        <v>47</v>
      </c>
      <c r="AB34" s="2" t="s">
        <v>48</v>
      </c>
      <c r="AE34" s="2">
        <f t="shared" si="1"/>
        <v>0</v>
      </c>
      <c r="AF34" s="2">
        <v>6.6266999999999996</v>
      </c>
      <c r="AG34" s="2">
        <v>12</v>
      </c>
      <c r="AI34" s="2">
        <f t="shared" si="2"/>
        <v>0</v>
      </c>
      <c r="AJ34" s="2">
        <f t="shared" si="3"/>
        <v>10.746600000000001</v>
      </c>
      <c r="AK34" s="5">
        <f t="shared" ref="AK34:AK65" si="6">(S34-V34)/S34</f>
        <v>0.44777500000000003</v>
      </c>
    </row>
    <row r="35" spans="1:37" x14ac:dyDescent="0.2">
      <c r="A35" s="2">
        <v>2025</v>
      </c>
      <c r="B35" s="2">
        <v>2</v>
      </c>
      <c r="C35" s="2" t="s">
        <v>37</v>
      </c>
      <c r="D35" s="2" t="s">
        <v>38</v>
      </c>
      <c r="E35" s="2" t="s">
        <v>39</v>
      </c>
      <c r="G35" s="2" t="s">
        <v>40</v>
      </c>
      <c r="O35" s="2" t="s">
        <v>43</v>
      </c>
      <c r="P35" s="2" t="s">
        <v>51</v>
      </c>
      <c r="Q35" s="2" t="s">
        <v>52</v>
      </c>
      <c r="R35" s="2">
        <v>2</v>
      </c>
      <c r="S35" s="2">
        <v>31</v>
      </c>
      <c r="T35" s="2">
        <v>7.13</v>
      </c>
      <c r="U35" s="2">
        <v>38.130000000000003</v>
      </c>
      <c r="V35" s="2">
        <f>10.2346*R35</f>
        <v>20.469200000000001</v>
      </c>
      <c r="W35" s="5">
        <f t="shared" si="5"/>
        <v>0.33970322580645157</v>
      </c>
      <c r="Y35" s="2" t="s">
        <v>3256</v>
      </c>
      <c r="Z35" s="2" t="s">
        <v>46</v>
      </c>
      <c r="AA35" s="2" t="s">
        <v>47</v>
      </c>
      <c r="AB35" s="2" t="s">
        <v>48</v>
      </c>
      <c r="AE35" s="2">
        <f t="shared" si="1"/>
        <v>0</v>
      </c>
      <c r="AF35" s="2">
        <v>10.2346</v>
      </c>
      <c r="AG35" s="2">
        <v>18</v>
      </c>
      <c r="AI35" s="2">
        <f t="shared" si="2"/>
        <v>0</v>
      </c>
      <c r="AJ35" s="2">
        <f t="shared" si="3"/>
        <v>10.530799999999999</v>
      </c>
      <c r="AK35" s="5">
        <f t="shared" si="6"/>
        <v>0.33970322580645157</v>
      </c>
    </row>
    <row r="36" spans="1:37" x14ac:dyDescent="0.2">
      <c r="A36" s="2">
        <v>2025</v>
      </c>
      <c r="B36" s="2">
        <v>2</v>
      </c>
      <c r="C36" s="2" t="s">
        <v>37</v>
      </c>
      <c r="D36" s="2" t="s">
        <v>38</v>
      </c>
      <c r="E36" s="2" t="s">
        <v>39</v>
      </c>
      <c r="G36" s="2" t="s">
        <v>40</v>
      </c>
      <c r="O36" s="2" t="s">
        <v>43</v>
      </c>
      <c r="P36" s="2" t="s">
        <v>161</v>
      </c>
      <c r="Q36" s="2" t="s">
        <v>162</v>
      </c>
      <c r="R36" s="2">
        <v>2</v>
      </c>
      <c r="S36" s="2">
        <v>15.6</v>
      </c>
      <c r="T36" s="2">
        <v>3.5880000000000001</v>
      </c>
      <c r="U36" s="2">
        <v>19.187999999999999</v>
      </c>
      <c r="V36" s="2">
        <f>3.7358*R36</f>
        <v>7.4715999999999996</v>
      </c>
      <c r="W36" s="5">
        <f t="shared" si="5"/>
        <v>0.52105128205128204</v>
      </c>
      <c r="Y36" s="2" t="s">
        <v>3256</v>
      </c>
      <c r="Z36" s="2" t="s">
        <v>46</v>
      </c>
      <c r="AA36" s="2" t="s">
        <v>47</v>
      </c>
      <c r="AB36" s="2" t="s">
        <v>48</v>
      </c>
      <c r="AE36" s="2">
        <f t="shared" si="1"/>
        <v>0</v>
      </c>
      <c r="AF36" s="2">
        <v>3.7357999999999998</v>
      </c>
      <c r="AG36" s="2">
        <v>9</v>
      </c>
      <c r="AI36" s="2">
        <f t="shared" si="2"/>
        <v>0</v>
      </c>
      <c r="AJ36" s="2">
        <f t="shared" si="3"/>
        <v>8.1283999999999992</v>
      </c>
      <c r="AK36" s="5">
        <f t="shared" si="6"/>
        <v>0.52105128205128204</v>
      </c>
    </row>
    <row r="37" spans="1:37" x14ac:dyDescent="0.2">
      <c r="A37" s="2">
        <v>2025</v>
      </c>
      <c r="B37" s="2">
        <v>2</v>
      </c>
      <c r="C37" s="2" t="s">
        <v>37</v>
      </c>
      <c r="D37" s="2" t="s">
        <v>38</v>
      </c>
      <c r="E37" s="2" t="s">
        <v>39</v>
      </c>
      <c r="G37" s="2" t="s">
        <v>40</v>
      </c>
      <c r="O37" s="2" t="s">
        <v>43</v>
      </c>
      <c r="P37" s="2" t="s">
        <v>53</v>
      </c>
      <c r="Q37" s="2" t="s">
        <v>54</v>
      </c>
      <c r="R37" s="2">
        <v>3</v>
      </c>
      <c r="S37" s="2">
        <v>27.8</v>
      </c>
      <c r="T37" s="2">
        <v>6.3940000000000001</v>
      </c>
      <c r="U37" s="2">
        <v>34.194000000000003</v>
      </c>
      <c r="V37" s="2">
        <f>5.2973*R37</f>
        <v>15.8919</v>
      </c>
      <c r="W37" s="5">
        <f t="shared" si="5"/>
        <v>0.42834892086330939</v>
      </c>
      <c r="Y37" s="2" t="s">
        <v>3256</v>
      </c>
      <c r="Z37" s="2" t="s">
        <v>46</v>
      </c>
      <c r="AA37" s="2" t="s">
        <v>47</v>
      </c>
      <c r="AB37" s="2" t="s">
        <v>48</v>
      </c>
      <c r="AE37" s="2">
        <f t="shared" si="1"/>
        <v>0</v>
      </c>
      <c r="AF37" s="2">
        <v>5.2972999999999999</v>
      </c>
      <c r="AG37" s="2">
        <v>10.8</v>
      </c>
      <c r="AI37" s="2">
        <f t="shared" si="2"/>
        <v>0</v>
      </c>
      <c r="AJ37" s="2">
        <f t="shared" si="3"/>
        <v>11.908100000000001</v>
      </c>
      <c r="AK37" s="5">
        <f t="shared" si="6"/>
        <v>0.42834892086330939</v>
      </c>
    </row>
    <row r="38" spans="1:37" x14ac:dyDescent="0.2">
      <c r="A38" s="2">
        <v>2025</v>
      </c>
      <c r="B38" s="2">
        <v>2</v>
      </c>
      <c r="C38" s="2" t="s">
        <v>37</v>
      </c>
      <c r="D38" s="2" t="s">
        <v>38</v>
      </c>
      <c r="E38" s="2" t="s">
        <v>39</v>
      </c>
      <c r="G38" s="2" t="s">
        <v>40</v>
      </c>
      <c r="O38" s="2" t="s">
        <v>43</v>
      </c>
      <c r="P38" s="2" t="s">
        <v>62</v>
      </c>
      <c r="Q38" s="2" t="s">
        <v>63</v>
      </c>
      <c r="R38" s="2">
        <v>1300</v>
      </c>
      <c r="S38" s="2">
        <v>143.19999999999999</v>
      </c>
      <c r="T38" s="2">
        <v>32.936</v>
      </c>
      <c r="U38" s="2">
        <v>176.136</v>
      </c>
      <c r="V38" s="2">
        <f>0.082*R38</f>
        <v>106.60000000000001</v>
      </c>
      <c r="W38" s="5">
        <f t="shared" si="5"/>
        <v>0.25558659217877083</v>
      </c>
      <c r="Y38" s="2" t="s">
        <v>3256</v>
      </c>
      <c r="Z38" s="2" t="s">
        <v>46</v>
      </c>
      <c r="AA38" s="2" t="s">
        <v>61</v>
      </c>
      <c r="AB38" s="2" t="s">
        <v>58</v>
      </c>
      <c r="AE38" s="2">
        <f t="shared" si="1"/>
        <v>0</v>
      </c>
      <c r="AF38" s="2">
        <v>8.1999999999999993</v>
      </c>
      <c r="AG38" s="2">
        <v>13</v>
      </c>
      <c r="AI38" s="2">
        <f t="shared" si="2"/>
        <v>0</v>
      </c>
      <c r="AJ38" s="2">
        <f t="shared" si="3"/>
        <v>36.59999999999998</v>
      </c>
      <c r="AK38" s="5">
        <f t="shared" si="6"/>
        <v>0.25558659217877083</v>
      </c>
    </row>
    <row r="39" spans="1:37" x14ac:dyDescent="0.2">
      <c r="A39" s="2">
        <v>2025</v>
      </c>
      <c r="B39" s="2">
        <v>2</v>
      </c>
      <c r="C39" s="2" t="s">
        <v>37</v>
      </c>
      <c r="D39" s="2" t="s">
        <v>38</v>
      </c>
      <c r="E39" s="2" t="s">
        <v>39</v>
      </c>
      <c r="G39" s="2" t="s">
        <v>40</v>
      </c>
      <c r="O39" s="2" t="s">
        <v>43</v>
      </c>
      <c r="P39" s="2" t="s">
        <v>163</v>
      </c>
      <c r="Q39" s="2" t="s">
        <v>164</v>
      </c>
      <c r="R39" s="2">
        <v>2</v>
      </c>
      <c r="S39" s="2">
        <v>40.5</v>
      </c>
      <c r="T39" s="2">
        <v>9.3150000000000013</v>
      </c>
      <c r="U39" s="2">
        <v>49.814999999999998</v>
      </c>
      <c r="W39" s="5">
        <f t="shared" si="5"/>
        <v>1</v>
      </c>
      <c r="Y39" s="2" t="s">
        <v>3256</v>
      </c>
      <c r="Z39" s="2" t="s">
        <v>46</v>
      </c>
      <c r="AA39" s="2" t="s">
        <v>47</v>
      </c>
      <c r="AB39" s="2" t="s">
        <v>48</v>
      </c>
      <c r="AE39" s="2">
        <f t="shared" si="1"/>
        <v>0</v>
      </c>
      <c r="AI39" s="2">
        <f t="shared" si="2"/>
        <v>0</v>
      </c>
      <c r="AJ39" s="2">
        <f t="shared" si="3"/>
        <v>40.5</v>
      </c>
      <c r="AK39" s="5">
        <f t="shared" si="6"/>
        <v>1</v>
      </c>
    </row>
    <row r="40" spans="1:37" x14ac:dyDescent="0.2">
      <c r="A40" s="2">
        <v>2025</v>
      </c>
      <c r="B40" s="2">
        <v>2</v>
      </c>
      <c r="C40" s="2" t="s">
        <v>37</v>
      </c>
      <c r="D40" s="2" t="s">
        <v>38</v>
      </c>
      <c r="E40" s="2" t="s">
        <v>39</v>
      </c>
      <c r="G40" s="2" t="s">
        <v>40</v>
      </c>
      <c r="O40" s="2" t="s">
        <v>43</v>
      </c>
      <c r="P40" s="2" t="s">
        <v>165</v>
      </c>
      <c r="Q40" s="2" t="s">
        <v>166</v>
      </c>
      <c r="R40" s="2">
        <v>2</v>
      </c>
      <c r="S40" s="2">
        <v>32.39</v>
      </c>
      <c r="T40" s="2">
        <v>7.4497000000000009</v>
      </c>
      <c r="U40" s="2">
        <v>39.839700000000001</v>
      </c>
      <c r="V40" s="2">
        <f>7.9612*R40</f>
        <v>15.9224</v>
      </c>
      <c r="W40" s="5">
        <f t="shared" si="5"/>
        <v>0.50841617783266446</v>
      </c>
      <c r="Y40" s="2" t="s">
        <v>3256</v>
      </c>
      <c r="Z40" s="2" t="s">
        <v>46</v>
      </c>
      <c r="AA40" s="2" t="s">
        <v>68</v>
      </c>
      <c r="AB40" s="2" t="s">
        <v>58</v>
      </c>
      <c r="AE40" s="2">
        <f t="shared" si="1"/>
        <v>0</v>
      </c>
      <c r="AF40" s="2">
        <v>7.9611999999999998</v>
      </c>
      <c r="AG40" s="2">
        <v>14.4</v>
      </c>
      <c r="AI40" s="2">
        <f t="shared" si="2"/>
        <v>0</v>
      </c>
      <c r="AJ40" s="2">
        <f t="shared" si="3"/>
        <v>16.467600000000001</v>
      </c>
      <c r="AK40" s="5">
        <f t="shared" si="6"/>
        <v>0.50841617783266446</v>
      </c>
    </row>
    <row r="41" spans="1:37" x14ac:dyDescent="0.2">
      <c r="A41" s="2">
        <v>2025</v>
      </c>
      <c r="B41" s="2">
        <v>2</v>
      </c>
      <c r="C41" s="2" t="s">
        <v>37</v>
      </c>
      <c r="D41" s="2" t="s">
        <v>38</v>
      </c>
      <c r="E41" s="2" t="s">
        <v>39</v>
      </c>
      <c r="G41" s="2" t="s">
        <v>40</v>
      </c>
      <c r="O41" s="2" t="s">
        <v>167</v>
      </c>
      <c r="P41" s="2" t="s">
        <v>168</v>
      </c>
      <c r="Q41" s="2" t="s">
        <v>169</v>
      </c>
      <c r="R41" s="2">
        <v>5</v>
      </c>
      <c r="S41" s="2">
        <v>25.85</v>
      </c>
      <c r="T41" s="2">
        <v>5.9455000000000009</v>
      </c>
      <c r="U41" s="2">
        <v>31.795500000000001</v>
      </c>
      <c r="W41" s="5">
        <f t="shared" si="5"/>
        <v>1</v>
      </c>
      <c r="Y41" s="2" t="s">
        <v>3256</v>
      </c>
      <c r="Z41" s="2" t="s">
        <v>88</v>
      </c>
      <c r="AA41" s="2" t="s">
        <v>61</v>
      </c>
      <c r="AB41" s="2" t="s">
        <v>167</v>
      </c>
      <c r="AE41" s="2">
        <f t="shared" si="1"/>
        <v>0</v>
      </c>
      <c r="AI41" s="2">
        <f t="shared" si="2"/>
        <v>0</v>
      </c>
      <c r="AJ41" s="2">
        <f t="shared" si="3"/>
        <v>25.85</v>
      </c>
      <c r="AK41" s="5">
        <f t="shared" si="6"/>
        <v>1</v>
      </c>
    </row>
    <row r="42" spans="1:37" x14ac:dyDescent="0.2">
      <c r="A42" s="2">
        <v>2025</v>
      </c>
      <c r="B42" s="2">
        <v>2</v>
      </c>
      <c r="C42" s="2" t="s">
        <v>37</v>
      </c>
      <c r="D42" s="2" t="s">
        <v>38</v>
      </c>
      <c r="E42" s="2" t="s">
        <v>39</v>
      </c>
      <c r="G42" s="2" t="s">
        <v>40</v>
      </c>
      <c r="O42" s="2" t="s">
        <v>73</v>
      </c>
      <c r="P42" s="2" t="s">
        <v>74</v>
      </c>
      <c r="Q42" s="2" t="s">
        <v>75</v>
      </c>
      <c r="R42" s="2">
        <v>2</v>
      </c>
      <c r="S42" s="2">
        <v>403.7</v>
      </c>
      <c r="T42" s="2">
        <v>92.850999999999999</v>
      </c>
      <c r="U42" s="2">
        <v>496.55099999999999</v>
      </c>
      <c r="V42" s="2">
        <v>234.90600000000001</v>
      </c>
      <c r="W42" s="5">
        <f t="shared" si="5"/>
        <v>0.41811741392122859</v>
      </c>
      <c r="Y42" s="2" t="s">
        <v>3256</v>
      </c>
      <c r="Z42" s="2" t="s">
        <v>76</v>
      </c>
      <c r="AA42" s="2" t="s">
        <v>77</v>
      </c>
      <c r="AB42" s="2" t="s">
        <v>78</v>
      </c>
      <c r="AE42" s="2">
        <f t="shared" si="1"/>
        <v>0</v>
      </c>
      <c r="AF42" s="2">
        <v>117.453</v>
      </c>
      <c r="AG42" s="2">
        <v>220</v>
      </c>
      <c r="AI42" s="2">
        <f t="shared" si="2"/>
        <v>0</v>
      </c>
      <c r="AJ42" s="2">
        <f t="shared" si="3"/>
        <v>168.79399999999998</v>
      </c>
      <c r="AK42" s="5">
        <f t="shared" si="6"/>
        <v>0.41811741392122859</v>
      </c>
    </row>
    <row r="43" spans="1:37" x14ac:dyDescent="0.2">
      <c r="A43" s="2">
        <v>2025</v>
      </c>
      <c r="B43" s="2">
        <v>2</v>
      </c>
      <c r="C43" s="2" t="s">
        <v>37</v>
      </c>
      <c r="D43" s="2" t="s">
        <v>38</v>
      </c>
      <c r="E43" s="2" t="s">
        <v>39</v>
      </c>
      <c r="G43" s="2" t="s">
        <v>40</v>
      </c>
      <c r="O43" s="2" t="s">
        <v>170</v>
      </c>
      <c r="P43" s="2" t="s">
        <v>171</v>
      </c>
      <c r="Q43" s="2" t="s">
        <v>171</v>
      </c>
      <c r="R43" s="2">
        <v>1</v>
      </c>
      <c r="S43" s="2">
        <v>8</v>
      </c>
      <c r="T43" s="2">
        <v>1.84</v>
      </c>
      <c r="U43" s="2">
        <v>9.84</v>
      </c>
      <c r="W43" s="5">
        <f t="shared" si="5"/>
        <v>1</v>
      </c>
      <c r="Y43" s="2" t="s">
        <v>170</v>
      </c>
      <c r="Z43" s="2" t="s">
        <v>170</v>
      </c>
      <c r="AE43" s="2">
        <f t="shared" si="1"/>
        <v>0</v>
      </c>
      <c r="AI43" s="2">
        <f t="shared" si="2"/>
        <v>0</v>
      </c>
      <c r="AJ43" s="2">
        <f t="shared" si="3"/>
        <v>8</v>
      </c>
      <c r="AK43" s="5">
        <f t="shared" si="6"/>
        <v>1</v>
      </c>
    </row>
    <row r="44" spans="1:37" x14ac:dyDescent="0.2">
      <c r="A44" s="2">
        <v>2025</v>
      </c>
      <c r="B44" s="2">
        <v>2</v>
      </c>
      <c r="C44" s="2" t="s">
        <v>37</v>
      </c>
      <c r="D44" s="2" t="s">
        <v>38</v>
      </c>
      <c r="E44" s="2" t="s">
        <v>39</v>
      </c>
      <c r="G44" s="2" t="s">
        <v>40</v>
      </c>
      <c r="O44" s="2" t="s">
        <v>94</v>
      </c>
      <c r="P44" s="2" t="s">
        <v>95</v>
      </c>
      <c r="Q44" s="2" t="s">
        <v>96</v>
      </c>
      <c r="R44" s="2">
        <v>2</v>
      </c>
      <c r="S44" s="2">
        <v>2.2799999999999998</v>
      </c>
      <c r="T44" s="2">
        <v>0.52439999999999998</v>
      </c>
      <c r="U44" s="2">
        <v>2.8043999999999998</v>
      </c>
      <c r="V44" s="2">
        <v>2.2799999999999998</v>
      </c>
      <c r="W44" s="5">
        <f t="shared" si="5"/>
        <v>0</v>
      </c>
      <c r="Y44" s="2" t="s">
        <v>3256</v>
      </c>
      <c r="Z44" s="2" t="s">
        <v>97</v>
      </c>
      <c r="AA44" s="2" t="s">
        <v>77</v>
      </c>
      <c r="AB44" s="2" t="s">
        <v>94</v>
      </c>
      <c r="AE44" s="2">
        <f t="shared" si="1"/>
        <v>0</v>
      </c>
      <c r="AI44" s="2">
        <f t="shared" si="2"/>
        <v>0</v>
      </c>
      <c r="AJ44" s="2">
        <f t="shared" si="3"/>
        <v>0</v>
      </c>
      <c r="AK44" s="5">
        <f t="shared" si="6"/>
        <v>0</v>
      </c>
    </row>
    <row r="45" spans="1:37" x14ac:dyDescent="0.2">
      <c r="A45" s="2">
        <v>2025</v>
      </c>
      <c r="B45" s="2">
        <v>2</v>
      </c>
      <c r="C45" s="2" t="s">
        <v>108</v>
      </c>
      <c r="D45" s="2" t="s">
        <v>109</v>
      </c>
      <c r="E45" s="2" t="s">
        <v>39</v>
      </c>
      <c r="F45" s="2">
        <v>507499760</v>
      </c>
      <c r="G45" s="2" t="s">
        <v>110</v>
      </c>
      <c r="H45" s="2" t="s">
        <v>111</v>
      </c>
      <c r="I45" s="2" t="s">
        <v>112</v>
      </c>
      <c r="J45" s="2">
        <v>962002636</v>
      </c>
      <c r="K45" s="2" t="s">
        <v>113</v>
      </c>
      <c r="L45" s="2" t="s">
        <v>40</v>
      </c>
      <c r="N45" s="2" t="s">
        <v>172</v>
      </c>
      <c r="O45" s="2" t="s">
        <v>115</v>
      </c>
      <c r="P45" s="2" t="s">
        <v>173</v>
      </c>
      <c r="Q45" s="2" t="s">
        <v>174</v>
      </c>
      <c r="R45" s="2">
        <v>1</v>
      </c>
      <c r="S45" s="2">
        <v>291.23</v>
      </c>
      <c r="T45" s="2">
        <v>66.982900000000001</v>
      </c>
      <c r="U45" s="2">
        <v>358.21289999999999</v>
      </c>
      <c r="W45" s="5">
        <f t="shared" si="5"/>
        <v>1</v>
      </c>
      <c r="Y45" s="2" t="s">
        <v>118</v>
      </c>
      <c r="Z45" s="2" t="s">
        <v>119</v>
      </c>
      <c r="AA45" s="2" t="s">
        <v>152</v>
      </c>
      <c r="AB45" s="2" t="s">
        <v>115</v>
      </c>
      <c r="AE45" s="2">
        <f t="shared" si="1"/>
        <v>0</v>
      </c>
      <c r="AI45" s="2">
        <f t="shared" si="2"/>
        <v>0</v>
      </c>
      <c r="AJ45" s="2">
        <f t="shared" si="3"/>
        <v>291.23</v>
      </c>
      <c r="AK45" s="5">
        <f t="shared" si="6"/>
        <v>1</v>
      </c>
    </row>
    <row r="46" spans="1:37" x14ac:dyDescent="0.2">
      <c r="A46" s="2">
        <v>2025</v>
      </c>
      <c r="B46" s="2">
        <v>2</v>
      </c>
      <c r="C46" s="2" t="s">
        <v>175</v>
      </c>
      <c r="D46" s="2" t="s">
        <v>38</v>
      </c>
      <c r="F46" s="2">
        <v>507685261</v>
      </c>
      <c r="G46" s="2" t="s">
        <v>41</v>
      </c>
      <c r="H46" s="2" t="s">
        <v>176</v>
      </c>
      <c r="I46" s="2" t="s">
        <v>177</v>
      </c>
      <c r="J46" s="2">
        <v>932748418</v>
      </c>
      <c r="K46" s="2" t="s">
        <v>178</v>
      </c>
      <c r="L46" s="2" t="s">
        <v>40</v>
      </c>
      <c r="N46" s="2" t="s">
        <v>179</v>
      </c>
      <c r="O46" s="2" t="s">
        <v>115</v>
      </c>
      <c r="P46" s="2" t="s">
        <v>180</v>
      </c>
      <c r="Q46" s="2" t="s">
        <v>181</v>
      </c>
      <c r="R46" s="2">
        <v>1</v>
      </c>
      <c r="S46" s="2">
        <v>699.3</v>
      </c>
      <c r="T46" s="2">
        <v>160.839</v>
      </c>
      <c r="U46" s="2">
        <v>860.1389999999999</v>
      </c>
      <c r="V46" s="2">
        <v>346.57</v>
      </c>
      <c r="W46" s="5">
        <f t="shared" si="5"/>
        <v>0.50440440440440437</v>
      </c>
      <c r="Y46" s="2" t="s">
        <v>118</v>
      </c>
      <c r="Z46" s="2" t="s">
        <v>182</v>
      </c>
      <c r="AE46" s="2">
        <f t="shared" si="1"/>
        <v>0</v>
      </c>
      <c r="AI46" s="2">
        <f t="shared" si="2"/>
        <v>0</v>
      </c>
      <c r="AJ46" s="2">
        <f t="shared" si="3"/>
        <v>352.72999999999996</v>
      </c>
      <c r="AK46" s="5">
        <f t="shared" si="6"/>
        <v>0.50440440440440437</v>
      </c>
    </row>
    <row r="47" spans="1:37" x14ac:dyDescent="0.2">
      <c r="A47" s="2">
        <v>2025</v>
      </c>
      <c r="B47" s="2">
        <v>2</v>
      </c>
      <c r="C47" s="2" t="s">
        <v>183</v>
      </c>
      <c r="D47" s="2" t="s">
        <v>184</v>
      </c>
      <c r="E47" s="2" t="s">
        <v>185</v>
      </c>
      <c r="F47" s="2">
        <v>503116920</v>
      </c>
      <c r="G47" s="2" t="s">
        <v>41</v>
      </c>
      <c r="H47" s="2" t="s">
        <v>186</v>
      </c>
      <c r="I47" s="2" t="s">
        <v>187</v>
      </c>
      <c r="J47" s="2">
        <v>919591406</v>
      </c>
      <c r="K47" s="2" t="s">
        <v>100</v>
      </c>
      <c r="L47" s="2" t="s">
        <v>40</v>
      </c>
      <c r="O47" s="2" t="s">
        <v>115</v>
      </c>
      <c r="P47" s="2" t="s">
        <v>180</v>
      </c>
      <c r="Q47" s="2" t="s">
        <v>181</v>
      </c>
      <c r="R47" s="2">
        <v>1</v>
      </c>
      <c r="S47" s="2">
        <v>699.3</v>
      </c>
      <c r="T47" s="2">
        <v>160.839</v>
      </c>
      <c r="U47" s="2">
        <v>860.1389999999999</v>
      </c>
      <c r="V47" s="2">
        <v>346.57</v>
      </c>
      <c r="W47" s="5">
        <f t="shared" si="5"/>
        <v>0.50440440440440437</v>
      </c>
      <c r="Y47" s="2" t="s">
        <v>118</v>
      </c>
      <c r="Z47" s="2" t="s">
        <v>182</v>
      </c>
      <c r="AE47" s="2">
        <f t="shared" si="1"/>
        <v>0</v>
      </c>
      <c r="AI47" s="2">
        <f t="shared" si="2"/>
        <v>0</v>
      </c>
      <c r="AJ47" s="2">
        <f t="shared" si="3"/>
        <v>352.72999999999996</v>
      </c>
      <c r="AK47" s="5">
        <f t="shared" si="6"/>
        <v>0.50440440440440437</v>
      </c>
    </row>
    <row r="48" spans="1:37" x14ac:dyDescent="0.2">
      <c r="A48" s="2">
        <v>2025</v>
      </c>
      <c r="B48" s="2">
        <v>1</v>
      </c>
      <c r="C48" s="2" t="s">
        <v>131</v>
      </c>
      <c r="D48" s="2" t="s">
        <v>38</v>
      </c>
      <c r="F48" s="2">
        <v>503989959</v>
      </c>
      <c r="G48" s="2" t="s">
        <v>110</v>
      </c>
      <c r="H48" s="2" t="s">
        <v>132</v>
      </c>
      <c r="I48" s="2" t="s">
        <v>133</v>
      </c>
      <c r="K48" s="2" t="s">
        <v>134</v>
      </c>
      <c r="L48" s="2" t="s">
        <v>40</v>
      </c>
      <c r="N48" s="2" t="s">
        <v>135</v>
      </c>
      <c r="O48" s="2" t="s">
        <v>188</v>
      </c>
      <c r="P48" s="2" t="s">
        <v>189</v>
      </c>
      <c r="Q48" s="2" t="s">
        <v>190</v>
      </c>
      <c r="R48" s="2">
        <v>1</v>
      </c>
      <c r="S48" s="2">
        <v>103</v>
      </c>
      <c r="T48" s="2">
        <v>23.69</v>
      </c>
      <c r="U48" s="2">
        <v>126.69</v>
      </c>
      <c r="W48" s="5">
        <f t="shared" si="5"/>
        <v>1</v>
      </c>
      <c r="X48" s="2" t="s">
        <v>40</v>
      </c>
      <c r="Y48" s="2" t="s">
        <v>118</v>
      </c>
      <c r="Z48" s="2" t="s">
        <v>191</v>
      </c>
      <c r="AE48" s="2">
        <f t="shared" si="1"/>
        <v>0</v>
      </c>
      <c r="AI48" s="2">
        <f t="shared" si="2"/>
        <v>0</v>
      </c>
      <c r="AJ48" s="2">
        <f t="shared" si="3"/>
        <v>103</v>
      </c>
      <c r="AK48" s="5">
        <f t="shared" si="6"/>
        <v>1</v>
      </c>
    </row>
    <row r="49" spans="1:37" x14ac:dyDescent="0.2">
      <c r="A49" s="2">
        <v>2025</v>
      </c>
      <c r="B49" s="2">
        <v>1</v>
      </c>
      <c r="C49" s="2" t="s">
        <v>131</v>
      </c>
      <c r="D49" s="2" t="s">
        <v>38</v>
      </c>
      <c r="F49" s="2">
        <v>503989959</v>
      </c>
      <c r="G49" s="2" t="s">
        <v>110</v>
      </c>
      <c r="H49" s="2" t="s">
        <v>132</v>
      </c>
      <c r="I49" s="2" t="s">
        <v>133</v>
      </c>
      <c r="K49" s="2" t="s">
        <v>134</v>
      </c>
      <c r="L49" s="2" t="s">
        <v>40</v>
      </c>
      <c r="N49" s="2" t="s">
        <v>135</v>
      </c>
      <c r="O49" s="2" t="s">
        <v>188</v>
      </c>
      <c r="P49" s="2" t="s">
        <v>192</v>
      </c>
      <c r="Q49" s="2" t="s">
        <v>191</v>
      </c>
      <c r="R49" s="2">
        <v>2</v>
      </c>
      <c r="S49" s="2">
        <v>100</v>
      </c>
      <c r="T49" s="2">
        <v>23</v>
      </c>
      <c r="U49" s="2">
        <v>123</v>
      </c>
      <c r="W49" s="5">
        <f t="shared" si="5"/>
        <v>1</v>
      </c>
      <c r="X49" s="2" t="s">
        <v>40</v>
      </c>
      <c r="Y49" s="2" t="s">
        <v>118</v>
      </c>
      <c r="Z49" s="2" t="s">
        <v>191</v>
      </c>
      <c r="AE49" s="2">
        <f t="shared" si="1"/>
        <v>0</v>
      </c>
      <c r="AI49" s="2">
        <f t="shared" si="2"/>
        <v>0</v>
      </c>
      <c r="AJ49" s="2">
        <f t="shared" si="3"/>
        <v>100</v>
      </c>
      <c r="AK49" s="5">
        <f t="shared" si="6"/>
        <v>1</v>
      </c>
    </row>
    <row r="50" spans="1:37" x14ac:dyDescent="0.2">
      <c r="A50" s="2">
        <v>2025</v>
      </c>
      <c r="B50" s="2">
        <v>2</v>
      </c>
      <c r="C50" s="2" t="s">
        <v>193</v>
      </c>
      <c r="D50" s="2" t="s">
        <v>109</v>
      </c>
      <c r="E50" s="2" t="s">
        <v>194</v>
      </c>
      <c r="F50" s="2">
        <v>502044411</v>
      </c>
      <c r="G50" s="2" t="s">
        <v>40</v>
      </c>
      <c r="H50" s="2" t="s">
        <v>157</v>
      </c>
      <c r="I50" s="2" t="s">
        <v>195</v>
      </c>
      <c r="K50" s="2" t="s">
        <v>100</v>
      </c>
      <c r="L50" s="2" t="s">
        <v>81</v>
      </c>
      <c r="N50" s="2" t="s">
        <v>196</v>
      </c>
      <c r="O50" s="2" t="s">
        <v>73</v>
      </c>
      <c r="P50" s="2" t="s">
        <v>197</v>
      </c>
      <c r="Q50" s="2" t="s">
        <v>198</v>
      </c>
      <c r="R50" s="2">
        <v>1</v>
      </c>
      <c r="S50" s="2">
        <v>345</v>
      </c>
      <c r="T50" s="2">
        <v>79.350000000000009</v>
      </c>
      <c r="U50" s="2">
        <v>424.35</v>
      </c>
      <c r="V50" s="2">
        <v>187.99</v>
      </c>
      <c r="W50" s="5">
        <f t="shared" si="5"/>
        <v>0.45510144927536228</v>
      </c>
      <c r="Y50" s="2" t="s">
        <v>3256</v>
      </c>
      <c r="Z50" s="2" t="s">
        <v>76</v>
      </c>
      <c r="AA50" s="2" t="s">
        <v>77</v>
      </c>
      <c r="AB50" s="2" t="s">
        <v>78</v>
      </c>
      <c r="AE50" s="2">
        <f t="shared" si="1"/>
        <v>0</v>
      </c>
      <c r="AF50" s="2">
        <v>187.99</v>
      </c>
      <c r="AI50" s="2">
        <f t="shared" si="2"/>
        <v>0</v>
      </c>
      <c r="AJ50" s="2">
        <f t="shared" si="3"/>
        <v>157.01</v>
      </c>
      <c r="AK50" s="5">
        <f t="shared" si="6"/>
        <v>0.45510144927536228</v>
      </c>
    </row>
    <row r="51" spans="1:37" x14ac:dyDescent="0.2">
      <c r="A51" s="2">
        <v>2025</v>
      </c>
      <c r="B51" s="2">
        <v>2</v>
      </c>
      <c r="C51" s="2" t="s">
        <v>193</v>
      </c>
      <c r="D51" s="2" t="s">
        <v>109</v>
      </c>
      <c r="E51" s="2" t="s">
        <v>194</v>
      </c>
      <c r="F51" s="2">
        <v>502044411</v>
      </c>
      <c r="G51" s="2" t="s">
        <v>40</v>
      </c>
      <c r="H51" s="2" t="s">
        <v>157</v>
      </c>
      <c r="I51" s="2" t="s">
        <v>195</v>
      </c>
      <c r="K51" s="2" t="s">
        <v>100</v>
      </c>
      <c r="L51" s="2" t="s">
        <v>81</v>
      </c>
      <c r="N51" s="2" t="s">
        <v>196</v>
      </c>
      <c r="O51" s="2" t="s">
        <v>94</v>
      </c>
      <c r="P51" s="2" t="s">
        <v>95</v>
      </c>
      <c r="Q51" s="2" t="s">
        <v>96</v>
      </c>
      <c r="R51" s="2">
        <v>1</v>
      </c>
      <c r="S51" s="2">
        <v>1.1399999999999999</v>
      </c>
      <c r="T51" s="2">
        <v>0.26219999999999999</v>
      </c>
      <c r="U51" s="2">
        <v>1.4021999999999999</v>
      </c>
      <c r="V51" s="2">
        <v>1.1399999999999999</v>
      </c>
      <c r="W51" s="5">
        <f t="shared" si="5"/>
        <v>0</v>
      </c>
      <c r="Y51" s="2" t="s">
        <v>3256</v>
      </c>
      <c r="Z51" s="2" t="s">
        <v>97</v>
      </c>
      <c r="AA51" s="2" t="s">
        <v>77</v>
      </c>
      <c r="AB51" s="2" t="s">
        <v>94</v>
      </c>
      <c r="AE51" s="2">
        <f t="shared" si="1"/>
        <v>0</v>
      </c>
      <c r="AI51" s="2">
        <f t="shared" si="2"/>
        <v>0</v>
      </c>
      <c r="AJ51" s="2">
        <f t="shared" si="3"/>
        <v>0</v>
      </c>
      <c r="AK51" s="5">
        <f t="shared" si="6"/>
        <v>0</v>
      </c>
    </row>
    <row r="52" spans="1:37" x14ac:dyDescent="0.2">
      <c r="A52" s="2">
        <v>2025</v>
      </c>
      <c r="B52" s="2">
        <v>2</v>
      </c>
      <c r="C52" s="2" t="s">
        <v>199</v>
      </c>
      <c r="D52" s="2" t="s">
        <v>109</v>
      </c>
      <c r="F52" s="2">
        <v>507541120</v>
      </c>
      <c r="G52" s="2" t="s">
        <v>40</v>
      </c>
      <c r="H52" s="2" t="s">
        <v>200</v>
      </c>
      <c r="I52" s="2" t="s">
        <v>201</v>
      </c>
      <c r="K52" s="2" t="s">
        <v>202</v>
      </c>
      <c r="L52" s="2" t="s">
        <v>41</v>
      </c>
      <c r="O52" s="2" t="s">
        <v>73</v>
      </c>
      <c r="P52" s="2" t="s">
        <v>74</v>
      </c>
      <c r="Q52" s="2" t="s">
        <v>75</v>
      </c>
      <c r="R52" s="2">
        <v>1</v>
      </c>
      <c r="S52" s="2">
        <v>185</v>
      </c>
      <c r="T52" s="2">
        <v>42.55</v>
      </c>
      <c r="U52" s="2">
        <v>227.55</v>
      </c>
      <c r="V52" s="2">
        <v>117.453</v>
      </c>
      <c r="W52" s="5">
        <f t="shared" si="5"/>
        <v>0.3651189189189189</v>
      </c>
      <c r="Y52" s="2" t="s">
        <v>3256</v>
      </c>
      <c r="Z52" s="2" t="s">
        <v>76</v>
      </c>
      <c r="AA52" s="2" t="s">
        <v>77</v>
      </c>
      <c r="AB52" s="2" t="s">
        <v>78</v>
      </c>
      <c r="AE52" s="2">
        <f t="shared" si="1"/>
        <v>0</v>
      </c>
      <c r="AF52" s="2">
        <v>117.453</v>
      </c>
      <c r="AG52" s="2">
        <v>220</v>
      </c>
      <c r="AI52" s="2">
        <f t="shared" si="2"/>
        <v>0</v>
      </c>
      <c r="AJ52" s="2">
        <f t="shared" si="3"/>
        <v>67.546999999999997</v>
      </c>
      <c r="AK52" s="5">
        <f t="shared" si="6"/>
        <v>0.3651189189189189</v>
      </c>
    </row>
    <row r="53" spans="1:37" x14ac:dyDescent="0.2">
      <c r="A53" s="2">
        <v>2025</v>
      </c>
      <c r="B53" s="2">
        <v>2</v>
      </c>
      <c r="C53" s="2" t="s">
        <v>199</v>
      </c>
      <c r="D53" s="2" t="s">
        <v>109</v>
      </c>
      <c r="F53" s="2">
        <v>507541120</v>
      </c>
      <c r="G53" s="2" t="s">
        <v>40</v>
      </c>
      <c r="H53" s="2" t="s">
        <v>200</v>
      </c>
      <c r="I53" s="2" t="s">
        <v>201</v>
      </c>
      <c r="K53" s="2" t="s">
        <v>202</v>
      </c>
      <c r="L53" s="2" t="s">
        <v>41</v>
      </c>
      <c r="O53" s="2" t="s">
        <v>73</v>
      </c>
      <c r="P53" s="2" t="s">
        <v>203</v>
      </c>
      <c r="Q53" s="2" t="s">
        <v>198</v>
      </c>
      <c r="R53" s="8">
        <v>1</v>
      </c>
      <c r="S53" s="2">
        <v>260</v>
      </c>
      <c r="T53" s="2">
        <v>59.8</v>
      </c>
      <c r="U53" s="2">
        <v>319.8</v>
      </c>
      <c r="V53" s="2">
        <v>152.85</v>
      </c>
      <c r="W53" s="5">
        <f t="shared" si="5"/>
        <v>0.41211538461538466</v>
      </c>
      <c r="Y53" s="2" t="s">
        <v>3256</v>
      </c>
      <c r="Z53" s="2" t="s">
        <v>76</v>
      </c>
      <c r="AA53" s="2" t="s">
        <v>77</v>
      </c>
      <c r="AB53" s="2" t="s">
        <v>78</v>
      </c>
      <c r="AE53" s="2">
        <f t="shared" si="1"/>
        <v>0</v>
      </c>
      <c r="AF53" s="2">
        <v>152.85</v>
      </c>
      <c r="AG53" s="2">
        <v>260</v>
      </c>
      <c r="AI53" s="2">
        <f t="shared" si="2"/>
        <v>0</v>
      </c>
      <c r="AJ53" s="2">
        <f t="shared" si="3"/>
        <v>107.15</v>
      </c>
      <c r="AK53" s="5">
        <f t="shared" si="6"/>
        <v>0.41211538461538466</v>
      </c>
    </row>
    <row r="54" spans="1:37" x14ac:dyDescent="0.2">
      <c r="A54" s="2">
        <v>2025</v>
      </c>
      <c r="B54" s="2">
        <v>2</v>
      </c>
      <c r="C54" s="2" t="s">
        <v>199</v>
      </c>
      <c r="D54" s="2" t="s">
        <v>109</v>
      </c>
      <c r="F54" s="2">
        <v>507541120</v>
      </c>
      <c r="G54" s="2" t="s">
        <v>40</v>
      </c>
      <c r="H54" s="2" t="s">
        <v>200</v>
      </c>
      <c r="I54" s="2" t="s">
        <v>201</v>
      </c>
      <c r="K54" s="2" t="s">
        <v>202</v>
      </c>
      <c r="L54" s="2" t="s">
        <v>41</v>
      </c>
      <c r="O54" s="2" t="s">
        <v>94</v>
      </c>
      <c r="P54" s="2" t="s">
        <v>95</v>
      </c>
      <c r="Q54" s="2" t="s">
        <v>96</v>
      </c>
      <c r="R54" s="2">
        <v>2</v>
      </c>
      <c r="S54" s="2">
        <v>2.2799999999999998</v>
      </c>
      <c r="T54" s="2">
        <v>0.52439999999999998</v>
      </c>
      <c r="U54" s="2">
        <v>2.8043999999999998</v>
      </c>
      <c r="V54" s="2">
        <v>2.2799999999999998</v>
      </c>
      <c r="W54" s="5">
        <f t="shared" si="5"/>
        <v>0</v>
      </c>
      <c r="Y54" s="2" t="s">
        <v>3256</v>
      </c>
      <c r="Z54" s="2" t="s">
        <v>97</v>
      </c>
      <c r="AA54" s="2" t="s">
        <v>77</v>
      </c>
      <c r="AB54" s="2" t="s">
        <v>94</v>
      </c>
      <c r="AE54" s="2">
        <f t="shared" si="1"/>
        <v>0</v>
      </c>
      <c r="AI54" s="2">
        <f t="shared" si="2"/>
        <v>0</v>
      </c>
      <c r="AJ54" s="2">
        <f t="shared" si="3"/>
        <v>0</v>
      </c>
      <c r="AK54" s="5">
        <f t="shared" si="6"/>
        <v>0</v>
      </c>
    </row>
    <row r="55" spans="1:37" x14ac:dyDescent="0.2">
      <c r="A55" s="2">
        <v>2025</v>
      </c>
      <c r="B55" s="2">
        <v>3</v>
      </c>
      <c r="C55" s="2" t="s">
        <v>37</v>
      </c>
      <c r="D55" s="2" t="s">
        <v>38</v>
      </c>
      <c r="E55" s="2" t="s">
        <v>39</v>
      </c>
      <c r="G55" s="2" t="s">
        <v>40</v>
      </c>
      <c r="L55" s="2" t="s">
        <v>41</v>
      </c>
      <c r="N55" s="2" t="s">
        <v>204</v>
      </c>
      <c r="O55" s="2" t="s">
        <v>43</v>
      </c>
      <c r="P55" s="2" t="s">
        <v>44</v>
      </c>
      <c r="Q55" s="2" t="s">
        <v>45</v>
      </c>
      <c r="R55" s="2">
        <v>1</v>
      </c>
      <c r="S55" s="2">
        <v>25.2</v>
      </c>
      <c r="T55" s="2">
        <v>5.7960000000000003</v>
      </c>
      <c r="U55" s="2">
        <v>30.995999999999999</v>
      </c>
      <c r="V55" s="2">
        <v>14.535</v>
      </c>
      <c r="W55" s="5">
        <f t="shared" si="5"/>
        <v>0.42321428571428571</v>
      </c>
      <c r="Y55" s="2" t="s">
        <v>3256</v>
      </c>
      <c r="Z55" s="2" t="s">
        <v>46</v>
      </c>
      <c r="AA55" s="2" t="s">
        <v>47</v>
      </c>
      <c r="AB55" s="2" t="s">
        <v>48</v>
      </c>
      <c r="AE55" s="2">
        <f t="shared" si="1"/>
        <v>0</v>
      </c>
      <c r="AF55" s="2">
        <v>14.535</v>
      </c>
      <c r="AG55" s="2">
        <v>25.2</v>
      </c>
      <c r="AI55" s="2">
        <f t="shared" si="2"/>
        <v>0</v>
      </c>
      <c r="AJ55" s="2">
        <f t="shared" si="3"/>
        <v>10.664999999999999</v>
      </c>
      <c r="AK55" s="5">
        <f t="shared" si="6"/>
        <v>0.42321428571428571</v>
      </c>
    </row>
    <row r="56" spans="1:37" x14ac:dyDescent="0.2">
      <c r="A56" s="2">
        <v>2025</v>
      </c>
      <c r="B56" s="2">
        <v>3</v>
      </c>
      <c r="C56" s="2" t="s">
        <v>37</v>
      </c>
      <c r="D56" s="2" t="s">
        <v>38</v>
      </c>
      <c r="E56" s="2" t="s">
        <v>39</v>
      </c>
      <c r="G56" s="2" t="s">
        <v>40</v>
      </c>
      <c r="O56" s="2" t="s">
        <v>43</v>
      </c>
      <c r="P56" s="2" t="s">
        <v>49</v>
      </c>
      <c r="Q56" s="2" t="s">
        <v>50</v>
      </c>
      <c r="R56" s="2">
        <v>3</v>
      </c>
      <c r="S56" s="2">
        <v>30</v>
      </c>
      <c r="T56" s="2">
        <v>6.9</v>
      </c>
      <c r="U56" s="2">
        <v>36.9</v>
      </c>
      <c r="V56" s="2">
        <f>6.6267*R56</f>
        <v>19.880099999999999</v>
      </c>
      <c r="W56" s="5">
        <f t="shared" si="5"/>
        <v>0.33733000000000002</v>
      </c>
      <c r="Y56" s="2" t="s">
        <v>3256</v>
      </c>
      <c r="Z56" s="2" t="s">
        <v>46</v>
      </c>
      <c r="AA56" s="2" t="s">
        <v>47</v>
      </c>
      <c r="AB56" s="2" t="s">
        <v>48</v>
      </c>
      <c r="AE56" s="2">
        <f t="shared" si="1"/>
        <v>0</v>
      </c>
      <c r="AF56" s="2">
        <v>6.6266999999999996</v>
      </c>
      <c r="AG56" s="2">
        <v>12</v>
      </c>
      <c r="AI56" s="2">
        <f t="shared" si="2"/>
        <v>0</v>
      </c>
      <c r="AJ56" s="2">
        <f t="shared" si="3"/>
        <v>10.119900000000001</v>
      </c>
      <c r="AK56" s="5">
        <f t="shared" si="6"/>
        <v>0.33733000000000002</v>
      </c>
    </row>
    <row r="57" spans="1:37" x14ac:dyDescent="0.2">
      <c r="A57" s="2">
        <v>2025</v>
      </c>
      <c r="B57" s="2">
        <v>3</v>
      </c>
      <c r="C57" s="2" t="s">
        <v>37</v>
      </c>
      <c r="D57" s="2" t="s">
        <v>38</v>
      </c>
      <c r="E57" s="2" t="s">
        <v>39</v>
      </c>
      <c r="G57" s="2" t="s">
        <v>40</v>
      </c>
      <c r="O57" s="2" t="s">
        <v>43</v>
      </c>
      <c r="P57" s="2" t="s">
        <v>55</v>
      </c>
      <c r="Q57" s="2" t="s">
        <v>56</v>
      </c>
      <c r="R57" s="2">
        <v>4</v>
      </c>
      <c r="S57" s="2">
        <v>66</v>
      </c>
      <c r="T57" s="2">
        <v>15.18</v>
      </c>
      <c r="U57" s="2">
        <v>81.180000000000007</v>
      </c>
      <c r="V57" s="2">
        <f>10.6*R57</f>
        <v>42.4</v>
      </c>
      <c r="W57" s="5">
        <f t="shared" si="5"/>
        <v>0.3575757575757576</v>
      </c>
      <c r="Y57" s="2" t="s">
        <v>3256</v>
      </c>
      <c r="Z57" s="2" t="s">
        <v>46</v>
      </c>
      <c r="AA57" s="2" t="s">
        <v>57</v>
      </c>
      <c r="AB57" s="2" t="s">
        <v>58</v>
      </c>
      <c r="AE57" s="2">
        <f t="shared" si="1"/>
        <v>0</v>
      </c>
      <c r="AF57" s="2">
        <v>10.6</v>
      </c>
      <c r="AG57" s="2">
        <v>18</v>
      </c>
      <c r="AI57" s="2">
        <f t="shared" si="2"/>
        <v>0</v>
      </c>
      <c r="AJ57" s="2">
        <f t="shared" si="3"/>
        <v>23.6</v>
      </c>
      <c r="AK57" s="5">
        <f t="shared" si="6"/>
        <v>0.3575757575757576</v>
      </c>
    </row>
    <row r="58" spans="1:37" x14ac:dyDescent="0.2">
      <c r="A58" s="2">
        <v>2025</v>
      </c>
      <c r="B58" s="2">
        <v>3</v>
      </c>
      <c r="C58" s="2" t="s">
        <v>37</v>
      </c>
      <c r="D58" s="2" t="s">
        <v>38</v>
      </c>
      <c r="E58" s="2" t="s">
        <v>39</v>
      </c>
      <c r="G58" s="2" t="s">
        <v>40</v>
      </c>
      <c r="O58" s="2" t="s">
        <v>43</v>
      </c>
      <c r="P58" s="2" t="s">
        <v>62</v>
      </c>
      <c r="Q58" s="2" t="s">
        <v>63</v>
      </c>
      <c r="R58" s="2">
        <v>1300</v>
      </c>
      <c r="S58" s="2">
        <v>143</v>
      </c>
      <c r="T58" s="2">
        <v>32.89</v>
      </c>
      <c r="U58" s="2">
        <v>175.89</v>
      </c>
      <c r="V58" s="2">
        <f>0.082*R58</f>
        <v>106.60000000000001</v>
      </c>
      <c r="W58" s="5">
        <f t="shared" si="5"/>
        <v>0.25454545454545446</v>
      </c>
      <c r="Y58" s="2" t="s">
        <v>3256</v>
      </c>
      <c r="Z58" s="2" t="s">
        <v>46</v>
      </c>
      <c r="AA58" s="2" t="s">
        <v>61</v>
      </c>
      <c r="AB58" s="2" t="s">
        <v>58</v>
      </c>
      <c r="AE58" s="2">
        <f t="shared" si="1"/>
        <v>0</v>
      </c>
      <c r="AF58" s="2">
        <v>8.1999999999999993</v>
      </c>
      <c r="AG58" s="2">
        <v>13</v>
      </c>
      <c r="AI58" s="2">
        <f t="shared" si="2"/>
        <v>0</v>
      </c>
      <c r="AJ58" s="2">
        <f t="shared" si="3"/>
        <v>36.399999999999991</v>
      </c>
      <c r="AK58" s="5">
        <f t="shared" si="6"/>
        <v>0.25454545454545446</v>
      </c>
    </row>
    <row r="59" spans="1:37" x14ac:dyDescent="0.2">
      <c r="A59" s="2">
        <v>2025</v>
      </c>
      <c r="B59" s="2">
        <v>3</v>
      </c>
      <c r="C59" s="2" t="s">
        <v>37</v>
      </c>
      <c r="D59" s="2" t="s">
        <v>38</v>
      </c>
      <c r="E59" s="2" t="s">
        <v>39</v>
      </c>
      <c r="G59" s="2" t="s">
        <v>40</v>
      </c>
      <c r="O59" s="2" t="s">
        <v>43</v>
      </c>
      <c r="P59" s="2" t="s">
        <v>205</v>
      </c>
      <c r="Q59" s="2" t="s">
        <v>206</v>
      </c>
      <c r="R59" s="2">
        <v>2</v>
      </c>
      <c r="S59" s="2">
        <v>4.8</v>
      </c>
      <c r="T59" s="2">
        <v>1.1040000000000001</v>
      </c>
      <c r="U59" s="2">
        <v>5.9039999999999999</v>
      </c>
      <c r="V59" s="2">
        <f>1.832*R59</f>
        <v>3.6640000000000001</v>
      </c>
      <c r="W59" s="5">
        <f t="shared" ref="W59:W90" si="7">(S59-V59)/S59</f>
        <v>0.23666666666666661</v>
      </c>
      <c r="Y59" s="2" t="s">
        <v>3256</v>
      </c>
      <c r="Z59" s="2" t="s">
        <v>46</v>
      </c>
      <c r="AA59" s="2" t="s">
        <v>61</v>
      </c>
      <c r="AB59" s="2" t="s">
        <v>58</v>
      </c>
      <c r="AE59" s="2">
        <f t="shared" si="1"/>
        <v>0</v>
      </c>
      <c r="AF59" s="2">
        <v>1.8320000000000001</v>
      </c>
      <c r="AG59" s="2">
        <v>2.4</v>
      </c>
      <c r="AI59" s="2">
        <f t="shared" si="2"/>
        <v>0</v>
      </c>
      <c r="AJ59" s="2">
        <f t="shared" si="3"/>
        <v>1.1359999999999997</v>
      </c>
      <c r="AK59" s="5">
        <f t="shared" si="6"/>
        <v>0.23666666666666661</v>
      </c>
    </row>
    <row r="60" spans="1:37" x14ac:dyDescent="0.2">
      <c r="A60" s="2">
        <v>2025</v>
      </c>
      <c r="B60" s="2">
        <v>3</v>
      </c>
      <c r="C60" s="2" t="s">
        <v>37</v>
      </c>
      <c r="D60" s="2" t="s">
        <v>38</v>
      </c>
      <c r="E60" s="2" t="s">
        <v>39</v>
      </c>
      <c r="G60" s="2" t="s">
        <v>40</v>
      </c>
      <c r="O60" s="2" t="s">
        <v>73</v>
      </c>
      <c r="P60" s="2" t="s">
        <v>207</v>
      </c>
      <c r="Q60" s="2" t="s">
        <v>208</v>
      </c>
      <c r="R60" s="2">
        <v>1</v>
      </c>
      <c r="S60" s="2">
        <v>560</v>
      </c>
      <c r="T60" s="2">
        <v>128.80000000000001</v>
      </c>
      <c r="U60" s="2">
        <v>688.8</v>
      </c>
      <c r="V60" s="2">
        <f>291.59*R60</f>
        <v>291.58999999999997</v>
      </c>
      <c r="W60" s="5">
        <f t="shared" si="7"/>
        <v>0.4793035714285715</v>
      </c>
      <c r="Y60" s="2" t="s">
        <v>3256</v>
      </c>
      <c r="Z60" s="2" t="s">
        <v>76</v>
      </c>
      <c r="AA60" s="2" t="s">
        <v>77</v>
      </c>
      <c r="AB60" s="2" t="s">
        <v>78</v>
      </c>
      <c r="AE60" s="2">
        <f t="shared" si="1"/>
        <v>0</v>
      </c>
      <c r="AF60" s="2">
        <v>291.58999999999997</v>
      </c>
      <c r="AG60" s="2">
        <v>450</v>
      </c>
      <c r="AI60" s="2">
        <f t="shared" si="2"/>
        <v>0</v>
      </c>
      <c r="AJ60" s="2">
        <f t="shared" si="3"/>
        <v>268.41000000000003</v>
      </c>
      <c r="AK60" s="5">
        <f t="shared" si="6"/>
        <v>0.4793035714285715</v>
      </c>
    </row>
    <row r="61" spans="1:37" x14ac:dyDescent="0.2">
      <c r="A61" s="2">
        <v>2025</v>
      </c>
      <c r="B61" s="2">
        <v>3</v>
      </c>
      <c r="C61" s="2" t="s">
        <v>37</v>
      </c>
      <c r="D61" s="2" t="s">
        <v>38</v>
      </c>
      <c r="E61" s="2" t="s">
        <v>39</v>
      </c>
      <c r="G61" s="2" t="s">
        <v>40</v>
      </c>
      <c r="O61" s="2" t="s">
        <v>94</v>
      </c>
      <c r="P61" s="2" t="s">
        <v>95</v>
      </c>
      <c r="Q61" s="2" t="s">
        <v>96</v>
      </c>
      <c r="R61" s="2">
        <v>1</v>
      </c>
      <c r="S61" s="2">
        <v>1.1399999999999999</v>
      </c>
      <c r="T61" s="2">
        <v>0.26219999999999999</v>
      </c>
      <c r="U61" s="2">
        <v>1.4021999999999999</v>
      </c>
      <c r="V61" s="2">
        <v>1.1399999999999999</v>
      </c>
      <c r="W61" s="5">
        <f t="shared" si="7"/>
        <v>0</v>
      </c>
      <c r="Y61" s="2" t="s">
        <v>3256</v>
      </c>
      <c r="Z61" s="2" t="s">
        <v>97</v>
      </c>
      <c r="AA61" s="2" t="s">
        <v>77</v>
      </c>
      <c r="AB61" s="2" t="s">
        <v>94</v>
      </c>
      <c r="AE61" s="2">
        <f t="shared" si="1"/>
        <v>0</v>
      </c>
      <c r="AI61" s="2">
        <f t="shared" si="2"/>
        <v>0</v>
      </c>
      <c r="AJ61" s="2">
        <f t="shared" si="3"/>
        <v>0</v>
      </c>
      <c r="AK61" s="5">
        <f t="shared" si="6"/>
        <v>0</v>
      </c>
    </row>
    <row r="62" spans="1:37" x14ac:dyDescent="0.2">
      <c r="A62" s="2">
        <v>2025</v>
      </c>
      <c r="B62" s="2">
        <v>3</v>
      </c>
      <c r="C62" s="2" t="s">
        <v>98</v>
      </c>
      <c r="D62" s="2" t="s">
        <v>99</v>
      </c>
      <c r="E62" s="2" t="s">
        <v>39</v>
      </c>
      <c r="F62" s="2">
        <v>517450925</v>
      </c>
      <c r="G62" s="2" t="s">
        <v>40</v>
      </c>
      <c r="H62" s="2" t="s">
        <v>100</v>
      </c>
      <c r="I62" s="2" t="s">
        <v>101</v>
      </c>
      <c r="K62" s="2" t="s">
        <v>100</v>
      </c>
      <c r="L62" s="2" t="s">
        <v>40</v>
      </c>
      <c r="O62" s="2" t="s">
        <v>115</v>
      </c>
      <c r="P62" s="2" t="s">
        <v>180</v>
      </c>
      <c r="Q62" s="2" t="s">
        <v>181</v>
      </c>
      <c r="R62" s="2">
        <v>1</v>
      </c>
      <c r="S62" s="2">
        <v>525</v>
      </c>
      <c r="T62" s="2">
        <v>120.75</v>
      </c>
      <c r="U62" s="2">
        <v>645.75</v>
      </c>
      <c r="V62" s="2">
        <v>346.57</v>
      </c>
      <c r="W62" s="5">
        <f t="shared" si="7"/>
        <v>0.33986666666666671</v>
      </c>
      <c r="Y62" s="2" t="s">
        <v>118</v>
      </c>
      <c r="Z62" s="2" t="s">
        <v>182</v>
      </c>
      <c r="AE62" s="2">
        <f t="shared" si="1"/>
        <v>0</v>
      </c>
      <c r="AI62" s="2">
        <f t="shared" si="2"/>
        <v>0</v>
      </c>
      <c r="AJ62" s="2">
        <f t="shared" si="3"/>
        <v>178.43</v>
      </c>
      <c r="AK62" s="5">
        <f t="shared" si="6"/>
        <v>0.33986666666666671</v>
      </c>
    </row>
    <row r="63" spans="1:37" x14ac:dyDescent="0.2">
      <c r="A63" s="2">
        <v>2025</v>
      </c>
      <c r="B63" s="2">
        <v>3</v>
      </c>
      <c r="C63" s="2" t="s">
        <v>98</v>
      </c>
      <c r="D63" s="2" t="s">
        <v>99</v>
      </c>
      <c r="E63" s="2" t="s">
        <v>39</v>
      </c>
      <c r="F63" s="2">
        <v>517450925</v>
      </c>
      <c r="G63" s="2" t="s">
        <v>40</v>
      </c>
      <c r="H63" s="2" t="s">
        <v>100</v>
      </c>
      <c r="I63" s="2" t="s">
        <v>101</v>
      </c>
      <c r="K63" s="2" t="s">
        <v>100</v>
      </c>
      <c r="L63" s="2" t="s">
        <v>40</v>
      </c>
      <c r="N63" s="2" t="s">
        <v>3137</v>
      </c>
      <c r="O63" s="2" t="s">
        <v>43</v>
      </c>
      <c r="P63" s="2" t="s">
        <v>49</v>
      </c>
      <c r="Q63" s="2" t="s">
        <v>50</v>
      </c>
      <c r="R63" s="2">
        <v>2</v>
      </c>
      <c r="S63" s="2">
        <v>20.399999999999999</v>
      </c>
      <c r="T63" s="2">
        <v>4.6920000000000002</v>
      </c>
      <c r="U63" s="2">
        <v>25.091999999999999</v>
      </c>
      <c r="V63" s="2">
        <f>6.6267*R63</f>
        <v>13.253399999999999</v>
      </c>
      <c r="W63" s="5">
        <f t="shared" si="7"/>
        <v>0.3503235294117647</v>
      </c>
      <c r="Y63" s="2" t="s">
        <v>3256</v>
      </c>
      <c r="Z63" s="2" t="s">
        <v>46</v>
      </c>
      <c r="AA63" s="2" t="s">
        <v>47</v>
      </c>
      <c r="AB63" s="2" t="s">
        <v>48</v>
      </c>
      <c r="AE63" s="2">
        <f t="shared" si="1"/>
        <v>0</v>
      </c>
      <c r="AF63" s="2">
        <v>6.6266999999999996</v>
      </c>
      <c r="AG63" s="2">
        <v>12</v>
      </c>
      <c r="AI63" s="2">
        <f t="shared" si="2"/>
        <v>0</v>
      </c>
      <c r="AJ63" s="2">
        <f t="shared" si="3"/>
        <v>7.1465999999999994</v>
      </c>
      <c r="AK63" s="5">
        <f t="shared" si="6"/>
        <v>0.3503235294117647</v>
      </c>
    </row>
    <row r="64" spans="1:37" x14ac:dyDescent="0.2">
      <c r="A64" s="2">
        <v>2025</v>
      </c>
      <c r="B64" s="2">
        <v>3</v>
      </c>
      <c r="C64" s="2" t="s">
        <v>98</v>
      </c>
      <c r="D64" s="2" t="s">
        <v>99</v>
      </c>
      <c r="E64" s="2" t="s">
        <v>39</v>
      </c>
      <c r="F64" s="2">
        <v>517450925</v>
      </c>
      <c r="G64" s="2" t="s">
        <v>40</v>
      </c>
      <c r="H64" s="2" t="s">
        <v>100</v>
      </c>
      <c r="I64" s="2" t="s">
        <v>101</v>
      </c>
      <c r="K64" s="2" t="s">
        <v>100</v>
      </c>
      <c r="L64" s="2" t="s">
        <v>40</v>
      </c>
      <c r="N64" s="2" t="s">
        <v>3137</v>
      </c>
      <c r="O64" s="2" t="s">
        <v>43</v>
      </c>
      <c r="P64" s="2" t="s">
        <v>51</v>
      </c>
      <c r="Q64" s="2" t="s">
        <v>52</v>
      </c>
      <c r="R64" s="2">
        <v>1</v>
      </c>
      <c r="S64" s="2">
        <v>14.28</v>
      </c>
      <c r="T64" s="2">
        <v>3.2844000000000002</v>
      </c>
      <c r="U64" s="2">
        <v>17.564399999999999</v>
      </c>
      <c r="V64" s="2">
        <f>10.2346*R64</f>
        <v>10.2346</v>
      </c>
      <c r="W64" s="5">
        <f t="shared" si="7"/>
        <v>0.2832913165266106</v>
      </c>
      <c r="Y64" s="2" t="s">
        <v>3256</v>
      </c>
      <c r="Z64" s="2" t="s">
        <v>46</v>
      </c>
      <c r="AA64" s="2" t="s">
        <v>47</v>
      </c>
      <c r="AB64" s="2" t="s">
        <v>48</v>
      </c>
      <c r="AE64" s="2">
        <f t="shared" si="1"/>
        <v>0</v>
      </c>
      <c r="AF64" s="2">
        <v>10.2346</v>
      </c>
      <c r="AG64" s="2">
        <v>18</v>
      </c>
      <c r="AI64" s="2">
        <f t="shared" si="2"/>
        <v>0</v>
      </c>
      <c r="AJ64" s="2">
        <f t="shared" si="3"/>
        <v>4.045399999999999</v>
      </c>
      <c r="AK64" s="5">
        <f t="shared" si="6"/>
        <v>0.2832913165266106</v>
      </c>
    </row>
    <row r="65" spans="1:37" x14ac:dyDescent="0.2">
      <c r="A65" s="2">
        <v>2025</v>
      </c>
      <c r="B65" s="2">
        <v>3</v>
      </c>
      <c r="C65" s="2" t="s">
        <v>98</v>
      </c>
      <c r="D65" s="2" t="s">
        <v>99</v>
      </c>
      <c r="E65" s="2" t="s">
        <v>39</v>
      </c>
      <c r="F65" s="2">
        <v>517450925</v>
      </c>
      <c r="G65" s="2" t="s">
        <v>40</v>
      </c>
      <c r="H65" s="2" t="s">
        <v>100</v>
      </c>
      <c r="I65" s="2" t="s">
        <v>101</v>
      </c>
      <c r="K65" s="2" t="s">
        <v>100</v>
      </c>
      <c r="L65" s="2" t="s">
        <v>40</v>
      </c>
      <c r="N65" s="2" t="s">
        <v>3137</v>
      </c>
      <c r="O65" s="2" t="s">
        <v>43</v>
      </c>
      <c r="P65" s="2" t="s">
        <v>209</v>
      </c>
      <c r="Q65" s="2" t="s">
        <v>210</v>
      </c>
      <c r="R65" s="2">
        <v>1</v>
      </c>
      <c r="S65" s="2">
        <v>17.34</v>
      </c>
      <c r="T65" s="2">
        <v>3.9882</v>
      </c>
      <c r="U65" s="2">
        <v>21.328199999999999</v>
      </c>
      <c r="W65" s="5">
        <f t="shared" si="7"/>
        <v>1</v>
      </c>
      <c r="Y65" s="2" t="s">
        <v>3256</v>
      </c>
      <c r="Z65" s="2" t="s">
        <v>46</v>
      </c>
      <c r="AA65" s="2" t="s">
        <v>47</v>
      </c>
      <c r="AB65" s="2" t="s">
        <v>48</v>
      </c>
      <c r="AE65" s="2">
        <f t="shared" si="1"/>
        <v>0</v>
      </c>
      <c r="AI65" s="2">
        <f t="shared" si="2"/>
        <v>0</v>
      </c>
      <c r="AJ65" s="2">
        <f t="shared" si="3"/>
        <v>17.34</v>
      </c>
      <c r="AK65" s="5">
        <f t="shared" si="6"/>
        <v>1</v>
      </c>
    </row>
    <row r="66" spans="1:37" x14ac:dyDescent="0.2">
      <c r="A66" s="2">
        <v>2025</v>
      </c>
      <c r="B66" s="2">
        <v>3</v>
      </c>
      <c r="C66" s="2" t="s">
        <v>98</v>
      </c>
      <c r="D66" s="2" t="s">
        <v>99</v>
      </c>
      <c r="E66" s="2" t="s">
        <v>39</v>
      </c>
      <c r="F66" s="2">
        <v>517450925</v>
      </c>
      <c r="G66" s="2" t="s">
        <v>40</v>
      </c>
      <c r="H66" s="2" t="s">
        <v>100</v>
      </c>
      <c r="I66" s="2" t="s">
        <v>101</v>
      </c>
      <c r="K66" s="2" t="s">
        <v>100</v>
      </c>
      <c r="L66" s="2" t="s">
        <v>40</v>
      </c>
      <c r="N66" s="2" t="s">
        <v>3137</v>
      </c>
      <c r="O66" s="2" t="s">
        <v>43</v>
      </c>
      <c r="P66" s="2" t="s">
        <v>211</v>
      </c>
      <c r="Q66" s="2" t="s">
        <v>212</v>
      </c>
      <c r="R66" s="2">
        <v>1</v>
      </c>
      <c r="S66" s="2">
        <v>18.87</v>
      </c>
      <c r="T66" s="2">
        <v>4.3401000000000014</v>
      </c>
      <c r="U66" s="2">
        <v>23.210100000000001</v>
      </c>
      <c r="W66" s="5">
        <f t="shared" si="7"/>
        <v>1</v>
      </c>
      <c r="Y66" s="2" t="s">
        <v>3256</v>
      </c>
      <c r="Z66" s="2" t="s">
        <v>46</v>
      </c>
      <c r="AA66" s="2" t="s">
        <v>47</v>
      </c>
      <c r="AB66" s="2" t="s">
        <v>48</v>
      </c>
      <c r="AE66" s="2">
        <f t="shared" ref="AE66:AE129" si="8">AI66</f>
        <v>0</v>
      </c>
      <c r="AI66" s="2">
        <f t="shared" ref="AI66:AI129" si="9">AH66*S66</f>
        <v>0</v>
      </c>
      <c r="AJ66" s="2">
        <f t="shared" ref="AJ66:AJ129" si="10">S66-V66</f>
        <v>18.87</v>
      </c>
      <c r="AK66" s="5">
        <f t="shared" ref="AK66:AK97" si="11">(S66-V66)/S66</f>
        <v>1</v>
      </c>
    </row>
    <row r="67" spans="1:37" x14ac:dyDescent="0.2">
      <c r="A67" s="2">
        <v>2025</v>
      </c>
      <c r="B67" s="2">
        <v>3</v>
      </c>
      <c r="C67" s="2" t="s">
        <v>98</v>
      </c>
      <c r="D67" s="2" t="s">
        <v>99</v>
      </c>
      <c r="E67" s="2" t="s">
        <v>39</v>
      </c>
      <c r="F67" s="2">
        <v>517450925</v>
      </c>
      <c r="G67" s="2" t="s">
        <v>40</v>
      </c>
      <c r="H67" s="2" t="s">
        <v>100</v>
      </c>
      <c r="I67" s="2" t="s">
        <v>101</v>
      </c>
      <c r="K67" s="2" t="s">
        <v>100</v>
      </c>
      <c r="L67" s="2" t="s">
        <v>40</v>
      </c>
      <c r="N67" s="2" t="s">
        <v>3137</v>
      </c>
      <c r="O67" s="2" t="s">
        <v>43</v>
      </c>
      <c r="P67" s="2" t="s">
        <v>213</v>
      </c>
      <c r="Q67" s="2" t="s">
        <v>214</v>
      </c>
      <c r="R67" s="2">
        <v>1</v>
      </c>
      <c r="S67" s="2">
        <v>37.74</v>
      </c>
      <c r="T67" s="2">
        <v>8.680200000000001</v>
      </c>
      <c r="U67" s="2">
        <v>46.420200000000001</v>
      </c>
      <c r="W67" s="5">
        <f t="shared" si="7"/>
        <v>1</v>
      </c>
      <c r="Y67" s="2" t="s">
        <v>3256</v>
      </c>
      <c r="Z67" s="2" t="s">
        <v>46</v>
      </c>
      <c r="AA67" s="2" t="s">
        <v>47</v>
      </c>
      <c r="AB67" s="2" t="s">
        <v>48</v>
      </c>
      <c r="AE67" s="2">
        <f t="shared" si="8"/>
        <v>0</v>
      </c>
      <c r="AI67" s="2">
        <f t="shared" si="9"/>
        <v>0</v>
      </c>
      <c r="AJ67" s="2">
        <f t="shared" si="10"/>
        <v>37.74</v>
      </c>
      <c r="AK67" s="5">
        <f t="shared" si="11"/>
        <v>1</v>
      </c>
    </row>
    <row r="68" spans="1:37" x14ac:dyDescent="0.2">
      <c r="A68" s="2">
        <v>2025</v>
      </c>
      <c r="B68" s="2">
        <v>3</v>
      </c>
      <c r="C68" s="2" t="s">
        <v>98</v>
      </c>
      <c r="D68" s="2" t="s">
        <v>99</v>
      </c>
      <c r="E68" s="2" t="s">
        <v>39</v>
      </c>
      <c r="F68" s="2">
        <v>517450925</v>
      </c>
      <c r="G68" s="2" t="s">
        <v>40</v>
      </c>
      <c r="H68" s="2" t="s">
        <v>100</v>
      </c>
      <c r="I68" s="2" t="s">
        <v>101</v>
      </c>
      <c r="K68" s="2" t="s">
        <v>100</v>
      </c>
      <c r="L68" s="2" t="s">
        <v>40</v>
      </c>
      <c r="N68" s="2" t="s">
        <v>3137</v>
      </c>
      <c r="O68" s="2" t="s">
        <v>43</v>
      </c>
      <c r="P68" s="2" t="s">
        <v>161</v>
      </c>
      <c r="Q68" s="2" t="s">
        <v>162</v>
      </c>
      <c r="R68" s="2">
        <v>2</v>
      </c>
      <c r="S68" s="2">
        <v>13.26</v>
      </c>
      <c r="T68" s="2">
        <v>3.0497999999999998</v>
      </c>
      <c r="U68" s="2">
        <v>16.309799999999999</v>
      </c>
      <c r="V68" s="2">
        <f>3.7358*R68</f>
        <v>7.4715999999999996</v>
      </c>
      <c r="W68" s="5">
        <f t="shared" si="7"/>
        <v>0.43653092006033184</v>
      </c>
      <c r="Y68" s="2" t="s">
        <v>3256</v>
      </c>
      <c r="Z68" s="2" t="s">
        <v>46</v>
      </c>
      <c r="AA68" s="2" t="s">
        <v>47</v>
      </c>
      <c r="AB68" s="2" t="s">
        <v>48</v>
      </c>
      <c r="AE68" s="2">
        <f t="shared" si="8"/>
        <v>0</v>
      </c>
      <c r="AF68" s="2">
        <v>3.7357999999999998</v>
      </c>
      <c r="AG68" s="2">
        <v>9</v>
      </c>
      <c r="AI68" s="2">
        <f t="shared" si="9"/>
        <v>0</v>
      </c>
      <c r="AJ68" s="2">
        <f t="shared" si="10"/>
        <v>5.7884000000000002</v>
      </c>
      <c r="AK68" s="5">
        <f t="shared" si="11"/>
        <v>0.43653092006033184</v>
      </c>
    </row>
    <row r="69" spans="1:37" x14ac:dyDescent="0.2">
      <c r="A69" s="2">
        <v>2025</v>
      </c>
      <c r="B69" s="2">
        <v>3</v>
      </c>
      <c r="C69" s="2" t="s">
        <v>98</v>
      </c>
      <c r="D69" s="2" t="s">
        <v>99</v>
      </c>
      <c r="E69" s="2" t="s">
        <v>39</v>
      </c>
      <c r="F69" s="2">
        <v>517450925</v>
      </c>
      <c r="G69" s="2" t="s">
        <v>40</v>
      </c>
      <c r="H69" s="2" t="s">
        <v>100</v>
      </c>
      <c r="I69" s="2" t="s">
        <v>101</v>
      </c>
      <c r="K69" s="2" t="s">
        <v>100</v>
      </c>
      <c r="L69" s="2" t="s">
        <v>40</v>
      </c>
      <c r="N69" s="2" t="s">
        <v>3137</v>
      </c>
      <c r="O69" s="2" t="s">
        <v>43</v>
      </c>
      <c r="P69" s="2" t="s">
        <v>53</v>
      </c>
      <c r="Q69" s="2" t="s">
        <v>54</v>
      </c>
      <c r="R69" s="2">
        <v>2</v>
      </c>
      <c r="S69" s="2">
        <v>16.32</v>
      </c>
      <c r="T69" s="2">
        <v>3.7536</v>
      </c>
      <c r="U69" s="2">
        <v>20.073599999999999</v>
      </c>
      <c r="V69" s="2">
        <f>5.2973*R69</f>
        <v>10.5946</v>
      </c>
      <c r="W69" s="5">
        <f t="shared" si="7"/>
        <v>0.35082107843137256</v>
      </c>
      <c r="Y69" s="2" t="s">
        <v>3256</v>
      </c>
      <c r="Z69" s="2" t="s">
        <v>46</v>
      </c>
      <c r="AA69" s="2" t="s">
        <v>47</v>
      </c>
      <c r="AB69" s="2" t="s">
        <v>48</v>
      </c>
      <c r="AE69" s="2">
        <f t="shared" si="8"/>
        <v>0</v>
      </c>
      <c r="AF69" s="2">
        <v>5.2972999999999999</v>
      </c>
      <c r="AG69" s="2">
        <v>10.8</v>
      </c>
      <c r="AI69" s="2">
        <f t="shared" si="9"/>
        <v>0</v>
      </c>
      <c r="AJ69" s="2">
        <f t="shared" si="10"/>
        <v>5.7254000000000005</v>
      </c>
      <c r="AK69" s="5">
        <f t="shared" si="11"/>
        <v>0.35082107843137256</v>
      </c>
    </row>
    <row r="70" spans="1:37" x14ac:dyDescent="0.2">
      <c r="A70" s="2">
        <v>2025</v>
      </c>
      <c r="B70" s="2">
        <v>3</v>
      </c>
      <c r="C70" s="2" t="s">
        <v>98</v>
      </c>
      <c r="D70" s="2" t="s">
        <v>99</v>
      </c>
      <c r="E70" s="2" t="s">
        <v>39</v>
      </c>
      <c r="F70" s="2">
        <v>517450925</v>
      </c>
      <c r="G70" s="2" t="s">
        <v>40</v>
      </c>
      <c r="H70" s="2" t="s">
        <v>100</v>
      </c>
      <c r="I70" s="2" t="s">
        <v>101</v>
      </c>
      <c r="K70" s="2" t="s">
        <v>100</v>
      </c>
      <c r="L70" s="2" t="s">
        <v>40</v>
      </c>
      <c r="N70" s="2" t="s">
        <v>3137</v>
      </c>
      <c r="O70" s="2" t="s">
        <v>43</v>
      </c>
      <c r="P70" s="2" t="s">
        <v>215</v>
      </c>
      <c r="Q70" s="2" t="s">
        <v>216</v>
      </c>
      <c r="R70" s="2">
        <v>1</v>
      </c>
      <c r="S70" s="2">
        <v>11.73</v>
      </c>
      <c r="T70" s="2">
        <v>2.6979000000000002</v>
      </c>
      <c r="U70" s="2">
        <v>14.427899999999999</v>
      </c>
      <c r="W70" s="5">
        <f t="shared" si="7"/>
        <v>1</v>
      </c>
      <c r="Y70" s="2" t="s">
        <v>3256</v>
      </c>
      <c r="Z70" s="2" t="s">
        <v>46</v>
      </c>
      <c r="AA70" s="2" t="s">
        <v>57</v>
      </c>
      <c r="AB70" s="2" t="s">
        <v>58</v>
      </c>
      <c r="AE70" s="2">
        <f t="shared" si="8"/>
        <v>0</v>
      </c>
      <c r="AI70" s="2">
        <f t="shared" si="9"/>
        <v>0</v>
      </c>
      <c r="AJ70" s="2">
        <f t="shared" si="10"/>
        <v>11.73</v>
      </c>
      <c r="AK70" s="5">
        <f t="shared" si="11"/>
        <v>1</v>
      </c>
    </row>
    <row r="71" spans="1:37" x14ac:dyDescent="0.2">
      <c r="A71" s="2">
        <v>2025</v>
      </c>
      <c r="B71" s="2">
        <v>3</v>
      </c>
      <c r="C71" s="2" t="s">
        <v>98</v>
      </c>
      <c r="D71" s="2" t="s">
        <v>99</v>
      </c>
      <c r="E71" s="2" t="s">
        <v>39</v>
      </c>
      <c r="F71" s="2">
        <v>517450925</v>
      </c>
      <c r="G71" s="2" t="s">
        <v>40</v>
      </c>
      <c r="H71" s="2" t="s">
        <v>100</v>
      </c>
      <c r="I71" s="2" t="s">
        <v>101</v>
      </c>
      <c r="K71" s="2" t="s">
        <v>100</v>
      </c>
      <c r="L71" s="2" t="s">
        <v>40</v>
      </c>
      <c r="N71" s="2" t="s">
        <v>3137</v>
      </c>
      <c r="O71" s="2" t="s">
        <v>43</v>
      </c>
      <c r="P71" s="2" t="s">
        <v>217</v>
      </c>
      <c r="Q71" s="2" t="s">
        <v>218</v>
      </c>
      <c r="R71" s="2">
        <v>1</v>
      </c>
      <c r="S71" s="2">
        <v>14.79</v>
      </c>
      <c r="T71" s="2">
        <v>3.4016999999999999</v>
      </c>
      <c r="U71" s="2">
        <v>18.191700000000001</v>
      </c>
      <c r="W71" s="5">
        <f t="shared" si="7"/>
        <v>1</v>
      </c>
      <c r="Y71" s="2" t="s">
        <v>3256</v>
      </c>
      <c r="Z71" s="2" t="s">
        <v>46</v>
      </c>
      <c r="AA71" s="2" t="s">
        <v>57</v>
      </c>
      <c r="AB71" s="2" t="s">
        <v>58</v>
      </c>
      <c r="AE71" s="2">
        <f t="shared" si="8"/>
        <v>0</v>
      </c>
      <c r="AI71" s="2">
        <f t="shared" si="9"/>
        <v>0</v>
      </c>
      <c r="AJ71" s="2">
        <f t="shared" si="10"/>
        <v>14.79</v>
      </c>
      <c r="AK71" s="5">
        <f t="shared" si="11"/>
        <v>1</v>
      </c>
    </row>
    <row r="72" spans="1:37" x14ac:dyDescent="0.2">
      <c r="A72" s="2">
        <v>2025</v>
      </c>
      <c r="B72" s="2">
        <v>3</v>
      </c>
      <c r="C72" s="2" t="s">
        <v>98</v>
      </c>
      <c r="D72" s="2" t="s">
        <v>99</v>
      </c>
      <c r="E72" s="2" t="s">
        <v>39</v>
      </c>
      <c r="F72" s="2">
        <v>517450925</v>
      </c>
      <c r="G72" s="2" t="s">
        <v>40</v>
      </c>
      <c r="H72" s="2" t="s">
        <v>100</v>
      </c>
      <c r="I72" s="2" t="s">
        <v>101</v>
      </c>
      <c r="K72" s="2" t="s">
        <v>100</v>
      </c>
      <c r="L72" s="2" t="s">
        <v>40</v>
      </c>
      <c r="N72" s="2" t="s">
        <v>3137</v>
      </c>
      <c r="O72" s="2" t="s">
        <v>43</v>
      </c>
      <c r="P72" s="2" t="s">
        <v>219</v>
      </c>
      <c r="Q72" s="2" t="s">
        <v>220</v>
      </c>
      <c r="R72" s="2">
        <v>1</v>
      </c>
      <c r="S72" s="2">
        <v>17.850000000000001</v>
      </c>
      <c r="T72" s="2">
        <v>4.1055000000000001</v>
      </c>
      <c r="U72" s="2">
        <v>21.955500000000001</v>
      </c>
      <c r="W72" s="5">
        <f t="shared" si="7"/>
        <v>1</v>
      </c>
      <c r="Y72" s="2" t="s">
        <v>3256</v>
      </c>
      <c r="Z72" s="2" t="s">
        <v>46</v>
      </c>
      <c r="AA72" s="2" t="s">
        <v>57</v>
      </c>
      <c r="AB72" s="2" t="s">
        <v>58</v>
      </c>
      <c r="AE72" s="2">
        <f t="shared" si="8"/>
        <v>0</v>
      </c>
      <c r="AI72" s="2">
        <f t="shared" si="9"/>
        <v>0</v>
      </c>
      <c r="AJ72" s="2">
        <f t="shared" si="10"/>
        <v>17.850000000000001</v>
      </c>
      <c r="AK72" s="5">
        <f t="shared" si="11"/>
        <v>1</v>
      </c>
    </row>
    <row r="73" spans="1:37" x14ac:dyDescent="0.2">
      <c r="A73" s="2">
        <v>2025</v>
      </c>
      <c r="B73" s="2">
        <v>3</v>
      </c>
      <c r="C73" s="2" t="s">
        <v>98</v>
      </c>
      <c r="D73" s="2" t="s">
        <v>99</v>
      </c>
      <c r="E73" s="2" t="s">
        <v>39</v>
      </c>
      <c r="F73" s="2">
        <v>517450925</v>
      </c>
      <c r="G73" s="2" t="s">
        <v>40</v>
      </c>
      <c r="H73" s="2" t="s">
        <v>100</v>
      </c>
      <c r="I73" s="2" t="s">
        <v>101</v>
      </c>
      <c r="K73" s="2" t="s">
        <v>100</v>
      </c>
      <c r="L73" s="2" t="s">
        <v>40</v>
      </c>
      <c r="N73" s="2" t="s">
        <v>3137</v>
      </c>
      <c r="O73" s="2" t="s">
        <v>43</v>
      </c>
      <c r="P73" s="2" t="s">
        <v>221</v>
      </c>
      <c r="Q73" s="2" t="s">
        <v>222</v>
      </c>
      <c r="R73" s="2">
        <v>1</v>
      </c>
      <c r="S73" s="2">
        <v>20.91</v>
      </c>
      <c r="T73" s="2">
        <v>4.8093000000000004</v>
      </c>
      <c r="U73" s="2">
        <v>25.7193</v>
      </c>
      <c r="W73" s="5">
        <f t="shared" si="7"/>
        <v>1</v>
      </c>
      <c r="Y73" s="2" t="s">
        <v>3256</v>
      </c>
      <c r="Z73" s="2" t="s">
        <v>46</v>
      </c>
      <c r="AA73" s="2" t="s">
        <v>57</v>
      </c>
      <c r="AB73" s="2" t="s">
        <v>58</v>
      </c>
      <c r="AE73" s="2">
        <f t="shared" si="8"/>
        <v>0</v>
      </c>
      <c r="AI73" s="2">
        <f t="shared" si="9"/>
        <v>0</v>
      </c>
      <c r="AJ73" s="2">
        <f t="shared" si="10"/>
        <v>20.91</v>
      </c>
      <c r="AK73" s="5">
        <f t="shared" si="11"/>
        <v>1</v>
      </c>
    </row>
    <row r="74" spans="1:37" x14ac:dyDescent="0.2">
      <c r="A74" s="2">
        <v>2025</v>
      </c>
      <c r="B74" s="2">
        <v>3</v>
      </c>
      <c r="C74" s="2" t="s">
        <v>98</v>
      </c>
      <c r="D74" s="2" t="s">
        <v>99</v>
      </c>
      <c r="E74" s="2" t="s">
        <v>39</v>
      </c>
      <c r="F74" s="2">
        <v>517450925</v>
      </c>
      <c r="G74" s="2" t="s">
        <v>40</v>
      </c>
      <c r="H74" s="2" t="s">
        <v>100</v>
      </c>
      <c r="I74" s="2" t="s">
        <v>101</v>
      </c>
      <c r="K74" s="2" t="s">
        <v>100</v>
      </c>
      <c r="L74" s="2" t="s">
        <v>40</v>
      </c>
      <c r="N74" s="2" t="s">
        <v>3137</v>
      </c>
      <c r="O74" s="2" t="s">
        <v>43</v>
      </c>
      <c r="P74" s="2" t="s">
        <v>223</v>
      </c>
      <c r="Q74" s="2" t="s">
        <v>224</v>
      </c>
      <c r="R74" s="2">
        <v>1</v>
      </c>
      <c r="S74" s="2">
        <v>22.95</v>
      </c>
      <c r="T74" s="2">
        <v>5.2785000000000002</v>
      </c>
      <c r="U74" s="2">
        <v>28.2285</v>
      </c>
      <c r="W74" s="5">
        <f t="shared" si="7"/>
        <v>1</v>
      </c>
      <c r="Y74" s="2" t="s">
        <v>3256</v>
      </c>
      <c r="Z74" s="2" t="s">
        <v>46</v>
      </c>
      <c r="AA74" s="2" t="s">
        <v>57</v>
      </c>
      <c r="AB74" s="2" t="s">
        <v>58</v>
      </c>
      <c r="AE74" s="2">
        <f t="shared" si="8"/>
        <v>0</v>
      </c>
      <c r="AI74" s="2">
        <f t="shared" si="9"/>
        <v>0</v>
      </c>
      <c r="AJ74" s="2">
        <f t="shared" si="10"/>
        <v>22.95</v>
      </c>
      <c r="AK74" s="5">
        <f t="shared" si="11"/>
        <v>1</v>
      </c>
    </row>
    <row r="75" spans="1:37" x14ac:dyDescent="0.2">
      <c r="A75" s="2">
        <v>2025</v>
      </c>
      <c r="B75" s="2">
        <v>3</v>
      </c>
      <c r="C75" s="2" t="s">
        <v>98</v>
      </c>
      <c r="D75" s="2" t="s">
        <v>99</v>
      </c>
      <c r="E75" s="2" t="s">
        <v>39</v>
      </c>
      <c r="F75" s="2">
        <v>517450925</v>
      </c>
      <c r="G75" s="2" t="s">
        <v>40</v>
      </c>
      <c r="H75" s="2" t="s">
        <v>100</v>
      </c>
      <c r="I75" s="2" t="s">
        <v>101</v>
      </c>
      <c r="K75" s="2" t="s">
        <v>100</v>
      </c>
      <c r="L75" s="2" t="s">
        <v>40</v>
      </c>
      <c r="N75" s="2" t="s">
        <v>3137</v>
      </c>
      <c r="O75" s="2" t="s">
        <v>43</v>
      </c>
      <c r="P75" s="2" t="s">
        <v>225</v>
      </c>
      <c r="Q75" s="2" t="s">
        <v>226</v>
      </c>
      <c r="R75" s="2">
        <v>1</v>
      </c>
      <c r="S75" s="2">
        <v>13.26</v>
      </c>
      <c r="T75" s="2">
        <v>3.0497999999999998</v>
      </c>
      <c r="U75" s="2">
        <v>16.309799999999999</v>
      </c>
      <c r="W75" s="5">
        <f t="shared" si="7"/>
        <v>1</v>
      </c>
      <c r="Y75" s="2" t="s">
        <v>3256</v>
      </c>
      <c r="Z75" s="2" t="s">
        <v>46</v>
      </c>
      <c r="AA75" s="2" t="s">
        <v>57</v>
      </c>
      <c r="AB75" s="2" t="s">
        <v>58</v>
      </c>
      <c r="AE75" s="2">
        <f t="shared" si="8"/>
        <v>0</v>
      </c>
      <c r="AI75" s="2">
        <f t="shared" si="9"/>
        <v>0</v>
      </c>
      <c r="AJ75" s="2">
        <f t="shared" si="10"/>
        <v>13.26</v>
      </c>
      <c r="AK75" s="5">
        <f t="shared" si="11"/>
        <v>1</v>
      </c>
    </row>
    <row r="76" spans="1:37" x14ac:dyDescent="0.2">
      <c r="A76" s="2">
        <v>2025</v>
      </c>
      <c r="B76" s="2">
        <v>3</v>
      </c>
      <c r="C76" s="2" t="s">
        <v>98</v>
      </c>
      <c r="D76" s="2" t="s">
        <v>99</v>
      </c>
      <c r="E76" s="2" t="s">
        <v>39</v>
      </c>
      <c r="F76" s="2">
        <v>517450925</v>
      </c>
      <c r="G76" s="2" t="s">
        <v>40</v>
      </c>
      <c r="H76" s="2" t="s">
        <v>100</v>
      </c>
      <c r="I76" s="2" t="s">
        <v>101</v>
      </c>
      <c r="K76" s="2" t="s">
        <v>100</v>
      </c>
      <c r="L76" s="2" t="s">
        <v>40</v>
      </c>
      <c r="N76" s="2" t="s">
        <v>3137</v>
      </c>
      <c r="O76" s="2" t="s">
        <v>43</v>
      </c>
      <c r="P76" s="2" t="s">
        <v>227</v>
      </c>
      <c r="Q76" s="2" t="s">
        <v>228</v>
      </c>
      <c r="R76" s="2">
        <v>1</v>
      </c>
      <c r="S76" s="2">
        <v>14.79</v>
      </c>
      <c r="T76" s="2">
        <v>3.4016999999999999</v>
      </c>
      <c r="U76" s="2">
        <v>18.191700000000001</v>
      </c>
      <c r="W76" s="5">
        <f t="shared" si="7"/>
        <v>1</v>
      </c>
      <c r="Y76" s="2" t="s">
        <v>3256</v>
      </c>
      <c r="Z76" s="2" t="s">
        <v>46</v>
      </c>
      <c r="AA76" s="2" t="s">
        <v>57</v>
      </c>
      <c r="AB76" s="2" t="s">
        <v>58</v>
      </c>
      <c r="AE76" s="2">
        <f t="shared" si="8"/>
        <v>0</v>
      </c>
      <c r="AI76" s="2">
        <f t="shared" si="9"/>
        <v>0</v>
      </c>
      <c r="AJ76" s="2">
        <f t="shared" si="10"/>
        <v>14.79</v>
      </c>
      <c r="AK76" s="5">
        <f t="shared" si="11"/>
        <v>1</v>
      </c>
    </row>
    <row r="77" spans="1:37" x14ac:dyDescent="0.2">
      <c r="A77" s="2">
        <v>2025</v>
      </c>
      <c r="B77" s="2">
        <v>3</v>
      </c>
      <c r="C77" s="2" t="s">
        <v>98</v>
      </c>
      <c r="D77" s="2" t="s">
        <v>99</v>
      </c>
      <c r="E77" s="2" t="s">
        <v>39</v>
      </c>
      <c r="F77" s="2">
        <v>517450925</v>
      </c>
      <c r="G77" s="2" t="s">
        <v>40</v>
      </c>
      <c r="H77" s="2" t="s">
        <v>100</v>
      </c>
      <c r="I77" s="2" t="s">
        <v>101</v>
      </c>
      <c r="K77" s="2" t="s">
        <v>100</v>
      </c>
      <c r="L77" s="2" t="s">
        <v>40</v>
      </c>
      <c r="N77" s="2" t="s">
        <v>3137</v>
      </c>
      <c r="O77" s="2" t="s">
        <v>43</v>
      </c>
      <c r="P77" s="2" t="s">
        <v>229</v>
      </c>
      <c r="Q77" s="2" t="s">
        <v>230</v>
      </c>
      <c r="R77" s="2">
        <v>1</v>
      </c>
      <c r="S77" s="2">
        <v>16.32</v>
      </c>
      <c r="T77" s="2">
        <v>3.7536</v>
      </c>
      <c r="U77" s="2">
        <v>20.073599999999999</v>
      </c>
      <c r="W77" s="5">
        <f t="shared" si="7"/>
        <v>1</v>
      </c>
      <c r="Y77" s="2" t="s">
        <v>3256</v>
      </c>
      <c r="Z77" s="2" t="s">
        <v>46</v>
      </c>
      <c r="AA77" s="2" t="s">
        <v>57</v>
      </c>
      <c r="AB77" s="2" t="s">
        <v>58</v>
      </c>
      <c r="AE77" s="2">
        <f t="shared" si="8"/>
        <v>0</v>
      </c>
      <c r="AI77" s="2">
        <f t="shared" si="9"/>
        <v>0</v>
      </c>
      <c r="AJ77" s="2">
        <f t="shared" si="10"/>
        <v>16.32</v>
      </c>
      <c r="AK77" s="5">
        <f t="shared" si="11"/>
        <v>1</v>
      </c>
    </row>
    <row r="78" spans="1:37" x14ac:dyDescent="0.2">
      <c r="A78" s="2">
        <v>2025</v>
      </c>
      <c r="B78" s="2">
        <v>3</v>
      </c>
      <c r="C78" s="2" t="s">
        <v>98</v>
      </c>
      <c r="D78" s="2" t="s">
        <v>99</v>
      </c>
      <c r="E78" s="2" t="s">
        <v>39</v>
      </c>
      <c r="F78" s="2">
        <v>517450925</v>
      </c>
      <c r="G78" s="2" t="s">
        <v>40</v>
      </c>
      <c r="H78" s="2" t="s">
        <v>100</v>
      </c>
      <c r="I78" s="2" t="s">
        <v>101</v>
      </c>
      <c r="K78" s="2" t="s">
        <v>100</v>
      </c>
      <c r="L78" s="2" t="s">
        <v>40</v>
      </c>
      <c r="N78" s="2" t="s">
        <v>3137</v>
      </c>
      <c r="O78" s="2" t="s">
        <v>43</v>
      </c>
      <c r="P78" s="2" t="s">
        <v>231</v>
      </c>
      <c r="Q78" s="2" t="s">
        <v>232</v>
      </c>
      <c r="R78" s="2">
        <v>1</v>
      </c>
      <c r="S78" s="2">
        <v>10.199999999999999</v>
      </c>
      <c r="T78" s="2">
        <v>2.3460000000000001</v>
      </c>
      <c r="U78" s="2">
        <v>12.545999999999999</v>
      </c>
      <c r="W78" s="5">
        <f t="shared" si="7"/>
        <v>1</v>
      </c>
      <c r="Y78" s="2" t="s">
        <v>3256</v>
      </c>
      <c r="Z78" s="2" t="s">
        <v>46</v>
      </c>
      <c r="AA78" s="2" t="s">
        <v>57</v>
      </c>
      <c r="AB78" s="2" t="s">
        <v>58</v>
      </c>
      <c r="AE78" s="2">
        <f t="shared" si="8"/>
        <v>0</v>
      </c>
      <c r="AI78" s="2">
        <f t="shared" si="9"/>
        <v>0</v>
      </c>
      <c r="AJ78" s="2">
        <f t="shared" si="10"/>
        <v>10.199999999999999</v>
      </c>
      <c r="AK78" s="5">
        <f t="shared" si="11"/>
        <v>1</v>
      </c>
    </row>
    <row r="79" spans="1:37" x14ac:dyDescent="0.2">
      <c r="A79" s="2">
        <v>2025</v>
      </c>
      <c r="B79" s="2">
        <v>3</v>
      </c>
      <c r="C79" s="2" t="s">
        <v>98</v>
      </c>
      <c r="D79" s="2" t="s">
        <v>99</v>
      </c>
      <c r="E79" s="2" t="s">
        <v>39</v>
      </c>
      <c r="F79" s="2">
        <v>517450925</v>
      </c>
      <c r="G79" s="2" t="s">
        <v>40</v>
      </c>
      <c r="H79" s="2" t="s">
        <v>100</v>
      </c>
      <c r="I79" s="2" t="s">
        <v>101</v>
      </c>
      <c r="K79" s="2" t="s">
        <v>100</v>
      </c>
      <c r="L79" s="2" t="s">
        <v>40</v>
      </c>
      <c r="N79" s="2" t="s">
        <v>3137</v>
      </c>
      <c r="O79" s="2" t="s">
        <v>43</v>
      </c>
      <c r="P79" s="2" t="s">
        <v>233</v>
      </c>
      <c r="Q79" s="2" t="s">
        <v>234</v>
      </c>
      <c r="R79" s="2">
        <v>1</v>
      </c>
      <c r="S79" s="2">
        <v>10.199999999999999</v>
      </c>
      <c r="T79" s="2">
        <v>2.3460000000000001</v>
      </c>
      <c r="U79" s="2">
        <v>12.545999999999999</v>
      </c>
      <c r="V79" s="2">
        <v>5.9066999999999998</v>
      </c>
      <c r="W79" s="5">
        <f t="shared" si="7"/>
        <v>0.42091176470588232</v>
      </c>
      <c r="Y79" s="2" t="s">
        <v>3256</v>
      </c>
      <c r="Z79" s="2" t="s">
        <v>46</v>
      </c>
      <c r="AA79" s="2" t="s">
        <v>57</v>
      </c>
      <c r="AB79" s="2" t="s">
        <v>58</v>
      </c>
      <c r="AE79" s="2">
        <f t="shared" si="8"/>
        <v>0</v>
      </c>
      <c r="AF79" s="2">
        <v>5.9066999999999998</v>
      </c>
      <c r="AG79" s="2">
        <v>12.6</v>
      </c>
      <c r="AI79" s="2">
        <f t="shared" si="9"/>
        <v>0</v>
      </c>
      <c r="AJ79" s="2">
        <f t="shared" si="10"/>
        <v>4.2932999999999995</v>
      </c>
      <c r="AK79" s="5">
        <f t="shared" si="11"/>
        <v>0.42091176470588232</v>
      </c>
    </row>
    <row r="80" spans="1:37" x14ac:dyDescent="0.2">
      <c r="A80" s="2">
        <v>2025</v>
      </c>
      <c r="B80" s="2">
        <v>3</v>
      </c>
      <c r="C80" s="2" t="s">
        <v>98</v>
      </c>
      <c r="D80" s="2" t="s">
        <v>99</v>
      </c>
      <c r="E80" s="2" t="s">
        <v>39</v>
      </c>
      <c r="F80" s="2">
        <v>517450925</v>
      </c>
      <c r="G80" s="2" t="s">
        <v>40</v>
      </c>
      <c r="H80" s="2" t="s">
        <v>100</v>
      </c>
      <c r="I80" s="2" t="s">
        <v>101</v>
      </c>
      <c r="K80" s="2" t="s">
        <v>100</v>
      </c>
      <c r="L80" s="2" t="s">
        <v>40</v>
      </c>
      <c r="N80" s="2" t="s">
        <v>3137</v>
      </c>
      <c r="O80" s="2" t="s">
        <v>43</v>
      </c>
      <c r="P80" s="2" t="s">
        <v>235</v>
      </c>
      <c r="Q80" s="2" t="s">
        <v>236</v>
      </c>
      <c r="R80" s="2">
        <v>1</v>
      </c>
      <c r="S80" s="2">
        <v>11.22</v>
      </c>
      <c r="T80" s="2">
        <v>2.5806</v>
      </c>
      <c r="U80" s="2">
        <v>13.800599999999999</v>
      </c>
      <c r="V80" s="2">
        <v>7.2217000000000002</v>
      </c>
      <c r="W80" s="5">
        <f t="shared" si="7"/>
        <v>0.35635472370766491</v>
      </c>
      <c r="Y80" s="2" t="s">
        <v>3256</v>
      </c>
      <c r="Z80" s="2" t="s">
        <v>46</v>
      </c>
      <c r="AA80" s="2" t="s">
        <v>57</v>
      </c>
      <c r="AB80" s="2" t="s">
        <v>58</v>
      </c>
      <c r="AE80" s="2">
        <f t="shared" si="8"/>
        <v>0</v>
      </c>
      <c r="AF80" s="2">
        <v>7.2217000000000002</v>
      </c>
      <c r="AG80" s="2">
        <v>14.4</v>
      </c>
      <c r="AI80" s="2">
        <f t="shared" si="9"/>
        <v>0</v>
      </c>
      <c r="AJ80" s="2">
        <f t="shared" si="10"/>
        <v>3.9983000000000004</v>
      </c>
      <c r="AK80" s="5">
        <f t="shared" si="11"/>
        <v>0.35635472370766491</v>
      </c>
    </row>
    <row r="81" spans="1:37" x14ac:dyDescent="0.2">
      <c r="A81" s="2">
        <v>2025</v>
      </c>
      <c r="B81" s="2">
        <v>3</v>
      </c>
      <c r="C81" s="2" t="s">
        <v>98</v>
      </c>
      <c r="D81" s="2" t="s">
        <v>99</v>
      </c>
      <c r="E81" s="2" t="s">
        <v>39</v>
      </c>
      <c r="F81" s="2">
        <v>517450925</v>
      </c>
      <c r="G81" s="2" t="s">
        <v>40</v>
      </c>
      <c r="H81" s="2" t="s">
        <v>100</v>
      </c>
      <c r="I81" s="2" t="s">
        <v>101</v>
      </c>
      <c r="K81" s="2" t="s">
        <v>100</v>
      </c>
      <c r="L81" s="2" t="s">
        <v>40</v>
      </c>
      <c r="N81" s="2" t="s">
        <v>3137</v>
      </c>
      <c r="O81" s="2" t="s">
        <v>43</v>
      </c>
      <c r="P81" s="2" t="s">
        <v>237</v>
      </c>
      <c r="Q81" s="2" t="s">
        <v>238</v>
      </c>
      <c r="R81" s="2">
        <v>1</v>
      </c>
      <c r="S81" s="2">
        <v>13.77</v>
      </c>
      <c r="T81" s="2">
        <v>3.1671</v>
      </c>
      <c r="U81" s="2">
        <v>16.937100000000001</v>
      </c>
      <c r="W81" s="5">
        <f t="shared" si="7"/>
        <v>1</v>
      </c>
      <c r="Y81" s="2" t="s">
        <v>3256</v>
      </c>
      <c r="Z81" s="2" t="s">
        <v>46</v>
      </c>
      <c r="AA81" s="2" t="s">
        <v>57</v>
      </c>
      <c r="AB81" s="2" t="s">
        <v>58</v>
      </c>
      <c r="AE81" s="2">
        <f t="shared" si="8"/>
        <v>0</v>
      </c>
      <c r="AI81" s="2">
        <f t="shared" si="9"/>
        <v>0</v>
      </c>
      <c r="AJ81" s="2">
        <f t="shared" si="10"/>
        <v>13.77</v>
      </c>
      <c r="AK81" s="5">
        <f t="shared" si="11"/>
        <v>1</v>
      </c>
    </row>
    <row r="82" spans="1:37" x14ac:dyDescent="0.2">
      <c r="A82" s="2">
        <v>2025</v>
      </c>
      <c r="B82" s="2">
        <v>3</v>
      </c>
      <c r="C82" s="2" t="s">
        <v>98</v>
      </c>
      <c r="D82" s="2" t="s">
        <v>99</v>
      </c>
      <c r="E82" s="2" t="s">
        <v>39</v>
      </c>
      <c r="F82" s="2">
        <v>517450925</v>
      </c>
      <c r="G82" s="2" t="s">
        <v>40</v>
      </c>
      <c r="H82" s="2" t="s">
        <v>100</v>
      </c>
      <c r="I82" s="2" t="s">
        <v>101</v>
      </c>
      <c r="K82" s="2" t="s">
        <v>100</v>
      </c>
      <c r="L82" s="2" t="s">
        <v>40</v>
      </c>
      <c r="N82" s="2" t="s">
        <v>3137</v>
      </c>
      <c r="O82" s="2" t="s">
        <v>43</v>
      </c>
      <c r="P82" s="2" t="s">
        <v>239</v>
      </c>
      <c r="Q82" s="2" t="s">
        <v>240</v>
      </c>
      <c r="R82" s="2">
        <v>1</v>
      </c>
      <c r="S82" s="2">
        <v>16.829999999999998</v>
      </c>
      <c r="T82" s="2">
        <v>3.8708999999999998</v>
      </c>
      <c r="U82" s="2">
        <v>20.700900000000001</v>
      </c>
      <c r="W82" s="5">
        <f t="shared" si="7"/>
        <v>1</v>
      </c>
      <c r="Y82" s="2" t="s">
        <v>3256</v>
      </c>
      <c r="Z82" s="2" t="s">
        <v>46</v>
      </c>
      <c r="AA82" s="2" t="s">
        <v>57</v>
      </c>
      <c r="AB82" s="2" t="s">
        <v>58</v>
      </c>
      <c r="AE82" s="2">
        <f t="shared" si="8"/>
        <v>0</v>
      </c>
      <c r="AI82" s="2">
        <f t="shared" si="9"/>
        <v>0</v>
      </c>
      <c r="AJ82" s="2">
        <f t="shared" si="10"/>
        <v>16.829999999999998</v>
      </c>
      <c r="AK82" s="5">
        <f t="shared" si="11"/>
        <v>1</v>
      </c>
    </row>
    <row r="83" spans="1:37" x14ac:dyDescent="0.2">
      <c r="A83" s="2">
        <v>2025</v>
      </c>
      <c r="B83" s="2">
        <v>3</v>
      </c>
      <c r="C83" s="2" t="s">
        <v>98</v>
      </c>
      <c r="D83" s="2" t="s">
        <v>99</v>
      </c>
      <c r="E83" s="2" t="s">
        <v>39</v>
      </c>
      <c r="F83" s="2">
        <v>517450925</v>
      </c>
      <c r="G83" s="2" t="s">
        <v>40</v>
      </c>
      <c r="H83" s="2" t="s">
        <v>100</v>
      </c>
      <c r="I83" s="2" t="s">
        <v>101</v>
      </c>
      <c r="K83" s="2" t="s">
        <v>100</v>
      </c>
      <c r="L83" s="2" t="s">
        <v>40</v>
      </c>
      <c r="N83" s="2" t="s">
        <v>3137</v>
      </c>
      <c r="O83" s="2" t="s">
        <v>43</v>
      </c>
      <c r="P83" s="2" t="s">
        <v>241</v>
      </c>
      <c r="Q83" s="2" t="s">
        <v>242</v>
      </c>
      <c r="R83" s="2">
        <v>1</v>
      </c>
      <c r="S83" s="2">
        <v>20.399999999999999</v>
      </c>
      <c r="T83" s="2">
        <v>4.6920000000000002</v>
      </c>
      <c r="U83" s="2">
        <v>25.091999999999999</v>
      </c>
      <c r="W83" s="5">
        <f t="shared" si="7"/>
        <v>1</v>
      </c>
      <c r="Y83" s="2" t="s">
        <v>3256</v>
      </c>
      <c r="Z83" s="2" t="s">
        <v>46</v>
      </c>
      <c r="AA83" s="2" t="s">
        <v>57</v>
      </c>
      <c r="AB83" s="2" t="s">
        <v>58</v>
      </c>
      <c r="AE83" s="2">
        <f t="shared" si="8"/>
        <v>0</v>
      </c>
      <c r="AI83" s="2">
        <f t="shared" si="9"/>
        <v>0</v>
      </c>
      <c r="AJ83" s="2">
        <f t="shared" si="10"/>
        <v>20.399999999999999</v>
      </c>
      <c r="AK83" s="5">
        <f t="shared" si="11"/>
        <v>1</v>
      </c>
    </row>
    <row r="84" spans="1:37" x14ac:dyDescent="0.2">
      <c r="A84" s="2">
        <v>2025</v>
      </c>
      <c r="B84" s="2">
        <v>3</v>
      </c>
      <c r="C84" s="2" t="s">
        <v>98</v>
      </c>
      <c r="D84" s="2" t="s">
        <v>99</v>
      </c>
      <c r="E84" s="2" t="s">
        <v>39</v>
      </c>
      <c r="F84" s="2">
        <v>517450925</v>
      </c>
      <c r="G84" s="2" t="s">
        <v>40</v>
      </c>
      <c r="H84" s="2" t="s">
        <v>100</v>
      </c>
      <c r="I84" s="2" t="s">
        <v>101</v>
      </c>
      <c r="K84" s="2" t="s">
        <v>100</v>
      </c>
      <c r="L84" s="2" t="s">
        <v>40</v>
      </c>
      <c r="N84" s="2" t="s">
        <v>3137</v>
      </c>
      <c r="O84" s="2" t="s">
        <v>43</v>
      </c>
      <c r="P84" s="2" t="s">
        <v>243</v>
      </c>
      <c r="Q84" s="2" t="s">
        <v>244</v>
      </c>
      <c r="R84" s="2">
        <v>1</v>
      </c>
      <c r="S84" s="2">
        <v>24.48</v>
      </c>
      <c r="T84" s="2">
        <v>5.6304000000000007</v>
      </c>
      <c r="U84" s="2">
        <v>30.110399999999998</v>
      </c>
      <c r="W84" s="5">
        <f t="shared" si="7"/>
        <v>1</v>
      </c>
      <c r="Y84" s="2" t="s">
        <v>3256</v>
      </c>
      <c r="Z84" s="2" t="s">
        <v>46</v>
      </c>
      <c r="AA84" s="2" t="s">
        <v>57</v>
      </c>
      <c r="AB84" s="2" t="s">
        <v>58</v>
      </c>
      <c r="AE84" s="2">
        <f t="shared" si="8"/>
        <v>0</v>
      </c>
      <c r="AI84" s="2">
        <f t="shared" si="9"/>
        <v>0</v>
      </c>
      <c r="AJ84" s="2">
        <f t="shared" si="10"/>
        <v>24.48</v>
      </c>
      <c r="AK84" s="5">
        <f t="shared" si="11"/>
        <v>1</v>
      </c>
    </row>
    <row r="85" spans="1:37" x14ac:dyDescent="0.2">
      <c r="A85" s="2">
        <v>2025</v>
      </c>
      <c r="B85" s="2">
        <v>3</v>
      </c>
      <c r="C85" s="2" t="s">
        <v>98</v>
      </c>
      <c r="D85" s="2" t="s">
        <v>99</v>
      </c>
      <c r="E85" s="2" t="s">
        <v>39</v>
      </c>
      <c r="F85" s="2">
        <v>517450925</v>
      </c>
      <c r="G85" s="2" t="s">
        <v>40</v>
      </c>
      <c r="H85" s="2" t="s">
        <v>100</v>
      </c>
      <c r="I85" s="2" t="s">
        <v>101</v>
      </c>
      <c r="K85" s="2" t="s">
        <v>100</v>
      </c>
      <c r="L85" s="2" t="s">
        <v>40</v>
      </c>
      <c r="N85" s="2" t="s">
        <v>3137</v>
      </c>
      <c r="O85" s="2" t="s">
        <v>43</v>
      </c>
      <c r="P85" s="2" t="s">
        <v>245</v>
      </c>
      <c r="Q85" s="2" t="s">
        <v>246</v>
      </c>
      <c r="R85" s="2">
        <v>1</v>
      </c>
      <c r="S85" s="2">
        <v>14.28</v>
      </c>
      <c r="T85" s="2">
        <v>3.2844000000000002</v>
      </c>
      <c r="U85" s="2">
        <v>17.564399999999999</v>
      </c>
      <c r="W85" s="5">
        <f t="shared" si="7"/>
        <v>1</v>
      </c>
      <c r="Y85" s="2" t="s">
        <v>3256</v>
      </c>
      <c r="Z85" s="2" t="s">
        <v>46</v>
      </c>
      <c r="AA85" s="2" t="s">
        <v>57</v>
      </c>
      <c r="AB85" s="2" t="s">
        <v>58</v>
      </c>
      <c r="AE85" s="2">
        <f t="shared" si="8"/>
        <v>0</v>
      </c>
      <c r="AI85" s="2">
        <f t="shared" si="9"/>
        <v>0</v>
      </c>
      <c r="AJ85" s="2">
        <f t="shared" si="10"/>
        <v>14.28</v>
      </c>
      <c r="AK85" s="5">
        <f t="shared" si="11"/>
        <v>1</v>
      </c>
    </row>
    <row r="86" spans="1:37" x14ac:dyDescent="0.2">
      <c r="A86" s="2">
        <v>2025</v>
      </c>
      <c r="B86" s="2">
        <v>3</v>
      </c>
      <c r="C86" s="2" t="s">
        <v>98</v>
      </c>
      <c r="D86" s="2" t="s">
        <v>99</v>
      </c>
      <c r="E86" s="2" t="s">
        <v>39</v>
      </c>
      <c r="F86" s="2">
        <v>517450925</v>
      </c>
      <c r="G86" s="2" t="s">
        <v>40</v>
      </c>
      <c r="H86" s="2" t="s">
        <v>100</v>
      </c>
      <c r="I86" s="2" t="s">
        <v>101</v>
      </c>
      <c r="K86" s="2" t="s">
        <v>100</v>
      </c>
      <c r="L86" s="2" t="s">
        <v>40</v>
      </c>
      <c r="N86" s="2" t="s">
        <v>3137</v>
      </c>
      <c r="O86" s="2" t="s">
        <v>43</v>
      </c>
      <c r="P86" s="2" t="s">
        <v>247</v>
      </c>
      <c r="Q86" s="2" t="s">
        <v>248</v>
      </c>
      <c r="R86" s="2">
        <v>1</v>
      </c>
      <c r="S86" s="2">
        <v>16.32</v>
      </c>
      <c r="T86" s="2">
        <v>3.7536</v>
      </c>
      <c r="U86" s="2">
        <v>20.073599999999999</v>
      </c>
      <c r="W86" s="5">
        <f t="shared" si="7"/>
        <v>1</v>
      </c>
      <c r="Y86" s="2" t="s">
        <v>3256</v>
      </c>
      <c r="Z86" s="2" t="s">
        <v>46</v>
      </c>
      <c r="AA86" s="2" t="s">
        <v>57</v>
      </c>
      <c r="AB86" s="2" t="s">
        <v>58</v>
      </c>
      <c r="AE86" s="2">
        <f t="shared" si="8"/>
        <v>0</v>
      </c>
      <c r="AI86" s="2">
        <f t="shared" si="9"/>
        <v>0</v>
      </c>
      <c r="AJ86" s="2">
        <f t="shared" si="10"/>
        <v>16.32</v>
      </c>
      <c r="AK86" s="5">
        <f t="shared" si="11"/>
        <v>1</v>
      </c>
    </row>
    <row r="87" spans="1:37" x14ac:dyDescent="0.2">
      <c r="A87" s="2">
        <v>2025</v>
      </c>
      <c r="B87" s="2">
        <v>3</v>
      </c>
      <c r="C87" s="2" t="s">
        <v>98</v>
      </c>
      <c r="D87" s="2" t="s">
        <v>99</v>
      </c>
      <c r="E87" s="2" t="s">
        <v>39</v>
      </c>
      <c r="F87" s="2">
        <v>517450925</v>
      </c>
      <c r="G87" s="2" t="s">
        <v>40</v>
      </c>
      <c r="H87" s="2" t="s">
        <v>100</v>
      </c>
      <c r="I87" s="2" t="s">
        <v>101</v>
      </c>
      <c r="K87" s="2" t="s">
        <v>100</v>
      </c>
      <c r="L87" s="2" t="s">
        <v>40</v>
      </c>
      <c r="N87" s="2" t="s">
        <v>3137</v>
      </c>
      <c r="O87" s="2" t="s">
        <v>43</v>
      </c>
      <c r="P87" s="2" t="s">
        <v>249</v>
      </c>
      <c r="Q87" s="2" t="s">
        <v>250</v>
      </c>
      <c r="R87" s="2">
        <v>1</v>
      </c>
      <c r="S87" s="2">
        <v>19.89</v>
      </c>
      <c r="T87" s="2">
        <v>4.5747</v>
      </c>
      <c r="U87" s="2">
        <v>24.464700000000001</v>
      </c>
      <c r="W87" s="5">
        <f t="shared" si="7"/>
        <v>1</v>
      </c>
      <c r="Y87" s="2" t="s">
        <v>3256</v>
      </c>
      <c r="Z87" s="2" t="s">
        <v>46</v>
      </c>
      <c r="AA87" s="2" t="s">
        <v>57</v>
      </c>
      <c r="AB87" s="2" t="s">
        <v>58</v>
      </c>
      <c r="AE87" s="2">
        <f t="shared" si="8"/>
        <v>0</v>
      </c>
      <c r="AI87" s="2">
        <f t="shared" si="9"/>
        <v>0</v>
      </c>
      <c r="AJ87" s="2">
        <f t="shared" si="10"/>
        <v>19.89</v>
      </c>
      <c r="AK87" s="5">
        <f t="shared" si="11"/>
        <v>1</v>
      </c>
    </row>
    <row r="88" spans="1:37" x14ac:dyDescent="0.2">
      <c r="A88" s="2">
        <v>2025</v>
      </c>
      <c r="B88" s="2">
        <v>3</v>
      </c>
      <c r="C88" s="2" t="s">
        <v>98</v>
      </c>
      <c r="D88" s="2" t="s">
        <v>99</v>
      </c>
      <c r="E88" s="2" t="s">
        <v>39</v>
      </c>
      <c r="F88" s="2">
        <v>517450925</v>
      </c>
      <c r="G88" s="2" t="s">
        <v>40</v>
      </c>
      <c r="H88" s="2" t="s">
        <v>100</v>
      </c>
      <c r="I88" s="2" t="s">
        <v>101</v>
      </c>
      <c r="K88" s="2" t="s">
        <v>100</v>
      </c>
      <c r="L88" s="2" t="s">
        <v>40</v>
      </c>
      <c r="N88" s="2" t="s">
        <v>3137</v>
      </c>
      <c r="O88" s="2" t="s">
        <v>43</v>
      </c>
      <c r="P88" s="2" t="s">
        <v>55</v>
      </c>
      <c r="Q88" s="2" t="s">
        <v>56</v>
      </c>
      <c r="R88" s="2">
        <v>2</v>
      </c>
      <c r="S88" s="2">
        <v>27.2</v>
      </c>
      <c r="T88" s="2">
        <v>6.2560000000000002</v>
      </c>
      <c r="U88" s="2">
        <v>33.456000000000003</v>
      </c>
      <c r="V88" s="2">
        <f>10.6*R88</f>
        <v>21.2</v>
      </c>
      <c r="W88" s="5">
        <f t="shared" si="7"/>
        <v>0.22058823529411764</v>
      </c>
      <c r="Y88" s="2" t="s">
        <v>3256</v>
      </c>
      <c r="Z88" s="2" t="s">
        <v>46</v>
      </c>
      <c r="AA88" s="2" t="s">
        <v>57</v>
      </c>
      <c r="AB88" s="2" t="s">
        <v>58</v>
      </c>
      <c r="AE88" s="2">
        <f t="shared" si="8"/>
        <v>0</v>
      </c>
      <c r="AF88" s="2">
        <v>10.6</v>
      </c>
      <c r="AG88" s="2">
        <v>18</v>
      </c>
      <c r="AI88" s="2">
        <f t="shared" si="9"/>
        <v>0</v>
      </c>
      <c r="AJ88" s="2">
        <f t="shared" si="10"/>
        <v>6</v>
      </c>
      <c r="AK88" s="5">
        <f t="shared" si="11"/>
        <v>0.22058823529411764</v>
      </c>
    </row>
    <row r="89" spans="1:37" x14ac:dyDescent="0.2">
      <c r="A89" s="2">
        <v>2025</v>
      </c>
      <c r="B89" s="2">
        <v>3</v>
      </c>
      <c r="C89" s="2" t="s">
        <v>98</v>
      </c>
      <c r="D89" s="2" t="s">
        <v>99</v>
      </c>
      <c r="E89" s="2" t="s">
        <v>39</v>
      </c>
      <c r="F89" s="2">
        <v>517450925</v>
      </c>
      <c r="G89" s="2" t="s">
        <v>40</v>
      </c>
      <c r="H89" s="2" t="s">
        <v>100</v>
      </c>
      <c r="I89" s="2" t="s">
        <v>101</v>
      </c>
      <c r="K89" s="2" t="s">
        <v>100</v>
      </c>
      <c r="L89" s="2" t="s">
        <v>40</v>
      </c>
      <c r="N89" s="2" t="s">
        <v>3137</v>
      </c>
      <c r="O89" s="2" t="s">
        <v>43</v>
      </c>
      <c r="P89" s="2" t="s">
        <v>251</v>
      </c>
      <c r="Q89" s="2" t="s">
        <v>252</v>
      </c>
      <c r="R89" s="2">
        <v>1</v>
      </c>
      <c r="S89" s="2">
        <v>55.25</v>
      </c>
      <c r="T89" s="2">
        <v>12.7075</v>
      </c>
      <c r="U89" s="2">
        <v>67.957499999999996</v>
      </c>
      <c r="W89" s="5">
        <f t="shared" si="7"/>
        <v>1</v>
      </c>
      <c r="Y89" s="2" t="s">
        <v>3256</v>
      </c>
      <c r="Z89" s="2" t="s">
        <v>46</v>
      </c>
      <c r="AA89" s="2" t="s">
        <v>91</v>
      </c>
      <c r="AB89" s="2" t="s">
        <v>58</v>
      </c>
      <c r="AE89" s="2">
        <f t="shared" si="8"/>
        <v>0</v>
      </c>
      <c r="AI89" s="2">
        <f t="shared" si="9"/>
        <v>0</v>
      </c>
      <c r="AJ89" s="2">
        <f t="shared" si="10"/>
        <v>55.25</v>
      </c>
      <c r="AK89" s="5">
        <f t="shared" si="11"/>
        <v>1</v>
      </c>
    </row>
    <row r="90" spans="1:37" x14ac:dyDescent="0.2">
      <c r="A90" s="2">
        <v>2025</v>
      </c>
      <c r="B90" s="2">
        <v>3</v>
      </c>
      <c r="C90" s="2" t="s">
        <v>98</v>
      </c>
      <c r="D90" s="2" t="s">
        <v>99</v>
      </c>
      <c r="E90" s="2" t="s">
        <v>39</v>
      </c>
      <c r="F90" s="2">
        <v>517450925</v>
      </c>
      <c r="G90" s="2" t="s">
        <v>40</v>
      </c>
      <c r="H90" s="2" t="s">
        <v>100</v>
      </c>
      <c r="I90" s="2" t="s">
        <v>101</v>
      </c>
      <c r="K90" s="2" t="s">
        <v>100</v>
      </c>
      <c r="L90" s="2" t="s">
        <v>40</v>
      </c>
      <c r="N90" s="2" t="s">
        <v>3137</v>
      </c>
      <c r="O90" s="2" t="s">
        <v>43</v>
      </c>
      <c r="P90" s="2" t="s">
        <v>253</v>
      </c>
      <c r="Q90" s="2" t="s">
        <v>254</v>
      </c>
      <c r="R90" s="2">
        <v>10</v>
      </c>
      <c r="S90" s="2">
        <v>10.199999999999999</v>
      </c>
      <c r="T90" s="2">
        <v>2.3460000000000001</v>
      </c>
      <c r="U90" s="2">
        <v>12.545999999999999</v>
      </c>
      <c r="W90" s="5">
        <f t="shared" si="7"/>
        <v>1</v>
      </c>
      <c r="Y90" s="2" t="s">
        <v>3256</v>
      </c>
      <c r="Z90" s="2" t="s">
        <v>46</v>
      </c>
      <c r="AA90" s="2" t="s">
        <v>61</v>
      </c>
      <c r="AB90" s="2" t="s">
        <v>58</v>
      </c>
      <c r="AE90" s="2">
        <f t="shared" si="8"/>
        <v>0</v>
      </c>
      <c r="AI90" s="2">
        <f t="shared" si="9"/>
        <v>0</v>
      </c>
      <c r="AJ90" s="2">
        <f t="shared" si="10"/>
        <v>10.199999999999999</v>
      </c>
      <c r="AK90" s="5">
        <f t="shared" si="11"/>
        <v>1</v>
      </c>
    </row>
    <row r="91" spans="1:37" x14ac:dyDescent="0.2">
      <c r="A91" s="2">
        <v>2025</v>
      </c>
      <c r="B91" s="2">
        <v>3</v>
      </c>
      <c r="C91" s="2" t="s">
        <v>98</v>
      </c>
      <c r="D91" s="2" t="s">
        <v>99</v>
      </c>
      <c r="E91" s="2" t="s">
        <v>39</v>
      </c>
      <c r="F91" s="2">
        <v>517450925</v>
      </c>
      <c r="G91" s="2" t="s">
        <v>40</v>
      </c>
      <c r="H91" s="2" t="s">
        <v>100</v>
      </c>
      <c r="I91" s="2" t="s">
        <v>101</v>
      </c>
      <c r="K91" s="2" t="s">
        <v>100</v>
      </c>
      <c r="L91" s="2" t="s">
        <v>40</v>
      </c>
      <c r="N91" s="2" t="s">
        <v>3137</v>
      </c>
      <c r="O91" s="2" t="s">
        <v>43</v>
      </c>
      <c r="P91" s="2" t="s">
        <v>59</v>
      </c>
      <c r="Q91" s="2" t="s">
        <v>60</v>
      </c>
      <c r="R91" s="2">
        <v>100</v>
      </c>
      <c r="S91" s="2">
        <v>13.6</v>
      </c>
      <c r="T91" s="2">
        <v>3.1280000000000001</v>
      </c>
      <c r="U91" s="2">
        <v>16.728000000000002</v>
      </c>
      <c r="V91" s="2">
        <f>0.0914*R91</f>
        <v>9.1399999999999988</v>
      </c>
      <c r="W91" s="5">
        <f t="shared" ref="W91:W122" si="12">(S91-V91)/S91</f>
        <v>0.32794117647058829</v>
      </c>
      <c r="Y91" s="2" t="s">
        <v>3256</v>
      </c>
      <c r="Z91" s="2" t="s">
        <v>46</v>
      </c>
      <c r="AA91" s="2" t="s">
        <v>61</v>
      </c>
      <c r="AB91" s="2" t="s">
        <v>58</v>
      </c>
      <c r="AE91" s="2">
        <f t="shared" si="8"/>
        <v>0</v>
      </c>
      <c r="AF91" s="2">
        <v>9.14</v>
      </c>
      <c r="AG91" s="2">
        <v>16</v>
      </c>
      <c r="AI91" s="2">
        <f t="shared" si="9"/>
        <v>0</v>
      </c>
      <c r="AJ91" s="2">
        <f t="shared" si="10"/>
        <v>4.4600000000000009</v>
      </c>
      <c r="AK91" s="5">
        <f t="shared" si="11"/>
        <v>0.32794117647058829</v>
      </c>
    </row>
    <row r="92" spans="1:37" x14ac:dyDescent="0.2">
      <c r="A92" s="2">
        <v>2025</v>
      </c>
      <c r="B92" s="2">
        <v>3</v>
      </c>
      <c r="C92" s="2" t="s">
        <v>98</v>
      </c>
      <c r="D92" s="2" t="s">
        <v>99</v>
      </c>
      <c r="E92" s="2" t="s">
        <v>39</v>
      </c>
      <c r="F92" s="2">
        <v>517450925</v>
      </c>
      <c r="G92" s="2" t="s">
        <v>40</v>
      </c>
      <c r="H92" s="2" t="s">
        <v>100</v>
      </c>
      <c r="I92" s="2" t="s">
        <v>101</v>
      </c>
      <c r="K92" s="2" t="s">
        <v>100</v>
      </c>
      <c r="L92" s="2" t="s">
        <v>40</v>
      </c>
      <c r="N92" s="2" t="s">
        <v>3137</v>
      </c>
      <c r="O92" s="2" t="s">
        <v>43</v>
      </c>
      <c r="P92" s="2" t="s">
        <v>62</v>
      </c>
      <c r="Q92" s="2" t="s">
        <v>63</v>
      </c>
      <c r="R92" s="2">
        <v>100</v>
      </c>
      <c r="S92" s="2">
        <v>11.05</v>
      </c>
      <c r="T92" s="2">
        <v>2.5415000000000001</v>
      </c>
      <c r="U92" s="2">
        <v>13.5915</v>
      </c>
      <c r="V92" s="2">
        <f>0.082*R92</f>
        <v>8.2000000000000011</v>
      </c>
      <c r="W92" s="5">
        <f t="shared" si="12"/>
        <v>0.25791855203619907</v>
      </c>
      <c r="Y92" s="2" t="s">
        <v>3256</v>
      </c>
      <c r="Z92" s="2" t="s">
        <v>46</v>
      </c>
      <c r="AA92" s="2" t="s">
        <v>61</v>
      </c>
      <c r="AB92" s="2" t="s">
        <v>58</v>
      </c>
      <c r="AE92" s="2">
        <f t="shared" si="8"/>
        <v>0</v>
      </c>
      <c r="AF92" s="2">
        <v>8.1999999999999993</v>
      </c>
      <c r="AG92" s="2">
        <v>13</v>
      </c>
      <c r="AI92" s="2">
        <f t="shared" si="9"/>
        <v>0</v>
      </c>
      <c r="AJ92" s="2">
        <f t="shared" si="10"/>
        <v>2.8499999999999996</v>
      </c>
      <c r="AK92" s="5">
        <f t="shared" si="11"/>
        <v>0.25791855203619907</v>
      </c>
    </row>
    <row r="93" spans="1:37" x14ac:dyDescent="0.2">
      <c r="A93" s="2">
        <v>2025</v>
      </c>
      <c r="B93" s="2">
        <v>3</v>
      </c>
      <c r="C93" s="2" t="s">
        <v>98</v>
      </c>
      <c r="D93" s="2" t="s">
        <v>99</v>
      </c>
      <c r="E93" s="2" t="s">
        <v>39</v>
      </c>
      <c r="F93" s="2">
        <v>517450925</v>
      </c>
      <c r="G93" s="2" t="s">
        <v>40</v>
      </c>
      <c r="H93" s="2" t="s">
        <v>100</v>
      </c>
      <c r="I93" s="2" t="s">
        <v>101</v>
      </c>
      <c r="K93" s="2" t="s">
        <v>100</v>
      </c>
      <c r="L93" s="2" t="s">
        <v>40</v>
      </c>
      <c r="N93" s="2" t="s">
        <v>3137</v>
      </c>
      <c r="O93" s="2" t="s">
        <v>43</v>
      </c>
      <c r="P93" s="2" t="s">
        <v>255</v>
      </c>
      <c r="Q93" s="2" t="s">
        <v>256</v>
      </c>
      <c r="R93" s="2">
        <v>100</v>
      </c>
      <c r="S93" s="2">
        <v>13.6</v>
      </c>
      <c r="T93" s="2">
        <v>3.1280000000000001</v>
      </c>
      <c r="U93" s="2">
        <v>16.728000000000002</v>
      </c>
      <c r="W93" s="5">
        <f t="shared" si="12"/>
        <v>1</v>
      </c>
      <c r="Y93" s="2" t="s">
        <v>3256</v>
      </c>
      <c r="Z93" s="2" t="s">
        <v>46</v>
      </c>
      <c r="AA93" s="2" t="s">
        <v>61</v>
      </c>
      <c r="AB93" s="2" t="s">
        <v>58</v>
      </c>
      <c r="AE93" s="2">
        <f t="shared" si="8"/>
        <v>0</v>
      </c>
      <c r="AI93" s="2">
        <f t="shared" si="9"/>
        <v>0</v>
      </c>
      <c r="AJ93" s="2">
        <f t="shared" si="10"/>
        <v>13.6</v>
      </c>
      <c r="AK93" s="5">
        <f t="shared" si="11"/>
        <v>1</v>
      </c>
    </row>
    <row r="94" spans="1:37" x14ac:dyDescent="0.2">
      <c r="A94" s="2">
        <v>2025</v>
      </c>
      <c r="B94" s="2">
        <v>3</v>
      </c>
      <c r="C94" s="2" t="s">
        <v>98</v>
      </c>
      <c r="D94" s="2" t="s">
        <v>99</v>
      </c>
      <c r="E94" s="2" t="s">
        <v>39</v>
      </c>
      <c r="F94" s="2">
        <v>517450925</v>
      </c>
      <c r="G94" s="2" t="s">
        <v>40</v>
      </c>
      <c r="H94" s="2" t="s">
        <v>100</v>
      </c>
      <c r="I94" s="2" t="s">
        <v>101</v>
      </c>
      <c r="K94" s="2" t="s">
        <v>100</v>
      </c>
      <c r="L94" s="2" t="s">
        <v>40</v>
      </c>
      <c r="N94" s="2" t="s">
        <v>3137</v>
      </c>
      <c r="O94" s="2" t="s">
        <v>43</v>
      </c>
      <c r="P94" s="2" t="s">
        <v>257</v>
      </c>
      <c r="Q94" s="2" t="s">
        <v>258</v>
      </c>
      <c r="R94" s="2">
        <v>2</v>
      </c>
      <c r="S94" s="2">
        <v>5.0999999999999996</v>
      </c>
      <c r="T94" s="2">
        <v>1.173</v>
      </c>
      <c r="U94" s="2">
        <v>6.2729999999999997</v>
      </c>
      <c r="W94" s="5">
        <f t="shared" si="12"/>
        <v>1</v>
      </c>
      <c r="Y94" s="2" t="s">
        <v>3256</v>
      </c>
      <c r="Z94" s="2" t="s">
        <v>46</v>
      </c>
      <c r="AA94" s="2" t="s">
        <v>91</v>
      </c>
      <c r="AB94" s="2" t="s">
        <v>58</v>
      </c>
      <c r="AE94" s="2">
        <f t="shared" si="8"/>
        <v>0</v>
      </c>
      <c r="AI94" s="2">
        <f t="shared" si="9"/>
        <v>0</v>
      </c>
      <c r="AJ94" s="2">
        <f t="shared" si="10"/>
        <v>5.0999999999999996</v>
      </c>
      <c r="AK94" s="5">
        <f t="shared" si="11"/>
        <v>1</v>
      </c>
    </row>
    <row r="95" spans="1:37" x14ac:dyDescent="0.2">
      <c r="A95" s="2">
        <v>2025</v>
      </c>
      <c r="B95" s="2">
        <v>3</v>
      </c>
      <c r="C95" s="2" t="s">
        <v>98</v>
      </c>
      <c r="D95" s="2" t="s">
        <v>99</v>
      </c>
      <c r="E95" s="2" t="s">
        <v>39</v>
      </c>
      <c r="F95" s="2">
        <v>517450925</v>
      </c>
      <c r="G95" s="2" t="s">
        <v>40</v>
      </c>
      <c r="H95" s="2" t="s">
        <v>100</v>
      </c>
      <c r="I95" s="2" t="s">
        <v>101</v>
      </c>
      <c r="K95" s="2" t="s">
        <v>100</v>
      </c>
      <c r="L95" s="2" t="s">
        <v>40</v>
      </c>
      <c r="N95" s="2" t="s">
        <v>3137</v>
      </c>
      <c r="O95" s="2" t="s">
        <v>43</v>
      </c>
      <c r="P95" s="2" t="s">
        <v>163</v>
      </c>
      <c r="Q95" s="2" t="s">
        <v>164</v>
      </c>
      <c r="R95" s="2">
        <v>1</v>
      </c>
      <c r="S95" s="2">
        <v>17.850000000000001</v>
      </c>
      <c r="T95" s="2">
        <v>4.1055000000000001</v>
      </c>
      <c r="U95" s="2">
        <v>21.955500000000001</v>
      </c>
      <c r="W95" s="5">
        <f t="shared" si="12"/>
        <v>1</v>
      </c>
      <c r="Y95" s="2" t="s">
        <v>3256</v>
      </c>
      <c r="Z95" s="2" t="s">
        <v>46</v>
      </c>
      <c r="AA95" s="2" t="s">
        <v>47</v>
      </c>
      <c r="AB95" s="2" t="s">
        <v>48</v>
      </c>
      <c r="AE95" s="2">
        <f t="shared" si="8"/>
        <v>0</v>
      </c>
      <c r="AI95" s="2">
        <f t="shared" si="9"/>
        <v>0</v>
      </c>
      <c r="AJ95" s="2">
        <f t="shared" si="10"/>
        <v>17.850000000000001</v>
      </c>
      <c r="AK95" s="5">
        <f t="shared" si="11"/>
        <v>1</v>
      </c>
    </row>
    <row r="96" spans="1:37" x14ac:dyDescent="0.2">
      <c r="A96" s="2">
        <v>2025</v>
      </c>
      <c r="B96" s="2">
        <v>3</v>
      </c>
      <c r="C96" s="2" t="s">
        <v>98</v>
      </c>
      <c r="D96" s="2" t="s">
        <v>99</v>
      </c>
      <c r="E96" s="2" t="s">
        <v>39</v>
      </c>
      <c r="F96" s="2">
        <v>517450925</v>
      </c>
      <c r="G96" s="2" t="s">
        <v>40</v>
      </c>
      <c r="H96" s="2" t="s">
        <v>100</v>
      </c>
      <c r="I96" s="2" t="s">
        <v>101</v>
      </c>
      <c r="K96" s="2" t="s">
        <v>100</v>
      </c>
      <c r="L96" s="2" t="s">
        <v>40</v>
      </c>
      <c r="N96" s="2" t="s">
        <v>3137</v>
      </c>
      <c r="O96" s="2" t="s">
        <v>43</v>
      </c>
      <c r="P96" s="2" t="s">
        <v>259</v>
      </c>
      <c r="Q96" s="2" t="s">
        <v>260</v>
      </c>
      <c r="R96" s="2">
        <v>1</v>
      </c>
      <c r="S96" s="2">
        <v>20.399999999999999</v>
      </c>
      <c r="T96" s="2">
        <v>4.6920000000000002</v>
      </c>
      <c r="U96" s="2">
        <v>25.091999999999999</v>
      </c>
      <c r="W96" s="5">
        <f t="shared" si="12"/>
        <v>1</v>
      </c>
      <c r="Y96" s="2" t="s">
        <v>3256</v>
      </c>
      <c r="Z96" s="2" t="s">
        <v>46</v>
      </c>
      <c r="AA96" s="2" t="s">
        <v>47</v>
      </c>
      <c r="AB96" s="2" t="s">
        <v>48</v>
      </c>
      <c r="AE96" s="2">
        <f t="shared" si="8"/>
        <v>0</v>
      </c>
      <c r="AI96" s="2">
        <f t="shared" si="9"/>
        <v>0</v>
      </c>
      <c r="AJ96" s="2">
        <f t="shared" si="10"/>
        <v>20.399999999999999</v>
      </c>
      <c r="AK96" s="5">
        <f t="shared" si="11"/>
        <v>1</v>
      </c>
    </row>
    <row r="97" spans="1:37" x14ac:dyDescent="0.2">
      <c r="A97" s="2">
        <v>2025</v>
      </c>
      <c r="B97" s="2">
        <v>3</v>
      </c>
      <c r="C97" s="2" t="s">
        <v>98</v>
      </c>
      <c r="D97" s="2" t="s">
        <v>99</v>
      </c>
      <c r="E97" s="2" t="s">
        <v>39</v>
      </c>
      <c r="F97" s="2">
        <v>517450925</v>
      </c>
      <c r="G97" s="2" t="s">
        <v>40</v>
      </c>
      <c r="H97" s="2" t="s">
        <v>100</v>
      </c>
      <c r="I97" s="2" t="s">
        <v>101</v>
      </c>
      <c r="K97" s="2" t="s">
        <v>100</v>
      </c>
      <c r="L97" s="2" t="s">
        <v>40</v>
      </c>
      <c r="N97" s="2" t="s">
        <v>3137</v>
      </c>
      <c r="O97" s="2" t="s">
        <v>43</v>
      </c>
      <c r="P97" s="2" t="s">
        <v>66</v>
      </c>
      <c r="Q97" s="2" t="s">
        <v>67</v>
      </c>
      <c r="R97" s="2">
        <v>2</v>
      </c>
      <c r="S97" s="2">
        <v>35.700000000000003</v>
      </c>
      <c r="T97" s="2">
        <v>8.2110000000000003</v>
      </c>
      <c r="U97" s="2">
        <v>43.911000000000001</v>
      </c>
      <c r="V97" s="2">
        <f>15.0203*R97</f>
        <v>30.040600000000001</v>
      </c>
      <c r="W97" s="5">
        <f t="shared" si="12"/>
        <v>0.15852661064425774</v>
      </c>
      <c r="Y97" s="2" t="s">
        <v>3256</v>
      </c>
      <c r="Z97" s="2" t="s">
        <v>46</v>
      </c>
      <c r="AA97" s="2" t="s">
        <v>68</v>
      </c>
      <c r="AB97" s="2" t="s">
        <v>58</v>
      </c>
      <c r="AE97" s="2">
        <f t="shared" si="8"/>
        <v>0</v>
      </c>
      <c r="AF97" s="2">
        <v>15.020300000000001</v>
      </c>
      <c r="AG97" s="2">
        <v>27.6</v>
      </c>
      <c r="AI97" s="2">
        <f t="shared" si="9"/>
        <v>0</v>
      </c>
      <c r="AJ97" s="2">
        <f t="shared" si="10"/>
        <v>5.6594000000000015</v>
      </c>
      <c r="AK97" s="5">
        <f t="shared" si="11"/>
        <v>0.15852661064425774</v>
      </c>
    </row>
    <row r="98" spans="1:37" x14ac:dyDescent="0.2">
      <c r="A98" s="2">
        <v>2025</v>
      </c>
      <c r="B98" s="2">
        <v>3</v>
      </c>
      <c r="C98" s="2" t="s">
        <v>98</v>
      </c>
      <c r="D98" s="2" t="s">
        <v>99</v>
      </c>
      <c r="E98" s="2" t="s">
        <v>39</v>
      </c>
      <c r="F98" s="2">
        <v>517450925</v>
      </c>
      <c r="G98" s="2" t="s">
        <v>40</v>
      </c>
      <c r="H98" s="2" t="s">
        <v>100</v>
      </c>
      <c r="I98" s="2" t="s">
        <v>101</v>
      </c>
      <c r="K98" s="2" t="s">
        <v>100</v>
      </c>
      <c r="L98" s="2" t="s">
        <v>40</v>
      </c>
      <c r="N98" s="2" t="s">
        <v>3137</v>
      </c>
      <c r="O98" s="2" t="s">
        <v>43</v>
      </c>
      <c r="P98" s="2" t="s">
        <v>261</v>
      </c>
      <c r="Q98" s="2" t="s">
        <v>262</v>
      </c>
      <c r="R98" s="2">
        <v>2</v>
      </c>
      <c r="S98" s="2">
        <v>25.5</v>
      </c>
      <c r="T98" s="2">
        <v>5.8650000000000002</v>
      </c>
      <c r="U98" s="2">
        <v>31.364999999999998</v>
      </c>
      <c r="V98" s="2">
        <f>8.3145*R98</f>
        <v>16.629000000000001</v>
      </c>
      <c r="W98" s="5">
        <f t="shared" si="12"/>
        <v>0.34788235294117642</v>
      </c>
      <c r="Y98" s="2" t="s">
        <v>3256</v>
      </c>
      <c r="Z98" s="2" t="s">
        <v>46</v>
      </c>
      <c r="AA98" s="2" t="s">
        <v>68</v>
      </c>
      <c r="AB98" s="2" t="s">
        <v>58</v>
      </c>
      <c r="AE98" s="2">
        <f t="shared" si="8"/>
        <v>0</v>
      </c>
      <c r="AF98" s="2">
        <v>8.3145000000000007</v>
      </c>
      <c r="AG98" s="2">
        <v>15</v>
      </c>
      <c r="AI98" s="2">
        <f t="shared" si="9"/>
        <v>0</v>
      </c>
      <c r="AJ98" s="2">
        <f t="shared" si="10"/>
        <v>8.8709999999999987</v>
      </c>
      <c r="AK98" s="5">
        <f t="shared" ref="AK98:AK129" si="13">(S98-V98)/S98</f>
        <v>0.34788235294117642</v>
      </c>
    </row>
    <row r="99" spans="1:37" x14ac:dyDescent="0.2">
      <c r="A99" s="2">
        <v>2025</v>
      </c>
      <c r="B99" s="2">
        <v>3</v>
      </c>
      <c r="C99" s="2" t="s">
        <v>98</v>
      </c>
      <c r="D99" s="2" t="s">
        <v>99</v>
      </c>
      <c r="E99" s="2" t="s">
        <v>39</v>
      </c>
      <c r="F99" s="2">
        <v>517450925</v>
      </c>
      <c r="G99" s="2" t="s">
        <v>40</v>
      </c>
      <c r="H99" s="2" t="s">
        <v>100</v>
      </c>
      <c r="I99" s="2" t="s">
        <v>101</v>
      </c>
      <c r="K99" s="2" t="s">
        <v>100</v>
      </c>
      <c r="L99" s="2" t="s">
        <v>40</v>
      </c>
      <c r="O99" s="2" t="s">
        <v>102</v>
      </c>
      <c r="P99" s="2" t="s">
        <v>263</v>
      </c>
      <c r="Q99" s="2" t="s">
        <v>264</v>
      </c>
      <c r="R99" s="2">
        <v>1</v>
      </c>
      <c r="S99" s="2">
        <v>20000</v>
      </c>
      <c r="T99" s="2">
        <v>4600</v>
      </c>
      <c r="U99" s="2">
        <v>24600</v>
      </c>
      <c r="W99" s="5">
        <f t="shared" si="12"/>
        <v>1</v>
      </c>
      <c r="Y99" s="2" t="s">
        <v>105</v>
      </c>
      <c r="Z99" s="2" t="s">
        <v>265</v>
      </c>
      <c r="AA99" s="2" t="s">
        <v>266</v>
      </c>
      <c r="AB99" s="2" t="s">
        <v>102</v>
      </c>
      <c r="AE99" s="2">
        <f t="shared" si="8"/>
        <v>0</v>
      </c>
      <c r="AI99" s="2">
        <f t="shared" si="9"/>
        <v>0</v>
      </c>
      <c r="AJ99" s="2">
        <f t="shared" si="10"/>
        <v>20000</v>
      </c>
      <c r="AK99" s="5">
        <f t="shared" si="13"/>
        <v>1</v>
      </c>
    </row>
    <row r="100" spans="1:37" x14ac:dyDescent="0.2">
      <c r="A100" s="2">
        <v>2025</v>
      </c>
      <c r="B100" s="2">
        <v>3</v>
      </c>
      <c r="C100" s="2" t="s">
        <v>98</v>
      </c>
      <c r="D100" s="2" t="s">
        <v>99</v>
      </c>
      <c r="E100" s="2" t="s">
        <v>39</v>
      </c>
      <c r="F100" s="2">
        <v>517450925</v>
      </c>
      <c r="G100" s="2" t="s">
        <v>40</v>
      </c>
      <c r="H100" s="2" t="s">
        <v>100</v>
      </c>
      <c r="I100" s="2" t="s">
        <v>101</v>
      </c>
      <c r="K100" s="2" t="s">
        <v>100</v>
      </c>
      <c r="L100" s="2" t="s">
        <v>40</v>
      </c>
      <c r="O100" s="2" t="s">
        <v>69</v>
      </c>
      <c r="P100" s="2" t="s">
        <v>267</v>
      </c>
      <c r="Q100" s="2" t="s">
        <v>268</v>
      </c>
      <c r="R100" s="2">
        <v>1</v>
      </c>
      <c r="S100" s="2">
        <v>19.2</v>
      </c>
      <c r="T100" s="2">
        <v>4.4160000000000004</v>
      </c>
      <c r="U100" s="2">
        <v>23.616</v>
      </c>
      <c r="W100" s="5">
        <f t="shared" si="12"/>
        <v>1</v>
      </c>
      <c r="Y100" s="2" t="s">
        <v>3256</v>
      </c>
      <c r="Z100" s="2" t="s">
        <v>72</v>
      </c>
      <c r="AB100" s="2" t="s">
        <v>3261</v>
      </c>
      <c r="AE100" s="2">
        <f t="shared" si="8"/>
        <v>0</v>
      </c>
      <c r="AI100" s="2">
        <f t="shared" si="9"/>
        <v>0</v>
      </c>
      <c r="AJ100" s="2">
        <f t="shared" si="10"/>
        <v>19.2</v>
      </c>
      <c r="AK100" s="5">
        <f t="shared" si="13"/>
        <v>1</v>
      </c>
    </row>
    <row r="101" spans="1:37" x14ac:dyDescent="0.2">
      <c r="A101" s="2">
        <v>2025</v>
      </c>
      <c r="B101" s="2">
        <v>3</v>
      </c>
      <c r="C101" s="2" t="s">
        <v>98</v>
      </c>
      <c r="D101" s="2" t="s">
        <v>99</v>
      </c>
      <c r="E101" s="2" t="s">
        <v>39</v>
      </c>
      <c r="F101" s="2">
        <v>517450925</v>
      </c>
      <c r="G101" s="2" t="s">
        <v>40</v>
      </c>
      <c r="H101" s="2" t="s">
        <v>100</v>
      </c>
      <c r="I101" s="2" t="s">
        <v>101</v>
      </c>
      <c r="K101" s="2" t="s">
        <v>100</v>
      </c>
      <c r="L101" s="2" t="s">
        <v>40</v>
      </c>
      <c r="O101" s="2" t="s">
        <v>85</v>
      </c>
      <c r="P101" s="2" t="s">
        <v>269</v>
      </c>
      <c r="Q101" s="2" t="s">
        <v>270</v>
      </c>
      <c r="R101" s="2">
        <v>1</v>
      </c>
      <c r="S101" s="2">
        <v>4.08</v>
      </c>
      <c r="T101" s="2">
        <v>0.93840000000000001</v>
      </c>
      <c r="U101" s="2">
        <v>5.0183999999999997</v>
      </c>
      <c r="V101" s="2">
        <v>2.4154</v>
      </c>
      <c r="W101" s="5">
        <f t="shared" si="12"/>
        <v>0.4079901960784314</v>
      </c>
      <c r="Y101" s="2" t="s">
        <v>3256</v>
      </c>
      <c r="Z101" s="2" t="s">
        <v>88</v>
      </c>
      <c r="AA101" s="2" t="s">
        <v>91</v>
      </c>
      <c r="AB101" s="2" t="s">
        <v>85</v>
      </c>
      <c r="AE101" s="2">
        <f t="shared" si="8"/>
        <v>0</v>
      </c>
      <c r="AI101" s="2">
        <f t="shared" si="9"/>
        <v>0</v>
      </c>
      <c r="AJ101" s="2">
        <f t="shared" si="10"/>
        <v>1.6646000000000001</v>
      </c>
      <c r="AK101" s="5">
        <f t="shared" si="13"/>
        <v>0.4079901960784314</v>
      </c>
    </row>
    <row r="102" spans="1:37" x14ac:dyDescent="0.2">
      <c r="A102" s="2">
        <v>2025</v>
      </c>
      <c r="B102" s="2">
        <v>3</v>
      </c>
      <c r="C102" s="2" t="s">
        <v>98</v>
      </c>
      <c r="D102" s="2" t="s">
        <v>99</v>
      </c>
      <c r="E102" s="2" t="s">
        <v>39</v>
      </c>
      <c r="F102" s="2">
        <v>517450925</v>
      </c>
      <c r="G102" s="2" t="s">
        <v>40</v>
      </c>
      <c r="H102" s="2" t="s">
        <v>100</v>
      </c>
      <c r="I102" s="2" t="s">
        <v>101</v>
      </c>
      <c r="K102" s="2" t="s">
        <v>100</v>
      </c>
      <c r="L102" s="2" t="s">
        <v>40</v>
      </c>
      <c r="O102" s="2" t="s">
        <v>85</v>
      </c>
      <c r="P102" s="2" t="s">
        <v>271</v>
      </c>
      <c r="Q102" s="2" t="s">
        <v>272</v>
      </c>
      <c r="R102" s="2">
        <v>1</v>
      </c>
      <c r="S102" s="2">
        <v>8.67</v>
      </c>
      <c r="T102" s="2">
        <v>1.9941</v>
      </c>
      <c r="U102" s="2">
        <v>10.664099999999999</v>
      </c>
      <c r="V102" s="2">
        <v>6.86</v>
      </c>
      <c r="W102" s="5">
        <f t="shared" si="12"/>
        <v>0.20876585928489039</v>
      </c>
      <c r="Y102" s="2" t="s">
        <v>3256</v>
      </c>
      <c r="Z102" s="2" t="s">
        <v>88</v>
      </c>
      <c r="AA102" s="2" t="s">
        <v>91</v>
      </c>
      <c r="AB102" s="2" t="s">
        <v>85</v>
      </c>
      <c r="AE102" s="2">
        <f t="shared" si="8"/>
        <v>0</v>
      </c>
      <c r="AI102" s="2">
        <f t="shared" si="9"/>
        <v>0</v>
      </c>
      <c r="AJ102" s="2">
        <f t="shared" si="10"/>
        <v>1.8099999999999996</v>
      </c>
      <c r="AK102" s="5">
        <f t="shared" si="13"/>
        <v>0.20876585928489039</v>
      </c>
    </row>
    <row r="103" spans="1:37" x14ac:dyDescent="0.2">
      <c r="A103" s="2">
        <v>2025</v>
      </c>
      <c r="B103" s="2">
        <v>3</v>
      </c>
      <c r="C103" s="2" t="s">
        <v>98</v>
      </c>
      <c r="D103" s="2" t="s">
        <v>99</v>
      </c>
      <c r="E103" s="2" t="s">
        <v>39</v>
      </c>
      <c r="F103" s="2">
        <v>517450925</v>
      </c>
      <c r="G103" s="2" t="s">
        <v>40</v>
      </c>
      <c r="H103" s="2" t="s">
        <v>100</v>
      </c>
      <c r="I103" s="2" t="s">
        <v>101</v>
      </c>
      <c r="K103" s="2" t="s">
        <v>100</v>
      </c>
      <c r="L103" s="2" t="s">
        <v>40</v>
      </c>
      <c r="O103" s="2" t="s">
        <v>85</v>
      </c>
      <c r="P103" s="2" t="s">
        <v>89</v>
      </c>
      <c r="Q103" s="2" t="s">
        <v>90</v>
      </c>
      <c r="R103" s="2">
        <v>1</v>
      </c>
      <c r="S103" s="2">
        <v>5.61</v>
      </c>
      <c r="T103" s="2">
        <v>1.2903</v>
      </c>
      <c r="U103" s="2">
        <v>6.9003000000000014</v>
      </c>
      <c r="V103" s="2">
        <v>3.5966999999999998</v>
      </c>
      <c r="W103" s="5">
        <f t="shared" si="12"/>
        <v>0.35887700534759365</v>
      </c>
      <c r="Y103" s="2" t="s">
        <v>3256</v>
      </c>
      <c r="Z103" s="2" t="s">
        <v>88</v>
      </c>
      <c r="AA103" s="2" t="s">
        <v>91</v>
      </c>
      <c r="AB103" s="2" t="s">
        <v>85</v>
      </c>
      <c r="AE103" s="2">
        <f t="shared" si="8"/>
        <v>0</v>
      </c>
      <c r="AI103" s="2">
        <f t="shared" si="9"/>
        <v>0</v>
      </c>
      <c r="AJ103" s="2">
        <f t="shared" si="10"/>
        <v>2.0133000000000005</v>
      </c>
      <c r="AK103" s="5">
        <f t="shared" si="13"/>
        <v>0.35887700534759365</v>
      </c>
    </row>
    <row r="104" spans="1:37" x14ac:dyDescent="0.2">
      <c r="A104" s="2">
        <v>2025</v>
      </c>
      <c r="B104" s="2">
        <v>3</v>
      </c>
      <c r="C104" s="2" t="s">
        <v>98</v>
      </c>
      <c r="D104" s="2" t="s">
        <v>99</v>
      </c>
      <c r="E104" s="2" t="s">
        <v>39</v>
      </c>
      <c r="F104" s="2">
        <v>517450925</v>
      </c>
      <c r="G104" s="2" t="s">
        <v>40</v>
      </c>
      <c r="H104" s="2" t="s">
        <v>100</v>
      </c>
      <c r="I104" s="2" t="s">
        <v>101</v>
      </c>
      <c r="K104" s="2" t="s">
        <v>100</v>
      </c>
      <c r="L104" s="2" t="s">
        <v>40</v>
      </c>
      <c r="O104" s="2" t="s">
        <v>85</v>
      </c>
      <c r="P104" s="2" t="s">
        <v>273</v>
      </c>
      <c r="Q104" s="2" t="s">
        <v>274</v>
      </c>
      <c r="R104" s="2">
        <v>1</v>
      </c>
      <c r="S104" s="2">
        <v>14.7</v>
      </c>
      <c r="T104" s="2">
        <v>3.3809999999999998</v>
      </c>
      <c r="U104" s="2">
        <v>18.081</v>
      </c>
      <c r="W104" s="5">
        <f t="shared" si="12"/>
        <v>1</v>
      </c>
      <c r="Y104" s="2" t="s">
        <v>3256</v>
      </c>
      <c r="Z104" s="2" t="s">
        <v>88</v>
      </c>
      <c r="AA104" s="2" t="s">
        <v>91</v>
      </c>
      <c r="AB104" s="2" t="s">
        <v>85</v>
      </c>
      <c r="AE104" s="2">
        <f t="shared" si="8"/>
        <v>0</v>
      </c>
      <c r="AI104" s="2">
        <f t="shared" si="9"/>
        <v>0</v>
      </c>
      <c r="AJ104" s="2">
        <f t="shared" si="10"/>
        <v>14.7</v>
      </c>
      <c r="AK104" s="5">
        <f t="shared" si="13"/>
        <v>1</v>
      </c>
    </row>
    <row r="105" spans="1:37" x14ac:dyDescent="0.2">
      <c r="A105" s="2">
        <v>2025</v>
      </c>
      <c r="B105" s="2">
        <v>3</v>
      </c>
      <c r="C105" s="2" t="s">
        <v>98</v>
      </c>
      <c r="D105" s="2" t="s">
        <v>99</v>
      </c>
      <c r="E105" s="2" t="s">
        <v>39</v>
      </c>
      <c r="F105" s="2">
        <v>517450925</v>
      </c>
      <c r="G105" s="2" t="s">
        <v>40</v>
      </c>
      <c r="H105" s="2" t="s">
        <v>100</v>
      </c>
      <c r="I105" s="2" t="s">
        <v>101</v>
      </c>
      <c r="K105" s="2" t="s">
        <v>100</v>
      </c>
      <c r="L105" s="2" t="s">
        <v>40</v>
      </c>
      <c r="O105" s="2" t="s">
        <v>85</v>
      </c>
      <c r="P105" s="2" t="s">
        <v>275</v>
      </c>
      <c r="Q105" s="2" t="s">
        <v>276</v>
      </c>
      <c r="R105" s="2">
        <v>1</v>
      </c>
      <c r="S105" s="2">
        <v>5.0999999999999996</v>
      </c>
      <c r="T105" s="2">
        <v>1.173</v>
      </c>
      <c r="U105" s="2">
        <v>6.2729999999999997</v>
      </c>
      <c r="V105" s="2">
        <v>2.94</v>
      </c>
      <c r="W105" s="5">
        <f t="shared" si="12"/>
        <v>0.42352941176470588</v>
      </c>
      <c r="Y105" s="2" t="s">
        <v>3256</v>
      </c>
      <c r="Z105" s="2" t="s">
        <v>88</v>
      </c>
      <c r="AA105" s="2" t="s">
        <v>91</v>
      </c>
      <c r="AB105" s="2" t="s">
        <v>85</v>
      </c>
      <c r="AE105" s="2">
        <f t="shared" si="8"/>
        <v>0</v>
      </c>
      <c r="AI105" s="2">
        <f t="shared" si="9"/>
        <v>0</v>
      </c>
      <c r="AJ105" s="2">
        <f t="shared" si="10"/>
        <v>2.1599999999999997</v>
      </c>
      <c r="AK105" s="5">
        <f t="shared" si="13"/>
        <v>0.42352941176470588</v>
      </c>
    </row>
    <row r="106" spans="1:37" x14ac:dyDescent="0.2">
      <c r="A106" s="2">
        <v>2025</v>
      </c>
      <c r="B106" s="2">
        <v>3</v>
      </c>
      <c r="C106" s="2" t="s">
        <v>98</v>
      </c>
      <c r="D106" s="2" t="s">
        <v>99</v>
      </c>
      <c r="E106" s="2" t="s">
        <v>39</v>
      </c>
      <c r="F106" s="2">
        <v>517450925</v>
      </c>
      <c r="G106" s="2" t="s">
        <v>40</v>
      </c>
      <c r="H106" s="2" t="s">
        <v>100</v>
      </c>
      <c r="I106" s="2" t="s">
        <v>101</v>
      </c>
      <c r="K106" s="2" t="s">
        <v>100</v>
      </c>
      <c r="L106" s="2" t="s">
        <v>40</v>
      </c>
      <c r="O106" s="2" t="s">
        <v>85</v>
      </c>
      <c r="P106" s="2" t="s">
        <v>277</v>
      </c>
      <c r="Q106" s="2" t="s">
        <v>278</v>
      </c>
      <c r="R106" s="2">
        <v>1</v>
      </c>
      <c r="S106" s="2">
        <v>5.0999999999999996</v>
      </c>
      <c r="T106" s="2">
        <v>1.173</v>
      </c>
      <c r="U106" s="2">
        <v>6.2729999999999997</v>
      </c>
      <c r="W106" s="5">
        <f t="shared" si="12"/>
        <v>1</v>
      </c>
      <c r="Y106" s="2" t="s">
        <v>3256</v>
      </c>
      <c r="Z106" s="2" t="s">
        <v>88</v>
      </c>
      <c r="AA106" s="2" t="s">
        <v>91</v>
      </c>
      <c r="AB106" s="2" t="s">
        <v>85</v>
      </c>
      <c r="AE106" s="2">
        <f t="shared" si="8"/>
        <v>0</v>
      </c>
      <c r="AI106" s="2">
        <f t="shared" si="9"/>
        <v>0</v>
      </c>
      <c r="AJ106" s="2">
        <f t="shared" si="10"/>
        <v>5.0999999999999996</v>
      </c>
      <c r="AK106" s="5">
        <f t="shared" si="13"/>
        <v>1</v>
      </c>
    </row>
    <row r="107" spans="1:37" x14ac:dyDescent="0.2">
      <c r="A107" s="2">
        <v>2025</v>
      </c>
      <c r="B107" s="2">
        <v>1</v>
      </c>
      <c r="C107" s="2" t="s">
        <v>279</v>
      </c>
      <c r="D107" s="2" t="s">
        <v>38</v>
      </c>
      <c r="F107" s="2">
        <v>203419111</v>
      </c>
      <c r="H107" s="2" t="s">
        <v>280</v>
      </c>
      <c r="I107" s="2" t="s">
        <v>281</v>
      </c>
      <c r="K107" s="2" t="s">
        <v>202</v>
      </c>
      <c r="L107" s="2" t="s">
        <v>40</v>
      </c>
      <c r="N107" s="2" t="s">
        <v>282</v>
      </c>
      <c r="O107" s="2" t="s">
        <v>283</v>
      </c>
      <c r="P107" s="2" t="s">
        <v>284</v>
      </c>
      <c r="Q107" s="2" t="s">
        <v>285</v>
      </c>
      <c r="R107" s="2">
        <v>1</v>
      </c>
      <c r="S107" s="2">
        <v>145</v>
      </c>
      <c r="T107" s="2">
        <v>33.35</v>
      </c>
      <c r="U107" s="2">
        <v>178.35</v>
      </c>
      <c r="V107" s="2">
        <v>101.5</v>
      </c>
      <c r="W107" s="5">
        <f t="shared" si="12"/>
        <v>0.3</v>
      </c>
      <c r="Y107" s="2" t="s">
        <v>3256</v>
      </c>
      <c r="Z107" s="2" t="s">
        <v>72</v>
      </c>
      <c r="AA107" s="2" t="s">
        <v>120</v>
      </c>
      <c r="AB107" s="2" t="s">
        <v>120</v>
      </c>
      <c r="AE107" s="2">
        <f t="shared" si="8"/>
        <v>0</v>
      </c>
      <c r="AF107" s="2">
        <v>101.5</v>
      </c>
      <c r="AG107" s="2">
        <v>145</v>
      </c>
      <c r="AI107" s="2">
        <f t="shared" si="9"/>
        <v>0</v>
      </c>
      <c r="AJ107" s="2">
        <f t="shared" si="10"/>
        <v>43.5</v>
      </c>
      <c r="AK107" s="5">
        <f t="shared" si="13"/>
        <v>0.3</v>
      </c>
    </row>
    <row r="108" spans="1:37" x14ac:dyDescent="0.2">
      <c r="A108" s="2">
        <v>2025</v>
      </c>
      <c r="B108" s="2">
        <v>1</v>
      </c>
      <c r="C108" s="2" t="s">
        <v>279</v>
      </c>
      <c r="D108" s="2" t="s">
        <v>38</v>
      </c>
      <c r="F108" s="2">
        <v>203419111</v>
      </c>
      <c r="H108" s="2" t="s">
        <v>280</v>
      </c>
      <c r="I108" s="2" t="s">
        <v>281</v>
      </c>
      <c r="K108" s="2" t="s">
        <v>202</v>
      </c>
      <c r="O108" s="2" t="s">
        <v>43</v>
      </c>
      <c r="P108" s="2" t="s">
        <v>233</v>
      </c>
      <c r="Q108" s="2" t="s">
        <v>234</v>
      </c>
      <c r="R108" s="2">
        <v>1</v>
      </c>
      <c r="S108" s="2">
        <v>12</v>
      </c>
      <c r="T108" s="2">
        <v>2.76</v>
      </c>
      <c r="U108" s="2">
        <v>14.76</v>
      </c>
      <c r="V108" s="2">
        <v>5.9066999999999998</v>
      </c>
      <c r="W108" s="5">
        <f t="shared" si="12"/>
        <v>0.50777499999999998</v>
      </c>
      <c r="Y108" s="2" t="s">
        <v>3256</v>
      </c>
      <c r="Z108" s="2" t="s">
        <v>46</v>
      </c>
      <c r="AA108" s="2" t="s">
        <v>57</v>
      </c>
      <c r="AB108" s="2" t="s">
        <v>58</v>
      </c>
      <c r="AE108" s="2">
        <f t="shared" si="8"/>
        <v>0</v>
      </c>
      <c r="AF108" s="2">
        <v>5.9066999999999998</v>
      </c>
      <c r="AG108" s="2">
        <v>12.6</v>
      </c>
      <c r="AI108" s="2">
        <f t="shared" si="9"/>
        <v>0</v>
      </c>
      <c r="AJ108" s="2">
        <f t="shared" si="10"/>
        <v>6.0933000000000002</v>
      </c>
      <c r="AK108" s="5">
        <f t="shared" si="13"/>
        <v>0.50777499999999998</v>
      </c>
    </row>
    <row r="109" spans="1:37" x14ac:dyDescent="0.2">
      <c r="A109" s="2">
        <v>2025</v>
      </c>
      <c r="B109" s="2">
        <v>1</v>
      </c>
      <c r="C109" s="2" t="s">
        <v>279</v>
      </c>
      <c r="D109" s="2" t="s">
        <v>38</v>
      </c>
      <c r="F109" s="2">
        <v>203419111</v>
      </c>
      <c r="H109" s="2" t="s">
        <v>280</v>
      </c>
      <c r="I109" s="2" t="s">
        <v>281</v>
      </c>
      <c r="K109" s="2" t="s">
        <v>202</v>
      </c>
      <c r="L109" s="2" t="s">
        <v>40</v>
      </c>
      <c r="O109" s="2" t="s">
        <v>43</v>
      </c>
      <c r="P109" s="2" t="s">
        <v>241</v>
      </c>
      <c r="Q109" s="2" t="s">
        <v>242</v>
      </c>
      <c r="R109" s="2">
        <v>1</v>
      </c>
      <c r="S109" s="2">
        <v>24</v>
      </c>
      <c r="T109" s="2">
        <v>5.52</v>
      </c>
      <c r="U109" s="2">
        <v>29.52</v>
      </c>
      <c r="W109" s="5">
        <f t="shared" si="12"/>
        <v>1</v>
      </c>
      <c r="Y109" s="2" t="s">
        <v>3256</v>
      </c>
      <c r="Z109" s="2" t="s">
        <v>46</v>
      </c>
      <c r="AA109" s="2" t="s">
        <v>57</v>
      </c>
      <c r="AB109" s="2" t="s">
        <v>58</v>
      </c>
      <c r="AE109" s="2">
        <f t="shared" si="8"/>
        <v>0</v>
      </c>
      <c r="AI109" s="2">
        <f t="shared" si="9"/>
        <v>0</v>
      </c>
      <c r="AJ109" s="2">
        <f t="shared" si="10"/>
        <v>24</v>
      </c>
      <c r="AK109" s="5">
        <f t="shared" si="13"/>
        <v>1</v>
      </c>
    </row>
    <row r="110" spans="1:37" x14ac:dyDescent="0.2">
      <c r="A110" s="2">
        <v>2025</v>
      </c>
      <c r="B110" s="2">
        <v>1</v>
      </c>
      <c r="C110" s="2" t="s">
        <v>279</v>
      </c>
      <c r="D110" s="2" t="s">
        <v>38</v>
      </c>
      <c r="F110" s="2">
        <v>203419111</v>
      </c>
      <c r="H110" s="2" t="s">
        <v>280</v>
      </c>
      <c r="I110" s="2" t="s">
        <v>281</v>
      </c>
      <c r="K110" s="2" t="s">
        <v>202</v>
      </c>
      <c r="O110" s="2" t="s">
        <v>43</v>
      </c>
      <c r="P110" s="2" t="s">
        <v>286</v>
      </c>
      <c r="Q110" s="2" t="s">
        <v>287</v>
      </c>
      <c r="R110" s="2">
        <v>1</v>
      </c>
      <c r="S110" s="2">
        <v>22.2</v>
      </c>
      <c r="T110" s="2">
        <v>5.1059999999999999</v>
      </c>
      <c r="U110" s="2">
        <v>27.306000000000001</v>
      </c>
      <c r="W110" s="5">
        <f t="shared" si="12"/>
        <v>1</v>
      </c>
      <c r="Y110" s="2" t="s">
        <v>3256</v>
      </c>
      <c r="Z110" s="2" t="s">
        <v>46</v>
      </c>
      <c r="AA110" s="2" t="s">
        <v>57</v>
      </c>
      <c r="AB110" s="2" t="s">
        <v>58</v>
      </c>
      <c r="AE110" s="2">
        <f t="shared" si="8"/>
        <v>0</v>
      </c>
      <c r="AI110" s="2">
        <f t="shared" si="9"/>
        <v>0</v>
      </c>
      <c r="AJ110" s="2">
        <f t="shared" si="10"/>
        <v>22.2</v>
      </c>
      <c r="AK110" s="5">
        <f t="shared" si="13"/>
        <v>1</v>
      </c>
    </row>
    <row r="111" spans="1:37" x14ac:dyDescent="0.2">
      <c r="A111" s="2">
        <v>2025</v>
      </c>
      <c r="B111" s="2">
        <v>1</v>
      </c>
      <c r="C111" s="2" t="s">
        <v>279</v>
      </c>
      <c r="D111" s="2" t="s">
        <v>38</v>
      </c>
      <c r="F111" s="2">
        <v>203419111</v>
      </c>
      <c r="H111" s="2" t="s">
        <v>280</v>
      </c>
      <c r="I111" s="2" t="s">
        <v>281</v>
      </c>
      <c r="K111" s="2" t="s">
        <v>202</v>
      </c>
      <c r="O111" s="2" t="s">
        <v>43</v>
      </c>
      <c r="P111" s="2" t="s">
        <v>55</v>
      </c>
      <c r="Q111" s="2" t="s">
        <v>56</v>
      </c>
      <c r="R111" s="2">
        <v>4</v>
      </c>
      <c r="S111" s="2">
        <v>72</v>
      </c>
      <c r="T111" s="2">
        <v>16.559999999999999</v>
      </c>
      <c r="U111" s="2">
        <v>88.56</v>
      </c>
      <c r="V111" s="2">
        <f>10.6*R111</f>
        <v>42.4</v>
      </c>
      <c r="W111" s="5">
        <f t="shared" si="12"/>
        <v>0.41111111111111115</v>
      </c>
      <c r="Y111" s="2" t="s">
        <v>3256</v>
      </c>
      <c r="Z111" s="2" t="s">
        <v>46</v>
      </c>
      <c r="AA111" s="2" t="s">
        <v>57</v>
      </c>
      <c r="AB111" s="2" t="s">
        <v>58</v>
      </c>
      <c r="AE111" s="2">
        <f t="shared" si="8"/>
        <v>0</v>
      </c>
      <c r="AF111" s="2">
        <v>10.6</v>
      </c>
      <c r="AG111" s="2">
        <v>18</v>
      </c>
      <c r="AI111" s="2">
        <f t="shared" si="9"/>
        <v>0</v>
      </c>
      <c r="AJ111" s="2">
        <f t="shared" si="10"/>
        <v>29.6</v>
      </c>
      <c r="AK111" s="5">
        <f t="shared" si="13"/>
        <v>0.41111111111111115</v>
      </c>
    </row>
    <row r="112" spans="1:37" x14ac:dyDescent="0.2">
      <c r="A112" s="2">
        <v>2025</v>
      </c>
      <c r="B112" s="2">
        <v>1</v>
      </c>
      <c r="C112" s="2" t="s">
        <v>279</v>
      </c>
      <c r="D112" s="2" t="s">
        <v>38</v>
      </c>
      <c r="F112" s="2">
        <v>203419111</v>
      </c>
      <c r="H112" s="2" t="s">
        <v>280</v>
      </c>
      <c r="I112" s="2" t="s">
        <v>281</v>
      </c>
      <c r="K112" s="2" t="s">
        <v>202</v>
      </c>
      <c r="O112" s="2" t="s">
        <v>43</v>
      </c>
      <c r="P112" s="2" t="s">
        <v>62</v>
      </c>
      <c r="Q112" s="2" t="s">
        <v>63</v>
      </c>
      <c r="R112" s="2">
        <v>100</v>
      </c>
      <c r="S112" s="2">
        <v>13</v>
      </c>
      <c r="T112" s="2">
        <v>2.99</v>
      </c>
      <c r="U112" s="2">
        <v>15.99</v>
      </c>
      <c r="V112" s="2">
        <f>0.082*R112</f>
        <v>8.2000000000000011</v>
      </c>
      <c r="W112" s="5">
        <f t="shared" si="12"/>
        <v>0.36923076923076914</v>
      </c>
      <c r="Y112" s="2" t="s">
        <v>3256</v>
      </c>
      <c r="Z112" s="2" t="s">
        <v>46</v>
      </c>
      <c r="AA112" s="2" t="s">
        <v>61</v>
      </c>
      <c r="AB112" s="2" t="s">
        <v>58</v>
      </c>
      <c r="AE112" s="2">
        <f t="shared" si="8"/>
        <v>0</v>
      </c>
      <c r="AF112" s="2">
        <v>8.1999999999999993</v>
      </c>
      <c r="AG112" s="2">
        <v>13</v>
      </c>
      <c r="AI112" s="2">
        <f t="shared" si="9"/>
        <v>0</v>
      </c>
      <c r="AJ112" s="2">
        <f t="shared" si="10"/>
        <v>4.7999999999999989</v>
      </c>
      <c r="AK112" s="5">
        <f t="shared" si="13"/>
        <v>0.36923076923076914</v>
      </c>
    </row>
    <row r="113" spans="1:37" x14ac:dyDescent="0.2">
      <c r="A113" s="2">
        <v>2025</v>
      </c>
      <c r="B113" s="2">
        <v>2</v>
      </c>
      <c r="C113" s="2" t="s">
        <v>175</v>
      </c>
      <c r="D113" s="2" t="s">
        <v>38</v>
      </c>
      <c r="F113" s="2">
        <v>507685261</v>
      </c>
      <c r="G113" s="2" t="s">
        <v>41</v>
      </c>
      <c r="H113" s="2" t="s">
        <v>176</v>
      </c>
      <c r="I113" s="2" t="s">
        <v>177</v>
      </c>
      <c r="J113" s="2">
        <v>932748418</v>
      </c>
      <c r="K113" s="2" t="s">
        <v>178</v>
      </c>
      <c r="L113" s="2" t="s">
        <v>40</v>
      </c>
      <c r="N113" s="2" t="s">
        <v>179</v>
      </c>
      <c r="O113" s="2" t="s">
        <v>188</v>
      </c>
      <c r="P113" s="2" t="s">
        <v>189</v>
      </c>
      <c r="Q113" s="2" t="s">
        <v>190</v>
      </c>
      <c r="R113" s="2">
        <v>1</v>
      </c>
      <c r="S113" s="2">
        <v>60</v>
      </c>
      <c r="T113" s="2">
        <v>13.8</v>
      </c>
      <c r="U113" s="2">
        <v>73.8</v>
      </c>
      <c r="W113" s="5">
        <f t="shared" si="12"/>
        <v>1</v>
      </c>
      <c r="X113" s="2" t="s">
        <v>40</v>
      </c>
      <c r="Y113" s="2" t="s">
        <v>118</v>
      </c>
      <c r="Z113" s="2" t="s">
        <v>191</v>
      </c>
      <c r="AE113" s="2">
        <f t="shared" si="8"/>
        <v>0</v>
      </c>
      <c r="AI113" s="2">
        <f t="shared" si="9"/>
        <v>0</v>
      </c>
      <c r="AJ113" s="2">
        <f t="shared" si="10"/>
        <v>60</v>
      </c>
      <c r="AK113" s="5">
        <f t="shared" si="13"/>
        <v>1</v>
      </c>
    </row>
    <row r="114" spans="1:37" x14ac:dyDescent="0.2">
      <c r="A114" s="2">
        <v>2025</v>
      </c>
      <c r="B114" s="2">
        <v>2</v>
      </c>
      <c r="C114" s="2" t="s">
        <v>175</v>
      </c>
      <c r="D114" s="2" t="s">
        <v>38</v>
      </c>
      <c r="F114" s="2">
        <v>507685261</v>
      </c>
      <c r="G114" s="2" t="s">
        <v>41</v>
      </c>
      <c r="H114" s="2" t="s">
        <v>176</v>
      </c>
      <c r="I114" s="2" t="s">
        <v>177</v>
      </c>
      <c r="J114" s="2">
        <v>932748418</v>
      </c>
      <c r="K114" s="2" t="s">
        <v>178</v>
      </c>
      <c r="L114" s="2" t="s">
        <v>40</v>
      </c>
      <c r="N114" s="2" t="s">
        <v>179</v>
      </c>
      <c r="O114" s="2" t="s">
        <v>188</v>
      </c>
      <c r="P114" s="2" t="s">
        <v>192</v>
      </c>
      <c r="Q114" s="2" t="s">
        <v>191</v>
      </c>
      <c r="R114" s="2">
        <v>2</v>
      </c>
      <c r="S114" s="2">
        <v>100</v>
      </c>
      <c r="T114" s="2">
        <v>23</v>
      </c>
      <c r="U114" s="2">
        <v>123</v>
      </c>
      <c r="W114" s="5">
        <f t="shared" si="12"/>
        <v>1</v>
      </c>
      <c r="X114" s="2" t="s">
        <v>40</v>
      </c>
      <c r="Y114" s="2" t="s">
        <v>118</v>
      </c>
      <c r="Z114" s="2" t="s">
        <v>191</v>
      </c>
      <c r="AE114" s="2">
        <f t="shared" si="8"/>
        <v>0</v>
      </c>
      <c r="AI114" s="2">
        <f t="shared" si="9"/>
        <v>0</v>
      </c>
      <c r="AJ114" s="2">
        <f t="shared" si="10"/>
        <v>100</v>
      </c>
      <c r="AK114" s="5">
        <f t="shared" si="13"/>
        <v>1</v>
      </c>
    </row>
    <row r="115" spans="1:37" x14ac:dyDescent="0.2">
      <c r="A115" s="2">
        <v>2025</v>
      </c>
      <c r="B115" s="2">
        <v>1</v>
      </c>
      <c r="C115" s="2" t="s">
        <v>183</v>
      </c>
      <c r="D115" s="2" t="s">
        <v>184</v>
      </c>
      <c r="E115" s="2" t="s">
        <v>185</v>
      </c>
      <c r="F115" s="2">
        <v>503116920</v>
      </c>
      <c r="G115" s="2" t="s">
        <v>41</v>
      </c>
      <c r="H115" s="2" t="s">
        <v>186</v>
      </c>
      <c r="I115" s="2" t="s">
        <v>187</v>
      </c>
      <c r="J115" s="2">
        <v>919591406</v>
      </c>
      <c r="K115" s="2" t="s">
        <v>100</v>
      </c>
      <c r="L115" s="2" t="s">
        <v>41</v>
      </c>
      <c r="N115" s="2" t="s">
        <v>3203</v>
      </c>
      <c r="O115" s="2" t="s">
        <v>115</v>
      </c>
      <c r="P115" s="2" t="s">
        <v>288</v>
      </c>
      <c r="Q115" s="2" t="s">
        <v>289</v>
      </c>
      <c r="R115" s="2">
        <v>1</v>
      </c>
      <c r="S115" s="2">
        <v>5000</v>
      </c>
      <c r="T115" s="2">
        <v>1150</v>
      </c>
      <c r="U115" s="2">
        <v>6150</v>
      </c>
      <c r="V115" s="2">
        <v>4275.9799999999996</v>
      </c>
      <c r="W115" s="5">
        <f t="shared" si="12"/>
        <v>0.1448040000000001</v>
      </c>
      <c r="Y115" s="2" t="s">
        <v>105</v>
      </c>
      <c r="Z115" s="2" t="s">
        <v>621</v>
      </c>
      <c r="AA115" s="2" t="s">
        <v>3202</v>
      </c>
      <c r="AB115" s="2" t="s">
        <v>115</v>
      </c>
      <c r="AE115" s="2">
        <f t="shared" si="8"/>
        <v>0</v>
      </c>
      <c r="AF115" s="2">
        <f>4131.6+144.38</f>
        <v>4275.9800000000005</v>
      </c>
      <c r="AI115" s="2">
        <f t="shared" si="9"/>
        <v>0</v>
      </c>
      <c r="AJ115" s="2">
        <f t="shared" si="10"/>
        <v>724.02000000000044</v>
      </c>
      <c r="AK115" s="5">
        <f t="shared" si="13"/>
        <v>0.1448040000000001</v>
      </c>
    </row>
    <row r="116" spans="1:37" x14ac:dyDescent="0.2">
      <c r="A116" s="2">
        <v>2025</v>
      </c>
      <c r="B116" s="2">
        <v>1</v>
      </c>
      <c r="C116" s="2" t="s">
        <v>183</v>
      </c>
      <c r="D116" s="2" t="s">
        <v>184</v>
      </c>
      <c r="E116" s="2" t="s">
        <v>185</v>
      </c>
      <c r="F116" s="2">
        <v>503116920</v>
      </c>
      <c r="G116" s="2" t="s">
        <v>41</v>
      </c>
      <c r="H116" s="2" t="s">
        <v>186</v>
      </c>
      <c r="I116" s="2" t="s">
        <v>187</v>
      </c>
      <c r="J116" s="2">
        <v>919591406</v>
      </c>
      <c r="K116" s="2" t="s">
        <v>100</v>
      </c>
      <c r="O116" s="2" t="s">
        <v>43</v>
      </c>
      <c r="P116" s="2" t="s">
        <v>165</v>
      </c>
      <c r="Q116" s="2" t="s">
        <v>166</v>
      </c>
      <c r="R116" s="2">
        <v>1</v>
      </c>
      <c r="S116" s="2">
        <v>15</v>
      </c>
      <c r="T116" s="2">
        <v>3.45</v>
      </c>
      <c r="U116" s="2">
        <v>18.45</v>
      </c>
      <c r="V116" s="2">
        <f>7.9612*R116</f>
        <v>7.9611999999999998</v>
      </c>
      <c r="W116" s="5">
        <f t="shared" si="12"/>
        <v>0.46925333333333336</v>
      </c>
      <c r="Y116" s="2" t="s">
        <v>3256</v>
      </c>
      <c r="Z116" s="2" t="s">
        <v>46</v>
      </c>
      <c r="AA116" s="2" t="s">
        <v>68</v>
      </c>
      <c r="AB116" s="2" t="s">
        <v>58</v>
      </c>
      <c r="AE116" s="2">
        <f t="shared" si="8"/>
        <v>0</v>
      </c>
      <c r="AF116" s="2">
        <v>7.9611999999999998</v>
      </c>
      <c r="AG116" s="2">
        <v>14.4</v>
      </c>
      <c r="AI116" s="2">
        <f t="shared" si="9"/>
        <v>0</v>
      </c>
      <c r="AJ116" s="2">
        <f t="shared" si="10"/>
        <v>7.0388000000000002</v>
      </c>
      <c r="AK116" s="5">
        <f t="shared" si="13"/>
        <v>0.46925333333333336</v>
      </c>
    </row>
    <row r="117" spans="1:37" x14ac:dyDescent="0.2">
      <c r="A117" s="2">
        <v>2025</v>
      </c>
      <c r="B117" s="2">
        <v>1</v>
      </c>
      <c r="C117" s="2" t="s">
        <v>290</v>
      </c>
      <c r="D117" s="2" t="s">
        <v>109</v>
      </c>
      <c r="E117" s="2" t="s">
        <v>39</v>
      </c>
      <c r="F117" s="2">
        <v>508428300</v>
      </c>
      <c r="G117" s="2" t="s">
        <v>291</v>
      </c>
      <c r="H117" s="2" t="s">
        <v>292</v>
      </c>
      <c r="I117" s="2" t="s">
        <v>293</v>
      </c>
      <c r="J117" s="2">
        <v>917165642</v>
      </c>
      <c r="K117" s="2" t="s">
        <v>294</v>
      </c>
      <c r="L117" s="2" t="s">
        <v>40</v>
      </c>
      <c r="N117" s="2" t="s">
        <v>295</v>
      </c>
      <c r="O117" s="2" t="s">
        <v>115</v>
      </c>
      <c r="P117" s="2" t="s">
        <v>296</v>
      </c>
      <c r="Q117" s="2" t="s">
        <v>297</v>
      </c>
      <c r="R117" s="2">
        <v>1</v>
      </c>
      <c r="S117" s="2">
        <v>660.67</v>
      </c>
      <c r="T117" s="2">
        <v>151.95410000000001</v>
      </c>
      <c r="U117" s="2">
        <v>812.6241</v>
      </c>
      <c r="V117" s="2">
        <v>386</v>
      </c>
      <c r="W117" s="5">
        <f t="shared" si="12"/>
        <v>0.41574462288283104</v>
      </c>
      <c r="Y117" s="2" t="s">
        <v>118</v>
      </c>
      <c r="Z117" s="2" t="s">
        <v>119</v>
      </c>
      <c r="AA117" s="2" t="s">
        <v>120</v>
      </c>
      <c r="AB117" s="2" t="s">
        <v>115</v>
      </c>
      <c r="AE117" s="2">
        <f t="shared" si="8"/>
        <v>0</v>
      </c>
      <c r="AF117" s="2">
        <v>386</v>
      </c>
      <c r="AI117" s="2">
        <f t="shared" si="9"/>
        <v>0</v>
      </c>
      <c r="AJ117" s="2">
        <f t="shared" si="10"/>
        <v>274.66999999999996</v>
      </c>
      <c r="AK117" s="5">
        <f t="shared" si="13"/>
        <v>0.41574462288283104</v>
      </c>
    </row>
    <row r="118" spans="1:37" x14ac:dyDescent="0.2">
      <c r="A118" s="2">
        <v>2025</v>
      </c>
      <c r="B118" s="2">
        <v>1</v>
      </c>
      <c r="C118" s="2" t="s">
        <v>279</v>
      </c>
      <c r="L118" s="2" t="s">
        <v>40</v>
      </c>
      <c r="O118" s="2" t="s">
        <v>188</v>
      </c>
      <c r="P118" s="2" t="s">
        <v>189</v>
      </c>
      <c r="Q118" s="2" t="s">
        <v>190</v>
      </c>
      <c r="R118" s="2">
        <v>1</v>
      </c>
      <c r="S118" s="2">
        <v>70</v>
      </c>
      <c r="T118" s="2">
        <v>16.100000000000001</v>
      </c>
      <c r="U118" s="2">
        <v>86.1</v>
      </c>
      <c r="W118" s="5">
        <f t="shared" si="12"/>
        <v>1</v>
      </c>
      <c r="Y118" s="2" t="s">
        <v>118</v>
      </c>
      <c r="Z118" s="2" t="s">
        <v>191</v>
      </c>
      <c r="AE118" s="2">
        <f t="shared" si="8"/>
        <v>0</v>
      </c>
      <c r="AI118" s="2">
        <f t="shared" si="9"/>
        <v>0</v>
      </c>
      <c r="AJ118" s="2">
        <f t="shared" si="10"/>
        <v>70</v>
      </c>
      <c r="AK118" s="5">
        <f t="shared" si="13"/>
        <v>1</v>
      </c>
    </row>
    <row r="119" spans="1:37" x14ac:dyDescent="0.2">
      <c r="A119" s="2">
        <v>2025</v>
      </c>
      <c r="B119" s="2">
        <v>1</v>
      </c>
      <c r="C119" s="2" t="s">
        <v>298</v>
      </c>
      <c r="D119" s="2" t="s">
        <v>38</v>
      </c>
      <c r="E119" s="2" t="s">
        <v>39</v>
      </c>
      <c r="F119" s="2">
        <v>510939570</v>
      </c>
      <c r="G119" s="2" t="s">
        <v>41</v>
      </c>
      <c r="H119" s="2" t="s">
        <v>299</v>
      </c>
      <c r="I119" s="2" t="s">
        <v>300</v>
      </c>
      <c r="J119" s="2">
        <v>962678129</v>
      </c>
      <c r="K119" s="2" t="s">
        <v>178</v>
      </c>
      <c r="L119" s="2" t="s">
        <v>41</v>
      </c>
      <c r="N119" s="2" t="s">
        <v>301</v>
      </c>
      <c r="O119" s="2" t="s">
        <v>73</v>
      </c>
      <c r="P119" s="2" t="s">
        <v>302</v>
      </c>
      <c r="Q119" s="2" t="s">
        <v>75</v>
      </c>
      <c r="R119" s="2">
        <v>1</v>
      </c>
      <c r="S119" s="2">
        <v>190</v>
      </c>
      <c r="T119" s="2">
        <v>43.7</v>
      </c>
      <c r="U119" s="2">
        <v>233.7</v>
      </c>
      <c r="V119" s="2">
        <v>121.46</v>
      </c>
      <c r="W119" s="5">
        <f t="shared" si="12"/>
        <v>0.36073684210526319</v>
      </c>
      <c r="Y119" s="2" t="s">
        <v>3256</v>
      </c>
      <c r="Z119" s="2" t="s">
        <v>76</v>
      </c>
      <c r="AA119" s="2" t="s">
        <v>77</v>
      </c>
      <c r="AB119" s="2" t="s">
        <v>78</v>
      </c>
      <c r="AE119" s="2">
        <f t="shared" si="8"/>
        <v>0</v>
      </c>
      <c r="AF119" s="2">
        <v>121.46</v>
      </c>
      <c r="AG119" s="2">
        <v>210</v>
      </c>
      <c r="AI119" s="2">
        <f t="shared" si="9"/>
        <v>0</v>
      </c>
      <c r="AJ119" s="2">
        <f t="shared" si="10"/>
        <v>68.540000000000006</v>
      </c>
      <c r="AK119" s="5">
        <f t="shared" si="13"/>
        <v>0.36073684210526319</v>
      </c>
    </row>
    <row r="120" spans="1:37" x14ac:dyDescent="0.2">
      <c r="A120" s="2">
        <v>2025</v>
      </c>
      <c r="B120" s="2">
        <v>1</v>
      </c>
      <c r="C120" s="2" t="s">
        <v>298</v>
      </c>
      <c r="D120" s="2" t="s">
        <v>38</v>
      </c>
      <c r="E120" s="2" t="s">
        <v>39</v>
      </c>
      <c r="F120" s="2">
        <v>510939570</v>
      </c>
      <c r="G120" s="2" t="s">
        <v>41</v>
      </c>
      <c r="H120" s="2" t="s">
        <v>299</v>
      </c>
      <c r="I120" s="2" t="s">
        <v>300</v>
      </c>
      <c r="J120" s="2">
        <v>962678129</v>
      </c>
      <c r="K120" s="2" t="s">
        <v>178</v>
      </c>
      <c r="L120" s="2" t="s">
        <v>41</v>
      </c>
      <c r="N120" s="2" t="s">
        <v>301</v>
      </c>
      <c r="O120" s="2" t="s">
        <v>94</v>
      </c>
      <c r="P120" s="2" t="s">
        <v>95</v>
      </c>
      <c r="Q120" s="2" t="s">
        <v>96</v>
      </c>
      <c r="R120" s="2">
        <v>1</v>
      </c>
      <c r="S120" s="2">
        <v>1.1399999999999999</v>
      </c>
      <c r="T120" s="2">
        <v>0.26219999999999999</v>
      </c>
      <c r="U120" s="2">
        <v>1.4021999999999999</v>
      </c>
      <c r="V120" s="2">
        <v>1.1399999999999999</v>
      </c>
      <c r="W120" s="5">
        <f t="shared" si="12"/>
        <v>0</v>
      </c>
      <c r="Y120" s="2" t="s">
        <v>3256</v>
      </c>
      <c r="Z120" s="2" t="s">
        <v>97</v>
      </c>
      <c r="AA120" s="2" t="s">
        <v>77</v>
      </c>
      <c r="AB120" s="2" t="s">
        <v>94</v>
      </c>
      <c r="AE120" s="2">
        <f t="shared" si="8"/>
        <v>0</v>
      </c>
      <c r="AF120" s="2">
        <v>1.1399999999999999</v>
      </c>
      <c r="AG120" s="2">
        <v>1.1399999999999999</v>
      </c>
      <c r="AI120" s="2">
        <f t="shared" si="9"/>
        <v>0</v>
      </c>
      <c r="AJ120" s="2">
        <f t="shared" si="10"/>
        <v>0</v>
      </c>
      <c r="AK120" s="5">
        <f t="shared" si="13"/>
        <v>0</v>
      </c>
    </row>
    <row r="121" spans="1:37" x14ac:dyDescent="0.2">
      <c r="A121" s="2">
        <v>2025</v>
      </c>
      <c r="B121" s="2">
        <v>1</v>
      </c>
      <c r="C121" s="2" t="s">
        <v>303</v>
      </c>
      <c r="O121" s="2" t="s">
        <v>69</v>
      </c>
      <c r="P121" s="2" t="s">
        <v>304</v>
      </c>
      <c r="Q121" s="2" t="s">
        <v>305</v>
      </c>
      <c r="R121" s="2">
        <v>2</v>
      </c>
      <c r="S121" s="2">
        <v>3383</v>
      </c>
      <c r="T121" s="2">
        <v>778.09</v>
      </c>
      <c r="U121" s="2">
        <v>4161.09</v>
      </c>
      <c r="W121" s="5">
        <f t="shared" si="12"/>
        <v>1</v>
      </c>
      <c r="Y121" s="2" t="s">
        <v>105</v>
      </c>
      <c r="Z121" s="2" t="s">
        <v>306</v>
      </c>
      <c r="AB121" s="2" t="s">
        <v>3261</v>
      </c>
      <c r="AE121" s="2">
        <f t="shared" si="8"/>
        <v>0</v>
      </c>
      <c r="AI121" s="2">
        <f t="shared" si="9"/>
        <v>0</v>
      </c>
      <c r="AJ121" s="2">
        <f t="shared" si="10"/>
        <v>3383</v>
      </c>
      <c r="AK121" s="5">
        <f t="shared" si="13"/>
        <v>1</v>
      </c>
    </row>
    <row r="122" spans="1:37" x14ac:dyDescent="0.2">
      <c r="A122" s="2">
        <v>2025</v>
      </c>
      <c r="B122" s="2">
        <v>1</v>
      </c>
      <c r="C122" s="2" t="s">
        <v>199</v>
      </c>
      <c r="D122" s="2" t="s">
        <v>109</v>
      </c>
      <c r="F122" s="2">
        <v>507541120</v>
      </c>
      <c r="G122" s="2" t="s">
        <v>40</v>
      </c>
      <c r="H122" s="2" t="s">
        <v>200</v>
      </c>
      <c r="I122" s="2" t="s">
        <v>201</v>
      </c>
      <c r="K122" s="2" t="s">
        <v>202</v>
      </c>
      <c r="O122" s="2" t="s">
        <v>73</v>
      </c>
      <c r="P122" s="2" t="s">
        <v>307</v>
      </c>
      <c r="Q122" s="2" t="s">
        <v>308</v>
      </c>
      <c r="R122" s="2">
        <v>1</v>
      </c>
      <c r="S122" s="2">
        <v>211.6</v>
      </c>
      <c r="T122" s="2">
        <v>48.667999999999999</v>
      </c>
      <c r="U122" s="2">
        <v>260.26799999999997</v>
      </c>
      <c r="V122" s="2">
        <v>119.33</v>
      </c>
      <c r="W122" s="5">
        <f t="shared" si="12"/>
        <v>0.43605860113421552</v>
      </c>
      <c r="Y122" s="2" t="s">
        <v>3256</v>
      </c>
      <c r="Z122" s="2" t="s">
        <v>76</v>
      </c>
      <c r="AA122" s="2" t="s">
        <v>77</v>
      </c>
      <c r="AB122" s="2" t="s">
        <v>78</v>
      </c>
      <c r="AE122" s="2">
        <f t="shared" si="8"/>
        <v>0</v>
      </c>
      <c r="AF122" s="2">
        <v>119.33</v>
      </c>
      <c r="AG122" s="2">
        <v>220</v>
      </c>
      <c r="AI122" s="2">
        <f t="shared" si="9"/>
        <v>0</v>
      </c>
      <c r="AJ122" s="2">
        <f t="shared" si="10"/>
        <v>92.27</v>
      </c>
      <c r="AK122" s="5">
        <f t="shared" si="13"/>
        <v>0.43605860113421552</v>
      </c>
    </row>
    <row r="123" spans="1:37" x14ac:dyDescent="0.2">
      <c r="A123" s="2">
        <v>2025</v>
      </c>
      <c r="B123" s="2">
        <v>1</v>
      </c>
      <c r="C123" s="2" t="s">
        <v>199</v>
      </c>
      <c r="D123" s="2" t="s">
        <v>109</v>
      </c>
      <c r="F123" s="2">
        <v>507541120</v>
      </c>
      <c r="G123" s="2" t="s">
        <v>40</v>
      </c>
      <c r="H123" s="2" t="s">
        <v>200</v>
      </c>
      <c r="I123" s="2" t="s">
        <v>201</v>
      </c>
      <c r="K123" s="2" t="s">
        <v>202</v>
      </c>
      <c r="O123" s="2" t="s">
        <v>94</v>
      </c>
      <c r="P123" s="2" t="s">
        <v>95</v>
      </c>
      <c r="Q123" s="2" t="s">
        <v>96</v>
      </c>
      <c r="R123" s="2">
        <v>1</v>
      </c>
      <c r="S123" s="2">
        <v>1.1399999999999999</v>
      </c>
      <c r="T123" s="2">
        <v>0.26219999999999999</v>
      </c>
      <c r="U123" s="2">
        <v>1.4021999999999999</v>
      </c>
      <c r="V123" s="2">
        <v>1.1399999999999999</v>
      </c>
      <c r="W123" s="5">
        <f t="shared" ref="W123:W145" si="14">(S123-V123)/S123</f>
        <v>0</v>
      </c>
      <c r="Y123" s="2" t="s">
        <v>3256</v>
      </c>
      <c r="Z123" s="2" t="s">
        <v>97</v>
      </c>
      <c r="AA123" s="2" t="s">
        <v>77</v>
      </c>
      <c r="AB123" s="2" t="s">
        <v>94</v>
      </c>
      <c r="AE123" s="2">
        <f t="shared" si="8"/>
        <v>0</v>
      </c>
      <c r="AI123" s="2">
        <f t="shared" si="9"/>
        <v>0</v>
      </c>
      <c r="AJ123" s="2">
        <f t="shared" si="10"/>
        <v>0</v>
      </c>
      <c r="AK123" s="5">
        <f t="shared" si="13"/>
        <v>0</v>
      </c>
    </row>
    <row r="124" spans="1:37" x14ac:dyDescent="0.2">
      <c r="A124" s="2">
        <v>2025</v>
      </c>
      <c r="B124" s="2">
        <v>1</v>
      </c>
      <c r="C124" s="2" t="s">
        <v>309</v>
      </c>
      <c r="D124" s="2" t="s">
        <v>109</v>
      </c>
      <c r="E124" s="2" t="s">
        <v>39</v>
      </c>
      <c r="F124" s="2">
        <v>503724300</v>
      </c>
      <c r="G124" s="2" t="s">
        <v>110</v>
      </c>
      <c r="H124" s="2" t="s">
        <v>3138</v>
      </c>
      <c r="I124" s="2" t="s">
        <v>3139</v>
      </c>
      <c r="K124" s="2" t="s">
        <v>113</v>
      </c>
      <c r="L124" s="2" t="s">
        <v>40</v>
      </c>
      <c r="N124" s="2" t="s">
        <v>3140</v>
      </c>
      <c r="O124" s="2" t="s">
        <v>115</v>
      </c>
      <c r="P124" s="2" t="s">
        <v>310</v>
      </c>
      <c r="Q124" s="2" t="s">
        <v>311</v>
      </c>
      <c r="R124" s="2">
        <v>1</v>
      </c>
      <c r="S124" s="2">
        <v>1243.6199999999999</v>
      </c>
      <c r="T124" s="2">
        <v>286.0326</v>
      </c>
      <c r="U124" s="2">
        <v>1529.6525999999999</v>
      </c>
      <c r="V124" s="2">
        <v>601</v>
      </c>
      <c r="W124" s="5">
        <f t="shared" si="14"/>
        <v>0.51673340731091488</v>
      </c>
      <c r="Y124" s="2" t="s">
        <v>118</v>
      </c>
      <c r="Z124" s="2" t="s">
        <v>119</v>
      </c>
      <c r="AA124" s="2" t="s">
        <v>120</v>
      </c>
      <c r="AB124" s="2" t="s">
        <v>115</v>
      </c>
      <c r="AE124" s="2">
        <f t="shared" si="8"/>
        <v>0</v>
      </c>
      <c r="AF124" s="2">
        <v>601</v>
      </c>
      <c r="AI124" s="2">
        <f t="shared" si="9"/>
        <v>0</v>
      </c>
      <c r="AJ124" s="2">
        <f t="shared" si="10"/>
        <v>642.61999999999989</v>
      </c>
      <c r="AK124" s="5">
        <f t="shared" si="13"/>
        <v>0.51673340731091488</v>
      </c>
    </row>
    <row r="125" spans="1:37" x14ac:dyDescent="0.2">
      <c r="A125" s="2">
        <v>2025</v>
      </c>
      <c r="B125" s="2">
        <v>1</v>
      </c>
      <c r="C125" s="2" t="s">
        <v>309</v>
      </c>
      <c r="D125" s="2" t="s">
        <v>109</v>
      </c>
      <c r="E125" s="2" t="s">
        <v>39</v>
      </c>
      <c r="F125" s="2">
        <v>503724300</v>
      </c>
      <c r="G125" s="2" t="s">
        <v>110</v>
      </c>
      <c r="H125" s="2" t="s">
        <v>3138</v>
      </c>
      <c r="I125" s="2" t="s">
        <v>3139</v>
      </c>
      <c r="K125" s="2" t="s">
        <v>113</v>
      </c>
      <c r="L125" s="2" t="s">
        <v>40</v>
      </c>
      <c r="N125" s="2" t="s">
        <v>3140</v>
      </c>
      <c r="O125" s="2" t="s">
        <v>188</v>
      </c>
      <c r="P125" s="2" t="s">
        <v>189</v>
      </c>
      <c r="Q125" s="2" t="s">
        <v>190</v>
      </c>
      <c r="R125" s="2">
        <v>1</v>
      </c>
      <c r="S125" s="2">
        <v>172</v>
      </c>
      <c r="T125" s="2">
        <v>39.56</v>
      </c>
      <c r="U125" s="2">
        <v>211.56</v>
      </c>
      <c r="V125" s="2">
        <f>S125*40%</f>
        <v>68.8</v>
      </c>
      <c r="W125" s="5">
        <f t="shared" si="14"/>
        <v>0.6</v>
      </c>
      <c r="Y125" s="2" t="s">
        <v>118</v>
      </c>
      <c r="Z125" s="2" t="s">
        <v>191</v>
      </c>
      <c r="AE125" s="2">
        <f t="shared" si="8"/>
        <v>0</v>
      </c>
      <c r="AI125" s="2">
        <f t="shared" si="9"/>
        <v>0</v>
      </c>
      <c r="AJ125" s="2">
        <f t="shared" si="10"/>
        <v>103.2</v>
      </c>
      <c r="AK125" s="5">
        <f t="shared" si="13"/>
        <v>0.6</v>
      </c>
    </row>
    <row r="126" spans="1:37" x14ac:dyDescent="0.2">
      <c r="A126" s="2">
        <v>2025</v>
      </c>
      <c r="B126" s="2">
        <v>1</v>
      </c>
      <c r="C126" s="2" t="s">
        <v>309</v>
      </c>
      <c r="D126" s="2" t="s">
        <v>109</v>
      </c>
      <c r="E126" s="2" t="s">
        <v>39</v>
      </c>
      <c r="F126" s="2">
        <v>503724300</v>
      </c>
      <c r="G126" s="2" t="s">
        <v>110</v>
      </c>
      <c r="H126" s="2" t="s">
        <v>3138</v>
      </c>
      <c r="I126" s="2" t="s">
        <v>3139</v>
      </c>
      <c r="K126" s="2" t="s">
        <v>113</v>
      </c>
      <c r="L126" s="2" t="s">
        <v>40</v>
      </c>
      <c r="N126" s="2" t="s">
        <v>3140</v>
      </c>
      <c r="O126" s="2" t="s">
        <v>188</v>
      </c>
      <c r="P126" s="2" t="s">
        <v>192</v>
      </c>
      <c r="Q126" s="2" t="s">
        <v>191</v>
      </c>
      <c r="R126" s="2">
        <v>2</v>
      </c>
      <c r="S126" s="2">
        <v>100</v>
      </c>
      <c r="T126" s="2">
        <v>23</v>
      </c>
      <c r="U126" s="2">
        <v>123</v>
      </c>
      <c r="V126" s="2">
        <f>S126*50%</f>
        <v>50</v>
      </c>
      <c r="W126" s="5">
        <f t="shared" si="14"/>
        <v>0.5</v>
      </c>
      <c r="Y126" s="2" t="s">
        <v>118</v>
      </c>
      <c r="Z126" s="2" t="s">
        <v>191</v>
      </c>
      <c r="AE126" s="2">
        <f t="shared" si="8"/>
        <v>0</v>
      </c>
      <c r="AI126" s="2">
        <f t="shared" si="9"/>
        <v>0</v>
      </c>
      <c r="AJ126" s="2">
        <f t="shared" si="10"/>
        <v>50</v>
      </c>
      <c r="AK126" s="5">
        <f t="shared" si="13"/>
        <v>0.5</v>
      </c>
    </row>
    <row r="127" spans="1:37" x14ac:dyDescent="0.2">
      <c r="A127" s="2">
        <v>2025</v>
      </c>
      <c r="B127" s="2">
        <v>1</v>
      </c>
      <c r="C127" s="2" t="s">
        <v>312</v>
      </c>
      <c r="O127" s="2" t="s">
        <v>69</v>
      </c>
      <c r="P127" s="2" t="s">
        <v>313</v>
      </c>
      <c r="Q127" s="2" t="s">
        <v>314</v>
      </c>
      <c r="R127" s="2">
        <v>1</v>
      </c>
      <c r="S127" s="2">
        <v>93</v>
      </c>
      <c r="T127" s="2">
        <v>21.39</v>
      </c>
      <c r="U127" s="2">
        <v>114.39</v>
      </c>
      <c r="V127" s="2">
        <v>69.75</v>
      </c>
      <c r="W127" s="5">
        <f t="shared" si="14"/>
        <v>0.25</v>
      </c>
      <c r="Y127" s="2" t="s">
        <v>3256</v>
      </c>
      <c r="Z127" s="2" t="s">
        <v>72</v>
      </c>
      <c r="AA127" s="2" t="s">
        <v>69</v>
      </c>
      <c r="AB127" s="2" t="s">
        <v>3261</v>
      </c>
      <c r="AE127" s="2">
        <f t="shared" si="8"/>
        <v>0</v>
      </c>
      <c r="AF127" s="2">
        <v>69.75</v>
      </c>
      <c r="AI127" s="2">
        <f t="shared" si="9"/>
        <v>0</v>
      </c>
      <c r="AJ127" s="2">
        <f t="shared" si="10"/>
        <v>23.25</v>
      </c>
      <c r="AK127" s="5">
        <f t="shared" si="13"/>
        <v>0.25</v>
      </c>
    </row>
    <row r="128" spans="1:37" x14ac:dyDescent="0.2">
      <c r="A128" s="2">
        <v>2025</v>
      </c>
      <c r="B128" s="2">
        <v>1</v>
      </c>
      <c r="C128" s="2" t="s">
        <v>315</v>
      </c>
      <c r="D128" s="2" t="s">
        <v>109</v>
      </c>
      <c r="F128" s="2">
        <v>503270520</v>
      </c>
      <c r="G128" s="2" t="s">
        <v>40</v>
      </c>
      <c r="H128" s="2" t="s">
        <v>316</v>
      </c>
      <c r="I128" s="2" t="s">
        <v>317</v>
      </c>
      <c r="K128" s="2" t="s">
        <v>100</v>
      </c>
      <c r="L128" s="2" t="s">
        <v>40</v>
      </c>
      <c r="O128" s="2" t="s">
        <v>188</v>
      </c>
      <c r="P128" s="2" t="s">
        <v>318</v>
      </c>
      <c r="Q128" s="2" t="s">
        <v>319</v>
      </c>
      <c r="R128" s="2">
        <v>1</v>
      </c>
      <c r="S128" s="2">
        <v>291</v>
      </c>
      <c r="T128" s="2">
        <v>66.930000000000007</v>
      </c>
      <c r="U128" s="2">
        <v>357.93</v>
      </c>
      <c r="W128" s="5">
        <f t="shared" si="14"/>
        <v>1</v>
      </c>
      <c r="Y128" s="2" t="s">
        <v>118</v>
      </c>
      <c r="Z128" s="2" t="s">
        <v>318</v>
      </c>
      <c r="AE128" s="2">
        <f t="shared" si="8"/>
        <v>0</v>
      </c>
      <c r="AI128" s="2">
        <f t="shared" si="9"/>
        <v>0</v>
      </c>
      <c r="AJ128" s="2">
        <f t="shared" si="10"/>
        <v>291</v>
      </c>
      <c r="AK128" s="5">
        <f t="shared" si="13"/>
        <v>1</v>
      </c>
    </row>
    <row r="129" spans="1:37" x14ac:dyDescent="0.2">
      <c r="A129" s="2">
        <v>2025</v>
      </c>
      <c r="B129" s="2">
        <v>1</v>
      </c>
      <c r="C129" s="2" t="s">
        <v>320</v>
      </c>
      <c r="D129" s="2" t="s">
        <v>38</v>
      </c>
      <c r="E129" s="2" t="s">
        <v>39</v>
      </c>
      <c r="F129" s="2">
        <v>500883262</v>
      </c>
      <c r="G129" s="2" t="s">
        <v>40</v>
      </c>
      <c r="H129" s="2" t="s">
        <v>100</v>
      </c>
      <c r="I129" s="2" t="s">
        <v>321</v>
      </c>
      <c r="K129" s="2" t="s">
        <v>100</v>
      </c>
      <c r="L129" s="2" t="s">
        <v>81</v>
      </c>
      <c r="N129" s="2" t="s">
        <v>322</v>
      </c>
      <c r="O129" s="2" t="s">
        <v>73</v>
      </c>
      <c r="P129" s="2" t="s">
        <v>74</v>
      </c>
      <c r="Q129" s="2" t="s">
        <v>75</v>
      </c>
      <c r="R129" s="2">
        <v>1</v>
      </c>
      <c r="S129" s="2">
        <v>184</v>
      </c>
      <c r="T129" s="2">
        <v>42.32</v>
      </c>
      <c r="U129" s="2">
        <v>226.32</v>
      </c>
      <c r="V129" s="2">
        <v>117.453</v>
      </c>
      <c r="W129" s="5">
        <f t="shared" si="14"/>
        <v>0.36166847826086956</v>
      </c>
      <c r="Y129" s="2" t="s">
        <v>3256</v>
      </c>
      <c r="Z129" s="2" t="s">
        <v>76</v>
      </c>
      <c r="AA129" s="2" t="s">
        <v>77</v>
      </c>
      <c r="AB129" s="2" t="s">
        <v>78</v>
      </c>
      <c r="AD129" s="2">
        <v>0</v>
      </c>
      <c r="AE129" s="2">
        <f t="shared" si="8"/>
        <v>0</v>
      </c>
      <c r="AF129" s="2">
        <v>117.453</v>
      </c>
      <c r="AG129" s="2">
        <v>220</v>
      </c>
      <c r="AH129" s="5">
        <v>0</v>
      </c>
      <c r="AI129" s="2">
        <f t="shared" si="9"/>
        <v>0</v>
      </c>
      <c r="AJ129" s="2">
        <f t="shared" si="10"/>
        <v>66.546999999999997</v>
      </c>
      <c r="AK129" s="5">
        <f t="shared" si="13"/>
        <v>0.36166847826086956</v>
      </c>
    </row>
    <row r="130" spans="1:37" x14ac:dyDescent="0.2">
      <c r="A130" s="2">
        <v>2025</v>
      </c>
      <c r="B130" s="2">
        <v>1</v>
      </c>
      <c r="C130" s="2" t="s">
        <v>320</v>
      </c>
      <c r="D130" s="2" t="s">
        <v>38</v>
      </c>
      <c r="E130" s="2" t="s">
        <v>39</v>
      </c>
      <c r="F130" s="2">
        <v>500883262</v>
      </c>
      <c r="G130" s="2" t="s">
        <v>40</v>
      </c>
      <c r="H130" s="2" t="s">
        <v>100</v>
      </c>
      <c r="I130" s="2" t="s">
        <v>321</v>
      </c>
      <c r="K130" s="2" t="s">
        <v>100</v>
      </c>
      <c r="L130" s="2" t="s">
        <v>81</v>
      </c>
      <c r="N130" s="2" t="s">
        <v>322</v>
      </c>
      <c r="O130" s="2" t="s">
        <v>94</v>
      </c>
      <c r="P130" s="2" t="s">
        <v>95</v>
      </c>
      <c r="Q130" s="2" t="s">
        <v>96</v>
      </c>
      <c r="R130" s="2">
        <v>1</v>
      </c>
      <c r="S130" s="2">
        <v>1.1399999999999999</v>
      </c>
      <c r="T130" s="2">
        <v>0.26219999999999999</v>
      </c>
      <c r="U130" s="2">
        <v>1.4021999999999999</v>
      </c>
      <c r="V130" s="2">
        <v>1.1399999999999999</v>
      </c>
      <c r="W130" s="5">
        <f t="shared" si="14"/>
        <v>0</v>
      </c>
      <c r="Y130" s="2" t="s">
        <v>3256</v>
      </c>
      <c r="Z130" s="2" t="s">
        <v>97</v>
      </c>
      <c r="AA130" s="2" t="s">
        <v>77</v>
      </c>
      <c r="AB130" s="2" t="s">
        <v>94</v>
      </c>
      <c r="AE130" s="2">
        <f t="shared" ref="AE130:AE193" si="15">AI130</f>
        <v>0</v>
      </c>
      <c r="AI130" s="2">
        <f t="shared" ref="AI130:AI193" si="16">AH130*S130</f>
        <v>0</v>
      </c>
      <c r="AJ130" s="2">
        <f t="shared" ref="AJ130:AJ193" si="17">S130-V130</f>
        <v>0</v>
      </c>
      <c r="AK130" s="5">
        <f t="shared" ref="AK130:AK154" si="18">(S130-V130)/S130</f>
        <v>0</v>
      </c>
    </row>
    <row r="131" spans="1:37" x14ac:dyDescent="0.2">
      <c r="A131" s="2">
        <v>2025</v>
      </c>
      <c r="B131" s="2">
        <v>1</v>
      </c>
      <c r="C131" s="2" t="s">
        <v>323</v>
      </c>
      <c r="D131" s="2" t="s">
        <v>184</v>
      </c>
      <c r="F131" s="2">
        <v>500048894</v>
      </c>
      <c r="G131" s="2" t="s">
        <v>40</v>
      </c>
      <c r="H131" s="2" t="s">
        <v>100</v>
      </c>
      <c r="I131" s="2" t="s">
        <v>324</v>
      </c>
      <c r="K131" s="2" t="s">
        <v>100</v>
      </c>
      <c r="L131" s="2" t="s">
        <v>81</v>
      </c>
      <c r="N131" s="2" t="s">
        <v>325</v>
      </c>
      <c r="O131" s="2" t="s">
        <v>73</v>
      </c>
      <c r="P131" s="2" t="s">
        <v>326</v>
      </c>
      <c r="Q131" s="2" t="s">
        <v>80</v>
      </c>
      <c r="R131" s="2">
        <v>1</v>
      </c>
      <c r="S131" s="2">
        <v>188.6</v>
      </c>
      <c r="T131" s="2">
        <v>43.378</v>
      </c>
      <c r="U131" s="2">
        <v>231.97800000000001</v>
      </c>
      <c r="V131" s="2">
        <f>110.68*R131</f>
        <v>110.68</v>
      </c>
      <c r="W131" s="5">
        <f t="shared" si="14"/>
        <v>0.41314952279957579</v>
      </c>
      <c r="Y131" s="2" t="s">
        <v>3256</v>
      </c>
      <c r="Z131" s="2" t="s">
        <v>76</v>
      </c>
      <c r="AA131" s="2" t="s">
        <v>77</v>
      </c>
      <c r="AB131" s="2" t="s">
        <v>78</v>
      </c>
      <c r="AE131" s="2">
        <f t="shared" si="15"/>
        <v>0</v>
      </c>
      <c r="AF131" s="2">
        <v>110.68</v>
      </c>
      <c r="AG131" s="2">
        <v>210</v>
      </c>
      <c r="AI131" s="2">
        <f t="shared" si="16"/>
        <v>0</v>
      </c>
      <c r="AJ131" s="2">
        <f t="shared" si="17"/>
        <v>77.919999999999987</v>
      </c>
      <c r="AK131" s="5">
        <f t="shared" si="18"/>
        <v>0.41314952279957579</v>
      </c>
    </row>
    <row r="132" spans="1:37" x14ac:dyDescent="0.2">
      <c r="A132" s="2">
        <v>2025</v>
      </c>
      <c r="B132" s="2">
        <v>1</v>
      </c>
      <c r="C132" s="2" t="s">
        <v>323</v>
      </c>
      <c r="D132" s="2" t="s">
        <v>184</v>
      </c>
      <c r="F132" s="2">
        <v>500048894</v>
      </c>
      <c r="G132" s="2" t="s">
        <v>40</v>
      </c>
      <c r="H132" s="2" t="s">
        <v>100</v>
      </c>
      <c r="I132" s="2" t="s">
        <v>324</v>
      </c>
      <c r="K132" s="2" t="s">
        <v>100</v>
      </c>
      <c r="L132" s="2" t="s">
        <v>81</v>
      </c>
      <c r="N132" s="2" t="s">
        <v>325</v>
      </c>
      <c r="O132" s="2" t="s">
        <v>94</v>
      </c>
      <c r="P132" s="2" t="s">
        <v>95</v>
      </c>
      <c r="Q132" s="2" t="s">
        <v>96</v>
      </c>
      <c r="R132" s="2">
        <v>1</v>
      </c>
      <c r="S132" s="2">
        <v>1.1399999999999999</v>
      </c>
      <c r="T132" s="2">
        <v>0.26219999999999999</v>
      </c>
      <c r="U132" s="2">
        <v>1.4021999999999999</v>
      </c>
      <c r="V132" s="2">
        <v>1.1399999999999999</v>
      </c>
      <c r="W132" s="5">
        <f t="shared" si="14"/>
        <v>0</v>
      </c>
      <c r="Y132" s="2" t="s">
        <v>3256</v>
      </c>
      <c r="Z132" s="2" t="s">
        <v>97</v>
      </c>
      <c r="AA132" s="2" t="s">
        <v>77</v>
      </c>
      <c r="AB132" s="2" t="s">
        <v>94</v>
      </c>
      <c r="AE132" s="2">
        <f t="shared" si="15"/>
        <v>0</v>
      </c>
      <c r="AF132" s="2">
        <v>1.1399999999999999</v>
      </c>
      <c r="AG132" s="2">
        <v>1.1399999999999999</v>
      </c>
      <c r="AI132" s="2">
        <f t="shared" si="16"/>
        <v>0</v>
      </c>
      <c r="AJ132" s="2">
        <f t="shared" si="17"/>
        <v>0</v>
      </c>
      <c r="AK132" s="5">
        <f t="shared" si="18"/>
        <v>0</v>
      </c>
    </row>
    <row r="133" spans="1:37" x14ac:dyDescent="0.2">
      <c r="A133" s="2">
        <v>2025</v>
      </c>
      <c r="B133" s="2">
        <v>1</v>
      </c>
      <c r="C133" s="2" t="s">
        <v>327</v>
      </c>
      <c r="D133" s="2" t="s">
        <v>109</v>
      </c>
      <c r="E133" s="2" t="s">
        <v>39</v>
      </c>
      <c r="F133" s="2">
        <v>501544801</v>
      </c>
      <c r="G133" s="2" t="s">
        <v>41</v>
      </c>
      <c r="H133" s="2" t="s">
        <v>328</v>
      </c>
      <c r="I133" s="2" t="s">
        <v>329</v>
      </c>
      <c r="K133" s="2" t="s">
        <v>178</v>
      </c>
      <c r="L133" s="2" t="s">
        <v>41</v>
      </c>
      <c r="N133" s="2" t="s">
        <v>330</v>
      </c>
      <c r="O133" s="2" t="s">
        <v>73</v>
      </c>
      <c r="P133" s="2" t="s">
        <v>331</v>
      </c>
      <c r="Q133" s="2" t="s">
        <v>332</v>
      </c>
      <c r="R133" s="2">
        <v>1</v>
      </c>
      <c r="S133" s="2">
        <v>187</v>
      </c>
      <c r="T133" s="2">
        <v>43.010000000000012</v>
      </c>
      <c r="U133" s="2">
        <v>230.01</v>
      </c>
      <c r="V133" s="2">
        <v>111.11</v>
      </c>
      <c r="W133" s="5">
        <f t="shared" si="14"/>
        <v>0.40582887700534759</v>
      </c>
      <c r="Y133" s="2" t="s">
        <v>3256</v>
      </c>
      <c r="Z133" s="2" t="s">
        <v>76</v>
      </c>
      <c r="AA133" s="2" t="s">
        <v>77</v>
      </c>
      <c r="AB133" s="2" t="s">
        <v>78</v>
      </c>
      <c r="AE133" s="2">
        <f t="shared" si="15"/>
        <v>0</v>
      </c>
      <c r="AF133" s="2">
        <v>101.30500000000001</v>
      </c>
      <c r="AG133" s="2">
        <v>190</v>
      </c>
      <c r="AI133" s="2">
        <f t="shared" si="16"/>
        <v>0</v>
      </c>
      <c r="AJ133" s="2">
        <f t="shared" si="17"/>
        <v>75.89</v>
      </c>
      <c r="AK133" s="5">
        <f t="shared" si="18"/>
        <v>0.40582887700534759</v>
      </c>
    </row>
    <row r="134" spans="1:37" x14ac:dyDescent="0.2">
      <c r="A134" s="2">
        <v>2025</v>
      </c>
      <c r="B134" s="2">
        <v>1</v>
      </c>
      <c r="C134" s="2" t="s">
        <v>327</v>
      </c>
      <c r="D134" s="2" t="s">
        <v>109</v>
      </c>
      <c r="E134" s="2" t="s">
        <v>39</v>
      </c>
      <c r="F134" s="2">
        <v>501544801</v>
      </c>
      <c r="G134" s="2" t="s">
        <v>41</v>
      </c>
      <c r="H134" s="2" t="s">
        <v>328</v>
      </c>
      <c r="I134" s="2" t="s">
        <v>329</v>
      </c>
      <c r="K134" s="2" t="s">
        <v>178</v>
      </c>
      <c r="L134" s="2" t="s">
        <v>41</v>
      </c>
      <c r="N134" s="2" t="s">
        <v>330</v>
      </c>
      <c r="O134" s="2" t="s">
        <v>94</v>
      </c>
      <c r="P134" s="2" t="s">
        <v>95</v>
      </c>
      <c r="Q134" s="2" t="s">
        <v>96</v>
      </c>
      <c r="R134" s="2">
        <v>1</v>
      </c>
      <c r="S134" s="2">
        <v>1.1399999999999999</v>
      </c>
      <c r="T134" s="2">
        <v>0.26219999999999999</v>
      </c>
      <c r="U134" s="2">
        <v>1.4021999999999999</v>
      </c>
      <c r="V134" s="2">
        <v>1.1399999999999999</v>
      </c>
      <c r="W134" s="5">
        <f t="shared" si="14"/>
        <v>0</v>
      </c>
      <c r="Y134" s="2" t="s">
        <v>3256</v>
      </c>
      <c r="Z134" s="2" t="s">
        <v>97</v>
      </c>
      <c r="AA134" s="2" t="s">
        <v>77</v>
      </c>
      <c r="AB134" s="2" t="s">
        <v>94</v>
      </c>
      <c r="AE134" s="2">
        <f t="shared" si="15"/>
        <v>0</v>
      </c>
      <c r="AI134" s="2">
        <f t="shared" si="16"/>
        <v>0</v>
      </c>
      <c r="AJ134" s="2">
        <f t="shared" si="17"/>
        <v>0</v>
      </c>
      <c r="AK134" s="5">
        <f t="shared" si="18"/>
        <v>0</v>
      </c>
    </row>
    <row r="135" spans="1:37" x14ac:dyDescent="0.2">
      <c r="A135" s="2">
        <v>2025</v>
      </c>
      <c r="B135" s="2">
        <v>1</v>
      </c>
      <c r="C135" s="2" t="s">
        <v>333</v>
      </c>
      <c r="D135" s="2" t="s">
        <v>109</v>
      </c>
      <c r="E135" s="2" t="s">
        <v>39</v>
      </c>
      <c r="F135" s="2">
        <v>513493557</v>
      </c>
      <c r="G135" s="2" t="s">
        <v>41</v>
      </c>
      <c r="H135" s="2" t="s">
        <v>280</v>
      </c>
      <c r="I135" s="2" t="s">
        <v>334</v>
      </c>
      <c r="K135" s="2" t="s">
        <v>178</v>
      </c>
      <c r="L135" s="2" t="s">
        <v>41</v>
      </c>
      <c r="O135" s="2" t="s">
        <v>43</v>
      </c>
      <c r="P135" s="2" t="s">
        <v>243</v>
      </c>
      <c r="Q135" s="2" t="s">
        <v>244</v>
      </c>
      <c r="R135" s="2">
        <v>1</v>
      </c>
      <c r="S135" s="2">
        <v>28.8</v>
      </c>
      <c r="T135" s="2">
        <v>6.6240000000000014</v>
      </c>
      <c r="U135" s="2">
        <v>35.423999999999999</v>
      </c>
      <c r="W135" s="5">
        <f t="shared" si="14"/>
        <v>1</v>
      </c>
      <c r="Y135" s="2" t="s">
        <v>3256</v>
      </c>
      <c r="Z135" s="2" t="s">
        <v>46</v>
      </c>
      <c r="AA135" s="2" t="s">
        <v>57</v>
      </c>
      <c r="AB135" s="2" t="s">
        <v>58</v>
      </c>
      <c r="AE135" s="2">
        <f t="shared" si="15"/>
        <v>0</v>
      </c>
      <c r="AI135" s="2">
        <f t="shared" si="16"/>
        <v>0</v>
      </c>
      <c r="AJ135" s="2">
        <f t="shared" si="17"/>
        <v>28.8</v>
      </c>
      <c r="AK135" s="5">
        <f t="shared" si="18"/>
        <v>1</v>
      </c>
    </row>
    <row r="136" spans="1:37" x14ac:dyDescent="0.2">
      <c r="A136" s="2">
        <v>2025</v>
      </c>
      <c r="B136" s="2">
        <v>1</v>
      </c>
      <c r="C136" s="2" t="s">
        <v>333</v>
      </c>
      <c r="D136" s="2" t="s">
        <v>109</v>
      </c>
      <c r="E136" s="2" t="s">
        <v>39</v>
      </c>
      <c r="F136" s="2">
        <v>513493557</v>
      </c>
      <c r="G136" s="2" t="s">
        <v>41</v>
      </c>
      <c r="H136" s="2" t="s">
        <v>280</v>
      </c>
      <c r="I136" s="2" t="s">
        <v>334</v>
      </c>
      <c r="K136" s="2" t="s">
        <v>178</v>
      </c>
      <c r="L136" s="2" t="s">
        <v>41</v>
      </c>
      <c r="O136" s="2" t="s">
        <v>43</v>
      </c>
      <c r="P136" s="2" t="s">
        <v>335</v>
      </c>
      <c r="Q136" s="2" t="s">
        <v>336</v>
      </c>
      <c r="R136" s="2">
        <v>20</v>
      </c>
      <c r="S136" s="2">
        <v>60</v>
      </c>
      <c r="T136" s="2">
        <v>13.8</v>
      </c>
      <c r="U136" s="2">
        <v>73.8</v>
      </c>
      <c r="V136" s="2">
        <f>1.1122*R136</f>
        <v>22.244</v>
      </c>
      <c r="W136" s="5">
        <f t="shared" si="14"/>
        <v>0.62926666666666664</v>
      </c>
      <c r="Y136" s="2" t="s">
        <v>3256</v>
      </c>
      <c r="Z136" s="2" t="s">
        <v>46</v>
      </c>
      <c r="AA136" s="2" t="s">
        <v>61</v>
      </c>
      <c r="AB136" s="2" t="s">
        <v>58</v>
      </c>
      <c r="AE136" s="2">
        <f t="shared" si="15"/>
        <v>0</v>
      </c>
      <c r="AF136" s="2">
        <v>1.1122000000000001</v>
      </c>
      <c r="AG136" s="2">
        <v>3</v>
      </c>
      <c r="AI136" s="2">
        <f t="shared" si="16"/>
        <v>0</v>
      </c>
      <c r="AJ136" s="2">
        <f t="shared" si="17"/>
        <v>37.756</v>
      </c>
      <c r="AK136" s="5">
        <f t="shared" si="18"/>
        <v>0.62926666666666664</v>
      </c>
    </row>
    <row r="137" spans="1:37" x14ac:dyDescent="0.2">
      <c r="A137" s="2">
        <v>2025</v>
      </c>
      <c r="B137" s="2">
        <v>1</v>
      </c>
      <c r="C137" s="2" t="s">
        <v>337</v>
      </c>
      <c r="D137" s="2" t="s">
        <v>109</v>
      </c>
      <c r="E137" s="2" t="s">
        <v>39</v>
      </c>
      <c r="F137" s="2">
        <v>503373494</v>
      </c>
      <c r="G137" s="2" t="s">
        <v>291</v>
      </c>
      <c r="H137" s="2" t="s">
        <v>338</v>
      </c>
      <c r="I137" s="2" t="s">
        <v>339</v>
      </c>
      <c r="J137" s="2">
        <v>965852001</v>
      </c>
      <c r="K137" s="2" t="s">
        <v>340</v>
      </c>
      <c r="O137" s="2" t="s">
        <v>43</v>
      </c>
      <c r="P137" s="2" t="s">
        <v>221</v>
      </c>
      <c r="Q137" s="2" t="s">
        <v>222</v>
      </c>
      <c r="R137" s="2">
        <v>1</v>
      </c>
      <c r="S137" s="2">
        <v>24.6</v>
      </c>
      <c r="T137" s="2">
        <v>5.6580000000000004</v>
      </c>
      <c r="U137" s="2">
        <v>30.257999999999999</v>
      </c>
      <c r="W137" s="5">
        <f t="shared" si="14"/>
        <v>1</v>
      </c>
      <c r="Y137" s="2" t="s">
        <v>3256</v>
      </c>
      <c r="Z137" s="2" t="s">
        <v>46</v>
      </c>
      <c r="AA137" s="2" t="s">
        <v>57</v>
      </c>
      <c r="AB137" s="2" t="s">
        <v>58</v>
      </c>
      <c r="AE137" s="2">
        <f t="shared" si="15"/>
        <v>0</v>
      </c>
      <c r="AI137" s="2">
        <f t="shared" si="16"/>
        <v>0</v>
      </c>
      <c r="AJ137" s="2">
        <f t="shared" si="17"/>
        <v>24.6</v>
      </c>
      <c r="AK137" s="5">
        <f t="shared" si="18"/>
        <v>1</v>
      </c>
    </row>
    <row r="138" spans="1:37" x14ac:dyDescent="0.2">
      <c r="A138" s="2">
        <v>2025</v>
      </c>
      <c r="B138" s="2">
        <v>1</v>
      </c>
      <c r="C138" s="2" t="s">
        <v>337</v>
      </c>
      <c r="D138" s="2" t="s">
        <v>109</v>
      </c>
      <c r="E138" s="2" t="s">
        <v>39</v>
      </c>
      <c r="F138" s="2">
        <v>503373494</v>
      </c>
      <c r="G138" s="2" t="s">
        <v>291</v>
      </c>
      <c r="H138" s="2" t="s">
        <v>338</v>
      </c>
      <c r="I138" s="2" t="s">
        <v>339</v>
      </c>
      <c r="J138" s="2">
        <v>965852001</v>
      </c>
      <c r="K138" s="2" t="s">
        <v>340</v>
      </c>
      <c r="O138" s="2" t="s">
        <v>43</v>
      </c>
      <c r="P138" s="2" t="s">
        <v>231</v>
      </c>
      <c r="Q138" s="2" t="s">
        <v>232</v>
      </c>
      <c r="R138" s="2">
        <v>1</v>
      </c>
      <c r="S138" s="2">
        <v>12</v>
      </c>
      <c r="T138" s="2">
        <v>2.76</v>
      </c>
      <c r="U138" s="2">
        <v>14.76</v>
      </c>
      <c r="W138" s="5">
        <f t="shared" si="14"/>
        <v>1</v>
      </c>
      <c r="Y138" s="2" t="s">
        <v>3256</v>
      </c>
      <c r="Z138" s="2" t="s">
        <v>46</v>
      </c>
      <c r="AA138" s="2" t="s">
        <v>57</v>
      </c>
      <c r="AB138" s="2" t="s">
        <v>58</v>
      </c>
      <c r="AE138" s="2">
        <f t="shared" si="15"/>
        <v>0</v>
      </c>
      <c r="AI138" s="2">
        <f t="shared" si="16"/>
        <v>0</v>
      </c>
      <c r="AJ138" s="2">
        <f t="shared" si="17"/>
        <v>12</v>
      </c>
      <c r="AK138" s="5">
        <f t="shared" si="18"/>
        <v>1</v>
      </c>
    </row>
    <row r="139" spans="1:37" x14ac:dyDescent="0.2">
      <c r="A139" s="2">
        <v>2025</v>
      </c>
      <c r="B139" s="2">
        <v>1</v>
      </c>
      <c r="C139" s="2" t="s">
        <v>337</v>
      </c>
      <c r="D139" s="2" t="s">
        <v>109</v>
      </c>
      <c r="E139" s="2" t="s">
        <v>39</v>
      </c>
      <c r="F139" s="2">
        <v>503373494</v>
      </c>
      <c r="G139" s="2" t="s">
        <v>291</v>
      </c>
      <c r="H139" s="2" t="s">
        <v>338</v>
      </c>
      <c r="I139" s="2" t="s">
        <v>339</v>
      </c>
      <c r="J139" s="2">
        <v>965852001</v>
      </c>
      <c r="K139" s="2" t="s">
        <v>340</v>
      </c>
      <c r="O139" s="2" t="s">
        <v>43</v>
      </c>
      <c r="P139" s="2" t="s">
        <v>55</v>
      </c>
      <c r="Q139" s="2" t="s">
        <v>56</v>
      </c>
      <c r="R139" s="2">
        <v>10</v>
      </c>
      <c r="S139" s="2">
        <v>180</v>
      </c>
      <c r="T139" s="2">
        <v>41.4</v>
      </c>
      <c r="U139" s="2">
        <v>221.4</v>
      </c>
      <c r="V139" s="2">
        <f>10.6*R139</f>
        <v>106</v>
      </c>
      <c r="W139" s="5">
        <f t="shared" si="14"/>
        <v>0.41111111111111109</v>
      </c>
      <c r="Y139" s="2" t="s">
        <v>3256</v>
      </c>
      <c r="Z139" s="2" t="s">
        <v>46</v>
      </c>
      <c r="AA139" s="2" t="s">
        <v>57</v>
      </c>
      <c r="AB139" s="2" t="s">
        <v>58</v>
      </c>
      <c r="AE139" s="2">
        <f t="shared" si="15"/>
        <v>0</v>
      </c>
      <c r="AF139" s="2">
        <v>10.6</v>
      </c>
      <c r="AG139" s="2">
        <v>18</v>
      </c>
      <c r="AI139" s="2">
        <f t="shared" si="16"/>
        <v>0</v>
      </c>
      <c r="AJ139" s="2">
        <f t="shared" si="17"/>
        <v>74</v>
      </c>
      <c r="AK139" s="5">
        <f t="shared" si="18"/>
        <v>0.41111111111111109</v>
      </c>
    </row>
    <row r="140" spans="1:37" x14ac:dyDescent="0.2">
      <c r="A140" s="2">
        <v>2025</v>
      </c>
      <c r="B140" s="2">
        <v>1</v>
      </c>
      <c r="C140" s="2" t="s">
        <v>337</v>
      </c>
      <c r="D140" s="2" t="s">
        <v>109</v>
      </c>
      <c r="E140" s="2" t="s">
        <v>39</v>
      </c>
      <c r="F140" s="2">
        <v>503373494</v>
      </c>
      <c r="G140" s="2" t="s">
        <v>291</v>
      </c>
      <c r="H140" s="2" t="s">
        <v>338</v>
      </c>
      <c r="I140" s="2" t="s">
        <v>339</v>
      </c>
      <c r="J140" s="2">
        <v>965852001</v>
      </c>
      <c r="K140" s="2" t="s">
        <v>340</v>
      </c>
      <c r="O140" s="2" t="s">
        <v>43</v>
      </c>
      <c r="P140" s="2" t="s">
        <v>62</v>
      </c>
      <c r="Q140" s="2" t="s">
        <v>63</v>
      </c>
      <c r="R140" s="2">
        <v>1000</v>
      </c>
      <c r="S140" s="2">
        <v>110</v>
      </c>
      <c r="T140" s="2">
        <v>25.3</v>
      </c>
      <c r="U140" s="2">
        <v>135.30000000000001</v>
      </c>
      <c r="V140" s="2">
        <f>0.082*R140</f>
        <v>82</v>
      </c>
      <c r="W140" s="5">
        <f t="shared" si="14"/>
        <v>0.25454545454545452</v>
      </c>
      <c r="Y140" s="2" t="s">
        <v>3256</v>
      </c>
      <c r="Z140" s="2" t="s">
        <v>46</v>
      </c>
      <c r="AA140" s="2" t="s">
        <v>61</v>
      </c>
      <c r="AB140" s="2" t="s">
        <v>58</v>
      </c>
      <c r="AE140" s="2">
        <f t="shared" si="15"/>
        <v>0</v>
      </c>
      <c r="AF140" s="2">
        <v>8.1999999999999993</v>
      </c>
      <c r="AG140" s="2">
        <v>13</v>
      </c>
      <c r="AI140" s="2">
        <f t="shared" si="16"/>
        <v>0</v>
      </c>
      <c r="AJ140" s="2">
        <f t="shared" si="17"/>
        <v>28</v>
      </c>
      <c r="AK140" s="5">
        <f t="shared" si="18"/>
        <v>0.25454545454545452</v>
      </c>
    </row>
    <row r="141" spans="1:37" x14ac:dyDescent="0.2">
      <c r="A141" s="2">
        <v>2025</v>
      </c>
      <c r="B141" s="2">
        <v>1</v>
      </c>
      <c r="C141" s="2" t="s">
        <v>341</v>
      </c>
      <c r="L141" s="2" t="s">
        <v>40</v>
      </c>
      <c r="O141" s="2" t="s">
        <v>188</v>
      </c>
      <c r="P141" s="2" t="s">
        <v>192</v>
      </c>
      <c r="Q141" s="2" t="s">
        <v>191</v>
      </c>
      <c r="R141" s="2">
        <v>4</v>
      </c>
      <c r="S141" s="2">
        <v>200</v>
      </c>
      <c r="T141" s="2">
        <v>46</v>
      </c>
      <c r="U141" s="2">
        <v>246</v>
      </c>
      <c r="V141" s="2">
        <f>S141*50%</f>
        <v>100</v>
      </c>
      <c r="W141" s="5">
        <f t="shared" si="14"/>
        <v>0.5</v>
      </c>
      <c r="Y141" s="2" t="s">
        <v>118</v>
      </c>
      <c r="Z141" s="2" t="s">
        <v>191</v>
      </c>
      <c r="AE141" s="2">
        <f t="shared" si="15"/>
        <v>0</v>
      </c>
      <c r="AI141" s="2">
        <f t="shared" si="16"/>
        <v>0</v>
      </c>
      <c r="AJ141" s="2">
        <f t="shared" si="17"/>
        <v>100</v>
      </c>
      <c r="AK141" s="5">
        <f t="shared" si="18"/>
        <v>0.5</v>
      </c>
    </row>
    <row r="142" spans="1:37" x14ac:dyDescent="0.2">
      <c r="A142" s="2">
        <v>2025</v>
      </c>
      <c r="B142" s="2">
        <v>1</v>
      </c>
      <c r="C142" s="2" t="s">
        <v>342</v>
      </c>
      <c r="D142" s="2" t="s">
        <v>99</v>
      </c>
      <c r="E142" s="2" t="s">
        <v>39</v>
      </c>
      <c r="F142" s="2">
        <v>515045209</v>
      </c>
      <c r="G142" s="2" t="s">
        <v>40</v>
      </c>
      <c r="H142" s="2" t="s">
        <v>343</v>
      </c>
      <c r="I142" s="2" t="s">
        <v>344</v>
      </c>
      <c r="J142" s="2">
        <v>910797622</v>
      </c>
      <c r="K142" s="2" t="s">
        <v>345</v>
      </c>
      <c r="L142" s="2" t="s">
        <v>81</v>
      </c>
      <c r="N142" s="2" t="s">
        <v>346</v>
      </c>
      <c r="O142" s="2" t="s">
        <v>73</v>
      </c>
      <c r="P142" s="2" t="s">
        <v>347</v>
      </c>
      <c r="Q142" s="2" t="s">
        <v>75</v>
      </c>
      <c r="R142" s="2">
        <v>1</v>
      </c>
      <c r="S142" s="2">
        <v>202.4</v>
      </c>
      <c r="T142" s="2">
        <v>46.552000000000007</v>
      </c>
      <c r="U142" s="2">
        <v>248.952</v>
      </c>
      <c r="V142" s="2">
        <v>124.4</v>
      </c>
      <c r="W142" s="5">
        <f t="shared" si="14"/>
        <v>0.38537549407114624</v>
      </c>
      <c r="Y142" s="2" t="s">
        <v>3256</v>
      </c>
      <c r="Z142" s="2" t="s">
        <v>76</v>
      </c>
      <c r="AA142" s="2" t="s">
        <v>77</v>
      </c>
      <c r="AB142" s="2" t="s">
        <v>78</v>
      </c>
      <c r="AE142" s="2">
        <f t="shared" si="15"/>
        <v>0</v>
      </c>
      <c r="AF142" s="2">
        <v>124.4</v>
      </c>
      <c r="AG142" s="2">
        <v>200</v>
      </c>
      <c r="AI142" s="2">
        <f t="shared" si="16"/>
        <v>0</v>
      </c>
      <c r="AJ142" s="2">
        <f t="shared" si="17"/>
        <v>78</v>
      </c>
      <c r="AK142" s="5">
        <f t="shared" si="18"/>
        <v>0.38537549407114624</v>
      </c>
    </row>
    <row r="143" spans="1:37" x14ac:dyDescent="0.2">
      <c r="A143" s="2">
        <v>2025</v>
      </c>
      <c r="B143" s="2">
        <v>1</v>
      </c>
      <c r="C143" s="2" t="s">
        <v>342</v>
      </c>
      <c r="D143" s="2" t="s">
        <v>99</v>
      </c>
      <c r="E143" s="2" t="s">
        <v>39</v>
      </c>
      <c r="F143" s="2">
        <v>515045209</v>
      </c>
      <c r="G143" s="2" t="s">
        <v>40</v>
      </c>
      <c r="H143" s="2" t="s">
        <v>343</v>
      </c>
      <c r="I143" s="2" t="s">
        <v>344</v>
      </c>
      <c r="J143" s="2">
        <v>910797622</v>
      </c>
      <c r="K143" s="2" t="s">
        <v>345</v>
      </c>
      <c r="L143" s="2" t="s">
        <v>81</v>
      </c>
      <c r="N143" s="2" t="s">
        <v>346</v>
      </c>
      <c r="O143" s="2" t="s">
        <v>94</v>
      </c>
      <c r="P143" s="2" t="s">
        <v>95</v>
      </c>
      <c r="Q143" s="2" t="s">
        <v>96</v>
      </c>
      <c r="R143" s="2">
        <v>1</v>
      </c>
      <c r="S143" s="2">
        <v>1.1399999999999999</v>
      </c>
      <c r="T143" s="2">
        <v>0.26219999999999999</v>
      </c>
      <c r="U143" s="2">
        <v>1.4021999999999999</v>
      </c>
      <c r="V143" s="2">
        <v>1.1399999999999999</v>
      </c>
      <c r="W143" s="5">
        <f t="shared" si="14"/>
        <v>0</v>
      </c>
      <c r="Y143" s="2" t="s">
        <v>3256</v>
      </c>
      <c r="Z143" s="2" t="s">
        <v>97</v>
      </c>
      <c r="AA143" s="2" t="s">
        <v>77</v>
      </c>
      <c r="AB143" s="2" t="s">
        <v>94</v>
      </c>
      <c r="AE143" s="2">
        <f t="shared" si="15"/>
        <v>0</v>
      </c>
      <c r="AI143" s="2">
        <f t="shared" si="16"/>
        <v>0</v>
      </c>
      <c r="AJ143" s="2">
        <f t="shared" si="17"/>
        <v>0</v>
      </c>
      <c r="AK143" s="5">
        <f t="shared" si="18"/>
        <v>0</v>
      </c>
    </row>
    <row r="144" spans="1:37" x14ac:dyDescent="0.2">
      <c r="A144" s="2">
        <v>2025</v>
      </c>
      <c r="B144" s="2">
        <v>1</v>
      </c>
      <c r="C144" s="2" t="s">
        <v>279</v>
      </c>
      <c r="L144" s="2" t="s">
        <v>40</v>
      </c>
      <c r="O144" s="2" t="s">
        <v>188</v>
      </c>
      <c r="P144" s="2" t="s">
        <v>192</v>
      </c>
      <c r="Q144" s="2" t="s">
        <v>191</v>
      </c>
      <c r="R144" s="2">
        <v>1</v>
      </c>
      <c r="S144" s="2">
        <v>50</v>
      </c>
      <c r="T144" s="2">
        <v>11.5</v>
      </c>
      <c r="U144" s="2">
        <v>61.5</v>
      </c>
      <c r="V144" s="2">
        <f>S144*50%</f>
        <v>25</v>
      </c>
      <c r="W144" s="5">
        <f t="shared" si="14"/>
        <v>0.5</v>
      </c>
      <c r="Y144" s="2" t="s">
        <v>118</v>
      </c>
      <c r="Z144" s="2" t="s">
        <v>191</v>
      </c>
      <c r="AE144" s="2">
        <f t="shared" si="15"/>
        <v>0</v>
      </c>
      <c r="AI144" s="2">
        <f t="shared" si="16"/>
        <v>0</v>
      </c>
      <c r="AJ144" s="2">
        <f t="shared" si="17"/>
        <v>25</v>
      </c>
      <c r="AK144" s="5">
        <f t="shared" si="18"/>
        <v>0.5</v>
      </c>
    </row>
    <row r="145" spans="1:37" x14ac:dyDescent="0.2">
      <c r="A145" s="2">
        <v>2025</v>
      </c>
      <c r="B145" s="2">
        <v>2</v>
      </c>
      <c r="C145" s="2" t="s">
        <v>183</v>
      </c>
      <c r="D145" s="2" t="s">
        <v>184</v>
      </c>
      <c r="E145" s="2" t="s">
        <v>185</v>
      </c>
      <c r="F145" s="2">
        <v>503116920</v>
      </c>
      <c r="G145" s="2" t="s">
        <v>41</v>
      </c>
      <c r="H145" s="2" t="s">
        <v>186</v>
      </c>
      <c r="I145" s="2" t="s">
        <v>187</v>
      </c>
      <c r="J145" s="2">
        <v>919591406</v>
      </c>
      <c r="K145" s="2" t="s">
        <v>100</v>
      </c>
      <c r="L145" s="2" t="s">
        <v>40</v>
      </c>
      <c r="O145" s="2" t="s">
        <v>188</v>
      </c>
      <c r="P145" s="2" t="s">
        <v>189</v>
      </c>
      <c r="Q145" s="2" t="s">
        <v>190</v>
      </c>
      <c r="R145" s="2">
        <v>1</v>
      </c>
      <c r="S145" s="2">
        <v>0</v>
      </c>
      <c r="T145" s="2">
        <v>0</v>
      </c>
      <c r="U145" s="2">
        <v>0</v>
      </c>
      <c r="W145" s="5" t="e">
        <f t="shared" si="14"/>
        <v>#DIV/0!</v>
      </c>
      <c r="Y145" s="2" t="s">
        <v>118</v>
      </c>
      <c r="Z145" s="2" t="s">
        <v>191</v>
      </c>
      <c r="AE145" s="2">
        <f t="shared" si="15"/>
        <v>0</v>
      </c>
      <c r="AI145" s="2">
        <f t="shared" si="16"/>
        <v>0</v>
      </c>
      <c r="AJ145" s="2">
        <f t="shared" si="17"/>
        <v>0</v>
      </c>
      <c r="AK145" s="5" t="e">
        <f t="shared" si="18"/>
        <v>#DIV/0!</v>
      </c>
    </row>
    <row r="146" spans="1:37" x14ac:dyDescent="0.2">
      <c r="A146" s="2">
        <v>2025</v>
      </c>
      <c r="B146" s="2">
        <v>2</v>
      </c>
      <c r="C146" s="2" t="s">
        <v>183</v>
      </c>
      <c r="D146" s="2" t="s">
        <v>184</v>
      </c>
      <c r="E146" s="2" t="s">
        <v>185</v>
      </c>
      <c r="F146" s="2">
        <v>503116920</v>
      </c>
      <c r="G146" s="2" t="s">
        <v>41</v>
      </c>
      <c r="H146" s="2" t="s">
        <v>186</v>
      </c>
      <c r="I146" s="2" t="s">
        <v>187</v>
      </c>
      <c r="J146" s="2">
        <v>919591406</v>
      </c>
      <c r="K146" s="2" t="s">
        <v>100</v>
      </c>
      <c r="L146" s="2" t="s">
        <v>40</v>
      </c>
      <c r="O146" s="2" t="s">
        <v>188</v>
      </c>
      <c r="P146" s="2" t="s">
        <v>192</v>
      </c>
      <c r="Q146" s="2" t="s">
        <v>191</v>
      </c>
      <c r="R146" s="2">
        <v>2</v>
      </c>
      <c r="S146" s="2">
        <v>0</v>
      </c>
      <c r="T146" s="2">
        <v>0</v>
      </c>
      <c r="U146" s="2">
        <v>0</v>
      </c>
      <c r="V146" s="2">
        <f>S146*50%</f>
        <v>0</v>
      </c>
      <c r="W146" s="5">
        <v>0</v>
      </c>
      <c r="Y146" s="2" t="s">
        <v>118</v>
      </c>
      <c r="Z146" s="2" t="s">
        <v>191</v>
      </c>
      <c r="AE146" s="2">
        <f t="shared" si="15"/>
        <v>0</v>
      </c>
      <c r="AI146" s="2">
        <f t="shared" si="16"/>
        <v>0</v>
      </c>
      <c r="AJ146" s="2">
        <f t="shared" si="17"/>
        <v>0</v>
      </c>
      <c r="AK146" s="5" t="e">
        <f t="shared" si="18"/>
        <v>#DIV/0!</v>
      </c>
    </row>
    <row r="147" spans="1:37" x14ac:dyDescent="0.2">
      <c r="A147" s="2">
        <v>2025</v>
      </c>
      <c r="B147" s="2">
        <v>1</v>
      </c>
      <c r="C147" s="2" t="s">
        <v>290</v>
      </c>
      <c r="D147" s="2" t="s">
        <v>109</v>
      </c>
      <c r="E147" s="2" t="s">
        <v>39</v>
      </c>
      <c r="F147" s="2">
        <v>508428300</v>
      </c>
      <c r="G147" s="2" t="s">
        <v>291</v>
      </c>
      <c r="H147" s="2" t="s">
        <v>292</v>
      </c>
      <c r="I147" s="2" t="s">
        <v>293</v>
      </c>
      <c r="J147" s="2">
        <v>917165642</v>
      </c>
      <c r="K147" s="2" t="s">
        <v>294</v>
      </c>
      <c r="L147" s="2" t="s">
        <v>40</v>
      </c>
      <c r="N147" s="2" t="s">
        <v>295</v>
      </c>
      <c r="O147" s="2" t="s">
        <v>188</v>
      </c>
      <c r="P147" s="2" t="s">
        <v>192</v>
      </c>
      <c r="Q147" s="2" t="s">
        <v>191</v>
      </c>
      <c r="R147" s="2">
        <v>1</v>
      </c>
      <c r="S147" s="2">
        <v>45</v>
      </c>
      <c r="T147" s="2">
        <v>10.35</v>
      </c>
      <c r="U147" s="2">
        <v>55.35</v>
      </c>
      <c r="V147" s="2">
        <f>S147*50%</f>
        <v>22.5</v>
      </c>
      <c r="W147" s="5">
        <f t="shared" ref="W147:W154" si="19">(S147-V147)/S147</f>
        <v>0.5</v>
      </c>
      <c r="Y147" s="2" t="s">
        <v>118</v>
      </c>
      <c r="Z147" s="2" t="s">
        <v>191</v>
      </c>
      <c r="AE147" s="2">
        <f t="shared" si="15"/>
        <v>0</v>
      </c>
      <c r="AI147" s="2">
        <f t="shared" si="16"/>
        <v>0</v>
      </c>
      <c r="AJ147" s="2">
        <f t="shared" si="17"/>
        <v>22.5</v>
      </c>
      <c r="AK147" s="5">
        <f t="shared" si="18"/>
        <v>0.5</v>
      </c>
    </row>
    <row r="148" spans="1:37" x14ac:dyDescent="0.2">
      <c r="A148" s="2">
        <v>2025</v>
      </c>
      <c r="B148" s="2">
        <v>1</v>
      </c>
      <c r="C148" s="2" t="s">
        <v>348</v>
      </c>
      <c r="D148" s="2" t="s">
        <v>109</v>
      </c>
      <c r="E148" s="2" t="s">
        <v>39</v>
      </c>
      <c r="F148" s="2">
        <v>517451123</v>
      </c>
      <c r="G148" s="2" t="s">
        <v>41</v>
      </c>
      <c r="H148" s="2" t="s">
        <v>349</v>
      </c>
      <c r="I148" s="2" t="s">
        <v>350</v>
      </c>
      <c r="J148" s="2">
        <v>915209128</v>
      </c>
      <c r="K148" s="2" t="s">
        <v>178</v>
      </c>
      <c r="L148" s="2" t="s">
        <v>41</v>
      </c>
      <c r="N148" s="2" t="s">
        <v>351</v>
      </c>
      <c r="O148" s="2" t="s">
        <v>43</v>
      </c>
      <c r="P148" s="2" t="s">
        <v>352</v>
      </c>
      <c r="Q148" s="2" t="s">
        <v>353</v>
      </c>
      <c r="R148" s="2">
        <v>1</v>
      </c>
      <c r="S148" s="2">
        <v>18</v>
      </c>
      <c r="T148" s="2">
        <v>4.1400000000000006</v>
      </c>
      <c r="U148" s="2">
        <v>22.14</v>
      </c>
      <c r="V148" s="2">
        <v>10.67</v>
      </c>
      <c r="W148" s="5">
        <f t="shared" si="19"/>
        <v>0.40722222222222221</v>
      </c>
      <c r="Y148" s="2" t="s">
        <v>3256</v>
      </c>
      <c r="Z148" s="2" t="s">
        <v>46</v>
      </c>
      <c r="AA148" s="2" t="s">
        <v>47</v>
      </c>
      <c r="AB148" s="2" t="s">
        <v>48</v>
      </c>
      <c r="AE148" s="2">
        <f t="shared" si="15"/>
        <v>0</v>
      </c>
      <c r="AF148" s="2">
        <v>10.67</v>
      </c>
      <c r="AG148" s="2">
        <v>21</v>
      </c>
      <c r="AI148" s="2">
        <f t="shared" si="16"/>
        <v>0</v>
      </c>
      <c r="AJ148" s="2">
        <f t="shared" si="17"/>
        <v>7.33</v>
      </c>
      <c r="AK148" s="5">
        <f t="shared" si="18"/>
        <v>0.40722222222222221</v>
      </c>
    </row>
    <row r="149" spans="1:37" x14ac:dyDescent="0.2">
      <c r="A149" s="2">
        <v>2025</v>
      </c>
      <c r="B149" s="2">
        <v>1</v>
      </c>
      <c r="C149" s="2" t="s">
        <v>348</v>
      </c>
      <c r="D149" s="2" t="s">
        <v>109</v>
      </c>
      <c r="E149" s="2" t="s">
        <v>39</v>
      </c>
      <c r="F149" s="2">
        <v>517451123</v>
      </c>
      <c r="G149" s="2" t="s">
        <v>41</v>
      </c>
      <c r="H149" s="2" t="s">
        <v>349</v>
      </c>
      <c r="I149" s="2" t="s">
        <v>350</v>
      </c>
      <c r="J149" s="2">
        <v>915209128</v>
      </c>
      <c r="K149" s="2" t="s">
        <v>178</v>
      </c>
      <c r="L149" s="2" t="s">
        <v>41</v>
      </c>
      <c r="N149" s="2" t="s">
        <v>351</v>
      </c>
      <c r="O149" s="2" t="s">
        <v>43</v>
      </c>
      <c r="P149" s="2" t="s">
        <v>51</v>
      </c>
      <c r="Q149" s="2" t="s">
        <v>52</v>
      </c>
      <c r="R149" s="2">
        <v>1</v>
      </c>
      <c r="S149" s="2">
        <v>16.8</v>
      </c>
      <c r="T149" s="2">
        <v>3.8639999999999999</v>
      </c>
      <c r="U149" s="2">
        <v>20.664000000000001</v>
      </c>
      <c r="V149" s="2">
        <f>10.2346*R149</f>
        <v>10.2346</v>
      </c>
      <c r="W149" s="5">
        <f t="shared" si="19"/>
        <v>0.39079761904761906</v>
      </c>
      <c r="Y149" s="2" t="s">
        <v>3256</v>
      </c>
      <c r="Z149" s="2" t="s">
        <v>46</v>
      </c>
      <c r="AA149" s="2" t="s">
        <v>47</v>
      </c>
      <c r="AB149" s="2" t="s">
        <v>48</v>
      </c>
      <c r="AE149" s="2">
        <f t="shared" si="15"/>
        <v>0</v>
      </c>
      <c r="AF149" s="2">
        <v>10.2346</v>
      </c>
      <c r="AG149" s="2">
        <v>18</v>
      </c>
      <c r="AI149" s="2">
        <f t="shared" si="16"/>
        <v>0</v>
      </c>
      <c r="AJ149" s="2">
        <f t="shared" si="17"/>
        <v>6.5654000000000003</v>
      </c>
      <c r="AK149" s="5">
        <f t="shared" si="18"/>
        <v>0.39079761904761906</v>
      </c>
    </row>
    <row r="150" spans="1:37" x14ac:dyDescent="0.2">
      <c r="A150" s="2">
        <v>2025</v>
      </c>
      <c r="B150" s="2">
        <v>1</v>
      </c>
      <c r="C150" s="2" t="s">
        <v>348</v>
      </c>
      <c r="D150" s="2" t="s">
        <v>109</v>
      </c>
      <c r="E150" s="2" t="s">
        <v>39</v>
      </c>
      <c r="F150" s="2">
        <v>517451123</v>
      </c>
      <c r="G150" s="2" t="s">
        <v>41</v>
      </c>
      <c r="H150" s="2" t="s">
        <v>349</v>
      </c>
      <c r="I150" s="2" t="s">
        <v>350</v>
      </c>
      <c r="J150" s="2">
        <v>915209128</v>
      </c>
      <c r="K150" s="2" t="s">
        <v>178</v>
      </c>
      <c r="L150" s="2" t="s">
        <v>41</v>
      </c>
      <c r="N150" s="2" t="s">
        <v>351</v>
      </c>
      <c r="O150" s="2" t="s">
        <v>43</v>
      </c>
      <c r="P150" s="2" t="s">
        <v>55</v>
      </c>
      <c r="Q150" s="2" t="s">
        <v>56</v>
      </c>
      <c r="R150" s="2">
        <v>10</v>
      </c>
      <c r="S150" s="2">
        <v>160</v>
      </c>
      <c r="T150" s="2">
        <v>36.799999999999997</v>
      </c>
      <c r="U150" s="2">
        <v>196.8</v>
      </c>
      <c r="V150" s="2">
        <f>10.6*R150</f>
        <v>106</v>
      </c>
      <c r="W150" s="5">
        <f t="shared" si="19"/>
        <v>0.33750000000000002</v>
      </c>
      <c r="Y150" s="2" t="s">
        <v>3256</v>
      </c>
      <c r="Z150" s="2" t="s">
        <v>46</v>
      </c>
      <c r="AA150" s="2" t="s">
        <v>57</v>
      </c>
      <c r="AB150" s="2" t="s">
        <v>58</v>
      </c>
      <c r="AE150" s="2">
        <f t="shared" si="15"/>
        <v>0</v>
      </c>
      <c r="AF150" s="2">
        <v>10.6</v>
      </c>
      <c r="AG150" s="2">
        <v>18</v>
      </c>
      <c r="AI150" s="2">
        <f t="shared" si="16"/>
        <v>0</v>
      </c>
      <c r="AJ150" s="2">
        <f t="shared" si="17"/>
        <v>54</v>
      </c>
      <c r="AK150" s="5">
        <f t="shared" si="18"/>
        <v>0.33750000000000002</v>
      </c>
    </row>
    <row r="151" spans="1:37" x14ac:dyDescent="0.2">
      <c r="A151" s="2">
        <v>2025</v>
      </c>
      <c r="B151" s="2">
        <v>1</v>
      </c>
      <c r="C151" s="2" t="s">
        <v>354</v>
      </c>
      <c r="D151" s="2" t="s">
        <v>38</v>
      </c>
      <c r="E151" s="2" t="s">
        <v>39</v>
      </c>
      <c r="F151" s="2">
        <v>516289241</v>
      </c>
      <c r="G151" s="2" t="s">
        <v>41</v>
      </c>
      <c r="H151" s="2" t="s">
        <v>355</v>
      </c>
      <c r="I151" s="2" t="s">
        <v>356</v>
      </c>
      <c r="J151" s="2">
        <v>918502342</v>
      </c>
      <c r="K151" s="2" t="s">
        <v>100</v>
      </c>
      <c r="O151" s="2" t="s">
        <v>115</v>
      </c>
      <c r="P151" s="2" t="s">
        <v>136</v>
      </c>
      <c r="Q151" s="2" t="s">
        <v>137</v>
      </c>
      <c r="R151" s="2">
        <v>0</v>
      </c>
      <c r="S151" s="2">
        <v>-310.95999999999998</v>
      </c>
      <c r="T151" s="2">
        <v>-71.520799999999994</v>
      </c>
      <c r="U151" s="2">
        <v>-382.48079999999999</v>
      </c>
      <c r="W151" s="5">
        <f t="shared" si="19"/>
        <v>1</v>
      </c>
      <c r="Y151" s="2" t="s">
        <v>118</v>
      </c>
      <c r="Z151" s="2" t="s">
        <v>119</v>
      </c>
      <c r="AE151" s="2">
        <f t="shared" si="15"/>
        <v>0</v>
      </c>
      <c r="AI151" s="2">
        <f t="shared" si="16"/>
        <v>0</v>
      </c>
      <c r="AJ151" s="2">
        <f t="shared" si="17"/>
        <v>-310.95999999999998</v>
      </c>
      <c r="AK151" s="5">
        <f t="shared" si="18"/>
        <v>1</v>
      </c>
    </row>
    <row r="152" spans="1:37" x14ac:dyDescent="0.2">
      <c r="A152" s="2">
        <v>2025</v>
      </c>
      <c r="B152" s="2">
        <v>1</v>
      </c>
      <c r="C152" s="2" t="s">
        <v>354</v>
      </c>
      <c r="D152" s="2" t="s">
        <v>38</v>
      </c>
      <c r="E152" s="2" t="s">
        <v>39</v>
      </c>
      <c r="F152" s="2">
        <v>516289241</v>
      </c>
      <c r="G152" s="2" t="s">
        <v>41</v>
      </c>
      <c r="H152" s="2" t="s">
        <v>355</v>
      </c>
      <c r="I152" s="2" t="s">
        <v>356</v>
      </c>
      <c r="J152" s="2">
        <v>918502342</v>
      </c>
      <c r="K152" s="2" t="s">
        <v>100</v>
      </c>
      <c r="O152" s="2" t="s">
        <v>115</v>
      </c>
      <c r="P152" s="2" t="s">
        <v>357</v>
      </c>
      <c r="Q152" s="2" t="s">
        <v>358</v>
      </c>
      <c r="R152" s="2">
        <v>0</v>
      </c>
      <c r="S152" s="2">
        <v>-979.98</v>
      </c>
      <c r="T152" s="2">
        <v>-225.3954</v>
      </c>
      <c r="U152" s="2">
        <v>-1205.3753999999999</v>
      </c>
      <c r="W152" s="5">
        <f t="shared" si="19"/>
        <v>1</v>
      </c>
      <c r="Y152" s="2" t="s">
        <v>118</v>
      </c>
      <c r="Z152" s="2" t="s">
        <v>119</v>
      </c>
      <c r="AE152" s="2">
        <f t="shared" si="15"/>
        <v>0</v>
      </c>
      <c r="AI152" s="2">
        <f t="shared" si="16"/>
        <v>0</v>
      </c>
      <c r="AJ152" s="2">
        <f t="shared" si="17"/>
        <v>-979.98</v>
      </c>
      <c r="AK152" s="5">
        <f t="shared" si="18"/>
        <v>1</v>
      </c>
    </row>
    <row r="153" spans="1:37" x14ac:dyDescent="0.2">
      <c r="A153" s="2">
        <v>2025</v>
      </c>
      <c r="B153" s="2">
        <v>1</v>
      </c>
      <c r="C153" s="2" t="s">
        <v>354</v>
      </c>
      <c r="D153" s="2" t="s">
        <v>38</v>
      </c>
      <c r="E153" s="2" t="s">
        <v>39</v>
      </c>
      <c r="F153" s="2">
        <v>516289241</v>
      </c>
      <c r="G153" s="2" t="s">
        <v>41</v>
      </c>
      <c r="H153" s="2" t="s">
        <v>355</v>
      </c>
      <c r="I153" s="2" t="s">
        <v>356</v>
      </c>
      <c r="J153" s="2">
        <v>918502342</v>
      </c>
      <c r="K153" s="2" t="s">
        <v>100</v>
      </c>
      <c r="L153" s="2" t="s">
        <v>40</v>
      </c>
      <c r="O153" s="2" t="s">
        <v>188</v>
      </c>
      <c r="P153" s="2" t="s">
        <v>189</v>
      </c>
      <c r="Q153" s="2" t="s">
        <v>190</v>
      </c>
      <c r="R153" s="2">
        <v>-1</v>
      </c>
      <c r="S153" s="2">
        <v>-50</v>
      </c>
      <c r="T153" s="2">
        <v>-11.5</v>
      </c>
      <c r="U153" s="2">
        <v>-61.5</v>
      </c>
      <c r="W153" s="5">
        <f t="shared" si="19"/>
        <v>1</v>
      </c>
      <c r="Y153" s="2" t="s">
        <v>118</v>
      </c>
      <c r="Z153" s="2" t="s">
        <v>191</v>
      </c>
      <c r="AE153" s="2">
        <f t="shared" si="15"/>
        <v>0</v>
      </c>
      <c r="AI153" s="2">
        <f t="shared" si="16"/>
        <v>0</v>
      </c>
      <c r="AJ153" s="2">
        <f t="shared" si="17"/>
        <v>-50</v>
      </c>
      <c r="AK153" s="5">
        <f t="shared" si="18"/>
        <v>1</v>
      </c>
    </row>
    <row r="154" spans="1:37" x14ac:dyDescent="0.2">
      <c r="A154" s="2">
        <v>2025</v>
      </c>
      <c r="B154" s="2">
        <v>1</v>
      </c>
      <c r="C154" s="2" t="s">
        <v>354</v>
      </c>
      <c r="D154" s="2" t="s">
        <v>38</v>
      </c>
      <c r="E154" s="2" t="s">
        <v>39</v>
      </c>
      <c r="F154" s="2">
        <v>516289241</v>
      </c>
      <c r="G154" s="2" t="s">
        <v>41</v>
      </c>
      <c r="H154" s="2" t="s">
        <v>355</v>
      </c>
      <c r="I154" s="2" t="s">
        <v>356</v>
      </c>
      <c r="J154" s="2">
        <v>918502342</v>
      </c>
      <c r="K154" s="2" t="s">
        <v>100</v>
      </c>
      <c r="L154" s="2" t="s">
        <v>40</v>
      </c>
      <c r="O154" s="2" t="s">
        <v>188</v>
      </c>
      <c r="P154" s="2" t="s">
        <v>192</v>
      </c>
      <c r="Q154" s="2" t="s">
        <v>191</v>
      </c>
      <c r="R154" s="2">
        <v>-2</v>
      </c>
      <c r="S154" s="2">
        <v>-100</v>
      </c>
      <c r="T154" s="2">
        <v>-23</v>
      </c>
      <c r="U154" s="2">
        <v>-123</v>
      </c>
      <c r="V154" s="2">
        <f>S154*50%</f>
        <v>-50</v>
      </c>
      <c r="W154" s="5">
        <f t="shared" si="19"/>
        <v>0.5</v>
      </c>
      <c r="Y154" s="2" t="s">
        <v>118</v>
      </c>
      <c r="Z154" s="2" t="s">
        <v>191</v>
      </c>
      <c r="AE154" s="2">
        <f t="shared" si="15"/>
        <v>0</v>
      </c>
      <c r="AI154" s="2">
        <f t="shared" si="16"/>
        <v>0</v>
      </c>
      <c r="AJ154" s="2">
        <f t="shared" si="17"/>
        <v>-50</v>
      </c>
      <c r="AK154" s="5">
        <f t="shared" si="18"/>
        <v>0.5</v>
      </c>
    </row>
    <row r="155" spans="1:37" x14ac:dyDescent="0.2">
      <c r="A155" s="2">
        <v>2025</v>
      </c>
      <c r="B155" s="2">
        <v>1</v>
      </c>
      <c r="C155" s="2" t="s">
        <v>359</v>
      </c>
      <c r="D155" s="2" t="s">
        <v>38</v>
      </c>
      <c r="E155" s="2" t="s">
        <v>39</v>
      </c>
      <c r="F155" s="2">
        <v>514618906</v>
      </c>
      <c r="G155" s="2" t="s">
        <v>41</v>
      </c>
      <c r="H155" s="2" t="s">
        <v>465</v>
      </c>
      <c r="I155" s="2" t="s">
        <v>3143</v>
      </c>
      <c r="J155" s="2">
        <v>917575485</v>
      </c>
      <c r="K155" s="2" t="s">
        <v>465</v>
      </c>
      <c r="L155" s="2" t="s">
        <v>41</v>
      </c>
      <c r="N155" s="2" t="s">
        <v>3146</v>
      </c>
      <c r="O155" s="2" t="s">
        <v>43</v>
      </c>
      <c r="P155" s="2" t="s">
        <v>165</v>
      </c>
      <c r="Q155" s="2" t="s">
        <v>166</v>
      </c>
      <c r="R155" s="2">
        <v>-12</v>
      </c>
      <c r="S155" s="2">
        <v>-180</v>
      </c>
      <c r="T155" s="2">
        <f>S155*23%</f>
        <v>-41.4</v>
      </c>
      <c r="U155" s="2">
        <f>S155+T155</f>
        <v>-221.4</v>
      </c>
      <c r="V155" s="2">
        <f>7.9612*11</f>
        <v>87.5732</v>
      </c>
      <c r="W155" s="5">
        <f>SIGN(S155)*((ABS(S155)-V155)/ABS(S155))</f>
        <v>-0.51348222222222217</v>
      </c>
      <c r="Y155" s="2" t="s">
        <v>3256</v>
      </c>
      <c r="Z155" s="2" t="s">
        <v>46</v>
      </c>
      <c r="AA155" s="2" t="s">
        <v>68</v>
      </c>
      <c r="AB155" s="2" t="s">
        <v>58</v>
      </c>
      <c r="AE155" s="2">
        <f t="shared" si="15"/>
        <v>0</v>
      </c>
      <c r="AF155" s="2">
        <v>7.9611999999999998</v>
      </c>
      <c r="AG155" s="2">
        <v>14.4</v>
      </c>
      <c r="AI155" s="2">
        <f t="shared" si="16"/>
        <v>0</v>
      </c>
      <c r="AJ155" s="2">
        <f t="shared" si="17"/>
        <v>-267.57319999999999</v>
      </c>
      <c r="AK155" s="5">
        <f>SIGN(S155)*((ABS(S155)-V155)/ABS(S155))</f>
        <v>-0.51348222222222217</v>
      </c>
    </row>
    <row r="156" spans="1:37" x14ac:dyDescent="0.2">
      <c r="A156" s="2">
        <v>2025</v>
      </c>
      <c r="B156" s="2">
        <v>1</v>
      </c>
      <c r="C156" s="2" t="s">
        <v>359</v>
      </c>
      <c r="D156" s="2" t="s">
        <v>38</v>
      </c>
      <c r="E156" s="2" t="s">
        <v>39</v>
      </c>
      <c r="F156" s="2">
        <v>514618906</v>
      </c>
      <c r="G156" s="2" t="s">
        <v>41</v>
      </c>
      <c r="H156" s="2" t="s">
        <v>465</v>
      </c>
      <c r="I156" s="2" t="s">
        <v>3143</v>
      </c>
      <c r="J156" s="2">
        <v>917575485</v>
      </c>
      <c r="K156" s="2" t="s">
        <v>465</v>
      </c>
      <c r="L156" s="2" t="s">
        <v>41</v>
      </c>
      <c r="N156" s="2" t="s">
        <v>3146</v>
      </c>
      <c r="O156" s="2" t="s">
        <v>43</v>
      </c>
      <c r="P156" s="2" t="s">
        <v>261</v>
      </c>
      <c r="Q156" s="2" t="s">
        <v>262</v>
      </c>
      <c r="R156" s="2">
        <v>-8</v>
      </c>
      <c r="S156" s="2">
        <v>-120</v>
      </c>
      <c r="T156" s="2">
        <f>S156*23%</f>
        <v>-27.6</v>
      </c>
      <c r="U156" s="2">
        <f>S156+T156</f>
        <v>-147.6</v>
      </c>
      <c r="V156" s="2">
        <f>8.3145*8</f>
        <v>66.516000000000005</v>
      </c>
      <c r="W156" s="5">
        <f>SIGN(S156)*((ABS(S156)-V156)/ABS(S156))</f>
        <v>-0.44569999999999993</v>
      </c>
      <c r="Y156" s="2" t="s">
        <v>3256</v>
      </c>
      <c r="Z156" s="2" t="s">
        <v>46</v>
      </c>
      <c r="AA156" s="2" t="s">
        <v>68</v>
      </c>
      <c r="AB156" s="2" t="s">
        <v>58</v>
      </c>
      <c r="AE156" s="2">
        <f t="shared" si="15"/>
        <v>0</v>
      </c>
      <c r="AF156" s="2">
        <v>8.3145000000000007</v>
      </c>
      <c r="AG156" s="2">
        <v>15</v>
      </c>
      <c r="AI156" s="2">
        <f t="shared" si="16"/>
        <v>0</v>
      </c>
      <c r="AJ156" s="2">
        <f t="shared" si="17"/>
        <v>-186.51600000000002</v>
      </c>
      <c r="AK156" s="5">
        <f>SIGN(S156)*((ABS(S156)-V156)/ABS(S156))</f>
        <v>-0.44569999999999993</v>
      </c>
    </row>
    <row r="157" spans="1:37" x14ac:dyDescent="0.2">
      <c r="A157" s="2">
        <v>2025</v>
      </c>
      <c r="B157" s="2">
        <v>1</v>
      </c>
      <c r="C157" s="2" t="s">
        <v>360</v>
      </c>
      <c r="D157" s="2" t="s">
        <v>109</v>
      </c>
      <c r="E157" s="2" t="s">
        <v>39</v>
      </c>
      <c r="F157" s="2">
        <v>503413909</v>
      </c>
      <c r="G157" s="2" t="s">
        <v>110</v>
      </c>
      <c r="H157" s="2" t="s">
        <v>361</v>
      </c>
      <c r="I157" s="2" t="s">
        <v>362</v>
      </c>
      <c r="K157" s="2" t="s">
        <v>361</v>
      </c>
      <c r="L157" s="2" t="s">
        <v>40</v>
      </c>
      <c r="N157" s="2" t="s">
        <v>363</v>
      </c>
      <c r="O157" s="2" t="s">
        <v>40</v>
      </c>
      <c r="P157" s="2" t="s">
        <v>364</v>
      </c>
      <c r="Q157" s="2" t="s">
        <v>365</v>
      </c>
      <c r="R157" s="2">
        <v>1</v>
      </c>
      <c r="S157" s="2">
        <v>212.5</v>
      </c>
      <c r="T157" s="2">
        <v>48.875</v>
      </c>
      <c r="U157" s="2">
        <v>261.375</v>
      </c>
      <c r="W157" s="5">
        <f t="shared" ref="W157:W179" si="20">(S157-V157)/S157</f>
        <v>1</v>
      </c>
      <c r="Y157" s="2" t="s">
        <v>120</v>
      </c>
      <c r="Z157" s="2" t="s">
        <v>366</v>
      </c>
      <c r="AE157" s="2">
        <f t="shared" si="15"/>
        <v>0</v>
      </c>
      <c r="AI157" s="2">
        <f t="shared" si="16"/>
        <v>0</v>
      </c>
      <c r="AJ157" s="2">
        <f t="shared" si="17"/>
        <v>212.5</v>
      </c>
      <c r="AK157" s="5">
        <f t="shared" ref="AK157:AK188" si="21">(S157-V157)/S157</f>
        <v>1</v>
      </c>
    </row>
    <row r="158" spans="1:37" x14ac:dyDescent="0.2">
      <c r="A158" s="2">
        <v>2025</v>
      </c>
      <c r="B158" s="2">
        <v>1</v>
      </c>
      <c r="C158" s="2" t="s">
        <v>367</v>
      </c>
      <c r="D158" s="2" t="s">
        <v>184</v>
      </c>
      <c r="E158" s="2" t="s">
        <v>368</v>
      </c>
      <c r="F158" s="2">
        <v>501423192</v>
      </c>
      <c r="G158" s="2" t="s">
        <v>40</v>
      </c>
      <c r="H158" s="2" t="s">
        <v>369</v>
      </c>
      <c r="I158" s="2" t="s">
        <v>370</v>
      </c>
      <c r="K158" s="2" t="s">
        <v>100</v>
      </c>
      <c r="L158" s="2" t="s">
        <v>81</v>
      </c>
      <c r="N158" s="2" t="s">
        <v>371</v>
      </c>
      <c r="O158" s="2" t="s">
        <v>73</v>
      </c>
      <c r="P158" s="2" t="s">
        <v>74</v>
      </c>
      <c r="Q158" s="2" t="s">
        <v>75</v>
      </c>
      <c r="R158" s="2">
        <v>1</v>
      </c>
      <c r="S158" s="2">
        <v>210</v>
      </c>
      <c r="T158" s="2">
        <v>48.3</v>
      </c>
      <c r="U158" s="2">
        <v>258.3</v>
      </c>
      <c r="V158" s="2">
        <v>117.453</v>
      </c>
      <c r="W158" s="5">
        <f t="shared" si="20"/>
        <v>0.44069999999999998</v>
      </c>
      <c r="Y158" s="2" t="s">
        <v>3256</v>
      </c>
      <c r="Z158" s="2" t="s">
        <v>76</v>
      </c>
      <c r="AA158" s="2" t="s">
        <v>77</v>
      </c>
      <c r="AB158" s="2" t="s">
        <v>78</v>
      </c>
      <c r="AE158" s="2">
        <f t="shared" si="15"/>
        <v>0</v>
      </c>
      <c r="AF158" s="2">
        <v>117.453</v>
      </c>
      <c r="AG158" s="2">
        <v>220</v>
      </c>
      <c r="AI158" s="2">
        <f t="shared" si="16"/>
        <v>0</v>
      </c>
      <c r="AJ158" s="2">
        <f t="shared" si="17"/>
        <v>92.546999999999997</v>
      </c>
      <c r="AK158" s="5">
        <f t="shared" si="21"/>
        <v>0.44069999999999998</v>
      </c>
    </row>
    <row r="159" spans="1:37" x14ac:dyDescent="0.2">
      <c r="A159" s="2">
        <v>2025</v>
      </c>
      <c r="B159" s="2">
        <v>1</v>
      </c>
      <c r="C159" s="2" t="s">
        <v>367</v>
      </c>
      <c r="D159" s="2" t="s">
        <v>184</v>
      </c>
      <c r="E159" s="2" t="s">
        <v>368</v>
      </c>
      <c r="F159" s="2">
        <v>501423192</v>
      </c>
      <c r="G159" s="2" t="s">
        <v>40</v>
      </c>
      <c r="H159" s="2" t="s">
        <v>369</v>
      </c>
      <c r="I159" s="2" t="s">
        <v>370</v>
      </c>
      <c r="K159" s="2" t="s">
        <v>100</v>
      </c>
      <c r="L159" s="2" t="s">
        <v>81</v>
      </c>
      <c r="N159" s="2" t="s">
        <v>371</v>
      </c>
      <c r="O159" s="2" t="s">
        <v>94</v>
      </c>
      <c r="P159" s="2" t="s">
        <v>95</v>
      </c>
      <c r="Q159" s="2" t="s">
        <v>96</v>
      </c>
      <c r="R159" s="2">
        <v>1</v>
      </c>
      <c r="S159" s="2">
        <v>1.1399999999999999</v>
      </c>
      <c r="T159" s="2">
        <v>0.26219999999999999</v>
      </c>
      <c r="U159" s="2">
        <v>1.4021999999999999</v>
      </c>
      <c r="V159" s="2">
        <v>1.1399999999999999</v>
      </c>
      <c r="W159" s="5">
        <f t="shared" si="20"/>
        <v>0</v>
      </c>
      <c r="Y159" s="2" t="s">
        <v>3256</v>
      </c>
      <c r="Z159" s="2" t="s">
        <v>97</v>
      </c>
      <c r="AA159" s="2" t="s">
        <v>77</v>
      </c>
      <c r="AB159" s="2" t="s">
        <v>94</v>
      </c>
      <c r="AE159" s="2">
        <f t="shared" si="15"/>
        <v>0</v>
      </c>
      <c r="AI159" s="2">
        <f t="shared" si="16"/>
        <v>0</v>
      </c>
      <c r="AJ159" s="2">
        <f t="shared" si="17"/>
        <v>0</v>
      </c>
      <c r="AK159" s="5">
        <f t="shared" si="21"/>
        <v>0</v>
      </c>
    </row>
    <row r="160" spans="1:37" x14ac:dyDescent="0.2">
      <c r="A160" s="2">
        <v>2025</v>
      </c>
      <c r="B160" s="2">
        <v>1</v>
      </c>
      <c r="C160" s="2" t="s">
        <v>372</v>
      </c>
      <c r="D160" s="2" t="s">
        <v>38</v>
      </c>
      <c r="F160" s="2">
        <v>504498886</v>
      </c>
      <c r="G160" s="2" t="s">
        <v>41</v>
      </c>
      <c r="H160" s="2" t="s">
        <v>373</v>
      </c>
      <c r="I160" s="2" t="s">
        <v>374</v>
      </c>
      <c r="J160" s="2">
        <v>966932738</v>
      </c>
      <c r="K160" s="2" t="s">
        <v>178</v>
      </c>
      <c r="L160" s="2" t="s">
        <v>41</v>
      </c>
      <c r="O160" s="2" t="s">
        <v>115</v>
      </c>
      <c r="P160" s="2" t="s">
        <v>375</v>
      </c>
      <c r="Q160" s="2" t="s">
        <v>376</v>
      </c>
      <c r="R160" s="2">
        <v>1</v>
      </c>
      <c r="S160" s="2">
        <v>45.07</v>
      </c>
      <c r="T160" s="2">
        <v>10.366099999999999</v>
      </c>
      <c r="U160" s="2">
        <v>55.436100000000003</v>
      </c>
      <c r="V160" s="2">
        <v>22.2</v>
      </c>
      <c r="W160" s="5">
        <f t="shared" si="20"/>
        <v>0.50743288218327054</v>
      </c>
      <c r="Y160" s="2" t="s">
        <v>118</v>
      </c>
      <c r="Z160" s="2" t="s">
        <v>119</v>
      </c>
      <c r="AA160" s="2" t="s">
        <v>120</v>
      </c>
      <c r="AB160" s="2" t="s">
        <v>115</v>
      </c>
      <c r="AE160" s="2">
        <f t="shared" si="15"/>
        <v>0</v>
      </c>
      <c r="AI160" s="2">
        <f t="shared" si="16"/>
        <v>0</v>
      </c>
      <c r="AJ160" s="2">
        <f t="shared" si="17"/>
        <v>22.87</v>
      </c>
      <c r="AK160" s="5">
        <f t="shared" si="21"/>
        <v>0.50743288218327054</v>
      </c>
    </row>
    <row r="161" spans="1:37" x14ac:dyDescent="0.2">
      <c r="A161" s="2">
        <v>2025</v>
      </c>
      <c r="B161" s="2">
        <v>1</v>
      </c>
      <c r="C161" s="2" t="s">
        <v>372</v>
      </c>
      <c r="D161" s="2" t="s">
        <v>38</v>
      </c>
      <c r="F161" s="2">
        <v>504498886</v>
      </c>
      <c r="G161" s="2" t="s">
        <v>41</v>
      </c>
      <c r="H161" s="2" t="s">
        <v>373</v>
      </c>
      <c r="I161" s="2" t="s">
        <v>374</v>
      </c>
      <c r="J161" s="2">
        <v>966932738</v>
      </c>
      <c r="K161" s="2" t="s">
        <v>178</v>
      </c>
      <c r="L161" s="2" t="s">
        <v>41</v>
      </c>
      <c r="O161" s="2" t="s">
        <v>43</v>
      </c>
      <c r="P161" s="2" t="s">
        <v>235</v>
      </c>
      <c r="Q161" s="2" t="s">
        <v>236</v>
      </c>
      <c r="R161" s="2">
        <v>1</v>
      </c>
      <c r="S161" s="2">
        <v>13.2</v>
      </c>
      <c r="T161" s="2">
        <v>3.036</v>
      </c>
      <c r="U161" s="2">
        <v>16.236000000000001</v>
      </c>
      <c r="V161" s="2">
        <v>7.2217000000000002</v>
      </c>
      <c r="W161" s="5">
        <f t="shared" si="20"/>
        <v>0.45290151515151511</v>
      </c>
      <c r="Y161" s="2" t="s">
        <v>3256</v>
      </c>
      <c r="Z161" s="2" t="s">
        <v>46</v>
      </c>
      <c r="AA161" s="2" t="s">
        <v>57</v>
      </c>
      <c r="AB161" s="2" t="s">
        <v>58</v>
      </c>
      <c r="AE161" s="2">
        <f t="shared" si="15"/>
        <v>0</v>
      </c>
      <c r="AF161" s="2">
        <v>7.2217000000000002</v>
      </c>
      <c r="AG161" s="2">
        <v>14.4</v>
      </c>
      <c r="AI161" s="2">
        <f t="shared" si="16"/>
        <v>0</v>
      </c>
      <c r="AJ161" s="2">
        <f t="shared" si="17"/>
        <v>5.9782999999999991</v>
      </c>
      <c r="AK161" s="5">
        <f t="shared" si="21"/>
        <v>0.45290151515151511</v>
      </c>
    </row>
    <row r="162" spans="1:37" x14ac:dyDescent="0.2">
      <c r="A162" s="2">
        <v>2025</v>
      </c>
      <c r="B162" s="2">
        <v>1</v>
      </c>
      <c r="C162" s="2" t="s">
        <v>372</v>
      </c>
      <c r="D162" s="2" t="s">
        <v>38</v>
      </c>
      <c r="F162" s="2">
        <v>504498886</v>
      </c>
      <c r="G162" s="2" t="s">
        <v>41</v>
      </c>
      <c r="H162" s="2" t="s">
        <v>373</v>
      </c>
      <c r="I162" s="2" t="s">
        <v>374</v>
      </c>
      <c r="J162" s="2">
        <v>966932738</v>
      </c>
      <c r="K162" s="2" t="s">
        <v>178</v>
      </c>
      <c r="L162" s="2" t="s">
        <v>41</v>
      </c>
      <c r="O162" s="2" t="s">
        <v>43</v>
      </c>
      <c r="P162" s="2" t="s">
        <v>237</v>
      </c>
      <c r="Q162" s="2" t="s">
        <v>238</v>
      </c>
      <c r="R162" s="2">
        <v>1</v>
      </c>
      <c r="S162" s="2">
        <v>16.2</v>
      </c>
      <c r="T162" s="2">
        <v>3.726</v>
      </c>
      <c r="U162" s="2">
        <v>19.925999999999998</v>
      </c>
      <c r="W162" s="5">
        <f t="shared" si="20"/>
        <v>1</v>
      </c>
      <c r="Y162" s="2" t="s">
        <v>3256</v>
      </c>
      <c r="Z162" s="2" t="s">
        <v>46</v>
      </c>
      <c r="AA162" s="2" t="s">
        <v>57</v>
      </c>
      <c r="AB162" s="2" t="s">
        <v>58</v>
      </c>
      <c r="AE162" s="2">
        <f t="shared" si="15"/>
        <v>0</v>
      </c>
      <c r="AI162" s="2">
        <f t="shared" si="16"/>
        <v>0</v>
      </c>
      <c r="AJ162" s="2">
        <f t="shared" si="17"/>
        <v>16.2</v>
      </c>
      <c r="AK162" s="5">
        <f t="shared" si="21"/>
        <v>1</v>
      </c>
    </row>
    <row r="163" spans="1:37" x14ac:dyDescent="0.2">
      <c r="A163" s="2">
        <v>2025</v>
      </c>
      <c r="B163" s="2">
        <v>1</v>
      </c>
      <c r="C163" s="2" t="s">
        <v>372</v>
      </c>
      <c r="D163" s="2" t="s">
        <v>38</v>
      </c>
      <c r="F163" s="2">
        <v>504498886</v>
      </c>
      <c r="G163" s="2" t="s">
        <v>41</v>
      </c>
      <c r="H163" s="2" t="s">
        <v>373</v>
      </c>
      <c r="I163" s="2" t="s">
        <v>374</v>
      </c>
      <c r="J163" s="2">
        <v>966932738</v>
      </c>
      <c r="K163" s="2" t="s">
        <v>178</v>
      </c>
      <c r="L163" s="2" t="s">
        <v>41</v>
      </c>
      <c r="O163" s="2" t="s">
        <v>43</v>
      </c>
      <c r="P163" s="2" t="s">
        <v>241</v>
      </c>
      <c r="Q163" s="2" t="s">
        <v>242</v>
      </c>
      <c r="R163" s="2">
        <v>1</v>
      </c>
      <c r="S163" s="2">
        <v>24</v>
      </c>
      <c r="T163" s="2">
        <v>5.52</v>
      </c>
      <c r="U163" s="2">
        <v>29.52</v>
      </c>
      <c r="W163" s="5">
        <f t="shared" si="20"/>
        <v>1</v>
      </c>
      <c r="Y163" s="2" t="s">
        <v>3256</v>
      </c>
      <c r="Z163" s="2" t="s">
        <v>46</v>
      </c>
      <c r="AA163" s="2" t="s">
        <v>57</v>
      </c>
      <c r="AB163" s="2" t="s">
        <v>58</v>
      </c>
      <c r="AE163" s="2">
        <f t="shared" si="15"/>
        <v>0</v>
      </c>
      <c r="AI163" s="2">
        <f t="shared" si="16"/>
        <v>0</v>
      </c>
      <c r="AJ163" s="2">
        <f t="shared" si="17"/>
        <v>24</v>
      </c>
      <c r="AK163" s="5">
        <f t="shared" si="21"/>
        <v>1</v>
      </c>
    </row>
    <row r="164" spans="1:37" x14ac:dyDescent="0.2">
      <c r="A164" s="2">
        <v>2025</v>
      </c>
      <c r="B164" s="2">
        <v>1</v>
      </c>
      <c r="C164" s="2" t="s">
        <v>377</v>
      </c>
      <c r="D164" s="2" t="s">
        <v>109</v>
      </c>
      <c r="E164" s="2" t="s">
        <v>378</v>
      </c>
      <c r="F164" s="2">
        <v>503552542</v>
      </c>
      <c r="G164" s="2" t="s">
        <v>291</v>
      </c>
      <c r="H164" s="2" t="s">
        <v>379</v>
      </c>
      <c r="I164" s="2" t="s">
        <v>380</v>
      </c>
      <c r="K164" s="2" t="s">
        <v>340</v>
      </c>
      <c r="L164" s="2" t="s">
        <v>81</v>
      </c>
      <c r="N164" s="2" t="s">
        <v>381</v>
      </c>
      <c r="O164" s="2" t="s">
        <v>73</v>
      </c>
      <c r="P164" s="2" t="s">
        <v>382</v>
      </c>
      <c r="Q164" s="2" t="s">
        <v>383</v>
      </c>
      <c r="R164" s="2">
        <v>1</v>
      </c>
      <c r="S164" s="2">
        <v>250</v>
      </c>
      <c r="T164" s="2">
        <v>57.5</v>
      </c>
      <c r="U164" s="2">
        <v>307.5</v>
      </c>
      <c r="V164" s="2">
        <v>139.46</v>
      </c>
      <c r="W164" s="5">
        <f t="shared" si="20"/>
        <v>0.44215999999999994</v>
      </c>
      <c r="Y164" s="2" t="s">
        <v>3256</v>
      </c>
      <c r="Z164" s="2" t="s">
        <v>76</v>
      </c>
      <c r="AA164" s="2" t="s">
        <v>77</v>
      </c>
      <c r="AB164" s="2" t="s">
        <v>78</v>
      </c>
      <c r="AE164" s="2">
        <f t="shared" si="15"/>
        <v>0</v>
      </c>
      <c r="AI164" s="2">
        <f t="shared" si="16"/>
        <v>0</v>
      </c>
      <c r="AJ164" s="2">
        <f t="shared" si="17"/>
        <v>110.53999999999999</v>
      </c>
      <c r="AK164" s="5">
        <f t="shared" si="21"/>
        <v>0.44215999999999994</v>
      </c>
    </row>
    <row r="165" spans="1:37" x14ac:dyDescent="0.2">
      <c r="A165" s="2">
        <v>2025</v>
      </c>
      <c r="B165" s="2">
        <v>1</v>
      </c>
      <c r="C165" s="2" t="s">
        <v>377</v>
      </c>
      <c r="D165" s="2" t="s">
        <v>109</v>
      </c>
      <c r="E165" s="2" t="s">
        <v>378</v>
      </c>
      <c r="F165" s="2">
        <v>503552542</v>
      </c>
      <c r="G165" s="2" t="s">
        <v>291</v>
      </c>
      <c r="H165" s="2" t="s">
        <v>379</v>
      </c>
      <c r="I165" s="2" t="s">
        <v>380</v>
      </c>
      <c r="K165" s="2" t="s">
        <v>340</v>
      </c>
      <c r="L165" s="2" t="s">
        <v>81</v>
      </c>
      <c r="N165" s="2" t="s">
        <v>381</v>
      </c>
      <c r="O165" s="2" t="s">
        <v>94</v>
      </c>
      <c r="P165" s="2" t="s">
        <v>95</v>
      </c>
      <c r="Q165" s="2" t="s">
        <v>96</v>
      </c>
      <c r="R165" s="2">
        <v>1</v>
      </c>
      <c r="S165" s="2">
        <v>1.1399999999999999</v>
      </c>
      <c r="T165" s="2">
        <v>0.26219999999999999</v>
      </c>
      <c r="U165" s="2">
        <v>1.4021999999999999</v>
      </c>
      <c r="V165" s="2">
        <v>1.1399999999999999</v>
      </c>
      <c r="W165" s="5">
        <f t="shared" si="20"/>
        <v>0</v>
      </c>
      <c r="Y165" s="2" t="s">
        <v>3256</v>
      </c>
      <c r="Z165" s="2" t="s">
        <v>97</v>
      </c>
      <c r="AA165" s="2" t="s">
        <v>77</v>
      </c>
      <c r="AB165" s="2" t="s">
        <v>94</v>
      </c>
      <c r="AE165" s="2">
        <f t="shared" si="15"/>
        <v>0</v>
      </c>
      <c r="AI165" s="2">
        <f t="shared" si="16"/>
        <v>0</v>
      </c>
      <c r="AJ165" s="2">
        <f t="shared" si="17"/>
        <v>0</v>
      </c>
      <c r="AK165" s="5">
        <f t="shared" si="21"/>
        <v>0</v>
      </c>
    </row>
    <row r="166" spans="1:37" x14ac:dyDescent="0.2">
      <c r="A166" s="2">
        <v>2025</v>
      </c>
      <c r="B166" s="2">
        <v>1</v>
      </c>
      <c r="C166" s="2" t="s">
        <v>384</v>
      </c>
      <c r="D166" s="2" t="s">
        <v>38</v>
      </c>
      <c r="E166" s="2" t="s">
        <v>39</v>
      </c>
      <c r="F166" s="2">
        <v>212196260</v>
      </c>
      <c r="G166" s="2" t="s">
        <v>110</v>
      </c>
      <c r="H166" s="2" t="s">
        <v>385</v>
      </c>
      <c r="I166" s="2" t="s">
        <v>386</v>
      </c>
      <c r="J166" s="2">
        <v>926769894</v>
      </c>
      <c r="K166" s="2" t="s">
        <v>113</v>
      </c>
      <c r="O166" s="2" t="s">
        <v>283</v>
      </c>
      <c r="P166" s="2" t="s">
        <v>387</v>
      </c>
      <c r="Q166" s="2" t="s">
        <v>388</v>
      </c>
      <c r="R166" s="2">
        <v>1</v>
      </c>
      <c r="S166" s="2">
        <v>340</v>
      </c>
      <c r="T166" s="2">
        <v>78.2</v>
      </c>
      <c r="U166" s="2">
        <v>418.2</v>
      </c>
      <c r="V166" s="2">
        <v>225</v>
      </c>
      <c r="W166" s="5">
        <f t="shared" si="20"/>
        <v>0.33823529411764708</v>
      </c>
      <c r="Y166" s="2" t="s">
        <v>105</v>
      </c>
      <c r="Z166" s="2" t="s">
        <v>389</v>
      </c>
      <c r="AA166" s="2" t="s">
        <v>390</v>
      </c>
      <c r="AB166" s="2" t="s">
        <v>391</v>
      </c>
      <c r="AE166" s="2">
        <f t="shared" si="15"/>
        <v>0</v>
      </c>
      <c r="AI166" s="2">
        <f t="shared" si="16"/>
        <v>0</v>
      </c>
      <c r="AJ166" s="2">
        <f t="shared" si="17"/>
        <v>115</v>
      </c>
      <c r="AK166" s="5">
        <f t="shared" si="21"/>
        <v>0.33823529411764708</v>
      </c>
    </row>
    <row r="167" spans="1:37" x14ac:dyDescent="0.2">
      <c r="A167" s="2">
        <v>2025</v>
      </c>
      <c r="B167" s="2">
        <v>1</v>
      </c>
      <c r="C167" s="2" t="s">
        <v>384</v>
      </c>
      <c r="D167" s="2" t="s">
        <v>38</v>
      </c>
      <c r="E167" s="2" t="s">
        <v>39</v>
      </c>
      <c r="F167" s="2">
        <v>212196260</v>
      </c>
      <c r="G167" s="2" t="s">
        <v>110</v>
      </c>
      <c r="H167" s="2" t="s">
        <v>385</v>
      </c>
      <c r="I167" s="2" t="s">
        <v>386</v>
      </c>
      <c r="J167" s="2">
        <v>926769894</v>
      </c>
      <c r="K167" s="2" t="s">
        <v>113</v>
      </c>
      <c r="O167" s="2" t="s">
        <v>40</v>
      </c>
      <c r="P167" s="2" t="s">
        <v>364</v>
      </c>
      <c r="Q167" s="2" t="s">
        <v>365</v>
      </c>
      <c r="R167" s="2">
        <v>1</v>
      </c>
      <c r="S167" s="2">
        <v>20</v>
      </c>
      <c r="T167" s="2">
        <v>4.6000000000000014</v>
      </c>
      <c r="U167" s="2">
        <v>24.6</v>
      </c>
      <c r="W167" s="5">
        <f t="shared" si="20"/>
        <v>1</v>
      </c>
      <c r="Y167" s="2" t="s">
        <v>120</v>
      </c>
      <c r="AE167" s="2">
        <f t="shared" si="15"/>
        <v>0</v>
      </c>
      <c r="AI167" s="2">
        <f t="shared" si="16"/>
        <v>0</v>
      </c>
      <c r="AJ167" s="2">
        <f t="shared" si="17"/>
        <v>20</v>
      </c>
      <c r="AK167" s="5">
        <f t="shared" si="21"/>
        <v>1</v>
      </c>
    </row>
    <row r="168" spans="1:37" x14ac:dyDescent="0.2">
      <c r="A168" s="2">
        <v>2025</v>
      </c>
      <c r="B168" s="2">
        <v>1</v>
      </c>
      <c r="C168" s="2" t="s">
        <v>392</v>
      </c>
      <c r="L168" s="2" t="s">
        <v>81</v>
      </c>
      <c r="O168" s="2" t="s">
        <v>73</v>
      </c>
      <c r="P168" s="2" t="s">
        <v>74</v>
      </c>
      <c r="Q168" s="2" t="s">
        <v>75</v>
      </c>
      <c r="R168" s="2">
        <v>1</v>
      </c>
      <c r="S168" s="2">
        <v>193.98</v>
      </c>
      <c r="T168" s="2">
        <v>44.615400000000001</v>
      </c>
      <c r="U168" s="2">
        <v>238.59540000000001</v>
      </c>
      <c r="V168" s="2">
        <v>117.453</v>
      </c>
      <c r="W168" s="5">
        <f t="shared" si="20"/>
        <v>0.39450974327250227</v>
      </c>
      <c r="Y168" s="2" t="s">
        <v>3256</v>
      </c>
      <c r="Z168" s="2" t="s">
        <v>76</v>
      </c>
      <c r="AA168" s="2" t="s">
        <v>77</v>
      </c>
      <c r="AB168" s="2" t="s">
        <v>78</v>
      </c>
      <c r="AE168" s="2">
        <f t="shared" si="15"/>
        <v>0</v>
      </c>
      <c r="AF168" s="2">
        <v>117.453</v>
      </c>
      <c r="AG168" s="2">
        <v>220</v>
      </c>
      <c r="AI168" s="2">
        <f t="shared" si="16"/>
        <v>0</v>
      </c>
      <c r="AJ168" s="2">
        <f t="shared" si="17"/>
        <v>76.526999999999987</v>
      </c>
      <c r="AK168" s="5">
        <f t="shared" si="21"/>
        <v>0.39450974327250227</v>
      </c>
    </row>
    <row r="169" spans="1:37" x14ac:dyDescent="0.2">
      <c r="A169" s="2">
        <v>2025</v>
      </c>
      <c r="B169" s="2">
        <v>1</v>
      </c>
      <c r="C169" s="2" t="s">
        <v>392</v>
      </c>
      <c r="L169" s="2" t="s">
        <v>81</v>
      </c>
      <c r="O169" s="2" t="s">
        <v>94</v>
      </c>
      <c r="P169" s="2" t="s">
        <v>95</v>
      </c>
      <c r="Q169" s="2" t="s">
        <v>96</v>
      </c>
      <c r="R169" s="2">
        <v>1</v>
      </c>
      <c r="S169" s="2">
        <v>1.1399999999999999</v>
      </c>
      <c r="T169" s="2">
        <v>0.26219999999999999</v>
      </c>
      <c r="U169" s="2">
        <v>1.4021999999999999</v>
      </c>
      <c r="V169" s="2">
        <v>1.1399999999999999</v>
      </c>
      <c r="W169" s="5">
        <f t="shared" si="20"/>
        <v>0</v>
      </c>
      <c r="Y169" s="2" t="s">
        <v>3256</v>
      </c>
      <c r="Z169" s="2" t="s">
        <v>97</v>
      </c>
      <c r="AA169" s="2" t="s">
        <v>77</v>
      </c>
      <c r="AB169" s="2" t="s">
        <v>94</v>
      </c>
      <c r="AE169" s="2">
        <f t="shared" si="15"/>
        <v>0</v>
      </c>
      <c r="AI169" s="2">
        <f t="shared" si="16"/>
        <v>0</v>
      </c>
      <c r="AJ169" s="2">
        <f t="shared" si="17"/>
        <v>0</v>
      </c>
      <c r="AK169" s="5">
        <f t="shared" si="21"/>
        <v>0</v>
      </c>
    </row>
    <row r="170" spans="1:37" x14ac:dyDescent="0.2">
      <c r="A170" s="2">
        <v>2025</v>
      </c>
      <c r="B170" s="2">
        <v>1</v>
      </c>
      <c r="C170" s="2" t="s">
        <v>393</v>
      </c>
      <c r="D170" s="2" t="s">
        <v>38</v>
      </c>
      <c r="E170" s="2" t="s">
        <v>39</v>
      </c>
      <c r="F170" s="2">
        <v>206206143</v>
      </c>
      <c r="G170" s="2" t="s">
        <v>41</v>
      </c>
      <c r="H170" s="2" t="s">
        <v>394</v>
      </c>
      <c r="I170" s="2" t="s">
        <v>395</v>
      </c>
      <c r="K170" s="2" t="s">
        <v>100</v>
      </c>
      <c r="L170" s="2" t="s">
        <v>40</v>
      </c>
      <c r="O170" s="2" t="s">
        <v>188</v>
      </c>
      <c r="P170" s="2" t="s">
        <v>189</v>
      </c>
      <c r="Q170" s="2" t="s">
        <v>190</v>
      </c>
      <c r="R170" s="2">
        <v>1</v>
      </c>
      <c r="S170" s="2">
        <v>74</v>
      </c>
      <c r="T170" s="2">
        <v>17.02</v>
      </c>
      <c r="U170" s="2">
        <v>91.02</v>
      </c>
      <c r="W170" s="5">
        <f t="shared" si="20"/>
        <v>1</v>
      </c>
      <c r="Y170" s="2" t="s">
        <v>118</v>
      </c>
      <c r="Z170" s="2" t="s">
        <v>191</v>
      </c>
      <c r="AE170" s="2">
        <f t="shared" si="15"/>
        <v>0</v>
      </c>
      <c r="AI170" s="2">
        <f t="shared" si="16"/>
        <v>0</v>
      </c>
      <c r="AJ170" s="2">
        <f t="shared" si="17"/>
        <v>74</v>
      </c>
      <c r="AK170" s="5">
        <f t="shared" si="21"/>
        <v>1</v>
      </c>
    </row>
    <row r="171" spans="1:37" x14ac:dyDescent="0.2">
      <c r="A171" s="2">
        <v>2025</v>
      </c>
      <c r="B171" s="2">
        <v>1</v>
      </c>
      <c r="C171" s="2" t="s">
        <v>393</v>
      </c>
      <c r="D171" s="2" t="s">
        <v>38</v>
      </c>
      <c r="E171" s="2" t="s">
        <v>39</v>
      </c>
      <c r="F171" s="2">
        <v>206206143</v>
      </c>
      <c r="G171" s="2" t="s">
        <v>41</v>
      </c>
      <c r="H171" s="2" t="s">
        <v>394</v>
      </c>
      <c r="I171" s="2" t="s">
        <v>395</v>
      </c>
      <c r="K171" s="2" t="s">
        <v>100</v>
      </c>
      <c r="L171" s="2" t="s">
        <v>40</v>
      </c>
      <c r="O171" s="2" t="s">
        <v>188</v>
      </c>
      <c r="P171" s="2" t="s">
        <v>192</v>
      </c>
      <c r="Q171" s="2" t="s">
        <v>191</v>
      </c>
      <c r="R171" s="2">
        <v>1</v>
      </c>
      <c r="S171" s="2">
        <v>50</v>
      </c>
      <c r="T171" s="2">
        <v>11.5</v>
      </c>
      <c r="U171" s="2">
        <v>61.5</v>
      </c>
      <c r="V171" s="2">
        <f>S171*50%</f>
        <v>25</v>
      </c>
      <c r="W171" s="5">
        <f t="shared" si="20"/>
        <v>0.5</v>
      </c>
      <c r="Y171" s="2" t="s">
        <v>118</v>
      </c>
      <c r="Z171" s="2" t="s">
        <v>191</v>
      </c>
      <c r="AE171" s="2">
        <f t="shared" si="15"/>
        <v>0</v>
      </c>
      <c r="AI171" s="2">
        <f t="shared" si="16"/>
        <v>0</v>
      </c>
      <c r="AJ171" s="2">
        <f t="shared" si="17"/>
        <v>25</v>
      </c>
      <c r="AK171" s="5">
        <f t="shared" si="21"/>
        <v>0.5</v>
      </c>
    </row>
    <row r="172" spans="1:37" x14ac:dyDescent="0.2">
      <c r="A172" s="2">
        <v>2025</v>
      </c>
      <c r="B172" s="2">
        <v>1</v>
      </c>
      <c r="C172" s="2" t="s">
        <v>393</v>
      </c>
      <c r="D172" s="2" t="s">
        <v>38</v>
      </c>
      <c r="E172" s="2" t="s">
        <v>39</v>
      </c>
      <c r="F172" s="2">
        <v>206206143</v>
      </c>
      <c r="G172" s="2" t="s">
        <v>41</v>
      </c>
      <c r="H172" s="2" t="s">
        <v>394</v>
      </c>
      <c r="I172" s="2" t="s">
        <v>395</v>
      </c>
      <c r="K172" s="2" t="s">
        <v>100</v>
      </c>
      <c r="O172" s="2" t="s">
        <v>40</v>
      </c>
      <c r="P172" s="2" t="s">
        <v>364</v>
      </c>
      <c r="Q172" s="2" t="s">
        <v>365</v>
      </c>
      <c r="R172" s="2">
        <v>1</v>
      </c>
      <c r="S172" s="2">
        <v>267.18</v>
      </c>
      <c r="T172" s="2">
        <v>61.451400000000007</v>
      </c>
      <c r="U172" s="2">
        <v>328.63139999999999</v>
      </c>
      <c r="W172" s="5">
        <f t="shared" si="20"/>
        <v>1</v>
      </c>
      <c r="Y172" s="2" t="s">
        <v>120</v>
      </c>
      <c r="AE172" s="2">
        <f t="shared" si="15"/>
        <v>0</v>
      </c>
      <c r="AI172" s="2">
        <f t="shared" si="16"/>
        <v>0</v>
      </c>
      <c r="AJ172" s="2">
        <f t="shared" si="17"/>
        <v>267.18</v>
      </c>
      <c r="AK172" s="5">
        <f t="shared" si="21"/>
        <v>1</v>
      </c>
    </row>
    <row r="173" spans="1:37" x14ac:dyDescent="0.2">
      <c r="A173" s="2">
        <v>2025</v>
      </c>
      <c r="B173" s="2">
        <v>1</v>
      </c>
      <c r="C173" s="2" t="s">
        <v>396</v>
      </c>
      <c r="D173" s="2" t="s">
        <v>109</v>
      </c>
      <c r="E173" s="2" t="s">
        <v>397</v>
      </c>
      <c r="F173" s="2">
        <v>501787160</v>
      </c>
      <c r="G173" s="2" t="s">
        <v>41</v>
      </c>
      <c r="H173" s="2" t="s">
        <v>398</v>
      </c>
      <c r="I173" s="2" t="s">
        <v>399</v>
      </c>
      <c r="K173" s="2" t="s">
        <v>400</v>
      </c>
      <c r="O173" s="2" t="s">
        <v>283</v>
      </c>
      <c r="P173" s="2" t="s">
        <v>401</v>
      </c>
      <c r="Q173" s="2" t="s">
        <v>402</v>
      </c>
      <c r="R173" s="2">
        <v>6</v>
      </c>
      <c r="S173" s="2">
        <v>174</v>
      </c>
      <c r="T173" s="2">
        <v>40.020000000000003</v>
      </c>
      <c r="U173" s="2">
        <v>214.02</v>
      </c>
      <c r="W173" s="5">
        <f t="shared" si="20"/>
        <v>1</v>
      </c>
      <c r="Y173" s="2" t="s">
        <v>3256</v>
      </c>
      <c r="Z173" s="2" t="s">
        <v>46</v>
      </c>
      <c r="AA173" s="2" t="s">
        <v>61</v>
      </c>
      <c r="AB173" s="2" t="s">
        <v>403</v>
      </c>
      <c r="AE173" s="2">
        <f t="shared" si="15"/>
        <v>0</v>
      </c>
      <c r="AI173" s="2">
        <f t="shared" si="16"/>
        <v>0</v>
      </c>
      <c r="AJ173" s="2">
        <f t="shared" si="17"/>
        <v>174</v>
      </c>
      <c r="AK173" s="5">
        <f t="shared" si="21"/>
        <v>1</v>
      </c>
    </row>
    <row r="174" spans="1:37" x14ac:dyDescent="0.2">
      <c r="A174" s="2">
        <v>2025</v>
      </c>
      <c r="B174" s="2">
        <v>1</v>
      </c>
      <c r="C174" s="2" t="s">
        <v>396</v>
      </c>
      <c r="D174" s="2" t="s">
        <v>109</v>
      </c>
      <c r="E174" s="2" t="s">
        <v>397</v>
      </c>
      <c r="F174" s="2">
        <v>501787160</v>
      </c>
      <c r="G174" s="2" t="s">
        <v>41</v>
      </c>
      <c r="H174" s="2" t="s">
        <v>398</v>
      </c>
      <c r="I174" s="2" t="s">
        <v>399</v>
      </c>
      <c r="K174" s="2" t="s">
        <v>400</v>
      </c>
      <c r="O174" s="2" t="s">
        <v>283</v>
      </c>
      <c r="P174" s="2" t="s">
        <v>404</v>
      </c>
      <c r="Q174" s="2" t="s">
        <v>405</v>
      </c>
      <c r="R174" s="2">
        <v>4</v>
      </c>
      <c r="S174" s="2">
        <v>116</v>
      </c>
      <c r="T174" s="2">
        <v>26.68</v>
      </c>
      <c r="U174" s="2">
        <v>142.68</v>
      </c>
      <c r="W174" s="5">
        <f t="shared" si="20"/>
        <v>1</v>
      </c>
      <c r="Y174" s="2" t="s">
        <v>3256</v>
      </c>
      <c r="Z174" s="2" t="s">
        <v>46</v>
      </c>
      <c r="AA174" s="2" t="s">
        <v>61</v>
      </c>
      <c r="AB174" s="2" t="s">
        <v>403</v>
      </c>
      <c r="AE174" s="2">
        <f t="shared" si="15"/>
        <v>0</v>
      </c>
      <c r="AI174" s="2">
        <f t="shared" si="16"/>
        <v>0</v>
      </c>
      <c r="AJ174" s="2">
        <f t="shared" si="17"/>
        <v>116</v>
      </c>
      <c r="AK174" s="5">
        <f t="shared" si="21"/>
        <v>1</v>
      </c>
    </row>
    <row r="175" spans="1:37" x14ac:dyDescent="0.2">
      <c r="A175" s="2">
        <v>2025</v>
      </c>
      <c r="B175" s="2">
        <v>1</v>
      </c>
      <c r="C175" s="2" t="s">
        <v>406</v>
      </c>
      <c r="D175" s="2" t="s">
        <v>38</v>
      </c>
      <c r="E175" s="2" t="s">
        <v>39</v>
      </c>
      <c r="F175" s="2">
        <v>109095197</v>
      </c>
      <c r="G175" s="2" t="s">
        <v>40</v>
      </c>
      <c r="H175" s="2" t="s">
        <v>2498</v>
      </c>
      <c r="I175" s="2" t="s">
        <v>3147</v>
      </c>
      <c r="J175" s="2">
        <v>965864665</v>
      </c>
      <c r="K175" s="2" t="s">
        <v>345</v>
      </c>
      <c r="L175" s="2" t="s">
        <v>81</v>
      </c>
      <c r="N175" s="2" t="s">
        <v>3148</v>
      </c>
      <c r="O175" s="2" t="s">
        <v>73</v>
      </c>
      <c r="P175" s="2" t="s">
        <v>307</v>
      </c>
      <c r="Q175" s="2" t="s">
        <v>308</v>
      </c>
      <c r="R175" s="2">
        <v>1</v>
      </c>
      <c r="S175" s="2">
        <v>202.4</v>
      </c>
      <c r="T175" s="2">
        <v>46.552000000000007</v>
      </c>
      <c r="U175" s="2">
        <v>248.952</v>
      </c>
      <c r="V175" s="2">
        <v>119.33</v>
      </c>
      <c r="W175" s="5">
        <f t="shared" si="20"/>
        <v>0.4104249011857708</v>
      </c>
      <c r="Y175" s="2" t="s">
        <v>3256</v>
      </c>
      <c r="Z175" s="2" t="s">
        <v>76</v>
      </c>
      <c r="AA175" s="2" t="s">
        <v>77</v>
      </c>
      <c r="AB175" s="2" t="s">
        <v>78</v>
      </c>
      <c r="AE175" s="2">
        <f t="shared" si="15"/>
        <v>0</v>
      </c>
      <c r="AF175" s="2">
        <v>119.33</v>
      </c>
      <c r="AG175" s="2">
        <v>220</v>
      </c>
      <c r="AI175" s="2">
        <f t="shared" si="16"/>
        <v>0</v>
      </c>
      <c r="AJ175" s="2">
        <f t="shared" si="17"/>
        <v>83.070000000000007</v>
      </c>
      <c r="AK175" s="5">
        <f t="shared" si="21"/>
        <v>0.4104249011857708</v>
      </c>
    </row>
    <row r="176" spans="1:37" x14ac:dyDescent="0.2">
      <c r="A176" s="2">
        <v>2025</v>
      </c>
      <c r="B176" s="2">
        <v>1</v>
      </c>
      <c r="C176" s="2" t="s">
        <v>406</v>
      </c>
      <c r="D176" s="2" t="s">
        <v>38</v>
      </c>
      <c r="E176" s="2" t="s">
        <v>39</v>
      </c>
      <c r="F176" s="2">
        <v>109095197</v>
      </c>
      <c r="G176" s="2" t="s">
        <v>40</v>
      </c>
      <c r="H176" s="2" t="s">
        <v>2498</v>
      </c>
      <c r="I176" s="2" t="s">
        <v>3147</v>
      </c>
      <c r="J176" s="2">
        <v>965864665</v>
      </c>
      <c r="K176" s="2" t="s">
        <v>345</v>
      </c>
      <c r="L176" s="2" t="s">
        <v>81</v>
      </c>
      <c r="N176" s="2" t="s">
        <v>3148</v>
      </c>
      <c r="O176" s="2" t="s">
        <v>94</v>
      </c>
      <c r="P176" s="2" t="s">
        <v>95</v>
      </c>
      <c r="Q176" s="2" t="s">
        <v>96</v>
      </c>
      <c r="R176" s="2">
        <v>1</v>
      </c>
      <c r="S176" s="2">
        <v>1.1399999999999999</v>
      </c>
      <c r="T176" s="2">
        <v>0.26219999999999999</v>
      </c>
      <c r="U176" s="2">
        <v>1.4021999999999999</v>
      </c>
      <c r="V176" s="2">
        <v>1.1399999999999999</v>
      </c>
      <c r="W176" s="5">
        <f t="shared" si="20"/>
        <v>0</v>
      </c>
      <c r="Y176" s="2" t="s">
        <v>3256</v>
      </c>
      <c r="Z176" s="2" t="s">
        <v>97</v>
      </c>
      <c r="AA176" s="2" t="s">
        <v>77</v>
      </c>
      <c r="AB176" s="2" t="s">
        <v>94</v>
      </c>
      <c r="AE176" s="2">
        <f t="shared" si="15"/>
        <v>0</v>
      </c>
      <c r="AI176" s="2">
        <f t="shared" si="16"/>
        <v>0</v>
      </c>
      <c r="AJ176" s="2">
        <f t="shared" si="17"/>
        <v>0</v>
      </c>
      <c r="AK176" s="5">
        <f t="shared" si="21"/>
        <v>0</v>
      </c>
    </row>
    <row r="177" spans="1:37" x14ac:dyDescent="0.2">
      <c r="A177" s="2">
        <v>2025</v>
      </c>
      <c r="B177" s="2">
        <v>1</v>
      </c>
      <c r="C177" s="2" t="s">
        <v>407</v>
      </c>
      <c r="D177" s="2" t="s">
        <v>38</v>
      </c>
      <c r="E177" s="2" t="s">
        <v>39</v>
      </c>
      <c r="F177" s="2">
        <v>514985836</v>
      </c>
      <c r="G177" s="2" t="s">
        <v>110</v>
      </c>
      <c r="H177" s="2" t="s">
        <v>134</v>
      </c>
      <c r="I177" s="2" t="s">
        <v>408</v>
      </c>
      <c r="K177" s="2" t="s">
        <v>134</v>
      </c>
      <c r="L177" s="2" t="s">
        <v>40</v>
      </c>
      <c r="N177" s="2" t="s">
        <v>409</v>
      </c>
      <c r="O177" s="2" t="s">
        <v>188</v>
      </c>
      <c r="P177" s="2" t="s">
        <v>318</v>
      </c>
      <c r="Q177" s="2" t="s">
        <v>319</v>
      </c>
      <c r="R177" s="2">
        <v>1</v>
      </c>
      <c r="S177" s="2">
        <v>930</v>
      </c>
      <c r="T177" s="2">
        <v>213.9</v>
      </c>
      <c r="U177" s="2">
        <v>1143.9000000000001</v>
      </c>
      <c r="W177" s="5">
        <f t="shared" si="20"/>
        <v>1</v>
      </c>
      <c r="Y177" s="2" t="s">
        <v>118</v>
      </c>
      <c r="Z177" s="2" t="s">
        <v>318</v>
      </c>
      <c r="AE177" s="2">
        <f t="shared" si="15"/>
        <v>0</v>
      </c>
      <c r="AI177" s="2">
        <f t="shared" si="16"/>
        <v>0</v>
      </c>
      <c r="AJ177" s="2">
        <f t="shared" si="17"/>
        <v>930</v>
      </c>
      <c r="AK177" s="5">
        <f t="shared" si="21"/>
        <v>1</v>
      </c>
    </row>
    <row r="178" spans="1:37" x14ac:dyDescent="0.2">
      <c r="A178" s="2">
        <v>2025</v>
      </c>
      <c r="B178" s="2">
        <v>1</v>
      </c>
      <c r="C178" s="2" t="s">
        <v>407</v>
      </c>
      <c r="D178" s="2" t="s">
        <v>38</v>
      </c>
      <c r="E178" s="2" t="s">
        <v>39</v>
      </c>
      <c r="F178" s="2">
        <v>514985836</v>
      </c>
      <c r="G178" s="2" t="s">
        <v>110</v>
      </c>
      <c r="H178" s="2" t="s">
        <v>134</v>
      </c>
      <c r="I178" s="2" t="s">
        <v>408</v>
      </c>
      <c r="K178" s="2" t="s">
        <v>134</v>
      </c>
      <c r="L178" s="2" t="s">
        <v>40</v>
      </c>
      <c r="N178" s="2" t="s">
        <v>410</v>
      </c>
      <c r="O178" s="2" t="s">
        <v>188</v>
      </c>
      <c r="P178" s="2" t="s">
        <v>189</v>
      </c>
      <c r="Q178" s="2" t="s">
        <v>190</v>
      </c>
      <c r="R178" s="2">
        <v>1</v>
      </c>
      <c r="S178" s="2">
        <v>138</v>
      </c>
      <c r="T178" s="2">
        <v>31.74</v>
      </c>
      <c r="U178" s="2">
        <v>169.74</v>
      </c>
      <c r="W178" s="5">
        <f t="shared" si="20"/>
        <v>1</v>
      </c>
      <c r="Y178" s="2" t="s">
        <v>118</v>
      </c>
      <c r="Z178" s="2" t="s">
        <v>191</v>
      </c>
      <c r="AE178" s="2">
        <f t="shared" si="15"/>
        <v>0</v>
      </c>
      <c r="AI178" s="2">
        <f t="shared" si="16"/>
        <v>0</v>
      </c>
      <c r="AJ178" s="2">
        <f t="shared" si="17"/>
        <v>138</v>
      </c>
      <c r="AK178" s="5">
        <f t="shared" si="21"/>
        <v>1</v>
      </c>
    </row>
    <row r="179" spans="1:37" x14ac:dyDescent="0.2">
      <c r="A179" s="2">
        <v>2025</v>
      </c>
      <c r="B179" s="2">
        <v>1</v>
      </c>
      <c r="C179" s="2" t="s">
        <v>407</v>
      </c>
      <c r="D179" s="2" t="s">
        <v>38</v>
      </c>
      <c r="E179" s="2" t="s">
        <v>39</v>
      </c>
      <c r="F179" s="2">
        <v>514985836</v>
      </c>
      <c r="G179" s="2" t="s">
        <v>110</v>
      </c>
      <c r="H179" s="2" t="s">
        <v>134</v>
      </c>
      <c r="I179" s="2" t="s">
        <v>408</v>
      </c>
      <c r="K179" s="2" t="s">
        <v>134</v>
      </c>
      <c r="L179" s="2" t="s">
        <v>40</v>
      </c>
      <c r="N179" s="2" t="s">
        <v>410</v>
      </c>
      <c r="O179" s="2" t="s">
        <v>188</v>
      </c>
      <c r="P179" s="2" t="s">
        <v>192</v>
      </c>
      <c r="Q179" s="2" t="s">
        <v>191</v>
      </c>
      <c r="R179" s="2">
        <v>1</v>
      </c>
      <c r="S179" s="2">
        <v>50</v>
      </c>
      <c r="T179" s="2">
        <v>11.5</v>
      </c>
      <c r="U179" s="2">
        <v>61.5</v>
      </c>
      <c r="V179" s="2">
        <f>S179*50%</f>
        <v>25</v>
      </c>
      <c r="W179" s="5">
        <f t="shared" si="20"/>
        <v>0.5</v>
      </c>
      <c r="Y179" s="2" t="s">
        <v>118</v>
      </c>
      <c r="Z179" s="2" t="s">
        <v>191</v>
      </c>
      <c r="AE179" s="2">
        <f t="shared" si="15"/>
        <v>0</v>
      </c>
      <c r="AI179" s="2">
        <f t="shared" si="16"/>
        <v>0</v>
      </c>
      <c r="AJ179" s="2">
        <f t="shared" si="17"/>
        <v>25</v>
      </c>
      <c r="AK179" s="5">
        <f t="shared" si="21"/>
        <v>0.5</v>
      </c>
    </row>
    <row r="180" spans="1:37" x14ac:dyDescent="0.2">
      <c r="A180" s="2">
        <v>2025</v>
      </c>
      <c r="B180" s="2">
        <v>1</v>
      </c>
      <c r="C180" s="2" t="s">
        <v>407</v>
      </c>
      <c r="D180" s="2" t="s">
        <v>38</v>
      </c>
      <c r="E180" s="2" t="s">
        <v>39</v>
      </c>
      <c r="F180" s="2">
        <v>514985836</v>
      </c>
      <c r="G180" s="2" t="s">
        <v>110</v>
      </c>
      <c r="H180" s="2" t="s">
        <v>134</v>
      </c>
      <c r="I180" s="2" t="s">
        <v>408</v>
      </c>
      <c r="K180" s="2" t="s">
        <v>134</v>
      </c>
      <c r="L180" s="2" t="s">
        <v>40</v>
      </c>
      <c r="N180" s="2" t="s">
        <v>409</v>
      </c>
      <c r="O180" s="2" t="s">
        <v>115</v>
      </c>
      <c r="P180" s="2" t="s">
        <v>411</v>
      </c>
      <c r="Q180" s="2" t="s">
        <v>412</v>
      </c>
      <c r="R180" s="2">
        <v>1</v>
      </c>
      <c r="S180" s="2">
        <v>0</v>
      </c>
      <c r="T180" s="2">
        <v>0</v>
      </c>
      <c r="U180" s="2">
        <v>0</v>
      </c>
      <c r="W180" s="5">
        <v>0</v>
      </c>
      <c r="Y180" s="2" t="s">
        <v>118</v>
      </c>
      <c r="Z180" s="2" t="s">
        <v>318</v>
      </c>
      <c r="AE180" s="2">
        <f t="shared" si="15"/>
        <v>0</v>
      </c>
      <c r="AI180" s="2">
        <f t="shared" si="16"/>
        <v>0</v>
      </c>
      <c r="AJ180" s="2">
        <f t="shared" si="17"/>
        <v>0</v>
      </c>
      <c r="AK180" s="5" t="e">
        <f t="shared" si="21"/>
        <v>#DIV/0!</v>
      </c>
    </row>
    <row r="181" spans="1:37" x14ac:dyDescent="0.2">
      <c r="A181" s="2">
        <v>2025</v>
      </c>
      <c r="B181" s="2">
        <v>1</v>
      </c>
      <c r="C181" s="2" t="s">
        <v>413</v>
      </c>
      <c r="D181" s="2" t="s">
        <v>38</v>
      </c>
      <c r="E181" s="2" t="s">
        <v>39</v>
      </c>
      <c r="F181" s="2">
        <v>510415962</v>
      </c>
      <c r="G181" s="2" t="s">
        <v>40</v>
      </c>
      <c r="H181" s="2" t="s">
        <v>345</v>
      </c>
      <c r="I181" s="2" t="s">
        <v>3153</v>
      </c>
      <c r="J181" s="2">
        <v>962555043</v>
      </c>
      <c r="K181" s="2" t="s">
        <v>345</v>
      </c>
      <c r="L181" s="2" t="s">
        <v>40</v>
      </c>
      <c r="N181" s="2" t="s">
        <v>3154</v>
      </c>
      <c r="O181" s="2" t="s">
        <v>188</v>
      </c>
      <c r="P181" s="2" t="s">
        <v>318</v>
      </c>
      <c r="Q181" s="2" t="s">
        <v>319</v>
      </c>
      <c r="R181" s="2">
        <v>1</v>
      </c>
      <c r="S181" s="2">
        <v>975</v>
      </c>
      <c r="T181" s="2">
        <v>224.25</v>
      </c>
      <c r="U181" s="2">
        <v>1199.25</v>
      </c>
      <c r="W181" s="5">
        <f t="shared" ref="W181:W212" si="22">(S181-V181)/S181</f>
        <v>1</v>
      </c>
      <c r="Y181" s="2" t="s">
        <v>118</v>
      </c>
      <c r="Z181" s="2" t="s">
        <v>318</v>
      </c>
      <c r="AE181" s="2">
        <f t="shared" si="15"/>
        <v>0</v>
      </c>
      <c r="AI181" s="2">
        <f t="shared" si="16"/>
        <v>0</v>
      </c>
      <c r="AJ181" s="2">
        <f t="shared" si="17"/>
        <v>975</v>
      </c>
      <c r="AK181" s="5">
        <f t="shared" si="21"/>
        <v>1</v>
      </c>
    </row>
    <row r="182" spans="1:37" x14ac:dyDescent="0.2">
      <c r="A182" s="2">
        <v>2025</v>
      </c>
      <c r="B182" s="2">
        <v>1</v>
      </c>
      <c r="C182" s="2" t="s">
        <v>413</v>
      </c>
      <c r="D182" s="2" t="s">
        <v>38</v>
      </c>
      <c r="E182" s="2" t="s">
        <v>39</v>
      </c>
      <c r="F182" s="2">
        <v>510415962</v>
      </c>
      <c r="G182" s="2" t="s">
        <v>40</v>
      </c>
      <c r="H182" s="2" t="s">
        <v>345</v>
      </c>
      <c r="I182" s="2" t="s">
        <v>3153</v>
      </c>
      <c r="J182" s="2">
        <v>962555043</v>
      </c>
      <c r="K182" s="2" t="s">
        <v>345</v>
      </c>
      <c r="L182" s="2" t="s">
        <v>40</v>
      </c>
      <c r="N182" s="2" t="s">
        <v>3154</v>
      </c>
      <c r="O182" s="2" t="s">
        <v>115</v>
      </c>
      <c r="P182" s="2" t="s">
        <v>411</v>
      </c>
      <c r="Q182" s="2" t="s">
        <v>412</v>
      </c>
      <c r="R182" s="2">
        <v>1</v>
      </c>
      <c r="T182" s="2">
        <v>0</v>
      </c>
      <c r="U182" s="2">
        <v>0</v>
      </c>
      <c r="W182" s="5" t="e">
        <f t="shared" si="22"/>
        <v>#DIV/0!</v>
      </c>
      <c r="Y182" s="2" t="s">
        <v>118</v>
      </c>
      <c r="Z182" s="2" t="s">
        <v>318</v>
      </c>
      <c r="AE182" s="2">
        <f t="shared" si="15"/>
        <v>0</v>
      </c>
      <c r="AI182" s="2">
        <f t="shared" si="16"/>
        <v>0</v>
      </c>
      <c r="AJ182" s="2">
        <f t="shared" si="17"/>
        <v>0</v>
      </c>
      <c r="AK182" s="5" t="e">
        <f t="shared" si="21"/>
        <v>#DIV/0!</v>
      </c>
    </row>
    <row r="183" spans="1:37" x14ac:dyDescent="0.2">
      <c r="A183" s="2">
        <v>2025</v>
      </c>
      <c r="B183" s="2">
        <v>1</v>
      </c>
      <c r="C183" s="2" t="s">
        <v>414</v>
      </c>
      <c r="D183" s="2" t="s">
        <v>38</v>
      </c>
      <c r="F183" s="2">
        <v>508259509</v>
      </c>
      <c r="G183" s="2" t="s">
        <v>40</v>
      </c>
      <c r="H183" s="2" t="s">
        <v>340</v>
      </c>
      <c r="K183" s="2" t="s">
        <v>340</v>
      </c>
      <c r="L183" s="2" t="s">
        <v>40</v>
      </c>
      <c r="N183" s="2" t="s">
        <v>415</v>
      </c>
      <c r="O183" s="2" t="s">
        <v>115</v>
      </c>
      <c r="P183" s="2" t="s">
        <v>416</v>
      </c>
      <c r="Q183" s="2" t="s">
        <v>417</v>
      </c>
      <c r="R183" s="2">
        <v>1</v>
      </c>
      <c r="S183" s="2">
        <v>14590</v>
      </c>
      <c r="T183" s="2">
        <v>3355.7</v>
      </c>
      <c r="U183" s="2">
        <v>17945.7</v>
      </c>
      <c r="V183" s="2">
        <v>10669.4</v>
      </c>
      <c r="W183" s="5">
        <f t="shared" si="22"/>
        <v>0.26871830020562032</v>
      </c>
      <c r="Y183" s="2" t="s">
        <v>105</v>
      </c>
      <c r="Z183" s="2" t="s">
        <v>418</v>
      </c>
      <c r="AA183" s="2" t="s">
        <v>152</v>
      </c>
      <c r="AB183" s="2" t="s">
        <v>115</v>
      </c>
      <c r="AE183" s="2">
        <f t="shared" si="15"/>
        <v>0</v>
      </c>
      <c r="AF183" s="2">
        <v>10669.4</v>
      </c>
      <c r="AI183" s="2">
        <f t="shared" si="16"/>
        <v>0</v>
      </c>
      <c r="AJ183" s="2">
        <f t="shared" si="17"/>
        <v>3920.6000000000004</v>
      </c>
      <c r="AK183" s="5">
        <f t="shared" si="21"/>
        <v>0.26871830020562032</v>
      </c>
    </row>
    <row r="184" spans="1:37" x14ac:dyDescent="0.2">
      <c r="A184" s="2">
        <v>2025</v>
      </c>
      <c r="B184" s="2">
        <v>1</v>
      </c>
      <c r="C184" s="2" t="s">
        <v>419</v>
      </c>
      <c r="D184" s="2" t="s">
        <v>38</v>
      </c>
      <c r="E184" s="2" t="s">
        <v>39</v>
      </c>
      <c r="F184" s="2">
        <v>219908800</v>
      </c>
      <c r="G184" s="2" t="s">
        <v>41</v>
      </c>
      <c r="H184" s="2" t="s">
        <v>420</v>
      </c>
      <c r="I184" s="2" t="s">
        <v>421</v>
      </c>
      <c r="K184" s="2" t="s">
        <v>422</v>
      </c>
      <c r="L184" s="2" t="s">
        <v>41</v>
      </c>
      <c r="O184" s="2" t="s">
        <v>43</v>
      </c>
      <c r="P184" s="2" t="s">
        <v>55</v>
      </c>
      <c r="Q184" s="2" t="s">
        <v>56</v>
      </c>
      <c r="R184" s="2">
        <v>3</v>
      </c>
      <c r="S184" s="2">
        <v>54</v>
      </c>
      <c r="T184" s="2">
        <v>12.42</v>
      </c>
      <c r="U184" s="2">
        <v>66.42</v>
      </c>
      <c r="V184" s="2">
        <f>10.6*R184</f>
        <v>31.799999999999997</v>
      </c>
      <c r="W184" s="5">
        <f t="shared" si="22"/>
        <v>0.41111111111111115</v>
      </c>
      <c r="Y184" s="2" t="s">
        <v>3256</v>
      </c>
      <c r="Z184" s="2" t="s">
        <v>46</v>
      </c>
      <c r="AA184" s="2" t="s">
        <v>57</v>
      </c>
      <c r="AB184" s="2" t="s">
        <v>58</v>
      </c>
      <c r="AE184" s="2">
        <f t="shared" si="15"/>
        <v>0</v>
      </c>
      <c r="AF184" s="2">
        <v>10.6</v>
      </c>
      <c r="AG184" s="2">
        <v>18</v>
      </c>
      <c r="AI184" s="2">
        <f t="shared" si="16"/>
        <v>0</v>
      </c>
      <c r="AJ184" s="2">
        <f t="shared" si="17"/>
        <v>22.200000000000003</v>
      </c>
      <c r="AK184" s="5">
        <f t="shared" si="21"/>
        <v>0.41111111111111115</v>
      </c>
    </row>
    <row r="185" spans="1:37" x14ac:dyDescent="0.2">
      <c r="A185" s="2">
        <v>2025</v>
      </c>
      <c r="B185" s="2">
        <v>1</v>
      </c>
      <c r="C185" s="2" t="s">
        <v>419</v>
      </c>
      <c r="D185" s="2" t="s">
        <v>38</v>
      </c>
      <c r="E185" s="2" t="s">
        <v>39</v>
      </c>
      <c r="F185" s="2">
        <v>219908800</v>
      </c>
      <c r="G185" s="2" t="s">
        <v>41</v>
      </c>
      <c r="H185" s="2" t="s">
        <v>420</v>
      </c>
      <c r="I185" s="2" t="s">
        <v>421</v>
      </c>
      <c r="K185" s="2" t="s">
        <v>422</v>
      </c>
      <c r="L185" s="2" t="s">
        <v>41</v>
      </c>
      <c r="O185" s="2" t="s">
        <v>43</v>
      </c>
      <c r="P185" s="2" t="s">
        <v>62</v>
      </c>
      <c r="Q185" s="2" t="s">
        <v>63</v>
      </c>
      <c r="R185" s="2">
        <v>400</v>
      </c>
      <c r="S185" s="2">
        <v>52</v>
      </c>
      <c r="T185" s="2">
        <v>11.96</v>
      </c>
      <c r="U185" s="2">
        <v>63.96</v>
      </c>
      <c r="V185" s="2">
        <f>0.082*R185</f>
        <v>32.800000000000004</v>
      </c>
      <c r="W185" s="5">
        <f t="shared" si="22"/>
        <v>0.36923076923076914</v>
      </c>
      <c r="Y185" s="2" t="s">
        <v>3256</v>
      </c>
      <c r="Z185" s="2" t="s">
        <v>46</v>
      </c>
      <c r="AA185" s="2" t="s">
        <v>61</v>
      </c>
      <c r="AB185" s="2" t="s">
        <v>58</v>
      </c>
      <c r="AE185" s="2">
        <f t="shared" si="15"/>
        <v>0</v>
      </c>
      <c r="AF185" s="2">
        <v>8.1999999999999993</v>
      </c>
      <c r="AG185" s="2">
        <v>13</v>
      </c>
      <c r="AI185" s="2">
        <f t="shared" si="16"/>
        <v>0</v>
      </c>
      <c r="AJ185" s="2">
        <f t="shared" si="17"/>
        <v>19.199999999999996</v>
      </c>
      <c r="AK185" s="5">
        <f t="shared" si="21"/>
        <v>0.36923076923076914</v>
      </c>
    </row>
    <row r="186" spans="1:37" x14ac:dyDescent="0.2">
      <c r="A186" s="2">
        <v>2025</v>
      </c>
      <c r="B186" s="2">
        <v>1</v>
      </c>
      <c r="C186" s="2" t="s">
        <v>419</v>
      </c>
      <c r="D186" s="2" t="s">
        <v>38</v>
      </c>
      <c r="E186" s="2" t="s">
        <v>39</v>
      </c>
      <c r="F186" s="2">
        <v>219908800</v>
      </c>
      <c r="G186" s="2" t="s">
        <v>41</v>
      </c>
      <c r="H186" s="2" t="s">
        <v>420</v>
      </c>
      <c r="I186" s="2" t="s">
        <v>421</v>
      </c>
      <c r="K186" s="2" t="s">
        <v>422</v>
      </c>
      <c r="L186" s="2" t="s">
        <v>41</v>
      </c>
      <c r="N186" s="2" t="s">
        <v>423</v>
      </c>
      <c r="O186" s="2" t="s">
        <v>43</v>
      </c>
      <c r="P186" s="2" t="s">
        <v>424</v>
      </c>
      <c r="Q186" s="2" t="s">
        <v>425</v>
      </c>
      <c r="R186" s="2">
        <v>4</v>
      </c>
      <c r="S186" s="2">
        <v>26.4</v>
      </c>
      <c r="T186" s="2">
        <v>6.0720000000000001</v>
      </c>
      <c r="U186" s="2">
        <v>32.472000000000001</v>
      </c>
      <c r="V186" s="2">
        <f>3.7556*R186</f>
        <v>15.022399999999999</v>
      </c>
      <c r="W186" s="5">
        <f t="shared" si="22"/>
        <v>0.43096969696969695</v>
      </c>
      <c r="Y186" s="2" t="s">
        <v>3256</v>
      </c>
      <c r="Z186" s="2" t="s">
        <v>46</v>
      </c>
      <c r="AA186" s="2" t="s">
        <v>61</v>
      </c>
      <c r="AB186" s="2" t="s">
        <v>58</v>
      </c>
      <c r="AE186" s="2">
        <f t="shared" si="15"/>
        <v>0</v>
      </c>
      <c r="AF186" s="2">
        <v>3.7555999999999998</v>
      </c>
      <c r="AG186" s="2">
        <v>7.2</v>
      </c>
      <c r="AI186" s="2">
        <f t="shared" si="16"/>
        <v>0</v>
      </c>
      <c r="AJ186" s="2">
        <f t="shared" si="17"/>
        <v>11.377599999999999</v>
      </c>
      <c r="AK186" s="5">
        <f t="shared" si="21"/>
        <v>0.43096969696969695</v>
      </c>
    </row>
    <row r="187" spans="1:37" x14ac:dyDescent="0.2">
      <c r="A187" s="2">
        <v>2025</v>
      </c>
      <c r="B187" s="2">
        <v>1</v>
      </c>
      <c r="C187" s="2" t="s">
        <v>419</v>
      </c>
      <c r="D187" s="2" t="s">
        <v>38</v>
      </c>
      <c r="E187" s="2" t="s">
        <v>39</v>
      </c>
      <c r="F187" s="2">
        <v>219908800</v>
      </c>
      <c r="G187" s="2" t="s">
        <v>41</v>
      </c>
      <c r="H187" s="2" t="s">
        <v>420</v>
      </c>
      <c r="I187" s="2" t="s">
        <v>421</v>
      </c>
      <c r="K187" s="2" t="s">
        <v>422</v>
      </c>
      <c r="O187" s="2" t="s">
        <v>170</v>
      </c>
      <c r="P187" s="2" t="s">
        <v>171</v>
      </c>
      <c r="Q187" s="2" t="s">
        <v>171</v>
      </c>
      <c r="R187" s="2">
        <v>1</v>
      </c>
      <c r="S187" s="2">
        <v>4.5</v>
      </c>
      <c r="T187" s="2">
        <v>1.0349999999999999</v>
      </c>
      <c r="U187" s="2">
        <v>5.5350000000000001</v>
      </c>
      <c r="W187" s="5">
        <f t="shared" si="22"/>
        <v>1</v>
      </c>
      <c r="Y187" s="2" t="s">
        <v>170</v>
      </c>
      <c r="Z187" s="2" t="s">
        <v>170</v>
      </c>
      <c r="AE187" s="2">
        <f t="shared" si="15"/>
        <v>0</v>
      </c>
      <c r="AI187" s="2">
        <f t="shared" si="16"/>
        <v>0</v>
      </c>
      <c r="AJ187" s="2">
        <f t="shared" si="17"/>
        <v>4.5</v>
      </c>
      <c r="AK187" s="5">
        <f t="shared" si="21"/>
        <v>1</v>
      </c>
    </row>
    <row r="188" spans="1:37" x14ac:dyDescent="0.2">
      <c r="A188" s="2">
        <v>2025</v>
      </c>
      <c r="B188" s="2">
        <v>1</v>
      </c>
      <c r="C188" s="2" t="s">
        <v>426</v>
      </c>
      <c r="D188" s="2" t="s">
        <v>99</v>
      </c>
      <c r="E188" s="2" t="s">
        <v>39</v>
      </c>
      <c r="F188" s="2">
        <v>503523470</v>
      </c>
      <c r="G188" s="2" t="s">
        <v>40</v>
      </c>
      <c r="H188" s="2" t="s">
        <v>427</v>
      </c>
      <c r="I188" s="2" t="s">
        <v>428</v>
      </c>
      <c r="K188" s="2" t="s">
        <v>202</v>
      </c>
      <c r="L188" s="2" t="s">
        <v>81</v>
      </c>
      <c r="O188" s="2" t="s">
        <v>43</v>
      </c>
      <c r="P188" s="2" t="s">
        <v>55</v>
      </c>
      <c r="Q188" s="2" t="s">
        <v>56</v>
      </c>
      <c r="R188" s="2">
        <v>1</v>
      </c>
      <c r="S188" s="2">
        <v>18</v>
      </c>
      <c r="T188" s="2">
        <v>4.1400000000000006</v>
      </c>
      <c r="U188" s="2">
        <v>22.14</v>
      </c>
      <c r="V188" s="2">
        <f>10.6*R188</f>
        <v>10.6</v>
      </c>
      <c r="W188" s="5">
        <f t="shared" si="22"/>
        <v>0.41111111111111115</v>
      </c>
      <c r="Y188" s="2" t="s">
        <v>3256</v>
      </c>
      <c r="Z188" s="2" t="s">
        <v>46</v>
      </c>
      <c r="AA188" s="2" t="s">
        <v>57</v>
      </c>
      <c r="AB188" s="2" t="s">
        <v>58</v>
      </c>
      <c r="AE188" s="2">
        <f t="shared" si="15"/>
        <v>0</v>
      </c>
      <c r="AF188" s="2">
        <v>10.6</v>
      </c>
      <c r="AG188" s="2">
        <v>18</v>
      </c>
      <c r="AI188" s="2">
        <f t="shared" si="16"/>
        <v>0</v>
      </c>
      <c r="AJ188" s="2">
        <f t="shared" si="17"/>
        <v>7.4</v>
      </c>
      <c r="AK188" s="5">
        <f t="shared" si="21"/>
        <v>0.41111111111111115</v>
      </c>
    </row>
    <row r="189" spans="1:37" x14ac:dyDescent="0.2">
      <c r="A189" s="2">
        <v>2025</v>
      </c>
      <c r="B189" s="2">
        <v>1</v>
      </c>
      <c r="C189" s="2" t="s">
        <v>429</v>
      </c>
      <c r="D189" s="2" t="s">
        <v>99</v>
      </c>
      <c r="E189" s="2" t="s">
        <v>39</v>
      </c>
      <c r="F189" s="2">
        <v>510613888</v>
      </c>
      <c r="G189" s="2" t="s">
        <v>40</v>
      </c>
      <c r="H189" s="2" t="s">
        <v>430</v>
      </c>
      <c r="I189" s="2" t="s">
        <v>431</v>
      </c>
      <c r="K189" s="2" t="s">
        <v>100</v>
      </c>
      <c r="L189" s="2" t="s">
        <v>81</v>
      </c>
      <c r="O189" s="2" t="s">
        <v>43</v>
      </c>
      <c r="P189" s="2" t="s">
        <v>62</v>
      </c>
      <c r="Q189" s="2" t="s">
        <v>63</v>
      </c>
      <c r="R189" s="2">
        <v>100</v>
      </c>
      <c r="S189" s="2">
        <v>13</v>
      </c>
      <c r="T189" s="2">
        <v>2.99</v>
      </c>
      <c r="U189" s="2">
        <v>15.99</v>
      </c>
      <c r="V189" s="2">
        <f>0.082*R189</f>
        <v>8.2000000000000011</v>
      </c>
      <c r="W189" s="5">
        <f t="shared" si="22"/>
        <v>0.36923076923076914</v>
      </c>
      <c r="Y189" s="2" t="s">
        <v>3256</v>
      </c>
      <c r="Z189" s="2" t="s">
        <v>46</v>
      </c>
      <c r="AA189" s="2" t="s">
        <v>61</v>
      </c>
      <c r="AB189" s="2" t="s">
        <v>58</v>
      </c>
      <c r="AE189" s="2">
        <f t="shared" si="15"/>
        <v>0</v>
      </c>
      <c r="AF189" s="2">
        <v>8.1999999999999993</v>
      </c>
      <c r="AG189" s="2">
        <v>13</v>
      </c>
      <c r="AI189" s="2">
        <f t="shared" si="16"/>
        <v>0</v>
      </c>
      <c r="AJ189" s="2">
        <f t="shared" si="17"/>
        <v>4.7999999999999989</v>
      </c>
      <c r="AK189" s="5">
        <f t="shared" ref="AK189:AK220" si="23">(S189-V189)/S189</f>
        <v>0.36923076923076914</v>
      </c>
    </row>
    <row r="190" spans="1:37" x14ac:dyDescent="0.2">
      <c r="A190" s="2">
        <v>2025</v>
      </c>
      <c r="B190" s="2">
        <v>1</v>
      </c>
      <c r="C190" s="2" t="s">
        <v>432</v>
      </c>
      <c r="D190" s="2" t="s">
        <v>38</v>
      </c>
      <c r="F190" s="2">
        <v>500820384</v>
      </c>
      <c r="G190" s="2" t="s">
        <v>40</v>
      </c>
      <c r="H190" s="2" t="s">
        <v>433</v>
      </c>
      <c r="I190" s="2" t="s">
        <v>434</v>
      </c>
      <c r="K190" s="2" t="s">
        <v>100</v>
      </c>
      <c r="L190" s="2" t="s">
        <v>81</v>
      </c>
      <c r="N190" s="2" t="s">
        <v>435</v>
      </c>
      <c r="O190" s="2" t="s">
        <v>73</v>
      </c>
      <c r="P190" s="2" t="s">
        <v>436</v>
      </c>
      <c r="Q190" s="2" t="s">
        <v>332</v>
      </c>
      <c r="R190" s="2">
        <v>1</v>
      </c>
      <c r="S190" s="2">
        <v>191.09</v>
      </c>
      <c r="T190" s="2">
        <v>43.950699999999998</v>
      </c>
      <c r="U190" s="2">
        <v>235.04069999999999</v>
      </c>
      <c r="V190" s="2">
        <v>108.075</v>
      </c>
      <c r="W190" s="5">
        <f t="shared" si="22"/>
        <v>0.43442880318174681</v>
      </c>
      <c r="Y190" s="2" t="s">
        <v>3256</v>
      </c>
      <c r="Z190" s="2" t="s">
        <v>76</v>
      </c>
      <c r="AA190" s="2" t="s">
        <v>77</v>
      </c>
      <c r="AB190" s="2" t="s">
        <v>78</v>
      </c>
      <c r="AE190" s="2">
        <f t="shared" si="15"/>
        <v>0</v>
      </c>
      <c r="AF190" s="2">
        <f>101.305+6.77</f>
        <v>108.075</v>
      </c>
      <c r="AG190" s="2">
        <v>210</v>
      </c>
      <c r="AI190" s="2">
        <f t="shared" si="16"/>
        <v>0</v>
      </c>
      <c r="AJ190" s="2">
        <f t="shared" si="17"/>
        <v>83.015000000000001</v>
      </c>
      <c r="AK190" s="5">
        <f t="shared" si="23"/>
        <v>0.43442880318174681</v>
      </c>
    </row>
    <row r="191" spans="1:37" x14ac:dyDescent="0.2">
      <c r="A191" s="2">
        <v>2025</v>
      </c>
      <c r="B191" s="2">
        <v>1</v>
      </c>
      <c r="C191" s="2" t="s">
        <v>432</v>
      </c>
      <c r="D191" s="2" t="s">
        <v>38</v>
      </c>
      <c r="F191" s="2">
        <v>500820384</v>
      </c>
      <c r="G191" s="2" t="s">
        <v>40</v>
      </c>
      <c r="H191" s="2" t="s">
        <v>433</v>
      </c>
      <c r="I191" s="2" t="s">
        <v>434</v>
      </c>
      <c r="K191" s="2" t="s">
        <v>100</v>
      </c>
      <c r="L191" s="2" t="s">
        <v>81</v>
      </c>
      <c r="N191" s="2" t="s">
        <v>435</v>
      </c>
      <c r="O191" s="2" t="s">
        <v>94</v>
      </c>
      <c r="P191" s="2" t="s">
        <v>95</v>
      </c>
      <c r="Q191" s="2" t="s">
        <v>96</v>
      </c>
      <c r="R191" s="2">
        <v>1</v>
      </c>
      <c r="S191" s="2">
        <v>1.1399999999999999</v>
      </c>
      <c r="T191" s="2">
        <v>0.26219999999999999</v>
      </c>
      <c r="U191" s="2">
        <v>1.4021999999999999</v>
      </c>
      <c r="V191" s="2">
        <v>1.1399999999999999</v>
      </c>
      <c r="W191" s="5">
        <f t="shared" si="22"/>
        <v>0</v>
      </c>
      <c r="Y191" s="2" t="s">
        <v>3256</v>
      </c>
      <c r="Z191" s="2" t="s">
        <v>97</v>
      </c>
      <c r="AA191" s="2" t="s">
        <v>77</v>
      </c>
      <c r="AB191" s="2" t="s">
        <v>94</v>
      </c>
      <c r="AE191" s="2">
        <f t="shared" si="15"/>
        <v>0</v>
      </c>
      <c r="AI191" s="2">
        <f t="shared" si="16"/>
        <v>0</v>
      </c>
      <c r="AJ191" s="2">
        <f t="shared" si="17"/>
        <v>0</v>
      </c>
      <c r="AK191" s="5">
        <f t="shared" si="23"/>
        <v>0</v>
      </c>
    </row>
    <row r="192" spans="1:37" x14ac:dyDescent="0.2">
      <c r="A192" s="2">
        <v>2025</v>
      </c>
      <c r="B192" s="2">
        <v>1</v>
      </c>
      <c r="C192" s="2" t="s">
        <v>437</v>
      </c>
      <c r="O192" s="2" t="s">
        <v>283</v>
      </c>
      <c r="P192" s="2" t="s">
        <v>438</v>
      </c>
      <c r="Q192" s="2" t="s">
        <v>439</v>
      </c>
      <c r="R192" s="2">
        <v>1</v>
      </c>
      <c r="S192" s="2">
        <v>595</v>
      </c>
      <c r="T192" s="2">
        <v>136.85</v>
      </c>
      <c r="U192" s="2">
        <v>731.85</v>
      </c>
      <c r="W192" s="5">
        <f t="shared" si="22"/>
        <v>1</v>
      </c>
      <c r="Y192" s="2" t="s">
        <v>105</v>
      </c>
      <c r="AE192" s="2">
        <f t="shared" si="15"/>
        <v>0</v>
      </c>
      <c r="AI192" s="2">
        <f t="shared" si="16"/>
        <v>0</v>
      </c>
      <c r="AJ192" s="2">
        <f t="shared" si="17"/>
        <v>595</v>
      </c>
      <c r="AK192" s="5">
        <f t="shared" si="23"/>
        <v>1</v>
      </c>
    </row>
    <row r="193" spans="1:37" x14ac:dyDescent="0.2">
      <c r="A193" s="2">
        <v>2025</v>
      </c>
      <c r="B193" s="2">
        <v>1</v>
      </c>
      <c r="C193" s="2" t="s">
        <v>440</v>
      </c>
      <c r="D193" s="2" t="s">
        <v>109</v>
      </c>
      <c r="E193" s="2" t="s">
        <v>378</v>
      </c>
      <c r="F193" s="2">
        <v>509350631</v>
      </c>
      <c r="G193" s="2" t="s">
        <v>291</v>
      </c>
      <c r="H193" s="2" t="s">
        <v>441</v>
      </c>
      <c r="I193" s="2" t="s">
        <v>442</v>
      </c>
      <c r="K193" s="2" t="s">
        <v>340</v>
      </c>
      <c r="L193" s="2" t="s">
        <v>81</v>
      </c>
      <c r="O193" s="2" t="s">
        <v>73</v>
      </c>
      <c r="P193" s="2" t="s">
        <v>74</v>
      </c>
      <c r="Q193" s="2" t="s">
        <v>75</v>
      </c>
      <c r="R193" s="2">
        <v>4</v>
      </c>
      <c r="S193" s="2">
        <v>754.4</v>
      </c>
      <c r="T193" s="2">
        <v>173.512</v>
      </c>
      <c r="U193" s="2">
        <v>927.91200000000003</v>
      </c>
      <c r="V193" s="2">
        <v>469.81200000000001</v>
      </c>
      <c r="W193" s="5">
        <f t="shared" si="22"/>
        <v>0.37723753976670199</v>
      </c>
      <c r="Y193" s="2" t="s">
        <v>3256</v>
      </c>
      <c r="Z193" s="2" t="s">
        <v>76</v>
      </c>
      <c r="AA193" s="2" t="s">
        <v>77</v>
      </c>
      <c r="AB193" s="2" t="s">
        <v>78</v>
      </c>
      <c r="AE193" s="2">
        <f t="shared" si="15"/>
        <v>0</v>
      </c>
      <c r="AF193" s="2">
        <v>117.453</v>
      </c>
      <c r="AG193" s="2">
        <v>220</v>
      </c>
      <c r="AI193" s="2">
        <f t="shared" si="16"/>
        <v>0</v>
      </c>
      <c r="AJ193" s="2">
        <f t="shared" si="17"/>
        <v>284.58799999999997</v>
      </c>
      <c r="AK193" s="5">
        <f t="shared" si="23"/>
        <v>0.37723753976670199</v>
      </c>
    </row>
    <row r="194" spans="1:37" x14ac:dyDescent="0.2">
      <c r="A194" s="2">
        <v>2025</v>
      </c>
      <c r="B194" s="2">
        <v>1</v>
      </c>
      <c r="C194" s="2" t="s">
        <v>440</v>
      </c>
      <c r="D194" s="2" t="s">
        <v>109</v>
      </c>
      <c r="E194" s="2" t="s">
        <v>378</v>
      </c>
      <c r="F194" s="2">
        <v>509350631</v>
      </c>
      <c r="G194" s="2" t="s">
        <v>291</v>
      </c>
      <c r="H194" s="2" t="s">
        <v>441</v>
      </c>
      <c r="I194" s="2" t="s">
        <v>442</v>
      </c>
      <c r="K194" s="2" t="s">
        <v>340</v>
      </c>
      <c r="L194" s="2" t="s">
        <v>81</v>
      </c>
      <c r="O194" s="2" t="s">
        <v>94</v>
      </c>
      <c r="P194" s="2" t="s">
        <v>95</v>
      </c>
      <c r="Q194" s="2" t="s">
        <v>96</v>
      </c>
      <c r="R194" s="2">
        <v>4</v>
      </c>
      <c r="S194" s="2">
        <v>4.5599999999999996</v>
      </c>
      <c r="T194" s="2">
        <v>1.0488</v>
      </c>
      <c r="U194" s="2">
        <v>5.6087999999999996</v>
      </c>
      <c r="V194" s="2">
        <v>4.5599999999999996</v>
      </c>
      <c r="W194" s="5">
        <f t="shared" si="22"/>
        <v>0</v>
      </c>
      <c r="Y194" s="2" t="s">
        <v>3256</v>
      </c>
      <c r="Z194" s="2" t="s">
        <v>97</v>
      </c>
      <c r="AA194" s="2" t="s">
        <v>77</v>
      </c>
      <c r="AB194" s="2" t="s">
        <v>94</v>
      </c>
      <c r="AE194" s="2">
        <f t="shared" ref="AE194:AE257" si="24">AI194</f>
        <v>0</v>
      </c>
      <c r="AF194" s="2">
        <v>1.1399999999999999</v>
      </c>
      <c r="AG194" s="2">
        <v>1.1399999999999999</v>
      </c>
      <c r="AI194" s="2">
        <f t="shared" ref="AI194:AI257" si="25">AH194*S194</f>
        <v>0</v>
      </c>
      <c r="AJ194" s="2">
        <f t="shared" ref="AJ194:AJ257" si="26">S194-V194</f>
        <v>0</v>
      </c>
      <c r="AK194" s="5">
        <f t="shared" si="23"/>
        <v>0</v>
      </c>
    </row>
    <row r="195" spans="1:37" x14ac:dyDescent="0.2">
      <c r="A195" s="2">
        <v>2025</v>
      </c>
      <c r="B195" s="2">
        <v>1</v>
      </c>
      <c r="C195" s="2" t="s">
        <v>443</v>
      </c>
      <c r="D195" s="2" t="s">
        <v>38</v>
      </c>
      <c r="E195" s="2" t="s">
        <v>39</v>
      </c>
      <c r="F195" s="2">
        <v>205800831</v>
      </c>
      <c r="G195" s="2" t="s">
        <v>41</v>
      </c>
      <c r="H195" s="2" t="s">
        <v>178</v>
      </c>
      <c r="I195" s="2" t="s">
        <v>3205</v>
      </c>
      <c r="J195" s="2">
        <v>911577458</v>
      </c>
      <c r="K195" s="2" t="s">
        <v>178</v>
      </c>
      <c r="L195" s="2" t="s">
        <v>41</v>
      </c>
      <c r="N195" s="2" t="s">
        <v>3206</v>
      </c>
      <c r="O195" s="2" t="s">
        <v>43</v>
      </c>
      <c r="P195" s="2" t="s">
        <v>161</v>
      </c>
      <c r="Q195" s="2" t="s">
        <v>162</v>
      </c>
      <c r="R195" s="2">
        <v>1</v>
      </c>
      <c r="S195" s="2">
        <v>7.8</v>
      </c>
      <c r="T195" s="2">
        <v>1.794</v>
      </c>
      <c r="U195" s="2">
        <v>9.5939999999999994</v>
      </c>
      <c r="V195" s="2">
        <f>3.7358*R195</f>
        <v>3.7357999999999998</v>
      </c>
      <c r="W195" s="5">
        <f t="shared" si="22"/>
        <v>0.52105128205128204</v>
      </c>
      <c r="Y195" s="2" t="s">
        <v>3256</v>
      </c>
      <c r="Z195" s="2" t="s">
        <v>46</v>
      </c>
      <c r="AA195" s="2" t="s">
        <v>47</v>
      </c>
      <c r="AB195" s="2" t="s">
        <v>48</v>
      </c>
      <c r="AE195" s="2">
        <f t="shared" si="24"/>
        <v>0</v>
      </c>
      <c r="AF195" s="2">
        <v>3.7357999999999998</v>
      </c>
      <c r="AG195" s="2">
        <v>9</v>
      </c>
      <c r="AI195" s="2">
        <f t="shared" si="25"/>
        <v>0</v>
      </c>
      <c r="AJ195" s="2">
        <f t="shared" si="26"/>
        <v>4.0641999999999996</v>
      </c>
      <c r="AK195" s="5">
        <f t="shared" si="23"/>
        <v>0.52105128205128204</v>
      </c>
    </row>
    <row r="196" spans="1:37" x14ac:dyDescent="0.2">
      <c r="A196" s="2">
        <v>2025</v>
      </c>
      <c r="B196" s="2">
        <v>1</v>
      </c>
      <c r="C196" s="2" t="s">
        <v>443</v>
      </c>
      <c r="D196" s="2" t="s">
        <v>38</v>
      </c>
      <c r="E196" s="2" t="s">
        <v>39</v>
      </c>
      <c r="F196" s="2">
        <v>205800831</v>
      </c>
      <c r="G196" s="2" t="s">
        <v>41</v>
      </c>
      <c r="H196" s="2" t="s">
        <v>178</v>
      </c>
      <c r="I196" s="2" t="s">
        <v>3205</v>
      </c>
      <c r="J196" s="2">
        <v>911577458</v>
      </c>
      <c r="K196" s="2" t="s">
        <v>178</v>
      </c>
      <c r="L196" s="2" t="s">
        <v>41</v>
      </c>
      <c r="N196" s="2" t="s">
        <v>3206</v>
      </c>
      <c r="O196" s="2" t="s">
        <v>43</v>
      </c>
      <c r="P196" s="2" t="s">
        <v>64</v>
      </c>
      <c r="Q196" s="2" t="s">
        <v>65</v>
      </c>
      <c r="R196" s="2">
        <v>8</v>
      </c>
      <c r="S196" s="2">
        <v>14.4</v>
      </c>
      <c r="T196" s="2">
        <v>3.3119999999999998</v>
      </c>
      <c r="U196" s="2">
        <v>17.712</v>
      </c>
      <c r="V196" s="2">
        <f>0.8561*R196</f>
        <v>6.8487999999999998</v>
      </c>
      <c r="W196" s="5">
        <f t="shared" si="22"/>
        <v>0.5243888888888889</v>
      </c>
      <c r="Y196" s="2" t="s">
        <v>3256</v>
      </c>
      <c r="Z196" s="2" t="s">
        <v>46</v>
      </c>
      <c r="AA196" s="2" t="s">
        <v>61</v>
      </c>
      <c r="AB196" s="2" t="s">
        <v>58</v>
      </c>
      <c r="AE196" s="2">
        <f t="shared" si="24"/>
        <v>0</v>
      </c>
      <c r="AF196" s="2">
        <v>0.85609999999999997</v>
      </c>
      <c r="AG196" s="2">
        <v>1.8</v>
      </c>
      <c r="AI196" s="2">
        <f t="shared" si="25"/>
        <v>0</v>
      </c>
      <c r="AJ196" s="2">
        <f t="shared" si="26"/>
        <v>7.5512000000000006</v>
      </c>
      <c r="AK196" s="5">
        <f t="shared" si="23"/>
        <v>0.5243888888888889</v>
      </c>
    </row>
    <row r="197" spans="1:37" x14ac:dyDescent="0.2">
      <c r="A197" s="2">
        <v>2025</v>
      </c>
      <c r="B197" s="2">
        <v>1</v>
      </c>
      <c r="C197" s="2" t="s">
        <v>444</v>
      </c>
      <c r="D197" s="2" t="s">
        <v>38</v>
      </c>
      <c r="E197" s="2" t="s">
        <v>39</v>
      </c>
      <c r="F197" s="2">
        <v>505173174</v>
      </c>
      <c r="G197" s="2" t="s">
        <v>110</v>
      </c>
      <c r="H197" s="2" t="s">
        <v>134</v>
      </c>
      <c r="I197" s="2" t="s">
        <v>3210</v>
      </c>
      <c r="K197" s="2" t="s">
        <v>134</v>
      </c>
      <c r="L197" s="2" t="s">
        <v>40</v>
      </c>
      <c r="N197" s="2" t="s">
        <v>3211</v>
      </c>
      <c r="O197" s="2" t="s">
        <v>115</v>
      </c>
      <c r="P197" s="2" t="s">
        <v>445</v>
      </c>
      <c r="Q197" s="2" t="s">
        <v>446</v>
      </c>
      <c r="R197" s="2">
        <v>1</v>
      </c>
      <c r="S197" s="2">
        <v>37.270000000000003</v>
      </c>
      <c r="T197" s="2">
        <v>8.5721000000000007</v>
      </c>
      <c r="U197" s="2">
        <v>45.842100000000002</v>
      </c>
      <c r="V197" s="2">
        <f>16.2825</f>
        <v>16.282499999999999</v>
      </c>
      <c r="W197" s="5">
        <f t="shared" si="22"/>
        <v>0.56312047222967543</v>
      </c>
      <c r="Y197" s="2" t="s">
        <v>118</v>
      </c>
      <c r="Z197" s="2" t="s">
        <v>119</v>
      </c>
      <c r="AA197" s="2" t="s">
        <v>120</v>
      </c>
      <c r="AB197" s="2" t="s">
        <v>115</v>
      </c>
      <c r="AE197" s="2">
        <f t="shared" si="24"/>
        <v>0</v>
      </c>
      <c r="AF197" s="2">
        <v>16.282499999999999</v>
      </c>
      <c r="AI197" s="2">
        <f t="shared" si="25"/>
        <v>0</v>
      </c>
      <c r="AJ197" s="2">
        <f t="shared" si="26"/>
        <v>20.987500000000004</v>
      </c>
      <c r="AK197" s="5">
        <f t="shared" si="23"/>
        <v>0.56312047222967543</v>
      </c>
    </row>
    <row r="198" spans="1:37" x14ac:dyDescent="0.2">
      <c r="A198" s="2">
        <v>2025</v>
      </c>
      <c r="B198" s="2">
        <v>1</v>
      </c>
      <c r="C198" s="2" t="s">
        <v>447</v>
      </c>
      <c r="D198" s="2" t="s">
        <v>38</v>
      </c>
      <c r="E198" s="2" t="s">
        <v>39</v>
      </c>
      <c r="F198" s="2">
        <v>503734616</v>
      </c>
      <c r="G198" s="2" t="s">
        <v>291</v>
      </c>
      <c r="H198" s="2" t="s">
        <v>448</v>
      </c>
      <c r="I198" s="2" t="s">
        <v>449</v>
      </c>
      <c r="J198" s="2">
        <v>966019450</v>
      </c>
      <c r="K198" s="2" t="s">
        <v>450</v>
      </c>
      <c r="L198" s="2" t="s">
        <v>40</v>
      </c>
      <c r="O198" s="2" t="s">
        <v>115</v>
      </c>
      <c r="P198" s="2" t="s">
        <v>451</v>
      </c>
      <c r="Q198" s="2" t="s">
        <v>452</v>
      </c>
      <c r="R198" s="2">
        <v>1</v>
      </c>
      <c r="S198" s="2">
        <v>110.23</v>
      </c>
      <c r="T198" s="2">
        <v>25.352900000000002</v>
      </c>
      <c r="U198" s="2">
        <v>135.5829</v>
      </c>
      <c r="V198" s="2">
        <v>52.49</v>
      </c>
      <c r="W198" s="5">
        <f t="shared" si="22"/>
        <v>0.52381384378118478</v>
      </c>
      <c r="Y198" s="2" t="s">
        <v>118</v>
      </c>
      <c r="Z198" s="2" t="s">
        <v>119</v>
      </c>
      <c r="AA198" s="2" t="s">
        <v>120</v>
      </c>
      <c r="AB198" s="2" t="s">
        <v>115</v>
      </c>
      <c r="AE198" s="2">
        <f t="shared" si="24"/>
        <v>0</v>
      </c>
      <c r="AF198" s="2">
        <v>52.49</v>
      </c>
      <c r="AI198" s="2">
        <f t="shared" si="25"/>
        <v>0</v>
      </c>
      <c r="AJ198" s="2">
        <f t="shared" si="26"/>
        <v>57.74</v>
      </c>
      <c r="AK198" s="5">
        <f t="shared" si="23"/>
        <v>0.52381384378118478</v>
      </c>
    </row>
    <row r="199" spans="1:37" x14ac:dyDescent="0.2">
      <c r="A199" s="2">
        <v>2025</v>
      </c>
      <c r="B199" s="2">
        <v>1</v>
      </c>
      <c r="C199" s="2" t="s">
        <v>447</v>
      </c>
      <c r="D199" s="2" t="s">
        <v>38</v>
      </c>
      <c r="E199" s="2" t="s">
        <v>39</v>
      </c>
      <c r="F199" s="2">
        <v>503734616</v>
      </c>
      <c r="G199" s="2" t="s">
        <v>291</v>
      </c>
      <c r="H199" s="2" t="s">
        <v>448</v>
      </c>
      <c r="I199" s="2" t="s">
        <v>449</v>
      </c>
      <c r="J199" s="2">
        <v>966019450</v>
      </c>
      <c r="K199" s="2" t="s">
        <v>450</v>
      </c>
      <c r="L199" s="2" t="s">
        <v>40</v>
      </c>
      <c r="O199" s="2" t="s">
        <v>115</v>
      </c>
      <c r="P199" s="2" t="s">
        <v>453</v>
      </c>
      <c r="Q199" s="2" t="s">
        <v>454</v>
      </c>
      <c r="R199" s="2">
        <v>1</v>
      </c>
      <c r="S199" s="2">
        <v>741.97</v>
      </c>
      <c r="T199" s="2">
        <v>170.65309999999999</v>
      </c>
      <c r="U199" s="2">
        <v>912.62310000000002</v>
      </c>
      <c r="V199" s="2">
        <v>248.5</v>
      </c>
      <c r="W199" s="5">
        <f t="shared" si="22"/>
        <v>0.66508079841503032</v>
      </c>
      <c r="Y199" s="2" t="s">
        <v>118</v>
      </c>
      <c r="Z199" s="2" t="s">
        <v>119</v>
      </c>
      <c r="AA199" s="2" t="s">
        <v>120</v>
      </c>
      <c r="AB199" s="2" t="s">
        <v>115</v>
      </c>
      <c r="AE199" s="2">
        <f t="shared" si="24"/>
        <v>0</v>
      </c>
      <c r="AF199" s="2">
        <v>248.5</v>
      </c>
      <c r="AI199" s="2">
        <f t="shared" si="25"/>
        <v>0</v>
      </c>
      <c r="AJ199" s="2">
        <f t="shared" si="26"/>
        <v>493.47</v>
      </c>
      <c r="AK199" s="5">
        <f t="shared" si="23"/>
        <v>0.66508079841503032</v>
      </c>
    </row>
    <row r="200" spans="1:37" x14ac:dyDescent="0.2">
      <c r="A200" s="2">
        <v>2025</v>
      </c>
      <c r="B200" s="2">
        <v>1</v>
      </c>
      <c r="C200" s="2" t="s">
        <v>447</v>
      </c>
      <c r="D200" s="2" t="s">
        <v>38</v>
      </c>
      <c r="E200" s="2" t="s">
        <v>39</v>
      </c>
      <c r="F200" s="2">
        <v>503734616</v>
      </c>
      <c r="G200" s="2" t="s">
        <v>291</v>
      </c>
      <c r="H200" s="2" t="s">
        <v>448</v>
      </c>
      <c r="I200" s="2" t="s">
        <v>449</v>
      </c>
      <c r="J200" s="2">
        <v>966019450</v>
      </c>
      <c r="K200" s="2" t="s">
        <v>450</v>
      </c>
      <c r="L200" s="2" t="s">
        <v>40</v>
      </c>
      <c r="O200" s="2" t="s">
        <v>188</v>
      </c>
      <c r="P200" s="2" t="s">
        <v>189</v>
      </c>
      <c r="Q200" s="2" t="s">
        <v>190</v>
      </c>
      <c r="R200" s="2">
        <v>1</v>
      </c>
      <c r="S200" s="2">
        <v>172</v>
      </c>
      <c r="T200" s="2">
        <v>39.56</v>
      </c>
      <c r="U200" s="2">
        <v>211.56</v>
      </c>
      <c r="W200" s="5">
        <f t="shared" si="22"/>
        <v>1</v>
      </c>
      <c r="Y200" s="2" t="s">
        <v>118</v>
      </c>
      <c r="Z200" s="2" t="s">
        <v>191</v>
      </c>
      <c r="AE200" s="2">
        <f t="shared" si="24"/>
        <v>0</v>
      </c>
      <c r="AI200" s="2">
        <f t="shared" si="25"/>
        <v>0</v>
      </c>
      <c r="AJ200" s="2">
        <f t="shared" si="26"/>
        <v>172</v>
      </c>
      <c r="AK200" s="5">
        <f t="shared" si="23"/>
        <v>1</v>
      </c>
    </row>
    <row r="201" spans="1:37" x14ac:dyDescent="0.2">
      <c r="A201" s="2">
        <v>2025</v>
      </c>
      <c r="B201" s="2">
        <v>1</v>
      </c>
      <c r="C201" s="2" t="s">
        <v>447</v>
      </c>
      <c r="D201" s="2" t="s">
        <v>38</v>
      </c>
      <c r="E201" s="2" t="s">
        <v>39</v>
      </c>
      <c r="F201" s="2">
        <v>503734616</v>
      </c>
      <c r="G201" s="2" t="s">
        <v>291</v>
      </c>
      <c r="H201" s="2" t="s">
        <v>448</v>
      </c>
      <c r="I201" s="2" t="s">
        <v>449</v>
      </c>
      <c r="J201" s="2">
        <v>966019450</v>
      </c>
      <c r="K201" s="2" t="s">
        <v>450</v>
      </c>
      <c r="L201" s="2" t="s">
        <v>40</v>
      </c>
      <c r="O201" s="2" t="s">
        <v>188</v>
      </c>
      <c r="P201" s="2" t="s">
        <v>192</v>
      </c>
      <c r="Q201" s="2" t="s">
        <v>191</v>
      </c>
      <c r="R201" s="2">
        <v>3</v>
      </c>
      <c r="S201" s="2">
        <v>150</v>
      </c>
      <c r="T201" s="2">
        <v>34.5</v>
      </c>
      <c r="U201" s="2">
        <v>184.5</v>
      </c>
      <c r="V201" s="2">
        <f>S201*50%</f>
        <v>75</v>
      </c>
      <c r="W201" s="5">
        <f t="shared" si="22"/>
        <v>0.5</v>
      </c>
      <c r="Y201" s="2" t="s">
        <v>118</v>
      </c>
      <c r="Z201" s="2" t="s">
        <v>191</v>
      </c>
      <c r="AE201" s="2">
        <f t="shared" si="24"/>
        <v>0</v>
      </c>
      <c r="AI201" s="2">
        <f t="shared" si="25"/>
        <v>0</v>
      </c>
      <c r="AJ201" s="2">
        <f t="shared" si="26"/>
        <v>75</v>
      </c>
      <c r="AK201" s="5">
        <f t="shared" si="23"/>
        <v>0.5</v>
      </c>
    </row>
    <row r="202" spans="1:37" x14ac:dyDescent="0.2">
      <c r="A202" s="2">
        <v>2025</v>
      </c>
      <c r="B202" s="2">
        <v>1</v>
      </c>
      <c r="C202" s="2" t="s">
        <v>455</v>
      </c>
      <c r="D202" s="2" t="s">
        <v>109</v>
      </c>
      <c r="E202" s="2" t="s">
        <v>39</v>
      </c>
      <c r="F202" s="2">
        <v>506085686</v>
      </c>
      <c r="G202" s="2" t="s">
        <v>40</v>
      </c>
      <c r="H202" s="2" t="s">
        <v>456</v>
      </c>
      <c r="I202" s="2" t="s">
        <v>457</v>
      </c>
      <c r="J202" s="2">
        <v>917241919</v>
      </c>
      <c r="K202" s="2" t="s">
        <v>400</v>
      </c>
      <c r="L202" s="2" t="s">
        <v>81</v>
      </c>
      <c r="O202" s="2" t="s">
        <v>73</v>
      </c>
      <c r="P202" s="2" t="s">
        <v>326</v>
      </c>
      <c r="Q202" s="2" t="s">
        <v>80</v>
      </c>
      <c r="R202" s="2">
        <v>1</v>
      </c>
      <c r="S202" s="2">
        <v>184</v>
      </c>
      <c r="T202" s="2">
        <v>42.32</v>
      </c>
      <c r="U202" s="2">
        <v>226.32</v>
      </c>
      <c r="V202" s="2">
        <f>110.68*R202</f>
        <v>110.68</v>
      </c>
      <c r="W202" s="5">
        <f t="shared" si="22"/>
        <v>0.39847826086956517</v>
      </c>
      <c r="Y202" s="2" t="s">
        <v>3256</v>
      </c>
      <c r="Z202" s="2" t="s">
        <v>76</v>
      </c>
      <c r="AA202" s="2" t="s">
        <v>77</v>
      </c>
      <c r="AB202" s="2" t="s">
        <v>78</v>
      </c>
      <c r="AE202" s="2">
        <f t="shared" si="24"/>
        <v>0</v>
      </c>
      <c r="AF202" s="2">
        <v>110.68</v>
      </c>
      <c r="AG202" s="2">
        <v>210</v>
      </c>
      <c r="AI202" s="2">
        <f t="shared" si="25"/>
        <v>0</v>
      </c>
      <c r="AJ202" s="2">
        <f t="shared" si="26"/>
        <v>73.319999999999993</v>
      </c>
      <c r="AK202" s="5">
        <f t="shared" si="23"/>
        <v>0.39847826086956517</v>
      </c>
    </row>
    <row r="203" spans="1:37" x14ac:dyDescent="0.2">
      <c r="A203" s="2">
        <v>2025</v>
      </c>
      <c r="B203" s="2">
        <v>1</v>
      </c>
      <c r="C203" s="2" t="s">
        <v>455</v>
      </c>
      <c r="D203" s="2" t="s">
        <v>109</v>
      </c>
      <c r="E203" s="2" t="s">
        <v>39</v>
      </c>
      <c r="F203" s="2">
        <v>506085686</v>
      </c>
      <c r="G203" s="2" t="s">
        <v>40</v>
      </c>
      <c r="H203" s="2" t="s">
        <v>456</v>
      </c>
      <c r="I203" s="2" t="s">
        <v>457</v>
      </c>
      <c r="J203" s="2">
        <v>917241919</v>
      </c>
      <c r="K203" s="2" t="s">
        <v>400</v>
      </c>
      <c r="L203" s="2" t="s">
        <v>81</v>
      </c>
      <c r="O203" s="2" t="s">
        <v>94</v>
      </c>
      <c r="P203" s="2" t="s">
        <v>95</v>
      </c>
      <c r="Q203" s="2" t="s">
        <v>96</v>
      </c>
      <c r="R203" s="2">
        <v>1</v>
      </c>
      <c r="S203" s="2">
        <v>1.1399999999999999</v>
      </c>
      <c r="T203" s="2">
        <v>0.26219999999999999</v>
      </c>
      <c r="U203" s="2">
        <v>1.4021999999999999</v>
      </c>
      <c r="V203" s="2">
        <v>1.1399999999999999</v>
      </c>
      <c r="W203" s="5">
        <f t="shared" si="22"/>
        <v>0</v>
      </c>
      <c r="Y203" s="2" t="s">
        <v>3256</v>
      </c>
      <c r="Z203" s="2" t="s">
        <v>97</v>
      </c>
      <c r="AA203" s="2" t="s">
        <v>77</v>
      </c>
      <c r="AB203" s="2" t="s">
        <v>94</v>
      </c>
      <c r="AE203" s="2">
        <f t="shared" si="24"/>
        <v>0</v>
      </c>
      <c r="AI203" s="2">
        <f t="shared" si="25"/>
        <v>0</v>
      </c>
      <c r="AJ203" s="2">
        <f t="shared" si="26"/>
        <v>0</v>
      </c>
      <c r="AK203" s="5">
        <f t="shared" si="23"/>
        <v>0</v>
      </c>
    </row>
    <row r="204" spans="1:37" x14ac:dyDescent="0.2">
      <c r="A204" s="2">
        <v>2025</v>
      </c>
      <c r="B204" s="2">
        <v>1</v>
      </c>
      <c r="C204" s="2" t="s">
        <v>458</v>
      </c>
      <c r="D204" s="2" t="s">
        <v>38</v>
      </c>
      <c r="E204" s="2" t="s">
        <v>39</v>
      </c>
      <c r="F204" s="2">
        <v>515440620</v>
      </c>
      <c r="G204" s="2" t="s">
        <v>41</v>
      </c>
      <c r="H204" s="2" t="s">
        <v>459</v>
      </c>
      <c r="I204" s="2" t="s">
        <v>460</v>
      </c>
      <c r="J204" s="2">
        <v>963829351</v>
      </c>
      <c r="K204" s="2" t="s">
        <v>134</v>
      </c>
      <c r="L204" s="2" t="s">
        <v>41</v>
      </c>
      <c r="N204" s="2" t="s">
        <v>461</v>
      </c>
      <c r="O204" s="2" t="s">
        <v>43</v>
      </c>
      <c r="P204" s="2" t="s">
        <v>352</v>
      </c>
      <c r="Q204" s="2" t="s">
        <v>353</v>
      </c>
      <c r="R204" s="2">
        <v>1</v>
      </c>
      <c r="S204" s="2">
        <v>18</v>
      </c>
      <c r="T204" s="2">
        <v>4.1400000000000006</v>
      </c>
      <c r="U204" s="2">
        <v>22.14</v>
      </c>
      <c r="V204" s="2">
        <v>10.67</v>
      </c>
      <c r="W204" s="5">
        <f t="shared" si="22"/>
        <v>0.40722222222222221</v>
      </c>
      <c r="Y204" s="2" t="s">
        <v>3256</v>
      </c>
      <c r="Z204" s="2" t="s">
        <v>46</v>
      </c>
      <c r="AA204" s="2" t="s">
        <v>47</v>
      </c>
      <c r="AB204" s="2" t="s">
        <v>48</v>
      </c>
      <c r="AE204" s="2">
        <f t="shared" si="24"/>
        <v>0</v>
      </c>
      <c r="AF204" s="2">
        <v>10.67</v>
      </c>
      <c r="AG204" s="2">
        <v>21</v>
      </c>
      <c r="AI204" s="2">
        <f t="shared" si="25"/>
        <v>0</v>
      </c>
      <c r="AJ204" s="2">
        <f t="shared" si="26"/>
        <v>7.33</v>
      </c>
      <c r="AK204" s="5">
        <f t="shared" si="23"/>
        <v>0.40722222222222221</v>
      </c>
    </row>
    <row r="205" spans="1:37" x14ac:dyDescent="0.2">
      <c r="A205" s="2">
        <v>2025</v>
      </c>
      <c r="B205" s="2">
        <v>1</v>
      </c>
      <c r="C205" s="2" t="s">
        <v>458</v>
      </c>
      <c r="D205" s="2" t="s">
        <v>38</v>
      </c>
      <c r="E205" s="2" t="s">
        <v>39</v>
      </c>
      <c r="F205" s="2">
        <v>515440620</v>
      </c>
      <c r="G205" s="2" t="s">
        <v>41</v>
      </c>
      <c r="H205" s="2" t="s">
        <v>459</v>
      </c>
      <c r="I205" s="2" t="s">
        <v>460</v>
      </c>
      <c r="J205" s="2">
        <v>963829351</v>
      </c>
      <c r="K205" s="2" t="s">
        <v>134</v>
      </c>
      <c r="L205" s="2" t="s">
        <v>41</v>
      </c>
      <c r="N205" s="2" t="s">
        <v>461</v>
      </c>
      <c r="O205" s="2" t="s">
        <v>43</v>
      </c>
      <c r="P205" s="2" t="s">
        <v>239</v>
      </c>
      <c r="Q205" s="2" t="s">
        <v>240</v>
      </c>
      <c r="R205" s="2">
        <v>1</v>
      </c>
      <c r="S205" s="2">
        <v>19.8</v>
      </c>
      <c r="T205" s="2">
        <v>4.5540000000000003</v>
      </c>
      <c r="U205" s="2">
        <v>24.353999999999999</v>
      </c>
      <c r="W205" s="5">
        <f t="shared" si="22"/>
        <v>1</v>
      </c>
      <c r="Y205" s="2" t="s">
        <v>3256</v>
      </c>
      <c r="Z205" s="2" t="s">
        <v>46</v>
      </c>
      <c r="AA205" s="2" t="s">
        <v>57</v>
      </c>
      <c r="AB205" s="2" t="s">
        <v>58</v>
      </c>
      <c r="AE205" s="2">
        <f t="shared" si="24"/>
        <v>0</v>
      </c>
      <c r="AI205" s="2">
        <f t="shared" si="25"/>
        <v>0</v>
      </c>
      <c r="AJ205" s="2">
        <f t="shared" si="26"/>
        <v>19.8</v>
      </c>
      <c r="AK205" s="5">
        <f t="shared" si="23"/>
        <v>1</v>
      </c>
    </row>
    <row r="206" spans="1:37" x14ac:dyDescent="0.2">
      <c r="A206" s="2">
        <v>2025</v>
      </c>
      <c r="B206" s="2">
        <v>1</v>
      </c>
      <c r="C206" s="2" t="s">
        <v>458</v>
      </c>
      <c r="D206" s="2" t="s">
        <v>38</v>
      </c>
      <c r="E206" s="2" t="s">
        <v>39</v>
      </c>
      <c r="F206" s="2">
        <v>515440620</v>
      </c>
      <c r="G206" s="2" t="s">
        <v>41</v>
      </c>
      <c r="H206" s="2" t="s">
        <v>459</v>
      </c>
      <c r="I206" s="2" t="s">
        <v>460</v>
      </c>
      <c r="J206" s="2">
        <v>963829351</v>
      </c>
      <c r="K206" s="2" t="s">
        <v>134</v>
      </c>
      <c r="L206" s="2" t="s">
        <v>41</v>
      </c>
      <c r="N206" s="2" t="s">
        <v>461</v>
      </c>
      <c r="O206" s="2" t="s">
        <v>43</v>
      </c>
      <c r="P206" s="2" t="s">
        <v>55</v>
      </c>
      <c r="Q206" s="2" t="s">
        <v>56</v>
      </c>
      <c r="R206" s="2">
        <v>5</v>
      </c>
      <c r="S206" s="2">
        <v>90</v>
      </c>
      <c r="T206" s="2">
        <v>20.7</v>
      </c>
      <c r="U206" s="2">
        <v>110.7</v>
      </c>
      <c r="V206" s="2">
        <f>10.6*R206</f>
        <v>53</v>
      </c>
      <c r="W206" s="5">
        <f t="shared" si="22"/>
        <v>0.41111111111111109</v>
      </c>
      <c r="Y206" s="2" t="s">
        <v>3256</v>
      </c>
      <c r="Z206" s="2" t="s">
        <v>46</v>
      </c>
      <c r="AA206" s="2" t="s">
        <v>57</v>
      </c>
      <c r="AB206" s="2" t="s">
        <v>58</v>
      </c>
      <c r="AE206" s="2">
        <f t="shared" si="24"/>
        <v>0</v>
      </c>
      <c r="AF206" s="2">
        <v>10.6</v>
      </c>
      <c r="AG206" s="2">
        <v>18</v>
      </c>
      <c r="AI206" s="2">
        <f t="shared" si="25"/>
        <v>0</v>
      </c>
      <c r="AJ206" s="2">
        <f t="shared" si="26"/>
        <v>37</v>
      </c>
      <c r="AK206" s="5">
        <f t="shared" si="23"/>
        <v>0.41111111111111109</v>
      </c>
    </row>
    <row r="207" spans="1:37" x14ac:dyDescent="0.2">
      <c r="A207" s="2">
        <v>2025</v>
      </c>
      <c r="B207" s="2">
        <v>1</v>
      </c>
      <c r="C207" s="2" t="s">
        <v>458</v>
      </c>
      <c r="D207" s="2" t="s">
        <v>38</v>
      </c>
      <c r="E207" s="2" t="s">
        <v>39</v>
      </c>
      <c r="F207" s="2">
        <v>515440620</v>
      </c>
      <c r="G207" s="2" t="s">
        <v>41</v>
      </c>
      <c r="H207" s="2" t="s">
        <v>459</v>
      </c>
      <c r="I207" s="2" t="s">
        <v>460</v>
      </c>
      <c r="J207" s="2">
        <v>963829351</v>
      </c>
      <c r="K207" s="2" t="s">
        <v>134</v>
      </c>
      <c r="L207" s="2" t="s">
        <v>41</v>
      </c>
      <c r="N207" s="2" t="s">
        <v>461</v>
      </c>
      <c r="O207" s="2" t="s">
        <v>43</v>
      </c>
      <c r="P207" s="2" t="s">
        <v>59</v>
      </c>
      <c r="Q207" s="2" t="s">
        <v>60</v>
      </c>
      <c r="R207" s="2">
        <v>100</v>
      </c>
      <c r="S207" s="2">
        <v>14</v>
      </c>
      <c r="T207" s="2">
        <v>3.22</v>
      </c>
      <c r="U207" s="2">
        <v>17.22</v>
      </c>
      <c r="V207" s="2">
        <f>0.0914*R207</f>
        <v>9.1399999999999988</v>
      </c>
      <c r="W207" s="5">
        <f t="shared" si="22"/>
        <v>0.34714285714285725</v>
      </c>
      <c r="Y207" s="2" t="s">
        <v>3256</v>
      </c>
      <c r="Z207" s="2" t="s">
        <v>46</v>
      </c>
      <c r="AA207" s="2" t="s">
        <v>61</v>
      </c>
      <c r="AB207" s="2" t="s">
        <v>58</v>
      </c>
      <c r="AE207" s="2">
        <f t="shared" si="24"/>
        <v>0</v>
      </c>
      <c r="AF207" s="2">
        <v>9.14</v>
      </c>
      <c r="AG207" s="2">
        <v>16</v>
      </c>
      <c r="AI207" s="2">
        <f t="shared" si="25"/>
        <v>0</v>
      </c>
      <c r="AJ207" s="2">
        <f t="shared" si="26"/>
        <v>4.8600000000000012</v>
      </c>
      <c r="AK207" s="5">
        <f t="shared" si="23"/>
        <v>0.34714285714285725</v>
      </c>
    </row>
    <row r="208" spans="1:37" x14ac:dyDescent="0.2">
      <c r="A208" s="2">
        <v>2025</v>
      </c>
      <c r="B208" s="2">
        <v>1</v>
      </c>
      <c r="C208" s="2" t="s">
        <v>458</v>
      </c>
      <c r="D208" s="2" t="s">
        <v>38</v>
      </c>
      <c r="E208" s="2" t="s">
        <v>39</v>
      </c>
      <c r="F208" s="2">
        <v>515440620</v>
      </c>
      <c r="G208" s="2" t="s">
        <v>41</v>
      </c>
      <c r="H208" s="2" t="s">
        <v>459</v>
      </c>
      <c r="I208" s="2" t="s">
        <v>460</v>
      </c>
      <c r="J208" s="2">
        <v>963829351</v>
      </c>
      <c r="K208" s="2" t="s">
        <v>134</v>
      </c>
      <c r="L208" s="2" t="s">
        <v>41</v>
      </c>
      <c r="N208" s="2" t="s">
        <v>461</v>
      </c>
      <c r="O208" s="2" t="s">
        <v>43</v>
      </c>
      <c r="P208" s="2" t="s">
        <v>62</v>
      </c>
      <c r="Q208" s="2" t="s">
        <v>63</v>
      </c>
      <c r="R208" s="2">
        <v>200</v>
      </c>
      <c r="S208" s="2">
        <v>26</v>
      </c>
      <c r="T208" s="2">
        <v>5.98</v>
      </c>
      <c r="U208" s="2">
        <v>31.98</v>
      </c>
      <c r="V208" s="2">
        <f>0.082*R208</f>
        <v>16.400000000000002</v>
      </c>
      <c r="W208" s="5">
        <f t="shared" si="22"/>
        <v>0.36923076923076914</v>
      </c>
      <c r="Y208" s="2" t="s">
        <v>3256</v>
      </c>
      <c r="Z208" s="2" t="s">
        <v>46</v>
      </c>
      <c r="AA208" s="2" t="s">
        <v>61</v>
      </c>
      <c r="AB208" s="2" t="s">
        <v>58</v>
      </c>
      <c r="AE208" s="2">
        <f t="shared" si="24"/>
        <v>0</v>
      </c>
      <c r="AF208" s="2">
        <v>8.1999999999999993</v>
      </c>
      <c r="AG208" s="2">
        <v>13</v>
      </c>
      <c r="AI208" s="2">
        <f t="shared" si="25"/>
        <v>0</v>
      </c>
      <c r="AJ208" s="2">
        <f t="shared" si="26"/>
        <v>9.5999999999999979</v>
      </c>
      <c r="AK208" s="5">
        <f t="shared" si="23"/>
        <v>0.36923076923076914</v>
      </c>
    </row>
    <row r="209" spans="1:37" x14ac:dyDescent="0.2">
      <c r="A209" s="2">
        <v>2025</v>
      </c>
      <c r="B209" s="2">
        <v>1</v>
      </c>
      <c r="C209" s="2" t="s">
        <v>458</v>
      </c>
      <c r="D209" s="2" t="s">
        <v>38</v>
      </c>
      <c r="E209" s="2" t="s">
        <v>39</v>
      </c>
      <c r="F209" s="2">
        <v>515440620</v>
      </c>
      <c r="G209" s="2" t="s">
        <v>41</v>
      </c>
      <c r="H209" s="2" t="s">
        <v>459</v>
      </c>
      <c r="I209" s="2" t="s">
        <v>460</v>
      </c>
      <c r="J209" s="2">
        <v>963829351</v>
      </c>
      <c r="K209" s="2" t="s">
        <v>134</v>
      </c>
      <c r="L209" s="2" t="s">
        <v>41</v>
      </c>
      <c r="N209" s="2" t="s">
        <v>461</v>
      </c>
      <c r="O209" s="2" t="s">
        <v>43</v>
      </c>
      <c r="P209" s="2" t="s">
        <v>66</v>
      </c>
      <c r="Q209" s="2" t="s">
        <v>67</v>
      </c>
      <c r="R209" s="2">
        <v>1</v>
      </c>
      <c r="S209" s="2">
        <v>25.2</v>
      </c>
      <c r="T209" s="2">
        <v>5.7960000000000003</v>
      </c>
      <c r="U209" s="2">
        <v>30.995999999999999</v>
      </c>
      <c r="V209" s="2">
        <f>15.0203*R209</f>
        <v>15.020300000000001</v>
      </c>
      <c r="W209" s="5">
        <f t="shared" si="22"/>
        <v>0.40395634920634915</v>
      </c>
      <c r="Y209" s="2" t="s">
        <v>3256</v>
      </c>
      <c r="Z209" s="2" t="s">
        <v>46</v>
      </c>
      <c r="AA209" s="2" t="s">
        <v>68</v>
      </c>
      <c r="AB209" s="2" t="s">
        <v>58</v>
      </c>
      <c r="AE209" s="2">
        <f t="shared" si="24"/>
        <v>0</v>
      </c>
      <c r="AF209" s="2">
        <v>15.020300000000001</v>
      </c>
      <c r="AG209" s="2">
        <v>27.6</v>
      </c>
      <c r="AI209" s="2">
        <f t="shared" si="25"/>
        <v>0</v>
      </c>
      <c r="AJ209" s="2">
        <f t="shared" si="26"/>
        <v>10.179699999999999</v>
      </c>
      <c r="AK209" s="5">
        <f t="shared" si="23"/>
        <v>0.40395634920634915</v>
      </c>
    </row>
    <row r="210" spans="1:37" x14ac:dyDescent="0.2">
      <c r="A210" s="2">
        <v>2025</v>
      </c>
      <c r="B210" s="2">
        <v>1</v>
      </c>
      <c r="C210" s="2" t="s">
        <v>462</v>
      </c>
      <c r="D210" s="2" t="s">
        <v>109</v>
      </c>
      <c r="E210" s="2" t="s">
        <v>39</v>
      </c>
      <c r="F210" s="2">
        <v>507016173</v>
      </c>
      <c r="G210" s="2" t="s">
        <v>110</v>
      </c>
      <c r="H210" s="2" t="s">
        <v>463</v>
      </c>
      <c r="I210" s="2" t="s">
        <v>464</v>
      </c>
      <c r="K210" s="2" t="s">
        <v>465</v>
      </c>
      <c r="L210" s="2" t="s">
        <v>40</v>
      </c>
      <c r="O210" s="2" t="s">
        <v>188</v>
      </c>
      <c r="P210" s="2" t="s">
        <v>189</v>
      </c>
      <c r="Q210" s="2" t="s">
        <v>190</v>
      </c>
      <c r="R210" s="2">
        <v>1</v>
      </c>
      <c r="S210" s="2">
        <v>141</v>
      </c>
      <c r="T210" s="2">
        <v>32.43</v>
      </c>
      <c r="U210" s="2">
        <v>173.43</v>
      </c>
      <c r="W210" s="5">
        <f t="shared" si="22"/>
        <v>1</v>
      </c>
      <c r="Y210" s="2" t="s">
        <v>118</v>
      </c>
      <c r="Z210" s="2" t="s">
        <v>191</v>
      </c>
      <c r="AE210" s="2">
        <f t="shared" si="24"/>
        <v>0</v>
      </c>
      <c r="AI210" s="2">
        <f t="shared" si="25"/>
        <v>0</v>
      </c>
      <c r="AJ210" s="2">
        <f t="shared" si="26"/>
        <v>141</v>
      </c>
      <c r="AK210" s="5">
        <f t="shared" si="23"/>
        <v>1</v>
      </c>
    </row>
    <row r="211" spans="1:37" x14ac:dyDescent="0.2">
      <c r="A211" s="2">
        <v>2025</v>
      </c>
      <c r="B211" s="2">
        <v>1</v>
      </c>
      <c r="C211" s="2" t="s">
        <v>462</v>
      </c>
      <c r="D211" s="2" t="s">
        <v>109</v>
      </c>
      <c r="E211" s="2" t="s">
        <v>39</v>
      </c>
      <c r="F211" s="2">
        <v>507016173</v>
      </c>
      <c r="G211" s="2" t="s">
        <v>110</v>
      </c>
      <c r="H211" s="2" t="s">
        <v>463</v>
      </c>
      <c r="I211" s="2" t="s">
        <v>464</v>
      </c>
      <c r="K211" s="2" t="s">
        <v>465</v>
      </c>
      <c r="L211" s="2" t="s">
        <v>40</v>
      </c>
      <c r="O211" s="2" t="s">
        <v>188</v>
      </c>
      <c r="P211" s="2" t="s">
        <v>192</v>
      </c>
      <c r="Q211" s="2" t="s">
        <v>191</v>
      </c>
      <c r="R211" s="2">
        <v>1</v>
      </c>
      <c r="S211" s="2">
        <v>50</v>
      </c>
      <c r="T211" s="2">
        <v>11.5</v>
      </c>
      <c r="U211" s="2">
        <v>61.5</v>
      </c>
      <c r="V211" s="2">
        <f>S211*50%</f>
        <v>25</v>
      </c>
      <c r="W211" s="5">
        <f t="shared" si="22"/>
        <v>0.5</v>
      </c>
      <c r="Y211" s="2" t="s">
        <v>118</v>
      </c>
      <c r="Z211" s="2" t="s">
        <v>191</v>
      </c>
      <c r="AE211" s="2">
        <f t="shared" si="24"/>
        <v>0</v>
      </c>
      <c r="AI211" s="2">
        <f t="shared" si="25"/>
        <v>0</v>
      </c>
      <c r="AJ211" s="2">
        <f t="shared" si="26"/>
        <v>25</v>
      </c>
      <c r="AK211" s="5">
        <f t="shared" si="23"/>
        <v>0.5</v>
      </c>
    </row>
    <row r="212" spans="1:37" x14ac:dyDescent="0.2">
      <c r="A212" s="2">
        <v>2025</v>
      </c>
      <c r="B212" s="2">
        <v>1</v>
      </c>
      <c r="C212" s="2" t="s">
        <v>462</v>
      </c>
      <c r="D212" s="2" t="s">
        <v>109</v>
      </c>
      <c r="E212" s="2" t="s">
        <v>39</v>
      </c>
      <c r="F212" s="2">
        <v>507016173</v>
      </c>
      <c r="G212" s="2" t="s">
        <v>110</v>
      </c>
      <c r="H212" s="2" t="s">
        <v>463</v>
      </c>
      <c r="I212" s="2" t="s">
        <v>464</v>
      </c>
      <c r="K212" s="2" t="s">
        <v>465</v>
      </c>
      <c r="O212" s="2" t="s">
        <v>40</v>
      </c>
      <c r="P212" s="2" t="s">
        <v>364</v>
      </c>
      <c r="Q212" s="2" t="s">
        <v>365</v>
      </c>
      <c r="R212" s="2">
        <v>1</v>
      </c>
      <c r="S212" s="2">
        <v>242.57</v>
      </c>
      <c r="T212" s="2">
        <v>55.7911</v>
      </c>
      <c r="U212" s="2">
        <v>298.36110000000002</v>
      </c>
      <c r="W212" s="5">
        <f t="shared" si="22"/>
        <v>1</v>
      </c>
      <c r="Y212" s="2" t="s">
        <v>120</v>
      </c>
      <c r="AE212" s="2">
        <f t="shared" si="24"/>
        <v>0</v>
      </c>
      <c r="AI212" s="2">
        <f t="shared" si="25"/>
        <v>0</v>
      </c>
      <c r="AJ212" s="2">
        <f t="shared" si="26"/>
        <v>242.57</v>
      </c>
      <c r="AK212" s="5">
        <f t="shared" si="23"/>
        <v>1</v>
      </c>
    </row>
    <row r="213" spans="1:37" x14ac:dyDescent="0.2">
      <c r="A213" s="2">
        <v>2025</v>
      </c>
      <c r="B213" s="2">
        <v>1</v>
      </c>
      <c r="C213" s="2" t="s">
        <v>466</v>
      </c>
      <c r="D213" s="2" t="s">
        <v>109</v>
      </c>
      <c r="E213" s="2" t="s">
        <v>39</v>
      </c>
      <c r="F213" s="2">
        <v>506531031</v>
      </c>
      <c r="G213" s="2" t="s">
        <v>110</v>
      </c>
      <c r="H213" s="2" t="s">
        <v>467</v>
      </c>
      <c r="I213" s="2" t="s">
        <v>468</v>
      </c>
      <c r="K213" s="2" t="s">
        <v>113</v>
      </c>
      <c r="O213" s="2" t="s">
        <v>115</v>
      </c>
      <c r="P213" s="2" t="s">
        <v>469</v>
      </c>
      <c r="Q213" s="2" t="s">
        <v>470</v>
      </c>
      <c r="R213" s="2">
        <v>-1</v>
      </c>
      <c r="S213" s="2">
        <v>-163.63</v>
      </c>
      <c r="T213" s="2">
        <v>-37.634900000000002</v>
      </c>
      <c r="U213" s="2">
        <v>-201.26490000000001</v>
      </c>
      <c r="W213" s="5">
        <f t="shared" ref="W213:W243" si="27">(S213-V213)/S213</f>
        <v>1</v>
      </c>
      <c r="Y213" s="2" t="s">
        <v>118</v>
      </c>
      <c r="AE213" s="2">
        <f t="shared" si="24"/>
        <v>0</v>
      </c>
      <c r="AI213" s="2">
        <f t="shared" si="25"/>
        <v>0</v>
      </c>
      <c r="AJ213" s="2">
        <f t="shared" si="26"/>
        <v>-163.63</v>
      </c>
      <c r="AK213" s="5">
        <f t="shared" si="23"/>
        <v>1</v>
      </c>
    </row>
    <row r="214" spans="1:37" x14ac:dyDescent="0.2">
      <c r="A214" s="2">
        <v>2025</v>
      </c>
      <c r="B214" s="2">
        <v>1</v>
      </c>
      <c r="C214" s="2" t="s">
        <v>466</v>
      </c>
      <c r="D214" s="2" t="s">
        <v>109</v>
      </c>
      <c r="E214" s="2" t="s">
        <v>39</v>
      </c>
      <c r="F214" s="2">
        <v>506531031</v>
      </c>
      <c r="G214" s="2" t="s">
        <v>110</v>
      </c>
      <c r="H214" s="2" t="s">
        <v>467</v>
      </c>
      <c r="I214" s="2" t="s">
        <v>468</v>
      </c>
      <c r="K214" s="2" t="s">
        <v>113</v>
      </c>
      <c r="O214" s="2" t="s">
        <v>115</v>
      </c>
      <c r="P214" s="2" t="s">
        <v>471</v>
      </c>
      <c r="Q214" s="2" t="s">
        <v>472</v>
      </c>
      <c r="R214" s="2">
        <v>-1</v>
      </c>
      <c r="S214" s="2">
        <v>-486.33</v>
      </c>
      <c r="T214" s="2">
        <v>-111.85590000000001</v>
      </c>
      <c r="U214" s="2">
        <v>-598.18589999999995</v>
      </c>
      <c r="W214" s="5">
        <f t="shared" si="27"/>
        <v>1</v>
      </c>
      <c r="Y214" s="2" t="s">
        <v>118</v>
      </c>
      <c r="AE214" s="2">
        <f t="shared" si="24"/>
        <v>0</v>
      </c>
      <c r="AI214" s="2">
        <f t="shared" si="25"/>
        <v>0</v>
      </c>
      <c r="AJ214" s="2">
        <f t="shared" si="26"/>
        <v>-486.33</v>
      </c>
      <c r="AK214" s="5">
        <f t="shared" si="23"/>
        <v>1</v>
      </c>
    </row>
    <row r="215" spans="1:37" x14ac:dyDescent="0.2">
      <c r="A215" s="2">
        <v>2025</v>
      </c>
      <c r="B215" s="2">
        <v>1</v>
      </c>
      <c r="C215" s="2" t="s">
        <v>473</v>
      </c>
      <c r="D215" s="2" t="s">
        <v>38</v>
      </c>
      <c r="E215" s="2" t="s">
        <v>474</v>
      </c>
      <c r="F215" s="2">
        <v>513626930</v>
      </c>
      <c r="G215" s="2" t="s">
        <v>40</v>
      </c>
      <c r="H215" s="2" t="s">
        <v>340</v>
      </c>
      <c r="I215" s="2" t="s">
        <v>475</v>
      </c>
      <c r="K215" s="2" t="s">
        <v>340</v>
      </c>
      <c r="L215" s="2" t="s">
        <v>40</v>
      </c>
      <c r="N215" s="2" t="s">
        <v>476</v>
      </c>
      <c r="O215" s="2" t="s">
        <v>40</v>
      </c>
      <c r="P215" s="2" t="s">
        <v>477</v>
      </c>
      <c r="Q215" s="2" t="s">
        <v>478</v>
      </c>
      <c r="R215" s="2">
        <v>1</v>
      </c>
      <c r="S215" s="2">
        <v>6000</v>
      </c>
      <c r="T215" s="2">
        <v>1380</v>
      </c>
      <c r="U215" s="2">
        <v>7380</v>
      </c>
      <c r="W215" s="5">
        <f t="shared" si="27"/>
        <v>1</v>
      </c>
      <c r="Y215" s="2" t="s">
        <v>105</v>
      </c>
      <c r="Z215" s="2" t="s">
        <v>418</v>
      </c>
      <c r="AA215" s="2" t="s">
        <v>479</v>
      </c>
      <c r="AE215" s="2">
        <f t="shared" si="24"/>
        <v>0</v>
      </c>
      <c r="AI215" s="2">
        <f t="shared" si="25"/>
        <v>0</v>
      </c>
      <c r="AJ215" s="2">
        <f t="shared" si="26"/>
        <v>6000</v>
      </c>
      <c r="AK215" s="5">
        <f t="shared" si="23"/>
        <v>1</v>
      </c>
    </row>
    <row r="216" spans="1:37" x14ac:dyDescent="0.2">
      <c r="A216" s="2">
        <v>2025</v>
      </c>
      <c r="B216" s="2">
        <v>1</v>
      </c>
      <c r="C216" s="2" t="s">
        <v>480</v>
      </c>
      <c r="D216" s="2" t="s">
        <v>109</v>
      </c>
      <c r="E216" s="2" t="s">
        <v>481</v>
      </c>
      <c r="F216" s="2">
        <v>500864365</v>
      </c>
      <c r="G216" s="2" t="s">
        <v>41</v>
      </c>
      <c r="H216" s="2" t="s">
        <v>482</v>
      </c>
      <c r="I216" s="2" t="s">
        <v>483</v>
      </c>
      <c r="K216" s="2" t="s">
        <v>484</v>
      </c>
      <c r="L216" s="2" t="s">
        <v>41</v>
      </c>
      <c r="N216" s="2" t="s">
        <v>485</v>
      </c>
      <c r="O216" s="2" t="s">
        <v>73</v>
      </c>
      <c r="P216" s="2" t="s">
        <v>486</v>
      </c>
      <c r="Q216" s="2" t="s">
        <v>487</v>
      </c>
      <c r="R216" s="2">
        <v>1</v>
      </c>
      <c r="S216" s="2">
        <v>172.04</v>
      </c>
      <c r="T216" s="2">
        <v>39.569200000000002</v>
      </c>
      <c r="U216" s="2">
        <v>211.60919999999999</v>
      </c>
      <c r="V216" s="2">
        <v>102.17</v>
      </c>
      <c r="W216" s="5">
        <f t="shared" si="27"/>
        <v>0.40612648221343872</v>
      </c>
      <c r="Y216" s="2" t="s">
        <v>3256</v>
      </c>
      <c r="Z216" s="2" t="s">
        <v>76</v>
      </c>
      <c r="AA216" s="2" t="s">
        <v>77</v>
      </c>
      <c r="AB216" s="2" t="s">
        <v>78</v>
      </c>
      <c r="AE216" s="2">
        <f t="shared" si="24"/>
        <v>0</v>
      </c>
      <c r="AF216" s="2">
        <v>102.17</v>
      </c>
      <c r="AG216" s="2">
        <v>190</v>
      </c>
      <c r="AI216" s="2">
        <f t="shared" si="25"/>
        <v>0</v>
      </c>
      <c r="AJ216" s="2">
        <f t="shared" si="26"/>
        <v>69.86999999999999</v>
      </c>
      <c r="AK216" s="5">
        <f t="shared" si="23"/>
        <v>0.40612648221343872</v>
      </c>
    </row>
    <row r="217" spans="1:37" x14ac:dyDescent="0.2">
      <c r="A217" s="2">
        <v>2025</v>
      </c>
      <c r="B217" s="2">
        <v>1</v>
      </c>
      <c r="C217" s="2" t="s">
        <v>480</v>
      </c>
      <c r="D217" s="2" t="s">
        <v>109</v>
      </c>
      <c r="E217" s="2" t="s">
        <v>481</v>
      </c>
      <c r="F217" s="2">
        <v>500864365</v>
      </c>
      <c r="G217" s="2" t="s">
        <v>41</v>
      </c>
      <c r="H217" s="2" t="s">
        <v>482</v>
      </c>
      <c r="I217" s="2" t="s">
        <v>483</v>
      </c>
      <c r="K217" s="2" t="s">
        <v>484</v>
      </c>
      <c r="L217" s="2" t="s">
        <v>41</v>
      </c>
      <c r="O217" s="2" t="s">
        <v>73</v>
      </c>
      <c r="P217" s="2" t="s">
        <v>488</v>
      </c>
      <c r="Q217" s="2" t="s">
        <v>75</v>
      </c>
      <c r="R217" s="2">
        <v>1</v>
      </c>
      <c r="S217" s="2">
        <v>193.2</v>
      </c>
      <c r="T217" s="2">
        <v>44.436</v>
      </c>
      <c r="U217" s="2">
        <v>237.636</v>
      </c>
      <c r="V217" s="2">
        <v>131.93</v>
      </c>
      <c r="W217" s="5">
        <f t="shared" si="27"/>
        <v>0.31713250517598335</v>
      </c>
      <c r="Y217" s="2" t="s">
        <v>3256</v>
      </c>
      <c r="Z217" s="2" t="s">
        <v>76</v>
      </c>
      <c r="AA217" s="2" t="s">
        <v>77</v>
      </c>
      <c r="AB217" s="2" t="s">
        <v>78</v>
      </c>
      <c r="AE217" s="2">
        <f t="shared" si="24"/>
        <v>0</v>
      </c>
      <c r="AF217" s="2">
        <v>131.93</v>
      </c>
      <c r="AG217" s="2">
        <v>220</v>
      </c>
      <c r="AI217" s="2">
        <f t="shared" si="25"/>
        <v>0</v>
      </c>
      <c r="AJ217" s="2">
        <f t="shared" si="26"/>
        <v>61.269999999999982</v>
      </c>
      <c r="AK217" s="5">
        <f t="shared" si="23"/>
        <v>0.31713250517598335</v>
      </c>
    </row>
    <row r="218" spans="1:37" x14ac:dyDescent="0.2">
      <c r="A218" s="2">
        <v>2025</v>
      </c>
      <c r="B218" s="2">
        <v>1</v>
      </c>
      <c r="C218" s="2" t="s">
        <v>480</v>
      </c>
      <c r="D218" s="2" t="s">
        <v>109</v>
      </c>
      <c r="E218" s="2" t="s">
        <v>481</v>
      </c>
      <c r="F218" s="2">
        <v>500864365</v>
      </c>
      <c r="G218" s="2" t="s">
        <v>41</v>
      </c>
      <c r="H218" s="2" t="s">
        <v>482</v>
      </c>
      <c r="I218" s="2" t="s">
        <v>483</v>
      </c>
      <c r="K218" s="2" t="s">
        <v>484</v>
      </c>
      <c r="L218" s="2" t="s">
        <v>41</v>
      </c>
      <c r="O218" s="2" t="s">
        <v>73</v>
      </c>
      <c r="P218" s="2" t="s">
        <v>203</v>
      </c>
      <c r="Q218" s="2" t="s">
        <v>198</v>
      </c>
      <c r="R218" s="8">
        <v>1</v>
      </c>
      <c r="S218" s="2">
        <v>260</v>
      </c>
      <c r="T218" s="2">
        <v>59.8</v>
      </c>
      <c r="U218" s="2">
        <v>319.8</v>
      </c>
      <c r="V218" s="2">
        <v>152.85</v>
      </c>
      <c r="W218" s="5">
        <f t="shared" si="27"/>
        <v>0.41211538461538466</v>
      </c>
      <c r="Y218" s="2" t="s">
        <v>3256</v>
      </c>
      <c r="Z218" s="2" t="s">
        <v>76</v>
      </c>
      <c r="AA218" s="2" t="s">
        <v>77</v>
      </c>
      <c r="AB218" s="2" t="s">
        <v>78</v>
      </c>
      <c r="AE218" s="2">
        <f t="shared" si="24"/>
        <v>0</v>
      </c>
      <c r="AF218" s="2">
        <v>152.85</v>
      </c>
      <c r="AG218" s="2">
        <v>260</v>
      </c>
      <c r="AI218" s="2">
        <f t="shared" si="25"/>
        <v>0</v>
      </c>
      <c r="AJ218" s="2">
        <f t="shared" si="26"/>
        <v>107.15</v>
      </c>
      <c r="AK218" s="5">
        <f t="shared" si="23"/>
        <v>0.41211538461538466</v>
      </c>
    </row>
    <row r="219" spans="1:37" x14ac:dyDescent="0.2">
      <c r="A219" s="2">
        <v>2025</v>
      </c>
      <c r="B219" s="2">
        <v>1</v>
      </c>
      <c r="C219" s="2" t="s">
        <v>480</v>
      </c>
      <c r="D219" s="2" t="s">
        <v>109</v>
      </c>
      <c r="E219" s="2" t="s">
        <v>481</v>
      </c>
      <c r="F219" s="2">
        <v>500864365</v>
      </c>
      <c r="G219" s="2" t="s">
        <v>41</v>
      </c>
      <c r="H219" s="2" t="s">
        <v>482</v>
      </c>
      <c r="I219" s="2" t="s">
        <v>483</v>
      </c>
      <c r="K219" s="2" t="s">
        <v>484</v>
      </c>
      <c r="L219" s="2" t="s">
        <v>41</v>
      </c>
      <c r="O219" s="2" t="s">
        <v>94</v>
      </c>
      <c r="P219" s="2" t="s">
        <v>95</v>
      </c>
      <c r="Q219" s="2" t="s">
        <v>96</v>
      </c>
      <c r="R219" s="2">
        <v>3</v>
      </c>
      <c r="S219" s="2">
        <v>3.42</v>
      </c>
      <c r="T219" s="2">
        <v>0.78659999999999997</v>
      </c>
      <c r="U219" s="2">
        <v>4.2065999999999999</v>
      </c>
      <c r="V219" s="2">
        <v>3.42</v>
      </c>
      <c r="W219" s="5">
        <f t="shared" si="27"/>
        <v>0</v>
      </c>
      <c r="Y219" s="2" t="s">
        <v>3256</v>
      </c>
      <c r="Z219" s="2" t="s">
        <v>97</v>
      </c>
      <c r="AA219" s="2" t="s">
        <v>77</v>
      </c>
      <c r="AB219" s="2" t="s">
        <v>94</v>
      </c>
      <c r="AE219" s="2">
        <f t="shared" si="24"/>
        <v>0</v>
      </c>
      <c r="AI219" s="2">
        <f t="shared" si="25"/>
        <v>0</v>
      </c>
      <c r="AJ219" s="2">
        <f t="shared" si="26"/>
        <v>0</v>
      </c>
      <c r="AK219" s="5">
        <f t="shared" si="23"/>
        <v>0</v>
      </c>
    </row>
    <row r="220" spans="1:37" x14ac:dyDescent="0.2">
      <c r="A220" s="2">
        <v>2025</v>
      </c>
      <c r="B220" s="2">
        <v>1</v>
      </c>
      <c r="C220" s="2" t="s">
        <v>489</v>
      </c>
      <c r="D220" s="2" t="s">
        <v>109</v>
      </c>
      <c r="E220" s="2" t="s">
        <v>39</v>
      </c>
      <c r="F220" s="2">
        <v>506834689</v>
      </c>
      <c r="G220" s="2" t="s">
        <v>41</v>
      </c>
      <c r="H220" s="2" t="s">
        <v>490</v>
      </c>
      <c r="I220" s="2" t="s">
        <v>491</v>
      </c>
      <c r="J220" s="2">
        <v>919866237</v>
      </c>
      <c r="K220" s="2" t="s">
        <v>465</v>
      </c>
      <c r="L220" s="2" t="s">
        <v>41</v>
      </c>
      <c r="O220" s="2" t="s">
        <v>43</v>
      </c>
      <c r="P220" s="2" t="s">
        <v>66</v>
      </c>
      <c r="Q220" s="2" t="s">
        <v>67</v>
      </c>
      <c r="R220" s="2">
        <v>3</v>
      </c>
      <c r="S220" s="2">
        <v>63</v>
      </c>
      <c r="T220" s="2">
        <v>14.49</v>
      </c>
      <c r="U220" s="2">
        <v>77.489999999999995</v>
      </c>
      <c r="V220" s="2">
        <f>15.0203*R220</f>
        <v>45.060900000000004</v>
      </c>
      <c r="W220" s="5">
        <f t="shared" si="27"/>
        <v>0.28474761904761897</v>
      </c>
      <c r="Y220" s="2" t="s">
        <v>3256</v>
      </c>
      <c r="Z220" s="2" t="s">
        <v>46</v>
      </c>
      <c r="AA220" s="2" t="s">
        <v>68</v>
      </c>
      <c r="AB220" s="2" t="s">
        <v>58</v>
      </c>
      <c r="AE220" s="2">
        <f t="shared" si="24"/>
        <v>0</v>
      </c>
      <c r="AF220" s="2">
        <v>15.020300000000001</v>
      </c>
      <c r="AG220" s="2">
        <v>27.6</v>
      </c>
      <c r="AI220" s="2">
        <f t="shared" si="25"/>
        <v>0</v>
      </c>
      <c r="AJ220" s="2">
        <f t="shared" si="26"/>
        <v>17.939099999999996</v>
      </c>
      <c r="AK220" s="5">
        <f t="shared" si="23"/>
        <v>0.28474761904761897</v>
      </c>
    </row>
    <row r="221" spans="1:37" x14ac:dyDescent="0.2">
      <c r="A221" s="2">
        <v>2025</v>
      </c>
      <c r="B221" s="2">
        <v>1</v>
      </c>
      <c r="C221" s="2" t="s">
        <v>492</v>
      </c>
      <c r="D221" s="2" t="s">
        <v>38</v>
      </c>
      <c r="E221" s="2" t="s">
        <v>39</v>
      </c>
      <c r="F221" s="2">
        <v>507380312</v>
      </c>
      <c r="G221" s="2" t="s">
        <v>40</v>
      </c>
      <c r="H221" s="2" t="s">
        <v>493</v>
      </c>
      <c r="I221" s="2" t="s">
        <v>494</v>
      </c>
      <c r="J221" s="2">
        <v>912293443</v>
      </c>
      <c r="K221" s="2" t="s">
        <v>100</v>
      </c>
      <c r="L221" s="2" t="s">
        <v>40</v>
      </c>
      <c r="O221" s="2" t="s">
        <v>40</v>
      </c>
      <c r="P221" s="2" t="s">
        <v>495</v>
      </c>
      <c r="Q221" s="2" t="s">
        <v>496</v>
      </c>
      <c r="R221" s="2">
        <v>1</v>
      </c>
      <c r="S221" s="2">
        <v>650</v>
      </c>
      <c r="T221" s="2">
        <v>149.5</v>
      </c>
      <c r="U221" s="2">
        <v>799.5</v>
      </c>
      <c r="W221" s="5">
        <f t="shared" si="27"/>
        <v>1</v>
      </c>
      <c r="Y221" s="2" t="s">
        <v>120</v>
      </c>
      <c r="AE221" s="2">
        <f t="shared" si="24"/>
        <v>0</v>
      </c>
      <c r="AI221" s="2">
        <f t="shared" si="25"/>
        <v>0</v>
      </c>
      <c r="AJ221" s="2">
        <f t="shared" si="26"/>
        <v>650</v>
      </c>
      <c r="AK221" s="5">
        <f t="shared" ref="AK221:AK252" si="28">(S221-V221)/S221</f>
        <v>1</v>
      </c>
    </row>
    <row r="222" spans="1:37" x14ac:dyDescent="0.2">
      <c r="A222" s="2">
        <v>2025</v>
      </c>
      <c r="B222" s="2">
        <v>1</v>
      </c>
      <c r="C222" s="2" t="s">
        <v>497</v>
      </c>
      <c r="D222" s="2" t="s">
        <v>109</v>
      </c>
      <c r="E222" s="2" t="s">
        <v>39</v>
      </c>
      <c r="F222" s="2">
        <v>501921133</v>
      </c>
      <c r="G222" s="2" t="s">
        <v>41</v>
      </c>
      <c r="H222" s="2" t="s">
        <v>178</v>
      </c>
      <c r="I222" s="2" t="s">
        <v>3157</v>
      </c>
      <c r="K222" s="2" t="s">
        <v>178</v>
      </c>
      <c r="L222" s="2" t="s">
        <v>41</v>
      </c>
      <c r="N222" s="2" t="s">
        <v>3156</v>
      </c>
      <c r="O222" s="2" t="s">
        <v>283</v>
      </c>
      <c r="P222" s="2" t="s">
        <v>498</v>
      </c>
      <c r="Q222" s="2" t="s">
        <v>499</v>
      </c>
      <c r="R222" s="2">
        <v>1</v>
      </c>
      <c r="S222" s="2">
        <v>219</v>
      </c>
      <c r="T222" s="2">
        <v>50.37</v>
      </c>
      <c r="U222" s="2">
        <v>269.37</v>
      </c>
      <c r="V222" s="2">
        <v>164.25</v>
      </c>
      <c r="W222" s="5">
        <f t="shared" si="27"/>
        <v>0.25</v>
      </c>
      <c r="Y222" s="2" t="s">
        <v>3256</v>
      </c>
      <c r="Z222" s="2" t="s">
        <v>72</v>
      </c>
      <c r="AA222" s="2" t="s">
        <v>120</v>
      </c>
      <c r="AB222" s="2" t="s">
        <v>120</v>
      </c>
      <c r="AE222" s="2">
        <f t="shared" si="24"/>
        <v>0</v>
      </c>
      <c r="AI222" s="2">
        <f t="shared" si="25"/>
        <v>0</v>
      </c>
      <c r="AJ222" s="2">
        <f t="shared" si="26"/>
        <v>54.75</v>
      </c>
      <c r="AK222" s="5">
        <f t="shared" si="28"/>
        <v>0.25</v>
      </c>
    </row>
    <row r="223" spans="1:37" x14ac:dyDescent="0.2">
      <c r="A223" s="2">
        <v>2025</v>
      </c>
      <c r="B223" s="2">
        <v>1</v>
      </c>
      <c r="C223" s="2" t="s">
        <v>497</v>
      </c>
      <c r="D223" s="2" t="s">
        <v>109</v>
      </c>
      <c r="E223" s="2" t="s">
        <v>39</v>
      </c>
      <c r="F223" s="2">
        <v>501921133</v>
      </c>
      <c r="G223" s="2" t="s">
        <v>41</v>
      </c>
      <c r="H223" s="2" t="s">
        <v>178</v>
      </c>
      <c r="I223" s="2" t="s">
        <v>3157</v>
      </c>
      <c r="K223" s="2" t="s">
        <v>178</v>
      </c>
      <c r="L223" s="2" t="s">
        <v>41</v>
      </c>
      <c r="N223" s="2" t="s">
        <v>3156</v>
      </c>
      <c r="O223" s="2" t="s">
        <v>283</v>
      </c>
      <c r="P223" s="2" t="s">
        <v>500</v>
      </c>
      <c r="Q223" s="2" t="s">
        <v>501</v>
      </c>
      <c r="R223" s="2">
        <v>1</v>
      </c>
      <c r="S223" s="2">
        <v>80.099999999999994</v>
      </c>
      <c r="T223" s="2">
        <v>18.422999999999998</v>
      </c>
      <c r="U223" s="2">
        <v>98.522999999999996</v>
      </c>
      <c r="W223" s="5">
        <f t="shared" si="27"/>
        <v>1</v>
      </c>
      <c r="Y223" s="2" t="s">
        <v>3256</v>
      </c>
      <c r="AE223" s="2">
        <f t="shared" si="24"/>
        <v>0</v>
      </c>
      <c r="AI223" s="2">
        <f t="shared" si="25"/>
        <v>0</v>
      </c>
      <c r="AJ223" s="2">
        <f t="shared" si="26"/>
        <v>80.099999999999994</v>
      </c>
      <c r="AK223" s="5">
        <f t="shared" si="28"/>
        <v>1</v>
      </c>
    </row>
    <row r="224" spans="1:37" x14ac:dyDescent="0.2">
      <c r="A224" s="2">
        <v>2025</v>
      </c>
      <c r="B224" s="2">
        <v>1</v>
      </c>
      <c r="C224" s="2" t="s">
        <v>497</v>
      </c>
      <c r="D224" s="2" t="s">
        <v>109</v>
      </c>
      <c r="E224" s="2" t="s">
        <v>39</v>
      </c>
      <c r="F224" s="2">
        <v>501921133</v>
      </c>
      <c r="G224" s="2" t="s">
        <v>41</v>
      </c>
      <c r="H224" s="2" t="s">
        <v>178</v>
      </c>
      <c r="I224" s="2" t="s">
        <v>3157</v>
      </c>
      <c r="K224" s="2" t="s">
        <v>178</v>
      </c>
      <c r="L224" s="2" t="s">
        <v>41</v>
      </c>
      <c r="N224" s="2" t="s">
        <v>3156</v>
      </c>
      <c r="O224" s="2" t="s">
        <v>283</v>
      </c>
      <c r="P224" s="2" t="s">
        <v>502</v>
      </c>
      <c r="Q224" s="2" t="s">
        <v>503</v>
      </c>
      <c r="R224" s="2">
        <v>1</v>
      </c>
      <c r="S224" s="2">
        <v>64.900000000000006</v>
      </c>
      <c r="T224" s="2">
        <v>14.927</v>
      </c>
      <c r="U224" s="2">
        <v>79.827000000000012</v>
      </c>
      <c r="W224" s="5">
        <f t="shared" si="27"/>
        <v>1</v>
      </c>
      <c r="Y224" s="2" t="s">
        <v>3256</v>
      </c>
      <c r="AE224" s="2">
        <f t="shared" si="24"/>
        <v>0</v>
      </c>
      <c r="AI224" s="2">
        <f t="shared" si="25"/>
        <v>0</v>
      </c>
      <c r="AJ224" s="2">
        <f t="shared" si="26"/>
        <v>64.900000000000006</v>
      </c>
      <c r="AK224" s="5">
        <f t="shared" si="28"/>
        <v>1</v>
      </c>
    </row>
    <row r="225" spans="1:37" x14ac:dyDescent="0.2">
      <c r="A225" s="2">
        <v>2025</v>
      </c>
      <c r="B225" s="2">
        <v>1</v>
      </c>
      <c r="C225" s="2" t="s">
        <v>504</v>
      </c>
      <c r="D225" s="2" t="s">
        <v>38</v>
      </c>
      <c r="E225" s="2" t="s">
        <v>39</v>
      </c>
      <c r="F225" s="2">
        <v>513244468</v>
      </c>
      <c r="G225" s="2" t="s">
        <v>41</v>
      </c>
      <c r="H225" s="2" t="s">
        <v>505</v>
      </c>
      <c r="I225" s="2" t="s">
        <v>506</v>
      </c>
      <c r="J225" s="2">
        <v>918010109</v>
      </c>
      <c r="K225" s="2" t="s">
        <v>100</v>
      </c>
      <c r="L225" s="2" t="s">
        <v>41</v>
      </c>
      <c r="O225" s="2" t="s">
        <v>43</v>
      </c>
      <c r="P225" s="2" t="s">
        <v>49</v>
      </c>
      <c r="Q225" s="2" t="s">
        <v>50</v>
      </c>
      <c r="R225" s="2">
        <v>3</v>
      </c>
      <c r="S225" s="2">
        <v>36</v>
      </c>
      <c r="T225" s="2">
        <v>8.2800000000000011</v>
      </c>
      <c r="U225" s="2">
        <v>44.28</v>
      </c>
      <c r="V225" s="2">
        <f>6.6267*R225</f>
        <v>19.880099999999999</v>
      </c>
      <c r="W225" s="5">
        <f t="shared" si="27"/>
        <v>0.44777500000000003</v>
      </c>
      <c r="Y225" s="2" t="s">
        <v>3256</v>
      </c>
      <c r="Z225" s="2" t="s">
        <v>46</v>
      </c>
      <c r="AA225" s="2" t="s">
        <v>47</v>
      </c>
      <c r="AB225" s="2" t="s">
        <v>48</v>
      </c>
      <c r="AE225" s="2">
        <f t="shared" si="24"/>
        <v>0</v>
      </c>
      <c r="AF225" s="2">
        <v>6.6266999999999996</v>
      </c>
      <c r="AG225" s="2">
        <v>12</v>
      </c>
      <c r="AI225" s="2">
        <f t="shared" si="25"/>
        <v>0</v>
      </c>
      <c r="AJ225" s="2">
        <f t="shared" si="26"/>
        <v>16.119900000000001</v>
      </c>
      <c r="AK225" s="5">
        <f t="shared" si="28"/>
        <v>0.44777500000000003</v>
      </c>
    </row>
    <row r="226" spans="1:37" x14ac:dyDescent="0.2">
      <c r="A226" s="2">
        <v>2025</v>
      </c>
      <c r="B226" s="2">
        <v>1</v>
      </c>
      <c r="C226" s="2" t="s">
        <v>504</v>
      </c>
      <c r="D226" s="2" t="s">
        <v>38</v>
      </c>
      <c r="E226" s="2" t="s">
        <v>39</v>
      </c>
      <c r="F226" s="2">
        <v>513244468</v>
      </c>
      <c r="G226" s="2" t="s">
        <v>41</v>
      </c>
      <c r="H226" s="2" t="s">
        <v>505</v>
      </c>
      <c r="I226" s="2" t="s">
        <v>506</v>
      </c>
      <c r="J226" s="2">
        <v>918010109</v>
      </c>
      <c r="K226" s="2" t="s">
        <v>100</v>
      </c>
      <c r="L226" s="2" t="s">
        <v>41</v>
      </c>
      <c r="O226" s="2" t="s">
        <v>43</v>
      </c>
      <c r="P226" s="2" t="s">
        <v>507</v>
      </c>
      <c r="Q226" s="2" t="s">
        <v>508</v>
      </c>
      <c r="R226" s="2">
        <v>20</v>
      </c>
      <c r="S226" s="2">
        <v>18</v>
      </c>
      <c r="T226" s="2">
        <v>4.1400000000000006</v>
      </c>
      <c r="U226" s="2">
        <v>22.14</v>
      </c>
      <c r="W226" s="5">
        <f t="shared" si="27"/>
        <v>1</v>
      </c>
      <c r="Y226" s="2" t="s">
        <v>3256</v>
      </c>
      <c r="Z226" s="2" t="s">
        <v>46</v>
      </c>
      <c r="AA226" s="2" t="s">
        <v>61</v>
      </c>
      <c r="AB226" s="2" t="s">
        <v>58</v>
      </c>
      <c r="AE226" s="2">
        <f t="shared" si="24"/>
        <v>0</v>
      </c>
      <c r="AI226" s="2">
        <f t="shared" si="25"/>
        <v>0</v>
      </c>
      <c r="AJ226" s="2">
        <f t="shared" si="26"/>
        <v>18</v>
      </c>
      <c r="AK226" s="5">
        <f t="shared" si="28"/>
        <v>1</v>
      </c>
    </row>
    <row r="227" spans="1:37" x14ac:dyDescent="0.2">
      <c r="A227" s="2">
        <v>2025</v>
      </c>
      <c r="B227" s="2">
        <v>1</v>
      </c>
      <c r="C227" s="2" t="s">
        <v>504</v>
      </c>
      <c r="D227" s="2" t="s">
        <v>38</v>
      </c>
      <c r="E227" s="2" t="s">
        <v>39</v>
      </c>
      <c r="F227" s="2">
        <v>513244468</v>
      </c>
      <c r="G227" s="2" t="s">
        <v>41</v>
      </c>
      <c r="H227" s="2" t="s">
        <v>505</v>
      </c>
      <c r="I227" s="2" t="s">
        <v>506</v>
      </c>
      <c r="J227" s="2">
        <v>918010109</v>
      </c>
      <c r="K227" s="2" t="s">
        <v>100</v>
      </c>
      <c r="L227" s="2" t="s">
        <v>41</v>
      </c>
      <c r="O227" s="2" t="s">
        <v>43</v>
      </c>
      <c r="P227" s="2" t="s">
        <v>509</v>
      </c>
      <c r="Q227" s="2" t="s">
        <v>510</v>
      </c>
      <c r="R227" s="2">
        <v>20</v>
      </c>
      <c r="S227" s="2">
        <v>24</v>
      </c>
      <c r="T227" s="2">
        <v>5.52</v>
      </c>
      <c r="U227" s="2">
        <v>29.52</v>
      </c>
      <c r="W227" s="5">
        <f t="shared" si="27"/>
        <v>1</v>
      </c>
      <c r="Y227" s="2" t="s">
        <v>3256</v>
      </c>
      <c r="Z227" s="2" t="s">
        <v>46</v>
      </c>
      <c r="AA227" s="2" t="s">
        <v>61</v>
      </c>
      <c r="AB227" s="2" t="s">
        <v>58</v>
      </c>
      <c r="AE227" s="2">
        <f t="shared" si="24"/>
        <v>0</v>
      </c>
      <c r="AI227" s="2">
        <f t="shared" si="25"/>
        <v>0</v>
      </c>
      <c r="AJ227" s="2">
        <f t="shared" si="26"/>
        <v>24</v>
      </c>
      <c r="AK227" s="5">
        <f t="shared" si="28"/>
        <v>1</v>
      </c>
    </row>
    <row r="228" spans="1:37" x14ac:dyDescent="0.2">
      <c r="A228" s="2">
        <v>2025</v>
      </c>
      <c r="B228" s="2">
        <v>1</v>
      </c>
      <c r="C228" s="2" t="s">
        <v>504</v>
      </c>
      <c r="D228" s="2" t="s">
        <v>38</v>
      </c>
      <c r="E228" s="2" t="s">
        <v>39</v>
      </c>
      <c r="F228" s="2">
        <v>513244468</v>
      </c>
      <c r="G228" s="2" t="s">
        <v>41</v>
      </c>
      <c r="H228" s="2" t="s">
        <v>505</v>
      </c>
      <c r="I228" s="2" t="s">
        <v>506</v>
      </c>
      <c r="J228" s="2">
        <v>918010109</v>
      </c>
      <c r="K228" s="2" t="s">
        <v>100</v>
      </c>
      <c r="L228" s="2" t="s">
        <v>41</v>
      </c>
      <c r="O228" s="2" t="s">
        <v>43</v>
      </c>
      <c r="P228" s="2" t="s">
        <v>66</v>
      </c>
      <c r="Q228" s="2" t="s">
        <v>67</v>
      </c>
      <c r="R228" s="2">
        <v>1</v>
      </c>
      <c r="S228" s="2">
        <v>21</v>
      </c>
      <c r="T228" s="2">
        <v>4.83</v>
      </c>
      <c r="U228" s="2">
        <v>25.83</v>
      </c>
      <c r="V228" s="2">
        <f>15.0203*R228</f>
        <v>15.020300000000001</v>
      </c>
      <c r="W228" s="5">
        <f t="shared" si="27"/>
        <v>0.28474761904761903</v>
      </c>
      <c r="Y228" s="2" t="s">
        <v>3256</v>
      </c>
      <c r="Z228" s="2" t="s">
        <v>46</v>
      </c>
      <c r="AA228" s="2" t="s">
        <v>68</v>
      </c>
      <c r="AB228" s="2" t="s">
        <v>58</v>
      </c>
      <c r="AE228" s="2">
        <f t="shared" si="24"/>
        <v>0</v>
      </c>
      <c r="AF228" s="2">
        <v>15.020300000000001</v>
      </c>
      <c r="AG228" s="2">
        <v>27.6</v>
      </c>
      <c r="AI228" s="2">
        <f t="shared" si="25"/>
        <v>0</v>
      </c>
      <c r="AJ228" s="2">
        <f t="shared" si="26"/>
        <v>5.9796999999999993</v>
      </c>
      <c r="AK228" s="5">
        <f t="shared" si="28"/>
        <v>0.28474761904761903</v>
      </c>
    </row>
    <row r="229" spans="1:37" x14ac:dyDescent="0.2">
      <c r="A229" s="2">
        <v>2025</v>
      </c>
      <c r="B229" s="2">
        <v>1</v>
      </c>
      <c r="C229" s="2" t="s">
        <v>511</v>
      </c>
      <c r="D229" s="2" t="s">
        <v>38</v>
      </c>
      <c r="E229" s="2" t="s">
        <v>39</v>
      </c>
      <c r="F229" s="2">
        <v>514446170</v>
      </c>
      <c r="G229" s="2" t="s">
        <v>41</v>
      </c>
      <c r="H229" s="2" t="s">
        <v>178</v>
      </c>
      <c r="I229" s="2" t="s">
        <v>3158</v>
      </c>
      <c r="K229" s="2" t="s">
        <v>178</v>
      </c>
      <c r="L229" s="2" t="s">
        <v>41</v>
      </c>
      <c r="N229" s="2" t="s">
        <v>3159</v>
      </c>
      <c r="O229" s="2" t="s">
        <v>43</v>
      </c>
      <c r="P229" s="2" t="s">
        <v>62</v>
      </c>
      <c r="Q229" s="2" t="s">
        <v>63</v>
      </c>
      <c r="R229" s="2">
        <v>1000</v>
      </c>
      <c r="S229" s="2">
        <v>105</v>
      </c>
      <c r="T229" s="2">
        <v>24.15</v>
      </c>
      <c r="U229" s="2">
        <v>129.15</v>
      </c>
      <c r="V229" s="2">
        <f>0.082*R229</f>
        <v>82</v>
      </c>
      <c r="W229" s="5">
        <f t="shared" si="27"/>
        <v>0.21904761904761905</v>
      </c>
      <c r="Y229" s="2" t="s">
        <v>3256</v>
      </c>
      <c r="Z229" s="2" t="s">
        <v>46</v>
      </c>
      <c r="AA229" s="2" t="s">
        <v>61</v>
      </c>
      <c r="AB229" s="2" t="s">
        <v>58</v>
      </c>
      <c r="AE229" s="2">
        <f t="shared" si="24"/>
        <v>0</v>
      </c>
      <c r="AF229" s="2">
        <v>8.1999999999999993</v>
      </c>
      <c r="AG229" s="2">
        <v>13</v>
      </c>
      <c r="AI229" s="2">
        <f t="shared" si="25"/>
        <v>0</v>
      </c>
      <c r="AJ229" s="2">
        <f t="shared" si="26"/>
        <v>23</v>
      </c>
      <c r="AK229" s="5">
        <f t="shared" si="28"/>
        <v>0.21904761904761905</v>
      </c>
    </row>
    <row r="230" spans="1:37" x14ac:dyDescent="0.2">
      <c r="A230" s="2">
        <v>2025</v>
      </c>
      <c r="B230" s="2">
        <v>1</v>
      </c>
      <c r="C230" s="2" t="s">
        <v>512</v>
      </c>
      <c r="O230" s="2" t="s">
        <v>43</v>
      </c>
      <c r="P230" s="2" t="s">
        <v>55</v>
      </c>
      <c r="Q230" s="2" t="s">
        <v>56</v>
      </c>
      <c r="R230" s="2">
        <v>4</v>
      </c>
      <c r="S230" s="2">
        <v>72</v>
      </c>
      <c r="T230" s="2">
        <v>16.559999999999999</v>
      </c>
      <c r="U230" s="2">
        <v>88.56</v>
      </c>
      <c r="V230" s="2">
        <f>10.6*R230</f>
        <v>42.4</v>
      </c>
      <c r="W230" s="5">
        <f t="shared" si="27"/>
        <v>0.41111111111111115</v>
      </c>
      <c r="Y230" s="2" t="s">
        <v>3256</v>
      </c>
      <c r="Z230" s="2" t="s">
        <v>46</v>
      </c>
      <c r="AA230" s="2" t="s">
        <v>57</v>
      </c>
      <c r="AB230" s="2" t="s">
        <v>58</v>
      </c>
      <c r="AE230" s="2">
        <f t="shared" si="24"/>
        <v>0</v>
      </c>
      <c r="AF230" s="2">
        <v>10.6</v>
      </c>
      <c r="AG230" s="2">
        <v>18</v>
      </c>
      <c r="AI230" s="2">
        <f t="shared" si="25"/>
        <v>0</v>
      </c>
      <c r="AJ230" s="2">
        <f t="shared" si="26"/>
        <v>29.6</v>
      </c>
      <c r="AK230" s="5">
        <f t="shared" si="28"/>
        <v>0.41111111111111115</v>
      </c>
    </row>
    <row r="231" spans="1:37" x14ac:dyDescent="0.2">
      <c r="A231" s="2">
        <v>2025</v>
      </c>
      <c r="B231" s="2">
        <v>1</v>
      </c>
      <c r="C231" s="2" t="s">
        <v>512</v>
      </c>
      <c r="O231" s="2" t="s">
        <v>43</v>
      </c>
      <c r="P231" s="2" t="s">
        <v>62</v>
      </c>
      <c r="Q231" s="2" t="s">
        <v>63</v>
      </c>
      <c r="R231" s="2">
        <v>200</v>
      </c>
      <c r="S231" s="2">
        <v>26</v>
      </c>
      <c r="T231" s="2">
        <v>5.98</v>
      </c>
      <c r="U231" s="2">
        <v>31.98</v>
      </c>
      <c r="V231" s="2">
        <f>0.082*R231</f>
        <v>16.400000000000002</v>
      </c>
      <c r="W231" s="5">
        <f t="shared" si="27"/>
        <v>0.36923076923076914</v>
      </c>
      <c r="Y231" s="2" t="s">
        <v>3256</v>
      </c>
      <c r="Z231" s="2" t="s">
        <v>46</v>
      </c>
      <c r="AA231" s="2" t="s">
        <v>61</v>
      </c>
      <c r="AB231" s="2" t="s">
        <v>58</v>
      </c>
      <c r="AE231" s="2">
        <f t="shared" si="24"/>
        <v>0</v>
      </c>
      <c r="AF231" s="2">
        <v>8.1999999999999993</v>
      </c>
      <c r="AG231" s="2">
        <v>13</v>
      </c>
      <c r="AI231" s="2">
        <f t="shared" si="25"/>
        <v>0</v>
      </c>
      <c r="AJ231" s="2">
        <f t="shared" si="26"/>
        <v>9.5999999999999979</v>
      </c>
      <c r="AK231" s="5">
        <f t="shared" si="28"/>
        <v>0.36923076923076914</v>
      </c>
    </row>
    <row r="232" spans="1:37" x14ac:dyDescent="0.2">
      <c r="A232" s="2">
        <v>2025</v>
      </c>
      <c r="B232" s="2">
        <v>1</v>
      </c>
      <c r="C232" s="2" t="s">
        <v>513</v>
      </c>
      <c r="D232" s="2" t="s">
        <v>38</v>
      </c>
      <c r="E232" s="2" t="s">
        <v>39</v>
      </c>
      <c r="F232" s="2">
        <v>513405020</v>
      </c>
      <c r="G232" s="2" t="s">
        <v>40</v>
      </c>
      <c r="H232" s="2" t="s">
        <v>157</v>
      </c>
      <c r="I232" s="2" t="s">
        <v>514</v>
      </c>
      <c r="J232" s="2">
        <v>919770433</v>
      </c>
      <c r="K232" s="2" t="s">
        <v>100</v>
      </c>
      <c r="O232" s="2" t="s">
        <v>43</v>
      </c>
      <c r="P232" s="2" t="s">
        <v>55</v>
      </c>
      <c r="Q232" s="2" t="s">
        <v>56</v>
      </c>
      <c r="R232" s="2">
        <v>2</v>
      </c>
      <c r="S232" s="2">
        <v>36</v>
      </c>
      <c r="T232" s="2">
        <v>8.2800000000000011</v>
      </c>
      <c r="U232" s="2">
        <v>44.28</v>
      </c>
      <c r="V232" s="2">
        <f>10.6*R232</f>
        <v>21.2</v>
      </c>
      <c r="W232" s="5">
        <f t="shared" si="27"/>
        <v>0.41111111111111115</v>
      </c>
      <c r="Y232" s="2" t="s">
        <v>3256</v>
      </c>
      <c r="Z232" s="2" t="s">
        <v>46</v>
      </c>
      <c r="AA232" s="2" t="s">
        <v>57</v>
      </c>
      <c r="AB232" s="2" t="s">
        <v>58</v>
      </c>
      <c r="AE232" s="2">
        <f t="shared" si="24"/>
        <v>0</v>
      </c>
      <c r="AF232" s="2">
        <v>10.6</v>
      </c>
      <c r="AG232" s="2">
        <v>18</v>
      </c>
      <c r="AI232" s="2">
        <f t="shared" si="25"/>
        <v>0</v>
      </c>
      <c r="AJ232" s="2">
        <f t="shared" si="26"/>
        <v>14.8</v>
      </c>
      <c r="AK232" s="5">
        <f t="shared" si="28"/>
        <v>0.41111111111111115</v>
      </c>
    </row>
    <row r="233" spans="1:37" x14ac:dyDescent="0.2">
      <c r="A233" s="2">
        <v>2025</v>
      </c>
      <c r="B233" s="2">
        <v>1</v>
      </c>
      <c r="C233" s="2" t="s">
        <v>515</v>
      </c>
      <c r="D233" s="2" t="s">
        <v>109</v>
      </c>
      <c r="E233" s="2" t="s">
        <v>39</v>
      </c>
      <c r="F233" s="2">
        <v>506520145</v>
      </c>
      <c r="G233" s="2" t="s">
        <v>291</v>
      </c>
      <c r="H233" s="2" t="s">
        <v>516</v>
      </c>
      <c r="I233" s="2" t="s">
        <v>517</v>
      </c>
      <c r="J233" s="2">
        <v>933569769</v>
      </c>
      <c r="K233" s="2" t="s">
        <v>340</v>
      </c>
      <c r="L233" s="2" t="s">
        <v>40</v>
      </c>
      <c r="O233" s="2" t="s">
        <v>115</v>
      </c>
      <c r="P233" s="2" t="s">
        <v>518</v>
      </c>
      <c r="Q233" s="2" t="s">
        <v>519</v>
      </c>
      <c r="R233" s="2">
        <v>1</v>
      </c>
      <c r="S233" s="2">
        <v>300.58999999999997</v>
      </c>
      <c r="T233" s="2">
        <v>69.1357</v>
      </c>
      <c r="U233" s="2">
        <v>369.72570000000002</v>
      </c>
      <c r="W233" s="5">
        <f t="shared" si="27"/>
        <v>1</v>
      </c>
      <c r="Y233" s="2" t="s">
        <v>118</v>
      </c>
      <c r="AE233" s="2">
        <f t="shared" si="24"/>
        <v>0</v>
      </c>
      <c r="AI233" s="2">
        <f t="shared" si="25"/>
        <v>0</v>
      </c>
      <c r="AJ233" s="2">
        <f t="shared" si="26"/>
        <v>300.58999999999997</v>
      </c>
      <c r="AK233" s="5">
        <f t="shared" si="28"/>
        <v>1</v>
      </c>
    </row>
    <row r="234" spans="1:37" x14ac:dyDescent="0.2">
      <c r="A234" s="2">
        <v>2025</v>
      </c>
      <c r="B234" s="2">
        <v>1</v>
      </c>
      <c r="C234" s="2" t="s">
        <v>515</v>
      </c>
      <c r="D234" s="2" t="s">
        <v>109</v>
      </c>
      <c r="E234" s="2" t="s">
        <v>39</v>
      </c>
      <c r="F234" s="2">
        <v>506520145</v>
      </c>
      <c r="G234" s="2" t="s">
        <v>291</v>
      </c>
      <c r="H234" s="2" t="s">
        <v>516</v>
      </c>
      <c r="I234" s="2" t="s">
        <v>517</v>
      </c>
      <c r="J234" s="2">
        <v>933569769</v>
      </c>
      <c r="K234" s="2" t="s">
        <v>340</v>
      </c>
      <c r="L234" s="2" t="s">
        <v>40</v>
      </c>
      <c r="O234" s="2" t="s">
        <v>188</v>
      </c>
      <c r="P234" s="2" t="s">
        <v>189</v>
      </c>
      <c r="Q234" s="2" t="s">
        <v>190</v>
      </c>
      <c r="R234" s="2">
        <v>1</v>
      </c>
      <c r="S234" s="2">
        <v>50</v>
      </c>
      <c r="T234" s="2">
        <v>11.5</v>
      </c>
      <c r="U234" s="2">
        <v>61.5</v>
      </c>
      <c r="W234" s="5">
        <f t="shared" si="27"/>
        <v>1</v>
      </c>
      <c r="Y234" s="2" t="s">
        <v>118</v>
      </c>
      <c r="Z234" s="2" t="s">
        <v>191</v>
      </c>
      <c r="AE234" s="2">
        <f t="shared" si="24"/>
        <v>0</v>
      </c>
      <c r="AI234" s="2">
        <f t="shared" si="25"/>
        <v>0</v>
      </c>
      <c r="AJ234" s="2">
        <f t="shared" si="26"/>
        <v>50</v>
      </c>
      <c r="AK234" s="5">
        <f t="shared" si="28"/>
        <v>1</v>
      </c>
    </row>
    <row r="235" spans="1:37" x14ac:dyDescent="0.2">
      <c r="A235" s="2">
        <v>2025</v>
      </c>
      <c r="B235" s="2">
        <v>1</v>
      </c>
      <c r="C235" s="2" t="s">
        <v>515</v>
      </c>
      <c r="D235" s="2" t="s">
        <v>109</v>
      </c>
      <c r="E235" s="2" t="s">
        <v>39</v>
      </c>
      <c r="F235" s="2">
        <v>506520145</v>
      </c>
      <c r="G235" s="2" t="s">
        <v>291</v>
      </c>
      <c r="H235" s="2" t="s">
        <v>516</v>
      </c>
      <c r="I235" s="2" t="s">
        <v>517</v>
      </c>
      <c r="J235" s="2">
        <v>933569769</v>
      </c>
      <c r="K235" s="2" t="s">
        <v>340</v>
      </c>
      <c r="L235" s="2" t="s">
        <v>40</v>
      </c>
      <c r="O235" s="2" t="s">
        <v>188</v>
      </c>
      <c r="P235" s="2" t="s">
        <v>192</v>
      </c>
      <c r="Q235" s="2" t="s">
        <v>191</v>
      </c>
      <c r="R235" s="2">
        <v>0.75</v>
      </c>
      <c r="S235" s="2">
        <v>37.5</v>
      </c>
      <c r="T235" s="2">
        <v>8.625</v>
      </c>
      <c r="U235" s="2">
        <v>46.125</v>
      </c>
      <c r="V235" s="2">
        <f>S235*50%</f>
        <v>18.75</v>
      </c>
      <c r="W235" s="5">
        <f t="shared" si="27"/>
        <v>0.5</v>
      </c>
      <c r="Y235" s="2" t="s">
        <v>118</v>
      </c>
      <c r="Z235" s="2" t="s">
        <v>191</v>
      </c>
      <c r="AE235" s="2">
        <f t="shared" si="24"/>
        <v>0</v>
      </c>
      <c r="AI235" s="2">
        <f t="shared" si="25"/>
        <v>0</v>
      </c>
      <c r="AJ235" s="2">
        <f t="shared" si="26"/>
        <v>18.75</v>
      </c>
      <c r="AK235" s="5">
        <f t="shared" si="28"/>
        <v>0.5</v>
      </c>
    </row>
    <row r="236" spans="1:37" x14ac:dyDescent="0.2">
      <c r="A236" s="2">
        <v>2025</v>
      </c>
      <c r="B236" s="2">
        <v>1</v>
      </c>
      <c r="C236" s="2" t="s">
        <v>520</v>
      </c>
      <c r="D236" s="2" t="s">
        <v>38</v>
      </c>
      <c r="E236" s="2" t="s">
        <v>39</v>
      </c>
      <c r="F236" s="2">
        <v>514232749</v>
      </c>
      <c r="G236" s="2" t="s">
        <v>40</v>
      </c>
      <c r="H236" s="2" t="s">
        <v>280</v>
      </c>
      <c r="I236" s="2" t="s">
        <v>521</v>
      </c>
      <c r="J236" s="2">
        <v>967657430</v>
      </c>
      <c r="K236" s="2" t="s">
        <v>202</v>
      </c>
      <c r="N236" s="2" t="s">
        <v>522</v>
      </c>
      <c r="O236" s="2" t="s">
        <v>115</v>
      </c>
      <c r="P236" s="2" t="s">
        <v>523</v>
      </c>
      <c r="Q236" s="2" t="s">
        <v>524</v>
      </c>
      <c r="R236" s="2">
        <v>2</v>
      </c>
      <c r="S236" s="2">
        <v>80.349999999999994</v>
      </c>
      <c r="T236" s="2">
        <v>18.480499999999999</v>
      </c>
      <c r="U236" s="2">
        <v>98.830500000000001</v>
      </c>
      <c r="W236" s="5">
        <f t="shared" si="27"/>
        <v>1</v>
      </c>
      <c r="Y236" s="2" t="s">
        <v>118</v>
      </c>
      <c r="AE236" s="2">
        <f t="shared" si="24"/>
        <v>0</v>
      </c>
      <c r="AI236" s="2">
        <f t="shared" si="25"/>
        <v>0</v>
      </c>
      <c r="AJ236" s="2">
        <f t="shared" si="26"/>
        <v>80.349999999999994</v>
      </c>
      <c r="AK236" s="5">
        <f t="shared" si="28"/>
        <v>1</v>
      </c>
    </row>
    <row r="237" spans="1:37" x14ac:dyDescent="0.2">
      <c r="A237" s="2">
        <v>2025</v>
      </c>
      <c r="B237" s="2">
        <v>1</v>
      </c>
      <c r="C237" s="2" t="s">
        <v>520</v>
      </c>
      <c r="D237" s="2" t="s">
        <v>38</v>
      </c>
      <c r="E237" s="2" t="s">
        <v>39</v>
      </c>
      <c r="F237" s="2">
        <v>514232749</v>
      </c>
      <c r="G237" s="2" t="s">
        <v>40</v>
      </c>
      <c r="H237" s="2" t="s">
        <v>280</v>
      </c>
      <c r="I237" s="2" t="s">
        <v>521</v>
      </c>
      <c r="J237" s="2">
        <v>967657430</v>
      </c>
      <c r="K237" s="2" t="s">
        <v>202</v>
      </c>
      <c r="N237" s="2" t="s">
        <v>525</v>
      </c>
      <c r="O237" s="2" t="s">
        <v>115</v>
      </c>
      <c r="P237" s="2" t="s">
        <v>526</v>
      </c>
      <c r="Q237" s="2" t="s">
        <v>527</v>
      </c>
      <c r="R237" s="2">
        <v>2</v>
      </c>
      <c r="S237" s="2">
        <v>81.069999999999993</v>
      </c>
      <c r="T237" s="2">
        <v>18.646100000000001</v>
      </c>
      <c r="U237" s="2">
        <v>99.716099999999997</v>
      </c>
      <c r="W237" s="5">
        <f t="shared" si="27"/>
        <v>1</v>
      </c>
      <c r="Y237" s="2" t="s">
        <v>118</v>
      </c>
      <c r="AE237" s="2">
        <f t="shared" si="24"/>
        <v>0</v>
      </c>
      <c r="AI237" s="2">
        <f t="shared" si="25"/>
        <v>0</v>
      </c>
      <c r="AJ237" s="2">
        <f t="shared" si="26"/>
        <v>81.069999999999993</v>
      </c>
      <c r="AK237" s="5">
        <f t="shared" si="28"/>
        <v>1</v>
      </c>
    </row>
    <row r="238" spans="1:37" x14ac:dyDescent="0.2">
      <c r="A238" s="2">
        <v>2025</v>
      </c>
      <c r="B238" s="2">
        <v>1</v>
      </c>
      <c r="C238" s="2" t="s">
        <v>520</v>
      </c>
      <c r="D238" s="2" t="s">
        <v>38</v>
      </c>
      <c r="E238" s="2" t="s">
        <v>39</v>
      </c>
      <c r="F238" s="2">
        <v>514232749</v>
      </c>
      <c r="G238" s="2" t="s">
        <v>40</v>
      </c>
      <c r="H238" s="2" t="s">
        <v>280</v>
      </c>
      <c r="I238" s="2" t="s">
        <v>521</v>
      </c>
      <c r="J238" s="2">
        <v>967657430</v>
      </c>
      <c r="K238" s="2" t="s">
        <v>202</v>
      </c>
      <c r="N238" s="2" t="s">
        <v>522</v>
      </c>
      <c r="O238" s="2" t="s">
        <v>170</v>
      </c>
      <c r="P238" s="2" t="s">
        <v>171</v>
      </c>
      <c r="Q238" s="2" t="s">
        <v>171</v>
      </c>
      <c r="R238" s="2">
        <v>1</v>
      </c>
      <c r="S238" s="2">
        <v>8.5</v>
      </c>
      <c r="T238" s="2">
        <v>1.9550000000000001</v>
      </c>
      <c r="U238" s="2">
        <v>10.455</v>
      </c>
      <c r="W238" s="5">
        <f t="shared" si="27"/>
        <v>1</v>
      </c>
      <c r="Y238" s="2" t="s">
        <v>170</v>
      </c>
      <c r="Z238" s="2" t="s">
        <v>170</v>
      </c>
      <c r="AE238" s="2">
        <f t="shared" si="24"/>
        <v>0</v>
      </c>
      <c r="AI238" s="2">
        <f t="shared" si="25"/>
        <v>0</v>
      </c>
      <c r="AJ238" s="2">
        <f t="shared" si="26"/>
        <v>8.5</v>
      </c>
      <c r="AK238" s="5">
        <f t="shared" si="28"/>
        <v>1</v>
      </c>
    </row>
    <row r="239" spans="1:37" x14ac:dyDescent="0.2">
      <c r="A239" s="2">
        <v>2025</v>
      </c>
      <c r="B239" s="2">
        <v>1</v>
      </c>
      <c r="C239" s="2" t="s">
        <v>528</v>
      </c>
      <c r="D239" s="2" t="s">
        <v>109</v>
      </c>
      <c r="E239" s="2" t="s">
        <v>39</v>
      </c>
      <c r="F239" s="2">
        <v>500903557</v>
      </c>
      <c r="G239" s="2" t="s">
        <v>41</v>
      </c>
      <c r="H239" s="2" t="s">
        <v>3213</v>
      </c>
      <c r="I239" s="2" t="s">
        <v>3214</v>
      </c>
      <c r="K239" s="2" t="s">
        <v>202</v>
      </c>
      <c r="L239" s="2" t="s">
        <v>41</v>
      </c>
      <c r="N239" s="2" t="s">
        <v>3215</v>
      </c>
      <c r="O239" s="2" t="s">
        <v>73</v>
      </c>
      <c r="P239" s="2" t="s">
        <v>488</v>
      </c>
      <c r="Q239" s="2" t="s">
        <v>75</v>
      </c>
      <c r="R239" s="2">
        <v>1</v>
      </c>
      <c r="S239" s="2">
        <v>188.6</v>
      </c>
      <c r="T239" s="2">
        <v>43.378</v>
      </c>
      <c r="U239" s="2">
        <v>231.97800000000001</v>
      </c>
      <c r="V239" s="2">
        <v>131.93</v>
      </c>
      <c r="W239" s="5">
        <f t="shared" si="27"/>
        <v>0.30047720042417808</v>
      </c>
      <c r="Y239" s="2" t="s">
        <v>3256</v>
      </c>
      <c r="Z239" s="2" t="s">
        <v>76</v>
      </c>
      <c r="AA239" s="2" t="s">
        <v>77</v>
      </c>
      <c r="AB239" s="2" t="s">
        <v>78</v>
      </c>
      <c r="AE239" s="2">
        <f t="shared" si="24"/>
        <v>0</v>
      </c>
      <c r="AF239" s="2">
        <v>131.93</v>
      </c>
      <c r="AG239" s="2">
        <v>220</v>
      </c>
      <c r="AI239" s="2">
        <f t="shared" si="25"/>
        <v>0</v>
      </c>
      <c r="AJ239" s="2">
        <f t="shared" si="26"/>
        <v>56.669999999999987</v>
      </c>
      <c r="AK239" s="5">
        <f t="shared" si="28"/>
        <v>0.30047720042417808</v>
      </c>
    </row>
    <row r="240" spans="1:37" x14ac:dyDescent="0.2">
      <c r="A240" s="2">
        <v>2025</v>
      </c>
      <c r="B240" s="2">
        <v>1</v>
      </c>
      <c r="C240" s="2" t="s">
        <v>528</v>
      </c>
      <c r="D240" s="2" t="s">
        <v>109</v>
      </c>
      <c r="E240" s="2" t="s">
        <v>39</v>
      </c>
      <c r="F240" s="2">
        <v>500903557</v>
      </c>
      <c r="G240" s="2" t="s">
        <v>41</v>
      </c>
      <c r="H240" s="2" t="s">
        <v>3213</v>
      </c>
      <c r="I240" s="2" t="s">
        <v>3214</v>
      </c>
      <c r="K240" s="2" t="s">
        <v>202</v>
      </c>
      <c r="L240" s="2" t="s">
        <v>41</v>
      </c>
      <c r="N240" s="2" t="s">
        <v>3215</v>
      </c>
      <c r="O240" s="2" t="s">
        <v>94</v>
      </c>
      <c r="P240" s="2" t="s">
        <v>95</v>
      </c>
      <c r="Q240" s="2" t="s">
        <v>96</v>
      </c>
      <c r="R240" s="2">
        <v>1</v>
      </c>
      <c r="S240" s="2">
        <v>1.1399999999999999</v>
      </c>
      <c r="T240" s="2">
        <v>0.26219999999999999</v>
      </c>
      <c r="U240" s="2">
        <v>1.4021999999999999</v>
      </c>
      <c r="V240" s="2">
        <v>1.1399999999999999</v>
      </c>
      <c r="W240" s="5">
        <f t="shared" si="27"/>
        <v>0</v>
      </c>
      <c r="Y240" s="2" t="s">
        <v>3256</v>
      </c>
      <c r="Z240" s="2" t="s">
        <v>97</v>
      </c>
      <c r="AA240" s="2" t="s">
        <v>77</v>
      </c>
      <c r="AB240" s="2" t="s">
        <v>94</v>
      </c>
      <c r="AE240" s="2">
        <f t="shared" si="24"/>
        <v>0</v>
      </c>
      <c r="AF240" s="2">
        <v>1.1399999999999999</v>
      </c>
      <c r="AG240" s="2">
        <v>1.1399999999999999</v>
      </c>
      <c r="AI240" s="2">
        <f t="shared" si="25"/>
        <v>0</v>
      </c>
      <c r="AJ240" s="2">
        <f t="shared" si="26"/>
        <v>0</v>
      </c>
      <c r="AK240" s="5">
        <f t="shared" si="28"/>
        <v>0</v>
      </c>
    </row>
    <row r="241" spans="1:37" x14ac:dyDescent="0.2">
      <c r="A241" s="2">
        <v>2025</v>
      </c>
      <c r="B241" s="2">
        <v>1</v>
      </c>
      <c r="C241" s="2" t="s">
        <v>529</v>
      </c>
      <c r="D241" s="2" t="s">
        <v>109</v>
      </c>
      <c r="E241" s="2" t="s">
        <v>39</v>
      </c>
      <c r="F241" s="2">
        <v>509391583</v>
      </c>
      <c r="G241" s="2" t="s">
        <v>40</v>
      </c>
      <c r="H241" s="2" t="s">
        <v>530</v>
      </c>
      <c r="I241" s="2" t="s">
        <v>531</v>
      </c>
      <c r="K241" s="2" t="s">
        <v>345</v>
      </c>
      <c r="O241" s="2" t="s">
        <v>283</v>
      </c>
      <c r="P241" s="2" t="s">
        <v>532</v>
      </c>
      <c r="Q241" s="2" t="s">
        <v>533</v>
      </c>
      <c r="R241" s="2">
        <v>1</v>
      </c>
      <c r="S241" s="2">
        <v>399</v>
      </c>
      <c r="T241" s="2">
        <v>91.77000000000001</v>
      </c>
      <c r="U241" s="2">
        <v>490.77</v>
      </c>
      <c r="V241" s="2">
        <v>299.25</v>
      </c>
      <c r="W241" s="5">
        <f t="shared" si="27"/>
        <v>0.25</v>
      </c>
      <c r="Y241" s="2" t="s">
        <v>3256</v>
      </c>
      <c r="Z241" s="2" t="s">
        <v>72</v>
      </c>
      <c r="AA241" s="2" t="s">
        <v>120</v>
      </c>
      <c r="AB241" s="2" t="s">
        <v>120</v>
      </c>
      <c r="AE241" s="2">
        <f t="shared" si="24"/>
        <v>0</v>
      </c>
      <c r="AF241" s="2">
        <v>299.25</v>
      </c>
      <c r="AI241" s="2">
        <f t="shared" si="25"/>
        <v>0</v>
      </c>
      <c r="AJ241" s="2">
        <f t="shared" si="26"/>
        <v>99.75</v>
      </c>
      <c r="AK241" s="5">
        <f t="shared" si="28"/>
        <v>0.25</v>
      </c>
    </row>
    <row r="242" spans="1:37" x14ac:dyDescent="0.2">
      <c r="A242" s="2">
        <v>2025</v>
      </c>
      <c r="B242" s="2">
        <v>1</v>
      </c>
      <c r="C242" s="2" t="s">
        <v>529</v>
      </c>
      <c r="D242" s="2" t="s">
        <v>109</v>
      </c>
      <c r="E242" s="2" t="s">
        <v>39</v>
      </c>
      <c r="F242" s="2">
        <v>509391583</v>
      </c>
      <c r="G242" s="2" t="s">
        <v>40</v>
      </c>
      <c r="H242" s="2" t="s">
        <v>530</v>
      </c>
      <c r="I242" s="2" t="s">
        <v>531</v>
      </c>
      <c r="K242" s="2" t="s">
        <v>345</v>
      </c>
      <c r="O242" s="2" t="s">
        <v>73</v>
      </c>
      <c r="P242" s="2" t="s">
        <v>74</v>
      </c>
      <c r="Q242" s="2" t="s">
        <v>75</v>
      </c>
      <c r="R242" s="2">
        <v>1</v>
      </c>
      <c r="S242" s="2">
        <v>184</v>
      </c>
      <c r="T242" s="2">
        <v>42.32</v>
      </c>
      <c r="U242" s="2">
        <v>226.32</v>
      </c>
      <c r="V242" s="2">
        <v>117.453</v>
      </c>
      <c r="W242" s="5">
        <f t="shared" si="27"/>
        <v>0.36166847826086956</v>
      </c>
      <c r="Y242" s="2" t="s">
        <v>3256</v>
      </c>
      <c r="Z242" s="2" t="s">
        <v>76</v>
      </c>
      <c r="AA242" s="2" t="s">
        <v>77</v>
      </c>
      <c r="AB242" s="2" t="s">
        <v>78</v>
      </c>
      <c r="AE242" s="2">
        <f t="shared" si="24"/>
        <v>0</v>
      </c>
      <c r="AF242" s="2">
        <v>117.453</v>
      </c>
      <c r="AG242" s="2">
        <v>220</v>
      </c>
      <c r="AI242" s="2">
        <f t="shared" si="25"/>
        <v>0</v>
      </c>
      <c r="AJ242" s="2">
        <f t="shared" si="26"/>
        <v>66.546999999999997</v>
      </c>
      <c r="AK242" s="5">
        <f t="shared" si="28"/>
        <v>0.36166847826086956</v>
      </c>
    </row>
    <row r="243" spans="1:37" x14ac:dyDescent="0.2">
      <c r="A243" s="2">
        <v>2025</v>
      </c>
      <c r="B243" s="2">
        <v>1</v>
      </c>
      <c r="C243" s="2" t="s">
        <v>529</v>
      </c>
      <c r="D243" s="2" t="s">
        <v>109</v>
      </c>
      <c r="E243" s="2" t="s">
        <v>39</v>
      </c>
      <c r="F243" s="2">
        <v>509391583</v>
      </c>
      <c r="G243" s="2" t="s">
        <v>40</v>
      </c>
      <c r="H243" s="2" t="s">
        <v>530</v>
      </c>
      <c r="I243" s="2" t="s">
        <v>531</v>
      </c>
      <c r="K243" s="2" t="s">
        <v>345</v>
      </c>
      <c r="O243" s="2" t="s">
        <v>94</v>
      </c>
      <c r="P243" s="2" t="s">
        <v>95</v>
      </c>
      <c r="Q243" s="2" t="s">
        <v>96</v>
      </c>
      <c r="R243" s="2">
        <v>1</v>
      </c>
      <c r="S243" s="2">
        <v>1.1399999999999999</v>
      </c>
      <c r="T243" s="2">
        <v>0.26219999999999999</v>
      </c>
      <c r="U243" s="2">
        <v>1.4021999999999999</v>
      </c>
      <c r="V243" s="2">
        <v>1.1399999999999999</v>
      </c>
      <c r="W243" s="5">
        <f t="shared" si="27"/>
        <v>0</v>
      </c>
      <c r="Y243" s="2" t="s">
        <v>3256</v>
      </c>
      <c r="Z243" s="2" t="s">
        <v>97</v>
      </c>
      <c r="AA243" s="2" t="s">
        <v>77</v>
      </c>
      <c r="AB243" s="2" t="s">
        <v>94</v>
      </c>
      <c r="AE243" s="2">
        <f t="shared" si="24"/>
        <v>0</v>
      </c>
      <c r="AI243" s="2">
        <f t="shared" si="25"/>
        <v>0</v>
      </c>
      <c r="AJ243" s="2">
        <f t="shared" si="26"/>
        <v>0</v>
      </c>
      <c r="AK243" s="5">
        <f t="shared" si="28"/>
        <v>0</v>
      </c>
    </row>
    <row r="244" spans="1:37" x14ac:dyDescent="0.2">
      <c r="A244" s="2">
        <v>2025</v>
      </c>
      <c r="B244" s="2">
        <v>1</v>
      </c>
      <c r="C244" s="2" t="s">
        <v>534</v>
      </c>
      <c r="D244" s="2" t="s">
        <v>109</v>
      </c>
      <c r="E244" s="2" t="s">
        <v>535</v>
      </c>
      <c r="F244" s="2">
        <v>502139552</v>
      </c>
      <c r="G244" s="2" t="s">
        <v>40</v>
      </c>
      <c r="H244" s="2" t="s">
        <v>340</v>
      </c>
      <c r="I244" s="2" t="s">
        <v>536</v>
      </c>
      <c r="K244" s="2" t="s">
        <v>340</v>
      </c>
      <c r="L244" s="2" t="s">
        <v>81</v>
      </c>
      <c r="N244" s="2" t="s">
        <v>3220</v>
      </c>
      <c r="O244" s="2" t="s">
        <v>73</v>
      </c>
      <c r="P244" s="2" t="s">
        <v>537</v>
      </c>
      <c r="Q244" s="2" t="s">
        <v>538</v>
      </c>
      <c r="R244" s="2">
        <v>0</v>
      </c>
      <c r="S244" s="2">
        <v>0</v>
      </c>
      <c r="T244" s="2">
        <v>0</v>
      </c>
      <c r="U244" s="2">
        <v>0</v>
      </c>
      <c r="V244" s="2">
        <v>0</v>
      </c>
      <c r="W244" s="5">
        <v>0</v>
      </c>
      <c r="Y244" s="2" t="s">
        <v>3256</v>
      </c>
      <c r="Z244" s="2" t="s">
        <v>76</v>
      </c>
      <c r="AA244" s="2" t="s">
        <v>77</v>
      </c>
      <c r="AB244" s="2" t="s">
        <v>78</v>
      </c>
      <c r="AE244" s="2">
        <f t="shared" si="24"/>
        <v>0</v>
      </c>
      <c r="AF244" s="2">
        <f>110.125+11.77</f>
        <v>121.895</v>
      </c>
      <c r="AI244" s="2">
        <f t="shared" si="25"/>
        <v>0</v>
      </c>
      <c r="AJ244" s="2">
        <f t="shared" si="26"/>
        <v>0</v>
      </c>
      <c r="AK244" s="5">
        <v>0</v>
      </c>
    </row>
    <row r="245" spans="1:37" x14ac:dyDescent="0.2">
      <c r="A245" s="2">
        <v>2025</v>
      </c>
      <c r="B245" s="2">
        <v>1</v>
      </c>
      <c r="C245" s="2" t="s">
        <v>534</v>
      </c>
      <c r="D245" s="2" t="s">
        <v>109</v>
      </c>
      <c r="E245" s="2" t="s">
        <v>535</v>
      </c>
      <c r="F245" s="2">
        <v>502139552</v>
      </c>
      <c r="G245" s="2" t="s">
        <v>40</v>
      </c>
      <c r="H245" s="2" t="s">
        <v>340</v>
      </c>
      <c r="I245" s="2" t="s">
        <v>536</v>
      </c>
      <c r="K245" s="2" t="s">
        <v>340</v>
      </c>
      <c r="L245" s="2" t="s">
        <v>81</v>
      </c>
      <c r="O245" s="2" t="s">
        <v>73</v>
      </c>
      <c r="P245" s="2" t="s">
        <v>207</v>
      </c>
      <c r="Q245" s="2" t="s">
        <v>208</v>
      </c>
      <c r="R245" s="2">
        <v>1</v>
      </c>
      <c r="S245" s="2">
        <v>423.2</v>
      </c>
      <c r="T245" s="2">
        <v>97.335999999999999</v>
      </c>
      <c r="U245" s="2">
        <v>520.53599999999994</v>
      </c>
      <c r="V245" s="2">
        <f>291.59*R245</f>
        <v>291.58999999999997</v>
      </c>
      <c r="W245" s="5">
        <f t="shared" ref="W245:W261" si="29">(S245-V245)/S245</f>
        <v>0.31098771266540648</v>
      </c>
      <c r="Y245" s="2" t="s">
        <v>3256</v>
      </c>
      <c r="Z245" s="2" t="s">
        <v>76</v>
      </c>
      <c r="AA245" s="2" t="s">
        <v>77</v>
      </c>
      <c r="AB245" s="2" t="s">
        <v>78</v>
      </c>
      <c r="AE245" s="2">
        <f t="shared" si="24"/>
        <v>0</v>
      </c>
      <c r="AF245" s="2">
        <v>291.58999999999997</v>
      </c>
      <c r="AG245" s="2">
        <v>450</v>
      </c>
      <c r="AI245" s="2">
        <f t="shared" si="25"/>
        <v>0</v>
      </c>
      <c r="AJ245" s="2">
        <f t="shared" si="26"/>
        <v>131.61000000000001</v>
      </c>
      <c r="AK245" s="5">
        <f t="shared" si="28"/>
        <v>0.31098771266540648</v>
      </c>
    </row>
    <row r="246" spans="1:37" x14ac:dyDescent="0.2">
      <c r="A246" s="2">
        <v>2025</v>
      </c>
      <c r="B246" s="2">
        <v>1</v>
      </c>
      <c r="C246" s="2" t="s">
        <v>534</v>
      </c>
      <c r="D246" s="2" t="s">
        <v>109</v>
      </c>
      <c r="E246" s="2" t="s">
        <v>535</v>
      </c>
      <c r="F246" s="2">
        <v>502139552</v>
      </c>
      <c r="G246" s="2" t="s">
        <v>40</v>
      </c>
      <c r="H246" s="2" t="s">
        <v>340</v>
      </c>
      <c r="I246" s="2" t="s">
        <v>536</v>
      </c>
      <c r="K246" s="2" t="s">
        <v>340</v>
      </c>
      <c r="L246" s="2" t="s">
        <v>81</v>
      </c>
      <c r="O246" s="2" t="s">
        <v>94</v>
      </c>
      <c r="P246" s="2" t="s">
        <v>95</v>
      </c>
      <c r="Q246" s="2" t="s">
        <v>96</v>
      </c>
      <c r="R246" s="2">
        <v>1</v>
      </c>
      <c r="S246" s="2">
        <v>1.1399999999999999</v>
      </c>
      <c r="T246" s="2">
        <v>0.26219999999999999</v>
      </c>
      <c r="U246" s="2">
        <v>1.4021999999999999</v>
      </c>
      <c r="V246" s="2">
        <v>1.1399999999999999</v>
      </c>
      <c r="W246" s="5">
        <f t="shared" si="29"/>
        <v>0</v>
      </c>
      <c r="Y246" s="2" t="s">
        <v>3256</v>
      </c>
      <c r="Z246" s="2" t="s">
        <v>97</v>
      </c>
      <c r="AA246" s="2" t="s">
        <v>77</v>
      </c>
      <c r="AB246" s="2" t="s">
        <v>94</v>
      </c>
      <c r="AE246" s="2">
        <f t="shared" si="24"/>
        <v>0</v>
      </c>
      <c r="AI246" s="2">
        <f t="shared" si="25"/>
        <v>0</v>
      </c>
      <c r="AJ246" s="2">
        <f t="shared" si="26"/>
        <v>0</v>
      </c>
      <c r="AK246" s="5">
        <f t="shared" si="28"/>
        <v>0</v>
      </c>
    </row>
    <row r="247" spans="1:37" x14ac:dyDescent="0.2">
      <c r="A247" s="2">
        <v>2025</v>
      </c>
      <c r="B247" s="2">
        <v>1</v>
      </c>
      <c r="C247" s="2" t="s">
        <v>539</v>
      </c>
      <c r="D247" s="2" t="s">
        <v>109</v>
      </c>
      <c r="E247" s="2" t="s">
        <v>39</v>
      </c>
      <c r="F247" s="2">
        <v>500973903</v>
      </c>
      <c r="G247" s="2" t="s">
        <v>41</v>
      </c>
      <c r="H247" s="2" t="s">
        <v>540</v>
      </c>
      <c r="I247" s="2" t="s">
        <v>541</v>
      </c>
      <c r="K247" s="2" t="s">
        <v>465</v>
      </c>
      <c r="L247" s="2" t="s">
        <v>40</v>
      </c>
      <c r="N247" s="2" t="s">
        <v>542</v>
      </c>
      <c r="O247" s="2" t="s">
        <v>115</v>
      </c>
      <c r="P247" s="2" t="s">
        <v>543</v>
      </c>
      <c r="Q247" s="2" t="s">
        <v>544</v>
      </c>
      <c r="R247" s="2">
        <v>1</v>
      </c>
      <c r="S247" s="2">
        <v>49.81</v>
      </c>
      <c r="T247" s="2">
        <v>11.456300000000001</v>
      </c>
      <c r="U247" s="2">
        <v>61.266300000000001</v>
      </c>
      <c r="W247" s="5">
        <f t="shared" si="29"/>
        <v>1</v>
      </c>
      <c r="AE247" s="2">
        <f t="shared" si="24"/>
        <v>0</v>
      </c>
      <c r="AI247" s="2">
        <f t="shared" si="25"/>
        <v>0</v>
      </c>
      <c r="AJ247" s="2">
        <f t="shared" si="26"/>
        <v>49.81</v>
      </c>
      <c r="AK247" s="5">
        <f t="shared" si="28"/>
        <v>1</v>
      </c>
    </row>
    <row r="248" spans="1:37" x14ac:dyDescent="0.2">
      <c r="A248" s="2">
        <v>2025</v>
      </c>
      <c r="B248" s="2">
        <v>1</v>
      </c>
      <c r="C248" s="2" t="s">
        <v>539</v>
      </c>
      <c r="D248" s="2" t="s">
        <v>109</v>
      </c>
      <c r="E248" s="2" t="s">
        <v>39</v>
      </c>
      <c r="F248" s="2">
        <v>500973903</v>
      </c>
      <c r="G248" s="2" t="s">
        <v>41</v>
      </c>
      <c r="H248" s="2" t="s">
        <v>540</v>
      </c>
      <c r="I248" s="2" t="s">
        <v>541</v>
      </c>
      <c r="K248" s="2" t="s">
        <v>465</v>
      </c>
      <c r="L248" s="2" t="s">
        <v>41</v>
      </c>
      <c r="N248" s="2" t="s">
        <v>545</v>
      </c>
      <c r="O248" s="2" t="s">
        <v>73</v>
      </c>
      <c r="P248" s="2" t="s">
        <v>74</v>
      </c>
      <c r="Q248" s="2" t="s">
        <v>75</v>
      </c>
      <c r="R248" s="2">
        <v>1</v>
      </c>
      <c r="S248" s="2">
        <v>184</v>
      </c>
      <c r="T248" s="2">
        <v>42.32</v>
      </c>
      <c r="U248" s="2">
        <v>226.32</v>
      </c>
      <c r="V248" s="2">
        <v>117.453</v>
      </c>
      <c r="W248" s="5">
        <f t="shared" si="29"/>
        <v>0.36166847826086956</v>
      </c>
      <c r="Y248" s="2" t="s">
        <v>3256</v>
      </c>
      <c r="Z248" s="2" t="s">
        <v>76</v>
      </c>
      <c r="AA248" s="2" t="s">
        <v>77</v>
      </c>
      <c r="AB248" s="2" t="s">
        <v>78</v>
      </c>
      <c r="AE248" s="2">
        <f t="shared" si="24"/>
        <v>0</v>
      </c>
      <c r="AF248" s="2">
        <v>117.453</v>
      </c>
      <c r="AG248" s="2">
        <v>220</v>
      </c>
      <c r="AI248" s="2">
        <f t="shared" si="25"/>
        <v>0</v>
      </c>
      <c r="AJ248" s="2">
        <f t="shared" si="26"/>
        <v>66.546999999999997</v>
      </c>
      <c r="AK248" s="5">
        <f t="shared" si="28"/>
        <v>0.36166847826086956</v>
      </c>
    </row>
    <row r="249" spans="1:37" x14ac:dyDescent="0.2">
      <c r="A249" s="2">
        <v>2025</v>
      </c>
      <c r="B249" s="2">
        <v>1</v>
      </c>
      <c r="C249" s="2" t="s">
        <v>539</v>
      </c>
      <c r="D249" s="2" t="s">
        <v>109</v>
      </c>
      <c r="E249" s="2" t="s">
        <v>39</v>
      </c>
      <c r="F249" s="2">
        <v>500973903</v>
      </c>
      <c r="G249" s="2" t="s">
        <v>41</v>
      </c>
      <c r="H249" s="2" t="s">
        <v>540</v>
      </c>
      <c r="I249" s="2" t="s">
        <v>541</v>
      </c>
      <c r="K249" s="2" t="s">
        <v>465</v>
      </c>
      <c r="L249" s="2" t="s">
        <v>41</v>
      </c>
      <c r="N249" s="2" t="s">
        <v>545</v>
      </c>
      <c r="O249" s="2" t="s">
        <v>94</v>
      </c>
      <c r="P249" s="2" t="s">
        <v>95</v>
      </c>
      <c r="Q249" s="2" t="s">
        <v>96</v>
      </c>
      <c r="R249" s="2">
        <v>1</v>
      </c>
      <c r="S249" s="2">
        <v>1.1399999999999999</v>
      </c>
      <c r="T249" s="2">
        <v>0.26219999999999999</v>
      </c>
      <c r="U249" s="2">
        <v>1.4021999999999999</v>
      </c>
      <c r="V249" s="2">
        <v>1.1399999999999999</v>
      </c>
      <c r="W249" s="5">
        <f t="shared" si="29"/>
        <v>0</v>
      </c>
      <c r="Y249" s="2" t="s">
        <v>3256</v>
      </c>
      <c r="Z249" s="2" t="s">
        <v>97</v>
      </c>
      <c r="AA249" s="2" t="s">
        <v>77</v>
      </c>
      <c r="AB249" s="2" t="s">
        <v>94</v>
      </c>
      <c r="AE249" s="2">
        <f t="shared" si="24"/>
        <v>0</v>
      </c>
      <c r="AI249" s="2">
        <f t="shared" si="25"/>
        <v>0</v>
      </c>
      <c r="AJ249" s="2">
        <f t="shared" si="26"/>
        <v>0</v>
      </c>
      <c r="AK249" s="5">
        <f t="shared" si="28"/>
        <v>0</v>
      </c>
    </row>
    <row r="250" spans="1:37" x14ac:dyDescent="0.2">
      <c r="A250" s="2">
        <v>2025</v>
      </c>
      <c r="B250" s="2">
        <v>1</v>
      </c>
      <c r="C250" s="2" t="s">
        <v>546</v>
      </c>
      <c r="D250" s="2" t="s">
        <v>109</v>
      </c>
      <c r="E250" s="2" t="s">
        <v>39</v>
      </c>
      <c r="F250" s="2">
        <v>506411206</v>
      </c>
      <c r="G250" s="2" t="s">
        <v>41</v>
      </c>
      <c r="H250" s="2" t="s">
        <v>547</v>
      </c>
      <c r="I250" s="2" t="s">
        <v>548</v>
      </c>
      <c r="K250" s="2" t="s">
        <v>202</v>
      </c>
      <c r="L250" s="2" t="s">
        <v>41</v>
      </c>
      <c r="N250" s="2" t="s">
        <v>549</v>
      </c>
      <c r="O250" s="2" t="s">
        <v>40</v>
      </c>
      <c r="P250" s="2" t="s">
        <v>550</v>
      </c>
      <c r="Q250" s="2" t="s">
        <v>551</v>
      </c>
      <c r="R250" s="2">
        <v>1</v>
      </c>
      <c r="S250" s="2">
        <v>202.4</v>
      </c>
      <c r="T250" s="2">
        <v>46.552000000000007</v>
      </c>
      <c r="U250" s="2">
        <v>248.952</v>
      </c>
      <c r="V250" s="2">
        <v>91.41</v>
      </c>
      <c r="W250" s="5">
        <f t="shared" si="29"/>
        <v>0.54836956521739133</v>
      </c>
      <c r="Y250" s="2" t="s">
        <v>3256</v>
      </c>
      <c r="Z250" s="2" t="s">
        <v>76</v>
      </c>
      <c r="AA250" s="2" t="s">
        <v>77</v>
      </c>
      <c r="AB250" s="2" t="s">
        <v>40</v>
      </c>
      <c r="AE250" s="2">
        <f t="shared" si="24"/>
        <v>0</v>
      </c>
      <c r="AF250" s="2">
        <v>91.41</v>
      </c>
      <c r="AI250" s="2">
        <f t="shared" si="25"/>
        <v>0</v>
      </c>
      <c r="AJ250" s="2">
        <f t="shared" si="26"/>
        <v>110.99000000000001</v>
      </c>
      <c r="AK250" s="5">
        <f t="shared" si="28"/>
        <v>0.54836956521739133</v>
      </c>
    </row>
    <row r="251" spans="1:37" x14ac:dyDescent="0.2">
      <c r="A251" s="2">
        <v>2025</v>
      </c>
      <c r="B251" s="2">
        <v>1</v>
      </c>
      <c r="C251" s="2" t="s">
        <v>546</v>
      </c>
      <c r="D251" s="2" t="s">
        <v>109</v>
      </c>
      <c r="E251" s="2" t="s">
        <v>39</v>
      </c>
      <c r="F251" s="2">
        <v>506411206</v>
      </c>
      <c r="G251" s="2" t="s">
        <v>41</v>
      </c>
      <c r="H251" s="2" t="s">
        <v>547</v>
      </c>
      <c r="I251" s="2" t="s">
        <v>548</v>
      </c>
      <c r="K251" s="2" t="s">
        <v>202</v>
      </c>
      <c r="L251" s="2" t="s">
        <v>41</v>
      </c>
      <c r="N251" s="2" t="s">
        <v>549</v>
      </c>
      <c r="O251" s="2" t="s">
        <v>94</v>
      </c>
      <c r="P251" s="2" t="s">
        <v>95</v>
      </c>
      <c r="Q251" s="2" t="s">
        <v>96</v>
      </c>
      <c r="R251" s="2">
        <v>1</v>
      </c>
      <c r="S251" s="2">
        <v>1.1399999999999999</v>
      </c>
      <c r="T251" s="2">
        <v>0.26219999999999999</v>
      </c>
      <c r="U251" s="2">
        <v>1.4021999999999999</v>
      </c>
      <c r="V251" s="2">
        <v>1.1399999999999999</v>
      </c>
      <c r="W251" s="5">
        <f t="shared" si="29"/>
        <v>0</v>
      </c>
      <c r="Y251" s="2" t="s">
        <v>3256</v>
      </c>
      <c r="Z251" s="2" t="s">
        <v>97</v>
      </c>
      <c r="AA251" s="2" t="s">
        <v>77</v>
      </c>
      <c r="AB251" s="2" t="s">
        <v>94</v>
      </c>
      <c r="AE251" s="2">
        <f t="shared" si="24"/>
        <v>0</v>
      </c>
      <c r="AF251" s="2">
        <v>1.1399999999999999</v>
      </c>
      <c r="AG251" s="2">
        <v>1.1399999999999999</v>
      </c>
      <c r="AI251" s="2">
        <f t="shared" si="25"/>
        <v>0</v>
      </c>
      <c r="AJ251" s="2">
        <f t="shared" si="26"/>
        <v>0</v>
      </c>
      <c r="AK251" s="5">
        <f t="shared" si="28"/>
        <v>0</v>
      </c>
    </row>
    <row r="252" spans="1:37" x14ac:dyDescent="0.2">
      <c r="A252" s="2">
        <v>2025</v>
      </c>
      <c r="B252" s="2">
        <v>1</v>
      </c>
      <c r="C252" s="2" t="s">
        <v>552</v>
      </c>
      <c r="L252" s="2" t="s">
        <v>40</v>
      </c>
      <c r="O252" s="2" t="s">
        <v>188</v>
      </c>
      <c r="P252" s="2" t="s">
        <v>318</v>
      </c>
      <c r="Q252" s="2" t="s">
        <v>319</v>
      </c>
      <c r="R252" s="2">
        <v>1</v>
      </c>
      <c r="S252" s="2">
        <v>1007</v>
      </c>
      <c r="T252" s="2">
        <v>231.61</v>
      </c>
      <c r="U252" s="2">
        <v>1238.6099999999999</v>
      </c>
      <c r="W252" s="5">
        <f t="shared" si="29"/>
        <v>1</v>
      </c>
      <c r="Y252" s="2" t="s">
        <v>118</v>
      </c>
      <c r="Z252" s="2" t="s">
        <v>318</v>
      </c>
      <c r="AE252" s="2">
        <f t="shared" si="24"/>
        <v>0</v>
      </c>
      <c r="AI252" s="2">
        <f t="shared" si="25"/>
        <v>0</v>
      </c>
      <c r="AJ252" s="2">
        <f t="shared" si="26"/>
        <v>1007</v>
      </c>
      <c r="AK252" s="5">
        <f t="shared" si="28"/>
        <v>1</v>
      </c>
    </row>
    <row r="253" spans="1:37" x14ac:dyDescent="0.2">
      <c r="A253" s="2">
        <v>2025</v>
      </c>
      <c r="B253" s="2">
        <v>1</v>
      </c>
      <c r="C253" s="2" t="s">
        <v>553</v>
      </c>
      <c r="D253" s="2" t="s">
        <v>109</v>
      </c>
      <c r="E253" s="2" t="s">
        <v>397</v>
      </c>
      <c r="F253" s="2">
        <v>503641790</v>
      </c>
      <c r="G253" s="2" t="s">
        <v>40</v>
      </c>
      <c r="H253" s="2" t="s">
        <v>554</v>
      </c>
      <c r="I253" s="2" t="s">
        <v>555</v>
      </c>
      <c r="J253" s="2">
        <v>917753665</v>
      </c>
      <c r="K253" s="2" t="s">
        <v>100</v>
      </c>
      <c r="L253" s="2" t="s">
        <v>81</v>
      </c>
      <c r="N253" s="2" t="s">
        <v>556</v>
      </c>
      <c r="O253" s="2" t="s">
        <v>43</v>
      </c>
      <c r="P253" s="2" t="s">
        <v>557</v>
      </c>
      <c r="Q253" s="2" t="s">
        <v>558</v>
      </c>
      <c r="R253" s="2">
        <v>1</v>
      </c>
      <c r="S253" s="2">
        <v>33</v>
      </c>
      <c r="T253" s="2">
        <v>7.5900000000000007</v>
      </c>
      <c r="U253" s="2">
        <v>40.590000000000003</v>
      </c>
      <c r="V253" s="2">
        <v>15.494999999999999</v>
      </c>
      <c r="W253" s="5">
        <f t="shared" si="29"/>
        <v>0.53045454545454551</v>
      </c>
      <c r="Y253" s="2" t="s">
        <v>3256</v>
      </c>
      <c r="Z253" s="2" t="s">
        <v>46</v>
      </c>
      <c r="AA253" s="2" t="s">
        <v>47</v>
      </c>
      <c r="AB253" s="2" t="s">
        <v>48</v>
      </c>
      <c r="AE253" s="2">
        <f t="shared" si="24"/>
        <v>0</v>
      </c>
      <c r="AF253" s="2">
        <v>15.494999999999999</v>
      </c>
      <c r="AG253" s="2">
        <v>36</v>
      </c>
      <c r="AI253" s="2">
        <f t="shared" si="25"/>
        <v>0</v>
      </c>
      <c r="AJ253" s="2">
        <f t="shared" si="26"/>
        <v>17.505000000000003</v>
      </c>
      <c r="AK253" s="5">
        <f t="shared" ref="AK253:AK288" si="30">(S253-V253)/S253</f>
        <v>0.53045454545454551</v>
      </c>
    </row>
    <row r="254" spans="1:37" x14ac:dyDescent="0.2">
      <c r="A254" s="2">
        <v>2025</v>
      </c>
      <c r="B254" s="2">
        <v>1</v>
      </c>
      <c r="C254" s="2" t="s">
        <v>553</v>
      </c>
      <c r="D254" s="2" t="s">
        <v>109</v>
      </c>
      <c r="E254" s="2" t="s">
        <v>397</v>
      </c>
      <c r="F254" s="2">
        <v>503641790</v>
      </c>
      <c r="G254" s="2" t="s">
        <v>40</v>
      </c>
      <c r="H254" s="2" t="s">
        <v>554</v>
      </c>
      <c r="I254" s="2" t="s">
        <v>555</v>
      </c>
      <c r="J254" s="2">
        <v>917753665</v>
      </c>
      <c r="K254" s="2" t="s">
        <v>100</v>
      </c>
      <c r="L254" s="2" t="s">
        <v>81</v>
      </c>
      <c r="N254" s="2" t="s">
        <v>559</v>
      </c>
      <c r="O254" s="2" t="s">
        <v>73</v>
      </c>
      <c r="P254" s="2" t="s">
        <v>74</v>
      </c>
      <c r="Q254" s="2" t="s">
        <v>75</v>
      </c>
      <c r="R254" s="2">
        <v>2</v>
      </c>
      <c r="S254" s="2">
        <v>368</v>
      </c>
      <c r="T254" s="2">
        <v>84.64</v>
      </c>
      <c r="U254" s="2">
        <v>452.64</v>
      </c>
      <c r="V254" s="2">
        <v>234.90600000000001</v>
      </c>
      <c r="W254" s="5">
        <f t="shared" si="29"/>
        <v>0.36166847826086956</v>
      </c>
      <c r="Y254" s="2" t="s">
        <v>3256</v>
      </c>
      <c r="Z254" s="2" t="s">
        <v>76</v>
      </c>
      <c r="AA254" s="2" t="s">
        <v>77</v>
      </c>
      <c r="AB254" s="2" t="s">
        <v>78</v>
      </c>
      <c r="AE254" s="2">
        <f t="shared" si="24"/>
        <v>0</v>
      </c>
      <c r="AF254" s="2">
        <v>117.453</v>
      </c>
      <c r="AG254" s="2">
        <v>220</v>
      </c>
      <c r="AI254" s="2">
        <f t="shared" si="25"/>
        <v>0</v>
      </c>
      <c r="AJ254" s="2">
        <f t="shared" si="26"/>
        <v>133.09399999999999</v>
      </c>
      <c r="AK254" s="5">
        <f t="shared" si="30"/>
        <v>0.36166847826086956</v>
      </c>
    </row>
    <row r="255" spans="1:37" x14ac:dyDescent="0.2">
      <c r="A255" s="2">
        <v>2025</v>
      </c>
      <c r="B255" s="2">
        <v>1</v>
      </c>
      <c r="C255" s="2" t="s">
        <v>553</v>
      </c>
      <c r="D255" s="2" t="s">
        <v>109</v>
      </c>
      <c r="E255" s="2" t="s">
        <v>397</v>
      </c>
      <c r="F255" s="2">
        <v>503641790</v>
      </c>
      <c r="G255" s="2" t="s">
        <v>40</v>
      </c>
      <c r="H255" s="2" t="s">
        <v>554</v>
      </c>
      <c r="I255" s="2" t="s">
        <v>555</v>
      </c>
      <c r="J255" s="2">
        <v>917753665</v>
      </c>
      <c r="K255" s="2" t="s">
        <v>100</v>
      </c>
      <c r="L255" s="2" t="s">
        <v>81</v>
      </c>
      <c r="N255" s="2" t="s">
        <v>559</v>
      </c>
      <c r="O255" s="2" t="s">
        <v>73</v>
      </c>
      <c r="P255" s="2" t="s">
        <v>560</v>
      </c>
      <c r="Q255" s="2" t="s">
        <v>383</v>
      </c>
      <c r="R255" s="2">
        <v>1</v>
      </c>
      <c r="S255" s="2">
        <v>211.6</v>
      </c>
      <c r="T255" s="2">
        <v>48.667999999999999</v>
      </c>
      <c r="U255" s="2">
        <v>260.26799999999997</v>
      </c>
      <c r="V255" s="2">
        <v>143.91999999999999</v>
      </c>
      <c r="W255" s="5">
        <f t="shared" si="29"/>
        <v>0.31984877126654071</v>
      </c>
      <c r="Y255" s="2" t="s">
        <v>3256</v>
      </c>
      <c r="Z255" s="2" t="s">
        <v>76</v>
      </c>
      <c r="AA255" s="2" t="s">
        <v>77</v>
      </c>
      <c r="AB255" s="2" t="s">
        <v>78</v>
      </c>
      <c r="AE255" s="2">
        <f t="shared" si="24"/>
        <v>0</v>
      </c>
      <c r="AF255" s="2">
        <v>143.91999999999999</v>
      </c>
      <c r="AI255" s="2">
        <f t="shared" si="25"/>
        <v>0</v>
      </c>
      <c r="AJ255" s="2">
        <f t="shared" si="26"/>
        <v>67.680000000000007</v>
      </c>
      <c r="AK255" s="5">
        <f t="shared" si="30"/>
        <v>0.31984877126654071</v>
      </c>
    </row>
    <row r="256" spans="1:37" x14ac:dyDescent="0.2">
      <c r="A256" s="2">
        <v>2025</v>
      </c>
      <c r="B256" s="2">
        <v>1</v>
      </c>
      <c r="C256" s="2" t="s">
        <v>553</v>
      </c>
      <c r="D256" s="2" t="s">
        <v>109</v>
      </c>
      <c r="E256" s="2" t="s">
        <v>397</v>
      </c>
      <c r="F256" s="2">
        <v>503641790</v>
      </c>
      <c r="G256" s="2" t="s">
        <v>40</v>
      </c>
      <c r="H256" s="2" t="s">
        <v>554</v>
      </c>
      <c r="I256" s="2" t="s">
        <v>555</v>
      </c>
      <c r="J256" s="2">
        <v>917753665</v>
      </c>
      <c r="K256" s="2" t="s">
        <v>100</v>
      </c>
      <c r="L256" s="2" t="s">
        <v>81</v>
      </c>
      <c r="N256" s="2" t="s">
        <v>559</v>
      </c>
      <c r="O256" s="2" t="s">
        <v>73</v>
      </c>
      <c r="P256" s="2" t="s">
        <v>561</v>
      </c>
      <c r="Q256" s="2" t="s">
        <v>308</v>
      </c>
      <c r="R256" s="2">
        <v>1</v>
      </c>
      <c r="S256" s="2">
        <v>211.6</v>
      </c>
      <c r="T256" s="2">
        <v>48.667999999999999</v>
      </c>
      <c r="U256" s="2">
        <v>260.26799999999997</v>
      </c>
      <c r="V256" s="2">
        <v>122.446</v>
      </c>
      <c r="W256" s="5">
        <f t="shared" si="29"/>
        <v>0.4213327032136106</v>
      </c>
      <c r="Y256" s="2" t="s">
        <v>3256</v>
      </c>
      <c r="Z256" s="2" t="s">
        <v>76</v>
      </c>
      <c r="AA256" s="2" t="s">
        <v>77</v>
      </c>
      <c r="AB256" s="2" t="s">
        <v>78</v>
      </c>
      <c r="AE256" s="2">
        <f t="shared" si="24"/>
        <v>0</v>
      </c>
      <c r="AF256" s="2">
        <v>122.446</v>
      </c>
      <c r="AG256" s="2">
        <v>230</v>
      </c>
      <c r="AI256" s="2">
        <f t="shared" si="25"/>
        <v>0</v>
      </c>
      <c r="AJ256" s="2">
        <f t="shared" si="26"/>
        <v>89.153999999999996</v>
      </c>
      <c r="AK256" s="5">
        <f t="shared" si="30"/>
        <v>0.4213327032136106</v>
      </c>
    </row>
    <row r="257" spans="1:37" x14ac:dyDescent="0.2">
      <c r="A257" s="2">
        <v>2025</v>
      </c>
      <c r="B257" s="2">
        <v>1</v>
      </c>
      <c r="C257" s="2" t="s">
        <v>553</v>
      </c>
      <c r="D257" s="2" t="s">
        <v>109</v>
      </c>
      <c r="E257" s="2" t="s">
        <v>397</v>
      </c>
      <c r="F257" s="2">
        <v>503641790</v>
      </c>
      <c r="G257" s="2" t="s">
        <v>40</v>
      </c>
      <c r="H257" s="2" t="s">
        <v>554</v>
      </c>
      <c r="I257" s="2" t="s">
        <v>555</v>
      </c>
      <c r="J257" s="2">
        <v>917753665</v>
      </c>
      <c r="K257" s="2" t="s">
        <v>100</v>
      </c>
      <c r="L257" s="2" t="s">
        <v>81</v>
      </c>
      <c r="N257" s="2" t="s">
        <v>559</v>
      </c>
      <c r="O257" s="2" t="s">
        <v>94</v>
      </c>
      <c r="P257" s="2" t="s">
        <v>95</v>
      </c>
      <c r="Q257" s="2" t="s">
        <v>96</v>
      </c>
      <c r="R257" s="2">
        <v>4</v>
      </c>
      <c r="S257" s="2">
        <v>4.5599999999999996</v>
      </c>
      <c r="T257" s="2">
        <v>1.0488</v>
      </c>
      <c r="U257" s="2">
        <v>5.6087999999999996</v>
      </c>
      <c r="V257" s="2">
        <v>4.5599999999999996</v>
      </c>
      <c r="W257" s="5">
        <f t="shared" si="29"/>
        <v>0</v>
      </c>
      <c r="Y257" s="2" t="s">
        <v>3256</v>
      </c>
      <c r="Z257" s="2" t="s">
        <v>97</v>
      </c>
      <c r="AA257" s="2" t="s">
        <v>77</v>
      </c>
      <c r="AB257" s="2" t="s">
        <v>94</v>
      </c>
      <c r="AE257" s="2">
        <f t="shared" si="24"/>
        <v>0</v>
      </c>
      <c r="AF257" s="2">
        <v>1.1399999999999999</v>
      </c>
      <c r="AG257" s="2">
        <v>1.1399999999999999</v>
      </c>
      <c r="AI257" s="2">
        <f t="shared" si="25"/>
        <v>0</v>
      </c>
      <c r="AJ257" s="2">
        <f t="shared" si="26"/>
        <v>0</v>
      </c>
      <c r="AK257" s="5">
        <f t="shared" si="30"/>
        <v>0</v>
      </c>
    </row>
    <row r="258" spans="1:37" x14ac:dyDescent="0.2">
      <c r="A258" s="2">
        <v>2025</v>
      </c>
      <c r="B258" s="2">
        <v>1</v>
      </c>
      <c r="C258" s="2" t="s">
        <v>562</v>
      </c>
      <c r="D258" s="2" t="s">
        <v>109</v>
      </c>
      <c r="E258" s="2" t="s">
        <v>39</v>
      </c>
      <c r="F258" s="2">
        <v>506517233</v>
      </c>
      <c r="G258" s="2" t="s">
        <v>81</v>
      </c>
      <c r="H258" s="2" t="s">
        <v>563</v>
      </c>
      <c r="I258" s="2" t="s">
        <v>564</v>
      </c>
      <c r="K258" s="2" t="s">
        <v>134</v>
      </c>
      <c r="O258" s="2" t="s">
        <v>115</v>
      </c>
      <c r="P258" s="2" t="s">
        <v>565</v>
      </c>
      <c r="Q258" s="2" t="s">
        <v>566</v>
      </c>
      <c r="R258" s="2">
        <v>2</v>
      </c>
      <c r="S258" s="2">
        <v>28.57</v>
      </c>
      <c r="T258" s="2">
        <v>6.5711000000000004</v>
      </c>
      <c r="U258" s="2">
        <v>35.141100000000002</v>
      </c>
      <c r="V258" s="2">
        <f>5.33*R258</f>
        <v>10.66</v>
      </c>
      <c r="W258" s="5">
        <f t="shared" si="29"/>
        <v>0.62688134406720331</v>
      </c>
      <c r="Y258" s="2" t="s">
        <v>118</v>
      </c>
      <c r="Z258" s="2" t="s">
        <v>119</v>
      </c>
      <c r="AA258" s="2" t="s">
        <v>120</v>
      </c>
      <c r="AB258" s="2" t="s">
        <v>115</v>
      </c>
      <c r="AE258" s="2">
        <f t="shared" ref="AE258:AE321" si="31">AI258</f>
        <v>0</v>
      </c>
      <c r="AF258" s="2">
        <v>5.33</v>
      </c>
      <c r="AI258" s="2">
        <f t="shared" ref="AI258:AI321" si="32">AH258*S258</f>
        <v>0</v>
      </c>
      <c r="AJ258" s="2">
        <f t="shared" ref="AJ258:AJ321" si="33">S258-V258</f>
        <v>17.91</v>
      </c>
      <c r="AK258" s="5">
        <f t="shared" si="30"/>
        <v>0.62688134406720331</v>
      </c>
    </row>
    <row r="259" spans="1:37" x14ac:dyDescent="0.2">
      <c r="A259" s="2">
        <v>2025</v>
      </c>
      <c r="B259" s="2">
        <v>1</v>
      </c>
      <c r="C259" s="2" t="s">
        <v>567</v>
      </c>
      <c r="D259" s="2" t="s">
        <v>109</v>
      </c>
      <c r="E259" s="2" t="s">
        <v>39</v>
      </c>
      <c r="F259" s="2">
        <v>510917011</v>
      </c>
      <c r="G259" s="2" t="s">
        <v>41</v>
      </c>
      <c r="H259" s="2" t="s">
        <v>568</v>
      </c>
      <c r="I259" s="2" t="s">
        <v>569</v>
      </c>
      <c r="K259" s="2" t="s">
        <v>422</v>
      </c>
      <c r="L259" s="2" t="s">
        <v>40</v>
      </c>
      <c r="N259" s="2" t="s">
        <v>570</v>
      </c>
      <c r="O259" s="2" t="s">
        <v>188</v>
      </c>
      <c r="P259" s="2" t="s">
        <v>189</v>
      </c>
      <c r="Q259" s="2" t="s">
        <v>190</v>
      </c>
      <c r="R259" s="2">
        <v>1</v>
      </c>
      <c r="S259" s="2">
        <v>107</v>
      </c>
      <c r="T259" s="2">
        <v>24.61</v>
      </c>
      <c r="U259" s="2">
        <v>131.61000000000001</v>
      </c>
      <c r="W259" s="5">
        <f t="shared" si="29"/>
        <v>1</v>
      </c>
      <c r="Y259" s="2" t="s">
        <v>118</v>
      </c>
      <c r="Z259" s="2" t="s">
        <v>191</v>
      </c>
      <c r="AE259" s="2">
        <f t="shared" si="31"/>
        <v>0</v>
      </c>
      <c r="AI259" s="2">
        <f t="shared" si="32"/>
        <v>0</v>
      </c>
      <c r="AJ259" s="2">
        <f t="shared" si="33"/>
        <v>107</v>
      </c>
      <c r="AK259" s="5">
        <f t="shared" si="30"/>
        <v>1</v>
      </c>
    </row>
    <row r="260" spans="1:37" x14ac:dyDescent="0.2">
      <c r="A260" s="2">
        <v>2025</v>
      </c>
      <c r="B260" s="2">
        <v>1</v>
      </c>
      <c r="C260" s="2" t="s">
        <v>567</v>
      </c>
      <c r="D260" s="2" t="s">
        <v>109</v>
      </c>
      <c r="E260" s="2" t="s">
        <v>39</v>
      </c>
      <c r="F260" s="2">
        <v>510917011</v>
      </c>
      <c r="G260" s="2" t="s">
        <v>41</v>
      </c>
      <c r="H260" s="2" t="s">
        <v>568</v>
      </c>
      <c r="I260" s="2" t="s">
        <v>569</v>
      </c>
      <c r="K260" s="2" t="s">
        <v>422</v>
      </c>
      <c r="L260" s="2" t="s">
        <v>40</v>
      </c>
      <c r="N260" s="2" t="s">
        <v>570</v>
      </c>
      <c r="O260" s="2" t="s">
        <v>188</v>
      </c>
      <c r="P260" s="2" t="s">
        <v>192</v>
      </c>
      <c r="Q260" s="2" t="s">
        <v>191</v>
      </c>
      <c r="R260" s="2">
        <v>1</v>
      </c>
      <c r="S260" s="2">
        <v>50</v>
      </c>
      <c r="T260" s="2">
        <v>11.5</v>
      </c>
      <c r="U260" s="2">
        <v>61.5</v>
      </c>
      <c r="V260" s="2">
        <f>S260*50%</f>
        <v>25</v>
      </c>
      <c r="W260" s="5">
        <f t="shared" si="29"/>
        <v>0.5</v>
      </c>
      <c r="Y260" s="2" t="s">
        <v>118</v>
      </c>
      <c r="Z260" s="2" t="s">
        <v>191</v>
      </c>
      <c r="AE260" s="2">
        <f t="shared" si="31"/>
        <v>0</v>
      </c>
      <c r="AI260" s="2">
        <f t="shared" si="32"/>
        <v>0</v>
      </c>
      <c r="AJ260" s="2">
        <f t="shared" si="33"/>
        <v>25</v>
      </c>
      <c r="AK260" s="5">
        <f t="shared" si="30"/>
        <v>0.5</v>
      </c>
    </row>
    <row r="261" spans="1:37" x14ac:dyDescent="0.2">
      <c r="A261" s="2">
        <v>2025</v>
      </c>
      <c r="B261" s="2">
        <v>1</v>
      </c>
      <c r="C261" s="2" t="s">
        <v>567</v>
      </c>
      <c r="D261" s="2" t="s">
        <v>109</v>
      </c>
      <c r="E261" s="2" t="s">
        <v>39</v>
      </c>
      <c r="F261" s="2">
        <v>510917011</v>
      </c>
      <c r="G261" s="2" t="s">
        <v>41</v>
      </c>
      <c r="H261" s="2" t="s">
        <v>568</v>
      </c>
      <c r="I261" s="2" t="s">
        <v>569</v>
      </c>
      <c r="K261" s="2" t="s">
        <v>422</v>
      </c>
      <c r="L261" s="2" t="s">
        <v>40</v>
      </c>
      <c r="N261" s="2" t="s">
        <v>570</v>
      </c>
      <c r="O261" s="2" t="s">
        <v>40</v>
      </c>
      <c r="P261" s="2" t="s">
        <v>364</v>
      </c>
      <c r="Q261" s="2" t="s">
        <v>365</v>
      </c>
      <c r="R261" s="2">
        <v>1</v>
      </c>
      <c r="S261" s="2">
        <v>267.18</v>
      </c>
      <c r="T261" s="2">
        <v>61.451400000000007</v>
      </c>
      <c r="U261" s="2">
        <v>328.63139999999999</v>
      </c>
      <c r="W261" s="5">
        <f t="shared" si="29"/>
        <v>1</v>
      </c>
      <c r="Y261" s="2" t="s">
        <v>118</v>
      </c>
      <c r="Z261" s="2" t="s">
        <v>571</v>
      </c>
      <c r="AE261" s="2">
        <f t="shared" si="31"/>
        <v>0</v>
      </c>
      <c r="AI261" s="2">
        <f t="shared" si="32"/>
        <v>0</v>
      </c>
      <c r="AJ261" s="2">
        <f t="shared" si="33"/>
        <v>267.18</v>
      </c>
      <c r="AK261" s="5">
        <f t="shared" si="30"/>
        <v>1</v>
      </c>
    </row>
    <row r="262" spans="1:37" x14ac:dyDescent="0.2">
      <c r="A262" s="2">
        <v>2025</v>
      </c>
      <c r="B262" s="2">
        <v>1</v>
      </c>
      <c r="C262" s="2" t="s">
        <v>572</v>
      </c>
      <c r="D262" s="2" t="s">
        <v>38</v>
      </c>
      <c r="E262" s="2" t="s">
        <v>39</v>
      </c>
      <c r="F262" s="2">
        <v>600011712</v>
      </c>
      <c r="G262" s="2" t="s">
        <v>291</v>
      </c>
      <c r="H262" s="2" t="s">
        <v>340</v>
      </c>
      <c r="I262" s="2" t="s">
        <v>3216</v>
      </c>
      <c r="K262" s="2" t="s">
        <v>340</v>
      </c>
      <c r="L262" s="2" t="s">
        <v>40</v>
      </c>
      <c r="N262" s="2" t="s">
        <v>3217</v>
      </c>
      <c r="O262" s="2" t="s">
        <v>188</v>
      </c>
      <c r="P262" s="2" t="s">
        <v>189</v>
      </c>
      <c r="Q262" s="2" t="s">
        <v>190</v>
      </c>
      <c r="R262" s="2">
        <v>0</v>
      </c>
      <c r="S262" s="2">
        <v>0</v>
      </c>
      <c r="T262" s="2">
        <v>0</v>
      </c>
      <c r="U262" s="2">
        <v>0</v>
      </c>
      <c r="W262" s="5">
        <v>0</v>
      </c>
      <c r="Y262" s="2" t="s">
        <v>118</v>
      </c>
      <c r="Z262" s="2" t="s">
        <v>191</v>
      </c>
      <c r="AE262" s="2">
        <f t="shared" si="31"/>
        <v>0</v>
      </c>
      <c r="AI262" s="2">
        <f t="shared" si="32"/>
        <v>0</v>
      </c>
      <c r="AJ262" s="2">
        <f t="shared" si="33"/>
        <v>0</v>
      </c>
      <c r="AK262" s="5" t="e">
        <f t="shared" si="30"/>
        <v>#DIV/0!</v>
      </c>
    </row>
    <row r="263" spans="1:37" x14ac:dyDescent="0.2">
      <c r="A263" s="2">
        <v>2025</v>
      </c>
      <c r="B263" s="2">
        <v>1</v>
      </c>
      <c r="C263" s="2" t="s">
        <v>572</v>
      </c>
      <c r="D263" s="2" t="s">
        <v>38</v>
      </c>
      <c r="E263" s="2" t="s">
        <v>39</v>
      </c>
      <c r="F263" s="2">
        <v>600011712</v>
      </c>
      <c r="G263" s="2" t="s">
        <v>291</v>
      </c>
      <c r="H263" s="2" t="s">
        <v>340</v>
      </c>
      <c r="I263" s="2" t="s">
        <v>3216</v>
      </c>
      <c r="K263" s="2" t="s">
        <v>340</v>
      </c>
      <c r="L263" s="2" t="s">
        <v>40</v>
      </c>
      <c r="N263" s="2" t="s">
        <v>3218</v>
      </c>
      <c r="O263" s="2" t="s">
        <v>188</v>
      </c>
      <c r="P263" s="2" t="s">
        <v>192</v>
      </c>
      <c r="Q263" s="2" t="s">
        <v>191</v>
      </c>
      <c r="R263" s="2">
        <v>0</v>
      </c>
      <c r="S263" s="2">
        <v>0</v>
      </c>
      <c r="T263" s="2">
        <v>0</v>
      </c>
      <c r="U263" s="2">
        <v>0</v>
      </c>
      <c r="V263" s="2">
        <f>S263*50%</f>
        <v>0</v>
      </c>
      <c r="W263" s="5">
        <v>0</v>
      </c>
      <c r="Y263" s="2" t="s">
        <v>118</v>
      </c>
      <c r="Z263" s="2" t="s">
        <v>191</v>
      </c>
      <c r="AE263" s="2">
        <f t="shared" si="31"/>
        <v>0</v>
      </c>
      <c r="AI263" s="2">
        <f t="shared" si="32"/>
        <v>0</v>
      </c>
      <c r="AJ263" s="2">
        <f t="shared" si="33"/>
        <v>0</v>
      </c>
      <c r="AK263" s="5" t="e">
        <f t="shared" si="30"/>
        <v>#DIV/0!</v>
      </c>
    </row>
    <row r="264" spans="1:37" x14ac:dyDescent="0.2">
      <c r="A264" s="2">
        <v>2025</v>
      </c>
      <c r="B264" s="2">
        <v>1</v>
      </c>
      <c r="C264" s="2" t="s">
        <v>573</v>
      </c>
      <c r="D264" s="2" t="s">
        <v>38</v>
      </c>
      <c r="E264" s="2" t="s">
        <v>39</v>
      </c>
      <c r="F264" s="2">
        <v>506267547</v>
      </c>
      <c r="G264" s="2" t="s">
        <v>291</v>
      </c>
      <c r="H264" s="2" t="s">
        <v>574</v>
      </c>
      <c r="I264" s="2" t="s">
        <v>575</v>
      </c>
      <c r="J264" s="2">
        <v>917821904</v>
      </c>
      <c r="K264" s="2" t="s">
        <v>576</v>
      </c>
      <c r="L264" s="2" t="s">
        <v>40</v>
      </c>
      <c r="N264" s="2" t="s">
        <v>577</v>
      </c>
      <c r="O264" s="2" t="s">
        <v>43</v>
      </c>
      <c r="P264" s="2" t="s">
        <v>159</v>
      </c>
      <c r="Q264" s="2" t="s">
        <v>160</v>
      </c>
      <c r="R264" s="2">
        <v>1</v>
      </c>
      <c r="S264" s="2">
        <v>17.46</v>
      </c>
      <c r="T264" s="2">
        <v>4.0157999999999996</v>
      </c>
      <c r="U264" s="2">
        <v>21.4758</v>
      </c>
      <c r="V264" s="2">
        <f>9.3*R264</f>
        <v>9.3000000000000007</v>
      </c>
      <c r="W264" s="5">
        <f t="shared" ref="W264:W288" si="34">(S264-V264)/S264</f>
        <v>0.46735395189003437</v>
      </c>
      <c r="Y264" s="2" t="s">
        <v>3256</v>
      </c>
      <c r="Z264" s="2" t="s">
        <v>46</v>
      </c>
      <c r="AA264" s="2" t="s">
        <v>47</v>
      </c>
      <c r="AB264" s="2" t="s">
        <v>48</v>
      </c>
      <c r="AE264" s="2">
        <f t="shared" si="31"/>
        <v>0</v>
      </c>
      <c r="AF264" s="2">
        <v>9.3000000000000007</v>
      </c>
      <c r="AG264" s="2">
        <v>21</v>
      </c>
      <c r="AI264" s="2">
        <f t="shared" si="32"/>
        <v>0</v>
      </c>
      <c r="AJ264" s="2">
        <f t="shared" si="33"/>
        <v>8.16</v>
      </c>
      <c r="AK264" s="5">
        <f t="shared" si="30"/>
        <v>0.46735395189003437</v>
      </c>
    </row>
    <row r="265" spans="1:37" x14ac:dyDescent="0.2">
      <c r="A265" s="2">
        <v>2025</v>
      </c>
      <c r="B265" s="2">
        <v>1</v>
      </c>
      <c r="C265" s="2" t="s">
        <v>573</v>
      </c>
      <c r="D265" s="2" t="s">
        <v>38</v>
      </c>
      <c r="E265" s="2" t="s">
        <v>39</v>
      </c>
      <c r="F265" s="2">
        <v>506267547</v>
      </c>
      <c r="G265" s="2" t="s">
        <v>291</v>
      </c>
      <c r="H265" s="2" t="s">
        <v>574</v>
      </c>
      <c r="I265" s="2" t="s">
        <v>575</v>
      </c>
      <c r="J265" s="2">
        <v>917821904</v>
      </c>
      <c r="K265" s="2" t="s">
        <v>576</v>
      </c>
      <c r="L265" s="2" t="s">
        <v>40</v>
      </c>
      <c r="N265" s="2" t="s">
        <v>577</v>
      </c>
      <c r="O265" s="2" t="s">
        <v>43</v>
      </c>
      <c r="P265" s="2" t="s">
        <v>62</v>
      </c>
      <c r="Q265" s="2" t="s">
        <v>63</v>
      </c>
      <c r="R265" s="2">
        <v>100</v>
      </c>
      <c r="S265" s="2">
        <v>13</v>
      </c>
      <c r="T265" s="2">
        <v>2.99</v>
      </c>
      <c r="U265" s="2">
        <v>15.99</v>
      </c>
      <c r="V265" s="2">
        <f>0.082*R265</f>
        <v>8.2000000000000011</v>
      </c>
      <c r="W265" s="5">
        <f t="shared" si="34"/>
        <v>0.36923076923076914</v>
      </c>
      <c r="Y265" s="2" t="s">
        <v>3256</v>
      </c>
      <c r="Z265" s="2" t="s">
        <v>46</v>
      </c>
      <c r="AA265" s="2" t="s">
        <v>61</v>
      </c>
      <c r="AB265" s="2" t="s">
        <v>58</v>
      </c>
      <c r="AE265" s="2">
        <f t="shared" si="31"/>
        <v>0</v>
      </c>
      <c r="AF265" s="2">
        <v>8.1999999999999993</v>
      </c>
      <c r="AG265" s="2">
        <v>13</v>
      </c>
      <c r="AI265" s="2">
        <f t="shared" si="32"/>
        <v>0</v>
      </c>
      <c r="AJ265" s="2">
        <f t="shared" si="33"/>
        <v>4.7999999999999989</v>
      </c>
      <c r="AK265" s="5">
        <f t="shared" si="30"/>
        <v>0.36923076923076914</v>
      </c>
    </row>
    <row r="266" spans="1:37" x14ac:dyDescent="0.2">
      <c r="A266" s="2">
        <v>2025</v>
      </c>
      <c r="B266" s="2">
        <v>1</v>
      </c>
      <c r="C266" s="2" t="s">
        <v>573</v>
      </c>
      <c r="D266" s="2" t="s">
        <v>38</v>
      </c>
      <c r="E266" s="2" t="s">
        <v>39</v>
      </c>
      <c r="F266" s="2">
        <v>506267547</v>
      </c>
      <c r="G266" s="2" t="s">
        <v>291</v>
      </c>
      <c r="H266" s="2" t="s">
        <v>574</v>
      </c>
      <c r="I266" s="2" t="s">
        <v>575</v>
      </c>
      <c r="J266" s="2">
        <v>917821904</v>
      </c>
      <c r="K266" s="2" t="s">
        <v>576</v>
      </c>
      <c r="L266" s="2" t="s">
        <v>40</v>
      </c>
      <c r="N266" s="2" t="s">
        <v>577</v>
      </c>
      <c r="O266" s="2" t="s">
        <v>170</v>
      </c>
      <c r="P266" s="2" t="s">
        <v>171</v>
      </c>
      <c r="Q266" s="2" t="s">
        <v>171</v>
      </c>
      <c r="R266" s="2">
        <v>1</v>
      </c>
      <c r="S266" s="2">
        <v>5.5</v>
      </c>
      <c r="T266" s="2">
        <v>1.2649999999999999</v>
      </c>
      <c r="U266" s="2">
        <v>6.7650000000000006</v>
      </c>
      <c r="W266" s="5">
        <f t="shared" si="34"/>
        <v>1</v>
      </c>
      <c r="Y266" s="2" t="s">
        <v>170</v>
      </c>
      <c r="Z266" s="2" t="s">
        <v>170</v>
      </c>
      <c r="AE266" s="2">
        <f t="shared" si="31"/>
        <v>0</v>
      </c>
      <c r="AI266" s="2">
        <f t="shared" si="32"/>
        <v>0</v>
      </c>
      <c r="AJ266" s="2">
        <f t="shared" si="33"/>
        <v>5.5</v>
      </c>
      <c r="AK266" s="5">
        <f t="shared" si="30"/>
        <v>1</v>
      </c>
    </row>
    <row r="267" spans="1:37" x14ac:dyDescent="0.2">
      <c r="A267" s="2">
        <v>2025</v>
      </c>
      <c r="B267" s="2">
        <v>1</v>
      </c>
      <c r="C267" s="2" t="s">
        <v>578</v>
      </c>
      <c r="O267" s="2" t="s">
        <v>85</v>
      </c>
      <c r="P267" s="2" t="s">
        <v>275</v>
      </c>
      <c r="Q267" s="2" t="s">
        <v>276</v>
      </c>
      <c r="R267" s="2">
        <v>1</v>
      </c>
      <c r="S267" s="2">
        <v>8.4</v>
      </c>
      <c r="T267" s="2">
        <v>1.9319999999999999</v>
      </c>
      <c r="U267" s="2">
        <v>10.332000000000001</v>
      </c>
      <c r="V267" s="2">
        <v>2.94</v>
      </c>
      <c r="W267" s="5">
        <f t="shared" si="34"/>
        <v>0.65</v>
      </c>
      <c r="Y267" s="2" t="s">
        <v>3256</v>
      </c>
      <c r="Z267" s="2" t="s">
        <v>88</v>
      </c>
      <c r="AA267" s="2" t="s">
        <v>91</v>
      </c>
      <c r="AB267" s="2" t="s">
        <v>85</v>
      </c>
      <c r="AE267" s="2">
        <f t="shared" si="31"/>
        <v>0</v>
      </c>
      <c r="AI267" s="2">
        <f t="shared" si="32"/>
        <v>0</v>
      </c>
      <c r="AJ267" s="2">
        <f t="shared" si="33"/>
        <v>5.4600000000000009</v>
      </c>
      <c r="AK267" s="5">
        <f t="shared" si="30"/>
        <v>0.65</v>
      </c>
    </row>
    <row r="268" spans="1:37" x14ac:dyDescent="0.2">
      <c r="A268" s="2">
        <v>2025</v>
      </c>
      <c r="B268" s="2">
        <v>1</v>
      </c>
      <c r="C268" s="2" t="s">
        <v>578</v>
      </c>
      <c r="O268" s="2" t="s">
        <v>85</v>
      </c>
      <c r="P268" s="2" t="s">
        <v>277</v>
      </c>
      <c r="Q268" s="2" t="s">
        <v>278</v>
      </c>
      <c r="R268" s="2">
        <v>1</v>
      </c>
      <c r="S268" s="2">
        <v>8.4</v>
      </c>
      <c r="T268" s="2">
        <v>1.9319999999999999</v>
      </c>
      <c r="U268" s="2">
        <v>10.332000000000001</v>
      </c>
      <c r="W268" s="5">
        <f t="shared" si="34"/>
        <v>1</v>
      </c>
      <c r="Y268" s="2" t="s">
        <v>3256</v>
      </c>
      <c r="Z268" s="2" t="s">
        <v>88</v>
      </c>
      <c r="AA268" s="2" t="s">
        <v>91</v>
      </c>
      <c r="AB268" s="2" t="s">
        <v>85</v>
      </c>
      <c r="AE268" s="2">
        <f t="shared" si="31"/>
        <v>0</v>
      </c>
      <c r="AI268" s="2">
        <f t="shared" si="32"/>
        <v>0</v>
      </c>
      <c r="AJ268" s="2">
        <f t="shared" si="33"/>
        <v>8.4</v>
      </c>
      <c r="AK268" s="5">
        <f t="shared" si="30"/>
        <v>1</v>
      </c>
    </row>
    <row r="269" spans="1:37" x14ac:dyDescent="0.2">
      <c r="A269" s="2">
        <v>2025</v>
      </c>
      <c r="B269" s="2">
        <v>1</v>
      </c>
      <c r="C269" s="2" t="s">
        <v>579</v>
      </c>
      <c r="D269" s="2" t="s">
        <v>38</v>
      </c>
      <c r="E269" s="2" t="s">
        <v>39</v>
      </c>
      <c r="F269" s="2">
        <v>504811029</v>
      </c>
      <c r="G269" s="2" t="s">
        <v>41</v>
      </c>
      <c r="H269" s="2" t="s">
        <v>178</v>
      </c>
      <c r="I269" s="2" t="s">
        <v>580</v>
      </c>
      <c r="K269" s="2" t="s">
        <v>178</v>
      </c>
      <c r="L269" s="2" t="s">
        <v>41</v>
      </c>
      <c r="O269" s="2" t="s">
        <v>115</v>
      </c>
      <c r="P269" s="2" t="s">
        <v>581</v>
      </c>
      <c r="Q269" s="2" t="s">
        <v>582</v>
      </c>
      <c r="R269" s="2">
        <v>1</v>
      </c>
      <c r="S269" s="2">
        <v>79.47</v>
      </c>
      <c r="T269" s="2">
        <v>18.278099999999998</v>
      </c>
      <c r="U269" s="2">
        <v>97.748099999999994</v>
      </c>
      <c r="V269" s="2">
        <v>25.2</v>
      </c>
      <c r="W269" s="5">
        <f t="shared" si="34"/>
        <v>0.68289920724801811</v>
      </c>
      <c r="Y269" s="2" t="s">
        <v>118</v>
      </c>
      <c r="Z269" s="2" t="s">
        <v>583</v>
      </c>
      <c r="AA269" s="2" t="s">
        <v>120</v>
      </c>
      <c r="AB269" s="2" t="s">
        <v>115</v>
      </c>
      <c r="AE269" s="2">
        <f t="shared" si="31"/>
        <v>0</v>
      </c>
      <c r="AF269" s="2">
        <v>25.2</v>
      </c>
      <c r="AI269" s="2">
        <f t="shared" si="32"/>
        <v>0</v>
      </c>
      <c r="AJ269" s="2">
        <f t="shared" si="33"/>
        <v>54.269999999999996</v>
      </c>
      <c r="AK269" s="5">
        <f t="shared" si="30"/>
        <v>0.68289920724801811</v>
      </c>
    </row>
    <row r="270" spans="1:37" x14ac:dyDescent="0.2">
      <c r="A270" s="2">
        <v>2025</v>
      </c>
      <c r="B270" s="2">
        <v>1</v>
      </c>
      <c r="C270" s="2" t="s">
        <v>579</v>
      </c>
      <c r="D270" s="2" t="s">
        <v>38</v>
      </c>
      <c r="E270" s="2" t="s">
        <v>39</v>
      </c>
      <c r="F270" s="2">
        <v>504811029</v>
      </c>
      <c r="G270" s="2" t="s">
        <v>41</v>
      </c>
      <c r="H270" s="2" t="s">
        <v>178</v>
      </c>
      <c r="I270" s="2" t="s">
        <v>580</v>
      </c>
      <c r="K270" s="2" t="s">
        <v>178</v>
      </c>
      <c r="L270" s="2" t="s">
        <v>41</v>
      </c>
      <c r="O270" s="2" t="s">
        <v>43</v>
      </c>
      <c r="P270" s="2" t="s">
        <v>49</v>
      </c>
      <c r="Q270" s="2" t="s">
        <v>50</v>
      </c>
      <c r="R270" s="2">
        <v>1</v>
      </c>
      <c r="S270" s="2">
        <v>12</v>
      </c>
      <c r="T270" s="2">
        <v>2.76</v>
      </c>
      <c r="U270" s="2">
        <v>14.76</v>
      </c>
      <c r="V270" s="2">
        <f>6.6267*R270</f>
        <v>6.6266999999999996</v>
      </c>
      <c r="W270" s="5">
        <f t="shared" si="34"/>
        <v>0.44777500000000003</v>
      </c>
      <c r="Y270" s="2" t="s">
        <v>3256</v>
      </c>
      <c r="Z270" s="2" t="s">
        <v>46</v>
      </c>
      <c r="AA270" s="2" t="s">
        <v>47</v>
      </c>
      <c r="AB270" s="2" t="s">
        <v>48</v>
      </c>
      <c r="AE270" s="2">
        <f t="shared" si="31"/>
        <v>0</v>
      </c>
      <c r="AF270" s="2">
        <v>6.6266999999999996</v>
      </c>
      <c r="AG270" s="2">
        <v>12</v>
      </c>
      <c r="AI270" s="2">
        <f t="shared" si="32"/>
        <v>0</v>
      </c>
      <c r="AJ270" s="2">
        <f t="shared" si="33"/>
        <v>5.3733000000000004</v>
      </c>
      <c r="AK270" s="5">
        <f t="shared" si="30"/>
        <v>0.44777500000000003</v>
      </c>
    </row>
    <row r="271" spans="1:37" x14ac:dyDescent="0.2">
      <c r="A271" s="2">
        <v>2025</v>
      </c>
      <c r="B271" s="2">
        <v>1</v>
      </c>
      <c r="C271" s="2" t="s">
        <v>579</v>
      </c>
      <c r="D271" s="2" t="s">
        <v>38</v>
      </c>
      <c r="E271" s="2" t="s">
        <v>39</v>
      </c>
      <c r="F271" s="2">
        <v>504811029</v>
      </c>
      <c r="G271" s="2" t="s">
        <v>41</v>
      </c>
      <c r="H271" s="2" t="s">
        <v>178</v>
      </c>
      <c r="I271" s="2" t="s">
        <v>580</v>
      </c>
      <c r="K271" s="2" t="s">
        <v>178</v>
      </c>
      <c r="L271" s="2" t="s">
        <v>41</v>
      </c>
      <c r="O271" s="2" t="s">
        <v>43</v>
      </c>
      <c r="P271" s="2" t="s">
        <v>55</v>
      </c>
      <c r="Q271" s="2" t="s">
        <v>56</v>
      </c>
      <c r="R271" s="2">
        <v>10</v>
      </c>
      <c r="S271" s="2">
        <v>160</v>
      </c>
      <c r="T271" s="2">
        <v>36.799999999999997</v>
      </c>
      <c r="U271" s="2">
        <v>196.8</v>
      </c>
      <c r="V271" s="2">
        <f>10.6*R271</f>
        <v>106</v>
      </c>
      <c r="W271" s="5">
        <f t="shared" si="34"/>
        <v>0.33750000000000002</v>
      </c>
      <c r="Y271" s="2" t="s">
        <v>3256</v>
      </c>
      <c r="Z271" s="2" t="s">
        <v>46</v>
      </c>
      <c r="AA271" s="2" t="s">
        <v>57</v>
      </c>
      <c r="AB271" s="2" t="s">
        <v>58</v>
      </c>
      <c r="AE271" s="2">
        <f t="shared" si="31"/>
        <v>0</v>
      </c>
      <c r="AF271" s="2">
        <v>10.6</v>
      </c>
      <c r="AG271" s="2">
        <v>18</v>
      </c>
      <c r="AI271" s="2">
        <f t="shared" si="32"/>
        <v>0</v>
      </c>
      <c r="AJ271" s="2">
        <f t="shared" si="33"/>
        <v>54</v>
      </c>
      <c r="AK271" s="5">
        <f t="shared" si="30"/>
        <v>0.33750000000000002</v>
      </c>
    </row>
    <row r="272" spans="1:37" x14ac:dyDescent="0.2">
      <c r="A272" s="2">
        <v>2025</v>
      </c>
      <c r="B272" s="2">
        <v>1</v>
      </c>
      <c r="C272" s="2" t="s">
        <v>579</v>
      </c>
      <c r="D272" s="2" t="s">
        <v>38</v>
      </c>
      <c r="E272" s="2" t="s">
        <v>39</v>
      </c>
      <c r="F272" s="2">
        <v>504811029</v>
      </c>
      <c r="G272" s="2" t="s">
        <v>41</v>
      </c>
      <c r="H272" s="2" t="s">
        <v>178</v>
      </c>
      <c r="I272" s="2" t="s">
        <v>580</v>
      </c>
      <c r="K272" s="2" t="s">
        <v>178</v>
      </c>
      <c r="L272" s="2" t="s">
        <v>41</v>
      </c>
      <c r="O272" s="2" t="s">
        <v>43</v>
      </c>
      <c r="P272" s="2" t="s">
        <v>335</v>
      </c>
      <c r="Q272" s="2" t="s">
        <v>336</v>
      </c>
      <c r="R272" s="2">
        <v>20</v>
      </c>
      <c r="S272" s="2">
        <v>60</v>
      </c>
      <c r="T272" s="2">
        <v>13.8</v>
      </c>
      <c r="U272" s="2">
        <v>73.8</v>
      </c>
      <c r="V272" s="2">
        <f>1.1122*R272</f>
        <v>22.244</v>
      </c>
      <c r="W272" s="5">
        <f t="shared" si="34"/>
        <v>0.62926666666666664</v>
      </c>
      <c r="Y272" s="2" t="s">
        <v>3256</v>
      </c>
      <c r="Z272" s="2" t="s">
        <v>46</v>
      </c>
      <c r="AA272" s="2" t="s">
        <v>61</v>
      </c>
      <c r="AB272" s="2" t="s">
        <v>58</v>
      </c>
      <c r="AE272" s="2">
        <f t="shared" si="31"/>
        <v>0</v>
      </c>
      <c r="AF272" s="2">
        <v>1.1122000000000001</v>
      </c>
      <c r="AG272" s="2">
        <v>3</v>
      </c>
      <c r="AI272" s="2">
        <f t="shared" si="32"/>
        <v>0</v>
      </c>
      <c r="AJ272" s="2">
        <f t="shared" si="33"/>
        <v>37.756</v>
      </c>
      <c r="AK272" s="5">
        <f t="shared" si="30"/>
        <v>0.62926666666666664</v>
      </c>
    </row>
    <row r="273" spans="1:37" x14ac:dyDescent="0.2">
      <c r="A273" s="2">
        <v>2025</v>
      </c>
      <c r="B273" s="2">
        <v>1</v>
      </c>
      <c r="C273" s="2" t="s">
        <v>579</v>
      </c>
      <c r="D273" s="2" t="s">
        <v>38</v>
      </c>
      <c r="E273" s="2" t="s">
        <v>39</v>
      </c>
      <c r="F273" s="2">
        <v>504811029</v>
      </c>
      <c r="G273" s="2" t="s">
        <v>41</v>
      </c>
      <c r="H273" s="2" t="s">
        <v>178</v>
      </c>
      <c r="I273" s="2" t="s">
        <v>580</v>
      </c>
      <c r="K273" s="2" t="s">
        <v>178</v>
      </c>
      <c r="L273" s="2" t="s">
        <v>41</v>
      </c>
      <c r="O273" s="2" t="s">
        <v>43</v>
      </c>
      <c r="P273" s="2" t="s">
        <v>584</v>
      </c>
      <c r="Q273" s="2" t="s">
        <v>585</v>
      </c>
      <c r="R273" s="2">
        <v>4</v>
      </c>
      <c r="S273" s="2">
        <v>9.6</v>
      </c>
      <c r="T273" s="2">
        <v>2.2080000000000002</v>
      </c>
      <c r="U273" s="2">
        <v>11.808</v>
      </c>
      <c r="V273" s="2">
        <f>1.4114*R273</f>
        <v>5.6456</v>
      </c>
      <c r="W273" s="5">
        <f t="shared" si="34"/>
        <v>0.41191666666666665</v>
      </c>
      <c r="Y273" s="2" t="s">
        <v>3256</v>
      </c>
      <c r="Z273" s="2" t="s">
        <v>46</v>
      </c>
      <c r="AA273" s="2" t="s">
        <v>61</v>
      </c>
      <c r="AB273" s="2" t="s">
        <v>58</v>
      </c>
      <c r="AE273" s="2">
        <f t="shared" si="31"/>
        <v>0</v>
      </c>
      <c r="AF273" s="2">
        <v>1.4114</v>
      </c>
      <c r="AG273" s="2">
        <v>3</v>
      </c>
      <c r="AI273" s="2">
        <f t="shared" si="32"/>
        <v>0</v>
      </c>
      <c r="AJ273" s="2">
        <f t="shared" si="33"/>
        <v>3.9543999999999997</v>
      </c>
      <c r="AK273" s="5">
        <f t="shared" si="30"/>
        <v>0.41191666666666665</v>
      </c>
    </row>
    <row r="274" spans="1:37" x14ac:dyDescent="0.2">
      <c r="A274" s="2">
        <v>2025</v>
      </c>
      <c r="B274" s="2">
        <v>1</v>
      </c>
      <c r="C274" s="2" t="s">
        <v>586</v>
      </c>
      <c r="O274" s="2" t="s">
        <v>43</v>
      </c>
      <c r="P274" s="2" t="s">
        <v>62</v>
      </c>
      <c r="Q274" s="2" t="s">
        <v>63</v>
      </c>
      <c r="R274" s="2">
        <v>1000</v>
      </c>
      <c r="S274" s="2">
        <v>110</v>
      </c>
      <c r="T274" s="2">
        <v>25.3</v>
      </c>
      <c r="U274" s="2">
        <v>135.30000000000001</v>
      </c>
      <c r="V274" s="2">
        <f>0.082*R274</f>
        <v>82</v>
      </c>
      <c r="W274" s="5">
        <f t="shared" si="34"/>
        <v>0.25454545454545452</v>
      </c>
      <c r="Y274" s="2" t="s">
        <v>3256</v>
      </c>
      <c r="Z274" s="2" t="s">
        <v>46</v>
      </c>
      <c r="AA274" s="2" t="s">
        <v>61</v>
      </c>
      <c r="AB274" s="2" t="s">
        <v>58</v>
      </c>
      <c r="AE274" s="2">
        <f t="shared" si="31"/>
        <v>0</v>
      </c>
      <c r="AF274" s="2">
        <v>8.1999999999999993</v>
      </c>
      <c r="AG274" s="2">
        <v>13</v>
      </c>
      <c r="AI274" s="2">
        <f t="shared" si="32"/>
        <v>0</v>
      </c>
      <c r="AJ274" s="2">
        <f t="shared" si="33"/>
        <v>28</v>
      </c>
      <c r="AK274" s="5">
        <f t="shared" si="30"/>
        <v>0.25454545454545452</v>
      </c>
    </row>
    <row r="275" spans="1:37" x14ac:dyDescent="0.2">
      <c r="A275" s="2">
        <v>2025</v>
      </c>
      <c r="B275" s="2">
        <v>1</v>
      </c>
      <c r="C275" s="2" t="s">
        <v>587</v>
      </c>
      <c r="D275" s="2" t="s">
        <v>109</v>
      </c>
      <c r="F275" s="2">
        <v>503850276</v>
      </c>
      <c r="G275" s="2" t="s">
        <v>40</v>
      </c>
      <c r="H275" s="2" t="s">
        <v>588</v>
      </c>
      <c r="I275" s="2" t="s">
        <v>589</v>
      </c>
      <c r="K275" s="2" t="s">
        <v>202</v>
      </c>
      <c r="L275" s="2" t="s">
        <v>81</v>
      </c>
      <c r="O275" s="2" t="s">
        <v>43</v>
      </c>
      <c r="P275" s="2" t="s">
        <v>66</v>
      </c>
      <c r="Q275" s="2" t="s">
        <v>67</v>
      </c>
      <c r="R275" s="2">
        <v>8</v>
      </c>
      <c r="S275" s="2">
        <v>160</v>
      </c>
      <c r="T275" s="2">
        <v>36.799999999999997</v>
      </c>
      <c r="U275" s="2">
        <v>196.8</v>
      </c>
      <c r="V275" s="2">
        <f>15.0203*R275</f>
        <v>120.16240000000001</v>
      </c>
      <c r="W275" s="5">
        <f t="shared" si="34"/>
        <v>0.24898499999999996</v>
      </c>
      <c r="Y275" s="2" t="s">
        <v>3256</v>
      </c>
      <c r="Z275" s="2" t="s">
        <v>46</v>
      </c>
      <c r="AA275" s="2" t="s">
        <v>68</v>
      </c>
      <c r="AB275" s="2" t="s">
        <v>58</v>
      </c>
      <c r="AE275" s="2">
        <f t="shared" si="31"/>
        <v>0</v>
      </c>
      <c r="AF275" s="2">
        <v>15.020300000000001</v>
      </c>
      <c r="AG275" s="2">
        <v>27.6</v>
      </c>
      <c r="AI275" s="2">
        <f t="shared" si="32"/>
        <v>0</v>
      </c>
      <c r="AJ275" s="2">
        <f t="shared" si="33"/>
        <v>39.837599999999995</v>
      </c>
      <c r="AK275" s="5">
        <f t="shared" si="30"/>
        <v>0.24898499999999996</v>
      </c>
    </row>
    <row r="276" spans="1:37" x14ac:dyDescent="0.2">
      <c r="A276" s="2">
        <v>2025</v>
      </c>
      <c r="B276" s="2">
        <v>1</v>
      </c>
      <c r="C276" s="2" t="s">
        <v>590</v>
      </c>
      <c r="O276" s="2" t="s">
        <v>283</v>
      </c>
      <c r="P276" s="2" t="s">
        <v>591</v>
      </c>
      <c r="Q276" s="2" t="s">
        <v>592</v>
      </c>
      <c r="R276" s="2">
        <v>1</v>
      </c>
      <c r="S276" s="2">
        <v>145</v>
      </c>
      <c r="T276" s="2">
        <v>33.35</v>
      </c>
      <c r="U276" s="2">
        <v>178.35</v>
      </c>
      <c r="V276" s="2">
        <v>109.48</v>
      </c>
      <c r="W276" s="5">
        <f t="shared" si="34"/>
        <v>0.24496551724137927</v>
      </c>
      <c r="Y276" s="2" t="s">
        <v>3256</v>
      </c>
      <c r="Z276" s="2" t="s">
        <v>72</v>
      </c>
      <c r="AA276" s="2" t="s">
        <v>120</v>
      </c>
      <c r="AB276" s="2" t="s">
        <v>120</v>
      </c>
      <c r="AE276" s="2">
        <f t="shared" si="31"/>
        <v>0</v>
      </c>
      <c r="AI276" s="2">
        <f t="shared" si="32"/>
        <v>0</v>
      </c>
      <c r="AJ276" s="2">
        <f t="shared" si="33"/>
        <v>35.519999999999996</v>
      </c>
      <c r="AK276" s="5">
        <f t="shared" si="30"/>
        <v>0.24496551724137927</v>
      </c>
    </row>
    <row r="277" spans="1:37" x14ac:dyDescent="0.2">
      <c r="A277" s="2">
        <v>2025</v>
      </c>
      <c r="B277" s="2">
        <v>1</v>
      </c>
      <c r="C277" s="2" t="s">
        <v>593</v>
      </c>
      <c r="D277" s="2" t="s">
        <v>38</v>
      </c>
      <c r="E277" s="2" t="s">
        <v>39</v>
      </c>
      <c r="F277" s="2">
        <v>510339298</v>
      </c>
      <c r="G277" s="2" t="s">
        <v>41</v>
      </c>
      <c r="H277" s="2" t="s">
        <v>178</v>
      </c>
      <c r="I277" s="2" t="s">
        <v>594</v>
      </c>
      <c r="K277" s="2" t="s">
        <v>178</v>
      </c>
      <c r="L277" s="2" t="s">
        <v>41</v>
      </c>
      <c r="O277" s="2" t="s">
        <v>283</v>
      </c>
      <c r="P277" s="2" t="s">
        <v>595</v>
      </c>
      <c r="Q277" s="2" t="s">
        <v>596</v>
      </c>
      <c r="R277" s="2">
        <v>1</v>
      </c>
      <c r="S277" s="2">
        <v>149</v>
      </c>
      <c r="T277" s="2">
        <v>34.270000000000003</v>
      </c>
      <c r="U277" s="2">
        <v>183.27</v>
      </c>
      <c r="V277" s="2">
        <v>142.36000000000001</v>
      </c>
      <c r="W277" s="5">
        <f t="shared" si="34"/>
        <v>4.4563758389261653E-2</v>
      </c>
      <c r="Y277" s="2" t="s">
        <v>3256</v>
      </c>
      <c r="Z277" s="2" t="s">
        <v>72</v>
      </c>
      <c r="AA277" s="2" t="s">
        <v>120</v>
      </c>
      <c r="AB277" s="2" t="s">
        <v>120</v>
      </c>
      <c r="AE277" s="2">
        <f t="shared" si="31"/>
        <v>0</v>
      </c>
      <c r="AI277" s="2">
        <f t="shared" si="32"/>
        <v>0</v>
      </c>
      <c r="AJ277" s="2">
        <f t="shared" si="33"/>
        <v>6.6399999999999864</v>
      </c>
      <c r="AK277" s="5">
        <f t="shared" si="30"/>
        <v>4.4563758389261653E-2</v>
      </c>
    </row>
    <row r="278" spans="1:37" x14ac:dyDescent="0.2">
      <c r="A278" s="2">
        <v>2025</v>
      </c>
      <c r="B278" s="2">
        <v>1</v>
      </c>
      <c r="C278" s="2" t="s">
        <v>593</v>
      </c>
      <c r="D278" s="2" t="s">
        <v>38</v>
      </c>
      <c r="E278" s="2" t="s">
        <v>39</v>
      </c>
      <c r="F278" s="2">
        <v>510339298</v>
      </c>
      <c r="G278" s="2" t="s">
        <v>41</v>
      </c>
      <c r="H278" s="2" t="s">
        <v>178</v>
      </c>
      <c r="I278" s="2" t="s">
        <v>594</v>
      </c>
      <c r="K278" s="2" t="s">
        <v>178</v>
      </c>
      <c r="L278" s="2" t="s">
        <v>41</v>
      </c>
      <c r="O278" s="2" t="s">
        <v>43</v>
      </c>
      <c r="P278" s="2" t="s">
        <v>49</v>
      </c>
      <c r="Q278" s="2" t="s">
        <v>50</v>
      </c>
      <c r="R278" s="2">
        <v>1</v>
      </c>
      <c r="S278" s="2">
        <v>11</v>
      </c>
      <c r="T278" s="2">
        <v>2.5299999999999998</v>
      </c>
      <c r="U278" s="2">
        <v>13.53</v>
      </c>
      <c r="V278" s="2">
        <f>6.6267*R278</f>
        <v>6.6266999999999996</v>
      </c>
      <c r="W278" s="5">
        <f t="shared" si="34"/>
        <v>0.3975727272727273</v>
      </c>
      <c r="Y278" s="2" t="s">
        <v>3256</v>
      </c>
      <c r="Z278" s="2" t="s">
        <v>46</v>
      </c>
      <c r="AA278" s="2" t="s">
        <v>47</v>
      </c>
      <c r="AB278" s="2" t="s">
        <v>48</v>
      </c>
      <c r="AE278" s="2">
        <f t="shared" si="31"/>
        <v>0</v>
      </c>
      <c r="AF278" s="2">
        <v>6.6266999999999996</v>
      </c>
      <c r="AG278" s="2">
        <v>12</v>
      </c>
      <c r="AI278" s="2">
        <f t="shared" si="32"/>
        <v>0</v>
      </c>
      <c r="AJ278" s="2">
        <f t="shared" si="33"/>
        <v>4.3733000000000004</v>
      </c>
      <c r="AK278" s="5">
        <f t="shared" si="30"/>
        <v>0.3975727272727273</v>
      </c>
    </row>
    <row r="279" spans="1:37" x14ac:dyDescent="0.2">
      <c r="A279" s="2">
        <v>2025</v>
      </c>
      <c r="B279" s="2">
        <v>1</v>
      </c>
      <c r="C279" s="2" t="s">
        <v>593</v>
      </c>
      <c r="D279" s="2" t="s">
        <v>38</v>
      </c>
      <c r="E279" s="2" t="s">
        <v>39</v>
      </c>
      <c r="F279" s="2">
        <v>510339298</v>
      </c>
      <c r="G279" s="2" t="s">
        <v>41</v>
      </c>
      <c r="H279" s="2" t="s">
        <v>178</v>
      </c>
      <c r="I279" s="2" t="s">
        <v>594</v>
      </c>
      <c r="K279" s="2" t="s">
        <v>178</v>
      </c>
      <c r="L279" s="2" t="s">
        <v>41</v>
      </c>
      <c r="O279" s="2" t="s">
        <v>43</v>
      </c>
      <c r="P279" s="2" t="s">
        <v>597</v>
      </c>
      <c r="Q279" s="2" t="s">
        <v>598</v>
      </c>
      <c r="R279" s="2">
        <v>1</v>
      </c>
      <c r="S279" s="2">
        <v>28.8</v>
      </c>
      <c r="T279" s="2">
        <v>6.6240000000000014</v>
      </c>
      <c r="U279" s="2">
        <v>35.423999999999999</v>
      </c>
      <c r="W279" s="5">
        <f t="shared" si="34"/>
        <v>1</v>
      </c>
      <c r="Y279" s="2" t="s">
        <v>3256</v>
      </c>
      <c r="Z279" s="2" t="s">
        <v>46</v>
      </c>
      <c r="AA279" s="2" t="s">
        <v>47</v>
      </c>
      <c r="AB279" s="2" t="s">
        <v>48</v>
      </c>
      <c r="AE279" s="2">
        <f t="shared" si="31"/>
        <v>0</v>
      </c>
      <c r="AI279" s="2">
        <f t="shared" si="32"/>
        <v>0</v>
      </c>
      <c r="AJ279" s="2">
        <f t="shared" si="33"/>
        <v>28.8</v>
      </c>
      <c r="AK279" s="5">
        <f t="shared" si="30"/>
        <v>1</v>
      </c>
    </row>
    <row r="280" spans="1:37" x14ac:dyDescent="0.2">
      <c r="A280" s="2">
        <v>2025</v>
      </c>
      <c r="B280" s="2">
        <v>1</v>
      </c>
      <c r="C280" s="2" t="s">
        <v>593</v>
      </c>
      <c r="D280" s="2" t="s">
        <v>38</v>
      </c>
      <c r="E280" s="2" t="s">
        <v>39</v>
      </c>
      <c r="F280" s="2">
        <v>510339298</v>
      </c>
      <c r="G280" s="2" t="s">
        <v>41</v>
      </c>
      <c r="H280" s="2" t="s">
        <v>178</v>
      </c>
      <c r="I280" s="2" t="s">
        <v>594</v>
      </c>
      <c r="K280" s="2" t="s">
        <v>178</v>
      </c>
      <c r="L280" s="2" t="s">
        <v>41</v>
      </c>
      <c r="O280" s="2" t="s">
        <v>43</v>
      </c>
      <c r="P280" s="2" t="s">
        <v>235</v>
      </c>
      <c r="Q280" s="2" t="s">
        <v>236</v>
      </c>
      <c r="R280" s="2">
        <v>1</v>
      </c>
      <c r="S280" s="2">
        <v>12.54</v>
      </c>
      <c r="T280" s="2">
        <v>2.8841999999999999</v>
      </c>
      <c r="U280" s="2">
        <v>15.424200000000001</v>
      </c>
      <c r="V280" s="2">
        <v>7.2217000000000002</v>
      </c>
      <c r="W280" s="5">
        <f t="shared" si="34"/>
        <v>0.42410685805422643</v>
      </c>
      <c r="Y280" s="2" t="s">
        <v>3256</v>
      </c>
      <c r="Z280" s="2" t="s">
        <v>46</v>
      </c>
      <c r="AA280" s="2" t="s">
        <v>57</v>
      </c>
      <c r="AB280" s="2" t="s">
        <v>58</v>
      </c>
      <c r="AE280" s="2">
        <f t="shared" si="31"/>
        <v>0</v>
      </c>
      <c r="AF280" s="2">
        <v>7.2217000000000002</v>
      </c>
      <c r="AG280" s="2">
        <v>14.4</v>
      </c>
      <c r="AI280" s="2">
        <f t="shared" si="32"/>
        <v>0</v>
      </c>
      <c r="AJ280" s="2">
        <f t="shared" si="33"/>
        <v>5.3182999999999989</v>
      </c>
      <c r="AK280" s="5">
        <f t="shared" si="30"/>
        <v>0.42410685805422643</v>
      </c>
    </row>
    <row r="281" spans="1:37" x14ac:dyDescent="0.2">
      <c r="A281" s="2">
        <v>2025</v>
      </c>
      <c r="B281" s="2">
        <v>1</v>
      </c>
      <c r="C281" s="2" t="s">
        <v>593</v>
      </c>
      <c r="D281" s="2" t="s">
        <v>38</v>
      </c>
      <c r="E281" s="2" t="s">
        <v>39</v>
      </c>
      <c r="F281" s="2">
        <v>510339298</v>
      </c>
      <c r="G281" s="2" t="s">
        <v>41</v>
      </c>
      <c r="H281" s="2" t="s">
        <v>178</v>
      </c>
      <c r="I281" s="2" t="s">
        <v>594</v>
      </c>
      <c r="K281" s="2" t="s">
        <v>178</v>
      </c>
      <c r="L281" s="2" t="s">
        <v>41</v>
      </c>
      <c r="O281" s="2" t="s">
        <v>43</v>
      </c>
      <c r="P281" s="2" t="s">
        <v>237</v>
      </c>
      <c r="Q281" s="2" t="s">
        <v>238</v>
      </c>
      <c r="R281" s="2">
        <v>1</v>
      </c>
      <c r="S281" s="2">
        <v>16.2</v>
      </c>
      <c r="T281" s="2">
        <v>3.726</v>
      </c>
      <c r="U281" s="2">
        <v>19.925999999999998</v>
      </c>
      <c r="W281" s="5">
        <f t="shared" si="34"/>
        <v>1</v>
      </c>
      <c r="Y281" s="2" t="s">
        <v>3256</v>
      </c>
      <c r="Z281" s="2" t="s">
        <v>46</v>
      </c>
      <c r="AA281" s="2" t="s">
        <v>57</v>
      </c>
      <c r="AB281" s="2" t="s">
        <v>58</v>
      </c>
      <c r="AE281" s="2">
        <f t="shared" si="31"/>
        <v>0</v>
      </c>
      <c r="AI281" s="2">
        <f t="shared" si="32"/>
        <v>0</v>
      </c>
      <c r="AJ281" s="2">
        <f t="shared" si="33"/>
        <v>16.2</v>
      </c>
      <c r="AK281" s="5">
        <f t="shared" si="30"/>
        <v>1</v>
      </c>
    </row>
    <row r="282" spans="1:37" x14ac:dyDescent="0.2">
      <c r="A282" s="2">
        <v>2025</v>
      </c>
      <c r="B282" s="2">
        <v>1</v>
      </c>
      <c r="C282" s="2" t="s">
        <v>593</v>
      </c>
      <c r="D282" s="2" t="s">
        <v>38</v>
      </c>
      <c r="E282" s="2" t="s">
        <v>39</v>
      </c>
      <c r="F282" s="2">
        <v>510339298</v>
      </c>
      <c r="G282" s="2" t="s">
        <v>41</v>
      </c>
      <c r="H282" s="2" t="s">
        <v>178</v>
      </c>
      <c r="I282" s="2" t="s">
        <v>594</v>
      </c>
      <c r="K282" s="2" t="s">
        <v>178</v>
      </c>
      <c r="L282" s="2" t="s">
        <v>41</v>
      </c>
      <c r="O282" s="2" t="s">
        <v>43</v>
      </c>
      <c r="P282" s="2" t="s">
        <v>239</v>
      </c>
      <c r="Q282" s="2" t="s">
        <v>240</v>
      </c>
      <c r="R282" s="2">
        <v>1</v>
      </c>
      <c r="S282" s="2">
        <v>18.809999999999999</v>
      </c>
      <c r="T282" s="2">
        <v>4.3262999999999998</v>
      </c>
      <c r="U282" s="2">
        <v>23.136299999999999</v>
      </c>
      <c r="W282" s="5">
        <f t="shared" si="34"/>
        <v>1</v>
      </c>
      <c r="Y282" s="2" t="s">
        <v>3256</v>
      </c>
      <c r="Z282" s="2" t="s">
        <v>46</v>
      </c>
      <c r="AA282" s="2" t="s">
        <v>57</v>
      </c>
      <c r="AB282" s="2" t="s">
        <v>58</v>
      </c>
      <c r="AE282" s="2">
        <f t="shared" si="31"/>
        <v>0</v>
      </c>
      <c r="AI282" s="2">
        <f t="shared" si="32"/>
        <v>0</v>
      </c>
      <c r="AJ282" s="2">
        <f t="shared" si="33"/>
        <v>18.809999999999999</v>
      </c>
      <c r="AK282" s="5">
        <f t="shared" si="30"/>
        <v>1</v>
      </c>
    </row>
    <row r="283" spans="1:37" x14ac:dyDescent="0.2">
      <c r="A283" s="2">
        <v>2025</v>
      </c>
      <c r="B283" s="2">
        <v>1</v>
      </c>
      <c r="C283" s="2" t="s">
        <v>593</v>
      </c>
      <c r="D283" s="2" t="s">
        <v>38</v>
      </c>
      <c r="E283" s="2" t="s">
        <v>39</v>
      </c>
      <c r="F283" s="2">
        <v>510339298</v>
      </c>
      <c r="G283" s="2" t="s">
        <v>41</v>
      </c>
      <c r="H283" s="2" t="s">
        <v>178</v>
      </c>
      <c r="I283" s="2" t="s">
        <v>594</v>
      </c>
      <c r="K283" s="2" t="s">
        <v>178</v>
      </c>
      <c r="L283" s="2" t="s">
        <v>41</v>
      </c>
      <c r="O283" s="2" t="s">
        <v>43</v>
      </c>
      <c r="P283" s="2" t="s">
        <v>241</v>
      </c>
      <c r="Q283" s="2" t="s">
        <v>242</v>
      </c>
      <c r="R283" s="2">
        <v>1</v>
      </c>
      <c r="S283" s="2">
        <v>22.8</v>
      </c>
      <c r="T283" s="2">
        <v>5.2440000000000007</v>
      </c>
      <c r="U283" s="2">
        <v>28.044</v>
      </c>
      <c r="W283" s="5">
        <f t="shared" si="34"/>
        <v>1</v>
      </c>
      <c r="Y283" s="2" t="s">
        <v>3256</v>
      </c>
      <c r="Z283" s="2" t="s">
        <v>46</v>
      </c>
      <c r="AA283" s="2" t="s">
        <v>57</v>
      </c>
      <c r="AB283" s="2" t="s">
        <v>58</v>
      </c>
      <c r="AE283" s="2">
        <f t="shared" si="31"/>
        <v>0</v>
      </c>
      <c r="AI283" s="2">
        <f t="shared" si="32"/>
        <v>0</v>
      </c>
      <c r="AJ283" s="2">
        <f t="shared" si="33"/>
        <v>22.8</v>
      </c>
      <c r="AK283" s="5">
        <f t="shared" si="30"/>
        <v>1</v>
      </c>
    </row>
    <row r="284" spans="1:37" x14ac:dyDescent="0.2">
      <c r="A284" s="2">
        <v>2025</v>
      </c>
      <c r="B284" s="2">
        <v>1</v>
      </c>
      <c r="C284" s="2" t="s">
        <v>593</v>
      </c>
      <c r="D284" s="2" t="s">
        <v>38</v>
      </c>
      <c r="E284" s="2" t="s">
        <v>39</v>
      </c>
      <c r="F284" s="2">
        <v>510339298</v>
      </c>
      <c r="G284" s="2" t="s">
        <v>41</v>
      </c>
      <c r="H284" s="2" t="s">
        <v>178</v>
      </c>
      <c r="I284" s="2" t="s">
        <v>594</v>
      </c>
      <c r="K284" s="2" t="s">
        <v>178</v>
      </c>
      <c r="L284" s="2" t="s">
        <v>41</v>
      </c>
      <c r="O284" s="2" t="s">
        <v>43</v>
      </c>
      <c r="P284" s="2" t="s">
        <v>59</v>
      </c>
      <c r="Q284" s="2" t="s">
        <v>60</v>
      </c>
      <c r="R284" s="2">
        <v>100</v>
      </c>
      <c r="S284" s="2">
        <v>13</v>
      </c>
      <c r="T284" s="2">
        <v>2.99</v>
      </c>
      <c r="U284" s="2">
        <v>15.99</v>
      </c>
      <c r="V284" s="2">
        <f>0.0914*R284</f>
        <v>9.1399999999999988</v>
      </c>
      <c r="W284" s="5">
        <f t="shared" si="34"/>
        <v>0.29692307692307701</v>
      </c>
      <c r="Y284" s="2" t="s">
        <v>3256</v>
      </c>
      <c r="Z284" s="2" t="s">
        <v>46</v>
      </c>
      <c r="AA284" s="2" t="s">
        <v>61</v>
      </c>
      <c r="AB284" s="2" t="s">
        <v>58</v>
      </c>
      <c r="AE284" s="2">
        <f t="shared" si="31"/>
        <v>0</v>
      </c>
      <c r="AF284" s="2">
        <v>9.14</v>
      </c>
      <c r="AG284" s="2">
        <v>16</v>
      </c>
      <c r="AI284" s="2">
        <f t="shared" si="32"/>
        <v>0</v>
      </c>
      <c r="AJ284" s="2">
        <f t="shared" si="33"/>
        <v>3.8600000000000012</v>
      </c>
      <c r="AK284" s="5">
        <f t="shared" si="30"/>
        <v>0.29692307692307701</v>
      </c>
    </row>
    <row r="285" spans="1:37" x14ac:dyDescent="0.2">
      <c r="A285" s="2">
        <v>2025</v>
      </c>
      <c r="B285" s="2">
        <v>1</v>
      </c>
      <c r="C285" s="2" t="s">
        <v>593</v>
      </c>
      <c r="D285" s="2" t="s">
        <v>38</v>
      </c>
      <c r="E285" s="2" t="s">
        <v>39</v>
      </c>
      <c r="F285" s="2">
        <v>510339298</v>
      </c>
      <c r="G285" s="2" t="s">
        <v>41</v>
      </c>
      <c r="H285" s="2" t="s">
        <v>178</v>
      </c>
      <c r="I285" s="2" t="s">
        <v>594</v>
      </c>
      <c r="K285" s="2" t="s">
        <v>178</v>
      </c>
      <c r="O285" s="2" t="s">
        <v>43</v>
      </c>
      <c r="P285" s="2" t="s">
        <v>163</v>
      </c>
      <c r="Q285" s="2" t="s">
        <v>164</v>
      </c>
      <c r="R285" s="2">
        <v>1</v>
      </c>
      <c r="S285" s="2">
        <v>19.95</v>
      </c>
      <c r="T285" s="2">
        <v>4.5884999999999998</v>
      </c>
      <c r="U285" s="2">
        <v>24.538499999999999</v>
      </c>
      <c r="W285" s="5">
        <f t="shared" si="34"/>
        <v>1</v>
      </c>
      <c r="Y285" s="2" t="s">
        <v>3256</v>
      </c>
      <c r="Z285" s="2" t="s">
        <v>46</v>
      </c>
      <c r="AA285" s="2" t="s">
        <v>47</v>
      </c>
      <c r="AB285" s="2" t="s">
        <v>48</v>
      </c>
      <c r="AE285" s="2">
        <f t="shared" si="31"/>
        <v>0</v>
      </c>
      <c r="AI285" s="2">
        <f t="shared" si="32"/>
        <v>0</v>
      </c>
      <c r="AJ285" s="2">
        <f t="shared" si="33"/>
        <v>19.95</v>
      </c>
      <c r="AK285" s="5">
        <f t="shared" si="30"/>
        <v>1</v>
      </c>
    </row>
    <row r="286" spans="1:37" x14ac:dyDescent="0.2">
      <c r="A286" s="2">
        <v>2025</v>
      </c>
      <c r="B286" s="2">
        <v>1</v>
      </c>
      <c r="C286" s="2" t="s">
        <v>593</v>
      </c>
      <c r="D286" s="2" t="s">
        <v>38</v>
      </c>
      <c r="E286" s="2" t="s">
        <v>39</v>
      </c>
      <c r="F286" s="2">
        <v>510339298</v>
      </c>
      <c r="G286" s="2" t="s">
        <v>41</v>
      </c>
      <c r="H286" s="2" t="s">
        <v>178</v>
      </c>
      <c r="I286" s="2" t="s">
        <v>594</v>
      </c>
      <c r="K286" s="2" t="s">
        <v>178</v>
      </c>
      <c r="O286" s="2" t="s">
        <v>85</v>
      </c>
      <c r="P286" s="2" t="s">
        <v>92</v>
      </c>
      <c r="Q286" s="2" t="s">
        <v>93</v>
      </c>
      <c r="R286" s="2">
        <v>1</v>
      </c>
      <c r="S286" s="2">
        <v>3.99</v>
      </c>
      <c r="T286" s="2">
        <v>0.91770000000000007</v>
      </c>
      <c r="U286" s="2">
        <v>4.9077000000000002</v>
      </c>
      <c r="W286" s="5">
        <f t="shared" si="34"/>
        <v>1</v>
      </c>
      <c r="Y286" s="2" t="s">
        <v>3256</v>
      </c>
      <c r="Z286" s="2" t="s">
        <v>88</v>
      </c>
      <c r="AA286" s="2" t="s">
        <v>91</v>
      </c>
      <c r="AB286" s="2" t="s">
        <v>85</v>
      </c>
      <c r="AE286" s="2">
        <f t="shared" si="31"/>
        <v>0</v>
      </c>
      <c r="AI286" s="2">
        <f t="shared" si="32"/>
        <v>0</v>
      </c>
      <c r="AJ286" s="2">
        <f t="shared" si="33"/>
        <v>3.99</v>
      </c>
      <c r="AK286" s="5">
        <f t="shared" si="30"/>
        <v>1</v>
      </c>
    </row>
    <row r="287" spans="1:37" x14ac:dyDescent="0.2">
      <c r="A287" s="2">
        <v>2025</v>
      </c>
      <c r="B287" s="2">
        <v>1</v>
      </c>
      <c r="C287" s="2" t="s">
        <v>599</v>
      </c>
      <c r="D287" s="2" t="s">
        <v>109</v>
      </c>
      <c r="E287" s="2" t="s">
        <v>397</v>
      </c>
      <c r="F287" s="2">
        <v>507476352</v>
      </c>
      <c r="G287" s="2" t="s">
        <v>110</v>
      </c>
      <c r="H287" s="2" t="s">
        <v>113</v>
      </c>
      <c r="I287" s="2" t="s">
        <v>600</v>
      </c>
      <c r="K287" s="2" t="s">
        <v>113</v>
      </c>
      <c r="L287" s="2" t="s">
        <v>40</v>
      </c>
      <c r="N287" s="2" t="s">
        <v>601</v>
      </c>
      <c r="O287" s="2" t="s">
        <v>115</v>
      </c>
      <c r="P287" s="2" t="s">
        <v>375</v>
      </c>
      <c r="Q287" s="2" t="s">
        <v>376</v>
      </c>
      <c r="R287" s="2">
        <v>1</v>
      </c>
      <c r="S287" s="2">
        <v>45.07</v>
      </c>
      <c r="T287" s="2">
        <v>10.366099999999999</v>
      </c>
      <c r="U287" s="2">
        <v>55.436100000000003</v>
      </c>
      <c r="W287" s="5">
        <f t="shared" si="34"/>
        <v>1</v>
      </c>
      <c r="Y287" s="2" t="s">
        <v>118</v>
      </c>
      <c r="Z287" s="2" t="s">
        <v>119</v>
      </c>
      <c r="AA287" s="2" t="s">
        <v>120</v>
      </c>
      <c r="AB287" s="2" t="s">
        <v>115</v>
      </c>
      <c r="AE287" s="2">
        <f t="shared" si="31"/>
        <v>0</v>
      </c>
      <c r="AI287" s="2">
        <f t="shared" si="32"/>
        <v>0</v>
      </c>
      <c r="AJ287" s="2">
        <f t="shared" si="33"/>
        <v>45.07</v>
      </c>
      <c r="AK287" s="5">
        <f t="shared" si="30"/>
        <v>1</v>
      </c>
    </row>
    <row r="288" spans="1:37" x14ac:dyDescent="0.2">
      <c r="A288" s="2">
        <v>2025</v>
      </c>
      <c r="B288" s="2">
        <v>1</v>
      </c>
      <c r="C288" s="2" t="s">
        <v>599</v>
      </c>
      <c r="D288" s="2" t="s">
        <v>109</v>
      </c>
      <c r="E288" s="2" t="s">
        <v>397</v>
      </c>
      <c r="F288" s="2">
        <v>507476352</v>
      </c>
      <c r="G288" s="2" t="s">
        <v>110</v>
      </c>
      <c r="H288" s="2" t="s">
        <v>113</v>
      </c>
      <c r="I288" s="2" t="s">
        <v>600</v>
      </c>
      <c r="K288" s="2" t="s">
        <v>113</v>
      </c>
      <c r="L288" s="2" t="s">
        <v>40</v>
      </c>
      <c r="N288" s="2" t="s">
        <v>601</v>
      </c>
      <c r="O288" s="2" t="s">
        <v>40</v>
      </c>
      <c r="P288" s="2" t="s">
        <v>364</v>
      </c>
      <c r="Q288" s="2" t="s">
        <v>365</v>
      </c>
      <c r="R288" s="2">
        <v>1</v>
      </c>
      <c r="S288" s="2">
        <v>15.12</v>
      </c>
      <c r="T288" s="2">
        <v>3.4775999999999998</v>
      </c>
      <c r="U288" s="2">
        <v>18.5976</v>
      </c>
      <c r="W288" s="5">
        <f t="shared" si="34"/>
        <v>1</v>
      </c>
      <c r="Y288" s="2" t="s">
        <v>118</v>
      </c>
      <c r="Z288" s="2" t="s">
        <v>119</v>
      </c>
      <c r="AA288" s="2" t="s">
        <v>120</v>
      </c>
      <c r="AB288" s="2" t="s">
        <v>115</v>
      </c>
      <c r="AE288" s="2">
        <f t="shared" si="31"/>
        <v>0</v>
      </c>
      <c r="AI288" s="2">
        <f t="shared" si="32"/>
        <v>0</v>
      </c>
      <c r="AJ288" s="2">
        <f t="shared" si="33"/>
        <v>15.12</v>
      </c>
      <c r="AK288" s="5">
        <f t="shared" si="30"/>
        <v>1</v>
      </c>
    </row>
    <row r="289" spans="1:37" x14ac:dyDescent="0.2">
      <c r="A289" s="2">
        <v>2025</v>
      </c>
      <c r="B289" s="2">
        <v>1</v>
      </c>
      <c r="C289" s="2" t="s">
        <v>602</v>
      </c>
      <c r="D289" s="2" t="s">
        <v>38</v>
      </c>
      <c r="E289" s="2" t="s">
        <v>39</v>
      </c>
      <c r="F289" s="2">
        <v>509680364</v>
      </c>
      <c r="G289" s="2" t="s">
        <v>41</v>
      </c>
      <c r="H289" s="2" t="s">
        <v>603</v>
      </c>
      <c r="I289" s="2" t="s">
        <v>604</v>
      </c>
      <c r="J289" s="2">
        <v>919603867</v>
      </c>
      <c r="K289" s="2" t="s">
        <v>605</v>
      </c>
      <c r="L289" s="2" t="s">
        <v>41</v>
      </c>
      <c r="N289" s="2" t="s">
        <v>606</v>
      </c>
      <c r="O289" s="2" t="s">
        <v>43</v>
      </c>
      <c r="P289" s="2" t="s">
        <v>51</v>
      </c>
      <c r="Q289" s="2" t="s">
        <v>52</v>
      </c>
      <c r="R289" s="2">
        <v>1</v>
      </c>
      <c r="S289" s="2">
        <v>0</v>
      </c>
      <c r="T289" s="2">
        <v>0</v>
      </c>
      <c r="U289" s="2">
        <v>0</v>
      </c>
      <c r="V289" s="2">
        <f>10.2346*R289</f>
        <v>10.2346</v>
      </c>
      <c r="W289" s="5">
        <f>IF(S289=0,IF(V289&gt;0,-100%,0%),(S289-V289)/S289)</f>
        <v>-1</v>
      </c>
      <c r="Y289" s="2" t="s">
        <v>3256</v>
      </c>
      <c r="Z289" s="2" t="s">
        <v>46</v>
      </c>
      <c r="AA289" s="2" t="s">
        <v>47</v>
      </c>
      <c r="AB289" s="2" t="s">
        <v>48</v>
      </c>
      <c r="AE289" s="2">
        <f t="shared" si="31"/>
        <v>0</v>
      </c>
      <c r="AF289" s="2">
        <v>10.2346</v>
      </c>
      <c r="AG289" s="2">
        <v>18</v>
      </c>
      <c r="AI289" s="2">
        <f t="shared" si="32"/>
        <v>0</v>
      </c>
      <c r="AJ289" s="2">
        <f t="shared" si="33"/>
        <v>-10.2346</v>
      </c>
      <c r="AK289" s="5">
        <f>IF(S289=0,IF(V289&gt;0,-100%,0%),(S289-V289)/S289)</f>
        <v>-1</v>
      </c>
    </row>
    <row r="290" spans="1:37" x14ac:dyDescent="0.2">
      <c r="A290" s="2">
        <v>2025</v>
      </c>
      <c r="B290" s="2">
        <v>1</v>
      </c>
      <c r="C290" s="2" t="s">
        <v>602</v>
      </c>
      <c r="D290" s="2" t="s">
        <v>38</v>
      </c>
      <c r="E290" s="2" t="s">
        <v>39</v>
      </c>
      <c r="F290" s="2">
        <v>509680364</v>
      </c>
      <c r="G290" s="2" t="s">
        <v>41</v>
      </c>
      <c r="H290" s="2" t="s">
        <v>603</v>
      </c>
      <c r="I290" s="2" t="s">
        <v>604</v>
      </c>
      <c r="J290" s="2">
        <v>919603867</v>
      </c>
      <c r="K290" s="2" t="s">
        <v>605</v>
      </c>
      <c r="L290" s="2" t="s">
        <v>41</v>
      </c>
      <c r="N290" s="2" t="s">
        <v>606</v>
      </c>
      <c r="O290" s="2" t="s">
        <v>43</v>
      </c>
      <c r="P290" s="2" t="s">
        <v>53</v>
      </c>
      <c r="Q290" s="2" t="s">
        <v>54</v>
      </c>
      <c r="R290" s="2">
        <v>1</v>
      </c>
      <c r="S290" s="2">
        <v>0</v>
      </c>
      <c r="T290" s="2">
        <v>0</v>
      </c>
      <c r="U290" s="2">
        <v>0</v>
      </c>
      <c r="V290" s="2">
        <f>5.2973*R290</f>
        <v>5.2972999999999999</v>
      </c>
      <c r="W290" s="5">
        <f>IF(S290=0,IF(V290&gt;0,-100%,0%),(S290-V290)/S290)</f>
        <v>-1</v>
      </c>
      <c r="Y290" s="2" t="s">
        <v>3256</v>
      </c>
      <c r="Z290" s="2" t="s">
        <v>46</v>
      </c>
      <c r="AA290" s="2" t="s">
        <v>47</v>
      </c>
      <c r="AB290" s="2" t="s">
        <v>48</v>
      </c>
      <c r="AE290" s="2">
        <f t="shared" si="31"/>
        <v>0</v>
      </c>
      <c r="AF290" s="2">
        <v>5.2972999999999999</v>
      </c>
      <c r="AG290" s="2">
        <v>10.8</v>
      </c>
      <c r="AI290" s="2">
        <f t="shared" si="32"/>
        <v>0</v>
      </c>
      <c r="AJ290" s="2">
        <f t="shared" si="33"/>
        <v>-5.2972999999999999</v>
      </c>
      <c r="AK290" s="5">
        <f>IF(S290=0,IF(V290&gt;0,-100%,0%),(S290-V290)/S290)</f>
        <v>-1</v>
      </c>
    </row>
    <row r="291" spans="1:37" x14ac:dyDescent="0.2">
      <c r="A291" s="2">
        <v>2025</v>
      </c>
      <c r="B291" s="2">
        <v>1</v>
      </c>
      <c r="C291" s="2" t="s">
        <v>602</v>
      </c>
      <c r="D291" s="2" t="s">
        <v>38</v>
      </c>
      <c r="E291" s="2" t="s">
        <v>39</v>
      </c>
      <c r="F291" s="2">
        <v>509680364</v>
      </c>
      <c r="G291" s="2" t="s">
        <v>41</v>
      </c>
      <c r="H291" s="2" t="s">
        <v>603</v>
      </c>
      <c r="I291" s="2" t="s">
        <v>604</v>
      </c>
      <c r="J291" s="2">
        <v>919603867</v>
      </c>
      <c r="K291" s="2" t="s">
        <v>605</v>
      </c>
      <c r="L291" s="2" t="s">
        <v>41</v>
      </c>
      <c r="N291" s="2" t="s">
        <v>606</v>
      </c>
      <c r="O291" s="2" t="s">
        <v>43</v>
      </c>
      <c r="P291" s="2" t="s">
        <v>607</v>
      </c>
      <c r="Q291" s="2" t="s">
        <v>608</v>
      </c>
      <c r="R291" s="2">
        <v>5</v>
      </c>
      <c r="S291" s="2">
        <v>0</v>
      </c>
      <c r="T291" s="2">
        <v>0</v>
      </c>
      <c r="U291" s="2">
        <v>0</v>
      </c>
      <c r="W291" s="5">
        <f>IF(S291=0,IF(V291&gt;0,-100%,0%),(S291-V291)/S291)</f>
        <v>0</v>
      </c>
      <c r="Y291" s="2" t="s">
        <v>3256</v>
      </c>
      <c r="Z291" s="2" t="s">
        <v>46</v>
      </c>
      <c r="AA291" s="2" t="s">
        <v>61</v>
      </c>
      <c r="AB291" s="2" t="s">
        <v>58</v>
      </c>
      <c r="AE291" s="2">
        <f t="shared" si="31"/>
        <v>0</v>
      </c>
      <c r="AI291" s="2">
        <f t="shared" si="32"/>
        <v>0</v>
      </c>
      <c r="AJ291" s="2">
        <f t="shared" si="33"/>
        <v>0</v>
      </c>
      <c r="AK291" s="5">
        <f>IF(S291=0,IF(V291&gt;0,-100%,0%),(S291-V291)/S291)</f>
        <v>0</v>
      </c>
    </row>
    <row r="292" spans="1:37" x14ac:dyDescent="0.2">
      <c r="A292" s="2">
        <v>2025</v>
      </c>
      <c r="B292" s="2">
        <v>1</v>
      </c>
      <c r="C292" s="2" t="s">
        <v>602</v>
      </c>
      <c r="D292" s="2" t="s">
        <v>38</v>
      </c>
      <c r="E292" s="2" t="s">
        <v>39</v>
      </c>
      <c r="F292" s="2">
        <v>509680364</v>
      </c>
      <c r="G292" s="2" t="s">
        <v>41</v>
      </c>
      <c r="H292" s="2" t="s">
        <v>603</v>
      </c>
      <c r="I292" s="2" t="s">
        <v>604</v>
      </c>
      <c r="J292" s="2">
        <v>919603867</v>
      </c>
      <c r="K292" s="2" t="s">
        <v>605</v>
      </c>
      <c r="L292" s="2" t="s">
        <v>41</v>
      </c>
      <c r="N292" s="2" t="s">
        <v>606</v>
      </c>
      <c r="O292" s="2" t="s">
        <v>43</v>
      </c>
      <c r="P292" s="2" t="s">
        <v>205</v>
      </c>
      <c r="Q292" s="2" t="s">
        <v>206</v>
      </c>
      <c r="R292" s="2">
        <v>6</v>
      </c>
      <c r="S292" s="2">
        <v>0</v>
      </c>
      <c r="T292" s="2">
        <v>0</v>
      </c>
      <c r="U292" s="2">
        <v>0</v>
      </c>
      <c r="V292" s="2">
        <f>1.832*R292</f>
        <v>10.992000000000001</v>
      </c>
      <c r="W292" s="5">
        <f>IF(S292=0,IF(V292&gt;0,-100%,0%),(S292-V292)/S292)</f>
        <v>-1</v>
      </c>
      <c r="Y292" s="2" t="s">
        <v>3256</v>
      </c>
      <c r="Z292" s="2" t="s">
        <v>46</v>
      </c>
      <c r="AA292" s="2" t="s">
        <v>61</v>
      </c>
      <c r="AB292" s="2" t="s">
        <v>58</v>
      </c>
      <c r="AE292" s="2">
        <f t="shared" si="31"/>
        <v>0</v>
      </c>
      <c r="AF292" s="2">
        <v>1.8320000000000001</v>
      </c>
      <c r="AG292" s="2">
        <v>2.4</v>
      </c>
      <c r="AI292" s="2">
        <f t="shared" si="32"/>
        <v>0</v>
      </c>
      <c r="AJ292" s="2">
        <f t="shared" si="33"/>
        <v>-10.992000000000001</v>
      </c>
      <c r="AK292" s="5">
        <f>IF(S292=0,IF(V292&gt;0,-100%,0%),(S292-V292)/S292)</f>
        <v>-1</v>
      </c>
    </row>
    <row r="293" spans="1:37" x14ac:dyDescent="0.2">
      <c r="A293" s="2">
        <v>2025</v>
      </c>
      <c r="B293" s="2">
        <v>1</v>
      </c>
      <c r="C293" s="2" t="s">
        <v>602</v>
      </c>
      <c r="D293" s="2" t="s">
        <v>38</v>
      </c>
      <c r="E293" s="2" t="s">
        <v>39</v>
      </c>
      <c r="F293" s="2">
        <v>509680364</v>
      </c>
      <c r="G293" s="2" t="s">
        <v>41</v>
      </c>
      <c r="H293" s="2" t="s">
        <v>603</v>
      </c>
      <c r="I293" s="2" t="s">
        <v>604</v>
      </c>
      <c r="J293" s="2">
        <v>919603867</v>
      </c>
      <c r="K293" s="2" t="s">
        <v>605</v>
      </c>
      <c r="L293" s="2" t="s">
        <v>41</v>
      </c>
      <c r="N293" s="2" t="s">
        <v>606</v>
      </c>
      <c r="O293" s="2" t="s">
        <v>43</v>
      </c>
      <c r="P293" s="2" t="s">
        <v>66</v>
      </c>
      <c r="Q293" s="2" t="s">
        <v>67</v>
      </c>
      <c r="R293" s="2">
        <v>3</v>
      </c>
      <c r="S293" s="2">
        <v>0</v>
      </c>
      <c r="T293" s="2">
        <v>0</v>
      </c>
      <c r="U293" s="2">
        <v>0</v>
      </c>
      <c r="V293" s="2">
        <f>15.0203*R293</f>
        <v>45.060900000000004</v>
      </c>
      <c r="W293" s="5">
        <f>IF(S293=0,IF(V293&gt;0,-100%,0%),(S293-V293)/S293)</f>
        <v>-1</v>
      </c>
      <c r="Y293" s="2" t="s">
        <v>3256</v>
      </c>
      <c r="Z293" s="2" t="s">
        <v>46</v>
      </c>
      <c r="AA293" s="2" t="s">
        <v>68</v>
      </c>
      <c r="AB293" s="2" t="s">
        <v>58</v>
      </c>
      <c r="AE293" s="2">
        <f t="shared" si="31"/>
        <v>0</v>
      </c>
      <c r="AF293" s="2">
        <v>15.020300000000001</v>
      </c>
      <c r="AG293" s="2">
        <v>27.6</v>
      </c>
      <c r="AI293" s="2">
        <f t="shared" si="32"/>
        <v>0</v>
      </c>
      <c r="AJ293" s="2">
        <f t="shared" si="33"/>
        <v>-45.060900000000004</v>
      </c>
      <c r="AK293" s="5">
        <f>IF(S293=0,IF(V293&gt;0,-100%,0%),(S293-V293)/S293)</f>
        <v>-1</v>
      </c>
    </row>
    <row r="294" spans="1:37" x14ac:dyDescent="0.2">
      <c r="A294" s="2">
        <v>2025</v>
      </c>
      <c r="B294" s="2">
        <v>1</v>
      </c>
      <c r="C294" s="2" t="s">
        <v>602</v>
      </c>
      <c r="D294" s="2" t="s">
        <v>38</v>
      </c>
      <c r="E294" s="2" t="s">
        <v>39</v>
      </c>
      <c r="F294" s="2">
        <v>509680364</v>
      </c>
      <c r="G294" s="2" t="s">
        <v>41</v>
      </c>
      <c r="H294" s="2" t="s">
        <v>603</v>
      </c>
      <c r="I294" s="2" t="s">
        <v>604</v>
      </c>
      <c r="J294" s="2">
        <v>919603867</v>
      </c>
      <c r="K294" s="2" t="s">
        <v>605</v>
      </c>
      <c r="L294" s="2" t="s">
        <v>41</v>
      </c>
      <c r="N294" s="2" t="s">
        <v>606</v>
      </c>
      <c r="O294" s="2" t="s">
        <v>85</v>
      </c>
      <c r="P294" s="2" t="s">
        <v>609</v>
      </c>
      <c r="Q294" s="2" t="s">
        <v>610</v>
      </c>
      <c r="R294" s="2">
        <v>8</v>
      </c>
      <c r="S294" s="2">
        <v>0</v>
      </c>
      <c r="T294" s="2">
        <v>0</v>
      </c>
      <c r="U294" s="2">
        <v>0</v>
      </c>
      <c r="W294" s="5" t="e">
        <f t="shared" ref="W294:W325" si="35">(S294-V294)/S294</f>
        <v>#DIV/0!</v>
      </c>
      <c r="Y294" s="2" t="s">
        <v>3256</v>
      </c>
      <c r="Z294" s="2" t="s">
        <v>88</v>
      </c>
      <c r="AA294" s="2" t="s">
        <v>61</v>
      </c>
      <c r="AB294" s="2" t="s">
        <v>85</v>
      </c>
      <c r="AE294" s="2">
        <f t="shared" si="31"/>
        <v>0</v>
      </c>
      <c r="AI294" s="2">
        <f t="shared" si="32"/>
        <v>0</v>
      </c>
      <c r="AJ294" s="2">
        <f t="shared" si="33"/>
        <v>0</v>
      </c>
      <c r="AK294" s="5" t="e">
        <f t="shared" ref="AK294:AK357" si="36">(S294-V294)/S294</f>
        <v>#DIV/0!</v>
      </c>
    </row>
    <row r="295" spans="1:37" x14ac:dyDescent="0.2">
      <c r="A295" s="2">
        <v>2025</v>
      </c>
      <c r="B295" s="2">
        <v>1</v>
      </c>
      <c r="C295" s="2" t="s">
        <v>611</v>
      </c>
      <c r="D295" s="2" t="s">
        <v>109</v>
      </c>
      <c r="E295" s="2" t="s">
        <v>39</v>
      </c>
      <c r="F295" s="2">
        <v>504822187</v>
      </c>
      <c r="G295" s="2" t="s">
        <v>110</v>
      </c>
      <c r="H295" s="2" t="s">
        <v>612</v>
      </c>
      <c r="I295" s="2" t="s">
        <v>613</v>
      </c>
      <c r="J295" s="2">
        <v>966216853</v>
      </c>
      <c r="K295" s="2" t="s">
        <v>465</v>
      </c>
      <c r="L295" s="2" t="s">
        <v>40</v>
      </c>
      <c r="O295" s="2" t="s">
        <v>188</v>
      </c>
      <c r="P295" s="2" t="s">
        <v>318</v>
      </c>
      <c r="Q295" s="2" t="s">
        <v>319</v>
      </c>
      <c r="R295" s="2">
        <v>1</v>
      </c>
      <c r="S295" s="2">
        <v>899</v>
      </c>
      <c r="T295" s="2">
        <v>206.77</v>
      </c>
      <c r="U295" s="2">
        <v>1105.77</v>
      </c>
      <c r="W295" s="5">
        <f t="shared" si="35"/>
        <v>1</v>
      </c>
      <c r="Y295" s="2" t="s">
        <v>118</v>
      </c>
      <c r="Z295" s="2" t="s">
        <v>318</v>
      </c>
      <c r="AE295" s="2">
        <f t="shared" si="31"/>
        <v>0</v>
      </c>
      <c r="AI295" s="2">
        <f t="shared" si="32"/>
        <v>0</v>
      </c>
      <c r="AJ295" s="2">
        <f t="shared" si="33"/>
        <v>899</v>
      </c>
      <c r="AK295" s="5">
        <f t="shared" si="36"/>
        <v>1</v>
      </c>
    </row>
    <row r="296" spans="1:37" x14ac:dyDescent="0.2">
      <c r="A296" s="2">
        <v>2025</v>
      </c>
      <c r="B296" s="2">
        <v>1</v>
      </c>
      <c r="C296" s="2" t="s">
        <v>611</v>
      </c>
      <c r="D296" s="2" t="s">
        <v>109</v>
      </c>
      <c r="E296" s="2" t="s">
        <v>39</v>
      </c>
      <c r="F296" s="2">
        <v>504822187</v>
      </c>
      <c r="G296" s="2" t="s">
        <v>110</v>
      </c>
      <c r="H296" s="2" t="s">
        <v>612</v>
      </c>
      <c r="I296" s="2" t="s">
        <v>613</v>
      </c>
      <c r="J296" s="2">
        <v>966216853</v>
      </c>
      <c r="K296" s="2" t="s">
        <v>465</v>
      </c>
      <c r="L296" s="2" t="s">
        <v>40</v>
      </c>
      <c r="O296" s="2" t="s">
        <v>115</v>
      </c>
      <c r="P296" s="2" t="s">
        <v>411</v>
      </c>
      <c r="Q296" s="2" t="s">
        <v>412</v>
      </c>
      <c r="R296" s="2">
        <v>1</v>
      </c>
      <c r="S296" s="2">
        <v>0</v>
      </c>
      <c r="T296" s="2">
        <v>0</v>
      </c>
      <c r="U296" s="2">
        <v>0</v>
      </c>
      <c r="W296" s="5" t="e">
        <f t="shared" si="35"/>
        <v>#DIV/0!</v>
      </c>
      <c r="Y296" s="2" t="s">
        <v>118</v>
      </c>
      <c r="Z296" s="2" t="s">
        <v>318</v>
      </c>
      <c r="AE296" s="2">
        <f t="shared" si="31"/>
        <v>0</v>
      </c>
      <c r="AI296" s="2">
        <f t="shared" si="32"/>
        <v>0</v>
      </c>
      <c r="AJ296" s="2">
        <f t="shared" si="33"/>
        <v>0</v>
      </c>
      <c r="AK296" s="5" t="e">
        <f t="shared" si="36"/>
        <v>#DIV/0!</v>
      </c>
    </row>
    <row r="297" spans="1:37" x14ac:dyDescent="0.2">
      <c r="A297" s="2">
        <v>2025</v>
      </c>
      <c r="B297" s="2">
        <v>1</v>
      </c>
      <c r="C297" s="2" t="s">
        <v>614</v>
      </c>
      <c r="D297" s="2" t="s">
        <v>38</v>
      </c>
      <c r="E297" s="2" t="s">
        <v>39</v>
      </c>
      <c r="F297" s="2">
        <v>509037054</v>
      </c>
      <c r="G297" s="2" t="s">
        <v>41</v>
      </c>
      <c r="H297" s="2" t="s">
        <v>615</v>
      </c>
      <c r="I297" s="2" t="s">
        <v>616</v>
      </c>
      <c r="J297" s="2">
        <v>962616315</v>
      </c>
      <c r="K297" s="2" t="s">
        <v>178</v>
      </c>
      <c r="L297" s="2" t="s">
        <v>41</v>
      </c>
      <c r="N297" s="2" t="s">
        <v>617</v>
      </c>
      <c r="O297" s="2" t="s">
        <v>43</v>
      </c>
      <c r="P297" s="2" t="s">
        <v>235</v>
      </c>
      <c r="Q297" s="2" t="s">
        <v>236</v>
      </c>
      <c r="R297" s="2">
        <v>1</v>
      </c>
      <c r="S297" s="2">
        <v>13.2</v>
      </c>
      <c r="T297" s="2">
        <v>3.036</v>
      </c>
      <c r="U297" s="2">
        <v>16.236000000000001</v>
      </c>
      <c r="V297" s="2">
        <v>7.2217000000000002</v>
      </c>
      <c r="W297" s="5">
        <f t="shared" si="35"/>
        <v>0.45290151515151511</v>
      </c>
      <c r="Y297" s="2" t="s">
        <v>3256</v>
      </c>
      <c r="Z297" s="2" t="s">
        <v>46</v>
      </c>
      <c r="AA297" s="2" t="s">
        <v>57</v>
      </c>
      <c r="AB297" s="2" t="s">
        <v>58</v>
      </c>
      <c r="AE297" s="2">
        <f t="shared" si="31"/>
        <v>0</v>
      </c>
      <c r="AF297" s="2">
        <v>7.2217000000000002</v>
      </c>
      <c r="AG297" s="2">
        <v>14.4</v>
      </c>
      <c r="AI297" s="2">
        <f t="shared" si="32"/>
        <v>0</v>
      </c>
      <c r="AJ297" s="2">
        <f t="shared" si="33"/>
        <v>5.9782999999999991</v>
      </c>
      <c r="AK297" s="5">
        <f t="shared" si="36"/>
        <v>0.45290151515151511</v>
      </c>
    </row>
    <row r="298" spans="1:37" x14ac:dyDescent="0.2">
      <c r="A298" s="2">
        <v>2025</v>
      </c>
      <c r="B298" s="2">
        <v>1</v>
      </c>
      <c r="C298" s="2" t="s">
        <v>614</v>
      </c>
      <c r="D298" s="2" t="s">
        <v>38</v>
      </c>
      <c r="E298" s="2" t="s">
        <v>39</v>
      </c>
      <c r="F298" s="2">
        <v>509037054</v>
      </c>
      <c r="G298" s="2" t="s">
        <v>41</v>
      </c>
      <c r="H298" s="2" t="s">
        <v>615</v>
      </c>
      <c r="I298" s="2" t="s">
        <v>616</v>
      </c>
      <c r="J298" s="2">
        <v>962616315</v>
      </c>
      <c r="K298" s="2" t="s">
        <v>178</v>
      </c>
      <c r="L298" s="2" t="s">
        <v>41</v>
      </c>
      <c r="N298" s="2" t="s">
        <v>617</v>
      </c>
      <c r="O298" s="2" t="s">
        <v>43</v>
      </c>
      <c r="P298" s="2" t="s">
        <v>239</v>
      </c>
      <c r="Q298" s="2" t="s">
        <v>240</v>
      </c>
      <c r="R298" s="2">
        <v>1</v>
      </c>
      <c r="S298" s="2">
        <v>19.8</v>
      </c>
      <c r="T298" s="2">
        <v>4.5540000000000003</v>
      </c>
      <c r="U298" s="2">
        <v>24.353999999999999</v>
      </c>
      <c r="W298" s="5">
        <f t="shared" si="35"/>
        <v>1</v>
      </c>
      <c r="Y298" s="2" t="s">
        <v>3256</v>
      </c>
      <c r="Z298" s="2" t="s">
        <v>46</v>
      </c>
      <c r="AA298" s="2" t="s">
        <v>57</v>
      </c>
      <c r="AB298" s="2" t="s">
        <v>58</v>
      </c>
      <c r="AE298" s="2">
        <f t="shared" si="31"/>
        <v>0</v>
      </c>
      <c r="AI298" s="2">
        <f t="shared" si="32"/>
        <v>0</v>
      </c>
      <c r="AJ298" s="2">
        <f t="shared" si="33"/>
        <v>19.8</v>
      </c>
      <c r="AK298" s="5">
        <f t="shared" si="36"/>
        <v>1</v>
      </c>
    </row>
    <row r="299" spans="1:37" x14ac:dyDescent="0.2">
      <c r="A299" s="2">
        <v>2025</v>
      </c>
      <c r="B299" s="2">
        <v>1</v>
      </c>
      <c r="C299" s="2" t="s">
        <v>614</v>
      </c>
      <c r="D299" s="2" t="s">
        <v>38</v>
      </c>
      <c r="E299" s="2" t="s">
        <v>39</v>
      </c>
      <c r="F299" s="2">
        <v>509037054</v>
      </c>
      <c r="G299" s="2" t="s">
        <v>41</v>
      </c>
      <c r="H299" s="2" t="s">
        <v>615</v>
      </c>
      <c r="I299" s="2" t="s">
        <v>616</v>
      </c>
      <c r="J299" s="2">
        <v>962616315</v>
      </c>
      <c r="K299" s="2" t="s">
        <v>178</v>
      </c>
      <c r="L299" s="2" t="s">
        <v>41</v>
      </c>
      <c r="N299" s="2" t="s">
        <v>617</v>
      </c>
      <c r="O299" s="2" t="s">
        <v>43</v>
      </c>
      <c r="P299" s="2" t="s">
        <v>247</v>
      </c>
      <c r="Q299" s="2" t="s">
        <v>248</v>
      </c>
      <c r="R299" s="2">
        <v>1</v>
      </c>
      <c r="S299" s="2">
        <v>19.2</v>
      </c>
      <c r="T299" s="2">
        <v>4.4160000000000004</v>
      </c>
      <c r="U299" s="2">
        <v>23.616</v>
      </c>
      <c r="W299" s="5">
        <f t="shared" si="35"/>
        <v>1</v>
      </c>
      <c r="Y299" s="2" t="s">
        <v>3256</v>
      </c>
      <c r="Z299" s="2" t="s">
        <v>46</v>
      </c>
      <c r="AA299" s="2" t="s">
        <v>57</v>
      </c>
      <c r="AB299" s="2" t="s">
        <v>58</v>
      </c>
      <c r="AE299" s="2">
        <f t="shared" si="31"/>
        <v>0</v>
      </c>
      <c r="AI299" s="2">
        <f t="shared" si="32"/>
        <v>0</v>
      </c>
      <c r="AJ299" s="2">
        <f t="shared" si="33"/>
        <v>19.2</v>
      </c>
      <c r="AK299" s="5">
        <f t="shared" si="36"/>
        <v>1</v>
      </c>
    </row>
    <row r="300" spans="1:37" x14ac:dyDescent="0.2">
      <c r="A300" s="2">
        <v>2025</v>
      </c>
      <c r="B300" s="2">
        <v>1</v>
      </c>
      <c r="C300" s="2" t="s">
        <v>614</v>
      </c>
      <c r="D300" s="2" t="s">
        <v>38</v>
      </c>
      <c r="E300" s="2" t="s">
        <v>39</v>
      </c>
      <c r="F300" s="2">
        <v>509037054</v>
      </c>
      <c r="G300" s="2" t="s">
        <v>41</v>
      </c>
      <c r="H300" s="2" t="s">
        <v>615</v>
      </c>
      <c r="I300" s="2" t="s">
        <v>616</v>
      </c>
      <c r="J300" s="2">
        <v>962616315</v>
      </c>
      <c r="K300" s="2" t="s">
        <v>178</v>
      </c>
      <c r="L300" s="2" t="s">
        <v>41</v>
      </c>
      <c r="N300" s="2" t="s">
        <v>617</v>
      </c>
      <c r="O300" s="2" t="s">
        <v>43</v>
      </c>
      <c r="P300" s="2" t="s">
        <v>62</v>
      </c>
      <c r="Q300" s="2" t="s">
        <v>63</v>
      </c>
      <c r="R300" s="2">
        <v>100</v>
      </c>
      <c r="S300" s="2">
        <v>13</v>
      </c>
      <c r="T300" s="2">
        <v>2.99</v>
      </c>
      <c r="U300" s="2">
        <v>15.99</v>
      </c>
      <c r="V300" s="2">
        <f>0.082*R300</f>
        <v>8.2000000000000011</v>
      </c>
      <c r="W300" s="5">
        <f t="shared" si="35"/>
        <v>0.36923076923076914</v>
      </c>
      <c r="Y300" s="2" t="s">
        <v>3256</v>
      </c>
      <c r="Z300" s="2" t="s">
        <v>46</v>
      </c>
      <c r="AA300" s="2" t="s">
        <v>61</v>
      </c>
      <c r="AB300" s="2" t="s">
        <v>58</v>
      </c>
      <c r="AE300" s="2">
        <f t="shared" si="31"/>
        <v>0</v>
      </c>
      <c r="AF300" s="2">
        <v>8.1999999999999993</v>
      </c>
      <c r="AG300" s="2">
        <v>13</v>
      </c>
      <c r="AI300" s="2">
        <f t="shared" si="32"/>
        <v>0</v>
      </c>
      <c r="AJ300" s="2">
        <f t="shared" si="33"/>
        <v>4.7999999999999989</v>
      </c>
      <c r="AK300" s="5">
        <f t="shared" si="36"/>
        <v>0.36923076923076914</v>
      </c>
    </row>
    <row r="301" spans="1:37" x14ac:dyDescent="0.2">
      <c r="A301" s="2">
        <v>2025</v>
      </c>
      <c r="B301" s="2">
        <v>1</v>
      </c>
      <c r="C301" s="2" t="s">
        <v>618</v>
      </c>
      <c r="O301" s="2" t="s">
        <v>115</v>
      </c>
      <c r="P301" s="2" t="s">
        <v>619</v>
      </c>
      <c r="Q301" s="2" t="s">
        <v>620</v>
      </c>
      <c r="R301" s="2">
        <v>1</v>
      </c>
      <c r="S301" s="2">
        <v>5950</v>
      </c>
      <c r="T301" s="2">
        <v>1368.5</v>
      </c>
      <c r="U301" s="2">
        <v>7318.5</v>
      </c>
      <c r="V301" s="2">
        <v>4157.3999999999996</v>
      </c>
      <c r="W301" s="5">
        <f t="shared" si="35"/>
        <v>0.30127731092436982</v>
      </c>
      <c r="Y301" s="2" t="s">
        <v>105</v>
      </c>
      <c r="Z301" s="2" t="s">
        <v>621</v>
      </c>
      <c r="AA301" s="2" t="s">
        <v>622</v>
      </c>
      <c r="AB301" s="2" t="s">
        <v>115</v>
      </c>
      <c r="AE301" s="2">
        <f t="shared" si="31"/>
        <v>0</v>
      </c>
      <c r="AF301" s="2">
        <v>4157.3999999999996</v>
      </c>
      <c r="AI301" s="2">
        <f t="shared" si="32"/>
        <v>0</v>
      </c>
      <c r="AJ301" s="2">
        <f t="shared" si="33"/>
        <v>1792.6000000000004</v>
      </c>
      <c r="AK301" s="5">
        <f t="shared" si="36"/>
        <v>0.30127731092436982</v>
      </c>
    </row>
    <row r="302" spans="1:37" x14ac:dyDescent="0.2">
      <c r="A302" s="2">
        <v>2025</v>
      </c>
      <c r="B302" s="2">
        <v>1</v>
      </c>
      <c r="C302" s="2" t="s">
        <v>623</v>
      </c>
      <c r="D302" s="2" t="s">
        <v>38</v>
      </c>
      <c r="E302" s="2" t="s">
        <v>39</v>
      </c>
      <c r="F302" s="2">
        <v>513759654</v>
      </c>
      <c r="G302" s="2" t="s">
        <v>41</v>
      </c>
      <c r="H302" s="2" t="s">
        <v>624</v>
      </c>
      <c r="I302" s="2" t="s">
        <v>625</v>
      </c>
      <c r="K302" s="2" t="s">
        <v>422</v>
      </c>
      <c r="L302" s="2" t="s">
        <v>41</v>
      </c>
      <c r="O302" s="2" t="s">
        <v>283</v>
      </c>
      <c r="P302" s="2" t="s">
        <v>401</v>
      </c>
      <c r="Q302" s="2" t="s">
        <v>402</v>
      </c>
      <c r="R302" s="2">
        <v>4</v>
      </c>
      <c r="S302" s="2">
        <v>116</v>
      </c>
      <c r="T302" s="2">
        <v>26.68</v>
      </c>
      <c r="U302" s="2">
        <v>142.68</v>
      </c>
      <c r="W302" s="5">
        <f t="shared" si="35"/>
        <v>1</v>
      </c>
      <c r="Y302" s="2" t="s">
        <v>3256</v>
      </c>
      <c r="Z302" s="2" t="s">
        <v>46</v>
      </c>
      <c r="AA302" s="2" t="s">
        <v>61</v>
      </c>
      <c r="AB302" s="2" t="s">
        <v>403</v>
      </c>
      <c r="AE302" s="2">
        <f t="shared" si="31"/>
        <v>0</v>
      </c>
      <c r="AI302" s="2">
        <f t="shared" si="32"/>
        <v>0</v>
      </c>
      <c r="AJ302" s="2">
        <f t="shared" si="33"/>
        <v>116</v>
      </c>
      <c r="AK302" s="5">
        <f t="shared" si="36"/>
        <v>1</v>
      </c>
    </row>
    <row r="303" spans="1:37" x14ac:dyDescent="0.2">
      <c r="A303" s="2">
        <v>2025</v>
      </c>
      <c r="B303" s="2">
        <v>1</v>
      </c>
      <c r="C303" s="2" t="s">
        <v>623</v>
      </c>
      <c r="D303" s="2" t="s">
        <v>38</v>
      </c>
      <c r="E303" s="2" t="s">
        <v>39</v>
      </c>
      <c r="F303" s="2">
        <v>513759654</v>
      </c>
      <c r="G303" s="2" t="s">
        <v>41</v>
      </c>
      <c r="H303" s="2" t="s">
        <v>624</v>
      </c>
      <c r="I303" s="2" t="s">
        <v>625</v>
      </c>
      <c r="K303" s="2" t="s">
        <v>422</v>
      </c>
      <c r="L303" s="2" t="s">
        <v>41</v>
      </c>
      <c r="O303" s="2" t="s">
        <v>43</v>
      </c>
      <c r="P303" s="2" t="s">
        <v>597</v>
      </c>
      <c r="Q303" s="2" t="s">
        <v>598</v>
      </c>
      <c r="R303" s="2">
        <v>1</v>
      </c>
      <c r="S303" s="2">
        <v>28.8</v>
      </c>
      <c r="T303" s="2">
        <v>6.6240000000000014</v>
      </c>
      <c r="U303" s="2">
        <v>35.423999999999999</v>
      </c>
      <c r="W303" s="5">
        <f t="shared" si="35"/>
        <v>1</v>
      </c>
      <c r="Y303" s="2" t="s">
        <v>3256</v>
      </c>
      <c r="Z303" s="2" t="s">
        <v>46</v>
      </c>
      <c r="AA303" s="2" t="s">
        <v>47</v>
      </c>
      <c r="AB303" s="2" t="s">
        <v>48</v>
      </c>
      <c r="AE303" s="2">
        <f t="shared" si="31"/>
        <v>0</v>
      </c>
      <c r="AI303" s="2">
        <f t="shared" si="32"/>
        <v>0</v>
      </c>
      <c r="AJ303" s="2">
        <f t="shared" si="33"/>
        <v>28.8</v>
      </c>
      <c r="AK303" s="5">
        <f t="shared" si="36"/>
        <v>1</v>
      </c>
    </row>
    <row r="304" spans="1:37" x14ac:dyDescent="0.2">
      <c r="A304" s="2">
        <v>2025</v>
      </c>
      <c r="B304" s="2">
        <v>1</v>
      </c>
      <c r="C304" s="2" t="s">
        <v>623</v>
      </c>
      <c r="D304" s="2" t="s">
        <v>38</v>
      </c>
      <c r="E304" s="2" t="s">
        <v>39</v>
      </c>
      <c r="F304" s="2">
        <v>513759654</v>
      </c>
      <c r="G304" s="2" t="s">
        <v>41</v>
      </c>
      <c r="H304" s="2" t="s">
        <v>624</v>
      </c>
      <c r="I304" s="2" t="s">
        <v>625</v>
      </c>
      <c r="K304" s="2" t="s">
        <v>422</v>
      </c>
      <c r="L304" s="2" t="s">
        <v>41</v>
      </c>
      <c r="O304" s="2" t="s">
        <v>43</v>
      </c>
      <c r="P304" s="2" t="s">
        <v>55</v>
      </c>
      <c r="Q304" s="2" t="s">
        <v>56</v>
      </c>
      <c r="R304" s="2">
        <v>10</v>
      </c>
      <c r="S304" s="2">
        <v>160</v>
      </c>
      <c r="T304" s="2">
        <v>36.799999999999997</v>
      </c>
      <c r="U304" s="2">
        <v>196.8</v>
      </c>
      <c r="V304" s="2">
        <f>10.6*R304</f>
        <v>106</v>
      </c>
      <c r="W304" s="5">
        <f t="shared" si="35"/>
        <v>0.33750000000000002</v>
      </c>
      <c r="Y304" s="2" t="s">
        <v>3256</v>
      </c>
      <c r="Z304" s="2" t="s">
        <v>46</v>
      </c>
      <c r="AA304" s="2" t="s">
        <v>57</v>
      </c>
      <c r="AB304" s="2" t="s">
        <v>58</v>
      </c>
      <c r="AE304" s="2">
        <f t="shared" si="31"/>
        <v>0</v>
      </c>
      <c r="AF304" s="2">
        <v>10.6</v>
      </c>
      <c r="AG304" s="2">
        <v>18</v>
      </c>
      <c r="AI304" s="2">
        <f t="shared" si="32"/>
        <v>0</v>
      </c>
      <c r="AJ304" s="2">
        <f t="shared" si="33"/>
        <v>54</v>
      </c>
      <c r="AK304" s="5">
        <f t="shared" si="36"/>
        <v>0.33750000000000002</v>
      </c>
    </row>
    <row r="305" spans="1:37" x14ac:dyDescent="0.2">
      <c r="A305" s="2">
        <v>2025</v>
      </c>
      <c r="B305" s="2">
        <v>1</v>
      </c>
      <c r="C305" s="2" t="s">
        <v>623</v>
      </c>
      <c r="D305" s="2" t="s">
        <v>38</v>
      </c>
      <c r="E305" s="2" t="s">
        <v>39</v>
      </c>
      <c r="F305" s="2">
        <v>513759654</v>
      </c>
      <c r="G305" s="2" t="s">
        <v>41</v>
      </c>
      <c r="H305" s="2" t="s">
        <v>624</v>
      </c>
      <c r="I305" s="2" t="s">
        <v>625</v>
      </c>
      <c r="K305" s="2" t="s">
        <v>422</v>
      </c>
      <c r="L305" s="2" t="s">
        <v>41</v>
      </c>
      <c r="O305" s="2" t="s">
        <v>43</v>
      </c>
      <c r="P305" s="2" t="s">
        <v>59</v>
      </c>
      <c r="Q305" s="2" t="s">
        <v>60</v>
      </c>
      <c r="R305" s="2">
        <v>300</v>
      </c>
      <c r="S305" s="2">
        <v>39</v>
      </c>
      <c r="T305" s="2">
        <v>8.9700000000000006</v>
      </c>
      <c r="U305" s="2">
        <v>47.97</v>
      </c>
      <c r="V305" s="2">
        <f>0.0914*R305</f>
        <v>27.419999999999998</v>
      </c>
      <c r="W305" s="5">
        <f t="shared" si="35"/>
        <v>0.29692307692307696</v>
      </c>
      <c r="Y305" s="2" t="s">
        <v>3256</v>
      </c>
      <c r="Z305" s="2" t="s">
        <v>46</v>
      </c>
      <c r="AA305" s="2" t="s">
        <v>61</v>
      </c>
      <c r="AB305" s="2" t="s">
        <v>58</v>
      </c>
      <c r="AE305" s="2">
        <f t="shared" si="31"/>
        <v>0</v>
      </c>
      <c r="AF305" s="2">
        <v>9.14</v>
      </c>
      <c r="AG305" s="2">
        <v>16</v>
      </c>
      <c r="AI305" s="2">
        <f t="shared" si="32"/>
        <v>0</v>
      </c>
      <c r="AJ305" s="2">
        <f t="shared" si="33"/>
        <v>11.580000000000002</v>
      </c>
      <c r="AK305" s="5">
        <f t="shared" si="36"/>
        <v>0.29692307692307696</v>
      </c>
    </row>
    <row r="306" spans="1:37" x14ac:dyDescent="0.2">
      <c r="A306" s="2">
        <v>2025</v>
      </c>
      <c r="B306" s="2">
        <v>1</v>
      </c>
      <c r="C306" s="2" t="s">
        <v>623</v>
      </c>
      <c r="D306" s="2" t="s">
        <v>38</v>
      </c>
      <c r="E306" s="2" t="s">
        <v>39</v>
      </c>
      <c r="F306" s="2">
        <v>513759654</v>
      </c>
      <c r="G306" s="2" t="s">
        <v>41</v>
      </c>
      <c r="H306" s="2" t="s">
        <v>624</v>
      </c>
      <c r="I306" s="2" t="s">
        <v>625</v>
      </c>
      <c r="K306" s="2" t="s">
        <v>422</v>
      </c>
      <c r="L306" s="2" t="s">
        <v>41</v>
      </c>
      <c r="O306" s="2" t="s">
        <v>43</v>
      </c>
      <c r="P306" s="2" t="s">
        <v>62</v>
      </c>
      <c r="Q306" s="2" t="s">
        <v>63</v>
      </c>
      <c r="R306" s="2">
        <v>200</v>
      </c>
      <c r="S306" s="2">
        <v>26</v>
      </c>
      <c r="T306" s="2">
        <v>5.98</v>
      </c>
      <c r="U306" s="2">
        <v>31.98</v>
      </c>
      <c r="V306" s="2">
        <f>0.082*R306</f>
        <v>16.400000000000002</v>
      </c>
      <c r="W306" s="5">
        <f t="shared" si="35"/>
        <v>0.36923076923076914</v>
      </c>
      <c r="Y306" s="2" t="s">
        <v>3256</v>
      </c>
      <c r="Z306" s="2" t="s">
        <v>46</v>
      </c>
      <c r="AA306" s="2" t="s">
        <v>61</v>
      </c>
      <c r="AB306" s="2" t="s">
        <v>58</v>
      </c>
      <c r="AE306" s="2">
        <f t="shared" si="31"/>
        <v>0</v>
      </c>
      <c r="AF306" s="2">
        <v>8.1999999999999993</v>
      </c>
      <c r="AG306" s="2">
        <v>13</v>
      </c>
      <c r="AI306" s="2">
        <f t="shared" si="32"/>
        <v>0</v>
      </c>
      <c r="AJ306" s="2">
        <f t="shared" si="33"/>
        <v>9.5999999999999979</v>
      </c>
      <c r="AK306" s="5">
        <f t="shared" si="36"/>
        <v>0.36923076923076914</v>
      </c>
    </row>
    <row r="307" spans="1:37" x14ac:dyDescent="0.2">
      <c r="A307" s="2">
        <v>2025</v>
      </c>
      <c r="B307" s="2">
        <v>1</v>
      </c>
      <c r="C307" s="2" t="s">
        <v>623</v>
      </c>
      <c r="D307" s="2" t="s">
        <v>38</v>
      </c>
      <c r="E307" s="2" t="s">
        <v>39</v>
      </c>
      <c r="F307" s="2">
        <v>513759654</v>
      </c>
      <c r="G307" s="2" t="s">
        <v>41</v>
      </c>
      <c r="H307" s="2" t="s">
        <v>624</v>
      </c>
      <c r="I307" s="2" t="s">
        <v>625</v>
      </c>
      <c r="K307" s="2" t="s">
        <v>422</v>
      </c>
      <c r="L307" s="2" t="s">
        <v>41</v>
      </c>
      <c r="O307" s="2" t="s">
        <v>85</v>
      </c>
      <c r="P307" s="2" t="s">
        <v>626</v>
      </c>
      <c r="Q307" s="2" t="s">
        <v>627</v>
      </c>
      <c r="R307" s="2">
        <v>1</v>
      </c>
      <c r="S307" s="2">
        <v>8.6999999999999993</v>
      </c>
      <c r="T307" s="2">
        <v>2.0009999999999999</v>
      </c>
      <c r="U307" s="2">
        <v>10.701000000000001</v>
      </c>
      <c r="W307" s="5">
        <f t="shared" si="35"/>
        <v>1</v>
      </c>
      <c r="Y307" s="2" t="s">
        <v>3256</v>
      </c>
      <c r="Z307" s="2" t="s">
        <v>88</v>
      </c>
      <c r="AA307" s="2" t="s">
        <v>61</v>
      </c>
      <c r="AB307" s="2" t="s">
        <v>85</v>
      </c>
      <c r="AE307" s="2">
        <f t="shared" si="31"/>
        <v>0</v>
      </c>
      <c r="AI307" s="2">
        <f t="shared" si="32"/>
        <v>0</v>
      </c>
      <c r="AJ307" s="2">
        <f t="shared" si="33"/>
        <v>8.6999999999999993</v>
      </c>
      <c r="AK307" s="5">
        <f t="shared" si="36"/>
        <v>1</v>
      </c>
    </row>
    <row r="308" spans="1:37" x14ac:dyDescent="0.2">
      <c r="A308" s="2">
        <v>2025</v>
      </c>
      <c r="B308" s="2">
        <v>1</v>
      </c>
      <c r="C308" s="2" t="s">
        <v>623</v>
      </c>
      <c r="D308" s="2" t="s">
        <v>38</v>
      </c>
      <c r="E308" s="2" t="s">
        <v>39</v>
      </c>
      <c r="F308" s="2">
        <v>513759654</v>
      </c>
      <c r="G308" s="2" t="s">
        <v>41</v>
      </c>
      <c r="H308" s="2" t="s">
        <v>624</v>
      </c>
      <c r="I308" s="2" t="s">
        <v>625</v>
      </c>
      <c r="K308" s="2" t="s">
        <v>422</v>
      </c>
      <c r="L308" s="2" t="s">
        <v>41</v>
      </c>
      <c r="O308" s="2" t="s">
        <v>85</v>
      </c>
      <c r="P308" s="2" t="s">
        <v>628</v>
      </c>
      <c r="Q308" s="2" t="s">
        <v>629</v>
      </c>
      <c r="R308" s="2">
        <v>10</v>
      </c>
      <c r="S308" s="2">
        <v>27</v>
      </c>
      <c r="T308" s="2">
        <v>6.21</v>
      </c>
      <c r="U308" s="2">
        <v>33.21</v>
      </c>
      <c r="W308" s="5">
        <f t="shared" si="35"/>
        <v>1</v>
      </c>
      <c r="Y308" s="2" t="s">
        <v>3256</v>
      </c>
      <c r="Z308" s="2" t="s">
        <v>88</v>
      </c>
      <c r="AA308" s="2" t="s">
        <v>61</v>
      </c>
      <c r="AB308" s="2" t="s">
        <v>85</v>
      </c>
      <c r="AE308" s="2">
        <f t="shared" si="31"/>
        <v>0</v>
      </c>
      <c r="AI308" s="2">
        <f t="shared" si="32"/>
        <v>0</v>
      </c>
      <c r="AJ308" s="2">
        <f t="shared" si="33"/>
        <v>27</v>
      </c>
      <c r="AK308" s="5">
        <f t="shared" si="36"/>
        <v>1</v>
      </c>
    </row>
    <row r="309" spans="1:37" x14ac:dyDescent="0.2">
      <c r="A309" s="2">
        <v>2025</v>
      </c>
      <c r="B309" s="2">
        <v>1</v>
      </c>
      <c r="C309" s="2" t="s">
        <v>630</v>
      </c>
      <c r="D309" s="2" t="s">
        <v>38</v>
      </c>
      <c r="E309" s="2" t="s">
        <v>39</v>
      </c>
      <c r="F309" s="2" t="s">
        <v>631</v>
      </c>
      <c r="G309" s="2" t="s">
        <v>40</v>
      </c>
      <c r="H309" s="2" t="s">
        <v>632</v>
      </c>
      <c r="I309" s="2" t="s">
        <v>633</v>
      </c>
      <c r="K309" s="2" t="s">
        <v>632</v>
      </c>
      <c r="L309" s="2" t="s">
        <v>40</v>
      </c>
      <c r="O309" s="2" t="s">
        <v>115</v>
      </c>
      <c r="P309" s="2" t="s">
        <v>634</v>
      </c>
      <c r="Q309" s="2" t="s">
        <v>635</v>
      </c>
      <c r="R309" s="2">
        <v>1</v>
      </c>
      <c r="S309" s="2">
        <v>26.85</v>
      </c>
      <c r="T309" s="2">
        <v>6.1755000000000004</v>
      </c>
      <c r="U309" s="2">
        <v>33.025500000000001</v>
      </c>
      <c r="V309" s="2">
        <v>12.938599999999999</v>
      </c>
      <c r="W309" s="5">
        <f t="shared" si="35"/>
        <v>0.5181154562383613</v>
      </c>
      <c r="Y309" s="2" t="s">
        <v>118</v>
      </c>
      <c r="Z309" s="2" t="s">
        <v>119</v>
      </c>
      <c r="AA309" s="2" t="s">
        <v>120</v>
      </c>
      <c r="AB309" s="2" t="s">
        <v>115</v>
      </c>
      <c r="AE309" s="2">
        <f t="shared" si="31"/>
        <v>0</v>
      </c>
      <c r="AF309" s="2">
        <v>12.938599999999999</v>
      </c>
      <c r="AI309" s="2">
        <f t="shared" si="32"/>
        <v>0</v>
      </c>
      <c r="AJ309" s="2">
        <f t="shared" si="33"/>
        <v>13.911400000000002</v>
      </c>
      <c r="AK309" s="5">
        <f t="shared" si="36"/>
        <v>0.5181154562383613</v>
      </c>
    </row>
    <row r="310" spans="1:37" x14ac:dyDescent="0.2">
      <c r="A310" s="2">
        <v>2025</v>
      </c>
      <c r="B310" s="2">
        <v>1</v>
      </c>
      <c r="C310" s="2" t="s">
        <v>630</v>
      </c>
      <c r="D310" s="2" t="s">
        <v>38</v>
      </c>
      <c r="E310" s="2" t="s">
        <v>39</v>
      </c>
      <c r="F310" s="2" t="s">
        <v>631</v>
      </c>
      <c r="G310" s="2" t="s">
        <v>40</v>
      </c>
      <c r="H310" s="2" t="s">
        <v>632</v>
      </c>
      <c r="I310" s="2" t="s">
        <v>633</v>
      </c>
      <c r="K310" s="2" t="s">
        <v>632</v>
      </c>
      <c r="L310" s="2" t="s">
        <v>40</v>
      </c>
      <c r="O310" s="2" t="s">
        <v>115</v>
      </c>
      <c r="P310" s="2" t="s">
        <v>636</v>
      </c>
      <c r="Q310" s="2" t="s">
        <v>637</v>
      </c>
      <c r="R310" s="2">
        <v>1</v>
      </c>
      <c r="S310" s="2">
        <v>39.5</v>
      </c>
      <c r="T310" s="2">
        <v>9.0850000000000009</v>
      </c>
      <c r="U310" s="2">
        <v>48.585000000000001</v>
      </c>
      <c r="V310" s="2">
        <v>25.57</v>
      </c>
      <c r="W310" s="5">
        <f t="shared" si="35"/>
        <v>0.35265822784810125</v>
      </c>
      <c r="Y310" s="2" t="s">
        <v>118</v>
      </c>
      <c r="Z310" s="2" t="s">
        <v>119</v>
      </c>
      <c r="AA310" s="2" t="s">
        <v>120</v>
      </c>
      <c r="AB310" s="2" t="s">
        <v>115</v>
      </c>
      <c r="AE310" s="2">
        <f t="shared" si="31"/>
        <v>0</v>
      </c>
      <c r="AF310" s="2">
        <v>25.57</v>
      </c>
      <c r="AI310" s="2">
        <f t="shared" si="32"/>
        <v>0</v>
      </c>
      <c r="AJ310" s="2">
        <f t="shared" si="33"/>
        <v>13.93</v>
      </c>
      <c r="AK310" s="5">
        <f t="shared" si="36"/>
        <v>0.35265822784810125</v>
      </c>
    </row>
    <row r="311" spans="1:37" x14ac:dyDescent="0.2">
      <c r="A311" s="2">
        <v>2025</v>
      </c>
      <c r="B311" s="2">
        <v>1</v>
      </c>
      <c r="C311" s="2" t="s">
        <v>630</v>
      </c>
      <c r="D311" s="2" t="s">
        <v>38</v>
      </c>
      <c r="E311" s="2" t="s">
        <v>39</v>
      </c>
      <c r="F311" s="2" t="s">
        <v>631</v>
      </c>
      <c r="G311" s="2" t="s">
        <v>40</v>
      </c>
      <c r="H311" s="2" t="s">
        <v>632</v>
      </c>
      <c r="I311" s="2" t="s">
        <v>633</v>
      </c>
      <c r="K311" s="2" t="s">
        <v>632</v>
      </c>
      <c r="L311" s="2" t="s">
        <v>40</v>
      </c>
      <c r="O311" s="2" t="s">
        <v>115</v>
      </c>
      <c r="P311" s="2" t="s">
        <v>565</v>
      </c>
      <c r="Q311" s="2" t="s">
        <v>566</v>
      </c>
      <c r="R311" s="2">
        <v>2</v>
      </c>
      <c r="S311" s="2">
        <v>28.56</v>
      </c>
      <c r="T311" s="2">
        <v>6.5688000000000004</v>
      </c>
      <c r="U311" s="2">
        <v>35.128799999999998</v>
      </c>
      <c r="V311" s="2">
        <f>5.33*R311</f>
        <v>10.66</v>
      </c>
      <c r="W311" s="5">
        <f t="shared" si="35"/>
        <v>0.62675070028011204</v>
      </c>
      <c r="Y311" s="2" t="s">
        <v>118</v>
      </c>
      <c r="Z311" s="2" t="s">
        <v>119</v>
      </c>
      <c r="AA311" s="2" t="s">
        <v>120</v>
      </c>
      <c r="AB311" s="2" t="s">
        <v>115</v>
      </c>
      <c r="AE311" s="2">
        <f t="shared" si="31"/>
        <v>0</v>
      </c>
      <c r="AF311" s="2">
        <v>5.33</v>
      </c>
      <c r="AI311" s="2">
        <f t="shared" si="32"/>
        <v>0</v>
      </c>
      <c r="AJ311" s="2">
        <f t="shared" si="33"/>
        <v>17.899999999999999</v>
      </c>
      <c r="AK311" s="5">
        <f t="shared" si="36"/>
        <v>0.62675070028011204</v>
      </c>
    </row>
    <row r="312" spans="1:37" x14ac:dyDescent="0.2">
      <c r="A312" s="2">
        <v>2025</v>
      </c>
      <c r="B312" s="2">
        <v>1</v>
      </c>
      <c r="C312" s="2" t="s">
        <v>638</v>
      </c>
      <c r="D312" s="2" t="s">
        <v>109</v>
      </c>
      <c r="E312" s="2" t="s">
        <v>481</v>
      </c>
      <c r="G312" s="2" t="s">
        <v>41</v>
      </c>
      <c r="H312" s="2" t="s">
        <v>3213</v>
      </c>
      <c r="I312" s="2" t="s">
        <v>3268</v>
      </c>
      <c r="J312" s="2">
        <v>965347433</v>
      </c>
      <c r="K312" s="2" t="s">
        <v>202</v>
      </c>
      <c r="L312" s="2" t="s">
        <v>41</v>
      </c>
      <c r="N312" s="2" t="s">
        <v>3269</v>
      </c>
      <c r="O312" s="2" t="s">
        <v>73</v>
      </c>
      <c r="P312" s="2" t="s">
        <v>74</v>
      </c>
      <c r="Q312" s="2" t="s">
        <v>75</v>
      </c>
      <c r="R312" s="2">
        <v>1</v>
      </c>
      <c r="S312" s="2">
        <v>184</v>
      </c>
      <c r="T312" s="2">
        <v>42.32</v>
      </c>
      <c r="U312" s="2">
        <v>226.32</v>
      </c>
      <c r="V312" s="2">
        <v>117.453</v>
      </c>
      <c r="W312" s="5">
        <f t="shared" si="35"/>
        <v>0.36166847826086956</v>
      </c>
      <c r="Y312" s="2" t="s">
        <v>3256</v>
      </c>
      <c r="Z312" s="2" t="s">
        <v>76</v>
      </c>
      <c r="AA312" s="2" t="s">
        <v>77</v>
      </c>
      <c r="AB312" s="2" t="s">
        <v>78</v>
      </c>
      <c r="AE312" s="2">
        <f t="shared" si="31"/>
        <v>0</v>
      </c>
      <c r="AF312" s="2">
        <v>117.453</v>
      </c>
      <c r="AG312" s="2">
        <v>220</v>
      </c>
      <c r="AI312" s="2">
        <f t="shared" si="32"/>
        <v>0</v>
      </c>
      <c r="AJ312" s="2">
        <f t="shared" si="33"/>
        <v>66.546999999999997</v>
      </c>
      <c r="AK312" s="5">
        <f t="shared" si="36"/>
        <v>0.36166847826086956</v>
      </c>
    </row>
    <row r="313" spans="1:37" x14ac:dyDescent="0.2">
      <c r="A313" s="2">
        <v>2025</v>
      </c>
      <c r="B313" s="2">
        <v>1</v>
      </c>
      <c r="C313" s="2" t="s">
        <v>638</v>
      </c>
      <c r="D313" s="2" t="s">
        <v>109</v>
      </c>
      <c r="E313" s="2" t="s">
        <v>481</v>
      </c>
      <c r="G313" s="2" t="s">
        <v>41</v>
      </c>
      <c r="H313" s="2" t="s">
        <v>3213</v>
      </c>
      <c r="I313" s="2" t="s">
        <v>3268</v>
      </c>
      <c r="J313" s="2">
        <v>965347433</v>
      </c>
      <c r="K313" s="2" t="s">
        <v>202</v>
      </c>
      <c r="L313" s="2" t="s">
        <v>41</v>
      </c>
      <c r="N313" s="2" t="s">
        <v>3269</v>
      </c>
      <c r="O313" s="2" t="s">
        <v>94</v>
      </c>
      <c r="P313" s="2" t="s">
        <v>95</v>
      </c>
      <c r="Q313" s="2" t="s">
        <v>96</v>
      </c>
      <c r="R313" s="2">
        <v>1</v>
      </c>
      <c r="S313" s="2">
        <v>1.1399999999999999</v>
      </c>
      <c r="T313" s="2">
        <v>0.26219999999999999</v>
      </c>
      <c r="U313" s="2">
        <v>1.4021999999999999</v>
      </c>
      <c r="V313" s="2">
        <v>1.1399999999999999</v>
      </c>
      <c r="W313" s="5">
        <f t="shared" si="35"/>
        <v>0</v>
      </c>
      <c r="Y313" s="2" t="s">
        <v>3256</v>
      </c>
      <c r="Z313" s="2" t="s">
        <v>97</v>
      </c>
      <c r="AA313" s="2" t="s">
        <v>77</v>
      </c>
      <c r="AB313" s="2" t="s">
        <v>94</v>
      </c>
      <c r="AE313" s="2">
        <f t="shared" si="31"/>
        <v>0</v>
      </c>
      <c r="AI313" s="2">
        <f t="shared" si="32"/>
        <v>0</v>
      </c>
      <c r="AJ313" s="2">
        <f t="shared" si="33"/>
        <v>0</v>
      </c>
      <c r="AK313" s="5">
        <f t="shared" si="36"/>
        <v>0</v>
      </c>
    </row>
    <row r="314" spans="1:37" x14ac:dyDescent="0.2">
      <c r="A314" s="2">
        <v>2025</v>
      </c>
      <c r="B314" s="2">
        <v>1</v>
      </c>
      <c r="C314" s="2" t="s">
        <v>639</v>
      </c>
      <c r="L314" s="2" t="s">
        <v>81</v>
      </c>
      <c r="O314" s="2" t="s">
        <v>73</v>
      </c>
      <c r="P314" s="2" t="s">
        <v>74</v>
      </c>
      <c r="Q314" s="2" t="s">
        <v>75</v>
      </c>
      <c r="R314" s="2">
        <v>1</v>
      </c>
      <c r="S314" s="2">
        <v>193.2</v>
      </c>
      <c r="T314" s="2">
        <v>44.436</v>
      </c>
      <c r="U314" s="2">
        <v>237.636</v>
      </c>
      <c r="V314" s="2">
        <v>117.453</v>
      </c>
      <c r="W314" s="5">
        <f t="shared" si="35"/>
        <v>0.39206521739130429</v>
      </c>
      <c r="Y314" s="2" t="s">
        <v>3256</v>
      </c>
      <c r="Z314" s="2" t="s">
        <v>76</v>
      </c>
      <c r="AA314" s="2" t="s">
        <v>77</v>
      </c>
      <c r="AB314" s="2" t="s">
        <v>78</v>
      </c>
      <c r="AE314" s="2">
        <f t="shared" si="31"/>
        <v>0</v>
      </c>
      <c r="AF314" s="2">
        <v>117.453</v>
      </c>
      <c r="AG314" s="2">
        <v>220</v>
      </c>
      <c r="AI314" s="2">
        <f t="shared" si="32"/>
        <v>0</v>
      </c>
      <c r="AJ314" s="2">
        <f t="shared" si="33"/>
        <v>75.746999999999986</v>
      </c>
      <c r="AK314" s="5">
        <f t="shared" si="36"/>
        <v>0.39206521739130429</v>
      </c>
    </row>
    <row r="315" spans="1:37" x14ac:dyDescent="0.2">
      <c r="A315" s="2">
        <v>2025</v>
      </c>
      <c r="B315" s="2">
        <v>1</v>
      </c>
      <c r="C315" s="2" t="s">
        <v>639</v>
      </c>
      <c r="L315" s="2" t="s">
        <v>81</v>
      </c>
      <c r="O315" s="2" t="s">
        <v>94</v>
      </c>
      <c r="P315" s="2" t="s">
        <v>95</v>
      </c>
      <c r="Q315" s="2" t="s">
        <v>96</v>
      </c>
      <c r="R315" s="2">
        <v>1</v>
      </c>
      <c r="S315" s="2">
        <v>1.1399999999999999</v>
      </c>
      <c r="T315" s="2">
        <v>0.26219999999999999</v>
      </c>
      <c r="U315" s="2">
        <v>1.4021999999999999</v>
      </c>
      <c r="V315" s="2">
        <v>1.1399999999999999</v>
      </c>
      <c r="W315" s="5">
        <f t="shared" si="35"/>
        <v>0</v>
      </c>
      <c r="Y315" s="2" t="s">
        <v>3256</v>
      </c>
      <c r="Z315" s="2" t="s">
        <v>97</v>
      </c>
      <c r="AA315" s="2" t="s">
        <v>77</v>
      </c>
      <c r="AB315" s="2" t="s">
        <v>94</v>
      </c>
      <c r="AE315" s="2">
        <f t="shared" si="31"/>
        <v>0</v>
      </c>
      <c r="AI315" s="2">
        <f t="shared" si="32"/>
        <v>0</v>
      </c>
      <c r="AJ315" s="2">
        <f t="shared" si="33"/>
        <v>0</v>
      </c>
      <c r="AK315" s="5">
        <f t="shared" si="36"/>
        <v>0</v>
      </c>
    </row>
    <row r="316" spans="1:37" x14ac:dyDescent="0.2">
      <c r="A316" s="2">
        <v>2025</v>
      </c>
      <c r="B316" s="2">
        <v>1</v>
      </c>
      <c r="C316" s="2" t="s">
        <v>640</v>
      </c>
      <c r="D316" s="2" t="s">
        <v>109</v>
      </c>
      <c r="E316" s="2" t="s">
        <v>397</v>
      </c>
      <c r="F316" s="2">
        <v>502967056</v>
      </c>
      <c r="G316" s="2" t="s">
        <v>110</v>
      </c>
      <c r="H316" s="2" t="s">
        <v>641</v>
      </c>
      <c r="I316" s="2" t="s">
        <v>642</v>
      </c>
      <c r="K316" s="2" t="s">
        <v>113</v>
      </c>
      <c r="O316" s="2" t="s">
        <v>115</v>
      </c>
      <c r="P316" s="2" t="s">
        <v>643</v>
      </c>
      <c r="Q316" s="2" t="s">
        <v>644</v>
      </c>
      <c r="R316" s="2">
        <v>-1</v>
      </c>
      <c r="S316" s="2">
        <v>-142.53</v>
      </c>
      <c r="T316" s="2">
        <v>-32.7819</v>
      </c>
      <c r="U316" s="2">
        <v>-175.31190000000001</v>
      </c>
      <c r="Y316" s="2" t="s">
        <v>118</v>
      </c>
      <c r="AE316" s="2">
        <f t="shared" si="31"/>
        <v>0</v>
      </c>
      <c r="AI316" s="2">
        <f t="shared" si="32"/>
        <v>0</v>
      </c>
      <c r="AJ316" s="2">
        <f t="shared" si="33"/>
        <v>-142.53</v>
      </c>
      <c r="AK316" s="5">
        <f t="shared" si="36"/>
        <v>1</v>
      </c>
    </row>
    <row r="317" spans="1:37" x14ac:dyDescent="0.2">
      <c r="A317" s="2">
        <v>2025</v>
      </c>
      <c r="B317" s="2">
        <v>1</v>
      </c>
      <c r="C317" s="2" t="s">
        <v>640</v>
      </c>
      <c r="D317" s="2" t="s">
        <v>109</v>
      </c>
      <c r="E317" s="2" t="s">
        <v>397</v>
      </c>
      <c r="F317" s="2">
        <v>502967056</v>
      </c>
      <c r="G317" s="2" t="s">
        <v>110</v>
      </c>
      <c r="H317" s="2" t="s">
        <v>641</v>
      </c>
      <c r="I317" s="2" t="s">
        <v>642</v>
      </c>
      <c r="K317" s="2" t="s">
        <v>113</v>
      </c>
      <c r="O317" s="2" t="s">
        <v>115</v>
      </c>
      <c r="P317" s="2" t="s">
        <v>645</v>
      </c>
      <c r="Q317" s="2" t="s">
        <v>646</v>
      </c>
      <c r="R317" s="2">
        <v>1</v>
      </c>
      <c r="S317" s="2">
        <v>1209.5999999999999</v>
      </c>
      <c r="T317" s="2">
        <v>278.20800000000003</v>
      </c>
      <c r="U317" s="2">
        <v>1487.808</v>
      </c>
      <c r="W317" s="5">
        <f t="shared" si="35"/>
        <v>1</v>
      </c>
      <c r="Y317" s="2" t="s">
        <v>118</v>
      </c>
      <c r="Z317" s="2" t="s">
        <v>119</v>
      </c>
      <c r="AA317" s="2" t="s">
        <v>120</v>
      </c>
      <c r="AB317" s="2" t="s">
        <v>115</v>
      </c>
      <c r="AE317" s="2">
        <f t="shared" si="31"/>
        <v>0</v>
      </c>
      <c r="AI317" s="2">
        <f t="shared" si="32"/>
        <v>0</v>
      </c>
      <c r="AJ317" s="2">
        <f t="shared" si="33"/>
        <v>1209.5999999999999</v>
      </c>
      <c r="AK317" s="5">
        <f t="shared" si="36"/>
        <v>1</v>
      </c>
    </row>
    <row r="318" spans="1:37" x14ac:dyDescent="0.2">
      <c r="A318" s="2">
        <v>2025</v>
      </c>
      <c r="B318" s="2">
        <v>1</v>
      </c>
      <c r="C318" s="2" t="s">
        <v>640</v>
      </c>
      <c r="D318" s="2" t="s">
        <v>109</v>
      </c>
      <c r="E318" s="2" t="s">
        <v>397</v>
      </c>
      <c r="F318" s="2">
        <v>502967056</v>
      </c>
      <c r="G318" s="2" t="s">
        <v>110</v>
      </c>
      <c r="H318" s="2" t="s">
        <v>641</v>
      </c>
      <c r="I318" s="2" t="s">
        <v>642</v>
      </c>
      <c r="K318" s="2" t="s">
        <v>113</v>
      </c>
      <c r="O318" s="2" t="s">
        <v>115</v>
      </c>
      <c r="P318" s="2" t="s">
        <v>647</v>
      </c>
      <c r="Q318" s="2" t="s">
        <v>648</v>
      </c>
      <c r="R318" s="2">
        <v>1</v>
      </c>
      <c r="S318" s="2">
        <v>86.32</v>
      </c>
      <c r="T318" s="2">
        <v>19.8536</v>
      </c>
      <c r="U318" s="2">
        <v>106.17359999999999</v>
      </c>
      <c r="W318" s="5">
        <f t="shared" si="35"/>
        <v>1</v>
      </c>
      <c r="Y318" s="2" t="s">
        <v>118</v>
      </c>
      <c r="AE318" s="2">
        <f t="shared" si="31"/>
        <v>0</v>
      </c>
      <c r="AI318" s="2">
        <f t="shared" si="32"/>
        <v>0</v>
      </c>
      <c r="AJ318" s="2">
        <f t="shared" si="33"/>
        <v>86.32</v>
      </c>
      <c r="AK318" s="5">
        <f t="shared" si="36"/>
        <v>1</v>
      </c>
    </row>
    <row r="319" spans="1:37" x14ac:dyDescent="0.2">
      <c r="A319" s="2">
        <v>2025</v>
      </c>
      <c r="B319" s="2">
        <v>1</v>
      </c>
      <c r="C319" s="2" t="s">
        <v>640</v>
      </c>
      <c r="D319" s="2" t="s">
        <v>109</v>
      </c>
      <c r="E319" s="2" t="s">
        <v>397</v>
      </c>
      <c r="F319" s="2">
        <v>502967056</v>
      </c>
      <c r="G319" s="2" t="s">
        <v>110</v>
      </c>
      <c r="H319" s="2" t="s">
        <v>641</v>
      </c>
      <c r="I319" s="2" t="s">
        <v>642</v>
      </c>
      <c r="K319" s="2" t="s">
        <v>113</v>
      </c>
      <c r="L319" s="2" t="s">
        <v>40</v>
      </c>
      <c r="O319" s="2" t="s">
        <v>188</v>
      </c>
      <c r="P319" s="2" t="s">
        <v>189</v>
      </c>
      <c r="Q319" s="2" t="s">
        <v>190</v>
      </c>
      <c r="R319" s="2">
        <v>1</v>
      </c>
      <c r="S319" s="2">
        <v>156</v>
      </c>
      <c r="T319" s="2">
        <v>35.880000000000003</v>
      </c>
      <c r="U319" s="2">
        <v>191.88</v>
      </c>
      <c r="W319" s="5">
        <f t="shared" si="35"/>
        <v>1</v>
      </c>
      <c r="Y319" s="2" t="s">
        <v>118</v>
      </c>
      <c r="Z319" s="2" t="s">
        <v>191</v>
      </c>
      <c r="AE319" s="2">
        <f t="shared" si="31"/>
        <v>0</v>
      </c>
      <c r="AI319" s="2">
        <f t="shared" si="32"/>
        <v>0</v>
      </c>
      <c r="AJ319" s="2">
        <f t="shared" si="33"/>
        <v>156</v>
      </c>
      <c r="AK319" s="5">
        <f t="shared" si="36"/>
        <v>1</v>
      </c>
    </row>
    <row r="320" spans="1:37" x14ac:dyDescent="0.2">
      <c r="A320" s="2">
        <v>2025</v>
      </c>
      <c r="B320" s="2">
        <v>1</v>
      </c>
      <c r="C320" s="2" t="s">
        <v>640</v>
      </c>
      <c r="D320" s="2" t="s">
        <v>109</v>
      </c>
      <c r="E320" s="2" t="s">
        <v>397</v>
      </c>
      <c r="F320" s="2">
        <v>502967056</v>
      </c>
      <c r="G320" s="2" t="s">
        <v>110</v>
      </c>
      <c r="H320" s="2" t="s">
        <v>641</v>
      </c>
      <c r="I320" s="2" t="s">
        <v>642</v>
      </c>
      <c r="K320" s="2" t="s">
        <v>113</v>
      </c>
      <c r="L320" s="2" t="s">
        <v>40</v>
      </c>
      <c r="O320" s="2" t="s">
        <v>188</v>
      </c>
      <c r="P320" s="2" t="s">
        <v>192</v>
      </c>
      <c r="Q320" s="2" t="s">
        <v>191</v>
      </c>
      <c r="R320" s="2">
        <v>1</v>
      </c>
      <c r="S320" s="2">
        <v>50</v>
      </c>
      <c r="T320" s="2">
        <v>11.5</v>
      </c>
      <c r="U320" s="2">
        <v>61.5</v>
      </c>
      <c r="V320" s="2">
        <f>S320*50%</f>
        <v>25</v>
      </c>
      <c r="W320" s="5">
        <f t="shared" si="35"/>
        <v>0.5</v>
      </c>
      <c r="Y320" s="2" t="s">
        <v>118</v>
      </c>
      <c r="Z320" s="2" t="s">
        <v>191</v>
      </c>
      <c r="AE320" s="2">
        <f t="shared" si="31"/>
        <v>0</v>
      </c>
      <c r="AI320" s="2">
        <f t="shared" si="32"/>
        <v>0</v>
      </c>
      <c r="AJ320" s="2">
        <f t="shared" si="33"/>
        <v>25</v>
      </c>
      <c r="AK320" s="5">
        <f t="shared" si="36"/>
        <v>0.5</v>
      </c>
    </row>
    <row r="321" spans="1:37" x14ac:dyDescent="0.2">
      <c r="A321" s="2">
        <v>2025</v>
      </c>
      <c r="B321" s="2">
        <v>1</v>
      </c>
      <c r="C321" s="2" t="s">
        <v>649</v>
      </c>
      <c r="D321" s="2" t="s">
        <v>38</v>
      </c>
      <c r="E321" s="2" t="s">
        <v>39</v>
      </c>
      <c r="F321" s="2">
        <v>509056946</v>
      </c>
      <c r="G321" s="2" t="s">
        <v>110</v>
      </c>
      <c r="H321" s="2" t="s">
        <v>650</v>
      </c>
      <c r="I321" s="2" t="s">
        <v>651</v>
      </c>
      <c r="J321" s="2">
        <v>964495536</v>
      </c>
      <c r="K321" s="2" t="s">
        <v>113</v>
      </c>
      <c r="O321" s="2" t="s">
        <v>115</v>
      </c>
      <c r="P321" s="2" t="s">
        <v>652</v>
      </c>
      <c r="Q321" s="2" t="s">
        <v>653</v>
      </c>
      <c r="R321" s="2">
        <v>1</v>
      </c>
      <c r="S321" s="2">
        <v>62.6</v>
      </c>
      <c r="T321" s="2">
        <v>14.398</v>
      </c>
      <c r="U321" s="2">
        <v>76.998000000000005</v>
      </c>
      <c r="W321" s="5">
        <f t="shared" si="35"/>
        <v>1</v>
      </c>
      <c r="Y321" s="2" t="s">
        <v>118</v>
      </c>
      <c r="Z321" s="2" t="s">
        <v>119</v>
      </c>
      <c r="AA321" s="2" t="s">
        <v>120</v>
      </c>
      <c r="AB321" s="2" t="s">
        <v>115</v>
      </c>
      <c r="AE321" s="2">
        <f t="shared" si="31"/>
        <v>0</v>
      </c>
      <c r="AI321" s="2">
        <f t="shared" si="32"/>
        <v>0</v>
      </c>
      <c r="AJ321" s="2">
        <f t="shared" si="33"/>
        <v>62.6</v>
      </c>
      <c r="AK321" s="5">
        <f t="shared" si="36"/>
        <v>1</v>
      </c>
    </row>
    <row r="322" spans="1:37" x14ac:dyDescent="0.2">
      <c r="A322" s="2">
        <v>2025</v>
      </c>
      <c r="B322" s="2">
        <v>1</v>
      </c>
      <c r="C322" s="2" t="s">
        <v>649</v>
      </c>
      <c r="D322" s="2" t="s">
        <v>38</v>
      </c>
      <c r="E322" s="2" t="s">
        <v>39</v>
      </c>
      <c r="F322" s="2">
        <v>509056946</v>
      </c>
      <c r="G322" s="2" t="s">
        <v>110</v>
      </c>
      <c r="H322" s="2" t="s">
        <v>650</v>
      </c>
      <c r="I322" s="2" t="s">
        <v>651</v>
      </c>
      <c r="J322" s="2">
        <v>964495536</v>
      </c>
      <c r="K322" s="2" t="s">
        <v>113</v>
      </c>
      <c r="L322" s="2" t="s">
        <v>40</v>
      </c>
      <c r="O322" s="2" t="s">
        <v>188</v>
      </c>
      <c r="P322" s="2" t="s">
        <v>189</v>
      </c>
      <c r="Q322" s="2" t="s">
        <v>190</v>
      </c>
      <c r="R322" s="2">
        <v>1</v>
      </c>
      <c r="S322" s="2">
        <v>100.5</v>
      </c>
      <c r="T322" s="2">
        <v>23.114999999999998</v>
      </c>
      <c r="U322" s="2">
        <v>123.61499999999999</v>
      </c>
      <c r="W322" s="5">
        <f t="shared" si="35"/>
        <v>1</v>
      </c>
      <c r="Y322" s="2" t="s">
        <v>118</v>
      </c>
      <c r="Z322" s="2" t="s">
        <v>191</v>
      </c>
      <c r="AE322" s="2">
        <f t="shared" ref="AE322:AE385" si="37">AI322</f>
        <v>0</v>
      </c>
      <c r="AI322" s="2">
        <f t="shared" ref="AI322:AI385" si="38">AH322*S322</f>
        <v>0</v>
      </c>
      <c r="AJ322" s="2">
        <f t="shared" ref="AJ322:AJ385" si="39">S322-V322</f>
        <v>100.5</v>
      </c>
      <c r="AK322" s="5">
        <f t="shared" si="36"/>
        <v>1</v>
      </c>
    </row>
    <row r="323" spans="1:37" x14ac:dyDescent="0.2">
      <c r="A323" s="2">
        <v>2025</v>
      </c>
      <c r="B323" s="2">
        <v>1</v>
      </c>
      <c r="C323" s="2" t="s">
        <v>649</v>
      </c>
      <c r="D323" s="2" t="s">
        <v>38</v>
      </c>
      <c r="E323" s="2" t="s">
        <v>39</v>
      </c>
      <c r="F323" s="2">
        <v>509056946</v>
      </c>
      <c r="G323" s="2" t="s">
        <v>110</v>
      </c>
      <c r="H323" s="2" t="s">
        <v>650</v>
      </c>
      <c r="I323" s="2" t="s">
        <v>651</v>
      </c>
      <c r="J323" s="2">
        <v>964495536</v>
      </c>
      <c r="K323" s="2" t="s">
        <v>113</v>
      </c>
      <c r="L323" s="2" t="s">
        <v>40</v>
      </c>
      <c r="O323" s="2" t="s">
        <v>188</v>
      </c>
      <c r="P323" s="2" t="s">
        <v>192</v>
      </c>
      <c r="Q323" s="2" t="s">
        <v>191</v>
      </c>
      <c r="R323" s="2">
        <v>1</v>
      </c>
      <c r="S323" s="2">
        <v>45</v>
      </c>
      <c r="T323" s="2">
        <v>10.35</v>
      </c>
      <c r="U323" s="2">
        <v>55.35</v>
      </c>
      <c r="V323" s="2">
        <f>S323*50%</f>
        <v>22.5</v>
      </c>
      <c r="W323" s="5">
        <f t="shared" si="35"/>
        <v>0.5</v>
      </c>
      <c r="Y323" s="2" t="s">
        <v>118</v>
      </c>
      <c r="Z323" s="2" t="s">
        <v>191</v>
      </c>
      <c r="AE323" s="2">
        <f t="shared" si="37"/>
        <v>0</v>
      </c>
      <c r="AI323" s="2">
        <f t="shared" si="38"/>
        <v>0</v>
      </c>
      <c r="AJ323" s="2">
        <f t="shared" si="39"/>
        <v>22.5</v>
      </c>
      <c r="AK323" s="5">
        <f t="shared" si="36"/>
        <v>0.5</v>
      </c>
    </row>
    <row r="324" spans="1:37" x14ac:dyDescent="0.2">
      <c r="A324" s="2">
        <v>2025</v>
      </c>
      <c r="B324" s="2">
        <v>1</v>
      </c>
      <c r="C324" s="2" t="s">
        <v>654</v>
      </c>
      <c r="P324" s="2" t="s">
        <v>655</v>
      </c>
      <c r="Q324" s="2" t="s">
        <v>656</v>
      </c>
      <c r="R324" s="2">
        <v>2</v>
      </c>
      <c r="S324" s="2">
        <v>371</v>
      </c>
      <c r="T324" s="2">
        <v>85.33</v>
      </c>
      <c r="U324" s="2">
        <v>456.33</v>
      </c>
      <c r="V324" s="2">
        <f>77*R324</f>
        <v>154</v>
      </c>
      <c r="W324" s="5">
        <f t="shared" si="35"/>
        <v>0.58490566037735847</v>
      </c>
      <c r="Y324" s="2" t="s">
        <v>118</v>
      </c>
      <c r="Z324" s="2" t="s">
        <v>119</v>
      </c>
      <c r="AA324" s="2" t="s">
        <v>120</v>
      </c>
      <c r="AB324" s="2" t="s">
        <v>3204</v>
      </c>
      <c r="AE324" s="2">
        <f t="shared" si="37"/>
        <v>0</v>
      </c>
      <c r="AF324" s="2">
        <v>77</v>
      </c>
      <c r="AI324" s="2">
        <f t="shared" si="38"/>
        <v>0</v>
      </c>
      <c r="AJ324" s="2">
        <f t="shared" si="39"/>
        <v>217</v>
      </c>
      <c r="AK324" s="5">
        <f t="shared" si="36"/>
        <v>0.58490566037735847</v>
      </c>
    </row>
    <row r="325" spans="1:37" x14ac:dyDescent="0.2">
      <c r="A325" s="2">
        <v>2025</v>
      </c>
      <c r="B325" s="2">
        <v>1</v>
      </c>
      <c r="C325" s="2" t="s">
        <v>657</v>
      </c>
      <c r="D325" s="2" t="s">
        <v>109</v>
      </c>
      <c r="E325" s="2" t="s">
        <v>39</v>
      </c>
      <c r="F325" s="2">
        <v>509838537</v>
      </c>
      <c r="G325" s="2" t="s">
        <v>41</v>
      </c>
      <c r="H325" s="2" t="s">
        <v>658</v>
      </c>
      <c r="I325" s="2" t="s">
        <v>659</v>
      </c>
      <c r="K325" s="2" t="s">
        <v>422</v>
      </c>
      <c r="L325" s="2" t="s">
        <v>41</v>
      </c>
      <c r="N325" s="2" t="s">
        <v>660</v>
      </c>
      <c r="O325" s="2" t="s">
        <v>73</v>
      </c>
      <c r="P325" s="2" t="s">
        <v>307</v>
      </c>
      <c r="Q325" s="2" t="s">
        <v>308</v>
      </c>
      <c r="R325" s="2">
        <v>1</v>
      </c>
      <c r="S325" s="2">
        <v>211.6</v>
      </c>
      <c r="T325" s="2">
        <v>48.667999999999999</v>
      </c>
      <c r="U325" s="2">
        <v>260.26799999999997</v>
      </c>
      <c r="V325" s="2">
        <v>119.33</v>
      </c>
      <c r="W325" s="5">
        <f t="shared" si="35"/>
        <v>0.43605860113421552</v>
      </c>
      <c r="Y325" s="2" t="s">
        <v>3256</v>
      </c>
      <c r="Z325" s="2" t="s">
        <v>76</v>
      </c>
      <c r="AA325" s="2" t="s">
        <v>77</v>
      </c>
      <c r="AB325" s="2" t="s">
        <v>78</v>
      </c>
      <c r="AE325" s="2">
        <f t="shared" si="37"/>
        <v>0</v>
      </c>
      <c r="AF325" s="2">
        <v>119.33</v>
      </c>
      <c r="AG325" s="2">
        <v>220</v>
      </c>
      <c r="AI325" s="2">
        <f t="shared" si="38"/>
        <v>0</v>
      </c>
      <c r="AJ325" s="2">
        <f t="shared" si="39"/>
        <v>92.27</v>
      </c>
      <c r="AK325" s="5">
        <f t="shared" si="36"/>
        <v>0.43605860113421552</v>
      </c>
    </row>
    <row r="326" spans="1:37" x14ac:dyDescent="0.2">
      <c r="A326" s="2">
        <v>2025</v>
      </c>
      <c r="B326" s="2">
        <v>1</v>
      </c>
      <c r="C326" s="2" t="s">
        <v>657</v>
      </c>
      <c r="D326" s="2" t="s">
        <v>109</v>
      </c>
      <c r="E326" s="2" t="s">
        <v>39</v>
      </c>
      <c r="F326" s="2">
        <v>509838537</v>
      </c>
      <c r="G326" s="2" t="s">
        <v>41</v>
      </c>
      <c r="H326" s="2" t="s">
        <v>658</v>
      </c>
      <c r="I326" s="2" t="s">
        <v>659</v>
      </c>
      <c r="K326" s="2" t="s">
        <v>422</v>
      </c>
      <c r="L326" s="2" t="s">
        <v>41</v>
      </c>
      <c r="N326" s="2" t="s">
        <v>660</v>
      </c>
      <c r="O326" s="2" t="s">
        <v>94</v>
      </c>
      <c r="P326" s="2" t="s">
        <v>95</v>
      </c>
      <c r="Q326" s="2" t="s">
        <v>96</v>
      </c>
      <c r="R326" s="2">
        <v>1</v>
      </c>
      <c r="S326" s="2">
        <v>1.1399999999999999</v>
      </c>
      <c r="T326" s="2">
        <v>0.26219999999999999</v>
      </c>
      <c r="U326" s="2">
        <v>1.4021999999999999</v>
      </c>
      <c r="V326" s="2">
        <v>1.1399999999999999</v>
      </c>
      <c r="W326" s="5">
        <f t="shared" ref="W326:W357" si="40">(S326-V326)/S326</f>
        <v>0</v>
      </c>
      <c r="Y326" s="2" t="s">
        <v>3256</v>
      </c>
      <c r="Z326" s="2" t="s">
        <v>97</v>
      </c>
      <c r="AA326" s="2" t="s">
        <v>77</v>
      </c>
      <c r="AB326" s="2" t="s">
        <v>94</v>
      </c>
      <c r="AE326" s="2">
        <f t="shared" si="37"/>
        <v>0</v>
      </c>
      <c r="AF326" s="2">
        <v>1.1399999999999999</v>
      </c>
      <c r="AG326" s="2">
        <v>1.1399999999999999</v>
      </c>
      <c r="AI326" s="2">
        <f t="shared" si="38"/>
        <v>0</v>
      </c>
      <c r="AJ326" s="2">
        <f t="shared" si="39"/>
        <v>0</v>
      </c>
      <c r="AK326" s="5">
        <f t="shared" si="36"/>
        <v>0</v>
      </c>
    </row>
    <row r="327" spans="1:37" x14ac:dyDescent="0.2">
      <c r="A327" s="2">
        <v>2025</v>
      </c>
      <c r="B327" s="2">
        <v>1</v>
      </c>
      <c r="C327" s="2" t="s">
        <v>661</v>
      </c>
      <c r="D327" s="2" t="s">
        <v>38</v>
      </c>
      <c r="F327" s="2">
        <v>509116590</v>
      </c>
      <c r="G327" s="2" t="s">
        <v>291</v>
      </c>
      <c r="H327" s="2" t="s">
        <v>662</v>
      </c>
      <c r="I327" s="2" t="s">
        <v>663</v>
      </c>
      <c r="K327" s="2" t="s">
        <v>294</v>
      </c>
      <c r="L327" s="2" t="s">
        <v>81</v>
      </c>
      <c r="O327" s="2" t="s">
        <v>664</v>
      </c>
      <c r="P327" s="2" t="s">
        <v>665</v>
      </c>
      <c r="Q327" s="2" t="s">
        <v>383</v>
      </c>
      <c r="R327" s="2">
        <v>-1</v>
      </c>
      <c r="S327" s="2">
        <v>-220.8</v>
      </c>
      <c r="T327" s="2">
        <v>-50.784000000000013</v>
      </c>
      <c r="U327" s="2">
        <v>-271.584</v>
      </c>
      <c r="Y327" s="2" t="s">
        <v>3256</v>
      </c>
      <c r="Z327" s="2" t="s">
        <v>76</v>
      </c>
      <c r="AA327" s="2" t="s">
        <v>77</v>
      </c>
      <c r="AB327" s="2" t="s">
        <v>664</v>
      </c>
      <c r="AE327" s="2">
        <f t="shared" si="37"/>
        <v>0</v>
      </c>
      <c r="AI327" s="2">
        <f t="shared" si="38"/>
        <v>0</v>
      </c>
      <c r="AJ327" s="2">
        <f t="shared" si="39"/>
        <v>-220.8</v>
      </c>
      <c r="AK327" s="5">
        <f t="shared" si="36"/>
        <v>1</v>
      </c>
    </row>
    <row r="328" spans="1:37" x14ac:dyDescent="0.2">
      <c r="A328" s="2">
        <v>2025</v>
      </c>
      <c r="B328" s="2">
        <v>1</v>
      </c>
      <c r="C328" s="2" t="s">
        <v>661</v>
      </c>
      <c r="D328" s="2" t="s">
        <v>38</v>
      </c>
      <c r="F328" s="2">
        <v>509116590</v>
      </c>
      <c r="G328" s="2" t="s">
        <v>291</v>
      </c>
      <c r="H328" s="2" t="s">
        <v>662</v>
      </c>
      <c r="I328" s="2" t="s">
        <v>663</v>
      </c>
      <c r="K328" s="2" t="s">
        <v>294</v>
      </c>
      <c r="L328" s="2" t="s">
        <v>81</v>
      </c>
      <c r="O328" s="2" t="s">
        <v>94</v>
      </c>
      <c r="P328" s="2" t="s">
        <v>95</v>
      </c>
      <c r="Q328" s="2" t="s">
        <v>96</v>
      </c>
      <c r="R328" s="2">
        <v>-1</v>
      </c>
      <c r="S328" s="2">
        <v>-1.05</v>
      </c>
      <c r="T328" s="2">
        <v>-0.24149999999999999</v>
      </c>
      <c r="U328" s="2">
        <v>-1.2915000000000001</v>
      </c>
      <c r="V328" s="2">
        <v>1.1399999999999999</v>
      </c>
      <c r="Y328" s="2" t="s">
        <v>3256</v>
      </c>
      <c r="Z328" s="2" t="s">
        <v>97</v>
      </c>
      <c r="AA328" s="2" t="s">
        <v>77</v>
      </c>
      <c r="AB328" s="2" t="s">
        <v>94</v>
      </c>
      <c r="AE328" s="2">
        <f t="shared" si="37"/>
        <v>0</v>
      </c>
      <c r="AI328" s="2">
        <f t="shared" si="38"/>
        <v>0</v>
      </c>
      <c r="AJ328" s="2">
        <f t="shared" si="39"/>
        <v>-2.19</v>
      </c>
      <c r="AK328" s="5">
        <f t="shared" si="36"/>
        <v>2.0857142857142854</v>
      </c>
    </row>
    <row r="329" spans="1:37" x14ac:dyDescent="0.2">
      <c r="A329" s="2">
        <v>2025</v>
      </c>
      <c r="B329" s="2">
        <v>1</v>
      </c>
      <c r="C329" s="2" t="s">
        <v>666</v>
      </c>
      <c r="D329" s="2" t="s">
        <v>38</v>
      </c>
      <c r="E329" s="2" t="s">
        <v>39</v>
      </c>
      <c r="F329" s="2">
        <v>510651810</v>
      </c>
      <c r="G329" s="2" t="s">
        <v>40</v>
      </c>
      <c r="H329" s="2" t="s">
        <v>667</v>
      </c>
      <c r="I329" s="2" t="s">
        <v>668</v>
      </c>
      <c r="K329" s="2" t="s">
        <v>345</v>
      </c>
      <c r="L329" s="2" t="s">
        <v>81</v>
      </c>
      <c r="N329" s="2" t="s">
        <v>669</v>
      </c>
      <c r="O329" s="2" t="s">
        <v>73</v>
      </c>
      <c r="P329" s="2" t="s">
        <v>302</v>
      </c>
      <c r="Q329" s="2" t="s">
        <v>75</v>
      </c>
      <c r="R329" s="2">
        <v>1</v>
      </c>
      <c r="S329" s="2">
        <v>211.6</v>
      </c>
      <c r="T329" s="2">
        <v>48.667999999999999</v>
      </c>
      <c r="U329" s="2">
        <v>260.26799999999997</v>
      </c>
      <c r="V329" s="2">
        <v>121.46</v>
      </c>
      <c r="W329" s="5">
        <f t="shared" si="40"/>
        <v>0.42599243856332702</v>
      </c>
      <c r="Y329" s="2" t="s">
        <v>3256</v>
      </c>
      <c r="Z329" s="2" t="s">
        <v>76</v>
      </c>
      <c r="AA329" s="2" t="s">
        <v>77</v>
      </c>
      <c r="AB329" s="2" t="s">
        <v>78</v>
      </c>
      <c r="AE329" s="2">
        <f t="shared" si="37"/>
        <v>0</v>
      </c>
      <c r="AF329" s="2">
        <v>121.46</v>
      </c>
      <c r="AG329" s="2">
        <v>210</v>
      </c>
      <c r="AI329" s="2">
        <f t="shared" si="38"/>
        <v>0</v>
      </c>
      <c r="AJ329" s="2">
        <f t="shared" si="39"/>
        <v>90.14</v>
      </c>
      <c r="AK329" s="5">
        <f t="shared" si="36"/>
        <v>0.42599243856332702</v>
      </c>
    </row>
    <row r="330" spans="1:37" x14ac:dyDescent="0.2">
      <c r="A330" s="2">
        <v>2025</v>
      </c>
      <c r="B330" s="2">
        <v>1</v>
      </c>
      <c r="C330" s="2" t="s">
        <v>666</v>
      </c>
      <c r="D330" s="2" t="s">
        <v>38</v>
      </c>
      <c r="E330" s="2" t="s">
        <v>39</v>
      </c>
      <c r="F330" s="2">
        <v>510651810</v>
      </c>
      <c r="G330" s="2" t="s">
        <v>40</v>
      </c>
      <c r="H330" s="2" t="s">
        <v>667</v>
      </c>
      <c r="I330" s="2" t="s">
        <v>668</v>
      </c>
      <c r="K330" s="2" t="s">
        <v>345</v>
      </c>
      <c r="L330" s="2" t="s">
        <v>81</v>
      </c>
      <c r="O330" s="2" t="s">
        <v>73</v>
      </c>
      <c r="P330" s="2" t="s">
        <v>670</v>
      </c>
      <c r="Q330" s="2" t="s">
        <v>80</v>
      </c>
      <c r="R330" s="2">
        <v>1</v>
      </c>
      <c r="S330" s="2">
        <v>202.4</v>
      </c>
      <c r="T330" s="2">
        <v>46.552000000000007</v>
      </c>
      <c r="U330" s="2">
        <v>248.952</v>
      </c>
      <c r="W330" s="5">
        <f t="shared" si="40"/>
        <v>1</v>
      </c>
      <c r="Y330" s="2" t="s">
        <v>3256</v>
      </c>
      <c r="Z330" s="2" t="s">
        <v>76</v>
      </c>
      <c r="AA330" s="2" t="s">
        <v>77</v>
      </c>
      <c r="AB330" s="2" t="s">
        <v>78</v>
      </c>
      <c r="AE330" s="2">
        <f t="shared" si="37"/>
        <v>0</v>
      </c>
      <c r="AI330" s="2">
        <f t="shared" si="38"/>
        <v>0</v>
      </c>
      <c r="AJ330" s="2">
        <f t="shared" si="39"/>
        <v>202.4</v>
      </c>
      <c r="AK330" s="5">
        <f t="shared" si="36"/>
        <v>1</v>
      </c>
    </row>
    <row r="331" spans="1:37" x14ac:dyDescent="0.2">
      <c r="A331" s="2">
        <v>2025</v>
      </c>
      <c r="B331" s="2">
        <v>1</v>
      </c>
      <c r="C331" s="2" t="s">
        <v>666</v>
      </c>
      <c r="D331" s="2" t="s">
        <v>38</v>
      </c>
      <c r="E331" s="2" t="s">
        <v>39</v>
      </c>
      <c r="F331" s="2">
        <v>510651810</v>
      </c>
      <c r="G331" s="2" t="s">
        <v>40</v>
      </c>
      <c r="H331" s="2" t="s">
        <v>667</v>
      </c>
      <c r="I331" s="2" t="s">
        <v>668</v>
      </c>
      <c r="K331" s="2" t="s">
        <v>345</v>
      </c>
      <c r="L331" s="2" t="s">
        <v>81</v>
      </c>
      <c r="O331" s="2" t="s">
        <v>94</v>
      </c>
      <c r="P331" s="2" t="s">
        <v>95</v>
      </c>
      <c r="Q331" s="2" t="s">
        <v>96</v>
      </c>
      <c r="R331" s="2">
        <v>2</v>
      </c>
      <c r="S331" s="2">
        <v>2.2799999999999998</v>
      </c>
      <c r="T331" s="2">
        <v>0.52439999999999998</v>
      </c>
      <c r="U331" s="2">
        <v>2.8043999999999998</v>
      </c>
      <c r="V331" s="2">
        <v>2.2799999999999998</v>
      </c>
      <c r="W331" s="5">
        <f t="shared" si="40"/>
        <v>0</v>
      </c>
      <c r="Y331" s="2" t="s">
        <v>3256</v>
      </c>
      <c r="Z331" s="2" t="s">
        <v>97</v>
      </c>
      <c r="AA331" s="2" t="s">
        <v>77</v>
      </c>
      <c r="AB331" s="2" t="s">
        <v>94</v>
      </c>
      <c r="AE331" s="2">
        <f t="shared" si="37"/>
        <v>0</v>
      </c>
      <c r="AI331" s="2">
        <f t="shared" si="38"/>
        <v>0</v>
      </c>
      <c r="AJ331" s="2">
        <f t="shared" si="39"/>
        <v>0</v>
      </c>
      <c r="AK331" s="5">
        <f t="shared" si="36"/>
        <v>0</v>
      </c>
    </row>
    <row r="332" spans="1:37" x14ac:dyDescent="0.2">
      <c r="A332" s="2">
        <v>2025</v>
      </c>
      <c r="B332" s="2">
        <v>1</v>
      </c>
      <c r="C332" s="2" t="s">
        <v>671</v>
      </c>
      <c r="D332" s="2" t="s">
        <v>109</v>
      </c>
      <c r="E332" s="2" t="s">
        <v>39</v>
      </c>
      <c r="F332" s="2">
        <v>250545942</v>
      </c>
      <c r="G332" s="2" t="s">
        <v>110</v>
      </c>
      <c r="H332" s="2" t="s">
        <v>672</v>
      </c>
      <c r="I332" s="2" t="s">
        <v>673</v>
      </c>
      <c r="J332" s="2">
        <v>917178517</v>
      </c>
      <c r="K332" s="2" t="s">
        <v>465</v>
      </c>
      <c r="L332" s="2" t="s">
        <v>40</v>
      </c>
      <c r="N332" s="2" t="s">
        <v>674</v>
      </c>
      <c r="O332" s="2" t="s">
        <v>43</v>
      </c>
      <c r="P332" s="2" t="s">
        <v>675</v>
      </c>
      <c r="Q332" s="2" t="s">
        <v>676</v>
      </c>
      <c r="R332" s="2">
        <v>1</v>
      </c>
      <c r="S332" s="2">
        <v>60</v>
      </c>
      <c r="T332" s="2">
        <v>13.8</v>
      </c>
      <c r="U332" s="2">
        <v>73.8</v>
      </c>
      <c r="V332" s="2">
        <v>29.27</v>
      </c>
      <c r="W332" s="5">
        <f t="shared" si="40"/>
        <v>0.51216666666666666</v>
      </c>
      <c r="Y332" s="2" t="s">
        <v>3256</v>
      </c>
      <c r="Z332" s="2" t="s">
        <v>46</v>
      </c>
      <c r="AA332" s="2" t="s">
        <v>57</v>
      </c>
      <c r="AB332" s="2" t="s">
        <v>58</v>
      </c>
      <c r="AE332" s="2">
        <f t="shared" si="37"/>
        <v>0</v>
      </c>
      <c r="AF332" s="2">
        <v>29.27</v>
      </c>
      <c r="AG332" s="2">
        <v>60</v>
      </c>
      <c r="AI332" s="2">
        <f t="shared" si="38"/>
        <v>0</v>
      </c>
      <c r="AJ332" s="2">
        <f t="shared" si="39"/>
        <v>30.73</v>
      </c>
      <c r="AK332" s="5">
        <f t="shared" si="36"/>
        <v>0.51216666666666666</v>
      </c>
    </row>
    <row r="333" spans="1:37" x14ac:dyDescent="0.2">
      <c r="A333" s="2">
        <v>2025</v>
      </c>
      <c r="B333" s="2">
        <v>1</v>
      </c>
      <c r="C333" s="2" t="s">
        <v>671</v>
      </c>
      <c r="O333" s="2" t="s">
        <v>170</v>
      </c>
      <c r="P333" s="2" t="s">
        <v>171</v>
      </c>
      <c r="Q333" s="2" t="s">
        <v>171</v>
      </c>
      <c r="R333" s="2">
        <v>1</v>
      </c>
      <c r="S333" s="2">
        <v>8.5</v>
      </c>
      <c r="T333" s="2">
        <v>1.9550000000000001</v>
      </c>
      <c r="U333" s="2">
        <v>10.455</v>
      </c>
      <c r="W333" s="5">
        <f t="shared" si="40"/>
        <v>1</v>
      </c>
      <c r="Y333" s="2" t="s">
        <v>170</v>
      </c>
      <c r="Z333" s="2" t="s">
        <v>170</v>
      </c>
      <c r="AE333" s="2">
        <f t="shared" si="37"/>
        <v>0</v>
      </c>
      <c r="AI333" s="2">
        <f t="shared" si="38"/>
        <v>0</v>
      </c>
      <c r="AJ333" s="2">
        <f t="shared" si="39"/>
        <v>8.5</v>
      </c>
      <c r="AK333" s="5">
        <f t="shared" si="36"/>
        <v>1</v>
      </c>
    </row>
    <row r="334" spans="1:37" x14ac:dyDescent="0.2">
      <c r="A334" s="2">
        <v>2025</v>
      </c>
      <c r="B334" s="2">
        <v>1</v>
      </c>
      <c r="C334" s="2" t="s">
        <v>677</v>
      </c>
      <c r="O334" s="2" t="s">
        <v>115</v>
      </c>
      <c r="P334" s="2" t="s">
        <v>678</v>
      </c>
      <c r="Q334" s="2" t="s">
        <v>679</v>
      </c>
      <c r="R334" s="2">
        <v>1</v>
      </c>
      <c r="S334" s="2">
        <v>14.95</v>
      </c>
      <c r="T334" s="2">
        <v>3.4384999999999999</v>
      </c>
      <c r="U334" s="2">
        <v>18.388500000000001</v>
      </c>
      <c r="W334" s="5">
        <f t="shared" si="40"/>
        <v>1</v>
      </c>
      <c r="AE334" s="2">
        <f t="shared" si="37"/>
        <v>0</v>
      </c>
      <c r="AI334" s="2">
        <f t="shared" si="38"/>
        <v>0</v>
      </c>
      <c r="AJ334" s="2">
        <f t="shared" si="39"/>
        <v>14.95</v>
      </c>
      <c r="AK334" s="5">
        <f t="shared" si="36"/>
        <v>1</v>
      </c>
    </row>
    <row r="335" spans="1:37" x14ac:dyDescent="0.2">
      <c r="A335" s="2">
        <v>2025</v>
      </c>
      <c r="B335" s="2">
        <v>1</v>
      </c>
      <c r="C335" s="2" t="s">
        <v>677</v>
      </c>
      <c r="L335" s="2" t="s">
        <v>40</v>
      </c>
      <c r="O335" s="2" t="s">
        <v>188</v>
      </c>
      <c r="P335" s="2" t="s">
        <v>192</v>
      </c>
      <c r="Q335" s="2" t="s">
        <v>191</v>
      </c>
      <c r="R335" s="2">
        <v>1</v>
      </c>
      <c r="S335" s="2">
        <v>49.99</v>
      </c>
      <c r="T335" s="2">
        <v>11.4977</v>
      </c>
      <c r="U335" s="2">
        <v>61.487699999999997</v>
      </c>
      <c r="V335" s="2">
        <f>S335*50%</f>
        <v>24.995000000000001</v>
      </c>
      <c r="W335" s="5">
        <f t="shared" si="40"/>
        <v>0.5</v>
      </c>
      <c r="Y335" s="2" t="s">
        <v>118</v>
      </c>
      <c r="Z335" s="2" t="s">
        <v>191</v>
      </c>
      <c r="AE335" s="2">
        <f t="shared" si="37"/>
        <v>0</v>
      </c>
      <c r="AI335" s="2">
        <f t="shared" si="38"/>
        <v>0</v>
      </c>
      <c r="AJ335" s="2">
        <f t="shared" si="39"/>
        <v>24.995000000000001</v>
      </c>
      <c r="AK335" s="5">
        <f t="shared" si="36"/>
        <v>0.5</v>
      </c>
    </row>
    <row r="336" spans="1:37" x14ac:dyDescent="0.2">
      <c r="A336" s="2">
        <v>2025</v>
      </c>
      <c r="B336" s="2">
        <v>1</v>
      </c>
      <c r="C336" s="2" t="s">
        <v>680</v>
      </c>
      <c r="D336" s="2" t="s">
        <v>38</v>
      </c>
      <c r="E336" s="2" t="s">
        <v>39</v>
      </c>
      <c r="F336" s="2">
        <v>502616695</v>
      </c>
      <c r="G336" s="2" t="s">
        <v>40</v>
      </c>
      <c r="H336" s="2" t="s">
        <v>1639</v>
      </c>
      <c r="I336" s="2" t="s">
        <v>3199</v>
      </c>
      <c r="K336" s="2" t="s">
        <v>340</v>
      </c>
      <c r="L336" s="2" t="s">
        <v>40</v>
      </c>
      <c r="N336" s="2" t="s">
        <v>3200</v>
      </c>
      <c r="O336" s="2" t="s">
        <v>1624</v>
      </c>
      <c r="P336" s="2" t="s">
        <v>681</v>
      </c>
      <c r="Q336" s="2" t="s">
        <v>682</v>
      </c>
      <c r="R336" s="2">
        <v>2</v>
      </c>
      <c r="S336" s="2">
        <v>30693</v>
      </c>
      <c r="T336" s="2">
        <v>7059.39</v>
      </c>
      <c r="U336" s="2">
        <v>37752.39</v>
      </c>
      <c r="V336" s="2">
        <f>11533.19*R336</f>
        <v>23066.38</v>
      </c>
      <c r="W336" s="5">
        <f t="shared" si="40"/>
        <v>0.2484807610855895</v>
      </c>
      <c r="Y336" s="2" t="s">
        <v>105</v>
      </c>
      <c r="Z336" s="2" t="s">
        <v>265</v>
      </c>
      <c r="AA336" s="2" t="s">
        <v>3196</v>
      </c>
      <c r="AB336" s="2" t="s">
        <v>1624</v>
      </c>
      <c r="AE336" s="2">
        <f t="shared" si="37"/>
        <v>0</v>
      </c>
      <c r="AF336" s="2">
        <f>10958.19+575</f>
        <v>11533.19</v>
      </c>
      <c r="AI336" s="2">
        <f t="shared" si="38"/>
        <v>0</v>
      </c>
      <c r="AJ336" s="2">
        <f t="shared" si="39"/>
        <v>7626.619999999999</v>
      </c>
      <c r="AK336" s="5">
        <f t="shared" si="36"/>
        <v>0.2484807610855895</v>
      </c>
    </row>
    <row r="337" spans="1:37" x14ac:dyDescent="0.2">
      <c r="A337" s="2">
        <v>2025</v>
      </c>
      <c r="B337" s="2">
        <v>1</v>
      </c>
      <c r="C337" s="2" t="s">
        <v>683</v>
      </c>
      <c r="D337" s="2" t="s">
        <v>109</v>
      </c>
      <c r="E337" s="2" t="s">
        <v>39</v>
      </c>
      <c r="F337" s="2">
        <v>505764636</v>
      </c>
      <c r="G337" s="2" t="s">
        <v>291</v>
      </c>
      <c r="H337" s="2" t="s">
        <v>684</v>
      </c>
      <c r="I337" s="2" t="s">
        <v>685</v>
      </c>
      <c r="K337" s="2" t="s">
        <v>340</v>
      </c>
      <c r="L337" s="2" t="s">
        <v>81</v>
      </c>
      <c r="N337" s="2" t="s">
        <v>686</v>
      </c>
      <c r="O337" s="2" t="s">
        <v>73</v>
      </c>
      <c r="P337" s="2" t="s">
        <v>687</v>
      </c>
      <c r="Q337" s="2" t="s">
        <v>75</v>
      </c>
      <c r="R337" s="2">
        <v>1</v>
      </c>
      <c r="S337" s="2">
        <v>184</v>
      </c>
      <c r="T337" s="2">
        <v>42.32</v>
      </c>
      <c r="U337" s="2">
        <v>226.32</v>
      </c>
      <c r="V337" s="2">
        <v>104.49</v>
      </c>
      <c r="W337" s="5">
        <f t="shared" si="40"/>
        <v>0.43211956521739131</v>
      </c>
      <c r="Y337" s="2" t="s">
        <v>3256</v>
      </c>
      <c r="Z337" s="2" t="s">
        <v>76</v>
      </c>
      <c r="AA337" s="2" t="s">
        <v>77</v>
      </c>
      <c r="AB337" s="2" t="s">
        <v>78</v>
      </c>
      <c r="AE337" s="2">
        <f t="shared" si="37"/>
        <v>0</v>
      </c>
      <c r="AF337" s="2">
        <v>104.49</v>
      </c>
      <c r="AG337" s="2">
        <v>220</v>
      </c>
      <c r="AI337" s="2">
        <f t="shared" si="38"/>
        <v>0</v>
      </c>
      <c r="AJ337" s="2">
        <f t="shared" si="39"/>
        <v>79.510000000000005</v>
      </c>
      <c r="AK337" s="5">
        <f t="shared" si="36"/>
        <v>0.43211956521739131</v>
      </c>
    </row>
    <row r="338" spans="1:37" x14ac:dyDescent="0.2">
      <c r="A338" s="2">
        <v>2025</v>
      </c>
      <c r="B338" s="2">
        <v>1</v>
      </c>
      <c r="C338" s="2" t="s">
        <v>683</v>
      </c>
      <c r="D338" s="2" t="s">
        <v>109</v>
      </c>
      <c r="E338" s="2" t="s">
        <v>39</v>
      </c>
      <c r="F338" s="2">
        <v>505764636</v>
      </c>
      <c r="G338" s="2" t="s">
        <v>291</v>
      </c>
      <c r="H338" s="2" t="s">
        <v>684</v>
      </c>
      <c r="I338" s="2" t="s">
        <v>685</v>
      </c>
      <c r="K338" s="2" t="s">
        <v>340</v>
      </c>
      <c r="L338" s="2" t="s">
        <v>81</v>
      </c>
      <c r="N338" s="2" t="s">
        <v>688</v>
      </c>
      <c r="O338" s="2" t="s">
        <v>73</v>
      </c>
      <c r="P338" s="2" t="s">
        <v>561</v>
      </c>
      <c r="Q338" s="2" t="s">
        <v>308</v>
      </c>
      <c r="R338" s="2">
        <v>1</v>
      </c>
      <c r="S338" s="2">
        <v>215</v>
      </c>
      <c r="T338" s="2">
        <v>49.45</v>
      </c>
      <c r="U338" s="2">
        <v>264.45</v>
      </c>
      <c r="V338" s="2">
        <v>122.446</v>
      </c>
      <c r="W338" s="5">
        <f t="shared" si="40"/>
        <v>0.43048372093023257</v>
      </c>
      <c r="Y338" s="2" t="s">
        <v>3256</v>
      </c>
      <c r="Z338" s="2" t="s">
        <v>76</v>
      </c>
      <c r="AA338" s="2" t="s">
        <v>77</v>
      </c>
      <c r="AB338" s="2" t="s">
        <v>78</v>
      </c>
      <c r="AE338" s="2">
        <f t="shared" si="37"/>
        <v>0</v>
      </c>
      <c r="AF338" s="2">
        <v>122.446</v>
      </c>
      <c r="AG338" s="2">
        <v>230</v>
      </c>
      <c r="AI338" s="2">
        <f t="shared" si="38"/>
        <v>0</v>
      </c>
      <c r="AJ338" s="2">
        <f t="shared" si="39"/>
        <v>92.554000000000002</v>
      </c>
      <c r="AK338" s="5">
        <f t="shared" si="36"/>
        <v>0.43048372093023257</v>
      </c>
    </row>
    <row r="339" spans="1:37" x14ac:dyDescent="0.2">
      <c r="A339" s="2">
        <v>2025</v>
      </c>
      <c r="B339" s="2">
        <v>1</v>
      </c>
      <c r="C339" s="2" t="s">
        <v>683</v>
      </c>
      <c r="D339" s="2" t="s">
        <v>109</v>
      </c>
      <c r="E339" s="2" t="s">
        <v>39</v>
      </c>
      <c r="F339" s="2">
        <v>505764636</v>
      </c>
      <c r="G339" s="2" t="s">
        <v>291</v>
      </c>
      <c r="H339" s="2" t="s">
        <v>684</v>
      </c>
      <c r="I339" s="2" t="s">
        <v>685</v>
      </c>
      <c r="K339" s="2" t="s">
        <v>340</v>
      </c>
      <c r="L339" s="2" t="s">
        <v>81</v>
      </c>
      <c r="O339" s="2" t="s">
        <v>73</v>
      </c>
      <c r="P339" s="2" t="s">
        <v>689</v>
      </c>
      <c r="Q339" s="2" t="s">
        <v>84</v>
      </c>
      <c r="R339" s="2">
        <v>1</v>
      </c>
      <c r="S339" s="2">
        <v>230</v>
      </c>
      <c r="T339" s="2">
        <v>52.900000000000013</v>
      </c>
      <c r="U339" s="2">
        <v>282.89999999999998</v>
      </c>
      <c r="V339" s="2">
        <v>147.86000000000001</v>
      </c>
      <c r="W339" s="5">
        <f t="shared" si="40"/>
        <v>0.35713043478260864</v>
      </c>
      <c r="Y339" s="2" t="s">
        <v>3256</v>
      </c>
      <c r="Z339" s="2" t="s">
        <v>76</v>
      </c>
      <c r="AA339" s="2" t="s">
        <v>77</v>
      </c>
      <c r="AB339" s="2" t="s">
        <v>78</v>
      </c>
      <c r="AE339" s="2">
        <f t="shared" si="37"/>
        <v>0</v>
      </c>
      <c r="AF339" s="2">
        <v>147.86000000000001</v>
      </c>
      <c r="AG339" s="2">
        <v>250</v>
      </c>
      <c r="AI339" s="2">
        <f t="shared" si="38"/>
        <v>0</v>
      </c>
      <c r="AJ339" s="2">
        <f t="shared" si="39"/>
        <v>82.139999999999986</v>
      </c>
      <c r="AK339" s="5">
        <f t="shared" si="36"/>
        <v>0.35713043478260864</v>
      </c>
    </row>
    <row r="340" spans="1:37" x14ac:dyDescent="0.2">
      <c r="A340" s="2">
        <v>2025</v>
      </c>
      <c r="B340" s="2">
        <v>1</v>
      </c>
      <c r="C340" s="2" t="s">
        <v>683</v>
      </c>
      <c r="D340" s="2" t="s">
        <v>109</v>
      </c>
      <c r="E340" s="2" t="s">
        <v>39</v>
      </c>
      <c r="F340" s="2">
        <v>505764636</v>
      </c>
      <c r="G340" s="2" t="s">
        <v>291</v>
      </c>
      <c r="H340" s="2" t="s">
        <v>684</v>
      </c>
      <c r="I340" s="2" t="s">
        <v>685</v>
      </c>
      <c r="K340" s="2" t="s">
        <v>340</v>
      </c>
      <c r="L340" s="2" t="s">
        <v>81</v>
      </c>
      <c r="O340" s="2" t="s">
        <v>94</v>
      </c>
      <c r="P340" s="2" t="s">
        <v>95</v>
      </c>
      <c r="Q340" s="2" t="s">
        <v>96</v>
      </c>
      <c r="R340" s="2">
        <v>3</v>
      </c>
      <c r="S340" s="2">
        <v>3.42</v>
      </c>
      <c r="T340" s="2">
        <v>0.78659999999999997</v>
      </c>
      <c r="U340" s="2">
        <v>4.2065999999999999</v>
      </c>
      <c r="V340" s="2">
        <v>3.42</v>
      </c>
      <c r="W340" s="5">
        <f t="shared" si="40"/>
        <v>0</v>
      </c>
      <c r="Y340" s="2" t="s">
        <v>3256</v>
      </c>
      <c r="Z340" s="2" t="s">
        <v>97</v>
      </c>
      <c r="AA340" s="2" t="s">
        <v>77</v>
      </c>
      <c r="AB340" s="2" t="s">
        <v>94</v>
      </c>
      <c r="AE340" s="2">
        <f t="shared" si="37"/>
        <v>0</v>
      </c>
      <c r="AI340" s="2">
        <f t="shared" si="38"/>
        <v>0</v>
      </c>
      <c r="AJ340" s="2">
        <f t="shared" si="39"/>
        <v>0</v>
      </c>
      <c r="AK340" s="5">
        <f t="shared" si="36"/>
        <v>0</v>
      </c>
    </row>
    <row r="341" spans="1:37" x14ac:dyDescent="0.2">
      <c r="A341" s="2">
        <v>2025</v>
      </c>
      <c r="B341" s="2">
        <v>2</v>
      </c>
      <c r="C341" s="2" t="s">
        <v>690</v>
      </c>
      <c r="O341" s="2" t="s">
        <v>283</v>
      </c>
      <c r="P341" s="2" t="s">
        <v>691</v>
      </c>
      <c r="Q341" s="2" t="s">
        <v>692</v>
      </c>
      <c r="R341" s="2">
        <v>1</v>
      </c>
      <c r="S341" s="2">
        <v>1300</v>
      </c>
      <c r="T341" s="2">
        <v>299</v>
      </c>
      <c r="U341" s="2">
        <v>1599</v>
      </c>
      <c r="W341" s="5">
        <f t="shared" si="40"/>
        <v>1</v>
      </c>
      <c r="Y341" s="2" t="s">
        <v>105</v>
      </c>
      <c r="AE341" s="2">
        <f t="shared" si="37"/>
        <v>0</v>
      </c>
      <c r="AI341" s="2">
        <f t="shared" si="38"/>
        <v>0</v>
      </c>
      <c r="AJ341" s="2">
        <f t="shared" si="39"/>
        <v>1300</v>
      </c>
      <c r="AK341" s="5">
        <f t="shared" si="36"/>
        <v>1</v>
      </c>
    </row>
    <row r="342" spans="1:37" x14ac:dyDescent="0.2">
      <c r="A342" s="2">
        <v>2025</v>
      </c>
      <c r="B342" s="2">
        <v>2</v>
      </c>
      <c r="C342" s="2" t="s">
        <v>693</v>
      </c>
      <c r="D342" s="2" t="s">
        <v>38</v>
      </c>
      <c r="E342" s="2" t="s">
        <v>39</v>
      </c>
      <c r="F342" s="2">
        <v>501726519</v>
      </c>
      <c r="G342" s="2" t="s">
        <v>291</v>
      </c>
      <c r="H342" s="2" t="s">
        <v>441</v>
      </c>
      <c r="I342" s="2" t="s">
        <v>694</v>
      </c>
      <c r="K342" s="2" t="s">
        <v>340</v>
      </c>
      <c r="L342" s="2" t="s">
        <v>40</v>
      </c>
      <c r="N342" s="2" t="s">
        <v>3219</v>
      </c>
      <c r="O342" s="2" t="s">
        <v>115</v>
      </c>
      <c r="P342" s="2" t="s">
        <v>357</v>
      </c>
      <c r="Q342" s="2" t="s">
        <v>358</v>
      </c>
      <c r="R342" s="2">
        <v>1</v>
      </c>
      <c r="S342" s="2">
        <v>518.29</v>
      </c>
      <c r="T342" s="2">
        <v>119.2067</v>
      </c>
      <c r="U342" s="2">
        <v>637.49669999999992</v>
      </c>
      <c r="V342" s="2">
        <v>246.77</v>
      </c>
      <c r="W342" s="5">
        <f t="shared" si="40"/>
        <v>0.52387659418472288</v>
      </c>
      <c r="Y342" s="2" t="s">
        <v>118</v>
      </c>
      <c r="Z342" s="2" t="s">
        <v>119</v>
      </c>
      <c r="AA342" s="2" t="s">
        <v>120</v>
      </c>
      <c r="AB342" s="2" t="s">
        <v>115</v>
      </c>
      <c r="AE342" s="2">
        <f t="shared" si="37"/>
        <v>0</v>
      </c>
      <c r="AF342" s="2">
        <v>246.77</v>
      </c>
      <c r="AI342" s="2">
        <f t="shared" si="38"/>
        <v>0</v>
      </c>
      <c r="AJ342" s="2">
        <f t="shared" si="39"/>
        <v>271.52</v>
      </c>
      <c r="AK342" s="5">
        <f t="shared" si="36"/>
        <v>0.52387659418472288</v>
      </c>
    </row>
    <row r="343" spans="1:37" x14ac:dyDescent="0.2">
      <c r="A343" s="2">
        <v>2025</v>
      </c>
      <c r="B343" s="2">
        <v>2</v>
      </c>
      <c r="C343" s="2" t="s">
        <v>693</v>
      </c>
      <c r="D343" s="2" t="s">
        <v>38</v>
      </c>
      <c r="E343" s="2" t="s">
        <v>39</v>
      </c>
      <c r="F343" s="2">
        <v>501726519</v>
      </c>
      <c r="G343" s="2" t="s">
        <v>291</v>
      </c>
      <c r="H343" s="2" t="s">
        <v>441</v>
      </c>
      <c r="I343" s="2" t="s">
        <v>694</v>
      </c>
      <c r="K343" s="2" t="s">
        <v>340</v>
      </c>
      <c r="L343" s="2" t="s">
        <v>40</v>
      </c>
      <c r="O343" s="2" t="s">
        <v>188</v>
      </c>
      <c r="P343" s="2" t="s">
        <v>189</v>
      </c>
      <c r="Q343" s="2" t="s">
        <v>190</v>
      </c>
      <c r="R343" s="2">
        <v>1</v>
      </c>
      <c r="S343" s="2">
        <v>50</v>
      </c>
      <c r="T343" s="2">
        <v>11.5</v>
      </c>
      <c r="U343" s="2">
        <v>61.5</v>
      </c>
      <c r="W343" s="5">
        <f t="shared" si="40"/>
        <v>1</v>
      </c>
      <c r="Y343" s="2" t="s">
        <v>118</v>
      </c>
      <c r="Z343" s="2" t="s">
        <v>191</v>
      </c>
      <c r="AE343" s="2">
        <f t="shared" si="37"/>
        <v>0</v>
      </c>
      <c r="AI343" s="2">
        <f t="shared" si="38"/>
        <v>0</v>
      </c>
      <c r="AJ343" s="2">
        <f t="shared" si="39"/>
        <v>50</v>
      </c>
      <c r="AK343" s="5">
        <f t="shared" si="36"/>
        <v>1</v>
      </c>
    </row>
    <row r="344" spans="1:37" x14ac:dyDescent="0.2">
      <c r="A344" s="2">
        <v>2025</v>
      </c>
      <c r="B344" s="2">
        <v>2</v>
      </c>
      <c r="C344" s="2" t="s">
        <v>693</v>
      </c>
      <c r="D344" s="2" t="s">
        <v>38</v>
      </c>
      <c r="E344" s="2" t="s">
        <v>39</v>
      </c>
      <c r="F344" s="2">
        <v>501726519</v>
      </c>
      <c r="G344" s="2" t="s">
        <v>291</v>
      </c>
      <c r="H344" s="2" t="s">
        <v>441</v>
      </c>
      <c r="I344" s="2" t="s">
        <v>694</v>
      </c>
      <c r="K344" s="2" t="s">
        <v>340</v>
      </c>
      <c r="L344" s="2" t="s">
        <v>40</v>
      </c>
      <c r="O344" s="2" t="s">
        <v>188</v>
      </c>
      <c r="P344" s="2" t="s">
        <v>192</v>
      </c>
      <c r="Q344" s="2" t="s">
        <v>191</v>
      </c>
      <c r="R344" s="2">
        <v>1</v>
      </c>
      <c r="S344" s="2">
        <v>50</v>
      </c>
      <c r="T344" s="2">
        <v>11.5</v>
      </c>
      <c r="U344" s="2">
        <v>61.5</v>
      </c>
      <c r="V344" s="2">
        <f>S344*50%</f>
        <v>25</v>
      </c>
      <c r="W344" s="5">
        <f t="shared" si="40"/>
        <v>0.5</v>
      </c>
      <c r="Y344" s="2" t="s">
        <v>118</v>
      </c>
      <c r="Z344" s="2" t="s">
        <v>191</v>
      </c>
      <c r="AE344" s="2">
        <f t="shared" si="37"/>
        <v>0</v>
      </c>
      <c r="AI344" s="2">
        <f t="shared" si="38"/>
        <v>0</v>
      </c>
      <c r="AJ344" s="2">
        <f t="shared" si="39"/>
        <v>25</v>
      </c>
      <c r="AK344" s="5">
        <f t="shared" si="36"/>
        <v>0.5</v>
      </c>
    </row>
    <row r="345" spans="1:37" x14ac:dyDescent="0.2">
      <c r="A345" s="2">
        <v>2025</v>
      </c>
      <c r="B345" s="2">
        <v>2</v>
      </c>
      <c r="C345" s="2" t="s">
        <v>695</v>
      </c>
      <c r="D345" s="2" t="s">
        <v>109</v>
      </c>
      <c r="E345" s="2" t="s">
        <v>39</v>
      </c>
      <c r="F345" s="2">
        <v>503589950</v>
      </c>
      <c r="G345" s="2" t="s">
        <v>41</v>
      </c>
      <c r="H345" s="2" t="s">
        <v>615</v>
      </c>
      <c r="I345" s="2" t="s">
        <v>696</v>
      </c>
      <c r="J345" s="2">
        <v>913036545</v>
      </c>
      <c r="K345" s="2" t="s">
        <v>178</v>
      </c>
      <c r="L345" s="2" t="s">
        <v>41</v>
      </c>
      <c r="N345" s="2" t="s">
        <v>697</v>
      </c>
      <c r="O345" s="2" t="s">
        <v>43</v>
      </c>
      <c r="P345" s="2" t="s">
        <v>211</v>
      </c>
      <c r="Q345" s="2" t="s">
        <v>212</v>
      </c>
      <c r="R345" s="2">
        <v>2</v>
      </c>
      <c r="S345" s="2">
        <v>44.4</v>
      </c>
      <c r="T345" s="2">
        <v>10.212</v>
      </c>
      <c r="U345" s="2">
        <v>54.611999999999988</v>
      </c>
      <c r="V345" s="2">
        <f>12.1*R345</f>
        <v>24.2</v>
      </c>
      <c r="W345" s="5">
        <f t="shared" si="40"/>
        <v>0.45495495495495497</v>
      </c>
      <c r="Y345" s="2" t="s">
        <v>3256</v>
      </c>
      <c r="Z345" s="2" t="s">
        <v>46</v>
      </c>
      <c r="AA345" s="2" t="s">
        <v>47</v>
      </c>
      <c r="AB345" s="2" t="s">
        <v>48</v>
      </c>
      <c r="AE345" s="2">
        <f t="shared" si="37"/>
        <v>0</v>
      </c>
      <c r="AF345" s="2">
        <v>12.1</v>
      </c>
      <c r="AG345" s="2">
        <v>22.2</v>
      </c>
      <c r="AI345" s="2">
        <f t="shared" si="38"/>
        <v>0</v>
      </c>
      <c r="AJ345" s="2">
        <f t="shared" si="39"/>
        <v>20.2</v>
      </c>
      <c r="AK345" s="5">
        <f t="shared" si="36"/>
        <v>0.45495495495495497</v>
      </c>
    </row>
    <row r="346" spans="1:37" x14ac:dyDescent="0.2">
      <c r="A346" s="2">
        <v>2025</v>
      </c>
      <c r="B346" s="2">
        <v>2</v>
      </c>
      <c r="C346" s="2" t="s">
        <v>695</v>
      </c>
      <c r="D346" s="2" t="s">
        <v>109</v>
      </c>
      <c r="E346" s="2" t="s">
        <v>39</v>
      </c>
      <c r="F346" s="2">
        <v>503589950</v>
      </c>
      <c r="G346" s="2" t="s">
        <v>41</v>
      </c>
      <c r="H346" s="2" t="s">
        <v>615</v>
      </c>
      <c r="I346" s="2" t="s">
        <v>696</v>
      </c>
      <c r="J346" s="2">
        <v>913036545</v>
      </c>
      <c r="K346" s="2" t="s">
        <v>178</v>
      </c>
      <c r="L346" s="2" t="s">
        <v>41</v>
      </c>
      <c r="N346" s="2" t="s">
        <v>697</v>
      </c>
      <c r="O346" s="2" t="s">
        <v>43</v>
      </c>
      <c r="P346" s="2" t="s">
        <v>161</v>
      </c>
      <c r="Q346" s="2" t="s">
        <v>162</v>
      </c>
      <c r="R346" s="2">
        <v>4</v>
      </c>
      <c r="S346" s="2">
        <v>31.2</v>
      </c>
      <c r="T346" s="2">
        <v>7.1760000000000002</v>
      </c>
      <c r="U346" s="2">
        <v>38.375999999999998</v>
      </c>
      <c r="V346" s="2">
        <f>3.7358*R346</f>
        <v>14.943199999999999</v>
      </c>
      <c r="W346" s="5">
        <f t="shared" si="40"/>
        <v>0.52105128205128204</v>
      </c>
      <c r="Y346" s="2" t="s">
        <v>3256</v>
      </c>
      <c r="Z346" s="2" t="s">
        <v>46</v>
      </c>
      <c r="AA346" s="2" t="s">
        <v>47</v>
      </c>
      <c r="AB346" s="2" t="s">
        <v>48</v>
      </c>
      <c r="AE346" s="2">
        <f t="shared" si="37"/>
        <v>0</v>
      </c>
      <c r="AF346" s="2">
        <v>3.7357999999999998</v>
      </c>
      <c r="AG346" s="2">
        <v>9</v>
      </c>
      <c r="AI346" s="2">
        <f t="shared" si="38"/>
        <v>0</v>
      </c>
      <c r="AJ346" s="2">
        <f t="shared" si="39"/>
        <v>16.256799999999998</v>
      </c>
      <c r="AK346" s="5">
        <f t="shared" si="36"/>
        <v>0.52105128205128204</v>
      </c>
    </row>
    <row r="347" spans="1:37" x14ac:dyDescent="0.2">
      <c r="A347" s="2">
        <v>2025</v>
      </c>
      <c r="B347" s="2">
        <v>2</v>
      </c>
      <c r="C347" s="2" t="s">
        <v>695</v>
      </c>
      <c r="D347" s="2" t="s">
        <v>109</v>
      </c>
      <c r="E347" s="2" t="s">
        <v>39</v>
      </c>
      <c r="F347" s="2">
        <v>503589950</v>
      </c>
      <c r="G347" s="2" t="s">
        <v>41</v>
      </c>
      <c r="H347" s="2" t="s">
        <v>615</v>
      </c>
      <c r="I347" s="2" t="s">
        <v>696</v>
      </c>
      <c r="J347" s="2">
        <v>913036545</v>
      </c>
      <c r="K347" s="2" t="s">
        <v>178</v>
      </c>
      <c r="L347" s="2" t="s">
        <v>41</v>
      </c>
      <c r="N347" s="2" t="s">
        <v>698</v>
      </c>
      <c r="O347" s="2" t="s">
        <v>43</v>
      </c>
      <c r="P347" s="2" t="s">
        <v>64</v>
      </c>
      <c r="Q347" s="2" t="s">
        <v>65</v>
      </c>
      <c r="R347" s="2">
        <v>20</v>
      </c>
      <c r="S347" s="2">
        <v>36</v>
      </c>
      <c r="T347" s="2">
        <v>8.2800000000000011</v>
      </c>
      <c r="U347" s="2">
        <v>44.28</v>
      </c>
      <c r="V347" s="2">
        <f>0.8561*R347</f>
        <v>17.122</v>
      </c>
      <c r="W347" s="5">
        <f t="shared" si="40"/>
        <v>0.5243888888888889</v>
      </c>
      <c r="Y347" s="2" t="s">
        <v>3256</v>
      </c>
      <c r="Z347" s="2" t="s">
        <v>46</v>
      </c>
      <c r="AA347" s="2" t="s">
        <v>61</v>
      </c>
      <c r="AB347" s="2" t="s">
        <v>58</v>
      </c>
      <c r="AE347" s="2">
        <f t="shared" si="37"/>
        <v>0</v>
      </c>
      <c r="AF347" s="2">
        <v>0.85609999999999997</v>
      </c>
      <c r="AG347" s="2">
        <v>1.8</v>
      </c>
      <c r="AI347" s="2">
        <f t="shared" si="38"/>
        <v>0</v>
      </c>
      <c r="AJ347" s="2">
        <f t="shared" si="39"/>
        <v>18.878</v>
      </c>
      <c r="AK347" s="5">
        <f t="shared" si="36"/>
        <v>0.5243888888888889</v>
      </c>
    </row>
    <row r="348" spans="1:37" x14ac:dyDescent="0.2">
      <c r="A348" s="2">
        <v>2025</v>
      </c>
      <c r="B348" s="2">
        <v>2</v>
      </c>
      <c r="C348" s="2" t="s">
        <v>699</v>
      </c>
      <c r="D348" s="2" t="s">
        <v>38</v>
      </c>
      <c r="E348" s="2" t="s">
        <v>39</v>
      </c>
      <c r="F348" s="2">
        <v>508574358</v>
      </c>
      <c r="G348" s="2" t="s">
        <v>41</v>
      </c>
      <c r="H348" s="2" t="s">
        <v>700</v>
      </c>
      <c r="I348" s="2" t="s">
        <v>701</v>
      </c>
      <c r="J348" s="2">
        <v>917295518</v>
      </c>
      <c r="K348" s="2" t="s">
        <v>178</v>
      </c>
      <c r="L348" s="2" t="s">
        <v>41</v>
      </c>
      <c r="O348" s="2" t="s">
        <v>43</v>
      </c>
      <c r="P348" s="2" t="s">
        <v>161</v>
      </c>
      <c r="Q348" s="2" t="s">
        <v>162</v>
      </c>
      <c r="R348" s="2">
        <v>1</v>
      </c>
      <c r="S348" s="2">
        <v>7.8</v>
      </c>
      <c r="T348" s="2">
        <v>1.794</v>
      </c>
      <c r="U348" s="2">
        <v>9.5939999999999994</v>
      </c>
      <c r="V348" s="2">
        <f>3.7358*R348</f>
        <v>3.7357999999999998</v>
      </c>
      <c r="W348" s="5">
        <f t="shared" si="40"/>
        <v>0.52105128205128204</v>
      </c>
      <c r="Y348" s="2" t="s">
        <v>3256</v>
      </c>
      <c r="Z348" s="2" t="s">
        <v>46</v>
      </c>
      <c r="AA348" s="2" t="s">
        <v>47</v>
      </c>
      <c r="AB348" s="2" t="s">
        <v>48</v>
      </c>
      <c r="AE348" s="2">
        <f t="shared" si="37"/>
        <v>0</v>
      </c>
      <c r="AF348" s="2">
        <v>3.7357999999999998</v>
      </c>
      <c r="AG348" s="2">
        <v>9</v>
      </c>
      <c r="AI348" s="2">
        <f t="shared" si="38"/>
        <v>0</v>
      </c>
      <c r="AJ348" s="2">
        <f t="shared" si="39"/>
        <v>4.0641999999999996</v>
      </c>
      <c r="AK348" s="5">
        <f t="shared" si="36"/>
        <v>0.52105128205128204</v>
      </c>
    </row>
    <row r="349" spans="1:37" x14ac:dyDescent="0.2">
      <c r="A349" s="2">
        <v>2025</v>
      </c>
      <c r="B349" s="2">
        <v>2</v>
      </c>
      <c r="C349" s="2" t="s">
        <v>699</v>
      </c>
      <c r="D349" s="2" t="s">
        <v>38</v>
      </c>
      <c r="E349" s="2" t="s">
        <v>39</v>
      </c>
      <c r="F349" s="2">
        <v>508574358</v>
      </c>
      <c r="G349" s="2" t="s">
        <v>41</v>
      </c>
      <c r="H349" s="2" t="s">
        <v>700</v>
      </c>
      <c r="I349" s="2" t="s">
        <v>701</v>
      </c>
      <c r="J349" s="2">
        <v>917295518</v>
      </c>
      <c r="K349" s="2" t="s">
        <v>178</v>
      </c>
      <c r="L349" s="2" t="s">
        <v>41</v>
      </c>
      <c r="O349" s="2" t="s">
        <v>43</v>
      </c>
      <c r="P349" s="2" t="s">
        <v>235</v>
      </c>
      <c r="Q349" s="2" t="s">
        <v>236</v>
      </c>
      <c r="R349" s="2">
        <v>1</v>
      </c>
      <c r="S349" s="2">
        <v>13.2</v>
      </c>
      <c r="T349" s="2">
        <v>3.036</v>
      </c>
      <c r="U349" s="2">
        <v>16.236000000000001</v>
      </c>
      <c r="V349" s="2">
        <v>7.2217000000000002</v>
      </c>
      <c r="W349" s="5">
        <f t="shared" si="40"/>
        <v>0.45290151515151511</v>
      </c>
      <c r="Y349" s="2" t="s">
        <v>3256</v>
      </c>
      <c r="Z349" s="2" t="s">
        <v>46</v>
      </c>
      <c r="AA349" s="2" t="s">
        <v>57</v>
      </c>
      <c r="AB349" s="2" t="s">
        <v>58</v>
      </c>
      <c r="AE349" s="2">
        <f t="shared" si="37"/>
        <v>0</v>
      </c>
      <c r="AF349" s="2">
        <v>7.2217000000000002</v>
      </c>
      <c r="AG349" s="2">
        <v>14.4</v>
      </c>
      <c r="AI349" s="2">
        <f t="shared" si="38"/>
        <v>0</v>
      </c>
      <c r="AJ349" s="2">
        <f t="shared" si="39"/>
        <v>5.9782999999999991</v>
      </c>
      <c r="AK349" s="5">
        <f t="shared" si="36"/>
        <v>0.45290151515151511</v>
      </c>
    </row>
    <row r="350" spans="1:37" x14ac:dyDescent="0.2">
      <c r="A350" s="2">
        <v>2025</v>
      </c>
      <c r="B350" s="2">
        <v>2</v>
      </c>
      <c r="C350" s="2" t="s">
        <v>699</v>
      </c>
      <c r="D350" s="2" t="s">
        <v>38</v>
      </c>
      <c r="E350" s="2" t="s">
        <v>39</v>
      </c>
      <c r="F350" s="2">
        <v>508574358</v>
      </c>
      <c r="G350" s="2" t="s">
        <v>41</v>
      </c>
      <c r="H350" s="2" t="s">
        <v>700</v>
      </c>
      <c r="I350" s="2" t="s">
        <v>701</v>
      </c>
      <c r="J350" s="2">
        <v>917295518</v>
      </c>
      <c r="K350" s="2" t="s">
        <v>178</v>
      </c>
      <c r="L350" s="2" t="s">
        <v>41</v>
      </c>
      <c r="O350" s="2" t="s">
        <v>43</v>
      </c>
      <c r="P350" s="2" t="s">
        <v>239</v>
      </c>
      <c r="Q350" s="2" t="s">
        <v>240</v>
      </c>
      <c r="R350" s="2">
        <v>1</v>
      </c>
      <c r="S350" s="2">
        <v>19.8</v>
      </c>
      <c r="T350" s="2">
        <v>4.5540000000000003</v>
      </c>
      <c r="U350" s="2">
        <v>24.353999999999999</v>
      </c>
      <c r="W350" s="5">
        <f t="shared" si="40"/>
        <v>1</v>
      </c>
      <c r="Y350" s="2" t="s">
        <v>3256</v>
      </c>
      <c r="Z350" s="2" t="s">
        <v>46</v>
      </c>
      <c r="AA350" s="2" t="s">
        <v>57</v>
      </c>
      <c r="AB350" s="2" t="s">
        <v>58</v>
      </c>
      <c r="AE350" s="2">
        <f t="shared" si="37"/>
        <v>0</v>
      </c>
      <c r="AI350" s="2">
        <f t="shared" si="38"/>
        <v>0</v>
      </c>
      <c r="AJ350" s="2">
        <f t="shared" si="39"/>
        <v>19.8</v>
      </c>
      <c r="AK350" s="5">
        <f t="shared" si="36"/>
        <v>1</v>
      </c>
    </row>
    <row r="351" spans="1:37" x14ac:dyDescent="0.2">
      <c r="A351" s="2">
        <v>2025</v>
      </c>
      <c r="B351" s="2">
        <v>2</v>
      </c>
      <c r="C351" s="2" t="s">
        <v>699</v>
      </c>
      <c r="D351" s="2" t="s">
        <v>38</v>
      </c>
      <c r="E351" s="2" t="s">
        <v>39</v>
      </c>
      <c r="F351" s="2">
        <v>508574358</v>
      </c>
      <c r="G351" s="2" t="s">
        <v>41</v>
      </c>
      <c r="H351" s="2" t="s">
        <v>700</v>
      </c>
      <c r="I351" s="2" t="s">
        <v>701</v>
      </c>
      <c r="J351" s="2">
        <v>917295518</v>
      </c>
      <c r="K351" s="2" t="s">
        <v>178</v>
      </c>
      <c r="L351" s="2" t="s">
        <v>41</v>
      </c>
      <c r="O351" s="2" t="s">
        <v>43</v>
      </c>
      <c r="P351" s="2" t="s">
        <v>241</v>
      </c>
      <c r="Q351" s="2" t="s">
        <v>242</v>
      </c>
      <c r="R351" s="2">
        <v>1</v>
      </c>
      <c r="S351" s="2">
        <v>24</v>
      </c>
      <c r="T351" s="2">
        <v>5.52</v>
      </c>
      <c r="U351" s="2">
        <v>29.52</v>
      </c>
      <c r="W351" s="5">
        <f t="shared" si="40"/>
        <v>1</v>
      </c>
      <c r="Y351" s="2" t="s">
        <v>3256</v>
      </c>
      <c r="Z351" s="2" t="s">
        <v>46</v>
      </c>
      <c r="AA351" s="2" t="s">
        <v>57</v>
      </c>
      <c r="AB351" s="2" t="s">
        <v>58</v>
      </c>
      <c r="AE351" s="2">
        <f t="shared" si="37"/>
        <v>0</v>
      </c>
      <c r="AI351" s="2">
        <f t="shared" si="38"/>
        <v>0</v>
      </c>
      <c r="AJ351" s="2">
        <f t="shared" si="39"/>
        <v>24</v>
      </c>
      <c r="AK351" s="5">
        <f t="shared" si="36"/>
        <v>1</v>
      </c>
    </row>
    <row r="352" spans="1:37" x14ac:dyDescent="0.2">
      <c r="A352" s="2">
        <v>2025</v>
      </c>
      <c r="B352" s="2">
        <v>2</v>
      </c>
      <c r="C352" s="2" t="s">
        <v>699</v>
      </c>
      <c r="D352" s="2" t="s">
        <v>38</v>
      </c>
      <c r="E352" s="2" t="s">
        <v>39</v>
      </c>
      <c r="F352" s="2">
        <v>508574358</v>
      </c>
      <c r="G352" s="2" t="s">
        <v>41</v>
      </c>
      <c r="H352" s="2" t="s">
        <v>700</v>
      </c>
      <c r="I352" s="2" t="s">
        <v>701</v>
      </c>
      <c r="J352" s="2">
        <v>917295518</v>
      </c>
      <c r="K352" s="2" t="s">
        <v>178</v>
      </c>
      <c r="L352" s="2" t="s">
        <v>41</v>
      </c>
      <c r="O352" s="2" t="s">
        <v>43</v>
      </c>
      <c r="P352" s="2" t="s">
        <v>243</v>
      </c>
      <c r="Q352" s="2" t="s">
        <v>244</v>
      </c>
      <c r="R352" s="2">
        <v>1</v>
      </c>
      <c r="S352" s="2">
        <v>28.8</v>
      </c>
      <c r="T352" s="2">
        <v>6.6240000000000014</v>
      </c>
      <c r="U352" s="2">
        <v>35.423999999999999</v>
      </c>
      <c r="W352" s="5">
        <f t="shared" si="40"/>
        <v>1</v>
      </c>
      <c r="Y352" s="2" t="s">
        <v>3256</v>
      </c>
      <c r="Z352" s="2" t="s">
        <v>46</v>
      </c>
      <c r="AA352" s="2" t="s">
        <v>57</v>
      </c>
      <c r="AB352" s="2" t="s">
        <v>58</v>
      </c>
      <c r="AE352" s="2">
        <f t="shared" si="37"/>
        <v>0</v>
      </c>
      <c r="AI352" s="2">
        <f t="shared" si="38"/>
        <v>0</v>
      </c>
      <c r="AJ352" s="2">
        <f t="shared" si="39"/>
        <v>28.8</v>
      </c>
      <c r="AK352" s="5">
        <f t="shared" si="36"/>
        <v>1</v>
      </c>
    </row>
    <row r="353" spans="1:37" x14ac:dyDescent="0.2">
      <c r="A353" s="2">
        <v>2025</v>
      </c>
      <c r="B353" s="2">
        <v>2</v>
      </c>
      <c r="C353" s="2" t="s">
        <v>699</v>
      </c>
      <c r="D353" s="2" t="s">
        <v>38</v>
      </c>
      <c r="E353" s="2" t="s">
        <v>39</v>
      </c>
      <c r="F353" s="2">
        <v>508574358</v>
      </c>
      <c r="G353" s="2" t="s">
        <v>41</v>
      </c>
      <c r="H353" s="2" t="s">
        <v>700</v>
      </c>
      <c r="I353" s="2" t="s">
        <v>701</v>
      </c>
      <c r="J353" s="2">
        <v>917295518</v>
      </c>
      <c r="K353" s="2" t="s">
        <v>178</v>
      </c>
      <c r="L353" s="2" t="s">
        <v>41</v>
      </c>
      <c r="O353" s="2" t="s">
        <v>43</v>
      </c>
      <c r="P353" s="2" t="s">
        <v>245</v>
      </c>
      <c r="Q353" s="2" t="s">
        <v>246</v>
      </c>
      <c r="R353" s="2">
        <v>1</v>
      </c>
      <c r="S353" s="2">
        <v>16.8</v>
      </c>
      <c r="T353" s="2">
        <v>3.8639999999999999</v>
      </c>
      <c r="U353" s="2">
        <v>20.664000000000001</v>
      </c>
      <c r="W353" s="5">
        <f t="shared" si="40"/>
        <v>1</v>
      </c>
      <c r="Y353" s="2" t="s">
        <v>3256</v>
      </c>
      <c r="Z353" s="2" t="s">
        <v>46</v>
      </c>
      <c r="AA353" s="2" t="s">
        <v>57</v>
      </c>
      <c r="AB353" s="2" t="s">
        <v>58</v>
      </c>
      <c r="AE353" s="2">
        <f t="shared" si="37"/>
        <v>0</v>
      </c>
      <c r="AI353" s="2">
        <f t="shared" si="38"/>
        <v>0</v>
      </c>
      <c r="AJ353" s="2">
        <f t="shared" si="39"/>
        <v>16.8</v>
      </c>
      <c r="AK353" s="5">
        <f t="shared" si="36"/>
        <v>1</v>
      </c>
    </row>
    <row r="354" spans="1:37" x14ac:dyDescent="0.2">
      <c r="A354" s="2">
        <v>2025</v>
      </c>
      <c r="B354" s="2">
        <v>2</v>
      </c>
      <c r="C354" s="2" t="s">
        <v>699</v>
      </c>
      <c r="D354" s="2" t="s">
        <v>38</v>
      </c>
      <c r="E354" s="2" t="s">
        <v>39</v>
      </c>
      <c r="F354" s="2">
        <v>508574358</v>
      </c>
      <c r="G354" s="2" t="s">
        <v>41</v>
      </c>
      <c r="H354" s="2" t="s">
        <v>700</v>
      </c>
      <c r="I354" s="2" t="s">
        <v>701</v>
      </c>
      <c r="J354" s="2">
        <v>917295518</v>
      </c>
      <c r="K354" s="2" t="s">
        <v>178</v>
      </c>
      <c r="L354" s="2" t="s">
        <v>41</v>
      </c>
      <c r="O354" s="2" t="s">
        <v>43</v>
      </c>
      <c r="P354" s="2" t="s">
        <v>247</v>
      </c>
      <c r="Q354" s="2" t="s">
        <v>248</v>
      </c>
      <c r="R354" s="2">
        <v>1</v>
      </c>
      <c r="S354" s="2">
        <v>19.2</v>
      </c>
      <c r="T354" s="2">
        <v>4.4160000000000004</v>
      </c>
      <c r="U354" s="2">
        <v>23.616</v>
      </c>
      <c r="W354" s="5">
        <f t="shared" si="40"/>
        <v>1</v>
      </c>
      <c r="Y354" s="2" t="s">
        <v>3256</v>
      </c>
      <c r="Z354" s="2" t="s">
        <v>46</v>
      </c>
      <c r="AA354" s="2" t="s">
        <v>57</v>
      </c>
      <c r="AB354" s="2" t="s">
        <v>58</v>
      </c>
      <c r="AE354" s="2">
        <f t="shared" si="37"/>
        <v>0</v>
      </c>
      <c r="AI354" s="2">
        <f t="shared" si="38"/>
        <v>0</v>
      </c>
      <c r="AJ354" s="2">
        <f t="shared" si="39"/>
        <v>19.2</v>
      </c>
      <c r="AK354" s="5">
        <f t="shared" si="36"/>
        <v>1</v>
      </c>
    </row>
    <row r="355" spans="1:37" x14ac:dyDescent="0.2">
      <c r="A355" s="2">
        <v>2025</v>
      </c>
      <c r="B355" s="2">
        <v>2</v>
      </c>
      <c r="C355" s="2" t="s">
        <v>699</v>
      </c>
      <c r="D355" s="2" t="s">
        <v>38</v>
      </c>
      <c r="E355" s="2" t="s">
        <v>39</v>
      </c>
      <c r="F355" s="2">
        <v>508574358</v>
      </c>
      <c r="G355" s="2" t="s">
        <v>41</v>
      </c>
      <c r="H355" s="2" t="s">
        <v>700</v>
      </c>
      <c r="I355" s="2" t="s">
        <v>701</v>
      </c>
      <c r="J355" s="2">
        <v>917295518</v>
      </c>
      <c r="K355" s="2" t="s">
        <v>178</v>
      </c>
      <c r="L355" s="2" t="s">
        <v>41</v>
      </c>
      <c r="O355" s="2" t="s">
        <v>43</v>
      </c>
      <c r="P355" s="2" t="s">
        <v>286</v>
      </c>
      <c r="Q355" s="2" t="s">
        <v>287</v>
      </c>
      <c r="R355" s="2">
        <v>1</v>
      </c>
      <c r="S355" s="2">
        <v>22.2</v>
      </c>
      <c r="T355" s="2">
        <v>5.1059999999999999</v>
      </c>
      <c r="U355" s="2">
        <v>27.306000000000001</v>
      </c>
      <c r="W355" s="5">
        <f t="shared" si="40"/>
        <v>1</v>
      </c>
      <c r="Y355" s="2" t="s">
        <v>3256</v>
      </c>
      <c r="Z355" s="2" t="s">
        <v>46</v>
      </c>
      <c r="AA355" s="2" t="s">
        <v>57</v>
      </c>
      <c r="AB355" s="2" t="s">
        <v>58</v>
      </c>
      <c r="AE355" s="2">
        <f t="shared" si="37"/>
        <v>0</v>
      </c>
      <c r="AI355" s="2">
        <f t="shared" si="38"/>
        <v>0</v>
      </c>
      <c r="AJ355" s="2">
        <f t="shared" si="39"/>
        <v>22.2</v>
      </c>
      <c r="AK355" s="5">
        <f t="shared" si="36"/>
        <v>1</v>
      </c>
    </row>
    <row r="356" spans="1:37" x14ac:dyDescent="0.2">
      <c r="A356" s="2">
        <v>2025</v>
      </c>
      <c r="B356" s="2">
        <v>2</v>
      </c>
      <c r="C356" s="2" t="s">
        <v>699</v>
      </c>
      <c r="D356" s="2" t="s">
        <v>38</v>
      </c>
      <c r="E356" s="2" t="s">
        <v>39</v>
      </c>
      <c r="F356" s="2">
        <v>508574358</v>
      </c>
      <c r="G356" s="2" t="s">
        <v>41</v>
      </c>
      <c r="H356" s="2" t="s">
        <v>700</v>
      </c>
      <c r="I356" s="2" t="s">
        <v>701</v>
      </c>
      <c r="J356" s="2">
        <v>917295518</v>
      </c>
      <c r="K356" s="2" t="s">
        <v>178</v>
      </c>
      <c r="L356" s="2" t="s">
        <v>41</v>
      </c>
      <c r="O356" s="2" t="s">
        <v>43</v>
      </c>
      <c r="P356" s="2" t="s">
        <v>55</v>
      </c>
      <c r="Q356" s="2" t="s">
        <v>56</v>
      </c>
      <c r="R356" s="2">
        <v>1</v>
      </c>
      <c r="S356" s="2">
        <v>19</v>
      </c>
      <c r="T356" s="2">
        <v>4.37</v>
      </c>
      <c r="U356" s="2">
        <v>23.37</v>
      </c>
      <c r="V356" s="2">
        <f>10.6*R356</f>
        <v>10.6</v>
      </c>
      <c r="W356" s="5">
        <f t="shared" si="40"/>
        <v>0.44210526315789478</v>
      </c>
      <c r="Y356" s="2" t="s">
        <v>3256</v>
      </c>
      <c r="Z356" s="2" t="s">
        <v>46</v>
      </c>
      <c r="AA356" s="2" t="s">
        <v>57</v>
      </c>
      <c r="AB356" s="2" t="s">
        <v>58</v>
      </c>
      <c r="AE356" s="2">
        <f t="shared" si="37"/>
        <v>0</v>
      </c>
      <c r="AF356" s="2">
        <v>10.6</v>
      </c>
      <c r="AG356" s="2">
        <v>18</v>
      </c>
      <c r="AI356" s="2">
        <f t="shared" si="38"/>
        <v>0</v>
      </c>
      <c r="AJ356" s="2">
        <f t="shared" si="39"/>
        <v>8.4</v>
      </c>
      <c r="AK356" s="5">
        <f t="shared" si="36"/>
        <v>0.44210526315789478</v>
      </c>
    </row>
    <row r="357" spans="1:37" x14ac:dyDescent="0.2">
      <c r="A357" s="2">
        <v>2025</v>
      </c>
      <c r="B357" s="2">
        <v>2</v>
      </c>
      <c r="C357" s="2" t="s">
        <v>699</v>
      </c>
      <c r="D357" s="2" t="s">
        <v>38</v>
      </c>
      <c r="E357" s="2" t="s">
        <v>39</v>
      </c>
      <c r="F357" s="2">
        <v>508574358</v>
      </c>
      <c r="G357" s="2" t="s">
        <v>41</v>
      </c>
      <c r="H357" s="2" t="s">
        <v>700</v>
      </c>
      <c r="I357" s="2" t="s">
        <v>701</v>
      </c>
      <c r="J357" s="2">
        <v>917295518</v>
      </c>
      <c r="K357" s="2" t="s">
        <v>178</v>
      </c>
      <c r="L357" s="2" t="s">
        <v>41</v>
      </c>
      <c r="N357" s="2" t="s">
        <v>702</v>
      </c>
      <c r="O357" s="2" t="s">
        <v>43</v>
      </c>
      <c r="P357" s="2" t="s">
        <v>557</v>
      </c>
      <c r="Q357" s="2" t="s">
        <v>558</v>
      </c>
      <c r="R357" s="2">
        <v>1</v>
      </c>
      <c r="S357" s="2">
        <v>33</v>
      </c>
      <c r="T357" s="2">
        <v>7.5900000000000007</v>
      </c>
      <c r="U357" s="2">
        <v>40.590000000000003</v>
      </c>
      <c r="V357" s="2">
        <v>15.494999999999999</v>
      </c>
      <c r="W357" s="5">
        <f t="shared" si="40"/>
        <v>0.53045454545454551</v>
      </c>
      <c r="Y357" s="2" t="s">
        <v>3256</v>
      </c>
      <c r="Z357" s="2" t="s">
        <v>46</v>
      </c>
      <c r="AA357" s="2" t="s">
        <v>47</v>
      </c>
      <c r="AB357" s="2" t="s">
        <v>48</v>
      </c>
      <c r="AE357" s="2">
        <f t="shared" si="37"/>
        <v>0</v>
      </c>
      <c r="AF357" s="2">
        <v>15.494999999999999</v>
      </c>
      <c r="AG357" s="2">
        <v>36</v>
      </c>
      <c r="AI357" s="2">
        <f t="shared" si="38"/>
        <v>0</v>
      </c>
      <c r="AJ357" s="2">
        <f t="shared" si="39"/>
        <v>17.505000000000003</v>
      </c>
      <c r="AK357" s="5">
        <f t="shared" si="36"/>
        <v>0.53045454545454551</v>
      </c>
    </row>
    <row r="358" spans="1:37" x14ac:dyDescent="0.2">
      <c r="A358" s="2">
        <v>2025</v>
      </c>
      <c r="B358" s="2">
        <v>2</v>
      </c>
      <c r="C358" s="2" t="s">
        <v>699</v>
      </c>
      <c r="D358" s="2" t="s">
        <v>38</v>
      </c>
      <c r="E358" s="2" t="s">
        <v>39</v>
      </c>
      <c r="F358" s="2">
        <v>508574358</v>
      </c>
      <c r="G358" s="2" t="s">
        <v>41</v>
      </c>
      <c r="H358" s="2" t="s">
        <v>700</v>
      </c>
      <c r="I358" s="2" t="s">
        <v>701</v>
      </c>
      <c r="J358" s="2">
        <v>917295518</v>
      </c>
      <c r="K358" s="2" t="s">
        <v>178</v>
      </c>
      <c r="L358" s="2" t="s">
        <v>41</v>
      </c>
      <c r="O358" s="2" t="s">
        <v>43</v>
      </c>
      <c r="P358" s="2" t="s">
        <v>165</v>
      </c>
      <c r="Q358" s="2" t="s">
        <v>166</v>
      </c>
      <c r="R358" s="2">
        <v>1</v>
      </c>
      <c r="S358" s="2">
        <v>15</v>
      </c>
      <c r="T358" s="2">
        <v>3.45</v>
      </c>
      <c r="U358" s="2">
        <v>18.45</v>
      </c>
      <c r="V358" s="2">
        <f>7.9612*R358</f>
        <v>7.9611999999999998</v>
      </c>
      <c r="W358" s="5">
        <f t="shared" ref="W358:W389" si="41">(S358-V358)/S358</f>
        <v>0.46925333333333336</v>
      </c>
      <c r="Y358" s="2" t="s">
        <v>3256</v>
      </c>
      <c r="Z358" s="2" t="s">
        <v>46</v>
      </c>
      <c r="AA358" s="2" t="s">
        <v>68</v>
      </c>
      <c r="AB358" s="2" t="s">
        <v>58</v>
      </c>
      <c r="AE358" s="2">
        <f t="shared" si="37"/>
        <v>0</v>
      </c>
      <c r="AF358" s="2">
        <v>7.9611999999999998</v>
      </c>
      <c r="AG358" s="2">
        <v>14.4</v>
      </c>
      <c r="AI358" s="2">
        <f t="shared" si="38"/>
        <v>0</v>
      </c>
      <c r="AJ358" s="2">
        <f t="shared" si="39"/>
        <v>7.0388000000000002</v>
      </c>
      <c r="AK358" s="5">
        <f t="shared" ref="AK358:AK421" si="42">(S358-V358)/S358</f>
        <v>0.46925333333333336</v>
      </c>
    </row>
    <row r="359" spans="1:37" x14ac:dyDescent="0.2">
      <c r="A359" s="2">
        <v>2025</v>
      </c>
      <c r="B359" s="2">
        <v>2</v>
      </c>
      <c r="C359" s="2" t="s">
        <v>303</v>
      </c>
      <c r="N359" s="2" t="s">
        <v>703</v>
      </c>
      <c r="O359" s="2" t="s">
        <v>704</v>
      </c>
      <c r="P359" s="2" t="s">
        <v>705</v>
      </c>
      <c r="Q359" s="2" t="s">
        <v>706</v>
      </c>
      <c r="R359" s="2">
        <v>1</v>
      </c>
      <c r="S359" s="2">
        <v>0</v>
      </c>
      <c r="T359" s="2">
        <v>0</v>
      </c>
      <c r="U359" s="2">
        <v>0</v>
      </c>
      <c r="W359" s="5" t="e">
        <f t="shared" si="41"/>
        <v>#DIV/0!</v>
      </c>
      <c r="Y359" s="2" t="s">
        <v>105</v>
      </c>
      <c r="Z359" s="2" t="s">
        <v>583</v>
      </c>
      <c r="AA359" s="2" t="s">
        <v>707</v>
      </c>
      <c r="AB359" s="2" t="s">
        <v>704</v>
      </c>
      <c r="AE359" s="2">
        <f t="shared" si="37"/>
        <v>0</v>
      </c>
      <c r="AI359" s="2">
        <f t="shared" si="38"/>
        <v>0</v>
      </c>
      <c r="AJ359" s="2">
        <f t="shared" si="39"/>
        <v>0</v>
      </c>
      <c r="AK359" s="5" t="e">
        <f t="shared" si="42"/>
        <v>#DIV/0!</v>
      </c>
    </row>
    <row r="360" spans="1:37" x14ac:dyDescent="0.2">
      <c r="A360" s="2">
        <v>2025</v>
      </c>
      <c r="B360" s="2">
        <v>2</v>
      </c>
      <c r="C360" s="2" t="s">
        <v>303</v>
      </c>
      <c r="O360" s="2" t="s">
        <v>704</v>
      </c>
      <c r="P360" s="2" t="s">
        <v>708</v>
      </c>
      <c r="Q360" s="2" t="s">
        <v>709</v>
      </c>
      <c r="R360" s="2">
        <v>1</v>
      </c>
      <c r="S360" s="2">
        <v>3060</v>
      </c>
      <c r="T360" s="2">
        <v>703.80000000000007</v>
      </c>
      <c r="U360" s="2">
        <v>3763.8</v>
      </c>
      <c r="V360" s="2">
        <v>2023.2</v>
      </c>
      <c r="W360" s="5">
        <f t="shared" si="41"/>
        <v>0.33882352941176469</v>
      </c>
      <c r="Y360" s="2" t="s">
        <v>105</v>
      </c>
      <c r="Z360" s="2" t="s">
        <v>151</v>
      </c>
      <c r="AA360" s="2" t="s">
        <v>152</v>
      </c>
      <c r="AB360" s="2" t="s">
        <v>704</v>
      </c>
      <c r="AE360" s="2">
        <f t="shared" si="37"/>
        <v>0</v>
      </c>
      <c r="AI360" s="2">
        <f t="shared" si="38"/>
        <v>0</v>
      </c>
      <c r="AJ360" s="2">
        <f t="shared" si="39"/>
        <v>1036.8</v>
      </c>
      <c r="AK360" s="5">
        <f t="shared" si="42"/>
        <v>0.33882352941176469</v>
      </c>
    </row>
    <row r="361" spans="1:37" x14ac:dyDescent="0.2">
      <c r="A361" s="2">
        <v>2025</v>
      </c>
      <c r="B361" s="2">
        <v>2</v>
      </c>
      <c r="C361" s="2" t="s">
        <v>303</v>
      </c>
      <c r="O361" s="2" t="s">
        <v>704</v>
      </c>
      <c r="P361" s="2" t="s">
        <v>710</v>
      </c>
      <c r="Q361" s="2" t="s">
        <v>711</v>
      </c>
      <c r="R361" s="2">
        <v>1</v>
      </c>
      <c r="S361" s="2">
        <v>2252.5</v>
      </c>
      <c r="T361" s="2">
        <v>518.07500000000005</v>
      </c>
      <c r="U361" s="2">
        <v>2770.5749999999998</v>
      </c>
      <c r="V361" s="2">
        <v>1229.3399999999999</v>
      </c>
      <c r="W361" s="5">
        <f t="shared" si="41"/>
        <v>0.45423307436182025</v>
      </c>
      <c r="Y361" s="2" t="s">
        <v>105</v>
      </c>
      <c r="Z361" s="2" t="s">
        <v>621</v>
      </c>
      <c r="AA361" s="2" t="s">
        <v>152</v>
      </c>
      <c r="AB361" s="2" t="s">
        <v>704</v>
      </c>
      <c r="AE361" s="2">
        <f t="shared" si="37"/>
        <v>0</v>
      </c>
      <c r="AI361" s="2">
        <f t="shared" si="38"/>
        <v>0</v>
      </c>
      <c r="AJ361" s="2">
        <f t="shared" si="39"/>
        <v>1023.1600000000001</v>
      </c>
      <c r="AK361" s="5">
        <f t="shared" si="42"/>
        <v>0.45423307436182025</v>
      </c>
    </row>
    <row r="362" spans="1:37" x14ac:dyDescent="0.2">
      <c r="A362" s="2">
        <v>2025</v>
      </c>
      <c r="B362" s="2">
        <v>2</v>
      </c>
      <c r="C362" s="2" t="s">
        <v>712</v>
      </c>
      <c r="D362" s="2" t="s">
        <v>184</v>
      </c>
      <c r="F362" s="2">
        <v>500038996</v>
      </c>
      <c r="G362" s="2" t="s">
        <v>110</v>
      </c>
      <c r="H362" s="2" t="s">
        <v>713</v>
      </c>
      <c r="I362" s="2" t="s">
        <v>714</v>
      </c>
      <c r="J362" s="2">
        <v>913640179</v>
      </c>
      <c r="K362" s="2" t="s">
        <v>134</v>
      </c>
      <c r="L362" s="2" t="s">
        <v>110</v>
      </c>
      <c r="O362" s="2" t="s">
        <v>115</v>
      </c>
      <c r="P362" s="2" t="s">
        <v>715</v>
      </c>
      <c r="Q362" s="2" t="s">
        <v>716</v>
      </c>
      <c r="R362" s="2">
        <v>1</v>
      </c>
      <c r="S362" s="2">
        <v>1600</v>
      </c>
      <c r="T362" s="2">
        <v>368</v>
      </c>
      <c r="U362" s="2">
        <v>1968</v>
      </c>
      <c r="W362" s="5">
        <f t="shared" si="41"/>
        <v>1</v>
      </c>
      <c r="AE362" s="2">
        <f t="shared" si="37"/>
        <v>0</v>
      </c>
      <c r="AI362" s="2">
        <f t="shared" si="38"/>
        <v>0</v>
      </c>
      <c r="AJ362" s="2">
        <f t="shared" si="39"/>
        <v>1600</v>
      </c>
      <c r="AK362" s="5">
        <f t="shared" si="42"/>
        <v>1</v>
      </c>
    </row>
    <row r="363" spans="1:37" x14ac:dyDescent="0.2">
      <c r="A363" s="2">
        <v>2025</v>
      </c>
      <c r="B363" s="2">
        <v>2</v>
      </c>
      <c r="C363" s="2" t="s">
        <v>712</v>
      </c>
      <c r="D363" s="2" t="s">
        <v>184</v>
      </c>
      <c r="F363" s="2">
        <v>500038996</v>
      </c>
      <c r="G363" s="2" t="s">
        <v>110</v>
      </c>
      <c r="H363" s="2" t="s">
        <v>713</v>
      </c>
      <c r="I363" s="2" t="s">
        <v>714</v>
      </c>
      <c r="J363" s="2">
        <v>913640179</v>
      </c>
      <c r="K363" s="2" t="s">
        <v>134</v>
      </c>
      <c r="L363" s="2" t="s">
        <v>110</v>
      </c>
      <c r="O363" s="2" t="s">
        <v>115</v>
      </c>
      <c r="P363" s="2" t="s">
        <v>717</v>
      </c>
      <c r="Q363" s="2" t="s">
        <v>718</v>
      </c>
      <c r="R363" s="2">
        <v>1</v>
      </c>
      <c r="S363" s="2">
        <v>5500</v>
      </c>
      <c r="T363" s="2">
        <v>1265</v>
      </c>
      <c r="U363" s="2">
        <v>6765</v>
      </c>
      <c r="W363" s="5">
        <f t="shared" si="41"/>
        <v>1</v>
      </c>
      <c r="Y363" s="2" t="s">
        <v>105</v>
      </c>
      <c r="AE363" s="2">
        <f t="shared" si="37"/>
        <v>0</v>
      </c>
      <c r="AI363" s="2">
        <f t="shared" si="38"/>
        <v>0</v>
      </c>
      <c r="AJ363" s="2">
        <f t="shared" si="39"/>
        <v>5500</v>
      </c>
      <c r="AK363" s="5">
        <f t="shared" si="42"/>
        <v>1</v>
      </c>
    </row>
    <row r="364" spans="1:37" x14ac:dyDescent="0.2">
      <c r="A364" s="2">
        <v>2025</v>
      </c>
      <c r="B364" s="2">
        <v>2</v>
      </c>
      <c r="C364" s="2" t="s">
        <v>712</v>
      </c>
      <c r="D364" s="2" t="s">
        <v>184</v>
      </c>
      <c r="F364" s="2">
        <v>500038996</v>
      </c>
      <c r="G364" s="2" t="s">
        <v>110</v>
      </c>
      <c r="H364" s="2" t="s">
        <v>713</v>
      </c>
      <c r="I364" s="2" t="s">
        <v>714</v>
      </c>
      <c r="J364" s="2">
        <v>913640179</v>
      </c>
      <c r="K364" s="2" t="s">
        <v>134</v>
      </c>
      <c r="L364" s="2" t="s">
        <v>110</v>
      </c>
      <c r="O364" s="2" t="s">
        <v>115</v>
      </c>
      <c r="P364" s="2" t="s">
        <v>719</v>
      </c>
      <c r="Q364" s="2" t="s">
        <v>720</v>
      </c>
      <c r="R364" s="2">
        <v>1</v>
      </c>
      <c r="S364" s="2">
        <v>3400</v>
      </c>
      <c r="T364" s="2">
        <v>782</v>
      </c>
      <c r="U364" s="2">
        <v>4182</v>
      </c>
      <c r="W364" s="5">
        <f t="shared" si="41"/>
        <v>1</v>
      </c>
      <c r="Y364" s="2" t="s">
        <v>105</v>
      </c>
      <c r="AE364" s="2">
        <f t="shared" si="37"/>
        <v>0</v>
      </c>
      <c r="AI364" s="2">
        <f t="shared" si="38"/>
        <v>0</v>
      </c>
      <c r="AJ364" s="2">
        <f t="shared" si="39"/>
        <v>3400</v>
      </c>
      <c r="AK364" s="5">
        <f t="shared" si="42"/>
        <v>1</v>
      </c>
    </row>
    <row r="365" spans="1:37" x14ac:dyDescent="0.2">
      <c r="A365" s="2">
        <v>2025</v>
      </c>
      <c r="B365" s="2">
        <v>2</v>
      </c>
      <c r="C365" s="2" t="s">
        <v>721</v>
      </c>
      <c r="O365" s="2" t="s">
        <v>115</v>
      </c>
      <c r="P365" s="2" t="s">
        <v>518</v>
      </c>
      <c r="Q365" s="2" t="s">
        <v>519</v>
      </c>
      <c r="R365" s="2">
        <v>1</v>
      </c>
      <c r="S365" s="2">
        <v>257.64999999999998</v>
      </c>
      <c r="T365" s="2">
        <v>59.259500000000003</v>
      </c>
      <c r="U365" s="2">
        <v>316.90949999999998</v>
      </c>
      <c r="W365" s="5">
        <f t="shared" si="41"/>
        <v>1</v>
      </c>
      <c r="AE365" s="2">
        <f t="shared" si="37"/>
        <v>0</v>
      </c>
      <c r="AI365" s="2">
        <f t="shared" si="38"/>
        <v>0</v>
      </c>
      <c r="AJ365" s="2">
        <f t="shared" si="39"/>
        <v>257.64999999999998</v>
      </c>
      <c r="AK365" s="5">
        <f t="shared" si="42"/>
        <v>1</v>
      </c>
    </row>
    <row r="366" spans="1:37" x14ac:dyDescent="0.2">
      <c r="A366" s="2">
        <v>2025</v>
      </c>
      <c r="B366" s="2">
        <v>2</v>
      </c>
      <c r="C366" s="2" t="s">
        <v>721</v>
      </c>
      <c r="L366" s="2" t="s">
        <v>40</v>
      </c>
      <c r="O366" s="2" t="s">
        <v>188</v>
      </c>
      <c r="P366" s="2" t="s">
        <v>192</v>
      </c>
      <c r="Q366" s="2" t="s">
        <v>191</v>
      </c>
      <c r="R366" s="2">
        <v>1</v>
      </c>
      <c r="S366" s="2">
        <v>37.5</v>
      </c>
      <c r="T366" s="2">
        <v>8.625</v>
      </c>
      <c r="U366" s="2">
        <v>46.125</v>
      </c>
      <c r="V366" s="2">
        <f>S366*50%</f>
        <v>18.75</v>
      </c>
      <c r="W366" s="5">
        <f t="shared" si="41"/>
        <v>0.5</v>
      </c>
      <c r="Y366" s="2" t="s">
        <v>118</v>
      </c>
      <c r="Z366" s="2" t="s">
        <v>191</v>
      </c>
      <c r="AE366" s="2">
        <f t="shared" si="37"/>
        <v>0</v>
      </c>
      <c r="AI366" s="2">
        <f t="shared" si="38"/>
        <v>0</v>
      </c>
      <c r="AJ366" s="2">
        <f t="shared" si="39"/>
        <v>18.75</v>
      </c>
      <c r="AK366" s="5">
        <f t="shared" si="42"/>
        <v>0.5</v>
      </c>
    </row>
    <row r="367" spans="1:37" x14ac:dyDescent="0.2">
      <c r="A367" s="2">
        <v>2025</v>
      </c>
      <c r="B367" s="2">
        <v>2</v>
      </c>
      <c r="C367" s="2" t="s">
        <v>722</v>
      </c>
      <c r="D367" s="2" t="s">
        <v>109</v>
      </c>
      <c r="E367" s="2" t="s">
        <v>723</v>
      </c>
      <c r="F367" s="2">
        <v>500042063</v>
      </c>
      <c r="G367" s="2" t="s">
        <v>110</v>
      </c>
      <c r="H367" s="2" t="s">
        <v>113</v>
      </c>
      <c r="I367" s="2" t="s">
        <v>724</v>
      </c>
      <c r="K367" s="2" t="s">
        <v>113</v>
      </c>
      <c r="L367" s="2" t="s">
        <v>40</v>
      </c>
      <c r="N367" s="2" t="s">
        <v>725</v>
      </c>
      <c r="O367" s="2" t="s">
        <v>115</v>
      </c>
      <c r="P367" s="2" t="s">
        <v>726</v>
      </c>
      <c r="Q367" s="2" t="s">
        <v>727</v>
      </c>
      <c r="R367" s="2">
        <v>1</v>
      </c>
      <c r="S367" s="2">
        <v>309.86</v>
      </c>
      <c r="T367" s="2">
        <v>71.267800000000008</v>
      </c>
      <c r="U367" s="2">
        <v>381.12779999999998</v>
      </c>
      <c r="W367" s="5">
        <f t="shared" si="41"/>
        <v>1</v>
      </c>
      <c r="AE367" s="2">
        <f t="shared" si="37"/>
        <v>0</v>
      </c>
      <c r="AI367" s="2">
        <f t="shared" si="38"/>
        <v>0</v>
      </c>
      <c r="AJ367" s="2">
        <f t="shared" si="39"/>
        <v>309.86</v>
      </c>
      <c r="AK367" s="5">
        <f t="shared" si="42"/>
        <v>1</v>
      </c>
    </row>
    <row r="368" spans="1:37" x14ac:dyDescent="0.2">
      <c r="A368" s="2">
        <v>2025</v>
      </c>
      <c r="B368" s="2">
        <v>2</v>
      </c>
      <c r="C368" s="2" t="s">
        <v>722</v>
      </c>
      <c r="D368" s="2" t="s">
        <v>109</v>
      </c>
      <c r="E368" s="2" t="s">
        <v>723</v>
      </c>
      <c r="F368" s="2">
        <v>500042063</v>
      </c>
      <c r="G368" s="2" t="s">
        <v>110</v>
      </c>
      <c r="H368" s="2" t="s">
        <v>113</v>
      </c>
      <c r="I368" s="2" t="s">
        <v>724</v>
      </c>
      <c r="K368" s="2" t="s">
        <v>113</v>
      </c>
      <c r="L368" s="2" t="s">
        <v>40</v>
      </c>
      <c r="N368" s="2" t="s">
        <v>725</v>
      </c>
      <c r="O368" s="2" t="s">
        <v>188</v>
      </c>
      <c r="P368" s="2" t="s">
        <v>189</v>
      </c>
      <c r="Q368" s="2" t="s">
        <v>190</v>
      </c>
      <c r="R368" s="2">
        <v>1</v>
      </c>
      <c r="S368" s="2">
        <v>98.25</v>
      </c>
      <c r="T368" s="2">
        <v>22.5975</v>
      </c>
      <c r="U368" s="2">
        <v>120.8475</v>
      </c>
      <c r="W368" s="5">
        <f t="shared" si="41"/>
        <v>1</v>
      </c>
      <c r="Y368" s="2" t="s">
        <v>118</v>
      </c>
      <c r="Z368" s="2" t="s">
        <v>191</v>
      </c>
      <c r="AE368" s="2">
        <f t="shared" si="37"/>
        <v>0</v>
      </c>
      <c r="AI368" s="2">
        <f t="shared" si="38"/>
        <v>0</v>
      </c>
      <c r="AJ368" s="2">
        <f t="shared" si="39"/>
        <v>98.25</v>
      </c>
      <c r="AK368" s="5">
        <f t="shared" si="42"/>
        <v>1</v>
      </c>
    </row>
    <row r="369" spans="1:37" x14ac:dyDescent="0.2">
      <c r="A369" s="2">
        <v>2025</v>
      </c>
      <c r="B369" s="2">
        <v>2</v>
      </c>
      <c r="C369" s="2" t="s">
        <v>722</v>
      </c>
      <c r="D369" s="2" t="s">
        <v>109</v>
      </c>
      <c r="E369" s="2" t="s">
        <v>723</v>
      </c>
      <c r="F369" s="2">
        <v>500042063</v>
      </c>
      <c r="G369" s="2" t="s">
        <v>110</v>
      </c>
      <c r="H369" s="2" t="s">
        <v>113</v>
      </c>
      <c r="I369" s="2" t="s">
        <v>724</v>
      </c>
      <c r="K369" s="2" t="s">
        <v>113</v>
      </c>
      <c r="L369" s="2" t="s">
        <v>40</v>
      </c>
      <c r="N369" s="2" t="s">
        <v>725</v>
      </c>
      <c r="O369" s="2" t="s">
        <v>188</v>
      </c>
      <c r="P369" s="2" t="s">
        <v>192</v>
      </c>
      <c r="Q369" s="2" t="s">
        <v>191</v>
      </c>
      <c r="R369" s="2">
        <v>2</v>
      </c>
      <c r="S369" s="2">
        <v>90</v>
      </c>
      <c r="T369" s="2">
        <v>20.7</v>
      </c>
      <c r="U369" s="2">
        <v>110.7</v>
      </c>
      <c r="V369" s="2">
        <f>S369*50%</f>
        <v>45</v>
      </c>
      <c r="W369" s="5">
        <f t="shared" si="41"/>
        <v>0.5</v>
      </c>
      <c r="Y369" s="2" t="s">
        <v>118</v>
      </c>
      <c r="Z369" s="2" t="s">
        <v>191</v>
      </c>
      <c r="AE369" s="2">
        <f t="shared" si="37"/>
        <v>0</v>
      </c>
      <c r="AI369" s="2">
        <f t="shared" si="38"/>
        <v>0</v>
      </c>
      <c r="AJ369" s="2">
        <f t="shared" si="39"/>
        <v>45</v>
      </c>
      <c r="AK369" s="5">
        <f t="shared" si="42"/>
        <v>0.5</v>
      </c>
    </row>
    <row r="370" spans="1:37" x14ac:dyDescent="0.2">
      <c r="A370" s="2">
        <v>2025</v>
      </c>
      <c r="B370" s="2">
        <v>2</v>
      </c>
      <c r="C370" s="2" t="s">
        <v>298</v>
      </c>
      <c r="D370" s="2" t="s">
        <v>38</v>
      </c>
      <c r="E370" s="2" t="s">
        <v>39</v>
      </c>
      <c r="F370" s="2">
        <v>510939570</v>
      </c>
      <c r="G370" s="2" t="s">
        <v>41</v>
      </c>
      <c r="H370" s="2" t="s">
        <v>299</v>
      </c>
      <c r="I370" s="2" t="s">
        <v>300</v>
      </c>
      <c r="J370" s="2">
        <v>962678129</v>
      </c>
      <c r="K370" s="2" t="s">
        <v>178</v>
      </c>
      <c r="L370" s="2" t="s">
        <v>41</v>
      </c>
      <c r="N370" s="2" t="s">
        <v>728</v>
      </c>
      <c r="O370" s="2" t="s">
        <v>283</v>
      </c>
      <c r="P370" s="2" t="s">
        <v>500</v>
      </c>
      <c r="Q370" s="2" t="s">
        <v>501</v>
      </c>
      <c r="R370" s="2">
        <v>1</v>
      </c>
      <c r="S370" s="2">
        <v>89</v>
      </c>
      <c r="T370" s="2">
        <v>20.47</v>
      </c>
      <c r="U370" s="2">
        <v>109.47</v>
      </c>
      <c r="W370" s="5">
        <f t="shared" si="41"/>
        <v>1</v>
      </c>
      <c r="Y370" s="2" t="s">
        <v>3256</v>
      </c>
      <c r="AE370" s="2">
        <f t="shared" si="37"/>
        <v>0</v>
      </c>
      <c r="AI370" s="2">
        <f t="shared" si="38"/>
        <v>0</v>
      </c>
      <c r="AJ370" s="2">
        <f t="shared" si="39"/>
        <v>89</v>
      </c>
      <c r="AK370" s="5">
        <f t="shared" si="42"/>
        <v>1</v>
      </c>
    </row>
    <row r="371" spans="1:37" x14ac:dyDescent="0.2">
      <c r="A371" s="2">
        <v>2025</v>
      </c>
      <c r="B371" s="2">
        <v>2</v>
      </c>
      <c r="C371" s="2" t="s">
        <v>298</v>
      </c>
      <c r="D371" s="2" t="s">
        <v>38</v>
      </c>
      <c r="E371" s="2" t="s">
        <v>39</v>
      </c>
      <c r="F371" s="2">
        <v>510939570</v>
      </c>
      <c r="G371" s="2" t="s">
        <v>41</v>
      </c>
      <c r="H371" s="2" t="s">
        <v>299</v>
      </c>
      <c r="I371" s="2" t="s">
        <v>300</v>
      </c>
      <c r="J371" s="2">
        <v>962678129</v>
      </c>
      <c r="K371" s="2" t="s">
        <v>178</v>
      </c>
      <c r="L371" s="2" t="s">
        <v>41</v>
      </c>
      <c r="N371" s="2" t="s">
        <v>728</v>
      </c>
      <c r="O371" s="2" t="s">
        <v>283</v>
      </c>
      <c r="P371" s="2" t="s">
        <v>729</v>
      </c>
      <c r="Q371" s="2" t="s">
        <v>730</v>
      </c>
      <c r="R371" s="2">
        <v>3</v>
      </c>
      <c r="S371" s="2">
        <v>7.39</v>
      </c>
      <c r="T371" s="2">
        <v>1.6997</v>
      </c>
      <c r="U371" s="2">
        <v>9.0897000000000006</v>
      </c>
      <c r="W371" s="5">
        <f t="shared" si="41"/>
        <v>1</v>
      </c>
      <c r="Y371" s="2" t="s">
        <v>3256</v>
      </c>
      <c r="AE371" s="2">
        <f t="shared" si="37"/>
        <v>0</v>
      </c>
      <c r="AI371" s="2">
        <f t="shared" si="38"/>
        <v>0</v>
      </c>
      <c r="AJ371" s="2">
        <f t="shared" si="39"/>
        <v>7.39</v>
      </c>
      <c r="AK371" s="5">
        <f t="shared" si="42"/>
        <v>1</v>
      </c>
    </row>
    <row r="372" spans="1:37" x14ac:dyDescent="0.2">
      <c r="A372" s="2">
        <v>2025</v>
      </c>
      <c r="B372" s="2">
        <v>2</v>
      </c>
      <c r="C372" s="2" t="s">
        <v>298</v>
      </c>
      <c r="D372" s="2" t="s">
        <v>38</v>
      </c>
      <c r="E372" s="2" t="s">
        <v>39</v>
      </c>
      <c r="F372" s="2">
        <v>510939570</v>
      </c>
      <c r="G372" s="2" t="s">
        <v>41</v>
      </c>
      <c r="H372" s="2" t="s">
        <v>299</v>
      </c>
      <c r="I372" s="2" t="s">
        <v>300</v>
      </c>
      <c r="J372" s="2">
        <v>962678129</v>
      </c>
      <c r="K372" s="2" t="s">
        <v>178</v>
      </c>
      <c r="L372" s="2" t="s">
        <v>41</v>
      </c>
      <c r="N372" s="2" t="s">
        <v>731</v>
      </c>
      <c r="O372" s="2" t="s">
        <v>283</v>
      </c>
      <c r="P372" s="2" t="s">
        <v>438</v>
      </c>
      <c r="Q372" s="2" t="s">
        <v>439</v>
      </c>
      <c r="R372" s="2">
        <v>1</v>
      </c>
      <c r="S372" s="2">
        <v>595</v>
      </c>
      <c r="T372" s="2">
        <v>136.85</v>
      </c>
      <c r="U372" s="2">
        <v>731.85</v>
      </c>
      <c r="W372" s="5">
        <f t="shared" si="41"/>
        <v>1</v>
      </c>
      <c r="Y372" s="2" t="s">
        <v>105</v>
      </c>
      <c r="AE372" s="2">
        <f t="shared" si="37"/>
        <v>0</v>
      </c>
      <c r="AI372" s="2">
        <f t="shared" si="38"/>
        <v>0</v>
      </c>
      <c r="AJ372" s="2">
        <f t="shared" si="39"/>
        <v>595</v>
      </c>
      <c r="AK372" s="5">
        <f t="shared" si="42"/>
        <v>1</v>
      </c>
    </row>
    <row r="373" spans="1:37" x14ac:dyDescent="0.2">
      <c r="A373" s="2">
        <v>2025</v>
      </c>
      <c r="B373" s="2">
        <v>2</v>
      </c>
      <c r="C373" s="2" t="s">
        <v>298</v>
      </c>
      <c r="D373" s="2" t="s">
        <v>38</v>
      </c>
      <c r="E373" s="2" t="s">
        <v>39</v>
      </c>
      <c r="F373" s="2">
        <v>510939570</v>
      </c>
      <c r="G373" s="2" t="s">
        <v>41</v>
      </c>
      <c r="H373" s="2" t="s">
        <v>299</v>
      </c>
      <c r="I373" s="2" t="s">
        <v>300</v>
      </c>
      <c r="J373" s="2">
        <v>962678129</v>
      </c>
      <c r="K373" s="2" t="s">
        <v>178</v>
      </c>
      <c r="L373" s="2" t="s">
        <v>41</v>
      </c>
      <c r="N373" s="2" t="s">
        <v>732</v>
      </c>
      <c r="O373" s="2" t="s">
        <v>73</v>
      </c>
      <c r="P373" s="2" t="s">
        <v>733</v>
      </c>
      <c r="Q373" s="2" t="s">
        <v>198</v>
      </c>
      <c r="R373" s="2">
        <v>1</v>
      </c>
      <c r="S373" s="2">
        <v>250</v>
      </c>
      <c r="T373" s="2">
        <v>57.5</v>
      </c>
      <c r="U373" s="2">
        <v>307.5</v>
      </c>
      <c r="W373" s="5">
        <f t="shared" si="41"/>
        <v>1</v>
      </c>
      <c r="Y373" s="2" t="s">
        <v>3256</v>
      </c>
      <c r="Z373" s="2" t="s">
        <v>76</v>
      </c>
      <c r="AA373" s="2" t="s">
        <v>77</v>
      </c>
      <c r="AB373" s="2" t="s">
        <v>78</v>
      </c>
      <c r="AE373" s="2">
        <f t="shared" si="37"/>
        <v>0</v>
      </c>
      <c r="AI373" s="2">
        <f t="shared" si="38"/>
        <v>0</v>
      </c>
      <c r="AJ373" s="2">
        <f t="shared" si="39"/>
        <v>250</v>
      </c>
      <c r="AK373" s="5">
        <f t="shared" si="42"/>
        <v>1</v>
      </c>
    </row>
    <row r="374" spans="1:37" x14ac:dyDescent="0.2">
      <c r="A374" s="2">
        <v>2025</v>
      </c>
      <c r="B374" s="2">
        <v>2</v>
      </c>
      <c r="C374" s="2" t="s">
        <v>298</v>
      </c>
      <c r="D374" s="2" t="s">
        <v>38</v>
      </c>
      <c r="E374" s="2" t="s">
        <v>39</v>
      </c>
      <c r="F374" s="2">
        <v>510939570</v>
      </c>
      <c r="G374" s="2" t="s">
        <v>41</v>
      </c>
      <c r="H374" s="2" t="s">
        <v>299</v>
      </c>
      <c r="I374" s="2" t="s">
        <v>300</v>
      </c>
      <c r="J374" s="2">
        <v>962678129</v>
      </c>
      <c r="K374" s="2" t="s">
        <v>178</v>
      </c>
      <c r="L374" s="2" t="s">
        <v>41</v>
      </c>
      <c r="N374" s="2" t="s">
        <v>732</v>
      </c>
      <c r="O374" s="2" t="s">
        <v>94</v>
      </c>
      <c r="P374" s="2" t="s">
        <v>95</v>
      </c>
      <c r="Q374" s="2" t="s">
        <v>96</v>
      </c>
      <c r="R374" s="2">
        <v>1</v>
      </c>
      <c r="S374" s="2">
        <v>1.1399999999999999</v>
      </c>
      <c r="T374" s="2">
        <v>0.26219999999999999</v>
      </c>
      <c r="U374" s="2">
        <v>1.4021999999999999</v>
      </c>
      <c r="V374" s="2">
        <v>1.1399999999999999</v>
      </c>
      <c r="W374" s="5">
        <f t="shared" si="41"/>
        <v>0</v>
      </c>
      <c r="Y374" s="2" t="s">
        <v>3256</v>
      </c>
      <c r="Z374" s="2" t="s">
        <v>97</v>
      </c>
      <c r="AA374" s="2" t="s">
        <v>77</v>
      </c>
      <c r="AB374" s="2" t="s">
        <v>94</v>
      </c>
      <c r="AE374" s="2">
        <f t="shared" si="37"/>
        <v>0</v>
      </c>
      <c r="AI374" s="2">
        <f t="shared" si="38"/>
        <v>0</v>
      </c>
      <c r="AJ374" s="2">
        <f t="shared" si="39"/>
        <v>0</v>
      </c>
      <c r="AK374" s="5">
        <f t="shared" si="42"/>
        <v>0</v>
      </c>
    </row>
    <row r="375" spans="1:37" x14ac:dyDescent="0.2">
      <c r="A375" s="2">
        <v>2025</v>
      </c>
      <c r="B375" s="2">
        <v>2</v>
      </c>
      <c r="C375" s="2" t="s">
        <v>734</v>
      </c>
      <c r="O375" s="2" t="s">
        <v>73</v>
      </c>
      <c r="P375" s="2" t="s">
        <v>326</v>
      </c>
      <c r="Q375" s="2" t="s">
        <v>80</v>
      </c>
      <c r="R375" s="2">
        <v>1</v>
      </c>
      <c r="S375" s="2">
        <v>184</v>
      </c>
      <c r="T375" s="2">
        <v>42.32</v>
      </c>
      <c r="U375" s="2">
        <v>226.32</v>
      </c>
      <c r="V375" s="2">
        <f>110.68*R375</f>
        <v>110.68</v>
      </c>
      <c r="W375" s="5">
        <f t="shared" si="41"/>
        <v>0.39847826086956517</v>
      </c>
      <c r="Y375" s="2" t="s">
        <v>3256</v>
      </c>
      <c r="Z375" s="2" t="s">
        <v>76</v>
      </c>
      <c r="AA375" s="2" t="s">
        <v>77</v>
      </c>
      <c r="AB375" s="2" t="s">
        <v>78</v>
      </c>
      <c r="AE375" s="2">
        <f t="shared" si="37"/>
        <v>0</v>
      </c>
      <c r="AF375" s="2">
        <v>110.68</v>
      </c>
      <c r="AG375" s="2">
        <v>210</v>
      </c>
      <c r="AI375" s="2">
        <f t="shared" si="38"/>
        <v>0</v>
      </c>
      <c r="AJ375" s="2">
        <f t="shared" si="39"/>
        <v>73.319999999999993</v>
      </c>
      <c r="AK375" s="5">
        <f t="shared" si="42"/>
        <v>0.39847826086956517</v>
      </c>
    </row>
    <row r="376" spans="1:37" x14ac:dyDescent="0.2">
      <c r="A376" s="2">
        <v>2025</v>
      </c>
      <c r="B376" s="2">
        <v>2</v>
      </c>
      <c r="C376" s="2" t="s">
        <v>734</v>
      </c>
      <c r="O376" s="2" t="s">
        <v>94</v>
      </c>
      <c r="P376" s="2" t="s">
        <v>95</v>
      </c>
      <c r="Q376" s="2" t="s">
        <v>96</v>
      </c>
      <c r="R376" s="2">
        <v>1</v>
      </c>
      <c r="S376" s="2">
        <v>1.1399999999999999</v>
      </c>
      <c r="T376" s="2">
        <v>0.26219999999999999</v>
      </c>
      <c r="U376" s="2">
        <v>1.4021999999999999</v>
      </c>
      <c r="V376" s="2">
        <v>1.1399999999999999</v>
      </c>
      <c r="W376" s="5">
        <f t="shared" si="41"/>
        <v>0</v>
      </c>
      <c r="Y376" s="2" t="s">
        <v>3256</v>
      </c>
      <c r="Z376" s="2" t="s">
        <v>97</v>
      </c>
      <c r="AA376" s="2" t="s">
        <v>77</v>
      </c>
      <c r="AB376" s="2" t="s">
        <v>94</v>
      </c>
      <c r="AE376" s="2">
        <f t="shared" si="37"/>
        <v>0</v>
      </c>
      <c r="AI376" s="2">
        <f t="shared" si="38"/>
        <v>0</v>
      </c>
      <c r="AJ376" s="2">
        <f t="shared" si="39"/>
        <v>0</v>
      </c>
      <c r="AK376" s="5">
        <f t="shared" si="42"/>
        <v>0</v>
      </c>
    </row>
    <row r="377" spans="1:37" x14ac:dyDescent="0.2">
      <c r="A377" s="2">
        <v>2025</v>
      </c>
      <c r="B377" s="2">
        <v>2</v>
      </c>
      <c r="C377" s="2" t="s">
        <v>333</v>
      </c>
      <c r="D377" s="2" t="s">
        <v>109</v>
      </c>
      <c r="E377" s="2" t="s">
        <v>39</v>
      </c>
      <c r="F377" s="2">
        <v>513493557</v>
      </c>
      <c r="G377" s="2" t="s">
        <v>41</v>
      </c>
      <c r="H377" s="2" t="s">
        <v>280</v>
      </c>
      <c r="I377" s="2" t="s">
        <v>334</v>
      </c>
      <c r="K377" s="2" t="s">
        <v>178</v>
      </c>
      <c r="O377" s="2" t="s">
        <v>115</v>
      </c>
      <c r="P377" s="2" t="s">
        <v>735</v>
      </c>
      <c r="Q377" s="2" t="s">
        <v>736</v>
      </c>
      <c r="R377" s="2">
        <v>1</v>
      </c>
      <c r="S377" s="2">
        <v>44.98</v>
      </c>
      <c r="T377" s="2">
        <v>10.3454</v>
      </c>
      <c r="U377" s="2">
        <v>55.325399999999988</v>
      </c>
      <c r="W377" s="5">
        <f t="shared" si="41"/>
        <v>1</v>
      </c>
      <c r="AE377" s="2">
        <f t="shared" si="37"/>
        <v>0</v>
      </c>
      <c r="AI377" s="2">
        <f t="shared" si="38"/>
        <v>0</v>
      </c>
      <c r="AJ377" s="2">
        <f t="shared" si="39"/>
        <v>44.98</v>
      </c>
      <c r="AK377" s="5">
        <f t="shared" si="42"/>
        <v>1</v>
      </c>
    </row>
    <row r="378" spans="1:37" x14ac:dyDescent="0.2">
      <c r="A378" s="2">
        <v>2025</v>
      </c>
      <c r="B378" s="2">
        <v>2</v>
      </c>
      <c r="C378" s="2" t="s">
        <v>333</v>
      </c>
      <c r="D378" s="2" t="s">
        <v>109</v>
      </c>
      <c r="E378" s="2" t="s">
        <v>39</v>
      </c>
      <c r="F378" s="2">
        <v>513493557</v>
      </c>
      <c r="G378" s="2" t="s">
        <v>41</v>
      </c>
      <c r="H378" s="2" t="s">
        <v>280</v>
      </c>
      <c r="I378" s="2" t="s">
        <v>334</v>
      </c>
      <c r="K378" s="2" t="s">
        <v>178</v>
      </c>
      <c r="L378" s="2" t="s">
        <v>41</v>
      </c>
      <c r="O378" s="2" t="s">
        <v>43</v>
      </c>
      <c r="P378" s="2" t="s">
        <v>243</v>
      </c>
      <c r="Q378" s="2" t="s">
        <v>244</v>
      </c>
      <c r="R378" s="2">
        <v>1</v>
      </c>
      <c r="S378" s="2">
        <v>28.8</v>
      </c>
      <c r="T378" s="2">
        <v>6.6240000000000014</v>
      </c>
      <c r="U378" s="2">
        <v>35.423999999999999</v>
      </c>
      <c r="W378" s="5">
        <f t="shared" si="41"/>
        <v>1</v>
      </c>
      <c r="Y378" s="2" t="s">
        <v>3256</v>
      </c>
      <c r="Z378" s="2" t="s">
        <v>46</v>
      </c>
      <c r="AA378" s="2" t="s">
        <v>57</v>
      </c>
      <c r="AB378" s="2" t="s">
        <v>58</v>
      </c>
      <c r="AE378" s="2">
        <f t="shared" si="37"/>
        <v>0</v>
      </c>
      <c r="AI378" s="2">
        <f t="shared" si="38"/>
        <v>0</v>
      </c>
      <c r="AJ378" s="2">
        <f t="shared" si="39"/>
        <v>28.8</v>
      </c>
      <c r="AK378" s="5">
        <f t="shared" si="42"/>
        <v>1</v>
      </c>
    </row>
    <row r="379" spans="1:37" x14ac:dyDescent="0.2">
      <c r="A379" s="2">
        <v>2025</v>
      </c>
      <c r="B379" s="2">
        <v>2</v>
      </c>
      <c r="C379" s="2" t="s">
        <v>333</v>
      </c>
      <c r="D379" s="2" t="s">
        <v>109</v>
      </c>
      <c r="E379" s="2" t="s">
        <v>39</v>
      </c>
      <c r="F379" s="2">
        <v>513493557</v>
      </c>
      <c r="G379" s="2" t="s">
        <v>41</v>
      </c>
      <c r="H379" s="2" t="s">
        <v>280</v>
      </c>
      <c r="I379" s="2" t="s">
        <v>334</v>
      </c>
      <c r="K379" s="2" t="s">
        <v>178</v>
      </c>
      <c r="L379" s="2" t="s">
        <v>41</v>
      </c>
      <c r="O379" s="2" t="s">
        <v>43</v>
      </c>
      <c r="P379" s="2" t="s">
        <v>59</v>
      </c>
      <c r="Q379" s="2" t="s">
        <v>60</v>
      </c>
      <c r="R379" s="2">
        <v>500</v>
      </c>
      <c r="S379" s="2">
        <v>60</v>
      </c>
      <c r="T379" s="2">
        <v>13.8</v>
      </c>
      <c r="U379" s="2">
        <v>73.8</v>
      </c>
      <c r="V379" s="2">
        <f>0.0914*R379</f>
        <v>45.699999999999996</v>
      </c>
      <c r="W379" s="5">
        <f t="shared" si="41"/>
        <v>0.2383333333333334</v>
      </c>
      <c r="Y379" s="2" t="s">
        <v>3256</v>
      </c>
      <c r="Z379" s="2" t="s">
        <v>46</v>
      </c>
      <c r="AA379" s="2" t="s">
        <v>61</v>
      </c>
      <c r="AB379" s="2" t="s">
        <v>58</v>
      </c>
      <c r="AE379" s="2">
        <f t="shared" si="37"/>
        <v>0</v>
      </c>
      <c r="AF379" s="2">
        <v>9.14</v>
      </c>
      <c r="AG379" s="2">
        <v>16</v>
      </c>
      <c r="AI379" s="2">
        <f t="shared" si="38"/>
        <v>0</v>
      </c>
      <c r="AJ379" s="2">
        <f t="shared" si="39"/>
        <v>14.300000000000004</v>
      </c>
      <c r="AK379" s="5">
        <f t="shared" si="42"/>
        <v>0.2383333333333334</v>
      </c>
    </row>
    <row r="380" spans="1:37" x14ac:dyDescent="0.2">
      <c r="A380" s="2">
        <v>2025</v>
      </c>
      <c r="B380" s="2">
        <v>2</v>
      </c>
      <c r="C380" s="2" t="s">
        <v>333</v>
      </c>
      <c r="D380" s="2" t="s">
        <v>109</v>
      </c>
      <c r="E380" s="2" t="s">
        <v>39</v>
      </c>
      <c r="F380" s="2">
        <v>513493557</v>
      </c>
      <c r="G380" s="2" t="s">
        <v>41</v>
      </c>
      <c r="H380" s="2" t="s">
        <v>280</v>
      </c>
      <c r="I380" s="2" t="s">
        <v>334</v>
      </c>
      <c r="K380" s="2" t="s">
        <v>178</v>
      </c>
      <c r="L380" s="2" t="s">
        <v>41</v>
      </c>
      <c r="O380" s="2" t="s">
        <v>43</v>
      </c>
      <c r="P380" s="2" t="s">
        <v>255</v>
      </c>
      <c r="Q380" s="2" t="s">
        <v>256</v>
      </c>
      <c r="R380" s="2">
        <v>500</v>
      </c>
      <c r="S380" s="2">
        <v>65</v>
      </c>
      <c r="T380" s="2">
        <v>14.95</v>
      </c>
      <c r="U380" s="2">
        <v>79.95</v>
      </c>
      <c r="W380" s="5">
        <f t="shared" si="41"/>
        <v>1</v>
      </c>
      <c r="Y380" s="2" t="s">
        <v>3256</v>
      </c>
      <c r="Z380" s="2" t="s">
        <v>46</v>
      </c>
      <c r="AA380" s="2" t="s">
        <v>61</v>
      </c>
      <c r="AB380" s="2" t="s">
        <v>58</v>
      </c>
      <c r="AE380" s="2">
        <f t="shared" si="37"/>
        <v>0</v>
      </c>
      <c r="AI380" s="2">
        <f t="shared" si="38"/>
        <v>0</v>
      </c>
      <c r="AJ380" s="2">
        <f t="shared" si="39"/>
        <v>65</v>
      </c>
      <c r="AK380" s="5">
        <f t="shared" si="42"/>
        <v>1</v>
      </c>
    </row>
    <row r="381" spans="1:37" x14ac:dyDescent="0.2">
      <c r="A381" s="2">
        <v>2025</v>
      </c>
      <c r="B381" s="2">
        <v>2</v>
      </c>
      <c r="C381" s="2" t="s">
        <v>333</v>
      </c>
      <c r="D381" s="2" t="s">
        <v>109</v>
      </c>
      <c r="E381" s="2" t="s">
        <v>39</v>
      </c>
      <c r="F381" s="2">
        <v>513493557</v>
      </c>
      <c r="G381" s="2" t="s">
        <v>41</v>
      </c>
      <c r="H381" s="2" t="s">
        <v>280</v>
      </c>
      <c r="I381" s="2" t="s">
        <v>334</v>
      </c>
      <c r="K381" s="2" t="s">
        <v>178</v>
      </c>
      <c r="L381" s="2" t="s">
        <v>41</v>
      </c>
      <c r="O381" s="2" t="s">
        <v>43</v>
      </c>
      <c r="P381" s="2" t="s">
        <v>66</v>
      </c>
      <c r="Q381" s="2" t="s">
        <v>67</v>
      </c>
      <c r="R381" s="2">
        <v>3</v>
      </c>
      <c r="S381" s="2">
        <v>64.5</v>
      </c>
      <c r="T381" s="2">
        <v>14.835000000000001</v>
      </c>
      <c r="U381" s="2">
        <v>79.335000000000008</v>
      </c>
      <c r="V381" s="2">
        <f>15.0203*R381</f>
        <v>45.060900000000004</v>
      </c>
      <c r="W381" s="5">
        <f t="shared" si="41"/>
        <v>0.30138139534883718</v>
      </c>
      <c r="Y381" s="2" t="s">
        <v>3256</v>
      </c>
      <c r="Z381" s="2" t="s">
        <v>46</v>
      </c>
      <c r="AA381" s="2" t="s">
        <v>68</v>
      </c>
      <c r="AB381" s="2" t="s">
        <v>58</v>
      </c>
      <c r="AE381" s="2">
        <f t="shared" si="37"/>
        <v>0</v>
      </c>
      <c r="AF381" s="2">
        <v>15.020300000000001</v>
      </c>
      <c r="AG381" s="2">
        <v>27.6</v>
      </c>
      <c r="AI381" s="2">
        <f t="shared" si="38"/>
        <v>0</v>
      </c>
      <c r="AJ381" s="2">
        <f t="shared" si="39"/>
        <v>19.439099999999996</v>
      </c>
      <c r="AK381" s="5">
        <f t="shared" si="42"/>
        <v>0.30138139534883718</v>
      </c>
    </row>
    <row r="382" spans="1:37" x14ac:dyDescent="0.2">
      <c r="A382" s="2">
        <v>2025</v>
      </c>
      <c r="B382" s="2">
        <v>2</v>
      </c>
      <c r="C382" s="2" t="s">
        <v>737</v>
      </c>
      <c r="D382" s="2" t="s">
        <v>109</v>
      </c>
      <c r="F382" s="2">
        <v>502757396</v>
      </c>
      <c r="G382" s="2" t="s">
        <v>40</v>
      </c>
      <c r="H382" s="2" t="s">
        <v>100</v>
      </c>
      <c r="I382" s="2" t="s">
        <v>738</v>
      </c>
      <c r="K382" s="2" t="s">
        <v>100</v>
      </c>
      <c r="L382" s="2" t="s">
        <v>40</v>
      </c>
      <c r="O382" s="2" t="s">
        <v>188</v>
      </c>
      <c r="P382" s="2" t="s">
        <v>189</v>
      </c>
      <c r="Q382" s="2" t="s">
        <v>190</v>
      </c>
      <c r="R382" s="2">
        <v>1</v>
      </c>
      <c r="S382" s="2">
        <v>50</v>
      </c>
      <c r="T382" s="2">
        <v>11.5</v>
      </c>
      <c r="U382" s="2">
        <v>61.5</v>
      </c>
      <c r="W382" s="5">
        <f t="shared" si="41"/>
        <v>1</v>
      </c>
      <c r="Y382" s="2" t="s">
        <v>118</v>
      </c>
      <c r="Z382" s="2" t="s">
        <v>191</v>
      </c>
      <c r="AE382" s="2">
        <f t="shared" si="37"/>
        <v>0</v>
      </c>
      <c r="AI382" s="2">
        <f t="shared" si="38"/>
        <v>0</v>
      </c>
      <c r="AJ382" s="2">
        <f t="shared" si="39"/>
        <v>50</v>
      </c>
      <c r="AK382" s="5">
        <f t="shared" si="42"/>
        <v>1</v>
      </c>
    </row>
    <row r="383" spans="1:37" x14ac:dyDescent="0.2">
      <c r="A383" s="2">
        <v>2025</v>
      </c>
      <c r="B383" s="2">
        <v>2</v>
      </c>
      <c r="C383" s="2" t="s">
        <v>737</v>
      </c>
      <c r="D383" s="2" t="s">
        <v>109</v>
      </c>
      <c r="F383" s="2">
        <v>502757396</v>
      </c>
      <c r="G383" s="2" t="s">
        <v>40</v>
      </c>
      <c r="H383" s="2" t="s">
        <v>100</v>
      </c>
      <c r="I383" s="2" t="s">
        <v>738</v>
      </c>
      <c r="K383" s="2" t="s">
        <v>100</v>
      </c>
      <c r="L383" s="2" t="s">
        <v>40</v>
      </c>
      <c r="O383" s="2" t="s">
        <v>188</v>
      </c>
      <c r="P383" s="2" t="s">
        <v>192</v>
      </c>
      <c r="Q383" s="2" t="s">
        <v>191</v>
      </c>
      <c r="R383" s="2">
        <v>0.75</v>
      </c>
      <c r="S383" s="2">
        <v>37.5</v>
      </c>
      <c r="T383" s="2">
        <v>8.625</v>
      </c>
      <c r="U383" s="2">
        <v>46.125</v>
      </c>
      <c r="V383" s="2">
        <f>S383*50%</f>
        <v>18.75</v>
      </c>
      <c r="W383" s="5">
        <f t="shared" si="41"/>
        <v>0.5</v>
      </c>
      <c r="Y383" s="2" t="s">
        <v>118</v>
      </c>
      <c r="Z383" s="2" t="s">
        <v>191</v>
      </c>
      <c r="AE383" s="2">
        <f t="shared" si="37"/>
        <v>0</v>
      </c>
      <c r="AI383" s="2">
        <f t="shared" si="38"/>
        <v>0</v>
      </c>
      <c r="AJ383" s="2">
        <f t="shared" si="39"/>
        <v>18.75</v>
      </c>
      <c r="AK383" s="5">
        <f t="shared" si="42"/>
        <v>0.5</v>
      </c>
    </row>
    <row r="384" spans="1:37" x14ac:dyDescent="0.2">
      <c r="A384" s="2">
        <v>2025</v>
      </c>
      <c r="B384" s="2">
        <v>2</v>
      </c>
      <c r="C384" s="2" t="s">
        <v>337</v>
      </c>
      <c r="D384" s="2" t="s">
        <v>109</v>
      </c>
      <c r="E384" s="2" t="s">
        <v>39</v>
      </c>
      <c r="F384" s="2">
        <v>503373494</v>
      </c>
      <c r="G384" s="2" t="s">
        <v>291</v>
      </c>
      <c r="H384" s="2" t="s">
        <v>338</v>
      </c>
      <c r="I384" s="2" t="s">
        <v>339</v>
      </c>
      <c r="J384" s="2">
        <v>965852001</v>
      </c>
      <c r="K384" s="2" t="s">
        <v>340</v>
      </c>
      <c r="O384" s="2" t="s">
        <v>115</v>
      </c>
      <c r="P384" s="2" t="s">
        <v>739</v>
      </c>
      <c r="Q384" s="2" t="s">
        <v>740</v>
      </c>
      <c r="R384" s="2">
        <v>1</v>
      </c>
      <c r="S384" s="2">
        <v>28.24</v>
      </c>
      <c r="T384" s="2">
        <v>6.4951999999999996</v>
      </c>
      <c r="U384" s="2">
        <v>34.735199999999999</v>
      </c>
      <c r="V384" s="2">
        <v>13.59</v>
      </c>
      <c r="W384" s="5">
        <f t="shared" si="41"/>
        <v>0.51876770538243622</v>
      </c>
      <c r="Y384" s="2" t="s">
        <v>118</v>
      </c>
      <c r="Z384" s="2" t="s">
        <v>119</v>
      </c>
      <c r="AA384" s="2" t="s">
        <v>120</v>
      </c>
      <c r="AB384" s="2" t="s">
        <v>115</v>
      </c>
      <c r="AE384" s="2">
        <f t="shared" si="37"/>
        <v>0</v>
      </c>
      <c r="AF384" s="2">
        <v>13.59</v>
      </c>
      <c r="AI384" s="2">
        <f t="shared" si="38"/>
        <v>0</v>
      </c>
      <c r="AJ384" s="2">
        <f t="shared" si="39"/>
        <v>14.649999999999999</v>
      </c>
      <c r="AK384" s="5">
        <f t="shared" si="42"/>
        <v>0.51876770538243622</v>
      </c>
    </row>
    <row r="385" spans="1:37" x14ac:dyDescent="0.2">
      <c r="A385" s="2">
        <v>2025</v>
      </c>
      <c r="B385" s="2">
        <v>2</v>
      </c>
      <c r="C385" s="2" t="s">
        <v>337</v>
      </c>
      <c r="D385" s="2" t="s">
        <v>109</v>
      </c>
      <c r="E385" s="2" t="s">
        <v>39</v>
      </c>
      <c r="F385" s="2">
        <v>503373494</v>
      </c>
      <c r="G385" s="2" t="s">
        <v>291</v>
      </c>
      <c r="H385" s="2" t="s">
        <v>338</v>
      </c>
      <c r="I385" s="2" t="s">
        <v>339</v>
      </c>
      <c r="J385" s="2">
        <v>965852001</v>
      </c>
      <c r="K385" s="2" t="s">
        <v>340</v>
      </c>
      <c r="O385" s="2" t="s">
        <v>115</v>
      </c>
      <c r="P385" s="2" t="s">
        <v>741</v>
      </c>
      <c r="Q385" s="2" t="s">
        <v>742</v>
      </c>
      <c r="R385" s="2">
        <v>1</v>
      </c>
      <c r="S385" s="2">
        <v>20.27</v>
      </c>
      <c r="T385" s="2">
        <v>4.6620999999999997</v>
      </c>
      <c r="U385" s="2">
        <v>24.932099999999998</v>
      </c>
      <c r="V385" s="2">
        <v>10.38</v>
      </c>
      <c r="W385" s="5">
        <f t="shared" si="41"/>
        <v>0.48791317217562896</v>
      </c>
      <c r="Y385" s="2" t="s">
        <v>118</v>
      </c>
      <c r="Z385" s="2" t="s">
        <v>119</v>
      </c>
      <c r="AA385" s="2" t="s">
        <v>120</v>
      </c>
      <c r="AB385" s="2" t="s">
        <v>115</v>
      </c>
      <c r="AE385" s="2">
        <f t="shared" si="37"/>
        <v>0</v>
      </c>
      <c r="AF385" s="2">
        <f>9.75+0.63</f>
        <v>10.38</v>
      </c>
      <c r="AI385" s="2">
        <f t="shared" si="38"/>
        <v>0</v>
      </c>
      <c r="AJ385" s="2">
        <f t="shared" si="39"/>
        <v>9.8899999999999988</v>
      </c>
      <c r="AK385" s="5">
        <f t="shared" si="42"/>
        <v>0.48791317217562896</v>
      </c>
    </row>
    <row r="386" spans="1:37" x14ac:dyDescent="0.2">
      <c r="A386" s="2">
        <v>2025</v>
      </c>
      <c r="B386" s="2">
        <v>2</v>
      </c>
      <c r="C386" s="2" t="s">
        <v>337</v>
      </c>
      <c r="D386" s="2" t="s">
        <v>109</v>
      </c>
      <c r="E386" s="2" t="s">
        <v>39</v>
      </c>
      <c r="F386" s="2">
        <v>503373494</v>
      </c>
      <c r="G386" s="2" t="s">
        <v>291</v>
      </c>
      <c r="H386" s="2" t="s">
        <v>338</v>
      </c>
      <c r="I386" s="2" t="s">
        <v>339</v>
      </c>
      <c r="J386" s="2">
        <v>965852001</v>
      </c>
      <c r="K386" s="2" t="s">
        <v>340</v>
      </c>
      <c r="O386" s="2" t="s">
        <v>73</v>
      </c>
      <c r="P386" s="2" t="s">
        <v>74</v>
      </c>
      <c r="Q386" s="2" t="s">
        <v>75</v>
      </c>
      <c r="R386" s="2">
        <v>1</v>
      </c>
      <c r="S386" s="2">
        <v>215</v>
      </c>
      <c r="T386" s="2">
        <v>49.45</v>
      </c>
      <c r="U386" s="2">
        <v>264.45</v>
      </c>
      <c r="V386" s="2">
        <v>117.453</v>
      </c>
      <c r="W386" s="5">
        <f t="shared" si="41"/>
        <v>0.45370697674418603</v>
      </c>
      <c r="Y386" s="2" t="s">
        <v>3256</v>
      </c>
      <c r="Z386" s="2" t="s">
        <v>76</v>
      </c>
      <c r="AA386" s="2" t="s">
        <v>77</v>
      </c>
      <c r="AB386" s="2" t="s">
        <v>78</v>
      </c>
      <c r="AE386" s="2">
        <f t="shared" ref="AE386:AE449" si="43">AI386</f>
        <v>0</v>
      </c>
      <c r="AF386" s="2">
        <v>117.453</v>
      </c>
      <c r="AG386" s="2">
        <v>220</v>
      </c>
      <c r="AI386" s="2">
        <f t="shared" ref="AI386:AI449" si="44">AH386*S386</f>
        <v>0</v>
      </c>
      <c r="AJ386" s="2">
        <f t="shared" ref="AJ386:AJ449" si="45">S386-V386</f>
        <v>97.546999999999997</v>
      </c>
      <c r="AK386" s="5">
        <f t="shared" si="42"/>
        <v>0.45370697674418603</v>
      </c>
    </row>
    <row r="387" spans="1:37" x14ac:dyDescent="0.2">
      <c r="A387" s="2">
        <v>2025</v>
      </c>
      <c r="B387" s="2">
        <v>2</v>
      </c>
      <c r="C387" s="2" t="s">
        <v>337</v>
      </c>
      <c r="D387" s="2" t="s">
        <v>109</v>
      </c>
      <c r="E387" s="2" t="s">
        <v>39</v>
      </c>
      <c r="F387" s="2">
        <v>503373494</v>
      </c>
      <c r="G387" s="2" t="s">
        <v>291</v>
      </c>
      <c r="H387" s="2" t="s">
        <v>338</v>
      </c>
      <c r="I387" s="2" t="s">
        <v>339</v>
      </c>
      <c r="J387" s="2">
        <v>965852001</v>
      </c>
      <c r="K387" s="2" t="s">
        <v>340</v>
      </c>
      <c r="O387" s="2" t="s">
        <v>94</v>
      </c>
      <c r="P387" s="2" t="s">
        <v>95</v>
      </c>
      <c r="Q387" s="2" t="s">
        <v>96</v>
      </c>
      <c r="R387" s="2">
        <v>1</v>
      </c>
      <c r="S387" s="2">
        <v>1.1399999999999999</v>
      </c>
      <c r="T387" s="2">
        <v>0.26219999999999999</v>
      </c>
      <c r="U387" s="2">
        <v>1.4021999999999999</v>
      </c>
      <c r="V387" s="2">
        <v>1.1399999999999999</v>
      </c>
      <c r="W387" s="5">
        <f t="shared" si="41"/>
        <v>0</v>
      </c>
      <c r="Y387" s="2" t="s">
        <v>3256</v>
      </c>
      <c r="Z387" s="2" t="s">
        <v>97</v>
      </c>
      <c r="AA387" s="2" t="s">
        <v>77</v>
      </c>
      <c r="AB387" s="2" t="s">
        <v>94</v>
      </c>
      <c r="AE387" s="2">
        <f t="shared" si="43"/>
        <v>0</v>
      </c>
      <c r="AF387" s="2">
        <v>1.1399999999999999</v>
      </c>
      <c r="AG387" s="2">
        <v>1.1399999999999999</v>
      </c>
      <c r="AI387" s="2">
        <f t="shared" si="44"/>
        <v>0</v>
      </c>
      <c r="AJ387" s="2">
        <f t="shared" si="45"/>
        <v>0</v>
      </c>
      <c r="AK387" s="5">
        <f t="shared" si="42"/>
        <v>0</v>
      </c>
    </row>
    <row r="388" spans="1:37" x14ac:dyDescent="0.2">
      <c r="A388" s="2">
        <v>2025</v>
      </c>
      <c r="B388" s="2">
        <v>2</v>
      </c>
      <c r="C388" s="2" t="s">
        <v>743</v>
      </c>
      <c r="D388" s="2" t="s">
        <v>109</v>
      </c>
      <c r="E388" s="2" t="s">
        <v>723</v>
      </c>
      <c r="F388" s="2">
        <v>500331596</v>
      </c>
      <c r="G388" s="2" t="s">
        <v>40</v>
      </c>
      <c r="H388" s="2" t="s">
        <v>744</v>
      </c>
      <c r="I388" s="2" t="s">
        <v>745</v>
      </c>
      <c r="K388" s="2" t="s">
        <v>345</v>
      </c>
      <c r="L388" s="2" t="s">
        <v>40</v>
      </c>
      <c r="N388" s="2" t="s">
        <v>746</v>
      </c>
      <c r="O388" s="2" t="s">
        <v>115</v>
      </c>
      <c r="P388" s="2" t="s">
        <v>180</v>
      </c>
      <c r="Q388" s="2" t="s">
        <v>181</v>
      </c>
      <c r="R388" s="2">
        <v>2</v>
      </c>
      <c r="S388" s="2">
        <v>1398.6</v>
      </c>
      <c r="T388" s="2">
        <v>321.678</v>
      </c>
      <c r="U388" s="2">
        <v>1720.278</v>
      </c>
      <c r="V388" s="2">
        <v>693.14</v>
      </c>
      <c r="W388" s="5">
        <f t="shared" si="41"/>
        <v>0.50440440440440437</v>
      </c>
      <c r="Y388" s="2" t="s">
        <v>118</v>
      </c>
      <c r="Z388" s="2" t="s">
        <v>182</v>
      </c>
      <c r="AE388" s="2">
        <f t="shared" si="43"/>
        <v>0</v>
      </c>
      <c r="AI388" s="2">
        <f t="shared" si="44"/>
        <v>0</v>
      </c>
      <c r="AJ388" s="2">
        <f t="shared" si="45"/>
        <v>705.45999999999992</v>
      </c>
      <c r="AK388" s="5">
        <f t="shared" si="42"/>
        <v>0.50440440440440437</v>
      </c>
    </row>
    <row r="389" spans="1:37" x14ac:dyDescent="0.2">
      <c r="A389" s="2">
        <v>2025</v>
      </c>
      <c r="B389" s="2">
        <v>2</v>
      </c>
      <c r="C389" s="2" t="s">
        <v>743</v>
      </c>
      <c r="D389" s="2" t="s">
        <v>109</v>
      </c>
      <c r="E389" s="2" t="s">
        <v>723</v>
      </c>
      <c r="F389" s="2">
        <v>500331596</v>
      </c>
      <c r="G389" s="2" t="s">
        <v>40</v>
      </c>
      <c r="H389" s="2" t="s">
        <v>744</v>
      </c>
      <c r="I389" s="2" t="s">
        <v>745</v>
      </c>
      <c r="K389" s="2" t="s">
        <v>345</v>
      </c>
      <c r="L389" s="2" t="s">
        <v>40</v>
      </c>
      <c r="N389" s="2" t="s">
        <v>746</v>
      </c>
      <c r="O389" s="2" t="s">
        <v>188</v>
      </c>
      <c r="P389" s="2" t="s">
        <v>189</v>
      </c>
      <c r="Q389" s="2" t="s">
        <v>190</v>
      </c>
      <c r="R389" s="2">
        <v>1</v>
      </c>
      <c r="S389" s="2">
        <v>278</v>
      </c>
      <c r="T389" s="2">
        <v>63.94</v>
      </c>
      <c r="U389" s="2">
        <v>341.94</v>
      </c>
      <c r="W389" s="5">
        <f t="shared" si="41"/>
        <v>1</v>
      </c>
      <c r="Y389" s="2" t="s">
        <v>118</v>
      </c>
      <c r="Z389" s="2" t="s">
        <v>191</v>
      </c>
      <c r="AE389" s="2">
        <f t="shared" si="43"/>
        <v>0</v>
      </c>
      <c r="AI389" s="2">
        <f t="shared" si="44"/>
        <v>0</v>
      </c>
      <c r="AJ389" s="2">
        <f t="shared" si="45"/>
        <v>278</v>
      </c>
      <c r="AK389" s="5">
        <f t="shared" si="42"/>
        <v>1</v>
      </c>
    </row>
    <row r="390" spans="1:37" x14ac:dyDescent="0.2">
      <c r="A390" s="2">
        <v>2025</v>
      </c>
      <c r="B390" s="2">
        <v>2</v>
      </c>
      <c r="C390" s="2" t="s">
        <v>743</v>
      </c>
      <c r="D390" s="2" t="s">
        <v>109</v>
      </c>
      <c r="E390" s="2" t="s">
        <v>723</v>
      </c>
      <c r="F390" s="2">
        <v>500331596</v>
      </c>
      <c r="G390" s="2" t="s">
        <v>40</v>
      </c>
      <c r="H390" s="2" t="s">
        <v>744</v>
      </c>
      <c r="I390" s="2" t="s">
        <v>745</v>
      </c>
      <c r="K390" s="2" t="s">
        <v>345</v>
      </c>
      <c r="L390" s="2" t="s">
        <v>40</v>
      </c>
      <c r="N390" s="2" t="s">
        <v>746</v>
      </c>
      <c r="O390" s="2" t="s">
        <v>188</v>
      </c>
      <c r="P390" s="2" t="s">
        <v>192</v>
      </c>
      <c r="Q390" s="2" t="s">
        <v>191</v>
      </c>
      <c r="R390" s="2">
        <v>2</v>
      </c>
      <c r="S390" s="2">
        <v>50</v>
      </c>
      <c r="T390" s="2">
        <v>11.5</v>
      </c>
      <c r="U390" s="2">
        <v>61.5</v>
      </c>
      <c r="V390" s="2">
        <f>S390*50%</f>
        <v>25</v>
      </c>
      <c r="W390" s="5">
        <f t="shared" ref="W390:W421" si="46">(S390-V390)/S390</f>
        <v>0.5</v>
      </c>
      <c r="Y390" s="2" t="s">
        <v>118</v>
      </c>
      <c r="Z390" s="2" t="s">
        <v>191</v>
      </c>
      <c r="AE390" s="2">
        <f t="shared" si="43"/>
        <v>0</v>
      </c>
      <c r="AI390" s="2">
        <f t="shared" si="44"/>
        <v>0</v>
      </c>
      <c r="AJ390" s="2">
        <f t="shared" si="45"/>
        <v>25</v>
      </c>
      <c r="AK390" s="5">
        <f t="shared" si="42"/>
        <v>0.5</v>
      </c>
    </row>
    <row r="391" spans="1:37" x14ac:dyDescent="0.2">
      <c r="A391" s="2">
        <v>2025</v>
      </c>
      <c r="B391" s="2">
        <v>2</v>
      </c>
      <c r="C391" s="2" t="s">
        <v>747</v>
      </c>
      <c r="O391" s="2" t="s">
        <v>115</v>
      </c>
      <c r="P391" s="2" t="s">
        <v>375</v>
      </c>
      <c r="Q391" s="2" t="s">
        <v>376</v>
      </c>
      <c r="R391" s="2">
        <v>1</v>
      </c>
      <c r="S391" s="2">
        <v>45.07</v>
      </c>
      <c r="T391" s="2">
        <v>10.366099999999999</v>
      </c>
      <c r="U391" s="2">
        <v>55.436100000000003</v>
      </c>
      <c r="W391" s="5">
        <f t="shared" si="46"/>
        <v>1</v>
      </c>
      <c r="AE391" s="2">
        <f t="shared" si="43"/>
        <v>0</v>
      </c>
      <c r="AI391" s="2">
        <f t="shared" si="44"/>
        <v>0</v>
      </c>
      <c r="AJ391" s="2">
        <f t="shared" si="45"/>
        <v>45.07</v>
      </c>
      <c r="AK391" s="5">
        <f t="shared" si="42"/>
        <v>1</v>
      </c>
    </row>
    <row r="392" spans="1:37" x14ac:dyDescent="0.2">
      <c r="A392" s="2">
        <v>2025</v>
      </c>
      <c r="B392" s="2">
        <v>2</v>
      </c>
      <c r="C392" s="2" t="s">
        <v>747</v>
      </c>
      <c r="O392" s="2" t="s">
        <v>170</v>
      </c>
      <c r="P392" s="2" t="s">
        <v>171</v>
      </c>
      <c r="Q392" s="2" t="s">
        <v>171</v>
      </c>
      <c r="R392" s="2">
        <v>1</v>
      </c>
      <c r="S392" s="2">
        <v>5</v>
      </c>
      <c r="T392" s="2">
        <v>1.1499999999999999</v>
      </c>
      <c r="U392" s="2">
        <v>6.15</v>
      </c>
      <c r="W392" s="5">
        <f t="shared" si="46"/>
        <v>1</v>
      </c>
      <c r="Y392" s="2" t="s">
        <v>170</v>
      </c>
      <c r="Z392" s="2" t="s">
        <v>170</v>
      </c>
      <c r="AE392" s="2">
        <f t="shared" si="43"/>
        <v>0</v>
      </c>
      <c r="AI392" s="2">
        <f t="shared" si="44"/>
        <v>0</v>
      </c>
      <c r="AJ392" s="2">
        <f t="shared" si="45"/>
        <v>5</v>
      </c>
      <c r="AK392" s="5">
        <f t="shared" si="42"/>
        <v>1</v>
      </c>
    </row>
    <row r="393" spans="1:37" x14ac:dyDescent="0.2">
      <c r="A393" s="2">
        <v>2025</v>
      </c>
      <c r="B393" s="2">
        <v>2</v>
      </c>
      <c r="C393" s="2" t="s">
        <v>748</v>
      </c>
      <c r="O393" s="2" t="s">
        <v>73</v>
      </c>
      <c r="P393" s="2" t="s">
        <v>749</v>
      </c>
      <c r="Q393" s="2" t="s">
        <v>383</v>
      </c>
      <c r="R393" s="2">
        <v>1</v>
      </c>
      <c r="S393" s="2">
        <v>257.60000000000002</v>
      </c>
      <c r="T393" s="2">
        <v>59.247999999999998</v>
      </c>
      <c r="U393" s="2">
        <v>316.84800000000001</v>
      </c>
      <c r="W393" s="5">
        <f t="shared" si="46"/>
        <v>1</v>
      </c>
      <c r="Y393" s="2" t="s">
        <v>3256</v>
      </c>
      <c r="Z393" s="2" t="s">
        <v>76</v>
      </c>
      <c r="AA393" s="2" t="s">
        <v>77</v>
      </c>
      <c r="AB393" s="2" t="s">
        <v>78</v>
      </c>
      <c r="AE393" s="2">
        <f t="shared" si="43"/>
        <v>0</v>
      </c>
      <c r="AI393" s="2">
        <f t="shared" si="44"/>
        <v>0</v>
      </c>
      <c r="AJ393" s="2">
        <f t="shared" si="45"/>
        <v>257.60000000000002</v>
      </c>
      <c r="AK393" s="5">
        <f t="shared" si="42"/>
        <v>1</v>
      </c>
    </row>
    <row r="394" spans="1:37" x14ac:dyDescent="0.2">
      <c r="A394" s="2">
        <v>2025</v>
      </c>
      <c r="B394" s="2">
        <v>2</v>
      </c>
      <c r="C394" s="2" t="s">
        <v>748</v>
      </c>
      <c r="O394" s="2" t="s">
        <v>94</v>
      </c>
      <c r="P394" s="2" t="s">
        <v>95</v>
      </c>
      <c r="Q394" s="2" t="s">
        <v>96</v>
      </c>
      <c r="R394" s="2">
        <v>1</v>
      </c>
      <c r="S394" s="2">
        <v>1.1399999999999999</v>
      </c>
      <c r="T394" s="2">
        <v>0.26219999999999999</v>
      </c>
      <c r="U394" s="2">
        <v>1.4021999999999999</v>
      </c>
      <c r="V394" s="2">
        <v>1.1399999999999999</v>
      </c>
      <c r="W394" s="5">
        <f t="shared" si="46"/>
        <v>0</v>
      </c>
      <c r="Y394" s="2" t="s">
        <v>3256</v>
      </c>
      <c r="Z394" s="2" t="s">
        <v>97</v>
      </c>
      <c r="AA394" s="2" t="s">
        <v>77</v>
      </c>
      <c r="AB394" s="2" t="s">
        <v>94</v>
      </c>
      <c r="AE394" s="2">
        <f t="shared" si="43"/>
        <v>0</v>
      </c>
      <c r="AI394" s="2">
        <f t="shared" si="44"/>
        <v>0</v>
      </c>
      <c r="AJ394" s="2">
        <f t="shared" si="45"/>
        <v>0</v>
      </c>
      <c r="AK394" s="5">
        <f t="shared" si="42"/>
        <v>0</v>
      </c>
    </row>
    <row r="395" spans="1:37" x14ac:dyDescent="0.2">
      <c r="A395" s="2">
        <v>2025</v>
      </c>
      <c r="B395" s="2">
        <v>2</v>
      </c>
      <c r="C395" s="2" t="s">
        <v>750</v>
      </c>
      <c r="D395" s="2" t="s">
        <v>109</v>
      </c>
      <c r="E395" s="2" t="s">
        <v>39</v>
      </c>
      <c r="F395" s="2">
        <v>509181163</v>
      </c>
      <c r="G395" s="2" t="s">
        <v>40</v>
      </c>
      <c r="H395" s="2" t="s">
        <v>751</v>
      </c>
      <c r="I395" s="2" t="s">
        <v>752</v>
      </c>
      <c r="J395" s="2">
        <v>962372760</v>
      </c>
      <c r="K395" s="2" t="s">
        <v>202</v>
      </c>
      <c r="L395" s="2" t="s">
        <v>40</v>
      </c>
      <c r="O395" s="2" t="s">
        <v>40</v>
      </c>
      <c r="P395" s="2" t="s">
        <v>753</v>
      </c>
      <c r="Q395" s="2" t="s">
        <v>754</v>
      </c>
      <c r="R395" s="2">
        <v>1</v>
      </c>
      <c r="S395" s="2">
        <v>129.6</v>
      </c>
      <c r="T395" s="2">
        <v>29.808</v>
      </c>
      <c r="U395" s="2">
        <v>159.40799999999999</v>
      </c>
      <c r="W395" s="5">
        <f t="shared" si="46"/>
        <v>1</v>
      </c>
      <c r="Y395" s="2" t="s">
        <v>118</v>
      </c>
      <c r="Z395" s="2" t="s">
        <v>119</v>
      </c>
      <c r="AA395" s="2" t="s">
        <v>120</v>
      </c>
      <c r="AE395" s="2">
        <f t="shared" si="43"/>
        <v>0</v>
      </c>
      <c r="AI395" s="2">
        <f t="shared" si="44"/>
        <v>0</v>
      </c>
      <c r="AJ395" s="2">
        <f t="shared" si="45"/>
        <v>129.6</v>
      </c>
      <c r="AK395" s="5">
        <f t="shared" si="42"/>
        <v>1</v>
      </c>
    </row>
    <row r="396" spans="1:37" x14ac:dyDescent="0.2">
      <c r="A396" s="2">
        <v>2025</v>
      </c>
      <c r="B396" s="2">
        <v>2</v>
      </c>
      <c r="C396" s="2" t="s">
        <v>750</v>
      </c>
      <c r="D396" s="2" t="s">
        <v>109</v>
      </c>
      <c r="E396" s="2" t="s">
        <v>39</v>
      </c>
      <c r="F396" s="2">
        <v>509181163</v>
      </c>
      <c r="G396" s="2" t="s">
        <v>40</v>
      </c>
      <c r="H396" s="2" t="s">
        <v>751</v>
      </c>
      <c r="I396" s="2" t="s">
        <v>752</v>
      </c>
      <c r="J396" s="2">
        <v>962372760</v>
      </c>
      <c r="K396" s="2" t="s">
        <v>202</v>
      </c>
      <c r="L396" s="2" t="s">
        <v>40</v>
      </c>
      <c r="O396" s="2" t="s">
        <v>188</v>
      </c>
      <c r="P396" s="2" t="s">
        <v>189</v>
      </c>
      <c r="Q396" s="2" t="s">
        <v>190</v>
      </c>
      <c r="R396" s="2">
        <v>1</v>
      </c>
      <c r="S396" s="2">
        <v>51.75</v>
      </c>
      <c r="T396" s="2">
        <v>11.9025</v>
      </c>
      <c r="U396" s="2">
        <v>63.652500000000003</v>
      </c>
      <c r="W396" s="5">
        <f t="shared" si="46"/>
        <v>1</v>
      </c>
      <c r="Y396" s="2" t="s">
        <v>118</v>
      </c>
      <c r="Z396" s="2" t="s">
        <v>191</v>
      </c>
      <c r="AE396" s="2">
        <f t="shared" si="43"/>
        <v>0</v>
      </c>
      <c r="AI396" s="2">
        <f t="shared" si="44"/>
        <v>0</v>
      </c>
      <c r="AJ396" s="2">
        <f t="shared" si="45"/>
        <v>51.75</v>
      </c>
      <c r="AK396" s="5">
        <f t="shared" si="42"/>
        <v>1</v>
      </c>
    </row>
    <row r="397" spans="1:37" x14ac:dyDescent="0.2">
      <c r="A397" s="2">
        <v>2025</v>
      </c>
      <c r="B397" s="2">
        <v>2</v>
      </c>
      <c r="C397" s="2" t="s">
        <v>750</v>
      </c>
      <c r="D397" s="2" t="s">
        <v>109</v>
      </c>
      <c r="E397" s="2" t="s">
        <v>39</v>
      </c>
      <c r="F397" s="2">
        <v>509181163</v>
      </c>
      <c r="G397" s="2" t="s">
        <v>40</v>
      </c>
      <c r="H397" s="2" t="s">
        <v>751</v>
      </c>
      <c r="I397" s="2" t="s">
        <v>752</v>
      </c>
      <c r="J397" s="2">
        <v>962372760</v>
      </c>
      <c r="K397" s="2" t="s">
        <v>202</v>
      </c>
      <c r="L397" s="2" t="s">
        <v>40</v>
      </c>
      <c r="O397" s="2" t="s">
        <v>188</v>
      </c>
      <c r="P397" s="2" t="s">
        <v>192</v>
      </c>
      <c r="Q397" s="2" t="s">
        <v>191</v>
      </c>
      <c r="R397" s="2">
        <v>3</v>
      </c>
      <c r="S397" s="2">
        <v>90</v>
      </c>
      <c r="T397" s="2">
        <v>20.7</v>
      </c>
      <c r="U397" s="2">
        <v>110.7</v>
      </c>
      <c r="V397" s="2">
        <f>S397*50%</f>
        <v>45</v>
      </c>
      <c r="W397" s="5">
        <f t="shared" si="46"/>
        <v>0.5</v>
      </c>
      <c r="Y397" s="2" t="s">
        <v>118</v>
      </c>
      <c r="Z397" s="2" t="s">
        <v>191</v>
      </c>
      <c r="AE397" s="2">
        <f t="shared" si="43"/>
        <v>0</v>
      </c>
      <c r="AI397" s="2">
        <f t="shared" si="44"/>
        <v>0</v>
      </c>
      <c r="AJ397" s="2">
        <f t="shared" si="45"/>
        <v>45</v>
      </c>
      <c r="AK397" s="5">
        <f t="shared" si="42"/>
        <v>0.5</v>
      </c>
    </row>
    <row r="398" spans="1:37" x14ac:dyDescent="0.2">
      <c r="A398" s="2">
        <v>2025</v>
      </c>
      <c r="B398" s="2">
        <v>2</v>
      </c>
      <c r="C398" s="2" t="s">
        <v>750</v>
      </c>
      <c r="D398" s="2" t="s">
        <v>109</v>
      </c>
      <c r="E398" s="2" t="s">
        <v>39</v>
      </c>
      <c r="F398" s="2">
        <v>509181163</v>
      </c>
      <c r="G398" s="2" t="s">
        <v>40</v>
      </c>
      <c r="H398" s="2" t="s">
        <v>751</v>
      </c>
      <c r="I398" s="2" t="s">
        <v>752</v>
      </c>
      <c r="J398" s="2">
        <v>962372760</v>
      </c>
      <c r="K398" s="2" t="s">
        <v>202</v>
      </c>
      <c r="O398" s="2" t="s">
        <v>40</v>
      </c>
      <c r="P398" s="2" t="s">
        <v>364</v>
      </c>
      <c r="Q398" s="2" t="s">
        <v>365</v>
      </c>
      <c r="R398" s="2">
        <v>1</v>
      </c>
      <c r="S398" s="2">
        <v>135</v>
      </c>
      <c r="T398" s="2">
        <v>31.05</v>
      </c>
      <c r="U398" s="2">
        <v>166.05</v>
      </c>
      <c r="W398" s="5">
        <f t="shared" si="46"/>
        <v>1</v>
      </c>
      <c r="Y398" s="2" t="s">
        <v>120</v>
      </c>
      <c r="AE398" s="2">
        <f t="shared" si="43"/>
        <v>0</v>
      </c>
      <c r="AI398" s="2">
        <f t="shared" si="44"/>
        <v>0</v>
      </c>
      <c r="AJ398" s="2">
        <f t="shared" si="45"/>
        <v>135</v>
      </c>
      <c r="AK398" s="5">
        <f t="shared" si="42"/>
        <v>1</v>
      </c>
    </row>
    <row r="399" spans="1:37" x14ac:dyDescent="0.2">
      <c r="A399" s="2">
        <v>2025</v>
      </c>
      <c r="B399" s="2">
        <v>2</v>
      </c>
      <c r="C399" s="2" t="s">
        <v>755</v>
      </c>
      <c r="D399" s="2" t="s">
        <v>109</v>
      </c>
      <c r="E399" s="2" t="s">
        <v>39</v>
      </c>
      <c r="F399" s="2">
        <v>510039537</v>
      </c>
      <c r="G399" s="2" t="s">
        <v>40</v>
      </c>
      <c r="H399" s="2" t="s">
        <v>576</v>
      </c>
      <c r="I399" s="2" t="s">
        <v>756</v>
      </c>
      <c r="J399" s="2">
        <v>969042927</v>
      </c>
      <c r="K399" s="2" t="s">
        <v>576</v>
      </c>
      <c r="O399" s="2" t="s">
        <v>115</v>
      </c>
      <c r="P399" s="2" t="s">
        <v>471</v>
      </c>
      <c r="Q399" s="2" t="s">
        <v>472</v>
      </c>
      <c r="R399" s="2">
        <v>2</v>
      </c>
      <c r="S399" s="2">
        <v>837.98</v>
      </c>
      <c r="T399" s="2">
        <v>192.7354</v>
      </c>
      <c r="U399" s="2">
        <v>1030.7154</v>
      </c>
      <c r="W399" s="5">
        <f t="shared" si="46"/>
        <v>1</v>
      </c>
      <c r="AE399" s="2">
        <f t="shared" si="43"/>
        <v>0</v>
      </c>
      <c r="AI399" s="2">
        <f t="shared" si="44"/>
        <v>0</v>
      </c>
      <c r="AJ399" s="2">
        <f t="shared" si="45"/>
        <v>837.98</v>
      </c>
      <c r="AK399" s="5">
        <f t="shared" si="42"/>
        <v>1</v>
      </c>
    </row>
    <row r="400" spans="1:37" x14ac:dyDescent="0.2">
      <c r="A400" s="2">
        <v>2025</v>
      </c>
      <c r="B400" s="2">
        <v>2</v>
      </c>
      <c r="C400" s="2" t="s">
        <v>755</v>
      </c>
      <c r="D400" s="2" t="s">
        <v>109</v>
      </c>
      <c r="E400" s="2" t="s">
        <v>39</v>
      </c>
      <c r="F400" s="2">
        <v>510039537</v>
      </c>
      <c r="G400" s="2" t="s">
        <v>40</v>
      </c>
      <c r="H400" s="2" t="s">
        <v>576</v>
      </c>
      <c r="I400" s="2" t="s">
        <v>756</v>
      </c>
      <c r="J400" s="2">
        <v>969042927</v>
      </c>
      <c r="K400" s="2" t="s">
        <v>576</v>
      </c>
      <c r="L400" s="2" t="s">
        <v>40</v>
      </c>
      <c r="O400" s="2" t="s">
        <v>188</v>
      </c>
      <c r="P400" s="2" t="s">
        <v>189</v>
      </c>
      <c r="Q400" s="2" t="s">
        <v>190</v>
      </c>
      <c r="R400" s="2">
        <v>1</v>
      </c>
      <c r="S400" s="2">
        <v>0</v>
      </c>
      <c r="T400" s="2">
        <v>0</v>
      </c>
      <c r="U400" s="2">
        <v>0</v>
      </c>
      <c r="W400" s="5" t="e">
        <f t="shared" si="46"/>
        <v>#DIV/0!</v>
      </c>
      <c r="Y400" s="2" t="s">
        <v>118</v>
      </c>
      <c r="Z400" s="2" t="s">
        <v>191</v>
      </c>
      <c r="AE400" s="2">
        <f t="shared" si="43"/>
        <v>0</v>
      </c>
      <c r="AI400" s="2">
        <f t="shared" si="44"/>
        <v>0</v>
      </c>
      <c r="AJ400" s="2">
        <f t="shared" si="45"/>
        <v>0</v>
      </c>
      <c r="AK400" s="5" t="e">
        <f t="shared" si="42"/>
        <v>#DIV/0!</v>
      </c>
    </row>
    <row r="401" spans="1:37" x14ac:dyDescent="0.2">
      <c r="A401" s="2">
        <v>2025</v>
      </c>
      <c r="B401" s="2">
        <v>2</v>
      </c>
      <c r="C401" s="2" t="s">
        <v>755</v>
      </c>
      <c r="D401" s="2" t="s">
        <v>109</v>
      </c>
      <c r="E401" s="2" t="s">
        <v>39</v>
      </c>
      <c r="F401" s="2">
        <v>510039537</v>
      </c>
      <c r="G401" s="2" t="s">
        <v>40</v>
      </c>
      <c r="H401" s="2" t="s">
        <v>576</v>
      </c>
      <c r="I401" s="2" t="s">
        <v>756</v>
      </c>
      <c r="J401" s="2">
        <v>969042927</v>
      </c>
      <c r="K401" s="2" t="s">
        <v>576</v>
      </c>
      <c r="L401" s="2" t="s">
        <v>40</v>
      </c>
      <c r="O401" s="2" t="s">
        <v>188</v>
      </c>
      <c r="P401" s="2" t="s">
        <v>192</v>
      </c>
      <c r="Q401" s="2" t="s">
        <v>191</v>
      </c>
      <c r="R401" s="2">
        <v>2</v>
      </c>
      <c r="S401" s="2">
        <v>90</v>
      </c>
      <c r="T401" s="2">
        <v>20.7</v>
      </c>
      <c r="U401" s="2">
        <v>110.7</v>
      </c>
      <c r="V401" s="2">
        <f>S401*50%</f>
        <v>45</v>
      </c>
      <c r="W401" s="5">
        <f t="shared" si="46"/>
        <v>0.5</v>
      </c>
      <c r="Y401" s="2" t="s">
        <v>118</v>
      </c>
      <c r="Z401" s="2" t="s">
        <v>191</v>
      </c>
      <c r="AE401" s="2">
        <f t="shared" si="43"/>
        <v>0</v>
      </c>
      <c r="AI401" s="2">
        <f t="shared" si="44"/>
        <v>0</v>
      </c>
      <c r="AJ401" s="2">
        <f t="shared" si="45"/>
        <v>45</v>
      </c>
      <c r="AK401" s="5">
        <f t="shared" si="42"/>
        <v>0.5</v>
      </c>
    </row>
    <row r="402" spans="1:37" x14ac:dyDescent="0.2">
      <c r="A402" s="2">
        <v>2025</v>
      </c>
      <c r="B402" s="2">
        <v>2</v>
      </c>
      <c r="C402" s="2" t="s">
        <v>757</v>
      </c>
      <c r="D402" s="2" t="s">
        <v>758</v>
      </c>
      <c r="E402" s="2" t="s">
        <v>39</v>
      </c>
      <c r="F402" s="2">
        <v>190948426</v>
      </c>
      <c r="G402" s="2" t="s">
        <v>40</v>
      </c>
      <c r="H402" s="2" t="s">
        <v>759</v>
      </c>
      <c r="I402" s="2" t="s">
        <v>760</v>
      </c>
      <c r="J402" s="2">
        <v>916288855</v>
      </c>
      <c r="K402" s="2" t="s">
        <v>202</v>
      </c>
      <c r="O402" s="2" t="s">
        <v>283</v>
      </c>
      <c r="P402" s="2" t="s">
        <v>761</v>
      </c>
      <c r="Q402" s="2" t="s">
        <v>762</v>
      </c>
      <c r="R402" s="2">
        <v>1</v>
      </c>
      <c r="S402" s="2">
        <v>4.9000000000000004</v>
      </c>
      <c r="T402" s="2">
        <v>1.127</v>
      </c>
      <c r="U402" s="2">
        <v>6.027000000000001</v>
      </c>
      <c r="W402" s="5">
        <f t="shared" si="46"/>
        <v>1</v>
      </c>
      <c r="Y402" s="2" t="s">
        <v>3256</v>
      </c>
      <c r="AE402" s="2">
        <f t="shared" si="43"/>
        <v>0</v>
      </c>
      <c r="AI402" s="2">
        <f t="shared" si="44"/>
        <v>0</v>
      </c>
      <c r="AJ402" s="2">
        <f t="shared" si="45"/>
        <v>4.9000000000000004</v>
      </c>
      <c r="AK402" s="5">
        <f t="shared" si="42"/>
        <v>1</v>
      </c>
    </row>
    <row r="403" spans="1:37" x14ac:dyDescent="0.2">
      <c r="A403" s="2">
        <v>2025</v>
      </c>
      <c r="B403" s="2">
        <v>2</v>
      </c>
      <c r="C403" s="2" t="s">
        <v>757</v>
      </c>
      <c r="D403" s="2" t="s">
        <v>758</v>
      </c>
      <c r="E403" s="2" t="s">
        <v>39</v>
      </c>
      <c r="F403" s="2">
        <v>190948426</v>
      </c>
      <c r="G403" s="2" t="s">
        <v>40</v>
      </c>
      <c r="H403" s="2" t="s">
        <v>759</v>
      </c>
      <c r="I403" s="2" t="s">
        <v>760</v>
      </c>
      <c r="J403" s="2">
        <v>916288855</v>
      </c>
      <c r="K403" s="2" t="s">
        <v>202</v>
      </c>
      <c r="O403" s="2" t="s">
        <v>283</v>
      </c>
      <c r="P403" s="2" t="s">
        <v>763</v>
      </c>
      <c r="Q403" s="2" t="s">
        <v>764</v>
      </c>
      <c r="R403" s="2">
        <v>1</v>
      </c>
      <c r="S403" s="2">
        <v>5.9</v>
      </c>
      <c r="T403" s="2">
        <v>1.357</v>
      </c>
      <c r="U403" s="2">
        <v>7.2570000000000006</v>
      </c>
      <c r="W403" s="5">
        <f t="shared" si="46"/>
        <v>1</v>
      </c>
      <c r="Y403" s="2" t="s">
        <v>3256</v>
      </c>
      <c r="AE403" s="2">
        <f t="shared" si="43"/>
        <v>0</v>
      </c>
      <c r="AI403" s="2">
        <f t="shared" si="44"/>
        <v>0</v>
      </c>
      <c r="AJ403" s="2">
        <f t="shared" si="45"/>
        <v>5.9</v>
      </c>
      <c r="AK403" s="5">
        <f t="shared" si="42"/>
        <v>1</v>
      </c>
    </row>
    <row r="404" spans="1:37" x14ac:dyDescent="0.2">
      <c r="A404" s="2">
        <v>2025</v>
      </c>
      <c r="B404" s="2">
        <v>2</v>
      </c>
      <c r="C404" s="2" t="s">
        <v>757</v>
      </c>
      <c r="D404" s="2" t="s">
        <v>758</v>
      </c>
      <c r="E404" s="2" t="s">
        <v>39</v>
      </c>
      <c r="F404" s="2">
        <v>190948426</v>
      </c>
      <c r="G404" s="2" t="s">
        <v>40</v>
      </c>
      <c r="H404" s="2" t="s">
        <v>759</v>
      </c>
      <c r="I404" s="2" t="s">
        <v>760</v>
      </c>
      <c r="J404" s="2">
        <v>916288855</v>
      </c>
      <c r="K404" s="2" t="s">
        <v>202</v>
      </c>
      <c r="O404" s="2" t="s">
        <v>283</v>
      </c>
      <c r="P404" s="2" t="s">
        <v>765</v>
      </c>
      <c r="Q404" s="2" t="s">
        <v>766</v>
      </c>
      <c r="R404" s="2">
        <v>1</v>
      </c>
      <c r="S404" s="2">
        <v>5.9</v>
      </c>
      <c r="T404" s="2">
        <v>1.357</v>
      </c>
      <c r="U404" s="2">
        <v>7.2570000000000006</v>
      </c>
      <c r="W404" s="5">
        <f t="shared" si="46"/>
        <v>1</v>
      </c>
      <c r="Y404" s="2" t="s">
        <v>3256</v>
      </c>
      <c r="AE404" s="2">
        <f t="shared" si="43"/>
        <v>0</v>
      </c>
      <c r="AI404" s="2">
        <f t="shared" si="44"/>
        <v>0</v>
      </c>
      <c r="AJ404" s="2">
        <f t="shared" si="45"/>
        <v>5.9</v>
      </c>
      <c r="AK404" s="5">
        <f t="shared" si="42"/>
        <v>1</v>
      </c>
    </row>
    <row r="405" spans="1:37" x14ac:dyDescent="0.2">
      <c r="A405" s="2">
        <v>2025</v>
      </c>
      <c r="B405" s="2">
        <v>2</v>
      </c>
      <c r="C405" s="2" t="s">
        <v>767</v>
      </c>
      <c r="D405" s="2" t="s">
        <v>38</v>
      </c>
      <c r="E405" s="2" t="s">
        <v>39</v>
      </c>
      <c r="F405" s="2">
        <v>513685359</v>
      </c>
      <c r="G405" s="2" t="s">
        <v>41</v>
      </c>
      <c r="H405" s="2" t="s">
        <v>768</v>
      </c>
      <c r="I405" s="2" t="s">
        <v>769</v>
      </c>
      <c r="J405" s="2">
        <v>935546812</v>
      </c>
      <c r="K405" s="2" t="s">
        <v>422</v>
      </c>
      <c r="O405" s="2" t="s">
        <v>43</v>
      </c>
      <c r="P405" s="2" t="s">
        <v>55</v>
      </c>
      <c r="Q405" s="2" t="s">
        <v>56</v>
      </c>
      <c r="R405" s="2">
        <v>2</v>
      </c>
      <c r="S405" s="2">
        <v>36</v>
      </c>
      <c r="T405" s="2">
        <v>8.2800000000000011</v>
      </c>
      <c r="U405" s="2">
        <v>44.28</v>
      </c>
      <c r="V405" s="2">
        <f>10.6*R405</f>
        <v>21.2</v>
      </c>
      <c r="W405" s="5">
        <f t="shared" si="46"/>
        <v>0.41111111111111115</v>
      </c>
      <c r="Y405" s="2" t="s">
        <v>3256</v>
      </c>
      <c r="Z405" s="2" t="s">
        <v>46</v>
      </c>
      <c r="AA405" s="2" t="s">
        <v>57</v>
      </c>
      <c r="AB405" s="2" t="s">
        <v>58</v>
      </c>
      <c r="AE405" s="2">
        <f t="shared" si="43"/>
        <v>0</v>
      </c>
      <c r="AF405" s="2">
        <v>10.6</v>
      </c>
      <c r="AG405" s="2">
        <v>18</v>
      </c>
      <c r="AI405" s="2">
        <f t="shared" si="44"/>
        <v>0</v>
      </c>
      <c r="AJ405" s="2">
        <f t="shared" si="45"/>
        <v>14.8</v>
      </c>
      <c r="AK405" s="5">
        <f t="shared" si="42"/>
        <v>0.41111111111111115</v>
      </c>
    </row>
    <row r="406" spans="1:37" x14ac:dyDescent="0.2">
      <c r="A406" s="2">
        <v>2025</v>
      </c>
      <c r="B406" s="2">
        <v>2</v>
      </c>
      <c r="C406" s="2" t="s">
        <v>767</v>
      </c>
      <c r="D406" s="2" t="s">
        <v>38</v>
      </c>
      <c r="E406" s="2" t="s">
        <v>39</v>
      </c>
      <c r="F406" s="2">
        <v>513685359</v>
      </c>
      <c r="G406" s="2" t="s">
        <v>41</v>
      </c>
      <c r="H406" s="2" t="s">
        <v>768</v>
      </c>
      <c r="I406" s="2" t="s">
        <v>769</v>
      </c>
      <c r="J406" s="2">
        <v>935546812</v>
      </c>
      <c r="K406" s="2" t="s">
        <v>422</v>
      </c>
      <c r="O406" s="2" t="s">
        <v>43</v>
      </c>
      <c r="P406" s="2" t="s">
        <v>62</v>
      </c>
      <c r="Q406" s="2" t="s">
        <v>63</v>
      </c>
      <c r="R406" s="2">
        <v>100</v>
      </c>
      <c r="S406" s="2">
        <v>13</v>
      </c>
      <c r="T406" s="2">
        <v>2.99</v>
      </c>
      <c r="U406" s="2">
        <v>15.99</v>
      </c>
      <c r="V406" s="2">
        <f>0.082*R406</f>
        <v>8.2000000000000011</v>
      </c>
      <c r="W406" s="5">
        <f t="shared" si="46"/>
        <v>0.36923076923076914</v>
      </c>
      <c r="Y406" s="2" t="s">
        <v>3256</v>
      </c>
      <c r="Z406" s="2" t="s">
        <v>46</v>
      </c>
      <c r="AA406" s="2" t="s">
        <v>61</v>
      </c>
      <c r="AB406" s="2" t="s">
        <v>58</v>
      </c>
      <c r="AE406" s="2">
        <f t="shared" si="43"/>
        <v>0</v>
      </c>
      <c r="AF406" s="2">
        <v>8.1999999999999993</v>
      </c>
      <c r="AG406" s="2">
        <v>13</v>
      </c>
      <c r="AI406" s="2">
        <f t="shared" si="44"/>
        <v>0</v>
      </c>
      <c r="AJ406" s="2">
        <f t="shared" si="45"/>
        <v>4.7999999999999989</v>
      </c>
      <c r="AK406" s="5">
        <f t="shared" si="42"/>
        <v>0.36923076923076914</v>
      </c>
    </row>
    <row r="407" spans="1:37" x14ac:dyDescent="0.2">
      <c r="A407" s="2">
        <v>2025</v>
      </c>
      <c r="B407" s="2">
        <v>2</v>
      </c>
      <c r="C407" s="2" t="s">
        <v>367</v>
      </c>
      <c r="D407" s="2" t="s">
        <v>184</v>
      </c>
      <c r="E407" s="2" t="s">
        <v>368</v>
      </c>
      <c r="F407" s="2">
        <v>501423192</v>
      </c>
      <c r="G407" s="2" t="s">
        <v>40</v>
      </c>
      <c r="H407" s="2" t="s">
        <v>369</v>
      </c>
      <c r="I407" s="2" t="s">
        <v>370</v>
      </c>
      <c r="K407" s="2" t="s">
        <v>100</v>
      </c>
      <c r="L407" s="2" t="s">
        <v>81</v>
      </c>
      <c r="N407" s="2" t="s">
        <v>770</v>
      </c>
      <c r="O407" s="2" t="s">
        <v>73</v>
      </c>
      <c r="P407" s="2" t="s">
        <v>74</v>
      </c>
      <c r="Q407" s="2" t="s">
        <v>75</v>
      </c>
      <c r="R407" s="2">
        <v>1</v>
      </c>
      <c r="S407" s="2">
        <v>210</v>
      </c>
      <c r="T407" s="2">
        <v>48.3</v>
      </c>
      <c r="U407" s="2">
        <v>258.3</v>
      </c>
      <c r="V407" s="2">
        <v>117.453</v>
      </c>
      <c r="W407" s="5">
        <f t="shared" si="46"/>
        <v>0.44069999999999998</v>
      </c>
      <c r="Y407" s="2" t="s">
        <v>3256</v>
      </c>
      <c r="Z407" s="2" t="s">
        <v>76</v>
      </c>
      <c r="AA407" s="2" t="s">
        <v>77</v>
      </c>
      <c r="AB407" s="2" t="s">
        <v>78</v>
      </c>
      <c r="AE407" s="2">
        <f t="shared" si="43"/>
        <v>0</v>
      </c>
      <c r="AF407" s="2">
        <v>117.453</v>
      </c>
      <c r="AG407" s="2">
        <v>220</v>
      </c>
      <c r="AI407" s="2">
        <f t="shared" si="44"/>
        <v>0</v>
      </c>
      <c r="AJ407" s="2">
        <f t="shared" si="45"/>
        <v>92.546999999999997</v>
      </c>
      <c r="AK407" s="5">
        <f t="shared" si="42"/>
        <v>0.44069999999999998</v>
      </c>
    </row>
    <row r="408" spans="1:37" x14ac:dyDescent="0.2">
      <c r="A408" s="2">
        <v>2025</v>
      </c>
      <c r="B408" s="2">
        <v>2</v>
      </c>
      <c r="C408" s="2" t="s">
        <v>367</v>
      </c>
      <c r="D408" s="2" t="s">
        <v>184</v>
      </c>
      <c r="E408" s="2" t="s">
        <v>368</v>
      </c>
      <c r="F408" s="2">
        <v>501423192</v>
      </c>
      <c r="G408" s="2" t="s">
        <v>40</v>
      </c>
      <c r="H408" s="2" t="s">
        <v>369</v>
      </c>
      <c r="I408" s="2" t="s">
        <v>370</v>
      </c>
      <c r="K408" s="2" t="s">
        <v>100</v>
      </c>
      <c r="L408" s="2" t="s">
        <v>81</v>
      </c>
      <c r="N408" s="2" t="s">
        <v>770</v>
      </c>
      <c r="O408" s="2" t="s">
        <v>94</v>
      </c>
      <c r="P408" s="2" t="s">
        <v>95</v>
      </c>
      <c r="Q408" s="2" t="s">
        <v>96</v>
      </c>
      <c r="R408" s="2">
        <v>1</v>
      </c>
      <c r="S408" s="2">
        <v>1.1399999999999999</v>
      </c>
      <c r="T408" s="2">
        <v>0.26219999999999999</v>
      </c>
      <c r="U408" s="2">
        <v>1.4021999999999999</v>
      </c>
      <c r="V408" s="2">
        <v>1.1399999999999999</v>
      </c>
      <c r="W408" s="5">
        <f t="shared" si="46"/>
        <v>0</v>
      </c>
      <c r="Y408" s="2" t="s">
        <v>3256</v>
      </c>
      <c r="Z408" s="2" t="s">
        <v>97</v>
      </c>
      <c r="AA408" s="2" t="s">
        <v>77</v>
      </c>
      <c r="AB408" s="2" t="s">
        <v>94</v>
      </c>
      <c r="AE408" s="2">
        <f t="shared" si="43"/>
        <v>0</v>
      </c>
      <c r="AI408" s="2">
        <f t="shared" si="44"/>
        <v>0</v>
      </c>
      <c r="AJ408" s="2">
        <f t="shared" si="45"/>
        <v>0</v>
      </c>
      <c r="AK408" s="5">
        <f t="shared" si="42"/>
        <v>0</v>
      </c>
    </row>
    <row r="409" spans="1:37" x14ac:dyDescent="0.2">
      <c r="A409" s="2">
        <v>2025</v>
      </c>
      <c r="B409" s="2">
        <v>2</v>
      </c>
      <c r="C409" s="2" t="s">
        <v>771</v>
      </c>
      <c r="D409" s="2" t="s">
        <v>38</v>
      </c>
      <c r="F409" s="2">
        <v>513686231</v>
      </c>
      <c r="G409" s="2" t="s">
        <v>291</v>
      </c>
      <c r="H409" s="2" t="s">
        <v>772</v>
      </c>
      <c r="I409" s="2" t="s">
        <v>773</v>
      </c>
      <c r="K409" s="2" t="s">
        <v>484</v>
      </c>
      <c r="L409" s="2" t="s">
        <v>81</v>
      </c>
      <c r="N409" s="2" t="s">
        <v>774</v>
      </c>
      <c r="O409" s="2" t="s">
        <v>43</v>
      </c>
      <c r="P409" s="2" t="s">
        <v>235</v>
      </c>
      <c r="Q409" s="2" t="s">
        <v>236</v>
      </c>
      <c r="R409" s="2">
        <v>1</v>
      </c>
      <c r="S409" s="2">
        <v>13.2</v>
      </c>
      <c r="T409" s="2">
        <v>3.036</v>
      </c>
      <c r="U409" s="2">
        <v>16.236000000000001</v>
      </c>
      <c r="V409" s="2">
        <v>7.2217000000000002</v>
      </c>
      <c r="W409" s="5">
        <f t="shared" si="46"/>
        <v>0.45290151515151511</v>
      </c>
      <c r="Y409" s="2" t="s">
        <v>3256</v>
      </c>
      <c r="Z409" s="2" t="s">
        <v>46</v>
      </c>
      <c r="AA409" s="2" t="s">
        <v>57</v>
      </c>
      <c r="AB409" s="2" t="s">
        <v>58</v>
      </c>
      <c r="AE409" s="2">
        <f t="shared" si="43"/>
        <v>0</v>
      </c>
      <c r="AF409" s="2">
        <v>7.2217000000000002</v>
      </c>
      <c r="AG409" s="2">
        <v>14.4</v>
      </c>
      <c r="AI409" s="2">
        <f t="shared" si="44"/>
        <v>0</v>
      </c>
      <c r="AJ409" s="2">
        <f t="shared" si="45"/>
        <v>5.9782999999999991</v>
      </c>
      <c r="AK409" s="5">
        <f t="shared" si="42"/>
        <v>0.45290151515151511</v>
      </c>
    </row>
    <row r="410" spans="1:37" x14ac:dyDescent="0.2">
      <c r="A410" s="2">
        <v>2025</v>
      </c>
      <c r="B410" s="2">
        <v>2</v>
      </c>
      <c r="C410" s="2" t="s">
        <v>771</v>
      </c>
      <c r="D410" s="2" t="s">
        <v>38</v>
      </c>
      <c r="F410" s="2">
        <v>513686231</v>
      </c>
      <c r="G410" s="2" t="s">
        <v>291</v>
      </c>
      <c r="H410" s="2" t="s">
        <v>772</v>
      </c>
      <c r="I410" s="2" t="s">
        <v>773</v>
      </c>
      <c r="K410" s="2" t="s">
        <v>484</v>
      </c>
      <c r="L410" s="2" t="s">
        <v>81</v>
      </c>
      <c r="N410" s="2" t="s">
        <v>774</v>
      </c>
      <c r="O410" s="2" t="s">
        <v>43</v>
      </c>
      <c r="P410" s="2" t="s">
        <v>237</v>
      </c>
      <c r="Q410" s="2" t="s">
        <v>238</v>
      </c>
      <c r="R410" s="2">
        <v>3</v>
      </c>
      <c r="S410" s="2">
        <v>48.6</v>
      </c>
      <c r="T410" s="2">
        <v>11.178000000000001</v>
      </c>
      <c r="U410" s="2">
        <v>59.778000000000013</v>
      </c>
      <c r="V410" s="2">
        <v>27.225000000000001</v>
      </c>
      <c r="W410" s="5">
        <f t="shared" si="46"/>
        <v>0.43981481481481483</v>
      </c>
      <c r="Y410" s="2" t="s">
        <v>3256</v>
      </c>
      <c r="Z410" s="2" t="s">
        <v>46</v>
      </c>
      <c r="AA410" s="2" t="s">
        <v>57</v>
      </c>
      <c r="AB410" s="2" t="s">
        <v>58</v>
      </c>
      <c r="AE410" s="2">
        <f t="shared" si="43"/>
        <v>0</v>
      </c>
      <c r="AF410" s="2">
        <v>9.0749999999999993</v>
      </c>
      <c r="AI410" s="2">
        <f t="shared" si="44"/>
        <v>0</v>
      </c>
      <c r="AJ410" s="2">
        <f t="shared" si="45"/>
        <v>21.375</v>
      </c>
      <c r="AK410" s="5">
        <f t="shared" si="42"/>
        <v>0.43981481481481483</v>
      </c>
    </row>
    <row r="411" spans="1:37" x14ac:dyDescent="0.2">
      <c r="A411" s="2">
        <v>2025</v>
      </c>
      <c r="B411" s="2">
        <v>2</v>
      </c>
      <c r="C411" s="2" t="s">
        <v>771</v>
      </c>
      <c r="D411" s="2" t="s">
        <v>38</v>
      </c>
      <c r="F411" s="2">
        <v>513686231</v>
      </c>
      <c r="G411" s="2" t="s">
        <v>291</v>
      </c>
      <c r="H411" s="2" t="s">
        <v>772</v>
      </c>
      <c r="I411" s="2" t="s">
        <v>773</v>
      </c>
      <c r="K411" s="2" t="s">
        <v>484</v>
      </c>
      <c r="L411" s="2" t="s">
        <v>81</v>
      </c>
      <c r="N411" s="2" t="s">
        <v>774</v>
      </c>
      <c r="O411" s="2" t="s">
        <v>43</v>
      </c>
      <c r="P411" s="2" t="s">
        <v>243</v>
      </c>
      <c r="Q411" s="2" t="s">
        <v>244</v>
      </c>
      <c r="R411" s="2">
        <v>2</v>
      </c>
      <c r="S411" s="2">
        <v>57.6</v>
      </c>
      <c r="T411" s="2">
        <v>13.247999999999999</v>
      </c>
      <c r="U411" s="2">
        <v>70.847999999999999</v>
      </c>
      <c r="V411" s="2">
        <v>32.449800000000003</v>
      </c>
      <c r="W411" s="5">
        <f t="shared" si="46"/>
        <v>0.43663541666666661</v>
      </c>
      <c r="Y411" s="2" t="s">
        <v>3256</v>
      </c>
      <c r="Z411" s="2" t="s">
        <v>46</v>
      </c>
      <c r="AA411" s="2" t="s">
        <v>57</v>
      </c>
      <c r="AB411" s="2" t="s">
        <v>58</v>
      </c>
      <c r="AE411" s="2">
        <f t="shared" si="43"/>
        <v>0</v>
      </c>
      <c r="AF411" s="2">
        <v>16.224900000000002</v>
      </c>
      <c r="AI411" s="2">
        <f t="shared" si="44"/>
        <v>0</v>
      </c>
      <c r="AJ411" s="2">
        <f t="shared" si="45"/>
        <v>25.150199999999998</v>
      </c>
      <c r="AK411" s="5">
        <f t="shared" si="42"/>
        <v>0.43663541666666661</v>
      </c>
    </row>
    <row r="412" spans="1:37" x14ac:dyDescent="0.2">
      <c r="A412" s="2">
        <v>2025</v>
      </c>
      <c r="B412" s="2">
        <v>2</v>
      </c>
      <c r="C412" s="2" t="s">
        <v>775</v>
      </c>
      <c r="D412" s="2" t="s">
        <v>38</v>
      </c>
      <c r="E412" s="2" t="s">
        <v>39</v>
      </c>
      <c r="F412" s="2">
        <v>505926768</v>
      </c>
      <c r="G412" s="2" t="s">
        <v>291</v>
      </c>
      <c r="H412" s="2" t="s">
        <v>776</v>
      </c>
      <c r="I412" s="2" t="s">
        <v>777</v>
      </c>
      <c r="K412" s="2" t="s">
        <v>340</v>
      </c>
      <c r="L412" s="2" t="s">
        <v>81</v>
      </c>
      <c r="N412" s="2" t="s">
        <v>778</v>
      </c>
      <c r="O412" s="2" t="s">
        <v>73</v>
      </c>
      <c r="P412" s="2" t="s">
        <v>779</v>
      </c>
      <c r="Q412" s="2" t="s">
        <v>487</v>
      </c>
      <c r="R412" s="2">
        <v>1</v>
      </c>
      <c r="S412" s="2">
        <v>181.24</v>
      </c>
      <c r="T412" s="2">
        <v>41.685200000000002</v>
      </c>
      <c r="U412" s="2">
        <v>222.92519999999999</v>
      </c>
      <c r="W412" s="5">
        <f t="shared" si="46"/>
        <v>1</v>
      </c>
      <c r="Y412" s="2" t="s">
        <v>3256</v>
      </c>
      <c r="Z412" s="2" t="s">
        <v>76</v>
      </c>
      <c r="AA412" s="2" t="s">
        <v>77</v>
      </c>
      <c r="AB412" s="2" t="s">
        <v>78</v>
      </c>
      <c r="AE412" s="2">
        <f t="shared" si="43"/>
        <v>0</v>
      </c>
      <c r="AI412" s="2">
        <f t="shared" si="44"/>
        <v>0</v>
      </c>
      <c r="AJ412" s="2">
        <f t="shared" si="45"/>
        <v>181.24</v>
      </c>
      <c r="AK412" s="5">
        <f t="shared" si="42"/>
        <v>1</v>
      </c>
    </row>
    <row r="413" spans="1:37" x14ac:dyDescent="0.2">
      <c r="A413" s="2">
        <v>2025</v>
      </c>
      <c r="B413" s="2">
        <v>2</v>
      </c>
      <c r="C413" s="2" t="s">
        <v>775</v>
      </c>
      <c r="D413" s="2" t="s">
        <v>38</v>
      </c>
      <c r="E413" s="2" t="s">
        <v>39</v>
      </c>
      <c r="F413" s="2">
        <v>505926768</v>
      </c>
      <c r="G413" s="2" t="s">
        <v>291</v>
      </c>
      <c r="H413" s="2" t="s">
        <v>776</v>
      </c>
      <c r="I413" s="2" t="s">
        <v>777</v>
      </c>
      <c r="K413" s="2" t="s">
        <v>340</v>
      </c>
      <c r="L413" s="2" t="s">
        <v>81</v>
      </c>
      <c r="N413" s="2" t="s">
        <v>778</v>
      </c>
      <c r="O413" s="2" t="s">
        <v>94</v>
      </c>
      <c r="P413" s="2" t="s">
        <v>95</v>
      </c>
      <c r="Q413" s="2" t="s">
        <v>96</v>
      </c>
      <c r="R413" s="2">
        <v>1</v>
      </c>
      <c r="S413" s="2">
        <v>1.1399999999999999</v>
      </c>
      <c r="T413" s="2">
        <v>0.26219999999999999</v>
      </c>
      <c r="U413" s="2">
        <v>1.4021999999999999</v>
      </c>
      <c r="V413" s="2">
        <v>1.1399999999999999</v>
      </c>
      <c r="W413" s="5">
        <f t="shared" si="46"/>
        <v>0</v>
      </c>
      <c r="Y413" s="2" t="s">
        <v>3256</v>
      </c>
      <c r="Z413" s="2" t="s">
        <v>97</v>
      </c>
      <c r="AA413" s="2" t="s">
        <v>77</v>
      </c>
      <c r="AB413" s="2" t="s">
        <v>94</v>
      </c>
      <c r="AE413" s="2">
        <f t="shared" si="43"/>
        <v>0</v>
      </c>
      <c r="AF413" s="2">
        <v>1.1399999999999999</v>
      </c>
      <c r="AG413" s="2">
        <v>1.1399999999999999</v>
      </c>
      <c r="AI413" s="2">
        <f t="shared" si="44"/>
        <v>0</v>
      </c>
      <c r="AJ413" s="2">
        <f t="shared" si="45"/>
        <v>0</v>
      </c>
      <c r="AK413" s="5">
        <f t="shared" si="42"/>
        <v>0</v>
      </c>
    </row>
    <row r="414" spans="1:37" x14ac:dyDescent="0.2">
      <c r="A414" s="2">
        <v>2025</v>
      </c>
      <c r="B414" s="2">
        <v>2</v>
      </c>
      <c r="C414" s="2" t="s">
        <v>780</v>
      </c>
      <c r="O414" s="2" t="s">
        <v>73</v>
      </c>
      <c r="P414" s="2" t="s">
        <v>779</v>
      </c>
      <c r="Q414" s="2" t="s">
        <v>487</v>
      </c>
      <c r="R414" s="2">
        <v>1</v>
      </c>
      <c r="S414" s="2">
        <v>181.24</v>
      </c>
      <c r="T414" s="2">
        <v>41.685200000000002</v>
      </c>
      <c r="U414" s="2">
        <v>222.92519999999999</v>
      </c>
      <c r="W414" s="5">
        <f t="shared" si="46"/>
        <v>1</v>
      </c>
      <c r="Y414" s="2" t="s">
        <v>3256</v>
      </c>
      <c r="Z414" s="2" t="s">
        <v>76</v>
      </c>
      <c r="AA414" s="2" t="s">
        <v>77</v>
      </c>
      <c r="AB414" s="2" t="s">
        <v>78</v>
      </c>
      <c r="AE414" s="2">
        <f t="shared" si="43"/>
        <v>0</v>
      </c>
      <c r="AI414" s="2">
        <f t="shared" si="44"/>
        <v>0</v>
      </c>
      <c r="AJ414" s="2">
        <f t="shared" si="45"/>
        <v>181.24</v>
      </c>
      <c r="AK414" s="5">
        <f t="shared" si="42"/>
        <v>1</v>
      </c>
    </row>
    <row r="415" spans="1:37" x14ac:dyDescent="0.2">
      <c r="A415" s="2">
        <v>2025</v>
      </c>
      <c r="B415" s="2">
        <v>2</v>
      </c>
      <c r="C415" s="2" t="s">
        <v>780</v>
      </c>
      <c r="O415" s="2" t="s">
        <v>94</v>
      </c>
      <c r="P415" s="2" t="s">
        <v>95</v>
      </c>
      <c r="Q415" s="2" t="s">
        <v>96</v>
      </c>
      <c r="R415" s="2">
        <v>1</v>
      </c>
      <c r="S415" s="2">
        <v>1.1399999999999999</v>
      </c>
      <c r="T415" s="2">
        <v>0.26219999999999999</v>
      </c>
      <c r="U415" s="2">
        <v>1.4021999999999999</v>
      </c>
      <c r="V415" s="2">
        <v>1.1399999999999999</v>
      </c>
      <c r="W415" s="5">
        <f t="shared" si="46"/>
        <v>0</v>
      </c>
      <c r="Y415" s="2" t="s">
        <v>3256</v>
      </c>
      <c r="Z415" s="2" t="s">
        <v>97</v>
      </c>
      <c r="AA415" s="2" t="s">
        <v>77</v>
      </c>
      <c r="AB415" s="2" t="s">
        <v>94</v>
      </c>
      <c r="AE415" s="2">
        <f t="shared" si="43"/>
        <v>0</v>
      </c>
      <c r="AI415" s="2">
        <f t="shared" si="44"/>
        <v>0</v>
      </c>
      <c r="AJ415" s="2">
        <f t="shared" si="45"/>
        <v>0</v>
      </c>
      <c r="AK415" s="5">
        <f t="shared" si="42"/>
        <v>0</v>
      </c>
    </row>
    <row r="416" spans="1:37" x14ac:dyDescent="0.2">
      <c r="A416" s="2">
        <v>2025</v>
      </c>
      <c r="B416" s="2">
        <v>2</v>
      </c>
      <c r="C416" s="2" t="s">
        <v>781</v>
      </c>
      <c r="D416" s="2" t="s">
        <v>38</v>
      </c>
      <c r="E416" s="2" t="s">
        <v>39</v>
      </c>
      <c r="F416" s="2">
        <v>507324560</v>
      </c>
      <c r="G416" s="2" t="s">
        <v>40</v>
      </c>
      <c r="H416" s="2" t="s">
        <v>782</v>
      </c>
      <c r="I416" s="2" t="s">
        <v>783</v>
      </c>
      <c r="K416" s="2" t="s">
        <v>340</v>
      </c>
      <c r="L416" s="2" t="s">
        <v>40</v>
      </c>
      <c r="N416" s="2" t="s">
        <v>784</v>
      </c>
      <c r="O416" s="2" t="s">
        <v>115</v>
      </c>
      <c r="P416" s="2" t="s">
        <v>785</v>
      </c>
      <c r="Q416" s="2" t="s">
        <v>786</v>
      </c>
      <c r="R416" s="2">
        <v>2</v>
      </c>
      <c r="S416" s="2">
        <v>145.07</v>
      </c>
      <c r="T416" s="2">
        <v>33.366100000000003</v>
      </c>
      <c r="U416" s="2">
        <v>178.43610000000001</v>
      </c>
      <c r="W416" s="5">
        <f t="shared" si="46"/>
        <v>1</v>
      </c>
      <c r="Y416" s="2" t="s">
        <v>118</v>
      </c>
      <c r="AE416" s="2">
        <f t="shared" si="43"/>
        <v>0</v>
      </c>
      <c r="AI416" s="2">
        <f t="shared" si="44"/>
        <v>0</v>
      </c>
      <c r="AJ416" s="2">
        <f t="shared" si="45"/>
        <v>145.07</v>
      </c>
      <c r="AK416" s="5">
        <f t="shared" si="42"/>
        <v>1</v>
      </c>
    </row>
    <row r="417" spans="1:37" x14ac:dyDescent="0.2">
      <c r="A417" s="2">
        <v>2025</v>
      </c>
      <c r="B417" s="2">
        <v>2</v>
      </c>
      <c r="C417" s="2" t="s">
        <v>787</v>
      </c>
      <c r="D417" s="2" t="s">
        <v>38</v>
      </c>
      <c r="E417" s="2" t="s">
        <v>39</v>
      </c>
      <c r="F417" s="2">
        <v>510219675</v>
      </c>
      <c r="G417" s="2" t="s">
        <v>40</v>
      </c>
      <c r="H417" s="2" t="s">
        <v>788</v>
      </c>
      <c r="I417" s="2" t="s">
        <v>789</v>
      </c>
      <c r="J417" s="2">
        <v>917341136</v>
      </c>
      <c r="K417" s="2" t="s">
        <v>100</v>
      </c>
      <c r="O417" s="2" t="s">
        <v>85</v>
      </c>
      <c r="P417" s="2" t="s">
        <v>271</v>
      </c>
      <c r="Q417" s="2" t="s">
        <v>272</v>
      </c>
      <c r="R417" s="2">
        <v>1</v>
      </c>
      <c r="S417" s="2">
        <v>10.199999999999999</v>
      </c>
      <c r="T417" s="2">
        <v>2.3460000000000001</v>
      </c>
      <c r="U417" s="2">
        <v>12.545999999999999</v>
      </c>
      <c r="V417" s="2">
        <v>6.86</v>
      </c>
      <c r="W417" s="5">
        <f t="shared" si="46"/>
        <v>0.32745098039215681</v>
      </c>
      <c r="Y417" s="2" t="s">
        <v>3256</v>
      </c>
      <c r="Z417" s="2" t="s">
        <v>88</v>
      </c>
      <c r="AA417" s="2" t="s">
        <v>91</v>
      </c>
      <c r="AB417" s="2" t="s">
        <v>85</v>
      </c>
      <c r="AE417" s="2">
        <f t="shared" si="43"/>
        <v>0</v>
      </c>
      <c r="AI417" s="2">
        <f t="shared" si="44"/>
        <v>0</v>
      </c>
      <c r="AJ417" s="2">
        <f t="shared" si="45"/>
        <v>3.339999999999999</v>
      </c>
      <c r="AK417" s="5">
        <f t="shared" si="42"/>
        <v>0.32745098039215681</v>
      </c>
    </row>
    <row r="418" spans="1:37" x14ac:dyDescent="0.2">
      <c r="A418" s="2">
        <v>2025</v>
      </c>
      <c r="B418" s="2">
        <v>2</v>
      </c>
      <c r="C418" s="2" t="s">
        <v>790</v>
      </c>
      <c r="D418" s="2" t="s">
        <v>38</v>
      </c>
      <c r="E418" s="2" t="s">
        <v>39</v>
      </c>
      <c r="F418" s="2">
        <v>228518342</v>
      </c>
      <c r="G418" s="2" t="s">
        <v>41</v>
      </c>
      <c r="H418" s="2" t="s">
        <v>178</v>
      </c>
      <c r="I418" s="2" t="s">
        <v>791</v>
      </c>
      <c r="K418" s="2" t="s">
        <v>178</v>
      </c>
      <c r="L418" s="2" t="s">
        <v>41</v>
      </c>
      <c r="N418" s="2" t="s">
        <v>792</v>
      </c>
      <c r="O418" s="2" t="s">
        <v>43</v>
      </c>
      <c r="P418" s="2" t="s">
        <v>352</v>
      </c>
      <c r="Q418" s="2" t="s">
        <v>353</v>
      </c>
      <c r="R418" s="2">
        <v>1</v>
      </c>
      <c r="S418" s="2">
        <v>18</v>
      </c>
      <c r="T418" s="2">
        <v>4.1400000000000006</v>
      </c>
      <c r="U418" s="2">
        <v>22.14</v>
      </c>
      <c r="V418" s="2">
        <v>10.67</v>
      </c>
      <c r="W418" s="5">
        <f t="shared" si="46"/>
        <v>0.40722222222222221</v>
      </c>
      <c r="Y418" s="2" t="s">
        <v>3256</v>
      </c>
      <c r="Z418" s="2" t="s">
        <v>46</v>
      </c>
      <c r="AA418" s="2" t="s">
        <v>47</v>
      </c>
      <c r="AB418" s="2" t="s">
        <v>48</v>
      </c>
      <c r="AE418" s="2">
        <f t="shared" si="43"/>
        <v>0</v>
      </c>
      <c r="AF418" s="2">
        <v>10.67</v>
      </c>
      <c r="AG418" s="2">
        <v>21</v>
      </c>
      <c r="AI418" s="2">
        <f t="shared" si="44"/>
        <v>0</v>
      </c>
      <c r="AJ418" s="2">
        <f t="shared" si="45"/>
        <v>7.33</v>
      </c>
      <c r="AK418" s="5">
        <f t="shared" si="42"/>
        <v>0.40722222222222221</v>
      </c>
    </row>
    <row r="419" spans="1:37" x14ac:dyDescent="0.2">
      <c r="A419" s="2">
        <v>2025</v>
      </c>
      <c r="B419" s="2">
        <v>2</v>
      </c>
      <c r="C419" s="2" t="s">
        <v>793</v>
      </c>
      <c r="O419" s="2" t="s">
        <v>115</v>
      </c>
      <c r="P419" s="2" t="s">
        <v>375</v>
      </c>
      <c r="Q419" s="2" t="s">
        <v>376</v>
      </c>
      <c r="R419" s="2">
        <v>1</v>
      </c>
      <c r="S419" s="2">
        <v>45.07</v>
      </c>
      <c r="T419" s="2">
        <v>10.366099999999999</v>
      </c>
      <c r="U419" s="2">
        <v>55.436100000000003</v>
      </c>
      <c r="W419" s="5">
        <f t="shared" si="46"/>
        <v>1</v>
      </c>
      <c r="AE419" s="2">
        <f t="shared" si="43"/>
        <v>0</v>
      </c>
      <c r="AI419" s="2">
        <f t="shared" si="44"/>
        <v>0</v>
      </c>
      <c r="AJ419" s="2">
        <f t="shared" si="45"/>
        <v>45.07</v>
      </c>
      <c r="AK419" s="5">
        <f t="shared" si="42"/>
        <v>1</v>
      </c>
    </row>
    <row r="420" spans="1:37" x14ac:dyDescent="0.2">
      <c r="A420" s="2">
        <v>2025</v>
      </c>
      <c r="B420" s="2">
        <v>2</v>
      </c>
      <c r="C420" s="2" t="s">
        <v>793</v>
      </c>
      <c r="O420" s="2" t="s">
        <v>43</v>
      </c>
      <c r="P420" s="2" t="s">
        <v>251</v>
      </c>
      <c r="Q420" s="2" t="s">
        <v>252</v>
      </c>
      <c r="R420" s="2">
        <v>1</v>
      </c>
      <c r="S420" s="2">
        <v>60</v>
      </c>
      <c r="T420" s="2">
        <v>13.8</v>
      </c>
      <c r="U420" s="2">
        <v>73.8</v>
      </c>
      <c r="W420" s="5">
        <f t="shared" si="46"/>
        <v>1</v>
      </c>
      <c r="Y420" s="2" t="s">
        <v>3256</v>
      </c>
      <c r="Z420" s="2" t="s">
        <v>46</v>
      </c>
      <c r="AA420" s="2" t="s">
        <v>91</v>
      </c>
      <c r="AB420" s="2" t="s">
        <v>58</v>
      </c>
      <c r="AE420" s="2">
        <f t="shared" si="43"/>
        <v>0</v>
      </c>
      <c r="AI420" s="2">
        <f t="shared" si="44"/>
        <v>0</v>
      </c>
      <c r="AJ420" s="2">
        <f t="shared" si="45"/>
        <v>60</v>
      </c>
      <c r="AK420" s="5">
        <f t="shared" si="42"/>
        <v>1</v>
      </c>
    </row>
    <row r="421" spans="1:37" x14ac:dyDescent="0.2">
      <c r="A421" s="2">
        <v>2025</v>
      </c>
      <c r="B421" s="2">
        <v>2</v>
      </c>
      <c r="C421" s="2" t="s">
        <v>794</v>
      </c>
      <c r="D421" s="2" t="s">
        <v>38</v>
      </c>
      <c r="E421" s="2" t="s">
        <v>39</v>
      </c>
      <c r="F421" s="2">
        <v>507389689</v>
      </c>
      <c r="G421" s="2" t="s">
        <v>40</v>
      </c>
      <c r="H421" s="2" t="s">
        <v>795</v>
      </c>
      <c r="I421" s="2" t="s">
        <v>796</v>
      </c>
      <c r="J421" s="2">
        <v>912216027</v>
      </c>
      <c r="K421" s="2" t="s">
        <v>294</v>
      </c>
      <c r="L421" s="2" t="s">
        <v>40</v>
      </c>
      <c r="O421" s="2" t="s">
        <v>115</v>
      </c>
      <c r="P421" s="2" t="s">
        <v>797</v>
      </c>
      <c r="Q421" s="2" t="s">
        <v>798</v>
      </c>
      <c r="R421" s="2">
        <v>2</v>
      </c>
      <c r="S421" s="2">
        <v>322.14</v>
      </c>
      <c r="T421" s="2">
        <v>74.092200000000005</v>
      </c>
      <c r="U421" s="2">
        <v>396.23219999999998</v>
      </c>
      <c r="W421" s="5">
        <f t="shared" si="46"/>
        <v>1</v>
      </c>
      <c r="Y421" s="2" t="s">
        <v>118</v>
      </c>
      <c r="AE421" s="2">
        <f t="shared" si="43"/>
        <v>0</v>
      </c>
      <c r="AI421" s="2">
        <f t="shared" si="44"/>
        <v>0</v>
      </c>
      <c r="AJ421" s="2">
        <f t="shared" si="45"/>
        <v>322.14</v>
      </c>
      <c r="AK421" s="5">
        <f t="shared" si="42"/>
        <v>1</v>
      </c>
    </row>
    <row r="422" spans="1:37" x14ac:dyDescent="0.2">
      <c r="A422" s="2">
        <v>2025</v>
      </c>
      <c r="B422" s="2">
        <v>2</v>
      </c>
      <c r="C422" s="2" t="s">
        <v>794</v>
      </c>
      <c r="D422" s="2" t="s">
        <v>38</v>
      </c>
      <c r="E422" s="2" t="s">
        <v>39</v>
      </c>
      <c r="F422" s="2">
        <v>507389689</v>
      </c>
      <c r="G422" s="2" t="s">
        <v>40</v>
      </c>
      <c r="H422" s="2" t="s">
        <v>795</v>
      </c>
      <c r="I422" s="2" t="s">
        <v>796</v>
      </c>
      <c r="J422" s="2">
        <v>912216027</v>
      </c>
      <c r="K422" s="2" t="s">
        <v>294</v>
      </c>
      <c r="L422" s="2" t="s">
        <v>40</v>
      </c>
      <c r="O422" s="2" t="s">
        <v>115</v>
      </c>
      <c r="P422" s="2" t="s">
        <v>799</v>
      </c>
      <c r="Q422" s="2" t="s">
        <v>800</v>
      </c>
      <c r="R422" s="2">
        <v>2</v>
      </c>
      <c r="S422" s="2">
        <v>903.76</v>
      </c>
      <c r="T422" s="2">
        <v>207.8648</v>
      </c>
      <c r="U422" s="2">
        <v>1111.6248000000001</v>
      </c>
      <c r="W422" s="5">
        <f t="shared" ref="W422:W453" si="47">(S422-V422)/S422</f>
        <v>1</v>
      </c>
      <c r="Y422" s="2" t="s">
        <v>118</v>
      </c>
      <c r="AE422" s="2">
        <f t="shared" si="43"/>
        <v>0</v>
      </c>
      <c r="AI422" s="2">
        <f t="shared" si="44"/>
        <v>0</v>
      </c>
      <c r="AJ422" s="2">
        <f t="shared" si="45"/>
        <v>903.76</v>
      </c>
      <c r="AK422" s="5">
        <f t="shared" ref="AK422:AK485" si="48">(S422-V422)/S422</f>
        <v>1</v>
      </c>
    </row>
    <row r="423" spans="1:37" x14ac:dyDescent="0.2">
      <c r="A423" s="2">
        <v>2025</v>
      </c>
      <c r="B423" s="2">
        <v>2</v>
      </c>
      <c r="C423" s="2" t="s">
        <v>794</v>
      </c>
      <c r="D423" s="2" t="s">
        <v>38</v>
      </c>
      <c r="E423" s="2" t="s">
        <v>39</v>
      </c>
      <c r="F423" s="2">
        <v>507389689</v>
      </c>
      <c r="G423" s="2" t="s">
        <v>40</v>
      </c>
      <c r="H423" s="2" t="s">
        <v>795</v>
      </c>
      <c r="I423" s="2" t="s">
        <v>796</v>
      </c>
      <c r="J423" s="2">
        <v>912216027</v>
      </c>
      <c r="K423" s="2" t="s">
        <v>294</v>
      </c>
      <c r="L423" s="2" t="s">
        <v>40</v>
      </c>
      <c r="O423" s="2" t="s">
        <v>115</v>
      </c>
      <c r="P423" s="2" t="s">
        <v>801</v>
      </c>
      <c r="Q423" s="2" t="s">
        <v>802</v>
      </c>
      <c r="R423" s="2">
        <v>2</v>
      </c>
      <c r="S423" s="2">
        <v>46.76</v>
      </c>
      <c r="T423" s="2">
        <v>10.754799999999999</v>
      </c>
      <c r="U423" s="2">
        <v>57.514799999999987</v>
      </c>
      <c r="W423" s="5">
        <f t="shared" si="47"/>
        <v>1</v>
      </c>
      <c r="Y423" s="2" t="s">
        <v>118</v>
      </c>
      <c r="AE423" s="2">
        <f t="shared" si="43"/>
        <v>0</v>
      </c>
      <c r="AI423" s="2">
        <f t="shared" si="44"/>
        <v>0</v>
      </c>
      <c r="AJ423" s="2">
        <f t="shared" si="45"/>
        <v>46.76</v>
      </c>
      <c r="AK423" s="5">
        <f t="shared" si="48"/>
        <v>1</v>
      </c>
    </row>
    <row r="424" spans="1:37" x14ac:dyDescent="0.2">
      <c r="A424" s="2">
        <v>2025</v>
      </c>
      <c r="B424" s="2">
        <v>2</v>
      </c>
      <c r="C424" s="2" t="s">
        <v>794</v>
      </c>
      <c r="D424" s="2" t="s">
        <v>38</v>
      </c>
      <c r="E424" s="2" t="s">
        <v>39</v>
      </c>
      <c r="F424" s="2">
        <v>507389689</v>
      </c>
      <c r="G424" s="2" t="s">
        <v>40</v>
      </c>
      <c r="H424" s="2" t="s">
        <v>795</v>
      </c>
      <c r="I424" s="2" t="s">
        <v>796</v>
      </c>
      <c r="J424" s="2">
        <v>912216027</v>
      </c>
      <c r="K424" s="2" t="s">
        <v>294</v>
      </c>
      <c r="L424" s="2" t="s">
        <v>40</v>
      </c>
      <c r="O424" s="2" t="s">
        <v>188</v>
      </c>
      <c r="P424" s="2" t="s">
        <v>192</v>
      </c>
      <c r="Q424" s="2" t="s">
        <v>191</v>
      </c>
      <c r="R424" s="2">
        <v>3</v>
      </c>
      <c r="S424" s="2">
        <v>100</v>
      </c>
      <c r="T424" s="2">
        <v>23</v>
      </c>
      <c r="U424" s="2">
        <v>123</v>
      </c>
      <c r="V424" s="2">
        <f>S424*50%</f>
        <v>50</v>
      </c>
      <c r="W424" s="5">
        <f t="shared" si="47"/>
        <v>0.5</v>
      </c>
      <c r="Y424" s="2" t="s">
        <v>118</v>
      </c>
      <c r="Z424" s="2" t="s">
        <v>191</v>
      </c>
      <c r="AE424" s="2">
        <f t="shared" si="43"/>
        <v>0</v>
      </c>
      <c r="AI424" s="2">
        <f t="shared" si="44"/>
        <v>0</v>
      </c>
      <c r="AJ424" s="2">
        <f t="shared" si="45"/>
        <v>50</v>
      </c>
      <c r="AK424" s="5">
        <f t="shared" si="48"/>
        <v>0.5</v>
      </c>
    </row>
    <row r="425" spans="1:37" x14ac:dyDescent="0.2">
      <c r="A425" s="2">
        <v>2025</v>
      </c>
      <c r="B425" s="2">
        <v>2</v>
      </c>
      <c r="C425" s="2" t="s">
        <v>803</v>
      </c>
      <c r="O425" s="2" t="s">
        <v>283</v>
      </c>
      <c r="P425" s="2" t="s">
        <v>804</v>
      </c>
      <c r="Q425" s="2" t="s">
        <v>805</v>
      </c>
      <c r="R425" s="2">
        <v>1</v>
      </c>
      <c r="S425" s="2">
        <v>27.9</v>
      </c>
      <c r="T425" s="2">
        <v>6.4169999999999998</v>
      </c>
      <c r="U425" s="2">
        <v>34.317</v>
      </c>
      <c r="W425" s="5">
        <f t="shared" si="47"/>
        <v>1</v>
      </c>
      <c r="Y425" s="2" t="s">
        <v>3256</v>
      </c>
      <c r="AE425" s="2">
        <f t="shared" si="43"/>
        <v>0</v>
      </c>
      <c r="AI425" s="2">
        <f t="shared" si="44"/>
        <v>0</v>
      </c>
      <c r="AJ425" s="2">
        <f t="shared" si="45"/>
        <v>27.9</v>
      </c>
      <c r="AK425" s="5">
        <f t="shared" si="48"/>
        <v>1</v>
      </c>
    </row>
    <row r="426" spans="1:37" x14ac:dyDescent="0.2">
      <c r="A426" s="2">
        <v>2025</v>
      </c>
      <c r="B426" s="2">
        <v>2</v>
      </c>
      <c r="C426" s="2" t="s">
        <v>803</v>
      </c>
      <c r="O426" s="2" t="s">
        <v>283</v>
      </c>
      <c r="P426" s="2" t="s">
        <v>806</v>
      </c>
      <c r="Q426" s="2" t="s">
        <v>807</v>
      </c>
      <c r="R426" s="2">
        <v>1</v>
      </c>
      <c r="S426" s="2">
        <v>99</v>
      </c>
      <c r="T426" s="2">
        <v>22.77</v>
      </c>
      <c r="U426" s="2">
        <v>121.77</v>
      </c>
      <c r="W426" s="5">
        <f t="shared" si="47"/>
        <v>1</v>
      </c>
      <c r="Y426" s="2" t="s">
        <v>3256</v>
      </c>
      <c r="AE426" s="2">
        <f t="shared" si="43"/>
        <v>0</v>
      </c>
      <c r="AI426" s="2">
        <f t="shared" si="44"/>
        <v>0</v>
      </c>
      <c r="AJ426" s="2">
        <f t="shared" si="45"/>
        <v>99</v>
      </c>
      <c r="AK426" s="5">
        <f t="shared" si="48"/>
        <v>1</v>
      </c>
    </row>
    <row r="427" spans="1:37" x14ac:dyDescent="0.2">
      <c r="A427" s="2">
        <v>2025</v>
      </c>
      <c r="B427" s="2">
        <v>2</v>
      </c>
      <c r="C427" s="2" t="s">
        <v>419</v>
      </c>
      <c r="D427" s="2" t="s">
        <v>38</v>
      </c>
      <c r="E427" s="2" t="s">
        <v>39</v>
      </c>
      <c r="F427" s="2">
        <v>219908800</v>
      </c>
      <c r="G427" s="2" t="s">
        <v>41</v>
      </c>
      <c r="H427" s="2" t="s">
        <v>420</v>
      </c>
      <c r="I427" s="2" t="s">
        <v>421</v>
      </c>
      <c r="K427" s="2" t="s">
        <v>422</v>
      </c>
      <c r="O427" s="2" t="s">
        <v>115</v>
      </c>
      <c r="P427" s="2" t="s">
        <v>565</v>
      </c>
      <c r="Q427" s="2" t="s">
        <v>566</v>
      </c>
      <c r="R427" s="2">
        <v>1</v>
      </c>
      <c r="S427" s="2">
        <v>14.29</v>
      </c>
      <c r="T427" s="2">
        <v>3.2867000000000002</v>
      </c>
      <c r="U427" s="2">
        <v>17.576699999999999</v>
      </c>
      <c r="W427" s="5">
        <f t="shared" si="47"/>
        <v>1</v>
      </c>
      <c r="AE427" s="2">
        <f t="shared" si="43"/>
        <v>0</v>
      </c>
      <c r="AI427" s="2">
        <f t="shared" si="44"/>
        <v>0</v>
      </c>
      <c r="AJ427" s="2">
        <f t="shared" si="45"/>
        <v>14.29</v>
      </c>
      <c r="AK427" s="5">
        <f t="shared" si="48"/>
        <v>1</v>
      </c>
    </row>
    <row r="428" spans="1:37" x14ac:dyDescent="0.2">
      <c r="A428" s="2">
        <v>2025</v>
      </c>
      <c r="B428" s="2">
        <v>2</v>
      </c>
      <c r="C428" s="2" t="s">
        <v>426</v>
      </c>
      <c r="D428" s="2" t="s">
        <v>99</v>
      </c>
      <c r="E428" s="2" t="s">
        <v>39</v>
      </c>
      <c r="F428" s="2">
        <v>503523470</v>
      </c>
      <c r="G428" s="2" t="s">
        <v>40</v>
      </c>
      <c r="H428" s="2" t="s">
        <v>427</v>
      </c>
      <c r="I428" s="2" t="s">
        <v>428</v>
      </c>
      <c r="K428" s="2" t="s">
        <v>202</v>
      </c>
      <c r="L428" s="2" t="s">
        <v>81</v>
      </c>
      <c r="O428" s="2" t="s">
        <v>43</v>
      </c>
      <c r="P428" s="2" t="s">
        <v>62</v>
      </c>
      <c r="Q428" s="2" t="s">
        <v>63</v>
      </c>
      <c r="R428" s="2">
        <v>100</v>
      </c>
      <c r="S428" s="2">
        <v>13</v>
      </c>
      <c r="T428" s="2">
        <v>2.99</v>
      </c>
      <c r="U428" s="2">
        <v>15.99</v>
      </c>
      <c r="V428" s="2">
        <f>0.082*R428</f>
        <v>8.2000000000000011</v>
      </c>
      <c r="W428" s="5">
        <f t="shared" si="47"/>
        <v>0.36923076923076914</v>
      </c>
      <c r="Y428" s="2" t="s">
        <v>3256</v>
      </c>
      <c r="Z428" s="2" t="s">
        <v>46</v>
      </c>
      <c r="AA428" s="2" t="s">
        <v>61</v>
      </c>
      <c r="AB428" s="2" t="s">
        <v>58</v>
      </c>
      <c r="AE428" s="2">
        <f t="shared" si="43"/>
        <v>0</v>
      </c>
      <c r="AF428" s="2">
        <v>8.1999999999999993</v>
      </c>
      <c r="AG428" s="2">
        <v>13</v>
      </c>
      <c r="AI428" s="2">
        <f t="shared" si="44"/>
        <v>0</v>
      </c>
      <c r="AJ428" s="2">
        <f t="shared" si="45"/>
        <v>4.7999999999999989</v>
      </c>
      <c r="AK428" s="5">
        <f t="shared" si="48"/>
        <v>0.36923076923076914</v>
      </c>
    </row>
    <row r="429" spans="1:37" x14ac:dyDescent="0.2">
      <c r="A429" s="2">
        <v>2025</v>
      </c>
      <c r="B429" s="2">
        <v>2</v>
      </c>
      <c r="C429" s="2" t="s">
        <v>432</v>
      </c>
      <c r="D429" s="2" t="s">
        <v>38</v>
      </c>
      <c r="F429" s="2">
        <v>500820384</v>
      </c>
      <c r="G429" s="2" t="s">
        <v>40</v>
      </c>
      <c r="H429" s="2" t="s">
        <v>433</v>
      </c>
      <c r="I429" s="2" t="s">
        <v>434</v>
      </c>
      <c r="K429" s="2" t="s">
        <v>100</v>
      </c>
      <c r="L429" s="2" t="s">
        <v>81</v>
      </c>
      <c r="N429" s="2" t="s">
        <v>808</v>
      </c>
      <c r="O429" s="2" t="s">
        <v>73</v>
      </c>
      <c r="P429" s="2" t="s">
        <v>537</v>
      </c>
      <c r="Q429" s="2" t="s">
        <v>538</v>
      </c>
      <c r="R429" s="2">
        <v>1</v>
      </c>
      <c r="S429" s="2">
        <v>266.75</v>
      </c>
      <c r="T429" s="2">
        <v>61.352499999999999</v>
      </c>
      <c r="U429" s="2">
        <v>328.10250000000002</v>
      </c>
      <c r="V429" s="2">
        <f>110.125+11.77</f>
        <v>121.895</v>
      </c>
      <c r="W429" s="5">
        <f t="shared" si="47"/>
        <v>0.54303655107778825</v>
      </c>
      <c r="Y429" s="2" t="s">
        <v>3256</v>
      </c>
      <c r="Z429" s="2" t="s">
        <v>76</v>
      </c>
      <c r="AA429" s="2" t="s">
        <v>77</v>
      </c>
      <c r="AB429" s="2" t="s">
        <v>78</v>
      </c>
      <c r="AE429" s="2">
        <f t="shared" si="43"/>
        <v>0</v>
      </c>
      <c r="AF429" s="2">
        <f>110.125+11.77</f>
        <v>121.895</v>
      </c>
      <c r="AI429" s="2">
        <f t="shared" si="44"/>
        <v>0</v>
      </c>
      <c r="AJ429" s="2">
        <f t="shared" si="45"/>
        <v>144.85500000000002</v>
      </c>
      <c r="AK429" s="5">
        <f t="shared" si="48"/>
        <v>0.54303655107778825</v>
      </c>
    </row>
    <row r="430" spans="1:37" x14ac:dyDescent="0.2">
      <c r="A430" s="2">
        <v>2025</v>
      </c>
      <c r="B430" s="2">
        <v>2</v>
      </c>
      <c r="C430" s="2" t="s">
        <v>432</v>
      </c>
      <c r="D430" s="2" t="s">
        <v>38</v>
      </c>
      <c r="F430" s="2">
        <v>500820384</v>
      </c>
      <c r="G430" s="2" t="s">
        <v>40</v>
      </c>
      <c r="H430" s="2" t="s">
        <v>433</v>
      </c>
      <c r="I430" s="2" t="s">
        <v>434</v>
      </c>
      <c r="K430" s="2" t="s">
        <v>100</v>
      </c>
      <c r="L430" s="2" t="s">
        <v>81</v>
      </c>
      <c r="N430" s="2" t="s">
        <v>808</v>
      </c>
      <c r="O430" s="2" t="s">
        <v>94</v>
      </c>
      <c r="P430" s="2" t="s">
        <v>95</v>
      </c>
      <c r="Q430" s="2" t="s">
        <v>96</v>
      </c>
      <c r="R430" s="2">
        <v>1</v>
      </c>
      <c r="S430" s="2">
        <v>1.1399999999999999</v>
      </c>
      <c r="T430" s="2">
        <v>0.26219999999999999</v>
      </c>
      <c r="U430" s="2">
        <v>1.4021999999999999</v>
      </c>
      <c r="V430" s="2">
        <v>1.1399999999999999</v>
      </c>
      <c r="W430" s="5">
        <f t="shared" si="47"/>
        <v>0</v>
      </c>
      <c r="Y430" s="2" t="s">
        <v>3256</v>
      </c>
      <c r="Z430" s="2" t="s">
        <v>97</v>
      </c>
      <c r="AA430" s="2" t="s">
        <v>77</v>
      </c>
      <c r="AB430" s="2" t="s">
        <v>94</v>
      </c>
      <c r="AE430" s="2">
        <f t="shared" si="43"/>
        <v>0</v>
      </c>
      <c r="AI430" s="2">
        <f t="shared" si="44"/>
        <v>0</v>
      </c>
      <c r="AJ430" s="2">
        <f t="shared" si="45"/>
        <v>0</v>
      </c>
      <c r="AK430" s="5">
        <f t="shared" si="48"/>
        <v>0</v>
      </c>
    </row>
    <row r="431" spans="1:37" x14ac:dyDescent="0.2">
      <c r="A431" s="2">
        <v>2025</v>
      </c>
      <c r="B431" s="2">
        <v>2</v>
      </c>
      <c r="C431" s="2" t="s">
        <v>809</v>
      </c>
      <c r="D431" s="2" t="s">
        <v>38</v>
      </c>
      <c r="E431" s="2" t="s">
        <v>39</v>
      </c>
      <c r="F431" s="2">
        <v>500363277</v>
      </c>
      <c r="G431" s="2" t="s">
        <v>40</v>
      </c>
      <c r="H431" s="2" t="s">
        <v>810</v>
      </c>
      <c r="I431" s="2" t="s">
        <v>811</v>
      </c>
      <c r="J431" s="2">
        <v>936999380</v>
      </c>
      <c r="K431" s="2" t="s">
        <v>100</v>
      </c>
      <c r="L431" s="2" t="s">
        <v>40</v>
      </c>
      <c r="N431" s="2" t="s">
        <v>812</v>
      </c>
      <c r="O431" s="2" t="s">
        <v>115</v>
      </c>
      <c r="P431" s="2" t="s">
        <v>543</v>
      </c>
      <c r="Q431" s="2" t="s">
        <v>544</v>
      </c>
      <c r="R431" s="2">
        <v>1</v>
      </c>
      <c r="S431" s="2">
        <v>49.81</v>
      </c>
      <c r="T431" s="2">
        <v>11.456300000000001</v>
      </c>
      <c r="U431" s="2">
        <v>61.266300000000001</v>
      </c>
      <c r="W431" s="5">
        <f t="shared" si="47"/>
        <v>1</v>
      </c>
      <c r="Y431" s="2" t="s">
        <v>118</v>
      </c>
      <c r="AE431" s="2">
        <f t="shared" si="43"/>
        <v>0</v>
      </c>
      <c r="AI431" s="2">
        <f t="shared" si="44"/>
        <v>0</v>
      </c>
      <c r="AJ431" s="2">
        <f t="shared" si="45"/>
        <v>49.81</v>
      </c>
      <c r="AK431" s="5">
        <f t="shared" si="48"/>
        <v>1</v>
      </c>
    </row>
    <row r="432" spans="1:37" x14ac:dyDescent="0.2">
      <c r="A432" s="2">
        <v>2025</v>
      </c>
      <c r="B432" s="2">
        <v>2</v>
      </c>
      <c r="C432" s="2" t="s">
        <v>809</v>
      </c>
      <c r="D432" s="2" t="s">
        <v>38</v>
      </c>
      <c r="E432" s="2" t="s">
        <v>39</v>
      </c>
      <c r="F432" s="2">
        <v>500363277</v>
      </c>
      <c r="G432" s="2" t="s">
        <v>40</v>
      </c>
      <c r="H432" s="2" t="s">
        <v>810</v>
      </c>
      <c r="I432" s="2" t="s">
        <v>811</v>
      </c>
      <c r="J432" s="2">
        <v>936999380</v>
      </c>
      <c r="K432" s="2" t="s">
        <v>100</v>
      </c>
      <c r="L432" s="2" t="s">
        <v>40</v>
      </c>
      <c r="N432" s="2" t="s">
        <v>812</v>
      </c>
      <c r="O432" s="2" t="s">
        <v>188</v>
      </c>
      <c r="P432" s="2" t="s">
        <v>189</v>
      </c>
      <c r="Q432" s="2" t="s">
        <v>190</v>
      </c>
      <c r="R432" s="2">
        <v>1</v>
      </c>
      <c r="S432" s="2">
        <v>50</v>
      </c>
      <c r="T432" s="2">
        <v>11.5</v>
      </c>
      <c r="U432" s="2">
        <v>61.5</v>
      </c>
      <c r="W432" s="5">
        <f t="shared" si="47"/>
        <v>1</v>
      </c>
      <c r="Y432" s="2" t="s">
        <v>118</v>
      </c>
      <c r="Z432" s="2" t="s">
        <v>191</v>
      </c>
      <c r="AE432" s="2">
        <f t="shared" si="43"/>
        <v>0</v>
      </c>
      <c r="AI432" s="2">
        <f t="shared" si="44"/>
        <v>0</v>
      </c>
      <c r="AJ432" s="2">
        <f t="shared" si="45"/>
        <v>50</v>
      </c>
      <c r="AK432" s="5">
        <f t="shared" si="48"/>
        <v>1</v>
      </c>
    </row>
    <row r="433" spans="1:37" x14ac:dyDescent="0.2">
      <c r="A433" s="2">
        <v>2025</v>
      </c>
      <c r="B433" s="2">
        <v>2</v>
      </c>
      <c r="C433" s="2" t="s">
        <v>809</v>
      </c>
      <c r="D433" s="2" t="s">
        <v>38</v>
      </c>
      <c r="E433" s="2" t="s">
        <v>39</v>
      </c>
      <c r="F433" s="2">
        <v>500363277</v>
      </c>
      <c r="G433" s="2" t="s">
        <v>40</v>
      </c>
      <c r="H433" s="2" t="s">
        <v>810</v>
      </c>
      <c r="I433" s="2" t="s">
        <v>811</v>
      </c>
      <c r="J433" s="2">
        <v>936999380</v>
      </c>
      <c r="K433" s="2" t="s">
        <v>100</v>
      </c>
      <c r="L433" s="2" t="s">
        <v>40</v>
      </c>
      <c r="N433" s="2" t="s">
        <v>812</v>
      </c>
      <c r="O433" s="2" t="s">
        <v>188</v>
      </c>
      <c r="P433" s="2" t="s">
        <v>192</v>
      </c>
      <c r="Q433" s="2" t="s">
        <v>191</v>
      </c>
      <c r="R433" s="2">
        <v>1</v>
      </c>
      <c r="S433" s="2">
        <v>50</v>
      </c>
      <c r="T433" s="2">
        <v>11.5</v>
      </c>
      <c r="U433" s="2">
        <v>61.5</v>
      </c>
      <c r="V433" s="2">
        <f>S433*50%</f>
        <v>25</v>
      </c>
      <c r="W433" s="5">
        <f t="shared" si="47"/>
        <v>0.5</v>
      </c>
      <c r="Y433" s="2" t="s">
        <v>118</v>
      </c>
      <c r="Z433" s="2" t="s">
        <v>191</v>
      </c>
      <c r="AE433" s="2">
        <f t="shared" si="43"/>
        <v>0</v>
      </c>
      <c r="AI433" s="2">
        <f t="shared" si="44"/>
        <v>0</v>
      </c>
      <c r="AJ433" s="2">
        <f t="shared" si="45"/>
        <v>25</v>
      </c>
      <c r="AK433" s="5">
        <f t="shared" si="48"/>
        <v>0.5</v>
      </c>
    </row>
    <row r="434" spans="1:37" x14ac:dyDescent="0.2">
      <c r="A434" s="2">
        <v>2025</v>
      </c>
      <c r="B434" s="2">
        <v>2</v>
      </c>
      <c r="C434" s="2" t="s">
        <v>813</v>
      </c>
      <c r="O434" s="2" t="s">
        <v>115</v>
      </c>
      <c r="P434" s="2" t="s">
        <v>814</v>
      </c>
      <c r="Q434" s="2" t="s">
        <v>815</v>
      </c>
      <c r="R434" s="2">
        <v>1</v>
      </c>
      <c r="S434" s="2">
        <v>83.79</v>
      </c>
      <c r="T434" s="2">
        <v>19.271699999999999</v>
      </c>
      <c r="U434" s="2">
        <v>103.0617</v>
      </c>
      <c r="W434" s="5">
        <f t="shared" si="47"/>
        <v>1</v>
      </c>
      <c r="AE434" s="2">
        <f t="shared" si="43"/>
        <v>0</v>
      </c>
      <c r="AI434" s="2">
        <f t="shared" si="44"/>
        <v>0</v>
      </c>
      <c r="AJ434" s="2">
        <f t="shared" si="45"/>
        <v>83.79</v>
      </c>
      <c r="AK434" s="5">
        <f t="shared" si="48"/>
        <v>1</v>
      </c>
    </row>
    <row r="435" spans="1:37" x14ac:dyDescent="0.2">
      <c r="A435" s="2">
        <v>2025</v>
      </c>
      <c r="B435" s="2">
        <v>2</v>
      </c>
      <c r="C435" s="2" t="s">
        <v>813</v>
      </c>
      <c r="L435" s="2" t="s">
        <v>40</v>
      </c>
      <c r="O435" s="2" t="s">
        <v>188</v>
      </c>
      <c r="P435" s="2" t="s">
        <v>189</v>
      </c>
      <c r="Q435" s="2" t="s">
        <v>190</v>
      </c>
      <c r="R435" s="2">
        <v>1</v>
      </c>
      <c r="S435" s="2">
        <v>76</v>
      </c>
      <c r="T435" s="2">
        <v>17.48</v>
      </c>
      <c r="U435" s="2">
        <v>93.48</v>
      </c>
      <c r="W435" s="5">
        <f t="shared" si="47"/>
        <v>1</v>
      </c>
      <c r="Y435" s="2" t="s">
        <v>118</v>
      </c>
      <c r="Z435" s="2" t="s">
        <v>191</v>
      </c>
      <c r="AE435" s="2">
        <f t="shared" si="43"/>
        <v>0</v>
      </c>
      <c r="AI435" s="2">
        <f t="shared" si="44"/>
        <v>0</v>
      </c>
      <c r="AJ435" s="2">
        <f t="shared" si="45"/>
        <v>76</v>
      </c>
      <c r="AK435" s="5">
        <f t="shared" si="48"/>
        <v>1</v>
      </c>
    </row>
    <row r="436" spans="1:37" x14ac:dyDescent="0.2">
      <c r="A436" s="2">
        <v>2025</v>
      </c>
      <c r="B436" s="2">
        <v>2</v>
      </c>
      <c r="C436" s="2" t="s">
        <v>813</v>
      </c>
      <c r="L436" s="2" t="s">
        <v>40</v>
      </c>
      <c r="O436" s="2" t="s">
        <v>188</v>
      </c>
      <c r="P436" s="2" t="s">
        <v>192</v>
      </c>
      <c r="Q436" s="2" t="s">
        <v>191</v>
      </c>
      <c r="R436" s="2">
        <v>0.75</v>
      </c>
      <c r="S436" s="2">
        <v>37.5</v>
      </c>
      <c r="T436" s="2">
        <v>8.625</v>
      </c>
      <c r="U436" s="2">
        <v>46.125</v>
      </c>
      <c r="V436" s="2">
        <f>S436*50%</f>
        <v>18.75</v>
      </c>
      <c r="W436" s="5">
        <f t="shared" si="47"/>
        <v>0.5</v>
      </c>
      <c r="Y436" s="2" t="s">
        <v>118</v>
      </c>
      <c r="Z436" s="2" t="s">
        <v>191</v>
      </c>
      <c r="AE436" s="2">
        <f t="shared" si="43"/>
        <v>0</v>
      </c>
      <c r="AI436" s="2">
        <f t="shared" si="44"/>
        <v>0</v>
      </c>
      <c r="AJ436" s="2">
        <f t="shared" si="45"/>
        <v>18.75</v>
      </c>
      <c r="AK436" s="5">
        <f t="shared" si="48"/>
        <v>0.5</v>
      </c>
    </row>
    <row r="437" spans="1:37" x14ac:dyDescent="0.2">
      <c r="A437" s="2">
        <v>2025</v>
      </c>
      <c r="B437" s="2">
        <v>2</v>
      </c>
      <c r="C437" s="2" t="s">
        <v>816</v>
      </c>
      <c r="O437" s="2" t="s">
        <v>73</v>
      </c>
      <c r="P437" s="2" t="s">
        <v>74</v>
      </c>
      <c r="Q437" s="2" t="s">
        <v>75</v>
      </c>
      <c r="R437" s="2">
        <v>1</v>
      </c>
      <c r="S437" s="2">
        <v>210</v>
      </c>
      <c r="T437" s="2">
        <v>48.3</v>
      </c>
      <c r="U437" s="2">
        <v>258.3</v>
      </c>
      <c r="V437" s="2">
        <v>117.453</v>
      </c>
      <c r="W437" s="5">
        <f t="shared" si="47"/>
        <v>0.44069999999999998</v>
      </c>
      <c r="Y437" s="2" t="s">
        <v>3256</v>
      </c>
      <c r="Z437" s="2" t="s">
        <v>76</v>
      </c>
      <c r="AA437" s="2" t="s">
        <v>77</v>
      </c>
      <c r="AB437" s="2" t="s">
        <v>78</v>
      </c>
      <c r="AE437" s="2">
        <f t="shared" si="43"/>
        <v>0</v>
      </c>
      <c r="AF437" s="2">
        <v>117.453</v>
      </c>
      <c r="AG437" s="2">
        <v>220</v>
      </c>
      <c r="AI437" s="2">
        <f t="shared" si="44"/>
        <v>0</v>
      </c>
      <c r="AJ437" s="2">
        <f t="shared" si="45"/>
        <v>92.546999999999997</v>
      </c>
      <c r="AK437" s="5">
        <f t="shared" si="48"/>
        <v>0.44069999999999998</v>
      </c>
    </row>
    <row r="438" spans="1:37" x14ac:dyDescent="0.2">
      <c r="A438" s="2">
        <v>2025</v>
      </c>
      <c r="B438" s="2">
        <v>2</v>
      </c>
      <c r="C438" s="2" t="s">
        <v>816</v>
      </c>
      <c r="O438" s="2" t="s">
        <v>94</v>
      </c>
      <c r="P438" s="2" t="s">
        <v>95</v>
      </c>
      <c r="Q438" s="2" t="s">
        <v>96</v>
      </c>
      <c r="R438" s="2">
        <v>1</v>
      </c>
      <c r="S438" s="2">
        <v>1.1399999999999999</v>
      </c>
      <c r="T438" s="2">
        <v>0.26219999999999999</v>
      </c>
      <c r="U438" s="2">
        <v>1.4021999999999999</v>
      </c>
      <c r="V438" s="2">
        <v>1.1399999999999999</v>
      </c>
      <c r="W438" s="5">
        <f t="shared" si="47"/>
        <v>0</v>
      </c>
      <c r="Y438" s="2" t="s">
        <v>3256</v>
      </c>
      <c r="Z438" s="2" t="s">
        <v>97</v>
      </c>
      <c r="AA438" s="2" t="s">
        <v>77</v>
      </c>
      <c r="AB438" s="2" t="s">
        <v>94</v>
      </c>
      <c r="AE438" s="2">
        <f t="shared" si="43"/>
        <v>0</v>
      </c>
      <c r="AI438" s="2">
        <f t="shared" si="44"/>
        <v>0</v>
      </c>
      <c r="AJ438" s="2">
        <f t="shared" si="45"/>
        <v>0</v>
      </c>
      <c r="AK438" s="5">
        <f t="shared" si="48"/>
        <v>0</v>
      </c>
    </row>
    <row r="439" spans="1:37" x14ac:dyDescent="0.2">
      <c r="A439" s="2">
        <v>2025</v>
      </c>
      <c r="B439" s="2">
        <v>2</v>
      </c>
      <c r="C439" s="2" t="s">
        <v>817</v>
      </c>
      <c r="L439" s="2" t="s">
        <v>81</v>
      </c>
      <c r="N439" s="2" t="s">
        <v>818</v>
      </c>
      <c r="O439" s="2" t="s">
        <v>73</v>
      </c>
      <c r="P439" s="2" t="s">
        <v>302</v>
      </c>
      <c r="Q439" s="2" t="s">
        <v>75</v>
      </c>
      <c r="R439" s="2">
        <v>1</v>
      </c>
      <c r="S439" s="2">
        <v>220</v>
      </c>
      <c r="T439" s="2">
        <v>50.6</v>
      </c>
      <c r="U439" s="2">
        <v>270.60000000000002</v>
      </c>
      <c r="V439" s="2">
        <v>121.46</v>
      </c>
      <c r="W439" s="5">
        <f t="shared" si="47"/>
        <v>0.44790909090909092</v>
      </c>
      <c r="Y439" s="2" t="s">
        <v>3256</v>
      </c>
      <c r="Z439" s="2" t="s">
        <v>76</v>
      </c>
      <c r="AA439" s="2" t="s">
        <v>77</v>
      </c>
      <c r="AB439" s="2" t="s">
        <v>78</v>
      </c>
      <c r="AE439" s="2">
        <f t="shared" si="43"/>
        <v>0</v>
      </c>
      <c r="AF439" s="2">
        <v>121.46</v>
      </c>
      <c r="AG439" s="2">
        <v>210</v>
      </c>
      <c r="AI439" s="2">
        <f t="shared" si="44"/>
        <v>0</v>
      </c>
      <c r="AJ439" s="2">
        <f t="shared" si="45"/>
        <v>98.54</v>
      </c>
      <c r="AK439" s="5">
        <f t="shared" si="48"/>
        <v>0.44790909090909092</v>
      </c>
    </row>
    <row r="440" spans="1:37" x14ac:dyDescent="0.2">
      <c r="A440" s="2">
        <v>2025</v>
      </c>
      <c r="B440" s="2">
        <v>2</v>
      </c>
      <c r="C440" s="2" t="s">
        <v>817</v>
      </c>
      <c r="O440" s="2" t="s">
        <v>94</v>
      </c>
      <c r="P440" s="2" t="s">
        <v>95</v>
      </c>
      <c r="Q440" s="2" t="s">
        <v>96</v>
      </c>
      <c r="R440" s="2">
        <v>1</v>
      </c>
      <c r="S440" s="2">
        <v>1.1399999999999999</v>
      </c>
      <c r="T440" s="2">
        <v>0.26219999999999999</v>
      </c>
      <c r="U440" s="2">
        <v>1.4021999999999999</v>
      </c>
      <c r="V440" s="2">
        <v>1.1399999999999999</v>
      </c>
      <c r="W440" s="5">
        <f t="shared" si="47"/>
        <v>0</v>
      </c>
      <c r="Y440" s="2" t="s">
        <v>3256</v>
      </c>
      <c r="Z440" s="2" t="s">
        <v>97</v>
      </c>
      <c r="AA440" s="2" t="s">
        <v>77</v>
      </c>
      <c r="AB440" s="2" t="s">
        <v>94</v>
      </c>
      <c r="AE440" s="2">
        <f t="shared" si="43"/>
        <v>0</v>
      </c>
      <c r="AI440" s="2">
        <f t="shared" si="44"/>
        <v>0</v>
      </c>
      <c r="AJ440" s="2">
        <f t="shared" si="45"/>
        <v>0</v>
      </c>
      <c r="AK440" s="5">
        <f t="shared" si="48"/>
        <v>0</v>
      </c>
    </row>
    <row r="441" spans="1:37" x14ac:dyDescent="0.2">
      <c r="A441" s="2">
        <v>2025</v>
      </c>
      <c r="B441" s="2">
        <v>2</v>
      </c>
      <c r="C441" s="2" t="s">
        <v>819</v>
      </c>
      <c r="D441" s="2" t="s">
        <v>38</v>
      </c>
      <c r="E441" s="2" t="s">
        <v>39</v>
      </c>
      <c r="F441" s="2" t="s">
        <v>820</v>
      </c>
      <c r="G441" s="2" t="s">
        <v>41</v>
      </c>
      <c r="H441" s="2" t="s">
        <v>632</v>
      </c>
      <c r="K441" s="2" t="s">
        <v>632</v>
      </c>
      <c r="L441" s="2" t="s">
        <v>41</v>
      </c>
      <c r="N441" s="2" t="s">
        <v>821</v>
      </c>
      <c r="O441" s="2" t="s">
        <v>43</v>
      </c>
      <c r="P441" s="2" t="s">
        <v>51</v>
      </c>
      <c r="Q441" s="2" t="s">
        <v>52</v>
      </c>
      <c r="R441" s="2">
        <v>1</v>
      </c>
      <c r="S441" s="2">
        <v>16.8</v>
      </c>
      <c r="T441" s="2">
        <v>3.8639999999999999</v>
      </c>
      <c r="U441" s="2">
        <v>20.664000000000001</v>
      </c>
      <c r="V441" s="2">
        <f>10.2346*R441</f>
        <v>10.2346</v>
      </c>
      <c r="W441" s="5">
        <f t="shared" si="47"/>
        <v>0.39079761904761906</v>
      </c>
      <c r="Y441" s="2" t="s">
        <v>3256</v>
      </c>
      <c r="Z441" s="2" t="s">
        <v>46</v>
      </c>
      <c r="AA441" s="2" t="s">
        <v>47</v>
      </c>
      <c r="AB441" s="2" t="s">
        <v>48</v>
      </c>
      <c r="AE441" s="2">
        <f t="shared" si="43"/>
        <v>0</v>
      </c>
      <c r="AF441" s="2">
        <v>10.2346</v>
      </c>
      <c r="AG441" s="2">
        <v>18</v>
      </c>
      <c r="AI441" s="2">
        <f t="shared" si="44"/>
        <v>0</v>
      </c>
      <c r="AJ441" s="2">
        <f t="shared" si="45"/>
        <v>6.5654000000000003</v>
      </c>
      <c r="AK441" s="5">
        <f t="shared" si="48"/>
        <v>0.39079761904761906</v>
      </c>
    </row>
    <row r="442" spans="1:37" x14ac:dyDescent="0.2">
      <c r="A442" s="2">
        <v>2025</v>
      </c>
      <c r="B442" s="2">
        <v>2</v>
      </c>
      <c r="C442" s="2" t="s">
        <v>819</v>
      </c>
      <c r="D442" s="2" t="s">
        <v>38</v>
      </c>
      <c r="E442" s="2" t="s">
        <v>39</v>
      </c>
      <c r="F442" s="2" t="s">
        <v>820</v>
      </c>
      <c r="G442" s="2" t="s">
        <v>41</v>
      </c>
      <c r="H442" s="2" t="s">
        <v>632</v>
      </c>
      <c r="K442" s="2" t="s">
        <v>632</v>
      </c>
      <c r="L442" s="2" t="s">
        <v>41</v>
      </c>
      <c r="N442" s="2" t="s">
        <v>821</v>
      </c>
      <c r="O442" s="2" t="s">
        <v>43</v>
      </c>
      <c r="P442" s="2" t="s">
        <v>161</v>
      </c>
      <c r="Q442" s="2" t="s">
        <v>162</v>
      </c>
      <c r="R442" s="2">
        <v>1</v>
      </c>
      <c r="S442" s="2">
        <v>7.8</v>
      </c>
      <c r="T442" s="2">
        <v>1.794</v>
      </c>
      <c r="U442" s="2">
        <v>9.5939999999999994</v>
      </c>
      <c r="V442" s="2">
        <f>3.7358*R442</f>
        <v>3.7357999999999998</v>
      </c>
      <c r="W442" s="5">
        <f t="shared" si="47"/>
        <v>0.52105128205128204</v>
      </c>
      <c r="Y442" s="2" t="s">
        <v>3256</v>
      </c>
      <c r="Z442" s="2" t="s">
        <v>46</v>
      </c>
      <c r="AA442" s="2" t="s">
        <v>47</v>
      </c>
      <c r="AB442" s="2" t="s">
        <v>48</v>
      </c>
      <c r="AE442" s="2">
        <f t="shared" si="43"/>
        <v>0</v>
      </c>
      <c r="AF442" s="2">
        <v>3.7357999999999998</v>
      </c>
      <c r="AG442" s="2">
        <v>9</v>
      </c>
      <c r="AI442" s="2">
        <f t="shared" si="44"/>
        <v>0</v>
      </c>
      <c r="AJ442" s="2">
        <f t="shared" si="45"/>
        <v>4.0641999999999996</v>
      </c>
      <c r="AK442" s="5">
        <f t="shared" si="48"/>
        <v>0.52105128205128204</v>
      </c>
    </row>
    <row r="443" spans="1:37" x14ac:dyDescent="0.2">
      <c r="A443" s="2">
        <v>2025</v>
      </c>
      <c r="B443" s="2">
        <v>2</v>
      </c>
      <c r="C443" s="2" t="s">
        <v>819</v>
      </c>
      <c r="D443" s="2" t="s">
        <v>38</v>
      </c>
      <c r="E443" s="2" t="s">
        <v>39</v>
      </c>
      <c r="F443" s="2" t="s">
        <v>820</v>
      </c>
      <c r="G443" s="2" t="s">
        <v>41</v>
      </c>
      <c r="H443" s="2" t="s">
        <v>632</v>
      </c>
      <c r="K443" s="2" t="s">
        <v>632</v>
      </c>
      <c r="L443" s="2" t="s">
        <v>41</v>
      </c>
      <c r="N443" s="2" t="s">
        <v>821</v>
      </c>
      <c r="O443" s="2" t="s">
        <v>43</v>
      </c>
      <c r="P443" s="2" t="s">
        <v>62</v>
      </c>
      <c r="Q443" s="2" t="s">
        <v>63</v>
      </c>
      <c r="R443" s="2">
        <v>200</v>
      </c>
      <c r="S443" s="2">
        <v>26</v>
      </c>
      <c r="T443" s="2">
        <v>5.98</v>
      </c>
      <c r="U443" s="2">
        <v>31.98</v>
      </c>
      <c r="V443" s="2">
        <f>0.082*R443</f>
        <v>16.400000000000002</v>
      </c>
      <c r="W443" s="5">
        <f t="shared" si="47"/>
        <v>0.36923076923076914</v>
      </c>
      <c r="Y443" s="2" t="s">
        <v>3256</v>
      </c>
      <c r="Z443" s="2" t="s">
        <v>46</v>
      </c>
      <c r="AA443" s="2" t="s">
        <v>61</v>
      </c>
      <c r="AB443" s="2" t="s">
        <v>58</v>
      </c>
      <c r="AE443" s="2">
        <f t="shared" si="43"/>
        <v>0</v>
      </c>
      <c r="AF443" s="2">
        <v>8.1999999999999993</v>
      </c>
      <c r="AG443" s="2">
        <v>13</v>
      </c>
      <c r="AI443" s="2">
        <f t="shared" si="44"/>
        <v>0</v>
      </c>
      <c r="AJ443" s="2">
        <f t="shared" si="45"/>
        <v>9.5999999999999979</v>
      </c>
      <c r="AK443" s="5">
        <f t="shared" si="48"/>
        <v>0.36923076923076914</v>
      </c>
    </row>
    <row r="444" spans="1:37" x14ac:dyDescent="0.2">
      <c r="A444" s="2">
        <v>2025</v>
      </c>
      <c r="B444" s="2">
        <v>2</v>
      </c>
      <c r="C444" s="2" t="s">
        <v>819</v>
      </c>
      <c r="D444" s="2" t="s">
        <v>38</v>
      </c>
      <c r="E444" s="2" t="s">
        <v>39</v>
      </c>
      <c r="F444" s="2" t="s">
        <v>820</v>
      </c>
      <c r="G444" s="2" t="s">
        <v>41</v>
      </c>
      <c r="H444" s="2" t="s">
        <v>632</v>
      </c>
      <c r="K444" s="2" t="s">
        <v>632</v>
      </c>
      <c r="L444" s="2" t="s">
        <v>41</v>
      </c>
      <c r="N444" s="2" t="s">
        <v>821</v>
      </c>
      <c r="O444" s="2" t="s">
        <v>43</v>
      </c>
      <c r="P444" s="2" t="s">
        <v>66</v>
      </c>
      <c r="Q444" s="2" t="s">
        <v>67</v>
      </c>
      <c r="R444" s="2">
        <v>1</v>
      </c>
      <c r="S444" s="2">
        <v>21</v>
      </c>
      <c r="T444" s="2">
        <v>4.83</v>
      </c>
      <c r="U444" s="2">
        <v>25.83</v>
      </c>
      <c r="V444" s="2">
        <f>15.0203*R444</f>
        <v>15.020300000000001</v>
      </c>
      <c r="W444" s="5">
        <f t="shared" si="47"/>
        <v>0.28474761904761903</v>
      </c>
      <c r="Y444" s="2" t="s">
        <v>3256</v>
      </c>
      <c r="Z444" s="2" t="s">
        <v>46</v>
      </c>
      <c r="AA444" s="2" t="s">
        <v>68</v>
      </c>
      <c r="AB444" s="2" t="s">
        <v>58</v>
      </c>
      <c r="AE444" s="2">
        <f t="shared" si="43"/>
        <v>0</v>
      </c>
      <c r="AF444" s="2">
        <v>15.020300000000001</v>
      </c>
      <c r="AG444" s="2">
        <v>27.6</v>
      </c>
      <c r="AI444" s="2">
        <f t="shared" si="44"/>
        <v>0</v>
      </c>
      <c r="AJ444" s="2">
        <f t="shared" si="45"/>
        <v>5.9796999999999993</v>
      </c>
      <c r="AK444" s="5">
        <f t="shared" si="48"/>
        <v>0.28474761904761903</v>
      </c>
    </row>
    <row r="445" spans="1:37" x14ac:dyDescent="0.2">
      <c r="A445" s="2">
        <v>2025</v>
      </c>
      <c r="B445" s="2">
        <v>2</v>
      </c>
      <c r="C445" s="2" t="s">
        <v>822</v>
      </c>
      <c r="O445" s="2" t="s">
        <v>115</v>
      </c>
      <c r="P445" s="2" t="s">
        <v>823</v>
      </c>
      <c r="Q445" s="2" t="s">
        <v>824</v>
      </c>
      <c r="R445" s="2">
        <v>1</v>
      </c>
      <c r="S445" s="2">
        <v>16.29</v>
      </c>
      <c r="T445" s="2">
        <v>3.7467000000000001</v>
      </c>
      <c r="U445" s="2">
        <v>20.0367</v>
      </c>
      <c r="W445" s="5">
        <f t="shared" si="47"/>
        <v>1</v>
      </c>
      <c r="AE445" s="2">
        <f t="shared" si="43"/>
        <v>0</v>
      </c>
      <c r="AI445" s="2">
        <f t="shared" si="44"/>
        <v>0</v>
      </c>
      <c r="AJ445" s="2">
        <f t="shared" si="45"/>
        <v>16.29</v>
      </c>
      <c r="AK445" s="5">
        <f t="shared" si="48"/>
        <v>1</v>
      </c>
    </row>
    <row r="446" spans="1:37" x14ac:dyDescent="0.2">
      <c r="A446" s="2">
        <v>2025</v>
      </c>
      <c r="B446" s="2">
        <v>2</v>
      </c>
      <c r="C446" s="2" t="s">
        <v>822</v>
      </c>
      <c r="L446" s="2" t="s">
        <v>40</v>
      </c>
      <c r="O446" s="2" t="s">
        <v>188</v>
      </c>
      <c r="P446" s="2" t="s">
        <v>189</v>
      </c>
      <c r="Q446" s="2" t="s">
        <v>190</v>
      </c>
      <c r="R446" s="2">
        <v>1</v>
      </c>
      <c r="S446" s="2">
        <v>106.5</v>
      </c>
      <c r="T446" s="2">
        <v>24.495000000000001</v>
      </c>
      <c r="U446" s="2">
        <v>130.995</v>
      </c>
      <c r="W446" s="5">
        <f t="shared" si="47"/>
        <v>1</v>
      </c>
      <c r="Y446" s="2" t="s">
        <v>118</v>
      </c>
      <c r="Z446" s="2" t="s">
        <v>191</v>
      </c>
      <c r="AE446" s="2">
        <f t="shared" si="43"/>
        <v>0</v>
      </c>
      <c r="AI446" s="2">
        <f t="shared" si="44"/>
        <v>0</v>
      </c>
      <c r="AJ446" s="2">
        <f t="shared" si="45"/>
        <v>106.5</v>
      </c>
      <c r="AK446" s="5">
        <f t="shared" si="48"/>
        <v>1</v>
      </c>
    </row>
    <row r="447" spans="1:37" x14ac:dyDescent="0.2">
      <c r="A447" s="2">
        <v>2025</v>
      </c>
      <c r="B447" s="2">
        <v>2</v>
      </c>
      <c r="C447" s="2" t="s">
        <v>822</v>
      </c>
      <c r="L447" s="2" t="s">
        <v>40</v>
      </c>
      <c r="O447" s="2" t="s">
        <v>188</v>
      </c>
      <c r="P447" s="2" t="s">
        <v>192</v>
      </c>
      <c r="Q447" s="2" t="s">
        <v>191</v>
      </c>
      <c r="R447" s="2">
        <v>1</v>
      </c>
      <c r="S447" s="2">
        <v>45</v>
      </c>
      <c r="T447" s="2">
        <v>10.35</v>
      </c>
      <c r="U447" s="2">
        <v>55.35</v>
      </c>
      <c r="V447" s="2">
        <f>S447*50%</f>
        <v>22.5</v>
      </c>
      <c r="W447" s="5">
        <f t="shared" si="47"/>
        <v>0.5</v>
      </c>
      <c r="Y447" s="2" t="s">
        <v>118</v>
      </c>
      <c r="Z447" s="2" t="s">
        <v>191</v>
      </c>
      <c r="AE447" s="2">
        <f t="shared" si="43"/>
        <v>0</v>
      </c>
      <c r="AI447" s="2">
        <f t="shared" si="44"/>
        <v>0</v>
      </c>
      <c r="AJ447" s="2">
        <f t="shared" si="45"/>
        <v>22.5</v>
      </c>
      <c r="AK447" s="5">
        <f t="shared" si="48"/>
        <v>0.5</v>
      </c>
    </row>
    <row r="448" spans="1:37" x14ac:dyDescent="0.2">
      <c r="A448" s="2">
        <v>2025</v>
      </c>
      <c r="B448" s="2">
        <v>2</v>
      </c>
      <c r="C448" s="2" t="s">
        <v>825</v>
      </c>
      <c r="O448" s="2" t="s">
        <v>40</v>
      </c>
      <c r="P448" s="2" t="s">
        <v>826</v>
      </c>
      <c r="Q448" s="2" t="s">
        <v>827</v>
      </c>
      <c r="R448" s="2">
        <v>1</v>
      </c>
      <c r="S448" s="2">
        <v>3252.03</v>
      </c>
      <c r="T448" s="2">
        <v>747.96690000000012</v>
      </c>
      <c r="U448" s="2">
        <v>3999.9969000000001</v>
      </c>
      <c r="W448" s="5">
        <f t="shared" si="47"/>
        <v>1</v>
      </c>
      <c r="Y448" s="2" t="s">
        <v>105</v>
      </c>
      <c r="Z448" s="2" t="s">
        <v>621</v>
      </c>
      <c r="AA448" s="2" t="s">
        <v>479</v>
      </c>
      <c r="AE448" s="2">
        <f t="shared" si="43"/>
        <v>0</v>
      </c>
      <c r="AI448" s="2">
        <f t="shared" si="44"/>
        <v>0</v>
      </c>
      <c r="AJ448" s="2">
        <f t="shared" si="45"/>
        <v>3252.03</v>
      </c>
      <c r="AK448" s="5">
        <f t="shared" si="48"/>
        <v>1</v>
      </c>
    </row>
    <row r="449" spans="1:37" x14ac:dyDescent="0.2">
      <c r="A449" s="2">
        <v>2025</v>
      </c>
      <c r="B449" s="2">
        <v>2</v>
      </c>
      <c r="C449" s="2" t="s">
        <v>828</v>
      </c>
      <c r="O449" s="2" t="s">
        <v>115</v>
      </c>
      <c r="P449" s="2" t="s">
        <v>829</v>
      </c>
      <c r="Q449" s="2" t="s">
        <v>830</v>
      </c>
      <c r="R449" s="2">
        <v>1</v>
      </c>
      <c r="S449" s="2">
        <v>218.59</v>
      </c>
      <c r="T449" s="2">
        <v>50.275700000000001</v>
      </c>
      <c r="U449" s="2">
        <v>268.8657</v>
      </c>
      <c r="W449" s="5">
        <f t="shared" si="47"/>
        <v>1</v>
      </c>
      <c r="AE449" s="2">
        <f t="shared" si="43"/>
        <v>0</v>
      </c>
      <c r="AI449" s="2">
        <f t="shared" si="44"/>
        <v>0</v>
      </c>
      <c r="AJ449" s="2">
        <f t="shared" si="45"/>
        <v>218.59</v>
      </c>
      <c r="AK449" s="5">
        <f t="shared" si="48"/>
        <v>1</v>
      </c>
    </row>
    <row r="450" spans="1:37" x14ac:dyDescent="0.2">
      <c r="A450" s="2">
        <v>2025</v>
      </c>
      <c r="B450" s="2">
        <v>2</v>
      </c>
      <c r="C450" s="2" t="s">
        <v>828</v>
      </c>
      <c r="D450" s="2" t="s">
        <v>38</v>
      </c>
      <c r="E450" s="2" t="s">
        <v>39</v>
      </c>
      <c r="F450" s="2">
        <v>513812342</v>
      </c>
      <c r="G450" s="2" t="s">
        <v>41</v>
      </c>
      <c r="H450" s="2" t="s">
        <v>831</v>
      </c>
      <c r="I450" s="2" t="s">
        <v>832</v>
      </c>
      <c r="K450" s="2" t="s">
        <v>422</v>
      </c>
      <c r="L450" s="2" t="s">
        <v>41</v>
      </c>
      <c r="N450" s="2" t="s">
        <v>833</v>
      </c>
      <c r="O450" s="2" t="s">
        <v>73</v>
      </c>
      <c r="P450" s="2" t="s">
        <v>561</v>
      </c>
      <c r="Q450" s="2" t="s">
        <v>308</v>
      </c>
      <c r="R450" s="2">
        <v>1</v>
      </c>
      <c r="S450" s="2">
        <v>220</v>
      </c>
      <c r="T450" s="2">
        <v>50.6</v>
      </c>
      <c r="U450" s="2">
        <v>270.60000000000002</v>
      </c>
      <c r="V450" s="2">
        <v>122.446</v>
      </c>
      <c r="W450" s="5">
        <f t="shared" si="47"/>
        <v>0.44342727272727273</v>
      </c>
      <c r="Y450" s="2" t="s">
        <v>3256</v>
      </c>
      <c r="Z450" s="2" t="s">
        <v>76</v>
      </c>
      <c r="AA450" s="2" t="s">
        <v>77</v>
      </c>
      <c r="AB450" s="2" t="s">
        <v>78</v>
      </c>
      <c r="AE450" s="2">
        <f t="shared" ref="AE450:AE513" si="49">AI450</f>
        <v>0</v>
      </c>
      <c r="AF450" s="2">
        <v>122.446</v>
      </c>
      <c r="AG450" s="2">
        <v>230</v>
      </c>
      <c r="AI450" s="2">
        <f t="shared" ref="AI450:AI513" si="50">AH450*S450</f>
        <v>0</v>
      </c>
      <c r="AJ450" s="2">
        <f t="shared" ref="AJ450:AJ513" si="51">S450-V450</f>
        <v>97.554000000000002</v>
      </c>
      <c r="AK450" s="5">
        <f t="shared" si="48"/>
        <v>0.44342727272727273</v>
      </c>
    </row>
    <row r="451" spans="1:37" x14ac:dyDescent="0.2">
      <c r="A451" s="2">
        <v>2025</v>
      </c>
      <c r="B451" s="2">
        <v>2</v>
      </c>
      <c r="C451" s="2" t="s">
        <v>828</v>
      </c>
      <c r="L451" s="2" t="s">
        <v>41</v>
      </c>
      <c r="O451" s="2" t="s">
        <v>94</v>
      </c>
      <c r="P451" s="2" t="s">
        <v>95</v>
      </c>
      <c r="Q451" s="2" t="s">
        <v>96</v>
      </c>
      <c r="R451" s="2">
        <v>1</v>
      </c>
      <c r="S451" s="2">
        <v>1.1399999999999999</v>
      </c>
      <c r="T451" s="2">
        <v>0.26219999999999999</v>
      </c>
      <c r="U451" s="2">
        <v>1.4021999999999999</v>
      </c>
      <c r="V451" s="2">
        <v>1.1399999999999999</v>
      </c>
      <c r="W451" s="5">
        <f t="shared" si="47"/>
        <v>0</v>
      </c>
      <c r="Y451" s="2" t="s">
        <v>3256</v>
      </c>
      <c r="Z451" s="2" t="s">
        <v>97</v>
      </c>
      <c r="AA451" s="2" t="s">
        <v>77</v>
      </c>
      <c r="AB451" s="2" t="s">
        <v>94</v>
      </c>
      <c r="AE451" s="2">
        <f t="shared" si="49"/>
        <v>0</v>
      </c>
      <c r="AI451" s="2">
        <f t="shared" si="50"/>
        <v>0</v>
      </c>
      <c r="AJ451" s="2">
        <f t="shared" si="51"/>
        <v>0</v>
      </c>
      <c r="AK451" s="5">
        <f t="shared" si="48"/>
        <v>0</v>
      </c>
    </row>
    <row r="452" spans="1:37" x14ac:dyDescent="0.2">
      <c r="A452" s="2">
        <v>2025</v>
      </c>
      <c r="B452" s="2">
        <v>2</v>
      </c>
      <c r="C452" s="2" t="s">
        <v>834</v>
      </c>
      <c r="D452" s="2" t="s">
        <v>109</v>
      </c>
      <c r="E452" s="2" t="s">
        <v>39</v>
      </c>
      <c r="F452" s="2">
        <v>506179095</v>
      </c>
      <c r="G452" s="2" t="s">
        <v>40</v>
      </c>
      <c r="H452" s="2" t="s">
        <v>835</v>
      </c>
      <c r="I452" s="2" t="s">
        <v>836</v>
      </c>
      <c r="K452" s="2" t="s">
        <v>100</v>
      </c>
      <c r="L452" s="2" t="s">
        <v>81</v>
      </c>
      <c r="N452" s="2" t="s">
        <v>837</v>
      </c>
      <c r="O452" s="2" t="s">
        <v>73</v>
      </c>
      <c r="P452" s="2" t="s">
        <v>838</v>
      </c>
      <c r="Q452" s="2" t="s">
        <v>75</v>
      </c>
      <c r="R452" s="2">
        <v>1</v>
      </c>
      <c r="S452" s="2">
        <v>200</v>
      </c>
      <c r="T452" s="2">
        <v>46</v>
      </c>
      <c r="U452" s="2">
        <v>246</v>
      </c>
      <c r="V452" s="2">
        <v>120.636</v>
      </c>
      <c r="W452" s="5">
        <f t="shared" si="47"/>
        <v>0.39682000000000001</v>
      </c>
      <c r="Y452" s="2" t="s">
        <v>3256</v>
      </c>
      <c r="Z452" s="2" t="s">
        <v>76</v>
      </c>
      <c r="AA452" s="2" t="s">
        <v>77</v>
      </c>
      <c r="AB452" s="2" t="s">
        <v>78</v>
      </c>
      <c r="AE452" s="2">
        <f t="shared" si="49"/>
        <v>0</v>
      </c>
      <c r="AF452" s="2">
        <v>120.636</v>
      </c>
      <c r="AG452" s="2">
        <v>220</v>
      </c>
      <c r="AI452" s="2">
        <f t="shared" si="50"/>
        <v>0</v>
      </c>
      <c r="AJ452" s="2">
        <f t="shared" si="51"/>
        <v>79.364000000000004</v>
      </c>
      <c r="AK452" s="5">
        <f t="shared" si="48"/>
        <v>0.39682000000000001</v>
      </c>
    </row>
    <row r="453" spans="1:37" x14ac:dyDescent="0.2">
      <c r="A453" s="2">
        <v>2025</v>
      </c>
      <c r="B453" s="2">
        <v>2</v>
      </c>
      <c r="C453" s="2" t="s">
        <v>834</v>
      </c>
      <c r="D453" s="2" t="s">
        <v>109</v>
      </c>
      <c r="E453" s="2" t="s">
        <v>39</v>
      </c>
      <c r="F453" s="2">
        <v>506179095</v>
      </c>
      <c r="G453" s="2" t="s">
        <v>40</v>
      </c>
      <c r="H453" s="2" t="s">
        <v>835</v>
      </c>
      <c r="I453" s="2" t="s">
        <v>836</v>
      </c>
      <c r="K453" s="2" t="s">
        <v>100</v>
      </c>
      <c r="L453" s="2" t="s">
        <v>81</v>
      </c>
      <c r="N453" s="2" t="s">
        <v>837</v>
      </c>
      <c r="O453" s="2" t="s">
        <v>94</v>
      </c>
      <c r="P453" s="2" t="s">
        <v>95</v>
      </c>
      <c r="Q453" s="2" t="s">
        <v>96</v>
      </c>
      <c r="R453" s="2">
        <v>1</v>
      </c>
      <c r="S453" s="2">
        <v>1.1399999999999999</v>
      </c>
      <c r="T453" s="2">
        <v>0.26219999999999999</v>
      </c>
      <c r="U453" s="2">
        <v>1.4021999999999999</v>
      </c>
      <c r="V453" s="2">
        <v>1.1399999999999999</v>
      </c>
      <c r="W453" s="5">
        <f t="shared" si="47"/>
        <v>0</v>
      </c>
      <c r="Y453" s="2" t="s">
        <v>3256</v>
      </c>
      <c r="Z453" s="2" t="s">
        <v>97</v>
      </c>
      <c r="AA453" s="2" t="s">
        <v>77</v>
      </c>
      <c r="AB453" s="2" t="s">
        <v>94</v>
      </c>
      <c r="AE453" s="2">
        <f t="shared" si="49"/>
        <v>0</v>
      </c>
      <c r="AF453" s="2">
        <v>1.1399999999999999</v>
      </c>
      <c r="AG453" s="2">
        <v>1.1399999999999999</v>
      </c>
      <c r="AI453" s="2">
        <f t="shared" si="50"/>
        <v>0</v>
      </c>
      <c r="AJ453" s="2">
        <f t="shared" si="51"/>
        <v>0</v>
      </c>
      <c r="AK453" s="5">
        <f t="shared" si="48"/>
        <v>0</v>
      </c>
    </row>
    <row r="454" spans="1:37" x14ac:dyDescent="0.2">
      <c r="A454" s="2">
        <v>2025</v>
      </c>
      <c r="B454" s="2">
        <v>2</v>
      </c>
      <c r="C454" s="2" t="s">
        <v>839</v>
      </c>
      <c r="O454" s="2" t="s">
        <v>115</v>
      </c>
      <c r="P454" s="2" t="s">
        <v>375</v>
      </c>
      <c r="Q454" s="2" t="s">
        <v>376</v>
      </c>
      <c r="R454" s="2">
        <v>1</v>
      </c>
      <c r="S454" s="2">
        <v>45.07</v>
      </c>
      <c r="T454" s="2">
        <v>10.366099999999999</v>
      </c>
      <c r="U454" s="2">
        <v>55.436100000000003</v>
      </c>
      <c r="W454" s="5">
        <f>(S454-V454)/S454</f>
        <v>1</v>
      </c>
      <c r="AE454" s="2">
        <f t="shared" si="49"/>
        <v>0</v>
      </c>
      <c r="AI454" s="2">
        <f t="shared" si="50"/>
        <v>0</v>
      </c>
      <c r="AJ454" s="2">
        <f t="shared" si="51"/>
        <v>45.07</v>
      </c>
      <c r="AK454" s="5">
        <f t="shared" si="48"/>
        <v>1</v>
      </c>
    </row>
    <row r="455" spans="1:37" x14ac:dyDescent="0.2">
      <c r="A455" s="2">
        <v>2025</v>
      </c>
      <c r="B455" s="2">
        <v>2</v>
      </c>
      <c r="C455" s="2" t="s">
        <v>473</v>
      </c>
      <c r="D455" s="2" t="s">
        <v>38</v>
      </c>
      <c r="E455" s="2" t="s">
        <v>474</v>
      </c>
      <c r="F455" s="2">
        <v>513626930</v>
      </c>
      <c r="G455" s="2" t="s">
        <v>40</v>
      </c>
      <c r="H455" s="2" t="s">
        <v>340</v>
      </c>
      <c r="I455" s="2" t="s">
        <v>475</v>
      </c>
      <c r="K455" s="2" t="s">
        <v>340</v>
      </c>
      <c r="L455" s="2" t="s">
        <v>40</v>
      </c>
      <c r="O455" s="2" t="s">
        <v>115</v>
      </c>
      <c r="P455" s="2" t="s">
        <v>840</v>
      </c>
      <c r="Q455" s="2" t="s">
        <v>841</v>
      </c>
      <c r="R455" s="2">
        <v>1</v>
      </c>
      <c r="S455" s="2">
        <v>0</v>
      </c>
      <c r="T455" s="2">
        <v>0</v>
      </c>
      <c r="U455" s="2">
        <v>0</v>
      </c>
      <c r="W455" s="5">
        <v>0</v>
      </c>
      <c r="AE455" s="2">
        <f t="shared" si="49"/>
        <v>0</v>
      </c>
      <c r="AI455" s="2">
        <f t="shared" si="50"/>
        <v>0</v>
      </c>
      <c r="AJ455" s="2">
        <f t="shared" si="51"/>
        <v>0</v>
      </c>
      <c r="AK455" s="5" t="e">
        <f t="shared" si="48"/>
        <v>#DIV/0!</v>
      </c>
    </row>
    <row r="456" spans="1:37" x14ac:dyDescent="0.2">
      <c r="A456" s="2">
        <v>2025</v>
      </c>
      <c r="B456" s="2">
        <v>2</v>
      </c>
      <c r="C456" s="2" t="s">
        <v>473</v>
      </c>
      <c r="D456" s="2" t="s">
        <v>38</v>
      </c>
      <c r="E456" s="2" t="s">
        <v>474</v>
      </c>
      <c r="F456" s="2">
        <v>513626930</v>
      </c>
      <c r="G456" s="2" t="s">
        <v>40</v>
      </c>
      <c r="H456" s="2" t="s">
        <v>340</v>
      </c>
      <c r="I456" s="2" t="s">
        <v>475</v>
      </c>
      <c r="K456" s="2" t="s">
        <v>340</v>
      </c>
      <c r="L456" s="2" t="s">
        <v>40</v>
      </c>
      <c r="O456" s="2" t="s">
        <v>115</v>
      </c>
      <c r="P456" s="2" t="s">
        <v>715</v>
      </c>
      <c r="Q456" s="2" t="s">
        <v>716</v>
      </c>
      <c r="R456" s="2">
        <v>1</v>
      </c>
      <c r="S456" s="2">
        <v>1500</v>
      </c>
      <c r="T456" s="2">
        <v>345</v>
      </c>
      <c r="U456" s="2">
        <v>1845</v>
      </c>
      <c r="W456" s="5">
        <f t="shared" ref="W456:W468" si="52">(S456-V456)/S456</f>
        <v>1</v>
      </c>
      <c r="Y456" s="2" t="s">
        <v>105</v>
      </c>
      <c r="Z456" s="2" t="s">
        <v>583</v>
      </c>
      <c r="AA456" s="2" t="s">
        <v>707</v>
      </c>
      <c r="AB456" s="2" t="s">
        <v>115</v>
      </c>
      <c r="AE456" s="2">
        <f t="shared" si="49"/>
        <v>0</v>
      </c>
      <c r="AI456" s="2">
        <f t="shared" si="50"/>
        <v>0</v>
      </c>
      <c r="AJ456" s="2">
        <f t="shared" si="51"/>
        <v>1500</v>
      </c>
      <c r="AK456" s="5">
        <f t="shared" si="48"/>
        <v>1</v>
      </c>
    </row>
    <row r="457" spans="1:37" x14ac:dyDescent="0.2">
      <c r="A457" s="2">
        <v>2025</v>
      </c>
      <c r="B457" s="2">
        <v>2</v>
      </c>
      <c r="C457" s="2" t="s">
        <v>473</v>
      </c>
      <c r="D457" s="2" t="s">
        <v>38</v>
      </c>
      <c r="E457" s="2" t="s">
        <v>474</v>
      </c>
      <c r="F457" s="2">
        <v>513626930</v>
      </c>
      <c r="G457" s="2" t="s">
        <v>40</v>
      </c>
      <c r="H457" s="2" t="s">
        <v>340</v>
      </c>
      <c r="I457" s="2" t="s">
        <v>475</v>
      </c>
      <c r="K457" s="2" t="s">
        <v>340</v>
      </c>
      <c r="L457" s="2" t="s">
        <v>40</v>
      </c>
      <c r="O457" s="2" t="s">
        <v>115</v>
      </c>
      <c r="P457" s="2" t="s">
        <v>842</v>
      </c>
      <c r="Q457" s="2" t="s">
        <v>843</v>
      </c>
      <c r="R457" s="2">
        <v>1</v>
      </c>
      <c r="S457" s="2">
        <v>16250</v>
      </c>
      <c r="T457" s="2">
        <v>3737.5</v>
      </c>
      <c r="U457" s="2">
        <v>19987.5</v>
      </c>
      <c r="W457" s="5">
        <f t="shared" si="52"/>
        <v>1</v>
      </c>
      <c r="Y457" s="2" t="s">
        <v>105</v>
      </c>
      <c r="Z457" s="2" t="s">
        <v>418</v>
      </c>
      <c r="AA457" s="2" t="s">
        <v>152</v>
      </c>
      <c r="AB457" s="2" t="s">
        <v>115</v>
      </c>
      <c r="AE457" s="2">
        <f t="shared" si="49"/>
        <v>0</v>
      </c>
      <c r="AI457" s="2">
        <f t="shared" si="50"/>
        <v>0</v>
      </c>
      <c r="AJ457" s="2">
        <f t="shared" si="51"/>
        <v>16250</v>
      </c>
      <c r="AK457" s="5">
        <f t="shared" si="48"/>
        <v>1</v>
      </c>
    </row>
    <row r="458" spans="1:37" x14ac:dyDescent="0.2">
      <c r="A458" s="2">
        <v>2025</v>
      </c>
      <c r="B458" s="2">
        <v>2</v>
      </c>
      <c r="C458" s="2" t="s">
        <v>473</v>
      </c>
      <c r="D458" s="2" t="s">
        <v>38</v>
      </c>
      <c r="E458" s="2" t="s">
        <v>474</v>
      </c>
      <c r="F458" s="2">
        <v>513626930</v>
      </c>
      <c r="G458" s="2" t="s">
        <v>40</v>
      </c>
      <c r="H458" s="2" t="s">
        <v>340</v>
      </c>
      <c r="I458" s="2" t="s">
        <v>475</v>
      </c>
      <c r="K458" s="2" t="s">
        <v>340</v>
      </c>
      <c r="L458" s="2" t="s">
        <v>40</v>
      </c>
      <c r="O458" s="2" t="s">
        <v>115</v>
      </c>
      <c r="P458" s="2" t="s">
        <v>416</v>
      </c>
      <c r="Q458" s="2" t="s">
        <v>417</v>
      </c>
      <c r="R458" s="2">
        <v>1</v>
      </c>
      <c r="S458" s="2">
        <v>15990</v>
      </c>
      <c r="T458" s="2">
        <v>3677.7</v>
      </c>
      <c r="U458" s="2">
        <v>19667.7</v>
      </c>
      <c r="V458" s="2">
        <v>10669.4</v>
      </c>
      <c r="W458" s="5">
        <f t="shared" si="52"/>
        <v>0.33274546591619764</v>
      </c>
      <c r="Y458" s="2" t="s">
        <v>105</v>
      </c>
      <c r="Z458" s="2" t="s">
        <v>418</v>
      </c>
      <c r="AA458" s="2" t="s">
        <v>152</v>
      </c>
      <c r="AB458" s="2" t="s">
        <v>115</v>
      </c>
      <c r="AE458" s="2">
        <f t="shared" si="49"/>
        <v>0</v>
      </c>
      <c r="AI458" s="2">
        <f t="shared" si="50"/>
        <v>0</v>
      </c>
      <c r="AJ458" s="2">
        <f t="shared" si="51"/>
        <v>5320.6</v>
      </c>
      <c r="AK458" s="5">
        <f t="shared" si="48"/>
        <v>0.33274546591619764</v>
      </c>
    </row>
    <row r="459" spans="1:37" x14ac:dyDescent="0.2">
      <c r="A459" s="2">
        <v>2025</v>
      </c>
      <c r="B459" s="2">
        <v>2</v>
      </c>
      <c r="C459" s="2" t="s">
        <v>473</v>
      </c>
      <c r="D459" s="2" t="s">
        <v>38</v>
      </c>
      <c r="E459" s="2" t="s">
        <v>474</v>
      </c>
      <c r="F459" s="2">
        <v>513626930</v>
      </c>
      <c r="G459" s="2" t="s">
        <v>40</v>
      </c>
      <c r="H459" s="2" t="s">
        <v>340</v>
      </c>
      <c r="I459" s="2" t="s">
        <v>475</v>
      </c>
      <c r="K459" s="2" t="s">
        <v>340</v>
      </c>
      <c r="L459" s="2" t="s">
        <v>40</v>
      </c>
      <c r="O459" s="2" t="s">
        <v>115</v>
      </c>
      <c r="P459" s="2" t="s">
        <v>844</v>
      </c>
      <c r="Q459" s="2" t="s">
        <v>845</v>
      </c>
      <c r="R459" s="2">
        <v>1</v>
      </c>
      <c r="S459" s="2">
        <v>4500</v>
      </c>
      <c r="T459" s="2">
        <v>1035</v>
      </c>
      <c r="U459" s="2">
        <v>5535</v>
      </c>
      <c r="W459" s="5">
        <f t="shared" si="52"/>
        <v>1</v>
      </c>
      <c r="Y459" s="2" t="s">
        <v>105</v>
      </c>
      <c r="AE459" s="2">
        <f t="shared" si="49"/>
        <v>0</v>
      </c>
      <c r="AI459" s="2">
        <f t="shared" si="50"/>
        <v>0</v>
      </c>
      <c r="AJ459" s="2">
        <f t="shared" si="51"/>
        <v>4500</v>
      </c>
      <c r="AK459" s="5">
        <f t="shared" si="48"/>
        <v>1</v>
      </c>
    </row>
    <row r="460" spans="1:37" x14ac:dyDescent="0.2">
      <c r="A460" s="2">
        <v>2025</v>
      </c>
      <c r="B460" s="2">
        <v>2</v>
      </c>
      <c r="C460" s="2" t="s">
        <v>846</v>
      </c>
      <c r="D460" s="2" t="s">
        <v>109</v>
      </c>
      <c r="E460" s="2" t="s">
        <v>847</v>
      </c>
      <c r="F460" s="2">
        <v>504981285</v>
      </c>
      <c r="G460" s="2" t="s">
        <v>291</v>
      </c>
      <c r="H460" s="2" t="s">
        <v>848</v>
      </c>
      <c r="I460" s="2" t="s">
        <v>849</v>
      </c>
      <c r="J460" s="2">
        <v>932209225</v>
      </c>
      <c r="K460" s="2" t="s">
        <v>340</v>
      </c>
      <c r="L460" s="2" t="s">
        <v>40</v>
      </c>
      <c r="O460" s="2" t="s">
        <v>188</v>
      </c>
      <c r="P460" s="2" t="s">
        <v>189</v>
      </c>
      <c r="Q460" s="2" t="s">
        <v>190</v>
      </c>
      <c r="R460" s="2">
        <v>2</v>
      </c>
      <c r="S460" s="2">
        <v>100</v>
      </c>
      <c r="T460" s="2">
        <v>23</v>
      </c>
      <c r="U460" s="2">
        <v>123</v>
      </c>
      <c r="W460" s="5">
        <f t="shared" si="52"/>
        <v>1</v>
      </c>
      <c r="Y460" s="2" t="s">
        <v>118</v>
      </c>
      <c r="Z460" s="2" t="s">
        <v>191</v>
      </c>
      <c r="AE460" s="2">
        <f t="shared" si="49"/>
        <v>0</v>
      </c>
      <c r="AI460" s="2">
        <f t="shared" si="50"/>
        <v>0</v>
      </c>
      <c r="AJ460" s="2">
        <f t="shared" si="51"/>
        <v>100</v>
      </c>
      <c r="AK460" s="5">
        <f t="shared" si="48"/>
        <v>1</v>
      </c>
    </row>
    <row r="461" spans="1:37" x14ac:dyDescent="0.2">
      <c r="A461" s="2">
        <v>2025</v>
      </c>
      <c r="B461" s="2">
        <v>2</v>
      </c>
      <c r="C461" s="2" t="s">
        <v>846</v>
      </c>
      <c r="D461" s="2" t="s">
        <v>109</v>
      </c>
      <c r="E461" s="2" t="s">
        <v>847</v>
      </c>
      <c r="F461" s="2">
        <v>504981285</v>
      </c>
      <c r="G461" s="2" t="s">
        <v>291</v>
      </c>
      <c r="H461" s="2" t="s">
        <v>848</v>
      </c>
      <c r="I461" s="2" t="s">
        <v>849</v>
      </c>
      <c r="J461" s="2">
        <v>932209225</v>
      </c>
      <c r="K461" s="2" t="s">
        <v>340</v>
      </c>
      <c r="L461" s="2" t="s">
        <v>40</v>
      </c>
      <c r="O461" s="2" t="s">
        <v>188</v>
      </c>
      <c r="P461" s="2" t="s">
        <v>192</v>
      </c>
      <c r="Q461" s="2" t="s">
        <v>191</v>
      </c>
      <c r="R461" s="2">
        <v>2.75</v>
      </c>
      <c r="S461" s="2">
        <v>137.5</v>
      </c>
      <c r="T461" s="2">
        <v>31.625</v>
      </c>
      <c r="U461" s="2">
        <v>169.125</v>
      </c>
      <c r="V461" s="2">
        <f>S461*50%</f>
        <v>68.75</v>
      </c>
      <c r="W461" s="5">
        <f t="shared" si="52"/>
        <v>0.5</v>
      </c>
      <c r="Y461" s="2" t="s">
        <v>118</v>
      </c>
      <c r="Z461" s="2" t="s">
        <v>191</v>
      </c>
      <c r="AE461" s="2">
        <f t="shared" si="49"/>
        <v>0</v>
      </c>
      <c r="AI461" s="2">
        <f t="shared" si="50"/>
        <v>0</v>
      </c>
      <c r="AJ461" s="2">
        <f t="shared" si="51"/>
        <v>68.75</v>
      </c>
      <c r="AK461" s="5">
        <f t="shared" si="48"/>
        <v>0.5</v>
      </c>
    </row>
    <row r="462" spans="1:37" x14ac:dyDescent="0.2">
      <c r="A462" s="2">
        <v>2025</v>
      </c>
      <c r="B462" s="2">
        <v>2</v>
      </c>
      <c r="C462" s="2" t="s">
        <v>846</v>
      </c>
      <c r="D462" s="2" t="s">
        <v>109</v>
      </c>
      <c r="E462" s="2" t="s">
        <v>847</v>
      </c>
      <c r="F462" s="2">
        <v>504981285</v>
      </c>
      <c r="G462" s="2" t="s">
        <v>291</v>
      </c>
      <c r="H462" s="2" t="s">
        <v>848</v>
      </c>
      <c r="I462" s="2" t="s">
        <v>849</v>
      </c>
      <c r="J462" s="2">
        <v>932209225</v>
      </c>
      <c r="K462" s="2" t="s">
        <v>340</v>
      </c>
      <c r="L462" s="2" t="s">
        <v>40</v>
      </c>
      <c r="O462" s="2" t="s">
        <v>40</v>
      </c>
      <c r="P462" s="2" t="s">
        <v>364</v>
      </c>
      <c r="Q462" s="2" t="s">
        <v>365</v>
      </c>
      <c r="R462" s="2">
        <v>1</v>
      </c>
      <c r="S462" s="2">
        <v>105.73</v>
      </c>
      <c r="T462" s="2">
        <v>24.317900000000002</v>
      </c>
      <c r="U462" s="2">
        <v>130.0479</v>
      </c>
      <c r="W462" s="5">
        <f t="shared" si="52"/>
        <v>1</v>
      </c>
      <c r="Y462" s="2" t="s">
        <v>120</v>
      </c>
      <c r="AE462" s="2">
        <f t="shared" si="49"/>
        <v>0</v>
      </c>
      <c r="AI462" s="2">
        <f t="shared" si="50"/>
        <v>0</v>
      </c>
      <c r="AJ462" s="2">
        <f t="shared" si="51"/>
        <v>105.73</v>
      </c>
      <c r="AK462" s="5">
        <f t="shared" si="48"/>
        <v>1</v>
      </c>
    </row>
    <row r="463" spans="1:37" x14ac:dyDescent="0.2">
      <c r="A463" s="2">
        <v>2025</v>
      </c>
      <c r="B463" s="2">
        <v>2</v>
      </c>
      <c r="C463" s="2" t="s">
        <v>850</v>
      </c>
      <c r="D463" s="2" t="s">
        <v>38</v>
      </c>
      <c r="E463" s="2" t="s">
        <v>39</v>
      </c>
      <c r="F463" s="2">
        <v>161685080</v>
      </c>
      <c r="G463" s="2" t="s">
        <v>41</v>
      </c>
      <c r="H463" s="2" t="s">
        <v>422</v>
      </c>
      <c r="J463" s="2" t="s">
        <v>851</v>
      </c>
      <c r="K463" s="2" t="s">
        <v>422</v>
      </c>
      <c r="L463" s="2" t="s">
        <v>41</v>
      </c>
      <c r="N463" s="2" t="s">
        <v>852</v>
      </c>
      <c r="O463" s="2" t="s">
        <v>43</v>
      </c>
      <c r="P463" s="2" t="s">
        <v>49</v>
      </c>
      <c r="Q463" s="2" t="s">
        <v>50</v>
      </c>
      <c r="R463" s="2">
        <v>1</v>
      </c>
      <c r="S463" s="2">
        <v>12</v>
      </c>
      <c r="T463" s="2">
        <v>2.76</v>
      </c>
      <c r="U463" s="2">
        <v>14.76</v>
      </c>
      <c r="V463" s="2">
        <f>6.6267*R463</f>
        <v>6.6266999999999996</v>
      </c>
      <c r="W463" s="5">
        <f t="shared" si="52"/>
        <v>0.44777500000000003</v>
      </c>
      <c r="Y463" s="2" t="s">
        <v>3256</v>
      </c>
      <c r="Z463" s="2" t="s">
        <v>46</v>
      </c>
      <c r="AA463" s="2" t="s">
        <v>47</v>
      </c>
      <c r="AB463" s="2" t="s">
        <v>48</v>
      </c>
      <c r="AE463" s="2">
        <f t="shared" si="49"/>
        <v>0</v>
      </c>
      <c r="AF463" s="2">
        <v>6.6266999999999996</v>
      </c>
      <c r="AG463" s="2">
        <v>12</v>
      </c>
      <c r="AI463" s="2">
        <f t="shared" si="50"/>
        <v>0</v>
      </c>
      <c r="AJ463" s="2">
        <f t="shared" si="51"/>
        <v>5.3733000000000004</v>
      </c>
      <c r="AK463" s="5">
        <f t="shared" si="48"/>
        <v>0.44777500000000003</v>
      </c>
    </row>
    <row r="464" spans="1:37" x14ac:dyDescent="0.2">
      <c r="A464" s="2">
        <v>2025</v>
      </c>
      <c r="B464" s="2">
        <v>2</v>
      </c>
      <c r="C464" s="2" t="s">
        <v>850</v>
      </c>
      <c r="D464" s="2" t="s">
        <v>38</v>
      </c>
      <c r="E464" s="2" t="s">
        <v>39</v>
      </c>
      <c r="F464" s="2">
        <v>161685080</v>
      </c>
      <c r="G464" s="2" t="s">
        <v>41</v>
      </c>
      <c r="H464" s="2" t="s">
        <v>422</v>
      </c>
      <c r="J464" s="2" t="s">
        <v>851</v>
      </c>
      <c r="K464" s="2" t="s">
        <v>422</v>
      </c>
      <c r="L464" s="2" t="s">
        <v>41</v>
      </c>
      <c r="N464" s="2" t="s">
        <v>852</v>
      </c>
      <c r="O464" s="2" t="s">
        <v>43</v>
      </c>
      <c r="P464" s="2" t="s">
        <v>55</v>
      </c>
      <c r="Q464" s="2" t="s">
        <v>56</v>
      </c>
      <c r="R464" s="2">
        <v>2</v>
      </c>
      <c r="S464" s="2">
        <v>36</v>
      </c>
      <c r="T464" s="2">
        <v>8.2800000000000011</v>
      </c>
      <c r="U464" s="2">
        <v>44.28</v>
      </c>
      <c r="V464" s="2">
        <f>10.6*R464</f>
        <v>21.2</v>
      </c>
      <c r="W464" s="5">
        <f t="shared" si="52"/>
        <v>0.41111111111111115</v>
      </c>
      <c r="Y464" s="2" t="s">
        <v>3256</v>
      </c>
      <c r="Z464" s="2" t="s">
        <v>46</v>
      </c>
      <c r="AA464" s="2" t="s">
        <v>57</v>
      </c>
      <c r="AB464" s="2" t="s">
        <v>58</v>
      </c>
      <c r="AE464" s="2">
        <f t="shared" si="49"/>
        <v>0</v>
      </c>
      <c r="AF464" s="2">
        <v>10.6</v>
      </c>
      <c r="AG464" s="2">
        <v>18</v>
      </c>
      <c r="AI464" s="2">
        <f t="shared" si="50"/>
        <v>0</v>
      </c>
      <c r="AJ464" s="2">
        <f t="shared" si="51"/>
        <v>14.8</v>
      </c>
      <c r="AK464" s="5">
        <f t="shared" si="48"/>
        <v>0.41111111111111115</v>
      </c>
    </row>
    <row r="465" spans="1:37" x14ac:dyDescent="0.2">
      <c r="A465" s="2">
        <v>2025</v>
      </c>
      <c r="B465" s="2">
        <v>2</v>
      </c>
      <c r="C465" s="2" t="s">
        <v>850</v>
      </c>
      <c r="D465" s="2" t="s">
        <v>38</v>
      </c>
      <c r="E465" s="2" t="s">
        <v>39</v>
      </c>
      <c r="F465" s="2">
        <v>161685080</v>
      </c>
      <c r="G465" s="2" t="s">
        <v>41</v>
      </c>
      <c r="H465" s="2" t="s">
        <v>422</v>
      </c>
      <c r="J465" s="2" t="s">
        <v>851</v>
      </c>
      <c r="K465" s="2" t="s">
        <v>422</v>
      </c>
      <c r="L465" s="2" t="s">
        <v>41</v>
      </c>
      <c r="N465" s="2" t="s">
        <v>852</v>
      </c>
      <c r="O465" s="2" t="s">
        <v>43</v>
      </c>
      <c r="P465" s="2" t="s">
        <v>59</v>
      </c>
      <c r="Q465" s="2" t="s">
        <v>60</v>
      </c>
      <c r="R465" s="2">
        <v>100</v>
      </c>
      <c r="S465" s="2">
        <v>13</v>
      </c>
      <c r="T465" s="2">
        <v>2.99</v>
      </c>
      <c r="U465" s="2">
        <v>15.99</v>
      </c>
      <c r="V465" s="2">
        <f>0.0914*R465</f>
        <v>9.1399999999999988</v>
      </c>
      <c r="W465" s="5">
        <f t="shared" si="52"/>
        <v>0.29692307692307701</v>
      </c>
      <c r="Y465" s="2" t="s">
        <v>3256</v>
      </c>
      <c r="Z465" s="2" t="s">
        <v>46</v>
      </c>
      <c r="AA465" s="2" t="s">
        <v>61</v>
      </c>
      <c r="AB465" s="2" t="s">
        <v>58</v>
      </c>
      <c r="AE465" s="2">
        <f t="shared" si="49"/>
        <v>0</v>
      </c>
      <c r="AF465" s="2">
        <v>9.14</v>
      </c>
      <c r="AG465" s="2">
        <v>16</v>
      </c>
      <c r="AI465" s="2">
        <f t="shared" si="50"/>
        <v>0</v>
      </c>
      <c r="AJ465" s="2">
        <f t="shared" si="51"/>
        <v>3.8600000000000012</v>
      </c>
      <c r="AK465" s="5">
        <f t="shared" si="48"/>
        <v>0.29692307692307701</v>
      </c>
    </row>
    <row r="466" spans="1:37" x14ac:dyDescent="0.2">
      <c r="A466" s="2">
        <v>2025</v>
      </c>
      <c r="B466" s="2">
        <v>2</v>
      </c>
      <c r="C466" s="2" t="s">
        <v>853</v>
      </c>
      <c r="O466" s="2" t="s">
        <v>73</v>
      </c>
      <c r="P466" s="2" t="s">
        <v>74</v>
      </c>
      <c r="Q466" s="2" t="s">
        <v>75</v>
      </c>
      <c r="R466" s="2">
        <v>1</v>
      </c>
      <c r="S466" s="2">
        <v>200</v>
      </c>
      <c r="T466" s="2">
        <v>46</v>
      </c>
      <c r="U466" s="2">
        <v>246</v>
      </c>
      <c r="V466" s="2">
        <v>117.453</v>
      </c>
      <c r="W466" s="5">
        <f t="shared" si="52"/>
        <v>0.41273499999999996</v>
      </c>
      <c r="Y466" s="2" t="s">
        <v>3256</v>
      </c>
      <c r="Z466" s="2" t="s">
        <v>76</v>
      </c>
      <c r="AA466" s="2" t="s">
        <v>77</v>
      </c>
      <c r="AB466" s="2" t="s">
        <v>78</v>
      </c>
      <c r="AE466" s="2">
        <f t="shared" si="49"/>
        <v>0</v>
      </c>
      <c r="AF466" s="2">
        <v>117.453</v>
      </c>
      <c r="AG466" s="2">
        <v>220</v>
      </c>
      <c r="AI466" s="2">
        <f t="shared" si="50"/>
        <v>0</v>
      </c>
      <c r="AJ466" s="2">
        <f t="shared" si="51"/>
        <v>82.546999999999997</v>
      </c>
      <c r="AK466" s="5">
        <f t="shared" si="48"/>
        <v>0.41273499999999996</v>
      </c>
    </row>
    <row r="467" spans="1:37" x14ac:dyDescent="0.2">
      <c r="A467" s="2">
        <v>2025</v>
      </c>
      <c r="B467" s="2">
        <v>2</v>
      </c>
      <c r="C467" s="2" t="s">
        <v>853</v>
      </c>
      <c r="O467" s="2" t="s">
        <v>94</v>
      </c>
      <c r="P467" s="2" t="s">
        <v>95</v>
      </c>
      <c r="Q467" s="2" t="s">
        <v>96</v>
      </c>
      <c r="R467" s="2">
        <v>1</v>
      </c>
      <c r="S467" s="2">
        <v>1.1399999999999999</v>
      </c>
      <c r="T467" s="2">
        <v>0.26219999999999999</v>
      </c>
      <c r="U467" s="2">
        <v>1.4021999999999999</v>
      </c>
      <c r="V467" s="2">
        <v>1.1399999999999999</v>
      </c>
      <c r="W467" s="5">
        <f t="shared" si="52"/>
        <v>0</v>
      </c>
      <c r="Y467" s="2" t="s">
        <v>3256</v>
      </c>
      <c r="Z467" s="2" t="s">
        <v>97</v>
      </c>
      <c r="AA467" s="2" t="s">
        <v>77</v>
      </c>
      <c r="AB467" s="2" t="s">
        <v>94</v>
      </c>
      <c r="AE467" s="2">
        <f t="shared" si="49"/>
        <v>0</v>
      </c>
      <c r="AI467" s="2">
        <f t="shared" si="50"/>
        <v>0</v>
      </c>
      <c r="AJ467" s="2">
        <f t="shared" si="51"/>
        <v>0</v>
      </c>
      <c r="AK467" s="5">
        <f t="shared" si="48"/>
        <v>0</v>
      </c>
    </row>
    <row r="468" spans="1:37" x14ac:dyDescent="0.2">
      <c r="A468" s="2">
        <v>2025</v>
      </c>
      <c r="B468" s="2">
        <v>2</v>
      </c>
      <c r="C468" s="2" t="s">
        <v>854</v>
      </c>
      <c r="O468" s="2" t="s">
        <v>115</v>
      </c>
      <c r="P468" s="2" t="s">
        <v>855</v>
      </c>
      <c r="Q468" s="2" t="s">
        <v>856</v>
      </c>
      <c r="R468" s="2">
        <v>0</v>
      </c>
      <c r="S468" s="2">
        <v>0</v>
      </c>
      <c r="T468" s="2">
        <v>0</v>
      </c>
      <c r="U468" s="2">
        <v>0</v>
      </c>
      <c r="W468" s="5" t="e">
        <f t="shared" si="52"/>
        <v>#DIV/0!</v>
      </c>
      <c r="AE468" s="2">
        <f t="shared" si="49"/>
        <v>0</v>
      </c>
      <c r="AI468" s="2">
        <f t="shared" si="50"/>
        <v>0</v>
      </c>
      <c r="AJ468" s="2">
        <f t="shared" si="51"/>
        <v>0</v>
      </c>
      <c r="AK468" s="5" t="e">
        <f t="shared" si="48"/>
        <v>#DIV/0!</v>
      </c>
    </row>
    <row r="469" spans="1:37" x14ac:dyDescent="0.2">
      <c r="A469" s="2">
        <v>2025</v>
      </c>
      <c r="B469" s="2">
        <v>2</v>
      </c>
      <c r="C469" s="2" t="s">
        <v>854</v>
      </c>
      <c r="O469" s="2" t="s">
        <v>170</v>
      </c>
      <c r="P469" s="2" t="s">
        <v>171</v>
      </c>
      <c r="Q469" s="2" t="s">
        <v>171</v>
      </c>
      <c r="R469" s="2">
        <v>0</v>
      </c>
      <c r="S469" s="2">
        <v>0</v>
      </c>
      <c r="T469" s="2">
        <v>0</v>
      </c>
      <c r="U469" s="2">
        <v>0</v>
      </c>
      <c r="V469" s="2">
        <v>0</v>
      </c>
      <c r="W469" s="5">
        <v>0</v>
      </c>
      <c r="Y469" s="2" t="s">
        <v>170</v>
      </c>
      <c r="Z469" s="2" t="s">
        <v>170</v>
      </c>
      <c r="AE469" s="2">
        <f t="shared" si="49"/>
        <v>0</v>
      </c>
      <c r="AI469" s="2">
        <f t="shared" si="50"/>
        <v>0</v>
      </c>
      <c r="AJ469" s="2">
        <f t="shared" si="51"/>
        <v>0</v>
      </c>
      <c r="AK469" s="5" t="e">
        <f t="shared" si="48"/>
        <v>#DIV/0!</v>
      </c>
    </row>
    <row r="470" spans="1:37" x14ac:dyDescent="0.2">
      <c r="A470" s="2">
        <v>2025</v>
      </c>
      <c r="B470" s="2">
        <v>2</v>
      </c>
      <c r="C470" s="2" t="s">
        <v>854</v>
      </c>
      <c r="O470" s="2" t="s">
        <v>40</v>
      </c>
      <c r="P470" s="2" t="s">
        <v>364</v>
      </c>
      <c r="Q470" s="2" t="s">
        <v>365</v>
      </c>
      <c r="R470" s="2">
        <v>1</v>
      </c>
      <c r="S470" s="2">
        <v>17.47</v>
      </c>
      <c r="T470" s="2">
        <v>4.0180999999999996</v>
      </c>
      <c r="U470" s="2">
        <v>21.488099999999999</v>
      </c>
      <c r="W470" s="5">
        <f t="shared" ref="W470:W487" si="53">(S470-V470)/S470</f>
        <v>1</v>
      </c>
      <c r="Y470" s="2" t="s">
        <v>120</v>
      </c>
      <c r="AE470" s="2">
        <f t="shared" si="49"/>
        <v>0</v>
      </c>
      <c r="AI470" s="2">
        <f t="shared" si="50"/>
        <v>0</v>
      </c>
      <c r="AJ470" s="2">
        <f t="shared" si="51"/>
        <v>17.47</v>
      </c>
      <c r="AK470" s="5">
        <f t="shared" si="48"/>
        <v>1</v>
      </c>
    </row>
    <row r="471" spans="1:37" x14ac:dyDescent="0.2">
      <c r="A471" s="2">
        <v>2025</v>
      </c>
      <c r="B471" s="2">
        <v>2</v>
      </c>
      <c r="C471" s="2" t="s">
        <v>492</v>
      </c>
      <c r="D471" s="2" t="s">
        <v>38</v>
      </c>
      <c r="E471" s="2" t="s">
        <v>39</v>
      </c>
      <c r="F471" s="2">
        <v>507380312</v>
      </c>
      <c r="G471" s="2" t="s">
        <v>40</v>
      </c>
      <c r="H471" s="2" t="s">
        <v>493</v>
      </c>
      <c r="I471" s="2" t="s">
        <v>494</v>
      </c>
      <c r="J471" s="2">
        <v>912293443</v>
      </c>
      <c r="K471" s="2" t="s">
        <v>100</v>
      </c>
      <c r="L471" s="2" t="s">
        <v>40</v>
      </c>
      <c r="O471" s="2" t="s">
        <v>40</v>
      </c>
      <c r="P471" s="2" t="s">
        <v>495</v>
      </c>
      <c r="Q471" s="2" t="s">
        <v>496</v>
      </c>
      <c r="R471" s="2">
        <v>1</v>
      </c>
      <c r="S471" s="2">
        <v>650</v>
      </c>
      <c r="T471" s="2">
        <v>149.5</v>
      </c>
      <c r="U471" s="2">
        <v>799.5</v>
      </c>
      <c r="W471" s="5">
        <f t="shared" si="53"/>
        <v>1</v>
      </c>
      <c r="Y471" s="2" t="s">
        <v>120</v>
      </c>
      <c r="AE471" s="2">
        <f t="shared" si="49"/>
        <v>0</v>
      </c>
      <c r="AI471" s="2">
        <f t="shared" si="50"/>
        <v>0</v>
      </c>
      <c r="AJ471" s="2">
        <f t="shared" si="51"/>
        <v>650</v>
      </c>
      <c r="AK471" s="5">
        <f t="shared" si="48"/>
        <v>1</v>
      </c>
    </row>
    <row r="472" spans="1:37" x14ac:dyDescent="0.2">
      <c r="A472" s="2">
        <v>2025</v>
      </c>
      <c r="B472" s="2">
        <v>2</v>
      </c>
      <c r="C472" s="2" t="s">
        <v>857</v>
      </c>
      <c r="O472" s="2" t="s">
        <v>153</v>
      </c>
      <c r="P472" s="2" t="s">
        <v>858</v>
      </c>
      <c r="Q472" s="2" t="s">
        <v>859</v>
      </c>
      <c r="R472" s="2">
        <v>10</v>
      </c>
      <c r="S472" s="2">
        <v>225</v>
      </c>
      <c r="T472" s="2">
        <v>51.75</v>
      </c>
      <c r="U472" s="2">
        <v>276.75</v>
      </c>
      <c r="W472" s="5">
        <f t="shared" si="53"/>
        <v>1</v>
      </c>
      <c r="Y472" s="2" t="s">
        <v>3256</v>
      </c>
      <c r="AE472" s="2">
        <f t="shared" si="49"/>
        <v>0</v>
      </c>
      <c r="AI472" s="2">
        <f t="shared" si="50"/>
        <v>0</v>
      </c>
      <c r="AJ472" s="2">
        <f t="shared" si="51"/>
        <v>225</v>
      </c>
      <c r="AK472" s="5">
        <f t="shared" si="48"/>
        <v>1</v>
      </c>
    </row>
    <row r="473" spans="1:37" x14ac:dyDescent="0.2">
      <c r="A473" s="2">
        <v>2025</v>
      </c>
      <c r="B473" s="2">
        <v>2</v>
      </c>
      <c r="C473" s="2" t="s">
        <v>860</v>
      </c>
      <c r="D473" s="2" t="s">
        <v>109</v>
      </c>
      <c r="E473" s="2" t="s">
        <v>39</v>
      </c>
      <c r="F473" s="2">
        <v>505128128</v>
      </c>
      <c r="G473" s="2" t="s">
        <v>41</v>
      </c>
      <c r="H473" s="2" t="s">
        <v>861</v>
      </c>
      <c r="I473" s="2" t="s">
        <v>862</v>
      </c>
      <c r="J473" s="2">
        <v>917665950</v>
      </c>
      <c r="K473" s="2" t="s">
        <v>100</v>
      </c>
      <c r="L473" s="2" t="s">
        <v>41</v>
      </c>
      <c r="N473" s="2" t="s">
        <v>863</v>
      </c>
      <c r="O473" s="2" t="s">
        <v>43</v>
      </c>
      <c r="P473" s="2" t="s">
        <v>159</v>
      </c>
      <c r="Q473" s="2" t="s">
        <v>160</v>
      </c>
      <c r="R473" s="2">
        <v>1</v>
      </c>
      <c r="S473" s="2">
        <v>18</v>
      </c>
      <c r="T473" s="2">
        <v>4.1400000000000006</v>
      </c>
      <c r="U473" s="2">
        <v>22.14</v>
      </c>
      <c r="V473" s="2">
        <f>9.3*R473</f>
        <v>9.3000000000000007</v>
      </c>
      <c r="W473" s="5">
        <f t="shared" si="53"/>
        <v>0.48333333333333328</v>
      </c>
      <c r="Y473" s="2" t="s">
        <v>3256</v>
      </c>
      <c r="Z473" s="2" t="s">
        <v>46</v>
      </c>
      <c r="AA473" s="2" t="s">
        <v>47</v>
      </c>
      <c r="AB473" s="2" t="s">
        <v>48</v>
      </c>
      <c r="AE473" s="2">
        <f t="shared" si="49"/>
        <v>0</v>
      </c>
      <c r="AF473" s="2">
        <v>9.3000000000000007</v>
      </c>
      <c r="AG473" s="2">
        <v>21</v>
      </c>
      <c r="AI473" s="2">
        <f t="shared" si="50"/>
        <v>0</v>
      </c>
      <c r="AJ473" s="2">
        <f t="shared" si="51"/>
        <v>8.6999999999999993</v>
      </c>
      <c r="AK473" s="5">
        <f t="shared" si="48"/>
        <v>0.48333333333333328</v>
      </c>
    </row>
    <row r="474" spans="1:37" x14ac:dyDescent="0.2">
      <c r="A474" s="2">
        <v>2025</v>
      </c>
      <c r="B474" s="2">
        <v>2</v>
      </c>
      <c r="C474" s="2" t="s">
        <v>860</v>
      </c>
      <c r="D474" s="2" t="s">
        <v>109</v>
      </c>
      <c r="E474" s="2" t="s">
        <v>39</v>
      </c>
      <c r="F474" s="2">
        <v>505128128</v>
      </c>
      <c r="G474" s="2" t="s">
        <v>41</v>
      </c>
      <c r="H474" s="2" t="s">
        <v>861</v>
      </c>
      <c r="I474" s="2" t="s">
        <v>862</v>
      </c>
      <c r="J474" s="2">
        <v>917665950</v>
      </c>
      <c r="K474" s="2" t="s">
        <v>100</v>
      </c>
      <c r="L474" s="2" t="s">
        <v>41</v>
      </c>
      <c r="N474" s="2" t="s">
        <v>863</v>
      </c>
      <c r="O474" s="2" t="s">
        <v>43</v>
      </c>
      <c r="P474" s="2" t="s">
        <v>864</v>
      </c>
      <c r="Q474" s="2" t="s">
        <v>865</v>
      </c>
      <c r="R474" s="2">
        <v>1</v>
      </c>
      <c r="S474" s="2">
        <v>18</v>
      </c>
      <c r="T474" s="2">
        <v>4.1400000000000006</v>
      </c>
      <c r="U474" s="2">
        <v>22.14</v>
      </c>
      <c r="W474" s="5">
        <f t="shared" si="53"/>
        <v>1</v>
      </c>
      <c r="Y474" s="2" t="s">
        <v>3256</v>
      </c>
      <c r="Z474" s="2" t="s">
        <v>46</v>
      </c>
      <c r="AA474" s="2" t="s">
        <v>47</v>
      </c>
      <c r="AB474" s="2" t="s">
        <v>48</v>
      </c>
      <c r="AE474" s="2">
        <f t="shared" si="49"/>
        <v>0</v>
      </c>
      <c r="AI474" s="2">
        <f t="shared" si="50"/>
        <v>0</v>
      </c>
      <c r="AJ474" s="2">
        <f t="shared" si="51"/>
        <v>18</v>
      </c>
      <c r="AK474" s="5">
        <f t="shared" si="48"/>
        <v>1</v>
      </c>
    </row>
    <row r="475" spans="1:37" x14ac:dyDescent="0.2">
      <c r="A475" s="2">
        <v>2025</v>
      </c>
      <c r="B475" s="2">
        <v>2</v>
      </c>
      <c r="C475" s="2" t="s">
        <v>860</v>
      </c>
      <c r="D475" s="2" t="s">
        <v>109</v>
      </c>
      <c r="E475" s="2" t="s">
        <v>39</v>
      </c>
      <c r="F475" s="2">
        <v>505128128</v>
      </c>
      <c r="G475" s="2" t="s">
        <v>41</v>
      </c>
      <c r="H475" s="2" t="s">
        <v>861</v>
      </c>
      <c r="I475" s="2" t="s">
        <v>862</v>
      </c>
      <c r="J475" s="2">
        <v>917665950</v>
      </c>
      <c r="K475" s="2" t="s">
        <v>100</v>
      </c>
      <c r="L475" s="2" t="s">
        <v>41</v>
      </c>
      <c r="N475" s="2" t="s">
        <v>863</v>
      </c>
      <c r="O475" s="2" t="s">
        <v>43</v>
      </c>
      <c r="P475" s="2" t="s">
        <v>51</v>
      </c>
      <c r="Q475" s="2" t="s">
        <v>52</v>
      </c>
      <c r="R475" s="2">
        <v>1</v>
      </c>
      <c r="S475" s="2">
        <v>16.8</v>
      </c>
      <c r="T475" s="2">
        <v>3.8639999999999999</v>
      </c>
      <c r="U475" s="2">
        <v>20.664000000000001</v>
      </c>
      <c r="V475" s="2">
        <f>10.2346*R475</f>
        <v>10.2346</v>
      </c>
      <c r="W475" s="5">
        <f t="shared" si="53"/>
        <v>0.39079761904761906</v>
      </c>
      <c r="Y475" s="2" t="s">
        <v>3256</v>
      </c>
      <c r="Z475" s="2" t="s">
        <v>46</v>
      </c>
      <c r="AA475" s="2" t="s">
        <v>47</v>
      </c>
      <c r="AB475" s="2" t="s">
        <v>48</v>
      </c>
      <c r="AE475" s="2">
        <f t="shared" si="49"/>
        <v>0</v>
      </c>
      <c r="AF475" s="2">
        <v>10.2346</v>
      </c>
      <c r="AG475" s="2">
        <v>18</v>
      </c>
      <c r="AI475" s="2">
        <f t="shared" si="50"/>
        <v>0</v>
      </c>
      <c r="AJ475" s="2">
        <f t="shared" si="51"/>
        <v>6.5654000000000003</v>
      </c>
      <c r="AK475" s="5">
        <f t="shared" si="48"/>
        <v>0.39079761904761906</v>
      </c>
    </row>
    <row r="476" spans="1:37" x14ac:dyDescent="0.2">
      <c r="A476" s="2">
        <v>2025</v>
      </c>
      <c r="B476" s="2">
        <v>2</v>
      </c>
      <c r="C476" s="2" t="s">
        <v>860</v>
      </c>
      <c r="D476" s="2" t="s">
        <v>109</v>
      </c>
      <c r="E476" s="2" t="s">
        <v>39</v>
      </c>
      <c r="F476" s="2">
        <v>505128128</v>
      </c>
      <c r="G476" s="2" t="s">
        <v>41</v>
      </c>
      <c r="H476" s="2" t="s">
        <v>861</v>
      </c>
      <c r="I476" s="2" t="s">
        <v>862</v>
      </c>
      <c r="J476" s="2">
        <v>917665950</v>
      </c>
      <c r="K476" s="2" t="s">
        <v>100</v>
      </c>
      <c r="L476" s="2" t="s">
        <v>41</v>
      </c>
      <c r="N476" s="2" t="s">
        <v>863</v>
      </c>
      <c r="O476" s="2" t="s">
        <v>43</v>
      </c>
      <c r="P476" s="2" t="s">
        <v>866</v>
      </c>
      <c r="Q476" s="2" t="s">
        <v>867</v>
      </c>
      <c r="R476" s="2">
        <v>1</v>
      </c>
      <c r="S476" s="2">
        <v>16.8</v>
      </c>
      <c r="T476" s="2">
        <v>3.8639999999999999</v>
      </c>
      <c r="U476" s="2">
        <v>20.664000000000001</v>
      </c>
      <c r="W476" s="5">
        <f t="shared" si="53"/>
        <v>1</v>
      </c>
      <c r="Y476" s="2" t="s">
        <v>3256</v>
      </c>
      <c r="Z476" s="2" t="s">
        <v>46</v>
      </c>
      <c r="AA476" s="2" t="s">
        <v>47</v>
      </c>
      <c r="AB476" s="2" t="s">
        <v>48</v>
      </c>
      <c r="AE476" s="2">
        <f t="shared" si="49"/>
        <v>0</v>
      </c>
      <c r="AI476" s="2">
        <f t="shared" si="50"/>
        <v>0</v>
      </c>
      <c r="AJ476" s="2">
        <f t="shared" si="51"/>
        <v>16.8</v>
      </c>
      <c r="AK476" s="5">
        <f t="shared" si="48"/>
        <v>1</v>
      </c>
    </row>
    <row r="477" spans="1:37" x14ac:dyDescent="0.2">
      <c r="A477" s="2">
        <v>2025</v>
      </c>
      <c r="B477" s="2">
        <v>2</v>
      </c>
      <c r="C477" s="2" t="s">
        <v>868</v>
      </c>
      <c r="O477" s="2" t="s">
        <v>283</v>
      </c>
      <c r="P477" s="2" t="s">
        <v>532</v>
      </c>
      <c r="Q477" s="2" t="s">
        <v>533</v>
      </c>
      <c r="R477" s="2">
        <v>1</v>
      </c>
      <c r="S477" s="2">
        <v>399</v>
      </c>
      <c r="T477" s="2">
        <v>91.77000000000001</v>
      </c>
      <c r="U477" s="2">
        <v>490.77</v>
      </c>
      <c r="W477" s="5">
        <f t="shared" si="53"/>
        <v>1</v>
      </c>
      <c r="Y477" s="2" t="s">
        <v>3256</v>
      </c>
      <c r="AE477" s="2">
        <f t="shared" si="49"/>
        <v>0</v>
      </c>
      <c r="AI477" s="2">
        <f t="shared" si="50"/>
        <v>0</v>
      </c>
      <c r="AJ477" s="2">
        <f t="shared" si="51"/>
        <v>399</v>
      </c>
      <c r="AK477" s="5">
        <f t="shared" si="48"/>
        <v>1</v>
      </c>
    </row>
    <row r="478" spans="1:37" x14ac:dyDescent="0.2">
      <c r="A478" s="2">
        <v>2025</v>
      </c>
      <c r="B478" s="2">
        <v>2</v>
      </c>
      <c r="C478" s="2" t="s">
        <v>520</v>
      </c>
      <c r="D478" s="2" t="s">
        <v>38</v>
      </c>
      <c r="E478" s="2" t="s">
        <v>39</v>
      </c>
      <c r="F478" s="2">
        <v>514232749</v>
      </c>
      <c r="G478" s="2" t="s">
        <v>40</v>
      </c>
      <c r="H478" s="2" t="s">
        <v>280</v>
      </c>
      <c r="I478" s="2" t="s">
        <v>521</v>
      </c>
      <c r="J478" s="2">
        <v>967657430</v>
      </c>
      <c r="K478" s="2" t="s">
        <v>202</v>
      </c>
      <c r="N478" s="2" t="s">
        <v>869</v>
      </c>
      <c r="O478" s="2" t="s">
        <v>115</v>
      </c>
      <c r="P478" s="2" t="s">
        <v>523</v>
      </c>
      <c r="Q478" s="2" t="s">
        <v>524</v>
      </c>
      <c r="R478" s="2">
        <v>-2</v>
      </c>
      <c r="S478" s="2">
        <v>-80.349999999999994</v>
      </c>
      <c r="T478" s="2">
        <v>-18.480499999999999</v>
      </c>
      <c r="U478" s="2">
        <v>-98.830500000000001</v>
      </c>
      <c r="W478" s="5">
        <f t="shared" si="53"/>
        <v>1</v>
      </c>
      <c r="Y478" s="2" t="s">
        <v>118</v>
      </c>
      <c r="AE478" s="2">
        <f t="shared" si="49"/>
        <v>0</v>
      </c>
      <c r="AI478" s="2">
        <f t="shared" si="50"/>
        <v>0</v>
      </c>
      <c r="AJ478" s="2">
        <f t="shared" si="51"/>
        <v>-80.349999999999994</v>
      </c>
      <c r="AK478" s="5">
        <f t="shared" si="48"/>
        <v>1</v>
      </c>
    </row>
    <row r="479" spans="1:37" x14ac:dyDescent="0.2">
      <c r="A479" s="2">
        <v>2025</v>
      </c>
      <c r="B479" s="2">
        <v>2</v>
      </c>
      <c r="C479" s="2" t="s">
        <v>870</v>
      </c>
      <c r="O479" s="2" t="s">
        <v>43</v>
      </c>
      <c r="P479" s="2" t="s">
        <v>55</v>
      </c>
      <c r="Q479" s="2" t="s">
        <v>56</v>
      </c>
      <c r="R479" s="2">
        <v>2</v>
      </c>
      <c r="S479" s="2">
        <v>36</v>
      </c>
      <c r="T479" s="2">
        <v>8.2800000000000011</v>
      </c>
      <c r="U479" s="2">
        <v>44.28</v>
      </c>
      <c r="V479" s="2">
        <f>10.6*R479</f>
        <v>21.2</v>
      </c>
      <c r="W479" s="5">
        <f t="shared" si="53"/>
        <v>0.41111111111111115</v>
      </c>
      <c r="Y479" s="2" t="s">
        <v>3256</v>
      </c>
      <c r="Z479" s="2" t="s">
        <v>46</v>
      </c>
      <c r="AA479" s="2" t="s">
        <v>57</v>
      </c>
      <c r="AB479" s="2" t="s">
        <v>58</v>
      </c>
      <c r="AE479" s="2">
        <f t="shared" si="49"/>
        <v>0</v>
      </c>
      <c r="AF479" s="2">
        <v>10.6</v>
      </c>
      <c r="AG479" s="2">
        <v>18</v>
      </c>
      <c r="AI479" s="2">
        <f t="shared" si="50"/>
        <v>0</v>
      </c>
      <c r="AJ479" s="2">
        <f t="shared" si="51"/>
        <v>14.8</v>
      </c>
      <c r="AK479" s="5">
        <f t="shared" si="48"/>
        <v>0.41111111111111115</v>
      </c>
    </row>
    <row r="480" spans="1:37" x14ac:dyDescent="0.2">
      <c r="A480" s="2">
        <v>2025</v>
      </c>
      <c r="B480" s="2">
        <v>2</v>
      </c>
      <c r="C480" s="2" t="s">
        <v>870</v>
      </c>
      <c r="O480" s="2" t="s">
        <v>43</v>
      </c>
      <c r="P480" s="2" t="s">
        <v>257</v>
      </c>
      <c r="Q480" s="2" t="s">
        <v>258</v>
      </c>
      <c r="R480" s="2">
        <v>2</v>
      </c>
      <c r="S480" s="2">
        <v>6</v>
      </c>
      <c r="T480" s="2">
        <v>1.38</v>
      </c>
      <c r="U480" s="2">
        <v>7.38</v>
      </c>
      <c r="W480" s="5">
        <f t="shared" si="53"/>
        <v>1</v>
      </c>
      <c r="Y480" s="2" t="s">
        <v>3256</v>
      </c>
      <c r="Z480" s="2" t="s">
        <v>46</v>
      </c>
      <c r="AA480" s="2" t="s">
        <v>91</v>
      </c>
      <c r="AB480" s="2" t="s">
        <v>58</v>
      </c>
      <c r="AE480" s="2">
        <f t="shared" si="49"/>
        <v>0</v>
      </c>
      <c r="AI480" s="2">
        <f t="shared" si="50"/>
        <v>0</v>
      </c>
      <c r="AJ480" s="2">
        <f t="shared" si="51"/>
        <v>6</v>
      </c>
      <c r="AK480" s="5">
        <f t="shared" si="48"/>
        <v>1</v>
      </c>
    </row>
    <row r="481" spans="1:37" x14ac:dyDescent="0.2">
      <c r="A481" s="2">
        <v>2025</v>
      </c>
      <c r="B481" s="2">
        <v>2</v>
      </c>
      <c r="C481" s="2" t="s">
        <v>871</v>
      </c>
      <c r="O481" s="2" t="s">
        <v>283</v>
      </c>
      <c r="P481" s="2" t="s">
        <v>872</v>
      </c>
      <c r="Q481" s="2" t="s">
        <v>873</v>
      </c>
      <c r="R481" s="2">
        <v>1</v>
      </c>
      <c r="S481" s="2">
        <v>99</v>
      </c>
      <c r="T481" s="2">
        <v>22.77</v>
      </c>
      <c r="U481" s="2">
        <v>121.77</v>
      </c>
      <c r="W481" s="5">
        <f t="shared" si="53"/>
        <v>1</v>
      </c>
      <c r="Y481" s="2" t="s">
        <v>3256</v>
      </c>
      <c r="AE481" s="2">
        <f t="shared" si="49"/>
        <v>0</v>
      </c>
      <c r="AI481" s="2">
        <f t="shared" si="50"/>
        <v>0</v>
      </c>
      <c r="AJ481" s="2">
        <f t="shared" si="51"/>
        <v>99</v>
      </c>
      <c r="AK481" s="5">
        <f t="shared" si="48"/>
        <v>1</v>
      </c>
    </row>
    <row r="482" spans="1:37" x14ac:dyDescent="0.2">
      <c r="A482" s="2">
        <v>2025</v>
      </c>
      <c r="B482" s="2">
        <v>2</v>
      </c>
      <c r="C482" s="2" t="s">
        <v>874</v>
      </c>
      <c r="D482" s="2" t="s">
        <v>38</v>
      </c>
      <c r="E482" s="2" t="s">
        <v>39</v>
      </c>
      <c r="F482" s="2">
        <v>226546594</v>
      </c>
      <c r="G482" s="2" t="s">
        <v>41</v>
      </c>
      <c r="H482" s="2" t="s">
        <v>875</v>
      </c>
      <c r="I482" s="2" t="s">
        <v>876</v>
      </c>
      <c r="J482" s="2">
        <v>933599817</v>
      </c>
      <c r="K482" s="2" t="s">
        <v>100</v>
      </c>
      <c r="L482" s="2" t="s">
        <v>41</v>
      </c>
      <c r="N482" s="2" t="s">
        <v>877</v>
      </c>
      <c r="O482" s="2" t="s">
        <v>43</v>
      </c>
      <c r="P482" s="2" t="s">
        <v>352</v>
      </c>
      <c r="Q482" s="2" t="s">
        <v>353</v>
      </c>
      <c r="R482" s="2">
        <v>1</v>
      </c>
      <c r="S482" s="2">
        <v>18</v>
      </c>
      <c r="T482" s="2">
        <v>4.1400000000000006</v>
      </c>
      <c r="U482" s="2">
        <v>22.14</v>
      </c>
      <c r="V482" s="2">
        <v>10.67</v>
      </c>
      <c r="W482" s="5">
        <f t="shared" si="53"/>
        <v>0.40722222222222221</v>
      </c>
      <c r="Y482" s="2" t="s">
        <v>3256</v>
      </c>
      <c r="Z482" s="2" t="s">
        <v>46</v>
      </c>
      <c r="AA482" s="2" t="s">
        <v>47</v>
      </c>
      <c r="AB482" s="2" t="s">
        <v>48</v>
      </c>
      <c r="AE482" s="2">
        <f t="shared" si="49"/>
        <v>0</v>
      </c>
      <c r="AF482" s="2">
        <v>10.67</v>
      </c>
      <c r="AG482" s="2">
        <v>21</v>
      </c>
      <c r="AI482" s="2">
        <f t="shared" si="50"/>
        <v>0</v>
      </c>
      <c r="AJ482" s="2">
        <f t="shared" si="51"/>
        <v>7.33</v>
      </c>
      <c r="AK482" s="5">
        <f t="shared" si="48"/>
        <v>0.40722222222222221</v>
      </c>
    </row>
    <row r="483" spans="1:37" x14ac:dyDescent="0.2">
      <c r="A483" s="2">
        <v>2025</v>
      </c>
      <c r="B483" s="2">
        <v>2</v>
      </c>
      <c r="C483" s="2" t="s">
        <v>874</v>
      </c>
      <c r="D483" s="2" t="s">
        <v>38</v>
      </c>
      <c r="E483" s="2" t="s">
        <v>39</v>
      </c>
      <c r="F483" s="2">
        <v>226546594</v>
      </c>
      <c r="G483" s="2" t="s">
        <v>41</v>
      </c>
      <c r="H483" s="2" t="s">
        <v>875</v>
      </c>
      <c r="I483" s="2" t="s">
        <v>876</v>
      </c>
      <c r="J483" s="2">
        <v>933599817</v>
      </c>
      <c r="K483" s="2" t="s">
        <v>100</v>
      </c>
      <c r="O483" s="2" t="s">
        <v>43</v>
      </c>
      <c r="P483" s="2" t="s">
        <v>49</v>
      </c>
      <c r="Q483" s="2" t="s">
        <v>50</v>
      </c>
      <c r="R483" s="2">
        <v>10</v>
      </c>
      <c r="S483" s="2">
        <v>110</v>
      </c>
      <c r="T483" s="2">
        <v>25.3</v>
      </c>
      <c r="U483" s="2">
        <v>135.30000000000001</v>
      </c>
      <c r="V483" s="2">
        <f>6.6267*R483</f>
        <v>66.266999999999996</v>
      </c>
      <c r="W483" s="5">
        <f t="shared" si="53"/>
        <v>0.3975727272727273</v>
      </c>
      <c r="Y483" s="2" t="s">
        <v>3256</v>
      </c>
      <c r="Z483" s="2" t="s">
        <v>46</v>
      </c>
      <c r="AA483" s="2" t="s">
        <v>47</v>
      </c>
      <c r="AB483" s="2" t="s">
        <v>48</v>
      </c>
      <c r="AE483" s="2">
        <f t="shared" si="49"/>
        <v>0</v>
      </c>
      <c r="AF483" s="2">
        <v>6.6266999999999996</v>
      </c>
      <c r="AG483" s="2">
        <v>12</v>
      </c>
      <c r="AI483" s="2">
        <f t="shared" si="50"/>
        <v>0</v>
      </c>
      <c r="AJ483" s="2">
        <f t="shared" si="51"/>
        <v>43.733000000000004</v>
      </c>
      <c r="AK483" s="5">
        <f t="shared" si="48"/>
        <v>0.3975727272727273</v>
      </c>
    </row>
    <row r="484" spans="1:37" x14ac:dyDescent="0.2">
      <c r="A484" s="2">
        <v>2025</v>
      </c>
      <c r="B484" s="2">
        <v>2</v>
      </c>
      <c r="C484" s="2" t="s">
        <v>874</v>
      </c>
      <c r="D484" s="2" t="s">
        <v>38</v>
      </c>
      <c r="E484" s="2" t="s">
        <v>39</v>
      </c>
      <c r="F484" s="2">
        <v>226546594</v>
      </c>
      <c r="G484" s="2" t="s">
        <v>41</v>
      </c>
      <c r="H484" s="2" t="s">
        <v>875</v>
      </c>
      <c r="I484" s="2" t="s">
        <v>876</v>
      </c>
      <c r="J484" s="2">
        <v>933599817</v>
      </c>
      <c r="K484" s="2" t="s">
        <v>100</v>
      </c>
      <c r="O484" s="2" t="s">
        <v>43</v>
      </c>
      <c r="P484" s="2" t="s">
        <v>51</v>
      </c>
      <c r="Q484" s="2" t="s">
        <v>52</v>
      </c>
      <c r="R484" s="2">
        <v>1</v>
      </c>
      <c r="S484" s="2">
        <v>16.8</v>
      </c>
      <c r="T484" s="2">
        <v>3.8639999999999999</v>
      </c>
      <c r="U484" s="2">
        <v>20.664000000000001</v>
      </c>
      <c r="V484" s="2">
        <f>10.2346*R484</f>
        <v>10.2346</v>
      </c>
      <c r="W484" s="5">
        <f t="shared" si="53"/>
        <v>0.39079761904761906</v>
      </c>
      <c r="Y484" s="2" t="s">
        <v>3256</v>
      </c>
      <c r="Z484" s="2" t="s">
        <v>46</v>
      </c>
      <c r="AA484" s="2" t="s">
        <v>47</v>
      </c>
      <c r="AB484" s="2" t="s">
        <v>48</v>
      </c>
      <c r="AE484" s="2">
        <f t="shared" si="49"/>
        <v>0</v>
      </c>
      <c r="AF484" s="2">
        <v>10.2346</v>
      </c>
      <c r="AG484" s="2">
        <v>18</v>
      </c>
      <c r="AI484" s="2">
        <f t="shared" si="50"/>
        <v>0</v>
      </c>
      <c r="AJ484" s="2">
        <f t="shared" si="51"/>
        <v>6.5654000000000003</v>
      </c>
      <c r="AK484" s="5">
        <f t="shared" si="48"/>
        <v>0.39079761904761906</v>
      </c>
    </row>
    <row r="485" spans="1:37" x14ac:dyDescent="0.2">
      <c r="A485" s="2">
        <v>2025</v>
      </c>
      <c r="B485" s="2">
        <v>2</v>
      </c>
      <c r="C485" s="2" t="s">
        <v>874</v>
      </c>
      <c r="D485" s="2" t="s">
        <v>38</v>
      </c>
      <c r="E485" s="2" t="s">
        <v>39</v>
      </c>
      <c r="F485" s="2">
        <v>226546594</v>
      </c>
      <c r="G485" s="2" t="s">
        <v>41</v>
      </c>
      <c r="H485" s="2" t="s">
        <v>875</v>
      </c>
      <c r="I485" s="2" t="s">
        <v>876</v>
      </c>
      <c r="J485" s="2">
        <v>933599817</v>
      </c>
      <c r="K485" s="2" t="s">
        <v>100</v>
      </c>
      <c r="L485" s="2" t="s">
        <v>41</v>
      </c>
      <c r="N485" s="2" t="s">
        <v>877</v>
      </c>
      <c r="O485" s="2" t="s">
        <v>43</v>
      </c>
      <c r="P485" s="2" t="s">
        <v>878</v>
      </c>
      <c r="Q485" s="2" t="s">
        <v>879</v>
      </c>
      <c r="R485" s="2">
        <v>1</v>
      </c>
      <c r="S485" s="2">
        <v>26.4</v>
      </c>
      <c r="T485" s="2">
        <v>6.0720000000000001</v>
      </c>
      <c r="U485" s="2">
        <v>32.472000000000001</v>
      </c>
      <c r="V485" s="2">
        <v>14.12</v>
      </c>
      <c r="W485" s="5">
        <f t="shared" si="53"/>
        <v>0.46515151515151515</v>
      </c>
      <c r="Y485" s="2" t="s">
        <v>3256</v>
      </c>
      <c r="Z485" s="2" t="s">
        <v>46</v>
      </c>
      <c r="AA485" s="2" t="s">
        <v>47</v>
      </c>
      <c r="AB485" s="2" t="s">
        <v>48</v>
      </c>
      <c r="AE485" s="2">
        <f t="shared" si="49"/>
        <v>0</v>
      </c>
      <c r="AF485" s="2">
        <v>14.12</v>
      </c>
      <c r="AG485" s="2">
        <v>28.8</v>
      </c>
      <c r="AI485" s="2">
        <f t="shared" si="50"/>
        <v>0</v>
      </c>
      <c r="AJ485" s="2">
        <f t="shared" si="51"/>
        <v>12.28</v>
      </c>
      <c r="AK485" s="5">
        <f t="shared" si="48"/>
        <v>0.46515151515151515</v>
      </c>
    </row>
    <row r="486" spans="1:37" x14ac:dyDescent="0.2">
      <c r="A486" s="2">
        <v>2025</v>
      </c>
      <c r="B486" s="2">
        <v>2</v>
      </c>
      <c r="C486" s="2" t="s">
        <v>880</v>
      </c>
      <c r="L486" s="2" t="s">
        <v>40</v>
      </c>
      <c r="O486" s="2" t="s">
        <v>188</v>
      </c>
      <c r="P486" s="2" t="s">
        <v>189</v>
      </c>
      <c r="Q486" s="2" t="s">
        <v>190</v>
      </c>
      <c r="R486" s="2">
        <v>1</v>
      </c>
      <c r="S486" s="2">
        <v>50</v>
      </c>
      <c r="T486" s="2">
        <v>11.5</v>
      </c>
      <c r="U486" s="2">
        <v>61.5</v>
      </c>
      <c r="W486" s="5">
        <f t="shared" si="53"/>
        <v>1</v>
      </c>
      <c r="Y486" s="2" t="s">
        <v>118</v>
      </c>
      <c r="Z486" s="2" t="s">
        <v>191</v>
      </c>
      <c r="AE486" s="2">
        <f t="shared" si="49"/>
        <v>0</v>
      </c>
      <c r="AI486" s="2">
        <f t="shared" si="50"/>
        <v>0</v>
      </c>
      <c r="AJ486" s="2">
        <f t="shared" si="51"/>
        <v>50</v>
      </c>
      <c r="AK486" s="5">
        <f t="shared" ref="AK486:AK528" si="54">(S486-V486)/S486</f>
        <v>1</v>
      </c>
    </row>
    <row r="487" spans="1:37" x14ac:dyDescent="0.2">
      <c r="A487" s="2">
        <v>2025</v>
      </c>
      <c r="B487" s="2">
        <v>2</v>
      </c>
      <c r="C487" s="2" t="s">
        <v>880</v>
      </c>
      <c r="L487" s="2" t="s">
        <v>40</v>
      </c>
      <c r="O487" s="2" t="s">
        <v>188</v>
      </c>
      <c r="P487" s="2" t="s">
        <v>192</v>
      </c>
      <c r="Q487" s="2" t="s">
        <v>191</v>
      </c>
      <c r="R487" s="2">
        <v>1</v>
      </c>
      <c r="S487" s="2">
        <v>50</v>
      </c>
      <c r="T487" s="2">
        <v>11.5</v>
      </c>
      <c r="U487" s="2">
        <v>61.5</v>
      </c>
      <c r="V487" s="2">
        <f>S487*50%</f>
        <v>25</v>
      </c>
      <c r="W487" s="5">
        <f t="shared" si="53"/>
        <v>0.5</v>
      </c>
      <c r="Y487" s="2" t="s">
        <v>118</v>
      </c>
      <c r="Z487" s="2" t="s">
        <v>191</v>
      </c>
      <c r="AE487" s="2">
        <f t="shared" si="49"/>
        <v>0</v>
      </c>
      <c r="AI487" s="2">
        <f t="shared" si="50"/>
        <v>0</v>
      </c>
      <c r="AJ487" s="2">
        <f t="shared" si="51"/>
        <v>25</v>
      </c>
      <c r="AK487" s="5">
        <f t="shared" si="54"/>
        <v>0.5</v>
      </c>
    </row>
    <row r="488" spans="1:37" x14ac:dyDescent="0.2">
      <c r="A488" s="2">
        <v>2025</v>
      </c>
      <c r="B488" s="2">
        <v>2</v>
      </c>
      <c r="C488" s="2" t="s">
        <v>881</v>
      </c>
      <c r="D488" s="2" t="s">
        <v>109</v>
      </c>
      <c r="E488" s="2" t="s">
        <v>39</v>
      </c>
      <c r="F488" s="2">
        <v>506929833</v>
      </c>
      <c r="G488" s="2" t="s">
        <v>110</v>
      </c>
      <c r="H488" s="2" t="s">
        <v>134</v>
      </c>
      <c r="I488" s="2" t="s">
        <v>882</v>
      </c>
      <c r="J488" s="2">
        <v>964065954</v>
      </c>
      <c r="K488" s="2" t="s">
        <v>134</v>
      </c>
      <c r="L488" s="2" t="s">
        <v>40</v>
      </c>
      <c r="N488" s="2" t="s">
        <v>883</v>
      </c>
      <c r="O488" s="2" t="s">
        <v>115</v>
      </c>
      <c r="P488" s="2" t="s">
        <v>884</v>
      </c>
      <c r="Q488" s="2" t="s">
        <v>885</v>
      </c>
      <c r="R488" s="2">
        <v>1</v>
      </c>
      <c r="S488" s="2">
        <v>0</v>
      </c>
      <c r="T488" s="2">
        <v>0</v>
      </c>
      <c r="U488" s="2">
        <v>0</v>
      </c>
      <c r="W488" s="5">
        <v>0</v>
      </c>
      <c r="Y488" s="2" t="s">
        <v>118</v>
      </c>
      <c r="Z488" s="2" t="s">
        <v>119</v>
      </c>
      <c r="AE488" s="2">
        <f t="shared" si="49"/>
        <v>0</v>
      </c>
      <c r="AI488" s="2">
        <f t="shared" si="50"/>
        <v>0</v>
      </c>
      <c r="AJ488" s="2">
        <f t="shared" si="51"/>
        <v>0</v>
      </c>
      <c r="AK488" s="5" t="e">
        <f t="shared" si="54"/>
        <v>#DIV/0!</v>
      </c>
    </row>
    <row r="489" spans="1:37" x14ac:dyDescent="0.2">
      <c r="A489" s="2">
        <v>2025</v>
      </c>
      <c r="B489" s="2">
        <v>2</v>
      </c>
      <c r="C489" s="2" t="s">
        <v>881</v>
      </c>
      <c r="D489" s="2" t="s">
        <v>109</v>
      </c>
      <c r="E489" s="2" t="s">
        <v>39</v>
      </c>
      <c r="F489" s="2">
        <v>506929833</v>
      </c>
      <c r="G489" s="2" t="s">
        <v>110</v>
      </c>
      <c r="H489" s="2" t="s">
        <v>134</v>
      </c>
      <c r="I489" s="2" t="s">
        <v>882</v>
      </c>
      <c r="J489" s="2">
        <v>964065954</v>
      </c>
      <c r="K489" s="2" t="s">
        <v>134</v>
      </c>
      <c r="L489" s="2" t="s">
        <v>40</v>
      </c>
      <c r="N489" s="2" t="s">
        <v>883</v>
      </c>
      <c r="O489" s="2" t="s">
        <v>115</v>
      </c>
      <c r="P489" s="2" t="s">
        <v>886</v>
      </c>
      <c r="Q489" s="2" t="s">
        <v>887</v>
      </c>
      <c r="R489" s="2">
        <v>1</v>
      </c>
      <c r="S489" s="2">
        <v>4750</v>
      </c>
      <c r="T489" s="2">
        <v>1092.5</v>
      </c>
      <c r="U489" s="2">
        <v>5842.5</v>
      </c>
      <c r="W489" s="5">
        <f t="shared" ref="W489:W528" si="55">(S489-V489)/S489</f>
        <v>1</v>
      </c>
      <c r="Y489" s="2" t="s">
        <v>105</v>
      </c>
      <c r="Z489" s="2" t="s">
        <v>621</v>
      </c>
      <c r="AA489" s="2" t="s">
        <v>120</v>
      </c>
      <c r="AB489" s="2" t="s">
        <v>115</v>
      </c>
      <c r="AE489" s="2">
        <f t="shared" si="49"/>
        <v>0</v>
      </c>
      <c r="AI489" s="2">
        <f t="shared" si="50"/>
        <v>0</v>
      </c>
      <c r="AJ489" s="2">
        <f t="shared" si="51"/>
        <v>4750</v>
      </c>
      <c r="AK489" s="5">
        <f t="shared" si="54"/>
        <v>1</v>
      </c>
    </row>
    <row r="490" spans="1:37" x14ac:dyDescent="0.2">
      <c r="A490" s="2">
        <v>2025</v>
      </c>
      <c r="B490" s="2">
        <v>2</v>
      </c>
      <c r="C490" s="2" t="s">
        <v>534</v>
      </c>
      <c r="D490" s="2" t="s">
        <v>109</v>
      </c>
      <c r="E490" s="2" t="s">
        <v>535</v>
      </c>
      <c r="F490" s="2">
        <v>502139552</v>
      </c>
      <c r="G490" s="2" t="s">
        <v>40</v>
      </c>
      <c r="H490" s="2" t="s">
        <v>340</v>
      </c>
      <c r="I490" s="2" t="s">
        <v>536</v>
      </c>
      <c r="K490" s="2" t="s">
        <v>340</v>
      </c>
      <c r="L490" s="2" t="s">
        <v>40</v>
      </c>
      <c r="O490" s="2" t="s">
        <v>40</v>
      </c>
      <c r="P490" s="2" t="s">
        <v>141</v>
      </c>
      <c r="Q490" s="2" t="s">
        <v>142</v>
      </c>
      <c r="R490" s="2">
        <v>-1</v>
      </c>
      <c r="S490" s="2">
        <v>-8.4600000000000009</v>
      </c>
      <c r="T490" s="2">
        <v>-1.9458</v>
      </c>
      <c r="U490" s="2">
        <v>-10.405799999999999</v>
      </c>
      <c r="W490" s="5">
        <f t="shared" si="55"/>
        <v>1</v>
      </c>
      <c r="Y490" s="2" t="s">
        <v>120</v>
      </c>
      <c r="Z490" s="2" t="s">
        <v>143</v>
      </c>
      <c r="AE490" s="2">
        <f t="shared" si="49"/>
        <v>0</v>
      </c>
      <c r="AI490" s="2">
        <f t="shared" si="50"/>
        <v>0</v>
      </c>
      <c r="AJ490" s="2">
        <f t="shared" si="51"/>
        <v>-8.4600000000000009</v>
      </c>
      <c r="AK490" s="5">
        <f t="shared" si="54"/>
        <v>1</v>
      </c>
    </row>
    <row r="491" spans="1:37" x14ac:dyDescent="0.2">
      <c r="A491" s="2">
        <v>2025</v>
      </c>
      <c r="B491" s="2">
        <v>2</v>
      </c>
      <c r="C491" s="2" t="s">
        <v>888</v>
      </c>
      <c r="D491" s="2" t="s">
        <v>109</v>
      </c>
      <c r="E491" s="2" t="s">
        <v>39</v>
      </c>
      <c r="F491" s="2">
        <v>510118887</v>
      </c>
      <c r="G491" s="2" t="s">
        <v>41</v>
      </c>
      <c r="H491" s="2" t="s">
        <v>889</v>
      </c>
      <c r="I491" s="2" t="s">
        <v>890</v>
      </c>
      <c r="K491" s="2" t="s">
        <v>178</v>
      </c>
      <c r="L491" s="2" t="s">
        <v>41</v>
      </c>
      <c r="N491" s="2" t="s">
        <v>891</v>
      </c>
      <c r="O491" s="2" t="s">
        <v>43</v>
      </c>
      <c r="P491" s="2" t="s">
        <v>51</v>
      </c>
      <c r="Q491" s="2" t="s">
        <v>52</v>
      </c>
      <c r="R491" s="2">
        <v>1</v>
      </c>
      <c r="S491" s="2">
        <v>16.8</v>
      </c>
      <c r="T491" s="2">
        <v>3.8639999999999999</v>
      </c>
      <c r="U491" s="2">
        <v>20.664000000000001</v>
      </c>
      <c r="V491" s="2">
        <f>10.2346*R491</f>
        <v>10.2346</v>
      </c>
      <c r="W491" s="5">
        <f t="shared" si="55"/>
        <v>0.39079761904761906</v>
      </c>
      <c r="Y491" s="2" t="s">
        <v>3256</v>
      </c>
      <c r="Z491" s="2" t="s">
        <v>46</v>
      </c>
      <c r="AA491" s="2" t="s">
        <v>47</v>
      </c>
      <c r="AB491" s="2" t="s">
        <v>48</v>
      </c>
      <c r="AE491" s="2">
        <f t="shared" si="49"/>
        <v>0</v>
      </c>
      <c r="AF491" s="2">
        <v>10.2346</v>
      </c>
      <c r="AG491" s="2">
        <v>18</v>
      </c>
      <c r="AI491" s="2">
        <f t="shared" si="50"/>
        <v>0</v>
      </c>
      <c r="AJ491" s="2">
        <f t="shared" si="51"/>
        <v>6.5654000000000003</v>
      </c>
      <c r="AK491" s="5">
        <f t="shared" si="54"/>
        <v>0.39079761904761906</v>
      </c>
    </row>
    <row r="492" spans="1:37" x14ac:dyDescent="0.2">
      <c r="A492" s="2">
        <v>2025</v>
      </c>
      <c r="B492" s="2">
        <v>2</v>
      </c>
      <c r="C492" s="2" t="s">
        <v>888</v>
      </c>
      <c r="D492" s="2" t="s">
        <v>109</v>
      </c>
      <c r="E492" s="2" t="s">
        <v>39</v>
      </c>
      <c r="F492" s="2">
        <v>510118887</v>
      </c>
      <c r="G492" s="2" t="s">
        <v>41</v>
      </c>
      <c r="H492" s="2" t="s">
        <v>889</v>
      </c>
      <c r="I492" s="2" t="s">
        <v>890</v>
      </c>
      <c r="K492" s="2" t="s">
        <v>178</v>
      </c>
      <c r="L492" s="2" t="s">
        <v>41</v>
      </c>
      <c r="N492" s="2" t="s">
        <v>891</v>
      </c>
      <c r="O492" s="2" t="s">
        <v>43</v>
      </c>
      <c r="P492" s="2" t="s">
        <v>866</v>
      </c>
      <c r="Q492" s="2" t="s">
        <v>867</v>
      </c>
      <c r="R492" s="2">
        <v>1</v>
      </c>
      <c r="S492" s="2">
        <v>16.8</v>
      </c>
      <c r="T492" s="2">
        <v>3.8639999999999999</v>
      </c>
      <c r="U492" s="2">
        <v>20.664000000000001</v>
      </c>
      <c r="W492" s="5">
        <f t="shared" si="55"/>
        <v>1</v>
      </c>
      <c r="Y492" s="2" t="s">
        <v>3256</v>
      </c>
      <c r="Z492" s="2" t="s">
        <v>46</v>
      </c>
      <c r="AA492" s="2" t="s">
        <v>47</v>
      </c>
      <c r="AB492" s="2" t="s">
        <v>48</v>
      </c>
      <c r="AE492" s="2">
        <f t="shared" si="49"/>
        <v>0</v>
      </c>
      <c r="AI492" s="2">
        <f t="shared" si="50"/>
        <v>0</v>
      </c>
      <c r="AJ492" s="2">
        <f t="shared" si="51"/>
        <v>16.8</v>
      </c>
      <c r="AK492" s="5">
        <f t="shared" si="54"/>
        <v>1</v>
      </c>
    </row>
    <row r="493" spans="1:37" x14ac:dyDescent="0.2">
      <c r="A493" s="2">
        <v>2025</v>
      </c>
      <c r="B493" s="2">
        <v>2</v>
      </c>
      <c r="C493" s="2" t="s">
        <v>888</v>
      </c>
      <c r="D493" s="2" t="s">
        <v>109</v>
      </c>
      <c r="E493" s="2" t="s">
        <v>39</v>
      </c>
      <c r="F493" s="2">
        <v>510118887</v>
      </c>
      <c r="G493" s="2" t="s">
        <v>41</v>
      </c>
      <c r="H493" s="2" t="s">
        <v>889</v>
      </c>
      <c r="I493" s="2" t="s">
        <v>890</v>
      </c>
      <c r="K493" s="2" t="s">
        <v>178</v>
      </c>
      <c r="L493" s="2" t="s">
        <v>41</v>
      </c>
      <c r="N493" s="2" t="s">
        <v>891</v>
      </c>
      <c r="O493" s="2" t="s">
        <v>43</v>
      </c>
      <c r="P493" s="2" t="s">
        <v>209</v>
      </c>
      <c r="Q493" s="2" t="s">
        <v>210</v>
      </c>
      <c r="R493" s="2">
        <v>1</v>
      </c>
      <c r="S493" s="2">
        <v>20.399999999999999</v>
      </c>
      <c r="T493" s="2">
        <v>4.6920000000000002</v>
      </c>
      <c r="U493" s="2">
        <v>25.091999999999999</v>
      </c>
      <c r="W493" s="5">
        <f t="shared" si="55"/>
        <v>1</v>
      </c>
      <c r="Y493" s="2" t="s">
        <v>3256</v>
      </c>
      <c r="Z493" s="2" t="s">
        <v>46</v>
      </c>
      <c r="AA493" s="2" t="s">
        <v>47</v>
      </c>
      <c r="AB493" s="2" t="s">
        <v>48</v>
      </c>
      <c r="AE493" s="2">
        <f t="shared" si="49"/>
        <v>0</v>
      </c>
      <c r="AI493" s="2">
        <f t="shared" si="50"/>
        <v>0</v>
      </c>
      <c r="AJ493" s="2">
        <f t="shared" si="51"/>
        <v>20.399999999999999</v>
      </c>
      <c r="AK493" s="5">
        <f t="shared" si="54"/>
        <v>1</v>
      </c>
    </row>
    <row r="494" spans="1:37" x14ac:dyDescent="0.2">
      <c r="A494" s="2">
        <v>2025</v>
      </c>
      <c r="B494" s="2">
        <v>2</v>
      </c>
      <c r="C494" s="2" t="s">
        <v>888</v>
      </c>
      <c r="D494" s="2" t="s">
        <v>109</v>
      </c>
      <c r="E494" s="2" t="s">
        <v>39</v>
      </c>
      <c r="F494" s="2">
        <v>510118887</v>
      </c>
      <c r="G494" s="2" t="s">
        <v>41</v>
      </c>
      <c r="H494" s="2" t="s">
        <v>889</v>
      </c>
      <c r="I494" s="2" t="s">
        <v>890</v>
      </c>
      <c r="K494" s="2" t="s">
        <v>178</v>
      </c>
      <c r="L494" s="2" t="s">
        <v>41</v>
      </c>
      <c r="N494" s="2" t="s">
        <v>891</v>
      </c>
      <c r="O494" s="2" t="s">
        <v>43</v>
      </c>
      <c r="P494" s="2" t="s">
        <v>55</v>
      </c>
      <c r="Q494" s="2" t="s">
        <v>56</v>
      </c>
      <c r="R494" s="2">
        <v>2</v>
      </c>
      <c r="S494" s="2">
        <v>36</v>
      </c>
      <c r="T494" s="2">
        <v>8.2800000000000011</v>
      </c>
      <c r="U494" s="2">
        <v>44.28</v>
      </c>
      <c r="V494" s="2">
        <f>10.6*R494</f>
        <v>21.2</v>
      </c>
      <c r="W494" s="5">
        <f t="shared" si="55"/>
        <v>0.41111111111111115</v>
      </c>
      <c r="Y494" s="2" t="s">
        <v>3256</v>
      </c>
      <c r="Z494" s="2" t="s">
        <v>46</v>
      </c>
      <c r="AA494" s="2" t="s">
        <v>57</v>
      </c>
      <c r="AB494" s="2" t="s">
        <v>58</v>
      </c>
      <c r="AE494" s="2">
        <f t="shared" si="49"/>
        <v>0</v>
      </c>
      <c r="AF494" s="2">
        <v>10.6</v>
      </c>
      <c r="AG494" s="2">
        <v>18</v>
      </c>
      <c r="AI494" s="2">
        <f t="shared" si="50"/>
        <v>0</v>
      </c>
      <c r="AJ494" s="2">
        <f t="shared" si="51"/>
        <v>14.8</v>
      </c>
      <c r="AK494" s="5">
        <f t="shared" si="54"/>
        <v>0.41111111111111115</v>
      </c>
    </row>
    <row r="495" spans="1:37" x14ac:dyDescent="0.2">
      <c r="A495" s="2">
        <v>2025</v>
      </c>
      <c r="B495" s="2">
        <v>2</v>
      </c>
      <c r="C495" s="2" t="s">
        <v>553</v>
      </c>
      <c r="D495" s="2" t="s">
        <v>109</v>
      </c>
      <c r="E495" s="2" t="s">
        <v>397</v>
      </c>
      <c r="F495" s="2">
        <v>503641790</v>
      </c>
      <c r="G495" s="2" t="s">
        <v>40</v>
      </c>
      <c r="H495" s="2" t="s">
        <v>554</v>
      </c>
      <c r="I495" s="2" t="s">
        <v>555</v>
      </c>
      <c r="J495" s="2">
        <v>917753665</v>
      </c>
      <c r="K495" s="2" t="s">
        <v>100</v>
      </c>
      <c r="L495" s="2" t="s">
        <v>81</v>
      </c>
      <c r="N495" s="2" t="s">
        <v>892</v>
      </c>
      <c r="O495" s="2" t="s">
        <v>73</v>
      </c>
      <c r="P495" s="2" t="s">
        <v>74</v>
      </c>
      <c r="Q495" s="2" t="s">
        <v>75</v>
      </c>
      <c r="R495" s="2">
        <v>1</v>
      </c>
      <c r="S495" s="2">
        <v>189.92</v>
      </c>
      <c r="T495" s="2">
        <v>43.681600000000003</v>
      </c>
      <c r="U495" s="2">
        <v>233.60159999999999</v>
      </c>
      <c r="V495" s="2">
        <v>117.453</v>
      </c>
      <c r="W495" s="5">
        <f t="shared" si="55"/>
        <v>0.38156592249368149</v>
      </c>
      <c r="Y495" s="2" t="s">
        <v>3256</v>
      </c>
      <c r="Z495" s="2" t="s">
        <v>76</v>
      </c>
      <c r="AA495" s="2" t="s">
        <v>77</v>
      </c>
      <c r="AB495" s="2" t="s">
        <v>78</v>
      </c>
      <c r="AE495" s="2">
        <f t="shared" si="49"/>
        <v>0</v>
      </c>
      <c r="AF495" s="2">
        <v>117.453</v>
      </c>
      <c r="AG495" s="2">
        <v>220</v>
      </c>
      <c r="AI495" s="2">
        <f t="shared" si="50"/>
        <v>0</v>
      </c>
      <c r="AJ495" s="2">
        <f t="shared" si="51"/>
        <v>72.466999999999985</v>
      </c>
      <c r="AK495" s="5">
        <f t="shared" si="54"/>
        <v>0.38156592249368149</v>
      </c>
    </row>
    <row r="496" spans="1:37" x14ac:dyDescent="0.2">
      <c r="A496" s="2">
        <v>2025</v>
      </c>
      <c r="B496" s="2">
        <v>2</v>
      </c>
      <c r="C496" s="2" t="s">
        <v>553</v>
      </c>
      <c r="D496" s="2" t="s">
        <v>109</v>
      </c>
      <c r="E496" s="2" t="s">
        <v>397</v>
      </c>
      <c r="F496" s="2">
        <v>503641790</v>
      </c>
      <c r="G496" s="2" t="s">
        <v>40</v>
      </c>
      <c r="H496" s="2" t="s">
        <v>554</v>
      </c>
      <c r="I496" s="2" t="s">
        <v>555</v>
      </c>
      <c r="J496" s="2">
        <v>917753665</v>
      </c>
      <c r="K496" s="2" t="s">
        <v>100</v>
      </c>
      <c r="L496" s="2" t="s">
        <v>81</v>
      </c>
      <c r="N496" s="2" t="s">
        <v>892</v>
      </c>
      <c r="O496" s="2" t="s">
        <v>94</v>
      </c>
      <c r="P496" s="2" t="s">
        <v>95</v>
      </c>
      <c r="Q496" s="2" t="s">
        <v>96</v>
      </c>
      <c r="R496" s="2">
        <v>1</v>
      </c>
      <c r="S496" s="2">
        <v>1.1399999999999999</v>
      </c>
      <c r="T496" s="2">
        <v>0.26219999999999999</v>
      </c>
      <c r="U496" s="2">
        <v>1.4021999999999999</v>
      </c>
      <c r="V496" s="2">
        <v>1.1399999999999999</v>
      </c>
      <c r="W496" s="5">
        <f t="shared" si="55"/>
        <v>0</v>
      </c>
      <c r="Y496" s="2" t="s">
        <v>3256</v>
      </c>
      <c r="Z496" s="2" t="s">
        <v>97</v>
      </c>
      <c r="AA496" s="2" t="s">
        <v>77</v>
      </c>
      <c r="AB496" s="2" t="s">
        <v>94</v>
      </c>
      <c r="AE496" s="2">
        <f t="shared" si="49"/>
        <v>0</v>
      </c>
      <c r="AF496" s="2">
        <v>1.1399999999999999</v>
      </c>
      <c r="AG496" s="2">
        <v>1.1399999999999999</v>
      </c>
      <c r="AI496" s="2">
        <f t="shared" si="50"/>
        <v>0</v>
      </c>
      <c r="AJ496" s="2">
        <f t="shared" si="51"/>
        <v>0</v>
      </c>
      <c r="AK496" s="5">
        <f t="shared" si="54"/>
        <v>0</v>
      </c>
    </row>
    <row r="497" spans="1:37" x14ac:dyDescent="0.2">
      <c r="A497" s="2">
        <v>2025</v>
      </c>
      <c r="B497" s="2">
        <v>2</v>
      </c>
      <c r="C497" s="2" t="s">
        <v>893</v>
      </c>
      <c r="O497" s="2" t="s">
        <v>115</v>
      </c>
      <c r="P497" s="2" t="s">
        <v>894</v>
      </c>
      <c r="Q497" s="2" t="s">
        <v>895</v>
      </c>
      <c r="R497" s="2">
        <v>1</v>
      </c>
      <c r="S497" s="2">
        <v>19000</v>
      </c>
      <c r="T497" s="2">
        <v>4370</v>
      </c>
      <c r="U497" s="2">
        <v>23370</v>
      </c>
      <c r="V497" s="2">
        <v>16540.57</v>
      </c>
      <c r="W497" s="5">
        <f t="shared" si="55"/>
        <v>0.12944368421052632</v>
      </c>
      <c r="Y497" s="2" t="s">
        <v>105</v>
      </c>
      <c r="Z497" s="2" t="s">
        <v>418</v>
      </c>
      <c r="AA497" s="2" t="s">
        <v>152</v>
      </c>
      <c r="AB497" s="2" t="s">
        <v>115</v>
      </c>
      <c r="AE497" s="2">
        <f t="shared" si="49"/>
        <v>0</v>
      </c>
      <c r="AI497" s="2">
        <f t="shared" si="50"/>
        <v>0</v>
      </c>
      <c r="AJ497" s="2">
        <f t="shared" si="51"/>
        <v>2459.4300000000003</v>
      </c>
      <c r="AK497" s="5">
        <f t="shared" si="54"/>
        <v>0.12944368421052632</v>
      </c>
    </row>
    <row r="498" spans="1:37" x14ac:dyDescent="0.2">
      <c r="A498" s="2">
        <v>2025</v>
      </c>
      <c r="B498" s="2">
        <v>2</v>
      </c>
      <c r="C498" s="2" t="s">
        <v>896</v>
      </c>
      <c r="D498" s="2" t="s">
        <v>109</v>
      </c>
      <c r="E498" s="2" t="s">
        <v>39</v>
      </c>
      <c r="F498" s="2">
        <v>507216970</v>
      </c>
      <c r="G498" s="2" t="s">
        <v>41</v>
      </c>
      <c r="H498" s="2" t="s">
        <v>897</v>
      </c>
      <c r="I498" s="2" t="s">
        <v>898</v>
      </c>
      <c r="K498" s="2" t="s">
        <v>100</v>
      </c>
      <c r="L498" s="2" t="s">
        <v>41</v>
      </c>
      <c r="O498" s="2" t="s">
        <v>43</v>
      </c>
      <c r="P498" s="2" t="s">
        <v>55</v>
      </c>
      <c r="Q498" s="2" t="s">
        <v>56</v>
      </c>
      <c r="R498" s="2">
        <v>20</v>
      </c>
      <c r="S498" s="2">
        <v>320</v>
      </c>
      <c r="T498" s="2">
        <v>73.600000000000009</v>
      </c>
      <c r="U498" s="2">
        <v>393.6</v>
      </c>
      <c r="V498" s="2">
        <f>10.6*R498</f>
        <v>212</v>
      </c>
      <c r="W498" s="5">
        <f t="shared" si="55"/>
        <v>0.33750000000000002</v>
      </c>
      <c r="Y498" s="2" t="s">
        <v>3256</v>
      </c>
      <c r="Z498" s="2" t="s">
        <v>46</v>
      </c>
      <c r="AA498" s="2" t="s">
        <v>57</v>
      </c>
      <c r="AB498" s="2" t="s">
        <v>58</v>
      </c>
      <c r="AE498" s="2">
        <f t="shared" si="49"/>
        <v>0</v>
      </c>
      <c r="AF498" s="2">
        <v>10.6</v>
      </c>
      <c r="AG498" s="2">
        <v>18</v>
      </c>
      <c r="AI498" s="2">
        <f t="shared" si="50"/>
        <v>0</v>
      </c>
      <c r="AJ498" s="2">
        <f t="shared" si="51"/>
        <v>108</v>
      </c>
      <c r="AK498" s="5">
        <f t="shared" si="54"/>
        <v>0.33750000000000002</v>
      </c>
    </row>
    <row r="499" spans="1:37" x14ac:dyDescent="0.2">
      <c r="A499" s="2">
        <v>2025</v>
      </c>
      <c r="B499" s="2">
        <v>2</v>
      </c>
      <c r="C499" s="2" t="s">
        <v>896</v>
      </c>
      <c r="D499" s="2" t="s">
        <v>109</v>
      </c>
      <c r="E499" s="2" t="s">
        <v>39</v>
      </c>
      <c r="F499" s="2">
        <v>507216970</v>
      </c>
      <c r="G499" s="2" t="s">
        <v>41</v>
      </c>
      <c r="H499" s="2" t="s">
        <v>897</v>
      </c>
      <c r="I499" s="2" t="s">
        <v>898</v>
      </c>
      <c r="K499" s="2" t="s">
        <v>100</v>
      </c>
      <c r="L499" s="2" t="s">
        <v>41</v>
      </c>
      <c r="O499" s="2" t="s">
        <v>43</v>
      </c>
      <c r="P499" s="2" t="s">
        <v>62</v>
      </c>
      <c r="Q499" s="2" t="s">
        <v>63</v>
      </c>
      <c r="R499" s="2">
        <v>2000</v>
      </c>
      <c r="S499" s="2">
        <v>210</v>
      </c>
      <c r="T499" s="2">
        <v>48.3</v>
      </c>
      <c r="U499" s="2">
        <v>258.3</v>
      </c>
      <c r="V499" s="2">
        <f>0.082*R499</f>
        <v>164</v>
      </c>
      <c r="W499" s="5">
        <f t="shared" si="55"/>
        <v>0.21904761904761905</v>
      </c>
      <c r="Y499" s="2" t="s">
        <v>3256</v>
      </c>
      <c r="Z499" s="2" t="s">
        <v>46</v>
      </c>
      <c r="AA499" s="2" t="s">
        <v>61</v>
      </c>
      <c r="AB499" s="2" t="s">
        <v>58</v>
      </c>
      <c r="AE499" s="2">
        <f t="shared" si="49"/>
        <v>0</v>
      </c>
      <c r="AF499" s="2">
        <v>8.1999999999999993</v>
      </c>
      <c r="AG499" s="2">
        <v>13</v>
      </c>
      <c r="AI499" s="2">
        <f t="shared" si="50"/>
        <v>0</v>
      </c>
      <c r="AJ499" s="2">
        <f t="shared" si="51"/>
        <v>46</v>
      </c>
      <c r="AK499" s="5">
        <f t="shared" si="54"/>
        <v>0.21904761904761905</v>
      </c>
    </row>
    <row r="500" spans="1:37" x14ac:dyDescent="0.2">
      <c r="A500" s="2">
        <v>2025</v>
      </c>
      <c r="B500" s="2">
        <v>2</v>
      </c>
      <c r="C500" s="2" t="s">
        <v>899</v>
      </c>
      <c r="O500" s="2" t="s">
        <v>73</v>
      </c>
      <c r="P500" s="2" t="s">
        <v>74</v>
      </c>
      <c r="Q500" s="2" t="s">
        <v>75</v>
      </c>
      <c r="R500" s="2">
        <v>1</v>
      </c>
      <c r="S500" s="2">
        <v>190</v>
      </c>
      <c r="T500" s="2">
        <v>43.7</v>
      </c>
      <c r="U500" s="2">
        <v>233.7</v>
      </c>
      <c r="V500" s="2">
        <v>117.453</v>
      </c>
      <c r="W500" s="5">
        <f t="shared" si="55"/>
        <v>0.38182631578947368</v>
      </c>
      <c r="Y500" s="2" t="s">
        <v>3256</v>
      </c>
      <c r="Z500" s="2" t="s">
        <v>76</v>
      </c>
      <c r="AA500" s="2" t="s">
        <v>77</v>
      </c>
      <c r="AB500" s="2" t="s">
        <v>78</v>
      </c>
      <c r="AE500" s="2">
        <f t="shared" si="49"/>
        <v>0</v>
      </c>
      <c r="AF500" s="2">
        <v>117.453</v>
      </c>
      <c r="AG500" s="2">
        <v>220</v>
      </c>
      <c r="AI500" s="2">
        <f t="shared" si="50"/>
        <v>0</v>
      </c>
      <c r="AJ500" s="2">
        <f t="shared" si="51"/>
        <v>72.546999999999997</v>
      </c>
      <c r="AK500" s="5">
        <f t="shared" si="54"/>
        <v>0.38182631578947368</v>
      </c>
    </row>
    <row r="501" spans="1:37" x14ac:dyDescent="0.2">
      <c r="A501" s="2">
        <v>2025</v>
      </c>
      <c r="B501" s="2">
        <v>2</v>
      </c>
      <c r="C501" s="2" t="s">
        <v>899</v>
      </c>
      <c r="O501" s="2" t="s">
        <v>94</v>
      </c>
      <c r="P501" s="2" t="s">
        <v>95</v>
      </c>
      <c r="Q501" s="2" t="s">
        <v>96</v>
      </c>
      <c r="R501" s="2">
        <v>1</v>
      </c>
      <c r="S501" s="2">
        <v>1.1399999999999999</v>
      </c>
      <c r="T501" s="2">
        <v>0.26219999999999999</v>
      </c>
      <c r="U501" s="2">
        <v>1.4021999999999999</v>
      </c>
      <c r="V501" s="2">
        <v>1.1399999999999999</v>
      </c>
      <c r="W501" s="5">
        <f t="shared" si="55"/>
        <v>0</v>
      </c>
      <c r="Y501" s="2" t="s">
        <v>3256</v>
      </c>
      <c r="Z501" s="2" t="s">
        <v>97</v>
      </c>
      <c r="AA501" s="2" t="s">
        <v>77</v>
      </c>
      <c r="AB501" s="2" t="s">
        <v>94</v>
      </c>
      <c r="AE501" s="2">
        <f t="shared" si="49"/>
        <v>0</v>
      </c>
      <c r="AI501" s="2">
        <f t="shared" si="50"/>
        <v>0</v>
      </c>
      <c r="AJ501" s="2">
        <f t="shared" si="51"/>
        <v>0</v>
      </c>
      <c r="AK501" s="5">
        <f t="shared" si="54"/>
        <v>0</v>
      </c>
    </row>
    <row r="502" spans="1:37" x14ac:dyDescent="0.2">
      <c r="A502" s="2">
        <v>2025</v>
      </c>
      <c r="B502" s="2">
        <v>2</v>
      </c>
      <c r="C502" s="2" t="s">
        <v>900</v>
      </c>
      <c r="O502" s="2" t="s">
        <v>73</v>
      </c>
      <c r="P502" s="2" t="s">
        <v>74</v>
      </c>
      <c r="Q502" s="2" t="s">
        <v>75</v>
      </c>
      <c r="R502" s="2">
        <v>1</v>
      </c>
      <c r="S502" s="2">
        <v>215</v>
      </c>
      <c r="T502" s="2">
        <v>49.45</v>
      </c>
      <c r="U502" s="2">
        <v>264.45</v>
      </c>
      <c r="V502" s="2">
        <v>117.453</v>
      </c>
      <c r="W502" s="5">
        <f t="shared" si="55"/>
        <v>0.45370697674418603</v>
      </c>
      <c r="Y502" s="2" t="s">
        <v>3256</v>
      </c>
      <c r="Z502" s="2" t="s">
        <v>76</v>
      </c>
      <c r="AA502" s="2" t="s">
        <v>77</v>
      </c>
      <c r="AB502" s="2" t="s">
        <v>78</v>
      </c>
      <c r="AE502" s="2">
        <f t="shared" si="49"/>
        <v>0</v>
      </c>
      <c r="AF502" s="2">
        <v>117.453</v>
      </c>
      <c r="AG502" s="2">
        <v>220</v>
      </c>
      <c r="AI502" s="2">
        <f t="shared" si="50"/>
        <v>0</v>
      </c>
      <c r="AJ502" s="2">
        <f t="shared" si="51"/>
        <v>97.546999999999997</v>
      </c>
      <c r="AK502" s="5">
        <f t="shared" si="54"/>
        <v>0.45370697674418603</v>
      </c>
    </row>
    <row r="503" spans="1:37" x14ac:dyDescent="0.2">
      <c r="A503" s="2">
        <v>2025</v>
      </c>
      <c r="B503" s="2">
        <v>2</v>
      </c>
      <c r="C503" s="2" t="s">
        <v>900</v>
      </c>
      <c r="O503" s="2" t="s">
        <v>94</v>
      </c>
      <c r="P503" s="2" t="s">
        <v>95</v>
      </c>
      <c r="Q503" s="2" t="s">
        <v>96</v>
      </c>
      <c r="R503" s="2">
        <v>1</v>
      </c>
      <c r="S503" s="2">
        <v>1.1399999999999999</v>
      </c>
      <c r="T503" s="2">
        <v>0.26219999999999999</v>
      </c>
      <c r="U503" s="2">
        <v>1.4021999999999999</v>
      </c>
      <c r="V503" s="2">
        <v>1.1399999999999999</v>
      </c>
      <c r="W503" s="5">
        <f t="shared" si="55"/>
        <v>0</v>
      </c>
      <c r="Y503" s="2" t="s">
        <v>3256</v>
      </c>
      <c r="Z503" s="2" t="s">
        <v>97</v>
      </c>
      <c r="AA503" s="2" t="s">
        <v>77</v>
      </c>
      <c r="AB503" s="2" t="s">
        <v>94</v>
      </c>
      <c r="AE503" s="2">
        <f t="shared" si="49"/>
        <v>0</v>
      </c>
      <c r="AI503" s="2">
        <f t="shared" si="50"/>
        <v>0</v>
      </c>
      <c r="AJ503" s="2">
        <f t="shared" si="51"/>
        <v>0</v>
      </c>
      <c r="AK503" s="5">
        <f t="shared" si="54"/>
        <v>0</v>
      </c>
    </row>
    <row r="504" spans="1:37" x14ac:dyDescent="0.2">
      <c r="A504" s="2">
        <v>2025</v>
      </c>
      <c r="B504" s="2">
        <v>2</v>
      </c>
      <c r="C504" s="2" t="s">
        <v>901</v>
      </c>
      <c r="O504" s="2" t="s">
        <v>73</v>
      </c>
      <c r="P504" s="2" t="s">
        <v>902</v>
      </c>
      <c r="Q504" s="2" t="s">
        <v>383</v>
      </c>
      <c r="R504" s="2">
        <v>1</v>
      </c>
      <c r="S504" s="2">
        <v>220</v>
      </c>
      <c r="T504" s="2">
        <v>50.6</v>
      </c>
      <c r="U504" s="2">
        <v>270.60000000000002</v>
      </c>
      <c r="W504" s="5">
        <f t="shared" si="55"/>
        <v>1</v>
      </c>
      <c r="Y504" s="2" t="s">
        <v>3256</v>
      </c>
      <c r="Z504" s="2" t="s">
        <v>76</v>
      </c>
      <c r="AA504" s="2" t="s">
        <v>77</v>
      </c>
      <c r="AB504" s="2" t="s">
        <v>78</v>
      </c>
      <c r="AE504" s="2">
        <f t="shared" si="49"/>
        <v>0</v>
      </c>
      <c r="AI504" s="2">
        <f t="shared" si="50"/>
        <v>0</v>
      </c>
      <c r="AJ504" s="2">
        <f t="shared" si="51"/>
        <v>220</v>
      </c>
      <c r="AK504" s="5">
        <f t="shared" si="54"/>
        <v>1</v>
      </c>
    </row>
    <row r="505" spans="1:37" x14ac:dyDescent="0.2">
      <c r="A505" s="2">
        <v>2025</v>
      </c>
      <c r="B505" s="2">
        <v>2</v>
      </c>
      <c r="C505" s="2" t="s">
        <v>901</v>
      </c>
      <c r="O505" s="2" t="s">
        <v>94</v>
      </c>
      <c r="P505" s="2" t="s">
        <v>95</v>
      </c>
      <c r="Q505" s="2" t="s">
        <v>96</v>
      </c>
      <c r="R505" s="2">
        <v>1</v>
      </c>
      <c r="S505" s="2">
        <v>1.1399999999999999</v>
      </c>
      <c r="T505" s="2">
        <v>0.26219999999999999</v>
      </c>
      <c r="U505" s="2">
        <v>1.4021999999999999</v>
      </c>
      <c r="V505" s="2">
        <v>1.1399999999999999</v>
      </c>
      <c r="W505" s="5">
        <f t="shared" si="55"/>
        <v>0</v>
      </c>
      <c r="Y505" s="2" t="s">
        <v>3256</v>
      </c>
      <c r="Z505" s="2" t="s">
        <v>97</v>
      </c>
      <c r="AA505" s="2" t="s">
        <v>77</v>
      </c>
      <c r="AB505" s="2" t="s">
        <v>94</v>
      </c>
      <c r="AE505" s="2">
        <f t="shared" si="49"/>
        <v>0</v>
      </c>
      <c r="AI505" s="2">
        <f t="shared" si="50"/>
        <v>0</v>
      </c>
      <c r="AJ505" s="2">
        <f t="shared" si="51"/>
        <v>0</v>
      </c>
      <c r="AK505" s="5">
        <f t="shared" si="54"/>
        <v>0</v>
      </c>
    </row>
    <row r="506" spans="1:37" x14ac:dyDescent="0.2">
      <c r="A506" s="2">
        <v>2025</v>
      </c>
      <c r="B506" s="2">
        <v>2</v>
      </c>
      <c r="C506" s="2" t="s">
        <v>579</v>
      </c>
      <c r="D506" s="2" t="s">
        <v>38</v>
      </c>
      <c r="E506" s="2" t="s">
        <v>39</v>
      </c>
      <c r="F506" s="2">
        <v>504811029</v>
      </c>
      <c r="G506" s="2" t="s">
        <v>41</v>
      </c>
      <c r="H506" s="2" t="s">
        <v>178</v>
      </c>
      <c r="I506" s="2" t="s">
        <v>580</v>
      </c>
      <c r="K506" s="2" t="s">
        <v>178</v>
      </c>
      <c r="L506" s="2" t="s">
        <v>41</v>
      </c>
      <c r="O506" s="2" t="s">
        <v>43</v>
      </c>
      <c r="P506" s="2" t="s">
        <v>584</v>
      </c>
      <c r="Q506" s="2" t="s">
        <v>585</v>
      </c>
      <c r="R506" s="2">
        <v>20</v>
      </c>
      <c r="S506" s="2">
        <v>48</v>
      </c>
      <c r="T506" s="2">
        <v>11.04</v>
      </c>
      <c r="U506" s="2">
        <v>59.04</v>
      </c>
      <c r="V506" s="2">
        <f>1.4114*R506</f>
        <v>28.228000000000002</v>
      </c>
      <c r="W506" s="5">
        <f t="shared" si="55"/>
        <v>0.41191666666666665</v>
      </c>
      <c r="Y506" s="2" t="s">
        <v>3256</v>
      </c>
      <c r="Z506" s="2" t="s">
        <v>46</v>
      </c>
      <c r="AA506" s="2" t="s">
        <v>61</v>
      </c>
      <c r="AB506" s="2" t="s">
        <v>58</v>
      </c>
      <c r="AE506" s="2">
        <f t="shared" si="49"/>
        <v>0</v>
      </c>
      <c r="AF506" s="2">
        <v>1.4114</v>
      </c>
      <c r="AG506" s="2">
        <v>3</v>
      </c>
      <c r="AI506" s="2">
        <f t="shared" si="50"/>
        <v>0</v>
      </c>
      <c r="AJ506" s="2">
        <f t="shared" si="51"/>
        <v>19.771999999999998</v>
      </c>
      <c r="AK506" s="5">
        <f t="shared" si="54"/>
        <v>0.41191666666666665</v>
      </c>
    </row>
    <row r="507" spans="1:37" x14ac:dyDescent="0.2">
      <c r="A507" s="2">
        <v>2025</v>
      </c>
      <c r="B507" s="2">
        <v>2</v>
      </c>
      <c r="C507" s="2" t="s">
        <v>593</v>
      </c>
      <c r="D507" s="2" t="s">
        <v>38</v>
      </c>
      <c r="E507" s="2" t="s">
        <v>39</v>
      </c>
      <c r="F507" s="2">
        <v>510339298</v>
      </c>
      <c r="G507" s="2" t="s">
        <v>41</v>
      </c>
      <c r="H507" s="2" t="s">
        <v>178</v>
      </c>
      <c r="I507" s="2" t="s">
        <v>594</v>
      </c>
      <c r="K507" s="2" t="s">
        <v>178</v>
      </c>
      <c r="O507" s="2" t="s">
        <v>43</v>
      </c>
      <c r="P507" s="2" t="s">
        <v>161</v>
      </c>
      <c r="Q507" s="2" t="s">
        <v>162</v>
      </c>
      <c r="R507" s="2">
        <v>1</v>
      </c>
      <c r="S507" s="2">
        <v>7.8</v>
      </c>
      <c r="T507" s="2">
        <v>1.794</v>
      </c>
      <c r="U507" s="2">
        <v>9.5939999999999994</v>
      </c>
      <c r="V507" s="2">
        <f>3.7358*R507</f>
        <v>3.7357999999999998</v>
      </c>
      <c r="W507" s="5">
        <f t="shared" si="55"/>
        <v>0.52105128205128204</v>
      </c>
      <c r="Y507" s="2" t="s">
        <v>3256</v>
      </c>
      <c r="Z507" s="2" t="s">
        <v>46</v>
      </c>
      <c r="AA507" s="2" t="s">
        <v>47</v>
      </c>
      <c r="AB507" s="2" t="s">
        <v>48</v>
      </c>
      <c r="AE507" s="2">
        <f t="shared" si="49"/>
        <v>0</v>
      </c>
      <c r="AF507" s="2">
        <v>3.7357999999999998</v>
      </c>
      <c r="AG507" s="2">
        <v>9</v>
      </c>
      <c r="AI507" s="2">
        <f t="shared" si="50"/>
        <v>0</v>
      </c>
      <c r="AJ507" s="2">
        <f t="shared" si="51"/>
        <v>4.0641999999999996</v>
      </c>
      <c r="AK507" s="5">
        <f t="shared" si="54"/>
        <v>0.52105128205128204</v>
      </c>
    </row>
    <row r="508" spans="1:37" x14ac:dyDescent="0.2">
      <c r="A508" s="2">
        <v>2025</v>
      </c>
      <c r="B508" s="2">
        <v>2</v>
      </c>
      <c r="C508" s="2" t="s">
        <v>593</v>
      </c>
      <c r="D508" s="2" t="s">
        <v>38</v>
      </c>
      <c r="E508" s="2" t="s">
        <v>39</v>
      </c>
      <c r="F508" s="2">
        <v>510339298</v>
      </c>
      <c r="G508" s="2" t="s">
        <v>41</v>
      </c>
      <c r="H508" s="2" t="s">
        <v>178</v>
      </c>
      <c r="I508" s="2" t="s">
        <v>594</v>
      </c>
      <c r="K508" s="2" t="s">
        <v>178</v>
      </c>
      <c r="L508" s="2" t="s">
        <v>41</v>
      </c>
      <c r="O508" s="2" t="s">
        <v>43</v>
      </c>
      <c r="P508" s="2" t="s">
        <v>251</v>
      </c>
      <c r="Q508" s="2" t="s">
        <v>252</v>
      </c>
      <c r="R508" s="2">
        <v>2</v>
      </c>
      <c r="S508" s="2">
        <v>110</v>
      </c>
      <c r="T508" s="2">
        <v>25.3</v>
      </c>
      <c r="U508" s="2">
        <v>135.30000000000001</v>
      </c>
      <c r="W508" s="5">
        <f t="shared" si="55"/>
        <v>1</v>
      </c>
      <c r="Y508" s="2" t="s">
        <v>3256</v>
      </c>
      <c r="Z508" s="2" t="s">
        <v>46</v>
      </c>
      <c r="AA508" s="2" t="s">
        <v>91</v>
      </c>
      <c r="AB508" s="2" t="s">
        <v>58</v>
      </c>
      <c r="AE508" s="2">
        <f t="shared" si="49"/>
        <v>0</v>
      </c>
      <c r="AI508" s="2">
        <f t="shared" si="50"/>
        <v>0</v>
      </c>
      <c r="AJ508" s="2">
        <f t="shared" si="51"/>
        <v>110</v>
      </c>
      <c r="AK508" s="5">
        <f t="shared" si="54"/>
        <v>1</v>
      </c>
    </row>
    <row r="509" spans="1:37" x14ac:dyDescent="0.2">
      <c r="A509" s="2">
        <v>2025</v>
      </c>
      <c r="B509" s="2">
        <v>2</v>
      </c>
      <c r="C509" s="2" t="s">
        <v>599</v>
      </c>
      <c r="D509" s="2" t="s">
        <v>109</v>
      </c>
      <c r="E509" s="2" t="s">
        <v>397</v>
      </c>
      <c r="F509" s="2">
        <v>507476352</v>
      </c>
      <c r="G509" s="2" t="s">
        <v>110</v>
      </c>
      <c r="H509" s="2" t="s">
        <v>113</v>
      </c>
      <c r="I509" s="2" t="s">
        <v>600</v>
      </c>
      <c r="K509" s="2" t="s">
        <v>113</v>
      </c>
      <c r="L509" s="2" t="s">
        <v>40</v>
      </c>
      <c r="N509" s="2" t="s">
        <v>903</v>
      </c>
      <c r="O509" s="2" t="s">
        <v>40</v>
      </c>
      <c r="P509" s="2" t="s">
        <v>364</v>
      </c>
      <c r="Q509" s="2" t="s">
        <v>365</v>
      </c>
      <c r="R509" s="2">
        <v>-1</v>
      </c>
      <c r="S509" s="2">
        <v>-15.12</v>
      </c>
      <c r="T509" s="2">
        <v>-3.4775999999999998</v>
      </c>
      <c r="U509" s="2">
        <v>-18.5976</v>
      </c>
      <c r="W509" s="5">
        <f t="shared" si="55"/>
        <v>1</v>
      </c>
      <c r="Y509" s="2" t="s">
        <v>120</v>
      </c>
      <c r="Z509" s="2" t="s">
        <v>119</v>
      </c>
      <c r="AA509" s="2" t="s">
        <v>120</v>
      </c>
      <c r="AB509" s="2" t="s">
        <v>115</v>
      </c>
      <c r="AE509" s="2">
        <f t="shared" si="49"/>
        <v>0</v>
      </c>
      <c r="AI509" s="2">
        <f t="shared" si="50"/>
        <v>0</v>
      </c>
      <c r="AJ509" s="2">
        <f t="shared" si="51"/>
        <v>-15.12</v>
      </c>
      <c r="AK509" s="5">
        <f t="shared" si="54"/>
        <v>1</v>
      </c>
    </row>
    <row r="510" spans="1:37" x14ac:dyDescent="0.2">
      <c r="A510" s="2">
        <v>2025</v>
      </c>
      <c r="B510" s="2">
        <v>2</v>
      </c>
      <c r="C510" s="2" t="s">
        <v>611</v>
      </c>
      <c r="D510" s="2" t="s">
        <v>109</v>
      </c>
      <c r="E510" s="2" t="s">
        <v>39</v>
      </c>
      <c r="F510" s="2">
        <v>504822187</v>
      </c>
      <c r="G510" s="2" t="s">
        <v>110</v>
      </c>
      <c r="H510" s="2" t="s">
        <v>612</v>
      </c>
      <c r="I510" s="2" t="s">
        <v>613</v>
      </c>
      <c r="J510" s="2">
        <v>966216853</v>
      </c>
      <c r="K510" s="2" t="s">
        <v>465</v>
      </c>
      <c r="L510" s="2" t="s">
        <v>41</v>
      </c>
      <c r="O510" s="2" t="s">
        <v>73</v>
      </c>
      <c r="P510" s="2" t="s">
        <v>838</v>
      </c>
      <c r="Q510" s="2" t="s">
        <v>75</v>
      </c>
      <c r="R510" s="2">
        <v>1</v>
      </c>
      <c r="S510" s="2">
        <v>190</v>
      </c>
      <c r="T510" s="2">
        <v>43.7</v>
      </c>
      <c r="U510" s="2">
        <v>233.7</v>
      </c>
      <c r="V510" s="2">
        <v>120.636</v>
      </c>
      <c r="W510" s="5">
        <f t="shared" si="55"/>
        <v>0.36507368421052633</v>
      </c>
      <c r="Y510" s="2" t="s">
        <v>3256</v>
      </c>
      <c r="Z510" s="2" t="s">
        <v>76</v>
      </c>
      <c r="AA510" s="2" t="s">
        <v>77</v>
      </c>
      <c r="AB510" s="2" t="s">
        <v>78</v>
      </c>
      <c r="AE510" s="2">
        <f t="shared" si="49"/>
        <v>0</v>
      </c>
      <c r="AF510" s="2">
        <v>120.636</v>
      </c>
      <c r="AG510" s="2">
        <v>220</v>
      </c>
      <c r="AI510" s="2">
        <f t="shared" si="50"/>
        <v>0</v>
      </c>
      <c r="AJ510" s="2">
        <f t="shared" si="51"/>
        <v>69.364000000000004</v>
      </c>
      <c r="AK510" s="5">
        <f t="shared" si="54"/>
        <v>0.36507368421052633</v>
      </c>
    </row>
    <row r="511" spans="1:37" x14ac:dyDescent="0.2">
      <c r="A511" s="2">
        <v>2025</v>
      </c>
      <c r="B511" s="2">
        <v>2</v>
      </c>
      <c r="C511" s="2" t="s">
        <v>611</v>
      </c>
      <c r="D511" s="2" t="s">
        <v>109</v>
      </c>
      <c r="E511" s="2" t="s">
        <v>39</v>
      </c>
      <c r="F511" s="2">
        <v>504822187</v>
      </c>
      <c r="G511" s="2" t="s">
        <v>110</v>
      </c>
      <c r="H511" s="2" t="s">
        <v>612</v>
      </c>
      <c r="I511" s="2" t="s">
        <v>613</v>
      </c>
      <c r="J511" s="2">
        <v>966216853</v>
      </c>
      <c r="K511" s="2" t="s">
        <v>465</v>
      </c>
      <c r="L511" s="2" t="s">
        <v>41</v>
      </c>
      <c r="O511" s="2" t="s">
        <v>94</v>
      </c>
      <c r="P511" s="2" t="s">
        <v>95</v>
      </c>
      <c r="Q511" s="2" t="s">
        <v>96</v>
      </c>
      <c r="R511" s="2">
        <v>1</v>
      </c>
      <c r="S511" s="2">
        <v>1.1399999999999999</v>
      </c>
      <c r="T511" s="2">
        <v>0.26219999999999999</v>
      </c>
      <c r="U511" s="2">
        <v>1.4021999999999999</v>
      </c>
      <c r="V511" s="2">
        <v>1.1399999999999999</v>
      </c>
      <c r="W511" s="5">
        <f t="shared" si="55"/>
        <v>0</v>
      </c>
      <c r="Y511" s="2" t="s">
        <v>3256</v>
      </c>
      <c r="Z511" s="2" t="s">
        <v>97</v>
      </c>
      <c r="AA511" s="2" t="s">
        <v>77</v>
      </c>
      <c r="AB511" s="2" t="s">
        <v>94</v>
      </c>
      <c r="AE511" s="2">
        <f t="shared" si="49"/>
        <v>0</v>
      </c>
      <c r="AI511" s="2">
        <f t="shared" si="50"/>
        <v>0</v>
      </c>
      <c r="AJ511" s="2">
        <f t="shared" si="51"/>
        <v>0</v>
      </c>
      <c r="AK511" s="5">
        <f t="shared" si="54"/>
        <v>0</v>
      </c>
    </row>
    <row r="512" spans="1:37" x14ac:dyDescent="0.2">
      <c r="A512" s="2">
        <v>2025</v>
      </c>
      <c r="B512" s="2">
        <v>2</v>
      </c>
      <c r="C512" s="2" t="s">
        <v>904</v>
      </c>
      <c r="O512" s="2" t="s">
        <v>43</v>
      </c>
      <c r="P512" s="2" t="s">
        <v>59</v>
      </c>
      <c r="Q512" s="2" t="s">
        <v>60</v>
      </c>
      <c r="R512" s="2">
        <v>1000</v>
      </c>
      <c r="S512" s="2">
        <v>105</v>
      </c>
      <c r="T512" s="2">
        <v>24.15</v>
      </c>
      <c r="U512" s="2">
        <v>129.15</v>
      </c>
      <c r="V512" s="2">
        <f>0.0914*R512</f>
        <v>91.399999999999991</v>
      </c>
      <c r="W512" s="5">
        <f t="shared" si="55"/>
        <v>0.1295238095238096</v>
      </c>
      <c r="Y512" s="2" t="s">
        <v>3256</v>
      </c>
      <c r="Z512" s="2" t="s">
        <v>46</v>
      </c>
      <c r="AA512" s="2" t="s">
        <v>61</v>
      </c>
      <c r="AB512" s="2" t="s">
        <v>58</v>
      </c>
      <c r="AE512" s="2">
        <f t="shared" si="49"/>
        <v>0</v>
      </c>
      <c r="AF512" s="2">
        <v>9.14</v>
      </c>
      <c r="AG512" s="2">
        <v>16</v>
      </c>
      <c r="AI512" s="2">
        <f t="shared" si="50"/>
        <v>0</v>
      </c>
      <c r="AJ512" s="2">
        <f t="shared" si="51"/>
        <v>13.600000000000009</v>
      </c>
      <c r="AK512" s="5">
        <f t="shared" si="54"/>
        <v>0.1295238095238096</v>
      </c>
    </row>
    <row r="513" spans="1:37" x14ac:dyDescent="0.2">
      <c r="A513" s="2">
        <v>2025</v>
      </c>
      <c r="B513" s="2">
        <v>2</v>
      </c>
      <c r="C513" s="2" t="s">
        <v>904</v>
      </c>
      <c r="O513" s="2" t="s">
        <v>43</v>
      </c>
      <c r="P513" s="2" t="s">
        <v>62</v>
      </c>
      <c r="Q513" s="2" t="s">
        <v>63</v>
      </c>
      <c r="R513" s="2">
        <v>1000</v>
      </c>
      <c r="S513" s="2">
        <v>105</v>
      </c>
      <c r="T513" s="2">
        <v>24.15</v>
      </c>
      <c r="U513" s="2">
        <v>129.15</v>
      </c>
      <c r="V513" s="2">
        <f>0.082*R513</f>
        <v>82</v>
      </c>
      <c r="W513" s="5">
        <f t="shared" si="55"/>
        <v>0.21904761904761905</v>
      </c>
      <c r="Y513" s="2" t="s">
        <v>3256</v>
      </c>
      <c r="Z513" s="2" t="s">
        <v>46</v>
      </c>
      <c r="AA513" s="2" t="s">
        <v>61</v>
      </c>
      <c r="AB513" s="2" t="s">
        <v>58</v>
      </c>
      <c r="AE513" s="2">
        <f t="shared" si="49"/>
        <v>0</v>
      </c>
      <c r="AF513" s="2">
        <v>8.1999999999999993</v>
      </c>
      <c r="AG513" s="2">
        <v>13</v>
      </c>
      <c r="AI513" s="2">
        <f t="shared" si="50"/>
        <v>0</v>
      </c>
      <c r="AJ513" s="2">
        <f t="shared" si="51"/>
        <v>23</v>
      </c>
      <c r="AK513" s="5">
        <f t="shared" si="54"/>
        <v>0.21904761904761905</v>
      </c>
    </row>
    <row r="514" spans="1:37" x14ac:dyDescent="0.2">
      <c r="A514" s="2">
        <v>2025</v>
      </c>
      <c r="B514" s="2">
        <v>2</v>
      </c>
      <c r="C514" s="2" t="s">
        <v>905</v>
      </c>
      <c r="D514" s="2" t="s">
        <v>109</v>
      </c>
      <c r="E514" s="2" t="s">
        <v>39</v>
      </c>
      <c r="G514" s="2" t="s">
        <v>40</v>
      </c>
      <c r="H514" s="2" t="s">
        <v>157</v>
      </c>
      <c r="I514" s="2" t="s">
        <v>906</v>
      </c>
      <c r="J514" s="2">
        <v>912047019</v>
      </c>
      <c r="K514" s="2" t="s">
        <v>100</v>
      </c>
      <c r="L514" s="2" t="s">
        <v>40</v>
      </c>
      <c r="N514" s="2" t="s">
        <v>907</v>
      </c>
      <c r="O514" s="2" t="s">
        <v>115</v>
      </c>
      <c r="P514" s="2" t="s">
        <v>908</v>
      </c>
      <c r="Q514" s="2" t="s">
        <v>909</v>
      </c>
      <c r="R514" s="2">
        <v>1</v>
      </c>
      <c r="S514" s="2">
        <v>80.7</v>
      </c>
      <c r="T514" s="2">
        <v>18.561</v>
      </c>
      <c r="U514" s="2">
        <v>99.260999999999996</v>
      </c>
      <c r="V514" s="2">
        <v>42.36</v>
      </c>
      <c r="W514" s="5">
        <f t="shared" si="55"/>
        <v>0.47509293680297399</v>
      </c>
      <c r="Y514" s="2" t="s">
        <v>118</v>
      </c>
      <c r="Z514" s="2" t="s">
        <v>119</v>
      </c>
      <c r="AA514" s="2" t="s">
        <v>120</v>
      </c>
      <c r="AB514" s="2" t="s">
        <v>115</v>
      </c>
      <c r="AE514" s="2">
        <f t="shared" ref="AE514:AE577" si="56">AI514</f>
        <v>0</v>
      </c>
      <c r="AF514" s="2">
        <v>42.36</v>
      </c>
      <c r="AI514" s="2">
        <f t="shared" ref="AI514:AI577" si="57">AH514*S514</f>
        <v>0</v>
      </c>
      <c r="AJ514" s="2">
        <f t="shared" ref="AJ514:AJ577" si="58">S514-V514</f>
        <v>38.340000000000003</v>
      </c>
      <c r="AK514" s="5">
        <f t="shared" si="54"/>
        <v>0.47509293680297399</v>
      </c>
    </row>
    <row r="515" spans="1:37" x14ac:dyDescent="0.2">
      <c r="A515" s="2">
        <v>2025</v>
      </c>
      <c r="B515" s="2">
        <v>2</v>
      </c>
      <c r="C515" s="2" t="s">
        <v>905</v>
      </c>
      <c r="D515" s="2" t="s">
        <v>109</v>
      </c>
      <c r="E515" s="2" t="s">
        <v>39</v>
      </c>
      <c r="G515" s="2" t="s">
        <v>40</v>
      </c>
      <c r="H515" s="2" t="s">
        <v>157</v>
      </c>
      <c r="I515" s="2" t="s">
        <v>906</v>
      </c>
      <c r="J515" s="2">
        <v>912047019</v>
      </c>
      <c r="K515" s="2" t="s">
        <v>100</v>
      </c>
      <c r="L515" s="2" t="s">
        <v>40</v>
      </c>
      <c r="N515" s="2" t="s">
        <v>910</v>
      </c>
      <c r="O515" s="2" t="s">
        <v>40</v>
      </c>
      <c r="P515" s="2" t="s">
        <v>364</v>
      </c>
      <c r="Q515" s="2" t="s">
        <v>365</v>
      </c>
      <c r="R515" s="2">
        <v>1</v>
      </c>
      <c r="S515" s="2">
        <v>135</v>
      </c>
      <c r="T515" s="2">
        <v>31.05</v>
      </c>
      <c r="U515" s="2">
        <v>166.05</v>
      </c>
      <c r="W515" s="5">
        <f t="shared" si="55"/>
        <v>1</v>
      </c>
      <c r="Y515" s="2" t="s">
        <v>120</v>
      </c>
      <c r="Z515" s="2" t="s">
        <v>120</v>
      </c>
      <c r="AE515" s="2">
        <f t="shared" si="56"/>
        <v>0</v>
      </c>
      <c r="AI515" s="2">
        <f t="shared" si="57"/>
        <v>0</v>
      </c>
      <c r="AJ515" s="2">
        <f t="shared" si="58"/>
        <v>135</v>
      </c>
      <c r="AK515" s="5">
        <f t="shared" si="54"/>
        <v>1</v>
      </c>
    </row>
    <row r="516" spans="1:37" x14ac:dyDescent="0.2">
      <c r="A516" s="2">
        <v>2025</v>
      </c>
      <c r="B516" s="2">
        <v>2</v>
      </c>
      <c r="C516" s="2" t="s">
        <v>623</v>
      </c>
      <c r="D516" s="2" t="s">
        <v>38</v>
      </c>
      <c r="E516" s="2" t="s">
        <v>39</v>
      </c>
      <c r="F516" s="2">
        <v>513759654</v>
      </c>
      <c r="G516" s="2" t="s">
        <v>41</v>
      </c>
      <c r="H516" s="2" t="s">
        <v>624</v>
      </c>
      <c r="I516" s="2" t="s">
        <v>625</v>
      </c>
      <c r="K516" s="2" t="s">
        <v>422</v>
      </c>
      <c r="L516" s="2" t="s">
        <v>41</v>
      </c>
      <c r="O516" s="2" t="s">
        <v>43</v>
      </c>
      <c r="P516" s="2" t="s">
        <v>59</v>
      </c>
      <c r="Q516" s="2" t="s">
        <v>60</v>
      </c>
      <c r="R516" s="2">
        <v>300</v>
      </c>
      <c r="S516" s="2">
        <v>39</v>
      </c>
      <c r="T516" s="2">
        <v>8.9700000000000006</v>
      </c>
      <c r="U516" s="2">
        <v>47.97</v>
      </c>
      <c r="V516" s="2">
        <f>0.0914*R516</f>
        <v>27.419999999999998</v>
      </c>
      <c r="W516" s="5">
        <f t="shared" si="55"/>
        <v>0.29692307692307696</v>
      </c>
      <c r="Y516" s="2" t="s">
        <v>3256</v>
      </c>
      <c r="Z516" s="2" t="s">
        <v>46</v>
      </c>
      <c r="AA516" s="2" t="s">
        <v>61</v>
      </c>
      <c r="AB516" s="2" t="s">
        <v>58</v>
      </c>
      <c r="AE516" s="2">
        <f t="shared" si="56"/>
        <v>0</v>
      </c>
      <c r="AF516" s="2">
        <v>9.14</v>
      </c>
      <c r="AG516" s="2">
        <v>16</v>
      </c>
      <c r="AI516" s="2">
        <f t="shared" si="57"/>
        <v>0</v>
      </c>
      <c r="AJ516" s="2">
        <f t="shared" si="58"/>
        <v>11.580000000000002</v>
      </c>
      <c r="AK516" s="5">
        <f t="shared" si="54"/>
        <v>0.29692307692307696</v>
      </c>
    </row>
    <row r="517" spans="1:37" x14ac:dyDescent="0.2">
      <c r="A517" s="2">
        <v>2025</v>
      </c>
      <c r="B517" s="2">
        <v>2</v>
      </c>
      <c r="C517" s="2" t="s">
        <v>623</v>
      </c>
      <c r="D517" s="2" t="s">
        <v>38</v>
      </c>
      <c r="E517" s="2" t="s">
        <v>39</v>
      </c>
      <c r="F517" s="2">
        <v>513759654</v>
      </c>
      <c r="G517" s="2" t="s">
        <v>41</v>
      </c>
      <c r="H517" s="2" t="s">
        <v>624</v>
      </c>
      <c r="I517" s="2" t="s">
        <v>625</v>
      </c>
      <c r="K517" s="2" t="s">
        <v>422</v>
      </c>
      <c r="L517" s="2" t="s">
        <v>41</v>
      </c>
      <c r="O517" s="2" t="s">
        <v>43</v>
      </c>
      <c r="P517" s="2" t="s">
        <v>62</v>
      </c>
      <c r="Q517" s="2" t="s">
        <v>63</v>
      </c>
      <c r="R517" s="2">
        <v>300</v>
      </c>
      <c r="S517" s="2">
        <v>36</v>
      </c>
      <c r="T517" s="2">
        <v>8.2800000000000011</v>
      </c>
      <c r="U517" s="2">
        <v>44.28</v>
      </c>
      <c r="V517" s="2">
        <f>0.082*R517</f>
        <v>24.6</v>
      </c>
      <c r="W517" s="5">
        <f t="shared" si="55"/>
        <v>0.31666666666666665</v>
      </c>
      <c r="Y517" s="2" t="s">
        <v>3256</v>
      </c>
      <c r="Z517" s="2" t="s">
        <v>46</v>
      </c>
      <c r="AA517" s="2" t="s">
        <v>61</v>
      </c>
      <c r="AB517" s="2" t="s">
        <v>58</v>
      </c>
      <c r="AE517" s="2">
        <f t="shared" si="56"/>
        <v>0</v>
      </c>
      <c r="AF517" s="2">
        <v>8.1999999999999993</v>
      </c>
      <c r="AG517" s="2">
        <v>13</v>
      </c>
      <c r="AI517" s="2">
        <f t="shared" si="57"/>
        <v>0</v>
      </c>
      <c r="AJ517" s="2">
        <f t="shared" si="58"/>
        <v>11.399999999999999</v>
      </c>
      <c r="AK517" s="5">
        <f t="shared" si="54"/>
        <v>0.31666666666666665</v>
      </c>
    </row>
    <row r="518" spans="1:37" x14ac:dyDescent="0.2">
      <c r="A518" s="2">
        <v>2025</v>
      </c>
      <c r="B518" s="2">
        <v>2</v>
      </c>
      <c r="C518" s="2" t="s">
        <v>623</v>
      </c>
      <c r="D518" s="2" t="s">
        <v>38</v>
      </c>
      <c r="E518" s="2" t="s">
        <v>39</v>
      </c>
      <c r="F518" s="2">
        <v>513759654</v>
      </c>
      <c r="G518" s="2" t="s">
        <v>41</v>
      </c>
      <c r="H518" s="2" t="s">
        <v>624</v>
      </c>
      <c r="I518" s="2" t="s">
        <v>625</v>
      </c>
      <c r="K518" s="2" t="s">
        <v>422</v>
      </c>
      <c r="L518" s="2" t="s">
        <v>41</v>
      </c>
      <c r="O518" s="2" t="s">
        <v>43</v>
      </c>
      <c r="P518" s="2" t="s">
        <v>66</v>
      </c>
      <c r="Q518" s="2" t="s">
        <v>67</v>
      </c>
      <c r="R518" s="2">
        <v>1</v>
      </c>
      <c r="S518" s="2">
        <v>21</v>
      </c>
      <c r="T518" s="2">
        <v>4.83</v>
      </c>
      <c r="U518" s="2">
        <v>25.83</v>
      </c>
      <c r="V518" s="2">
        <f>15.0203*R518</f>
        <v>15.020300000000001</v>
      </c>
      <c r="W518" s="5">
        <f t="shared" si="55"/>
        <v>0.28474761904761903</v>
      </c>
      <c r="Y518" s="2" t="s">
        <v>3256</v>
      </c>
      <c r="Z518" s="2" t="s">
        <v>46</v>
      </c>
      <c r="AA518" s="2" t="s">
        <v>68</v>
      </c>
      <c r="AB518" s="2" t="s">
        <v>58</v>
      </c>
      <c r="AE518" s="2">
        <f t="shared" si="56"/>
        <v>0</v>
      </c>
      <c r="AF518" s="2">
        <v>15.020300000000001</v>
      </c>
      <c r="AG518" s="2">
        <v>27.6</v>
      </c>
      <c r="AI518" s="2">
        <f t="shared" si="57"/>
        <v>0</v>
      </c>
      <c r="AJ518" s="2">
        <f t="shared" si="58"/>
        <v>5.9796999999999993</v>
      </c>
      <c r="AK518" s="5">
        <f t="shared" si="54"/>
        <v>0.28474761904761903</v>
      </c>
    </row>
    <row r="519" spans="1:37" x14ac:dyDescent="0.2">
      <c r="A519" s="2">
        <v>2025</v>
      </c>
      <c r="B519" s="2">
        <v>2</v>
      </c>
      <c r="C519" s="2" t="s">
        <v>630</v>
      </c>
      <c r="D519" s="2" t="s">
        <v>38</v>
      </c>
      <c r="E519" s="2" t="s">
        <v>39</v>
      </c>
      <c r="F519" s="2" t="s">
        <v>631</v>
      </c>
      <c r="G519" s="2" t="s">
        <v>40</v>
      </c>
      <c r="H519" s="2" t="s">
        <v>632</v>
      </c>
      <c r="I519" s="2" t="s">
        <v>633</v>
      </c>
      <c r="K519" s="2" t="s">
        <v>632</v>
      </c>
      <c r="L519" s="2" t="s">
        <v>40</v>
      </c>
      <c r="O519" s="2" t="s">
        <v>115</v>
      </c>
      <c r="P519" s="2" t="s">
        <v>911</v>
      </c>
      <c r="Q519" s="2" t="s">
        <v>912</v>
      </c>
      <c r="R519" s="2">
        <v>2</v>
      </c>
      <c r="S519" s="2">
        <v>779.36</v>
      </c>
      <c r="T519" s="2">
        <v>179.25280000000001</v>
      </c>
      <c r="U519" s="2">
        <v>958.61279999999999</v>
      </c>
      <c r="W519" s="5">
        <f t="shared" si="55"/>
        <v>1</v>
      </c>
      <c r="AE519" s="2">
        <f t="shared" si="56"/>
        <v>0</v>
      </c>
      <c r="AI519" s="2">
        <f t="shared" si="57"/>
        <v>0</v>
      </c>
      <c r="AJ519" s="2">
        <f t="shared" si="58"/>
        <v>779.36</v>
      </c>
      <c r="AK519" s="5">
        <f t="shared" si="54"/>
        <v>1</v>
      </c>
    </row>
    <row r="520" spans="1:37" x14ac:dyDescent="0.2">
      <c r="A520" s="2">
        <v>2025</v>
      </c>
      <c r="B520" s="2">
        <v>2</v>
      </c>
      <c r="C520" s="2" t="s">
        <v>913</v>
      </c>
      <c r="O520" s="2" t="s">
        <v>40</v>
      </c>
      <c r="P520" s="2" t="s">
        <v>914</v>
      </c>
      <c r="Q520" s="2" t="s">
        <v>915</v>
      </c>
      <c r="R520" s="2">
        <v>1</v>
      </c>
      <c r="S520" s="2">
        <v>900</v>
      </c>
      <c r="T520" s="2">
        <v>207</v>
      </c>
      <c r="U520" s="2">
        <v>1107</v>
      </c>
      <c r="W520" s="5">
        <f t="shared" si="55"/>
        <v>1</v>
      </c>
      <c r="Y520" s="2" t="s">
        <v>105</v>
      </c>
      <c r="Z520" s="2" t="s">
        <v>151</v>
      </c>
      <c r="AA520" s="2" t="s">
        <v>479</v>
      </c>
      <c r="AE520" s="2">
        <f t="shared" si="56"/>
        <v>0</v>
      </c>
      <c r="AI520" s="2">
        <f t="shared" si="57"/>
        <v>0</v>
      </c>
      <c r="AJ520" s="2">
        <f t="shared" si="58"/>
        <v>900</v>
      </c>
      <c r="AK520" s="5">
        <f t="shared" si="54"/>
        <v>1</v>
      </c>
    </row>
    <row r="521" spans="1:37" x14ac:dyDescent="0.2">
      <c r="A521" s="2">
        <v>2025</v>
      </c>
      <c r="B521" s="2">
        <v>2</v>
      </c>
      <c r="C521" s="2" t="s">
        <v>916</v>
      </c>
      <c r="D521" s="2" t="s">
        <v>38</v>
      </c>
      <c r="E521" s="2" t="s">
        <v>39</v>
      </c>
      <c r="F521" s="2">
        <v>514401788</v>
      </c>
      <c r="G521" s="2" t="s">
        <v>110</v>
      </c>
      <c r="H521" s="2" t="s">
        <v>134</v>
      </c>
      <c r="I521" s="2" t="s">
        <v>917</v>
      </c>
      <c r="J521" s="2">
        <v>914878988</v>
      </c>
      <c r="K521" s="2" t="s">
        <v>134</v>
      </c>
      <c r="L521" s="2" t="s">
        <v>81</v>
      </c>
      <c r="N521" s="2" t="s">
        <v>918</v>
      </c>
      <c r="O521" s="2" t="s">
        <v>73</v>
      </c>
      <c r="P521" s="2" t="s">
        <v>919</v>
      </c>
      <c r="Q521" s="2" t="s">
        <v>75</v>
      </c>
      <c r="R521" s="2">
        <v>1</v>
      </c>
      <c r="S521" s="2">
        <v>260</v>
      </c>
      <c r="T521" s="2">
        <v>59.8</v>
      </c>
      <c r="U521" s="2">
        <v>319.8</v>
      </c>
      <c r="W521" s="5">
        <f t="shared" si="55"/>
        <v>1</v>
      </c>
      <c r="Y521" s="2" t="s">
        <v>3256</v>
      </c>
      <c r="Z521" s="2" t="s">
        <v>76</v>
      </c>
      <c r="AA521" s="2" t="s">
        <v>77</v>
      </c>
      <c r="AB521" s="2" t="s">
        <v>78</v>
      </c>
      <c r="AE521" s="2">
        <f t="shared" si="56"/>
        <v>0</v>
      </c>
      <c r="AI521" s="2">
        <f t="shared" si="57"/>
        <v>0</v>
      </c>
      <c r="AJ521" s="2">
        <f t="shared" si="58"/>
        <v>260</v>
      </c>
      <c r="AK521" s="5">
        <f t="shared" si="54"/>
        <v>1</v>
      </c>
    </row>
    <row r="522" spans="1:37" x14ac:dyDescent="0.2">
      <c r="A522" s="2">
        <v>2025</v>
      </c>
      <c r="B522" s="2">
        <v>2</v>
      </c>
      <c r="C522" s="2" t="s">
        <v>916</v>
      </c>
      <c r="D522" s="2" t="s">
        <v>38</v>
      </c>
      <c r="E522" s="2" t="s">
        <v>39</v>
      </c>
      <c r="F522" s="2">
        <v>514401788</v>
      </c>
      <c r="G522" s="2" t="s">
        <v>110</v>
      </c>
      <c r="H522" s="2" t="s">
        <v>134</v>
      </c>
      <c r="I522" s="2" t="s">
        <v>917</v>
      </c>
      <c r="J522" s="2">
        <v>914878988</v>
      </c>
      <c r="K522" s="2" t="s">
        <v>134</v>
      </c>
      <c r="L522" s="2" t="s">
        <v>81</v>
      </c>
      <c r="N522" s="2" t="s">
        <v>918</v>
      </c>
      <c r="O522" s="2" t="s">
        <v>94</v>
      </c>
      <c r="P522" s="2" t="s">
        <v>95</v>
      </c>
      <c r="Q522" s="2" t="s">
        <v>96</v>
      </c>
      <c r="R522" s="2">
        <v>1</v>
      </c>
      <c r="S522" s="2">
        <v>1.1399999999999999</v>
      </c>
      <c r="T522" s="2">
        <v>0.26219999999999999</v>
      </c>
      <c r="U522" s="2">
        <v>1.4021999999999999</v>
      </c>
      <c r="V522" s="2">
        <v>1.1399999999999999</v>
      </c>
      <c r="W522" s="5">
        <f t="shared" si="55"/>
        <v>0</v>
      </c>
      <c r="Y522" s="2" t="s">
        <v>3256</v>
      </c>
      <c r="Z522" s="2" t="s">
        <v>97</v>
      </c>
      <c r="AA522" s="2" t="s">
        <v>77</v>
      </c>
      <c r="AB522" s="2" t="s">
        <v>94</v>
      </c>
      <c r="AE522" s="2">
        <f t="shared" si="56"/>
        <v>0</v>
      </c>
      <c r="AF522" s="2">
        <v>1.1399999999999999</v>
      </c>
      <c r="AG522" s="2">
        <v>1.1399999999999999</v>
      </c>
      <c r="AI522" s="2">
        <f t="shared" si="57"/>
        <v>0</v>
      </c>
      <c r="AJ522" s="2">
        <f t="shared" si="58"/>
        <v>0</v>
      </c>
      <c r="AK522" s="5">
        <f t="shared" si="54"/>
        <v>0</v>
      </c>
    </row>
    <row r="523" spans="1:37" x14ac:dyDescent="0.2">
      <c r="A523" s="2">
        <v>2025</v>
      </c>
      <c r="B523" s="2">
        <v>2</v>
      </c>
      <c r="C523" s="2" t="s">
        <v>920</v>
      </c>
      <c r="D523" s="2" t="s">
        <v>109</v>
      </c>
      <c r="E523" s="2" t="s">
        <v>39</v>
      </c>
      <c r="F523" s="2" t="s">
        <v>39</v>
      </c>
      <c r="G523" s="2" t="s">
        <v>291</v>
      </c>
      <c r="H523" s="2" t="s">
        <v>921</v>
      </c>
      <c r="I523" s="2" t="s">
        <v>922</v>
      </c>
      <c r="K523" s="2" t="s">
        <v>484</v>
      </c>
      <c r="L523" s="2" t="s">
        <v>40</v>
      </c>
      <c r="N523" s="2" t="s">
        <v>923</v>
      </c>
      <c r="O523" s="2" t="s">
        <v>115</v>
      </c>
      <c r="P523" s="2" t="s">
        <v>911</v>
      </c>
      <c r="Q523" s="2" t="s">
        <v>912</v>
      </c>
      <c r="R523" s="2">
        <v>1</v>
      </c>
      <c r="S523" s="2">
        <v>699.3</v>
      </c>
      <c r="T523" s="2">
        <v>160.839</v>
      </c>
      <c r="U523" s="2">
        <v>860.1389999999999</v>
      </c>
      <c r="W523" s="5">
        <f t="shared" si="55"/>
        <v>1</v>
      </c>
      <c r="Y523" s="2" t="s">
        <v>118</v>
      </c>
      <c r="Z523" s="2" t="s">
        <v>119</v>
      </c>
      <c r="AE523" s="2">
        <f t="shared" si="56"/>
        <v>0</v>
      </c>
      <c r="AI523" s="2">
        <f t="shared" si="57"/>
        <v>0</v>
      </c>
      <c r="AJ523" s="2">
        <f t="shared" si="58"/>
        <v>699.3</v>
      </c>
      <c r="AK523" s="5">
        <f t="shared" si="54"/>
        <v>1</v>
      </c>
    </row>
    <row r="524" spans="1:37" x14ac:dyDescent="0.2">
      <c r="A524" s="2">
        <v>2025</v>
      </c>
      <c r="B524" s="2">
        <v>2</v>
      </c>
      <c r="C524" s="2" t="s">
        <v>920</v>
      </c>
      <c r="D524" s="2" t="s">
        <v>109</v>
      </c>
      <c r="E524" s="2" t="s">
        <v>39</v>
      </c>
      <c r="F524" s="2" t="s">
        <v>39</v>
      </c>
      <c r="G524" s="2" t="s">
        <v>291</v>
      </c>
      <c r="H524" s="2" t="s">
        <v>921</v>
      </c>
      <c r="I524" s="2" t="s">
        <v>922</v>
      </c>
      <c r="K524" s="2" t="s">
        <v>484</v>
      </c>
      <c r="L524" s="2" t="s">
        <v>40</v>
      </c>
      <c r="N524" s="2" t="s">
        <v>923</v>
      </c>
      <c r="O524" s="2" t="s">
        <v>188</v>
      </c>
      <c r="P524" s="2" t="s">
        <v>189</v>
      </c>
      <c r="Q524" s="2" t="s">
        <v>190</v>
      </c>
      <c r="R524" s="2">
        <v>2</v>
      </c>
      <c r="S524" s="2">
        <v>117</v>
      </c>
      <c r="T524" s="2">
        <v>26.91</v>
      </c>
      <c r="U524" s="2">
        <v>143.91</v>
      </c>
      <c r="W524" s="5">
        <f t="shared" si="55"/>
        <v>1</v>
      </c>
      <c r="Y524" s="2" t="s">
        <v>118</v>
      </c>
      <c r="Z524" s="2" t="s">
        <v>191</v>
      </c>
      <c r="AE524" s="2">
        <f t="shared" si="56"/>
        <v>0</v>
      </c>
      <c r="AI524" s="2">
        <f t="shared" si="57"/>
        <v>0</v>
      </c>
      <c r="AJ524" s="2">
        <f t="shared" si="58"/>
        <v>117</v>
      </c>
      <c r="AK524" s="5">
        <f t="shared" si="54"/>
        <v>1</v>
      </c>
    </row>
    <row r="525" spans="1:37" x14ac:dyDescent="0.2">
      <c r="A525" s="2">
        <v>2025</v>
      </c>
      <c r="B525" s="2">
        <v>2</v>
      </c>
      <c r="C525" s="2" t="s">
        <v>920</v>
      </c>
      <c r="D525" s="2" t="s">
        <v>109</v>
      </c>
      <c r="E525" s="2" t="s">
        <v>39</v>
      </c>
      <c r="F525" s="2" t="s">
        <v>39</v>
      </c>
      <c r="G525" s="2" t="s">
        <v>291</v>
      </c>
      <c r="H525" s="2" t="s">
        <v>921</v>
      </c>
      <c r="I525" s="2" t="s">
        <v>922</v>
      </c>
      <c r="K525" s="2" t="s">
        <v>484</v>
      </c>
      <c r="L525" s="2" t="s">
        <v>40</v>
      </c>
      <c r="N525" s="2" t="s">
        <v>923</v>
      </c>
      <c r="O525" s="2" t="s">
        <v>188</v>
      </c>
      <c r="P525" s="2" t="s">
        <v>192</v>
      </c>
      <c r="Q525" s="2" t="s">
        <v>191</v>
      </c>
      <c r="R525" s="2">
        <v>2</v>
      </c>
      <c r="S525" s="2">
        <v>100</v>
      </c>
      <c r="T525" s="2">
        <v>23</v>
      </c>
      <c r="U525" s="2">
        <v>123</v>
      </c>
      <c r="V525" s="2">
        <f>S525*50%</f>
        <v>50</v>
      </c>
      <c r="W525" s="5">
        <f t="shared" si="55"/>
        <v>0.5</v>
      </c>
      <c r="Y525" s="2" t="s">
        <v>118</v>
      </c>
      <c r="Z525" s="2" t="s">
        <v>191</v>
      </c>
      <c r="AE525" s="2">
        <f t="shared" si="56"/>
        <v>0</v>
      </c>
      <c r="AI525" s="2">
        <f t="shared" si="57"/>
        <v>0</v>
      </c>
      <c r="AJ525" s="2">
        <f t="shared" si="58"/>
        <v>50</v>
      </c>
      <c r="AK525" s="5">
        <f t="shared" si="54"/>
        <v>0.5</v>
      </c>
    </row>
    <row r="526" spans="1:37" x14ac:dyDescent="0.2">
      <c r="A526" s="2">
        <v>2025</v>
      </c>
      <c r="B526" s="2">
        <v>2</v>
      </c>
      <c r="C526" s="2" t="s">
        <v>924</v>
      </c>
      <c r="D526" s="2" t="s">
        <v>758</v>
      </c>
      <c r="E526" s="2" t="s">
        <v>925</v>
      </c>
      <c r="F526" s="2">
        <v>505973960</v>
      </c>
      <c r="G526" s="2" t="s">
        <v>40</v>
      </c>
      <c r="H526" s="2" t="s">
        <v>157</v>
      </c>
      <c r="I526" s="2" t="s">
        <v>926</v>
      </c>
      <c r="K526" s="2" t="s">
        <v>100</v>
      </c>
      <c r="L526" s="2" t="s">
        <v>81</v>
      </c>
      <c r="N526" s="2" t="s">
        <v>927</v>
      </c>
      <c r="O526" s="2" t="s">
        <v>43</v>
      </c>
      <c r="P526" s="2" t="s">
        <v>55</v>
      </c>
      <c r="Q526" s="2" t="s">
        <v>56</v>
      </c>
      <c r="R526" s="2">
        <v>1</v>
      </c>
      <c r="S526" s="2">
        <v>18</v>
      </c>
      <c r="T526" s="2">
        <v>4.1400000000000006</v>
      </c>
      <c r="U526" s="2">
        <v>22.14</v>
      </c>
      <c r="V526" s="2">
        <f>10.6*R526</f>
        <v>10.6</v>
      </c>
      <c r="W526" s="5">
        <f t="shared" si="55"/>
        <v>0.41111111111111115</v>
      </c>
      <c r="Y526" s="2" t="s">
        <v>3256</v>
      </c>
      <c r="Z526" s="2" t="s">
        <v>46</v>
      </c>
      <c r="AA526" s="2" t="s">
        <v>57</v>
      </c>
      <c r="AB526" s="2" t="s">
        <v>58</v>
      </c>
      <c r="AE526" s="2">
        <f t="shared" si="56"/>
        <v>0</v>
      </c>
      <c r="AF526" s="2">
        <v>10.6</v>
      </c>
      <c r="AG526" s="2">
        <v>18</v>
      </c>
      <c r="AI526" s="2">
        <f t="shared" si="57"/>
        <v>0</v>
      </c>
      <c r="AJ526" s="2">
        <f t="shared" si="58"/>
        <v>7.4</v>
      </c>
      <c r="AK526" s="5">
        <f t="shared" si="54"/>
        <v>0.41111111111111115</v>
      </c>
    </row>
    <row r="527" spans="1:37" x14ac:dyDescent="0.2">
      <c r="A527" s="2">
        <v>2025</v>
      </c>
      <c r="B527" s="2">
        <v>2</v>
      </c>
      <c r="C527" s="2" t="s">
        <v>661</v>
      </c>
      <c r="D527" s="2" t="s">
        <v>38</v>
      </c>
      <c r="F527" s="2">
        <v>509116590</v>
      </c>
      <c r="G527" s="2" t="s">
        <v>291</v>
      </c>
      <c r="H527" s="2" t="s">
        <v>662</v>
      </c>
      <c r="I527" s="2" t="s">
        <v>663</v>
      </c>
      <c r="K527" s="2" t="s">
        <v>294</v>
      </c>
      <c r="L527" s="2" t="s">
        <v>81</v>
      </c>
      <c r="O527" s="2" t="s">
        <v>73</v>
      </c>
      <c r="P527" s="2" t="s">
        <v>74</v>
      </c>
      <c r="Q527" s="2" t="s">
        <v>75</v>
      </c>
      <c r="R527" s="2">
        <v>1</v>
      </c>
      <c r="S527" s="2">
        <v>205</v>
      </c>
      <c r="T527" s="2">
        <v>47.15</v>
      </c>
      <c r="U527" s="2">
        <v>252.15</v>
      </c>
      <c r="V527" s="2">
        <v>117.453</v>
      </c>
      <c r="W527" s="5">
        <f t="shared" si="55"/>
        <v>0.42705853658536586</v>
      </c>
      <c r="Y527" s="2" t="s">
        <v>3256</v>
      </c>
      <c r="Z527" s="2" t="s">
        <v>76</v>
      </c>
      <c r="AA527" s="2" t="s">
        <v>77</v>
      </c>
      <c r="AB527" s="2" t="s">
        <v>78</v>
      </c>
      <c r="AE527" s="2">
        <f t="shared" si="56"/>
        <v>0</v>
      </c>
      <c r="AF527" s="2">
        <v>117.453</v>
      </c>
      <c r="AG527" s="2">
        <v>220</v>
      </c>
      <c r="AI527" s="2">
        <f t="shared" si="57"/>
        <v>0</v>
      </c>
      <c r="AJ527" s="2">
        <f t="shared" si="58"/>
        <v>87.546999999999997</v>
      </c>
      <c r="AK527" s="5">
        <f t="shared" si="54"/>
        <v>0.42705853658536586</v>
      </c>
    </row>
    <row r="528" spans="1:37" x14ac:dyDescent="0.2">
      <c r="A528" s="2">
        <v>2025</v>
      </c>
      <c r="B528" s="2">
        <v>2</v>
      </c>
      <c r="C528" s="2" t="s">
        <v>661</v>
      </c>
      <c r="D528" s="2" t="s">
        <v>38</v>
      </c>
      <c r="F528" s="2">
        <v>509116590</v>
      </c>
      <c r="G528" s="2" t="s">
        <v>291</v>
      </c>
      <c r="H528" s="2" t="s">
        <v>662</v>
      </c>
      <c r="I528" s="2" t="s">
        <v>663</v>
      </c>
      <c r="K528" s="2" t="s">
        <v>294</v>
      </c>
      <c r="L528" s="2" t="s">
        <v>81</v>
      </c>
      <c r="O528" s="2" t="s">
        <v>94</v>
      </c>
      <c r="P528" s="2" t="s">
        <v>95</v>
      </c>
      <c r="Q528" s="2" t="s">
        <v>96</v>
      </c>
      <c r="R528" s="2">
        <v>1</v>
      </c>
      <c r="S528" s="2">
        <v>1.1399999999999999</v>
      </c>
      <c r="T528" s="2">
        <v>0.26219999999999999</v>
      </c>
      <c r="U528" s="2">
        <v>1.4021999999999999</v>
      </c>
      <c r="V528" s="2">
        <v>1.1399999999999999</v>
      </c>
      <c r="W528" s="5">
        <f t="shared" si="55"/>
        <v>0</v>
      </c>
      <c r="Y528" s="2" t="s">
        <v>3256</v>
      </c>
      <c r="Z528" s="2" t="s">
        <v>97</v>
      </c>
      <c r="AA528" s="2" t="s">
        <v>77</v>
      </c>
      <c r="AB528" s="2" t="s">
        <v>94</v>
      </c>
      <c r="AE528" s="2">
        <f t="shared" si="56"/>
        <v>0</v>
      </c>
      <c r="AI528" s="2">
        <f t="shared" si="57"/>
        <v>0</v>
      </c>
      <c r="AJ528" s="2">
        <f t="shared" si="58"/>
        <v>0</v>
      </c>
      <c r="AK528" s="5">
        <f t="shared" si="54"/>
        <v>0</v>
      </c>
    </row>
    <row r="529" spans="1:37" x14ac:dyDescent="0.2">
      <c r="A529" s="2">
        <v>2025</v>
      </c>
      <c r="B529" s="2">
        <v>2</v>
      </c>
      <c r="C529" s="2" t="s">
        <v>666</v>
      </c>
      <c r="D529" s="2" t="s">
        <v>38</v>
      </c>
      <c r="E529" s="2" t="s">
        <v>39</v>
      </c>
      <c r="F529" s="2">
        <v>510651810</v>
      </c>
      <c r="G529" s="2" t="s">
        <v>40</v>
      </c>
      <c r="H529" s="2" t="s">
        <v>667</v>
      </c>
      <c r="I529" s="2" t="s">
        <v>668</v>
      </c>
      <c r="K529" s="2" t="s">
        <v>345</v>
      </c>
      <c r="L529" s="2" t="s">
        <v>40</v>
      </c>
      <c r="N529" s="2" t="s">
        <v>903</v>
      </c>
      <c r="O529" s="2" t="s">
        <v>73</v>
      </c>
      <c r="P529" s="2" t="s">
        <v>302</v>
      </c>
      <c r="Q529" s="2" t="s">
        <v>75</v>
      </c>
      <c r="R529" s="2">
        <v>-1</v>
      </c>
      <c r="S529" s="2">
        <v>-211.6</v>
      </c>
      <c r="T529" s="2">
        <v>-48.667999999999999</v>
      </c>
      <c r="U529" s="2">
        <v>-260.26799999999997</v>
      </c>
      <c r="V529" s="2">
        <v>121.46</v>
      </c>
      <c r="Y529" s="2" t="s">
        <v>3256</v>
      </c>
      <c r="Z529" s="2" t="s">
        <v>76</v>
      </c>
      <c r="AA529" s="2" t="s">
        <v>77</v>
      </c>
      <c r="AB529" s="2" t="s">
        <v>78</v>
      </c>
      <c r="AE529" s="2">
        <f t="shared" si="56"/>
        <v>0</v>
      </c>
      <c r="AF529" s="2">
        <v>121.46</v>
      </c>
      <c r="AG529" s="2">
        <v>210</v>
      </c>
      <c r="AI529" s="2">
        <f t="shared" si="57"/>
        <v>0</v>
      </c>
      <c r="AJ529" s="2">
        <f t="shared" si="58"/>
        <v>-333.06</v>
      </c>
    </row>
    <row r="530" spans="1:37" x14ac:dyDescent="0.2">
      <c r="A530" s="2">
        <v>2025</v>
      </c>
      <c r="B530" s="2">
        <v>2</v>
      </c>
      <c r="C530" s="2" t="s">
        <v>666</v>
      </c>
      <c r="D530" s="2" t="s">
        <v>38</v>
      </c>
      <c r="E530" s="2" t="s">
        <v>39</v>
      </c>
      <c r="F530" s="2">
        <v>510651810</v>
      </c>
      <c r="G530" s="2" t="s">
        <v>40</v>
      </c>
      <c r="H530" s="2" t="s">
        <v>667</v>
      </c>
      <c r="I530" s="2" t="s">
        <v>668</v>
      </c>
      <c r="K530" s="2" t="s">
        <v>345</v>
      </c>
      <c r="L530" s="2" t="s">
        <v>81</v>
      </c>
      <c r="O530" s="2" t="s">
        <v>94</v>
      </c>
      <c r="P530" s="2" t="s">
        <v>95</v>
      </c>
      <c r="Q530" s="2" t="s">
        <v>96</v>
      </c>
      <c r="R530" s="2">
        <v>-1</v>
      </c>
      <c r="S530" s="2">
        <v>-1.1399999999999999</v>
      </c>
      <c r="T530" s="2">
        <v>-0.26219999999999999</v>
      </c>
      <c r="U530" s="2">
        <v>-1.4021999999999999</v>
      </c>
      <c r="V530" s="2">
        <v>-1.1399999999999999</v>
      </c>
      <c r="W530" s="5">
        <f t="shared" ref="W530:W561" si="59">(S530-V530)/S530</f>
        <v>0</v>
      </c>
      <c r="Y530" s="2" t="s">
        <v>3256</v>
      </c>
      <c r="Z530" s="2" t="s">
        <v>97</v>
      </c>
      <c r="AA530" s="2" t="s">
        <v>77</v>
      </c>
      <c r="AB530" s="2" t="s">
        <v>94</v>
      </c>
      <c r="AE530" s="2">
        <f t="shared" si="56"/>
        <v>0</v>
      </c>
      <c r="AI530" s="2">
        <f t="shared" si="57"/>
        <v>0</v>
      </c>
      <c r="AJ530" s="2">
        <f t="shared" si="58"/>
        <v>0</v>
      </c>
      <c r="AK530" s="5">
        <f t="shared" ref="AK530:AK593" si="60">(S530-V530)/S530</f>
        <v>0</v>
      </c>
    </row>
    <row r="531" spans="1:37" x14ac:dyDescent="0.2">
      <c r="A531" s="2">
        <v>2025</v>
      </c>
      <c r="B531" s="2">
        <v>2</v>
      </c>
      <c r="C531" s="2" t="s">
        <v>928</v>
      </c>
      <c r="O531" s="2" t="s">
        <v>115</v>
      </c>
      <c r="P531" s="2" t="s">
        <v>911</v>
      </c>
      <c r="Q531" s="2" t="s">
        <v>912</v>
      </c>
      <c r="R531" s="2">
        <v>1</v>
      </c>
      <c r="S531" s="2">
        <v>828.9</v>
      </c>
      <c r="T531" s="2">
        <v>190.64699999999999</v>
      </c>
      <c r="U531" s="2">
        <v>1019.547</v>
      </c>
      <c r="W531" s="5">
        <f t="shared" si="59"/>
        <v>1</v>
      </c>
      <c r="AE531" s="2">
        <f t="shared" si="56"/>
        <v>0</v>
      </c>
      <c r="AI531" s="2">
        <f t="shared" si="57"/>
        <v>0</v>
      </c>
      <c r="AJ531" s="2">
        <f t="shared" si="58"/>
        <v>828.9</v>
      </c>
      <c r="AK531" s="5">
        <f t="shared" si="60"/>
        <v>1</v>
      </c>
    </row>
    <row r="532" spans="1:37" x14ac:dyDescent="0.2">
      <c r="A532" s="2">
        <v>2025</v>
      </c>
      <c r="B532" s="2">
        <v>2</v>
      </c>
      <c r="C532" s="2" t="s">
        <v>929</v>
      </c>
      <c r="D532" s="2" t="s">
        <v>38</v>
      </c>
      <c r="E532" s="2" t="s">
        <v>39</v>
      </c>
      <c r="F532" s="2">
        <v>513119949</v>
      </c>
      <c r="G532" s="2" t="s">
        <v>41</v>
      </c>
      <c r="H532" s="2" t="s">
        <v>930</v>
      </c>
      <c r="I532" s="2" t="s">
        <v>931</v>
      </c>
      <c r="K532" s="2" t="s">
        <v>178</v>
      </c>
      <c r="L532" s="2" t="s">
        <v>40</v>
      </c>
      <c r="N532" s="2" t="s">
        <v>932</v>
      </c>
      <c r="O532" s="2" t="s">
        <v>115</v>
      </c>
      <c r="P532" s="2" t="s">
        <v>933</v>
      </c>
      <c r="Q532" s="2" t="s">
        <v>934</v>
      </c>
      <c r="R532" s="2">
        <v>1</v>
      </c>
      <c r="S532" s="2">
        <v>374</v>
      </c>
      <c r="T532" s="2">
        <v>86.02000000000001</v>
      </c>
      <c r="U532" s="2">
        <v>460.02</v>
      </c>
      <c r="W532" s="5">
        <f t="shared" si="59"/>
        <v>1</v>
      </c>
      <c r="Y532" s="2" t="s">
        <v>118</v>
      </c>
      <c r="AE532" s="2">
        <f t="shared" si="56"/>
        <v>0</v>
      </c>
      <c r="AI532" s="2">
        <f t="shared" si="57"/>
        <v>0</v>
      </c>
      <c r="AJ532" s="2">
        <f t="shared" si="58"/>
        <v>374</v>
      </c>
      <c r="AK532" s="5">
        <f t="shared" si="60"/>
        <v>1</v>
      </c>
    </row>
    <row r="533" spans="1:37" x14ac:dyDescent="0.2">
      <c r="A533" s="2">
        <v>2025</v>
      </c>
      <c r="B533" s="2">
        <v>2</v>
      </c>
      <c r="C533" s="2" t="s">
        <v>929</v>
      </c>
      <c r="D533" s="2" t="s">
        <v>38</v>
      </c>
      <c r="E533" s="2" t="s">
        <v>39</v>
      </c>
      <c r="F533" s="2">
        <v>513119949</v>
      </c>
      <c r="G533" s="2" t="s">
        <v>41</v>
      </c>
      <c r="H533" s="2" t="s">
        <v>930</v>
      </c>
      <c r="I533" s="2" t="s">
        <v>931</v>
      </c>
      <c r="K533" s="2" t="s">
        <v>178</v>
      </c>
      <c r="L533" s="2" t="s">
        <v>40</v>
      </c>
      <c r="N533" s="2" t="s">
        <v>932</v>
      </c>
      <c r="O533" s="2" t="s">
        <v>115</v>
      </c>
      <c r="P533" s="2" t="s">
        <v>884</v>
      </c>
      <c r="Q533" s="2" t="s">
        <v>885</v>
      </c>
      <c r="R533" s="2">
        <v>1</v>
      </c>
      <c r="S533" s="2">
        <v>773</v>
      </c>
      <c r="T533" s="2">
        <v>177.79</v>
      </c>
      <c r="U533" s="2">
        <v>950.79</v>
      </c>
      <c r="W533" s="5">
        <f t="shared" si="59"/>
        <v>1</v>
      </c>
      <c r="Y533" s="2" t="s">
        <v>118</v>
      </c>
      <c r="AE533" s="2">
        <f t="shared" si="56"/>
        <v>0</v>
      </c>
      <c r="AI533" s="2">
        <f t="shared" si="57"/>
        <v>0</v>
      </c>
      <c r="AJ533" s="2">
        <f t="shared" si="58"/>
        <v>773</v>
      </c>
      <c r="AK533" s="5">
        <f t="shared" si="60"/>
        <v>1</v>
      </c>
    </row>
    <row r="534" spans="1:37" x14ac:dyDescent="0.2">
      <c r="A534" s="2">
        <v>2025</v>
      </c>
      <c r="B534" s="2">
        <v>2</v>
      </c>
      <c r="C534" s="2" t="s">
        <v>935</v>
      </c>
      <c r="D534" s="2" t="s">
        <v>38</v>
      </c>
      <c r="E534" s="2" t="s">
        <v>39</v>
      </c>
      <c r="F534" s="2" t="s">
        <v>936</v>
      </c>
      <c r="G534" s="2" t="s">
        <v>41</v>
      </c>
      <c r="H534" s="2" t="s">
        <v>632</v>
      </c>
      <c r="I534" s="2" t="s">
        <v>937</v>
      </c>
      <c r="K534" s="2" t="s">
        <v>632</v>
      </c>
      <c r="L534" s="2" t="s">
        <v>41</v>
      </c>
      <c r="O534" s="2" t="s">
        <v>43</v>
      </c>
      <c r="P534" s="2" t="s">
        <v>245</v>
      </c>
      <c r="Q534" s="2" t="s">
        <v>246</v>
      </c>
      <c r="R534" s="2">
        <v>1</v>
      </c>
      <c r="S534" s="2">
        <v>16.8</v>
      </c>
      <c r="T534" s="2">
        <v>3.8639999999999999</v>
      </c>
      <c r="U534" s="2">
        <v>20.664000000000001</v>
      </c>
      <c r="W534" s="5">
        <f t="shared" si="59"/>
        <v>1</v>
      </c>
      <c r="Y534" s="2" t="s">
        <v>3256</v>
      </c>
      <c r="Z534" s="2" t="s">
        <v>46</v>
      </c>
      <c r="AA534" s="2" t="s">
        <v>57</v>
      </c>
      <c r="AB534" s="2" t="s">
        <v>58</v>
      </c>
      <c r="AE534" s="2">
        <f t="shared" si="56"/>
        <v>0</v>
      </c>
      <c r="AI534" s="2">
        <f t="shared" si="57"/>
        <v>0</v>
      </c>
      <c r="AJ534" s="2">
        <f t="shared" si="58"/>
        <v>16.8</v>
      </c>
      <c r="AK534" s="5">
        <f t="shared" si="60"/>
        <v>1</v>
      </c>
    </row>
    <row r="535" spans="1:37" x14ac:dyDescent="0.2">
      <c r="A535" s="2">
        <v>2025</v>
      </c>
      <c r="B535" s="2">
        <v>2</v>
      </c>
      <c r="C535" s="2" t="s">
        <v>935</v>
      </c>
      <c r="D535" s="2" t="s">
        <v>38</v>
      </c>
      <c r="E535" s="2" t="s">
        <v>39</v>
      </c>
      <c r="F535" s="2" t="s">
        <v>936</v>
      </c>
      <c r="G535" s="2" t="s">
        <v>41</v>
      </c>
      <c r="H535" s="2" t="s">
        <v>632</v>
      </c>
      <c r="I535" s="2" t="s">
        <v>937</v>
      </c>
      <c r="K535" s="2" t="s">
        <v>632</v>
      </c>
      <c r="L535" s="2" t="s">
        <v>41</v>
      </c>
      <c r="O535" s="2" t="s">
        <v>43</v>
      </c>
      <c r="P535" s="2" t="s">
        <v>247</v>
      </c>
      <c r="Q535" s="2" t="s">
        <v>248</v>
      </c>
      <c r="R535" s="2">
        <v>1</v>
      </c>
      <c r="S535" s="2">
        <v>19.2</v>
      </c>
      <c r="T535" s="2">
        <v>4.4160000000000004</v>
      </c>
      <c r="U535" s="2">
        <v>23.616</v>
      </c>
      <c r="W535" s="5">
        <f t="shared" si="59"/>
        <v>1</v>
      </c>
      <c r="Y535" s="2" t="s">
        <v>3256</v>
      </c>
      <c r="Z535" s="2" t="s">
        <v>46</v>
      </c>
      <c r="AA535" s="2" t="s">
        <v>57</v>
      </c>
      <c r="AB535" s="2" t="s">
        <v>58</v>
      </c>
      <c r="AE535" s="2">
        <f t="shared" si="56"/>
        <v>0</v>
      </c>
      <c r="AI535" s="2">
        <f t="shared" si="57"/>
        <v>0</v>
      </c>
      <c r="AJ535" s="2">
        <f t="shared" si="58"/>
        <v>19.2</v>
      </c>
      <c r="AK535" s="5">
        <f t="shared" si="60"/>
        <v>1</v>
      </c>
    </row>
    <row r="536" spans="1:37" x14ac:dyDescent="0.2">
      <c r="A536" s="2">
        <v>2025</v>
      </c>
      <c r="B536" s="2">
        <v>2</v>
      </c>
      <c r="C536" s="2" t="s">
        <v>935</v>
      </c>
      <c r="D536" s="2" t="s">
        <v>38</v>
      </c>
      <c r="E536" s="2" t="s">
        <v>39</v>
      </c>
      <c r="F536" s="2" t="s">
        <v>936</v>
      </c>
      <c r="G536" s="2" t="s">
        <v>41</v>
      </c>
      <c r="H536" s="2" t="s">
        <v>632</v>
      </c>
      <c r="I536" s="2" t="s">
        <v>937</v>
      </c>
      <c r="K536" s="2" t="s">
        <v>632</v>
      </c>
      <c r="L536" s="2" t="s">
        <v>41</v>
      </c>
      <c r="O536" s="2" t="s">
        <v>43</v>
      </c>
      <c r="P536" s="2" t="s">
        <v>62</v>
      </c>
      <c r="Q536" s="2" t="s">
        <v>63</v>
      </c>
      <c r="R536" s="2">
        <v>1000</v>
      </c>
      <c r="S536" s="2">
        <v>110</v>
      </c>
      <c r="T536" s="2">
        <v>25.3</v>
      </c>
      <c r="U536" s="2">
        <v>135.30000000000001</v>
      </c>
      <c r="V536" s="2">
        <f>0.082*R536</f>
        <v>82</v>
      </c>
      <c r="W536" s="5">
        <f t="shared" si="59"/>
        <v>0.25454545454545452</v>
      </c>
      <c r="Y536" s="2" t="s">
        <v>3256</v>
      </c>
      <c r="Z536" s="2" t="s">
        <v>46</v>
      </c>
      <c r="AA536" s="2" t="s">
        <v>61</v>
      </c>
      <c r="AB536" s="2" t="s">
        <v>58</v>
      </c>
      <c r="AE536" s="2">
        <f t="shared" si="56"/>
        <v>0</v>
      </c>
      <c r="AF536" s="2">
        <v>8.1999999999999993</v>
      </c>
      <c r="AG536" s="2">
        <v>13</v>
      </c>
      <c r="AI536" s="2">
        <f t="shared" si="57"/>
        <v>0</v>
      </c>
      <c r="AJ536" s="2">
        <f t="shared" si="58"/>
        <v>28</v>
      </c>
      <c r="AK536" s="5">
        <f t="shared" si="60"/>
        <v>0.25454545454545452</v>
      </c>
    </row>
    <row r="537" spans="1:37" x14ac:dyDescent="0.2">
      <c r="A537" s="2">
        <v>2025</v>
      </c>
      <c r="B537" s="2">
        <v>2</v>
      </c>
      <c r="C537" s="2" t="s">
        <v>935</v>
      </c>
      <c r="D537" s="2" t="s">
        <v>38</v>
      </c>
      <c r="E537" s="2" t="s">
        <v>39</v>
      </c>
      <c r="F537" s="2" t="s">
        <v>936</v>
      </c>
      <c r="G537" s="2" t="s">
        <v>41</v>
      </c>
      <c r="H537" s="2" t="s">
        <v>632</v>
      </c>
      <c r="I537" s="2" t="s">
        <v>937</v>
      </c>
      <c r="K537" s="2" t="s">
        <v>632</v>
      </c>
      <c r="L537" s="2" t="s">
        <v>41</v>
      </c>
      <c r="O537" s="2" t="s">
        <v>43</v>
      </c>
      <c r="P537" s="2" t="s">
        <v>165</v>
      </c>
      <c r="Q537" s="2" t="s">
        <v>166</v>
      </c>
      <c r="R537" s="2">
        <v>1</v>
      </c>
      <c r="S537" s="2">
        <v>21</v>
      </c>
      <c r="T537" s="2">
        <v>4.83</v>
      </c>
      <c r="U537" s="2">
        <v>25.83</v>
      </c>
      <c r="V537" s="2">
        <f>7.9612*R537</f>
        <v>7.9611999999999998</v>
      </c>
      <c r="W537" s="5">
        <f t="shared" si="59"/>
        <v>0.62089523809523806</v>
      </c>
      <c r="Y537" s="2" t="s">
        <v>3256</v>
      </c>
      <c r="Z537" s="2" t="s">
        <v>46</v>
      </c>
      <c r="AA537" s="2" t="s">
        <v>68</v>
      </c>
      <c r="AB537" s="2" t="s">
        <v>58</v>
      </c>
      <c r="AE537" s="2">
        <f t="shared" si="56"/>
        <v>0</v>
      </c>
      <c r="AF537" s="2">
        <v>7.9611999999999998</v>
      </c>
      <c r="AG537" s="2">
        <v>14.4</v>
      </c>
      <c r="AI537" s="2">
        <f t="shared" si="57"/>
        <v>0</v>
      </c>
      <c r="AJ537" s="2">
        <f t="shared" si="58"/>
        <v>13.0388</v>
      </c>
      <c r="AK537" s="5">
        <f t="shared" si="60"/>
        <v>0.62089523809523806</v>
      </c>
    </row>
    <row r="538" spans="1:37" x14ac:dyDescent="0.2">
      <c r="A538" s="2">
        <v>2025</v>
      </c>
      <c r="B538" s="2">
        <v>2</v>
      </c>
      <c r="C538" s="2" t="s">
        <v>935</v>
      </c>
      <c r="D538" s="2" t="s">
        <v>38</v>
      </c>
      <c r="E538" s="2" t="s">
        <v>39</v>
      </c>
      <c r="F538" s="2" t="s">
        <v>936</v>
      </c>
      <c r="G538" s="2" t="s">
        <v>41</v>
      </c>
      <c r="H538" s="2" t="s">
        <v>632</v>
      </c>
      <c r="I538" s="2" t="s">
        <v>937</v>
      </c>
      <c r="K538" s="2" t="s">
        <v>632</v>
      </c>
      <c r="L538" s="2" t="s">
        <v>41</v>
      </c>
      <c r="O538" s="2" t="s">
        <v>43</v>
      </c>
      <c r="P538" s="2" t="s">
        <v>66</v>
      </c>
      <c r="Q538" s="2" t="s">
        <v>67</v>
      </c>
      <c r="R538" s="2">
        <v>1</v>
      </c>
      <c r="S538" s="2">
        <v>21</v>
      </c>
      <c r="T538" s="2">
        <v>4.83</v>
      </c>
      <c r="U538" s="2">
        <v>25.83</v>
      </c>
      <c r="V538" s="2">
        <f>15.0203*R538</f>
        <v>15.020300000000001</v>
      </c>
      <c r="W538" s="5">
        <f t="shared" si="59"/>
        <v>0.28474761904761903</v>
      </c>
      <c r="Y538" s="2" t="s">
        <v>3256</v>
      </c>
      <c r="Z538" s="2" t="s">
        <v>46</v>
      </c>
      <c r="AA538" s="2" t="s">
        <v>68</v>
      </c>
      <c r="AB538" s="2" t="s">
        <v>58</v>
      </c>
      <c r="AE538" s="2">
        <f t="shared" si="56"/>
        <v>0</v>
      </c>
      <c r="AF538" s="2">
        <v>15.020300000000001</v>
      </c>
      <c r="AG538" s="2">
        <v>27.6</v>
      </c>
      <c r="AI538" s="2">
        <f t="shared" si="57"/>
        <v>0</v>
      </c>
      <c r="AJ538" s="2">
        <f t="shared" si="58"/>
        <v>5.9796999999999993</v>
      </c>
      <c r="AK538" s="5">
        <f t="shared" si="60"/>
        <v>0.28474761904761903</v>
      </c>
    </row>
    <row r="539" spans="1:37" x14ac:dyDescent="0.2">
      <c r="A539" s="2">
        <v>2025</v>
      </c>
      <c r="B539" s="2">
        <v>2</v>
      </c>
      <c r="C539" s="2" t="s">
        <v>935</v>
      </c>
      <c r="D539" s="2" t="s">
        <v>38</v>
      </c>
      <c r="E539" s="2" t="s">
        <v>39</v>
      </c>
      <c r="F539" s="2" t="s">
        <v>936</v>
      </c>
      <c r="G539" s="2" t="s">
        <v>41</v>
      </c>
      <c r="H539" s="2" t="s">
        <v>632</v>
      </c>
      <c r="I539" s="2" t="s">
        <v>937</v>
      </c>
      <c r="K539" s="2" t="s">
        <v>632</v>
      </c>
      <c r="L539" s="2" t="s">
        <v>41</v>
      </c>
      <c r="O539" s="2" t="s">
        <v>85</v>
      </c>
      <c r="P539" s="2" t="s">
        <v>938</v>
      </c>
      <c r="Q539" s="2" t="s">
        <v>939</v>
      </c>
      <c r="R539" s="2">
        <v>100</v>
      </c>
      <c r="S539" s="2">
        <v>3.6</v>
      </c>
      <c r="T539" s="2">
        <v>0.82800000000000007</v>
      </c>
      <c r="U539" s="2">
        <v>4.4279999999999999</v>
      </c>
      <c r="W539" s="5">
        <f t="shared" si="59"/>
        <v>1</v>
      </c>
      <c r="Y539" s="2" t="s">
        <v>3256</v>
      </c>
      <c r="Z539" s="2" t="s">
        <v>88</v>
      </c>
      <c r="AA539" s="2" t="s">
        <v>91</v>
      </c>
      <c r="AB539" s="2" t="s">
        <v>85</v>
      </c>
      <c r="AE539" s="2">
        <f t="shared" si="56"/>
        <v>0</v>
      </c>
      <c r="AI539" s="2">
        <f t="shared" si="57"/>
        <v>0</v>
      </c>
      <c r="AJ539" s="2">
        <f t="shared" si="58"/>
        <v>3.6</v>
      </c>
      <c r="AK539" s="5">
        <f t="shared" si="60"/>
        <v>1</v>
      </c>
    </row>
    <row r="540" spans="1:37" x14ac:dyDescent="0.2">
      <c r="A540" s="2">
        <v>2025</v>
      </c>
      <c r="B540" s="2">
        <v>2</v>
      </c>
      <c r="C540" s="2" t="s">
        <v>935</v>
      </c>
      <c r="D540" s="2" t="s">
        <v>38</v>
      </c>
      <c r="E540" s="2" t="s">
        <v>39</v>
      </c>
      <c r="F540" s="2" t="s">
        <v>936</v>
      </c>
      <c r="G540" s="2" t="s">
        <v>41</v>
      </c>
      <c r="H540" s="2" t="s">
        <v>632</v>
      </c>
      <c r="I540" s="2" t="s">
        <v>937</v>
      </c>
      <c r="K540" s="2" t="s">
        <v>632</v>
      </c>
      <c r="L540" s="2" t="s">
        <v>41</v>
      </c>
      <c r="O540" s="2" t="s">
        <v>85</v>
      </c>
      <c r="P540" s="2" t="s">
        <v>275</v>
      </c>
      <c r="Q540" s="2" t="s">
        <v>276</v>
      </c>
      <c r="R540" s="2">
        <v>1</v>
      </c>
      <c r="S540" s="2">
        <v>6</v>
      </c>
      <c r="T540" s="2">
        <v>1.38</v>
      </c>
      <c r="U540" s="2">
        <v>7.38</v>
      </c>
      <c r="V540" s="2">
        <v>2.94</v>
      </c>
      <c r="W540" s="5">
        <f t="shared" si="59"/>
        <v>0.51</v>
      </c>
      <c r="Y540" s="2" t="s">
        <v>3256</v>
      </c>
      <c r="Z540" s="2" t="s">
        <v>88</v>
      </c>
      <c r="AA540" s="2" t="s">
        <v>91</v>
      </c>
      <c r="AB540" s="2" t="s">
        <v>85</v>
      </c>
      <c r="AE540" s="2">
        <f t="shared" si="56"/>
        <v>0</v>
      </c>
      <c r="AI540" s="2">
        <f t="shared" si="57"/>
        <v>0</v>
      </c>
      <c r="AJ540" s="2">
        <f t="shared" si="58"/>
        <v>3.06</v>
      </c>
      <c r="AK540" s="5">
        <f t="shared" si="60"/>
        <v>0.51</v>
      </c>
    </row>
    <row r="541" spans="1:37" x14ac:dyDescent="0.2">
      <c r="A541" s="2">
        <v>2025</v>
      </c>
      <c r="B541" s="2">
        <v>3</v>
      </c>
      <c r="C541" s="2" t="s">
        <v>940</v>
      </c>
      <c r="P541" s="2" t="s">
        <v>941</v>
      </c>
      <c r="Q541" s="2" t="s">
        <v>942</v>
      </c>
      <c r="R541" s="2">
        <v>3</v>
      </c>
      <c r="S541" s="2">
        <v>129.94999999999999</v>
      </c>
      <c r="T541" s="2">
        <v>29.888500000000001</v>
      </c>
      <c r="U541" s="2">
        <v>159.83850000000001</v>
      </c>
      <c r="W541" s="5">
        <f t="shared" si="59"/>
        <v>1</v>
      </c>
      <c r="AE541" s="2">
        <f t="shared" si="56"/>
        <v>0</v>
      </c>
      <c r="AI541" s="2">
        <f t="shared" si="57"/>
        <v>0</v>
      </c>
      <c r="AJ541" s="2">
        <f t="shared" si="58"/>
        <v>129.94999999999999</v>
      </c>
      <c r="AK541" s="5">
        <f t="shared" si="60"/>
        <v>1</v>
      </c>
    </row>
    <row r="542" spans="1:37" x14ac:dyDescent="0.2">
      <c r="A542" s="2">
        <v>2025</v>
      </c>
      <c r="B542" s="2">
        <v>3</v>
      </c>
      <c r="C542" s="2" t="s">
        <v>943</v>
      </c>
      <c r="D542" s="2" t="s">
        <v>38</v>
      </c>
      <c r="E542" s="2" t="s">
        <v>39</v>
      </c>
      <c r="F542" s="2">
        <v>508868726</v>
      </c>
      <c r="G542" s="2" t="s">
        <v>291</v>
      </c>
      <c r="H542" s="2" t="s">
        <v>944</v>
      </c>
      <c r="I542" s="2" t="s">
        <v>945</v>
      </c>
      <c r="J542" s="2">
        <v>964771057</v>
      </c>
      <c r="K542" s="2" t="s">
        <v>340</v>
      </c>
      <c r="L542" s="2" t="s">
        <v>81</v>
      </c>
      <c r="O542" s="2" t="s">
        <v>73</v>
      </c>
      <c r="P542" s="2" t="s">
        <v>74</v>
      </c>
      <c r="Q542" s="2" t="s">
        <v>75</v>
      </c>
      <c r="R542" s="2">
        <v>2</v>
      </c>
      <c r="S542" s="2">
        <v>420</v>
      </c>
      <c r="T542" s="2">
        <v>96.600000000000009</v>
      </c>
      <c r="U542" s="2">
        <v>516.6</v>
      </c>
      <c r="V542" s="2">
        <v>234.90600000000001</v>
      </c>
      <c r="W542" s="5">
        <f t="shared" si="59"/>
        <v>0.44069999999999998</v>
      </c>
      <c r="Y542" s="2" t="s">
        <v>3256</v>
      </c>
      <c r="Z542" s="2" t="s">
        <v>76</v>
      </c>
      <c r="AA542" s="2" t="s">
        <v>77</v>
      </c>
      <c r="AB542" s="2" t="s">
        <v>78</v>
      </c>
      <c r="AE542" s="2">
        <f t="shared" si="56"/>
        <v>0</v>
      </c>
      <c r="AF542" s="2">
        <v>117.453</v>
      </c>
      <c r="AG542" s="2">
        <v>220</v>
      </c>
      <c r="AI542" s="2">
        <f t="shared" si="57"/>
        <v>0</v>
      </c>
      <c r="AJ542" s="2">
        <f t="shared" si="58"/>
        <v>185.09399999999999</v>
      </c>
      <c r="AK542" s="5">
        <f t="shared" si="60"/>
        <v>0.44069999999999998</v>
      </c>
    </row>
    <row r="543" spans="1:37" x14ac:dyDescent="0.2">
      <c r="A543" s="2">
        <v>2025</v>
      </c>
      <c r="B543" s="2">
        <v>3</v>
      </c>
      <c r="C543" s="2" t="s">
        <v>943</v>
      </c>
      <c r="D543" s="2" t="s">
        <v>38</v>
      </c>
      <c r="E543" s="2" t="s">
        <v>39</v>
      </c>
      <c r="F543" s="2">
        <v>508868726</v>
      </c>
      <c r="G543" s="2" t="s">
        <v>291</v>
      </c>
      <c r="H543" s="2" t="s">
        <v>944</v>
      </c>
      <c r="I543" s="2" t="s">
        <v>945</v>
      </c>
      <c r="J543" s="2">
        <v>964771057</v>
      </c>
      <c r="K543" s="2" t="s">
        <v>340</v>
      </c>
      <c r="L543" s="2" t="s">
        <v>81</v>
      </c>
      <c r="O543" s="2" t="s">
        <v>94</v>
      </c>
      <c r="P543" s="2" t="s">
        <v>95</v>
      </c>
      <c r="Q543" s="2" t="s">
        <v>96</v>
      </c>
      <c r="R543" s="2">
        <v>2</v>
      </c>
      <c r="S543" s="2">
        <v>2.2799999999999998</v>
      </c>
      <c r="T543" s="2">
        <v>0.52439999999999998</v>
      </c>
      <c r="U543" s="2">
        <v>2.8043999999999998</v>
      </c>
      <c r="V543" s="2">
        <v>2.2799999999999998</v>
      </c>
      <c r="W543" s="5">
        <f t="shared" si="59"/>
        <v>0</v>
      </c>
      <c r="Y543" s="2" t="s">
        <v>3256</v>
      </c>
      <c r="Z543" s="2" t="s">
        <v>97</v>
      </c>
      <c r="AA543" s="2" t="s">
        <v>77</v>
      </c>
      <c r="AB543" s="2" t="s">
        <v>94</v>
      </c>
      <c r="AE543" s="2">
        <f t="shared" si="56"/>
        <v>0</v>
      </c>
      <c r="AI543" s="2">
        <f t="shared" si="57"/>
        <v>0</v>
      </c>
      <c r="AJ543" s="2">
        <f t="shared" si="58"/>
        <v>0</v>
      </c>
      <c r="AK543" s="5">
        <f t="shared" si="60"/>
        <v>0</v>
      </c>
    </row>
    <row r="544" spans="1:37" x14ac:dyDescent="0.2">
      <c r="A544" s="2">
        <v>2025</v>
      </c>
      <c r="B544" s="2">
        <v>3</v>
      </c>
      <c r="C544" s="2" t="s">
        <v>946</v>
      </c>
      <c r="O544" s="2" t="s">
        <v>43</v>
      </c>
      <c r="P544" s="2" t="s">
        <v>55</v>
      </c>
      <c r="Q544" s="2" t="s">
        <v>56</v>
      </c>
      <c r="R544" s="2">
        <v>1</v>
      </c>
      <c r="S544" s="2">
        <v>18</v>
      </c>
      <c r="T544" s="2">
        <v>4.1400000000000006</v>
      </c>
      <c r="U544" s="2">
        <v>22.14</v>
      </c>
      <c r="V544" s="2">
        <f>10.6*R544</f>
        <v>10.6</v>
      </c>
      <c r="W544" s="5">
        <f t="shared" si="59"/>
        <v>0.41111111111111115</v>
      </c>
      <c r="Y544" s="2" t="s">
        <v>3256</v>
      </c>
      <c r="Z544" s="2" t="s">
        <v>46</v>
      </c>
      <c r="AA544" s="2" t="s">
        <v>57</v>
      </c>
      <c r="AB544" s="2" t="s">
        <v>58</v>
      </c>
      <c r="AE544" s="2">
        <f t="shared" si="56"/>
        <v>0</v>
      </c>
      <c r="AF544" s="2">
        <v>10.6</v>
      </c>
      <c r="AG544" s="2">
        <v>18</v>
      </c>
      <c r="AI544" s="2">
        <f t="shared" si="57"/>
        <v>0</v>
      </c>
      <c r="AJ544" s="2">
        <f t="shared" si="58"/>
        <v>7.4</v>
      </c>
      <c r="AK544" s="5">
        <f t="shared" si="60"/>
        <v>0.41111111111111115</v>
      </c>
    </row>
    <row r="545" spans="1:37" x14ac:dyDescent="0.2">
      <c r="A545" s="2">
        <v>2025</v>
      </c>
      <c r="B545" s="2">
        <v>3</v>
      </c>
      <c r="C545" s="2" t="s">
        <v>947</v>
      </c>
      <c r="O545" s="2" t="s">
        <v>73</v>
      </c>
      <c r="P545" s="2" t="s">
        <v>207</v>
      </c>
      <c r="Q545" s="2" t="s">
        <v>208</v>
      </c>
      <c r="R545" s="2">
        <v>2</v>
      </c>
      <c r="S545" s="2">
        <v>912</v>
      </c>
      <c r="T545" s="2">
        <v>209.76</v>
      </c>
      <c r="U545" s="2">
        <v>1121.76</v>
      </c>
      <c r="V545" s="2">
        <f>291.59*R545</f>
        <v>583.17999999999995</v>
      </c>
      <c r="W545" s="5">
        <f t="shared" si="59"/>
        <v>0.36054824561403515</v>
      </c>
      <c r="Y545" s="2" t="s">
        <v>3256</v>
      </c>
      <c r="Z545" s="2" t="s">
        <v>76</v>
      </c>
      <c r="AA545" s="2" t="s">
        <v>77</v>
      </c>
      <c r="AB545" s="2" t="s">
        <v>78</v>
      </c>
      <c r="AE545" s="2">
        <f t="shared" si="56"/>
        <v>0</v>
      </c>
      <c r="AF545" s="2">
        <v>291.58999999999997</v>
      </c>
      <c r="AG545" s="2">
        <v>450</v>
      </c>
      <c r="AI545" s="2">
        <f t="shared" si="57"/>
        <v>0</v>
      </c>
      <c r="AJ545" s="2">
        <f t="shared" si="58"/>
        <v>328.82000000000005</v>
      </c>
      <c r="AK545" s="5">
        <f t="shared" si="60"/>
        <v>0.36054824561403515</v>
      </c>
    </row>
    <row r="546" spans="1:37" x14ac:dyDescent="0.2">
      <c r="A546" s="2">
        <v>2025</v>
      </c>
      <c r="B546" s="2">
        <v>3</v>
      </c>
      <c r="C546" s="2" t="s">
        <v>947</v>
      </c>
      <c r="O546" s="2" t="s">
        <v>94</v>
      </c>
      <c r="P546" s="2" t="s">
        <v>95</v>
      </c>
      <c r="Q546" s="2" t="s">
        <v>96</v>
      </c>
      <c r="R546" s="2">
        <v>2</v>
      </c>
      <c r="S546" s="2">
        <v>2.2799999999999998</v>
      </c>
      <c r="T546" s="2">
        <v>0.52439999999999998</v>
      </c>
      <c r="U546" s="2">
        <v>2.8043999999999998</v>
      </c>
      <c r="V546" s="2">
        <v>2.2799999999999998</v>
      </c>
      <c r="W546" s="5">
        <f t="shared" si="59"/>
        <v>0</v>
      </c>
      <c r="Y546" s="2" t="s">
        <v>3256</v>
      </c>
      <c r="Z546" s="2" t="s">
        <v>97</v>
      </c>
      <c r="AA546" s="2" t="s">
        <v>77</v>
      </c>
      <c r="AB546" s="2" t="s">
        <v>94</v>
      </c>
      <c r="AE546" s="2">
        <f t="shared" si="56"/>
        <v>0</v>
      </c>
      <c r="AI546" s="2">
        <f t="shared" si="57"/>
        <v>0</v>
      </c>
      <c r="AJ546" s="2">
        <f t="shared" si="58"/>
        <v>0</v>
      </c>
      <c r="AK546" s="5">
        <f t="shared" si="60"/>
        <v>0</v>
      </c>
    </row>
    <row r="547" spans="1:37" x14ac:dyDescent="0.2">
      <c r="A547" s="2">
        <v>2025</v>
      </c>
      <c r="B547" s="2">
        <v>3</v>
      </c>
      <c r="C547" s="2" t="s">
        <v>948</v>
      </c>
      <c r="L547" s="2" t="s">
        <v>41</v>
      </c>
      <c r="O547" s="2" t="s">
        <v>43</v>
      </c>
      <c r="P547" s="2" t="s">
        <v>217</v>
      </c>
      <c r="Q547" s="2" t="s">
        <v>218</v>
      </c>
      <c r="R547" s="2">
        <v>1</v>
      </c>
      <c r="S547" s="2">
        <v>17.399999999999999</v>
      </c>
      <c r="T547" s="2">
        <v>4.0019999999999998</v>
      </c>
      <c r="U547" s="2">
        <v>21.402000000000001</v>
      </c>
      <c r="W547" s="5">
        <f t="shared" si="59"/>
        <v>1</v>
      </c>
      <c r="Y547" s="2" t="s">
        <v>3256</v>
      </c>
      <c r="Z547" s="2" t="s">
        <v>46</v>
      </c>
      <c r="AA547" s="2" t="s">
        <v>57</v>
      </c>
      <c r="AB547" s="2" t="s">
        <v>58</v>
      </c>
      <c r="AE547" s="2">
        <f t="shared" si="56"/>
        <v>0</v>
      </c>
      <c r="AI547" s="2">
        <f t="shared" si="57"/>
        <v>0</v>
      </c>
      <c r="AJ547" s="2">
        <f t="shared" si="58"/>
        <v>17.399999999999999</v>
      </c>
      <c r="AK547" s="5">
        <f t="shared" si="60"/>
        <v>1</v>
      </c>
    </row>
    <row r="548" spans="1:37" x14ac:dyDescent="0.2">
      <c r="A548" s="2">
        <v>2025</v>
      </c>
      <c r="B548" s="2">
        <v>3</v>
      </c>
      <c r="C548" s="2" t="s">
        <v>948</v>
      </c>
      <c r="L548" s="2" t="s">
        <v>41</v>
      </c>
      <c r="O548" s="2" t="s">
        <v>43</v>
      </c>
      <c r="P548" s="2" t="s">
        <v>55</v>
      </c>
      <c r="Q548" s="2" t="s">
        <v>56</v>
      </c>
      <c r="R548" s="2">
        <v>2</v>
      </c>
      <c r="S548" s="2">
        <v>36</v>
      </c>
      <c r="T548" s="2">
        <v>8.2800000000000011</v>
      </c>
      <c r="U548" s="2">
        <v>44.28</v>
      </c>
      <c r="V548" s="2">
        <f>10.6*R548</f>
        <v>21.2</v>
      </c>
      <c r="W548" s="5">
        <f t="shared" si="59"/>
        <v>0.41111111111111115</v>
      </c>
      <c r="Y548" s="2" t="s">
        <v>3256</v>
      </c>
      <c r="Z548" s="2" t="s">
        <v>46</v>
      </c>
      <c r="AA548" s="2" t="s">
        <v>57</v>
      </c>
      <c r="AB548" s="2" t="s">
        <v>58</v>
      </c>
      <c r="AE548" s="2">
        <f t="shared" si="56"/>
        <v>0</v>
      </c>
      <c r="AF548" s="2">
        <v>10.6</v>
      </c>
      <c r="AG548" s="2">
        <v>18</v>
      </c>
      <c r="AI548" s="2">
        <f t="shared" si="57"/>
        <v>0</v>
      </c>
      <c r="AJ548" s="2">
        <f t="shared" si="58"/>
        <v>14.8</v>
      </c>
      <c r="AK548" s="5">
        <f t="shared" si="60"/>
        <v>0.41111111111111115</v>
      </c>
    </row>
    <row r="549" spans="1:37" x14ac:dyDescent="0.2">
      <c r="A549" s="2">
        <v>2025</v>
      </c>
      <c r="B549" s="2">
        <v>3</v>
      </c>
      <c r="C549" s="2" t="s">
        <v>948</v>
      </c>
      <c r="L549" s="2" t="s">
        <v>41</v>
      </c>
      <c r="O549" s="2" t="s">
        <v>43</v>
      </c>
      <c r="P549" s="2" t="s">
        <v>62</v>
      </c>
      <c r="Q549" s="2" t="s">
        <v>63</v>
      </c>
      <c r="R549" s="2">
        <v>200</v>
      </c>
      <c r="S549" s="2">
        <v>26</v>
      </c>
      <c r="T549" s="2">
        <v>5.98</v>
      </c>
      <c r="U549" s="2">
        <v>31.98</v>
      </c>
      <c r="V549" s="2">
        <f>0.082*R549</f>
        <v>16.400000000000002</v>
      </c>
      <c r="W549" s="5">
        <f t="shared" si="59"/>
        <v>0.36923076923076914</v>
      </c>
      <c r="Y549" s="2" t="s">
        <v>3256</v>
      </c>
      <c r="Z549" s="2" t="s">
        <v>46</v>
      </c>
      <c r="AA549" s="2" t="s">
        <v>61</v>
      </c>
      <c r="AB549" s="2" t="s">
        <v>58</v>
      </c>
      <c r="AE549" s="2">
        <f t="shared" si="56"/>
        <v>0</v>
      </c>
      <c r="AF549" s="2">
        <v>8.1999999999999993</v>
      </c>
      <c r="AG549" s="2">
        <v>13</v>
      </c>
      <c r="AI549" s="2">
        <f t="shared" si="57"/>
        <v>0</v>
      </c>
      <c r="AJ549" s="2">
        <f t="shared" si="58"/>
        <v>9.5999999999999979</v>
      </c>
      <c r="AK549" s="5">
        <f t="shared" si="60"/>
        <v>0.36923076923076914</v>
      </c>
    </row>
    <row r="550" spans="1:37" x14ac:dyDescent="0.2">
      <c r="A550" s="2">
        <v>2025</v>
      </c>
      <c r="B550" s="2">
        <v>3</v>
      </c>
      <c r="C550" s="2" t="s">
        <v>948</v>
      </c>
      <c r="L550" s="2" t="s">
        <v>41</v>
      </c>
      <c r="O550" s="2" t="s">
        <v>85</v>
      </c>
      <c r="P550" s="2" t="s">
        <v>92</v>
      </c>
      <c r="Q550" s="2" t="s">
        <v>93</v>
      </c>
      <c r="R550" s="2">
        <v>2</v>
      </c>
      <c r="S550" s="2">
        <v>7.2</v>
      </c>
      <c r="T550" s="2">
        <v>1.6559999999999999</v>
      </c>
      <c r="U550" s="2">
        <v>8.8559999999999999</v>
      </c>
      <c r="W550" s="5">
        <f t="shared" si="59"/>
        <v>1</v>
      </c>
      <c r="Y550" s="2" t="s">
        <v>3256</v>
      </c>
      <c r="Z550" s="2" t="s">
        <v>88</v>
      </c>
      <c r="AA550" s="2" t="s">
        <v>91</v>
      </c>
      <c r="AB550" s="2" t="s">
        <v>85</v>
      </c>
      <c r="AE550" s="2">
        <f t="shared" si="56"/>
        <v>0</v>
      </c>
      <c r="AI550" s="2">
        <f t="shared" si="57"/>
        <v>0</v>
      </c>
      <c r="AJ550" s="2">
        <f t="shared" si="58"/>
        <v>7.2</v>
      </c>
      <c r="AK550" s="5">
        <f t="shared" si="60"/>
        <v>1</v>
      </c>
    </row>
    <row r="551" spans="1:37" x14ac:dyDescent="0.2">
      <c r="A551" s="2">
        <v>2025</v>
      </c>
      <c r="B551" s="2">
        <v>3</v>
      </c>
      <c r="C551" s="2" t="s">
        <v>949</v>
      </c>
      <c r="D551" s="2" t="s">
        <v>38</v>
      </c>
      <c r="E551" s="2" t="s">
        <v>39</v>
      </c>
      <c r="F551" s="2">
        <v>507562208</v>
      </c>
      <c r="G551" s="2" t="s">
        <v>40</v>
      </c>
      <c r="H551" s="2" t="s">
        <v>950</v>
      </c>
      <c r="I551" s="2" t="s">
        <v>951</v>
      </c>
      <c r="J551" s="2">
        <v>918832449</v>
      </c>
      <c r="K551" s="2" t="s">
        <v>345</v>
      </c>
      <c r="L551" s="2" t="s">
        <v>81</v>
      </c>
      <c r="N551" s="2" t="s">
        <v>952</v>
      </c>
      <c r="O551" s="2" t="s">
        <v>43</v>
      </c>
      <c r="P551" s="2" t="s">
        <v>215</v>
      </c>
      <c r="Q551" s="2" t="s">
        <v>216</v>
      </c>
      <c r="R551" s="2">
        <v>2</v>
      </c>
      <c r="S551" s="2">
        <v>27.6</v>
      </c>
      <c r="T551" s="2">
        <v>6.3480000000000008</v>
      </c>
      <c r="U551" s="2">
        <v>33.948</v>
      </c>
      <c r="W551" s="5">
        <f t="shared" si="59"/>
        <v>1</v>
      </c>
      <c r="Y551" s="2" t="s">
        <v>3256</v>
      </c>
      <c r="Z551" s="2" t="s">
        <v>46</v>
      </c>
      <c r="AA551" s="2" t="s">
        <v>57</v>
      </c>
      <c r="AB551" s="2" t="s">
        <v>58</v>
      </c>
      <c r="AE551" s="2">
        <f t="shared" si="56"/>
        <v>0</v>
      </c>
      <c r="AI551" s="2">
        <f t="shared" si="57"/>
        <v>0</v>
      </c>
      <c r="AJ551" s="2">
        <f t="shared" si="58"/>
        <v>27.6</v>
      </c>
      <c r="AK551" s="5">
        <f t="shared" si="60"/>
        <v>1</v>
      </c>
    </row>
    <row r="552" spans="1:37" x14ac:dyDescent="0.2">
      <c r="A552" s="2">
        <v>2025</v>
      </c>
      <c r="B552" s="2">
        <v>3</v>
      </c>
      <c r="C552" s="2" t="s">
        <v>949</v>
      </c>
      <c r="D552" s="2" t="s">
        <v>38</v>
      </c>
      <c r="E552" s="2" t="s">
        <v>39</v>
      </c>
      <c r="F552" s="2">
        <v>507562208</v>
      </c>
      <c r="G552" s="2" t="s">
        <v>40</v>
      </c>
      <c r="H552" s="2" t="s">
        <v>950</v>
      </c>
      <c r="I552" s="2" t="s">
        <v>951</v>
      </c>
      <c r="J552" s="2">
        <v>918832449</v>
      </c>
      <c r="K552" s="2" t="s">
        <v>345</v>
      </c>
      <c r="L552" s="2" t="s">
        <v>81</v>
      </c>
      <c r="N552" s="2" t="s">
        <v>952</v>
      </c>
      <c r="O552" s="2" t="s">
        <v>43</v>
      </c>
      <c r="P552" s="2" t="s">
        <v>217</v>
      </c>
      <c r="Q552" s="2" t="s">
        <v>218</v>
      </c>
      <c r="R552" s="2">
        <v>1</v>
      </c>
      <c r="S552" s="2">
        <v>17.399999999999999</v>
      </c>
      <c r="T552" s="2">
        <v>4.0019999999999998</v>
      </c>
      <c r="U552" s="2">
        <v>21.402000000000001</v>
      </c>
      <c r="W552" s="5">
        <f t="shared" si="59"/>
        <v>1</v>
      </c>
      <c r="Y552" s="2" t="s">
        <v>3256</v>
      </c>
      <c r="Z552" s="2" t="s">
        <v>46</v>
      </c>
      <c r="AA552" s="2" t="s">
        <v>57</v>
      </c>
      <c r="AB552" s="2" t="s">
        <v>58</v>
      </c>
      <c r="AE552" s="2">
        <f t="shared" si="56"/>
        <v>0</v>
      </c>
      <c r="AI552" s="2">
        <f t="shared" si="57"/>
        <v>0</v>
      </c>
      <c r="AJ552" s="2">
        <f t="shared" si="58"/>
        <v>17.399999999999999</v>
      </c>
      <c r="AK552" s="5">
        <f t="shared" si="60"/>
        <v>1</v>
      </c>
    </row>
    <row r="553" spans="1:37" x14ac:dyDescent="0.2">
      <c r="A553" s="2">
        <v>2025</v>
      </c>
      <c r="B553" s="2">
        <v>3</v>
      </c>
      <c r="C553" s="2" t="s">
        <v>949</v>
      </c>
      <c r="D553" s="2" t="s">
        <v>38</v>
      </c>
      <c r="E553" s="2" t="s">
        <v>39</v>
      </c>
      <c r="F553" s="2">
        <v>507562208</v>
      </c>
      <c r="G553" s="2" t="s">
        <v>40</v>
      </c>
      <c r="H553" s="2" t="s">
        <v>950</v>
      </c>
      <c r="I553" s="2" t="s">
        <v>951</v>
      </c>
      <c r="J553" s="2">
        <v>918832449</v>
      </c>
      <c r="K553" s="2" t="s">
        <v>345</v>
      </c>
      <c r="L553" s="2" t="s">
        <v>81</v>
      </c>
      <c r="N553" s="2" t="s">
        <v>952</v>
      </c>
      <c r="O553" s="2" t="s">
        <v>43</v>
      </c>
      <c r="P553" s="2" t="s">
        <v>237</v>
      </c>
      <c r="Q553" s="2" t="s">
        <v>238</v>
      </c>
      <c r="R553" s="2">
        <v>1</v>
      </c>
      <c r="S553" s="2">
        <v>16.2</v>
      </c>
      <c r="T553" s="2">
        <v>3.726</v>
      </c>
      <c r="U553" s="2">
        <v>19.925999999999998</v>
      </c>
      <c r="W553" s="5">
        <f t="shared" si="59"/>
        <v>1</v>
      </c>
      <c r="Y553" s="2" t="s">
        <v>3256</v>
      </c>
      <c r="Z553" s="2" t="s">
        <v>46</v>
      </c>
      <c r="AA553" s="2" t="s">
        <v>57</v>
      </c>
      <c r="AB553" s="2" t="s">
        <v>58</v>
      </c>
      <c r="AE553" s="2">
        <f t="shared" si="56"/>
        <v>0</v>
      </c>
      <c r="AI553" s="2">
        <f t="shared" si="57"/>
        <v>0</v>
      </c>
      <c r="AJ553" s="2">
        <f t="shared" si="58"/>
        <v>16.2</v>
      </c>
      <c r="AK553" s="5">
        <f t="shared" si="60"/>
        <v>1</v>
      </c>
    </row>
    <row r="554" spans="1:37" x14ac:dyDescent="0.2">
      <c r="A554" s="2">
        <v>2025</v>
      </c>
      <c r="B554" s="2">
        <v>3</v>
      </c>
      <c r="C554" s="2" t="s">
        <v>949</v>
      </c>
      <c r="D554" s="2" t="s">
        <v>38</v>
      </c>
      <c r="E554" s="2" t="s">
        <v>39</v>
      </c>
      <c r="F554" s="2">
        <v>507562208</v>
      </c>
      <c r="G554" s="2" t="s">
        <v>40</v>
      </c>
      <c r="H554" s="2" t="s">
        <v>950</v>
      </c>
      <c r="I554" s="2" t="s">
        <v>951</v>
      </c>
      <c r="J554" s="2">
        <v>918832449</v>
      </c>
      <c r="K554" s="2" t="s">
        <v>345</v>
      </c>
      <c r="L554" s="2" t="s">
        <v>81</v>
      </c>
      <c r="N554" s="2" t="s">
        <v>952</v>
      </c>
      <c r="O554" s="2" t="s">
        <v>43</v>
      </c>
      <c r="P554" s="2" t="s">
        <v>239</v>
      </c>
      <c r="Q554" s="2" t="s">
        <v>240</v>
      </c>
      <c r="R554" s="2">
        <v>2</v>
      </c>
      <c r="S554" s="2">
        <v>39.6</v>
      </c>
      <c r="T554" s="2">
        <v>9.1080000000000005</v>
      </c>
      <c r="U554" s="2">
        <v>48.707999999999998</v>
      </c>
      <c r="W554" s="5">
        <f t="shared" si="59"/>
        <v>1</v>
      </c>
      <c r="Y554" s="2" t="s">
        <v>3256</v>
      </c>
      <c r="Z554" s="2" t="s">
        <v>46</v>
      </c>
      <c r="AA554" s="2" t="s">
        <v>57</v>
      </c>
      <c r="AB554" s="2" t="s">
        <v>58</v>
      </c>
      <c r="AE554" s="2">
        <f t="shared" si="56"/>
        <v>0</v>
      </c>
      <c r="AI554" s="2">
        <f t="shared" si="57"/>
        <v>0</v>
      </c>
      <c r="AJ554" s="2">
        <f t="shared" si="58"/>
        <v>39.6</v>
      </c>
      <c r="AK554" s="5">
        <f t="shared" si="60"/>
        <v>1</v>
      </c>
    </row>
    <row r="555" spans="1:37" x14ac:dyDescent="0.2">
      <c r="A555" s="2">
        <v>2025</v>
      </c>
      <c r="B555" s="2">
        <v>3</v>
      </c>
      <c r="C555" s="2" t="s">
        <v>949</v>
      </c>
      <c r="D555" s="2" t="s">
        <v>38</v>
      </c>
      <c r="E555" s="2" t="s">
        <v>39</v>
      </c>
      <c r="F555" s="2">
        <v>507562208</v>
      </c>
      <c r="G555" s="2" t="s">
        <v>40</v>
      </c>
      <c r="H555" s="2" t="s">
        <v>950</v>
      </c>
      <c r="I555" s="2" t="s">
        <v>951</v>
      </c>
      <c r="J555" s="2">
        <v>918832449</v>
      </c>
      <c r="K555" s="2" t="s">
        <v>345</v>
      </c>
      <c r="L555" s="2" t="s">
        <v>81</v>
      </c>
      <c r="N555" s="2" t="s">
        <v>952</v>
      </c>
      <c r="O555" s="2" t="s">
        <v>43</v>
      </c>
      <c r="P555" s="2" t="s">
        <v>62</v>
      </c>
      <c r="Q555" s="2" t="s">
        <v>63</v>
      </c>
      <c r="R555" s="2">
        <v>100</v>
      </c>
      <c r="S555" s="2">
        <v>13</v>
      </c>
      <c r="T555" s="2">
        <v>2.99</v>
      </c>
      <c r="U555" s="2">
        <v>15.99</v>
      </c>
      <c r="V555" s="2">
        <f>0.082*R555</f>
        <v>8.2000000000000011</v>
      </c>
      <c r="W555" s="5">
        <f t="shared" si="59"/>
        <v>0.36923076923076914</v>
      </c>
      <c r="Y555" s="2" t="s">
        <v>3256</v>
      </c>
      <c r="Z555" s="2" t="s">
        <v>46</v>
      </c>
      <c r="AA555" s="2" t="s">
        <v>61</v>
      </c>
      <c r="AB555" s="2" t="s">
        <v>58</v>
      </c>
      <c r="AE555" s="2">
        <f t="shared" si="56"/>
        <v>0</v>
      </c>
      <c r="AF555" s="2">
        <v>8.1999999999999993</v>
      </c>
      <c r="AG555" s="2">
        <v>13</v>
      </c>
      <c r="AI555" s="2">
        <f t="shared" si="57"/>
        <v>0</v>
      </c>
      <c r="AJ555" s="2">
        <f t="shared" si="58"/>
        <v>4.7999999999999989</v>
      </c>
      <c r="AK555" s="5">
        <f t="shared" si="60"/>
        <v>0.36923076923076914</v>
      </c>
    </row>
    <row r="556" spans="1:37" x14ac:dyDescent="0.2">
      <c r="A556" s="2">
        <v>2025</v>
      </c>
      <c r="B556" s="2">
        <v>3</v>
      </c>
      <c r="C556" s="2" t="s">
        <v>949</v>
      </c>
      <c r="D556" s="2" t="s">
        <v>38</v>
      </c>
      <c r="E556" s="2" t="s">
        <v>39</v>
      </c>
      <c r="F556" s="2">
        <v>507562208</v>
      </c>
      <c r="G556" s="2" t="s">
        <v>40</v>
      </c>
      <c r="H556" s="2" t="s">
        <v>950</v>
      </c>
      <c r="I556" s="2" t="s">
        <v>951</v>
      </c>
      <c r="J556" s="2">
        <v>918832449</v>
      </c>
      <c r="K556" s="2" t="s">
        <v>345</v>
      </c>
      <c r="L556" s="2" t="s">
        <v>81</v>
      </c>
      <c r="N556" s="2" t="s">
        <v>952</v>
      </c>
      <c r="O556" s="2" t="s">
        <v>43</v>
      </c>
      <c r="P556" s="2" t="s">
        <v>255</v>
      </c>
      <c r="Q556" s="2" t="s">
        <v>256</v>
      </c>
      <c r="R556" s="2">
        <v>200</v>
      </c>
      <c r="S556" s="2">
        <v>32</v>
      </c>
      <c r="T556" s="2">
        <v>7.36</v>
      </c>
      <c r="U556" s="2">
        <v>39.36</v>
      </c>
      <c r="W556" s="5">
        <f t="shared" si="59"/>
        <v>1</v>
      </c>
      <c r="Y556" s="2" t="s">
        <v>3256</v>
      </c>
      <c r="Z556" s="2" t="s">
        <v>46</v>
      </c>
      <c r="AA556" s="2" t="s">
        <v>61</v>
      </c>
      <c r="AB556" s="2" t="s">
        <v>58</v>
      </c>
      <c r="AE556" s="2">
        <f t="shared" si="56"/>
        <v>0</v>
      </c>
      <c r="AI556" s="2">
        <f t="shared" si="57"/>
        <v>0</v>
      </c>
      <c r="AJ556" s="2">
        <f t="shared" si="58"/>
        <v>32</v>
      </c>
      <c r="AK556" s="5">
        <f t="shared" si="60"/>
        <v>1</v>
      </c>
    </row>
    <row r="557" spans="1:37" x14ac:dyDescent="0.2">
      <c r="A557" s="2">
        <v>2025</v>
      </c>
      <c r="B557" s="2">
        <v>3</v>
      </c>
      <c r="C557" s="2" t="s">
        <v>953</v>
      </c>
      <c r="D557" s="2" t="s">
        <v>38</v>
      </c>
      <c r="E557" s="2" t="s">
        <v>39</v>
      </c>
      <c r="F557" s="2">
        <v>500318263</v>
      </c>
      <c r="G557" s="2" t="s">
        <v>291</v>
      </c>
      <c r="H557" s="2" t="s">
        <v>340</v>
      </c>
      <c r="I557" s="2" t="s">
        <v>954</v>
      </c>
      <c r="K557" s="2" t="s">
        <v>340</v>
      </c>
      <c r="L557" s="2" t="s">
        <v>40</v>
      </c>
      <c r="N557" s="2" t="s">
        <v>955</v>
      </c>
      <c r="O557" s="2" t="s">
        <v>188</v>
      </c>
      <c r="P557" s="2" t="s">
        <v>189</v>
      </c>
      <c r="Q557" s="2" t="s">
        <v>190</v>
      </c>
      <c r="R557" s="2">
        <v>1</v>
      </c>
      <c r="S557" s="2">
        <v>50</v>
      </c>
      <c r="T557" s="2">
        <v>11.5</v>
      </c>
      <c r="U557" s="2">
        <v>61.5</v>
      </c>
      <c r="W557" s="5">
        <f t="shared" si="59"/>
        <v>1</v>
      </c>
      <c r="Y557" s="2" t="s">
        <v>118</v>
      </c>
      <c r="Z557" s="2" t="s">
        <v>191</v>
      </c>
      <c r="AE557" s="2">
        <f t="shared" si="56"/>
        <v>0</v>
      </c>
      <c r="AI557" s="2">
        <f t="shared" si="57"/>
        <v>0</v>
      </c>
      <c r="AJ557" s="2">
        <f t="shared" si="58"/>
        <v>50</v>
      </c>
      <c r="AK557" s="5">
        <f t="shared" si="60"/>
        <v>1</v>
      </c>
    </row>
    <row r="558" spans="1:37" x14ac:dyDescent="0.2">
      <c r="A558" s="2">
        <v>2025</v>
      </c>
      <c r="B558" s="2">
        <v>3</v>
      </c>
      <c r="C558" s="2" t="s">
        <v>953</v>
      </c>
      <c r="D558" s="2" t="s">
        <v>38</v>
      </c>
      <c r="E558" s="2" t="s">
        <v>39</v>
      </c>
      <c r="F558" s="2">
        <v>500318263</v>
      </c>
      <c r="G558" s="2" t="s">
        <v>291</v>
      </c>
      <c r="H558" s="2" t="s">
        <v>340</v>
      </c>
      <c r="I558" s="2" t="s">
        <v>954</v>
      </c>
      <c r="K558" s="2" t="s">
        <v>340</v>
      </c>
      <c r="L558" s="2" t="s">
        <v>40</v>
      </c>
      <c r="N558" s="2" t="s">
        <v>955</v>
      </c>
      <c r="O558" s="2" t="s">
        <v>188</v>
      </c>
      <c r="P558" s="2" t="s">
        <v>192</v>
      </c>
      <c r="Q558" s="2" t="s">
        <v>191</v>
      </c>
      <c r="R558" s="2">
        <v>1.5</v>
      </c>
      <c r="S558" s="2">
        <v>75</v>
      </c>
      <c r="T558" s="2">
        <v>17.25</v>
      </c>
      <c r="U558" s="2">
        <v>92.25</v>
      </c>
      <c r="V558" s="2">
        <f>S558*50%</f>
        <v>37.5</v>
      </c>
      <c r="W558" s="5">
        <f t="shared" si="59"/>
        <v>0.5</v>
      </c>
      <c r="Y558" s="2" t="s">
        <v>118</v>
      </c>
      <c r="Z558" s="2" t="s">
        <v>191</v>
      </c>
      <c r="AE558" s="2">
        <f t="shared" si="56"/>
        <v>0</v>
      </c>
      <c r="AI558" s="2">
        <f t="shared" si="57"/>
        <v>0</v>
      </c>
      <c r="AJ558" s="2">
        <f t="shared" si="58"/>
        <v>37.5</v>
      </c>
      <c r="AK558" s="5">
        <f t="shared" si="60"/>
        <v>0.5</v>
      </c>
    </row>
    <row r="559" spans="1:37" x14ac:dyDescent="0.2">
      <c r="A559" s="2">
        <v>2025</v>
      </c>
      <c r="B559" s="2">
        <v>3</v>
      </c>
      <c r="C559" s="2" t="s">
        <v>695</v>
      </c>
      <c r="D559" s="2" t="s">
        <v>109</v>
      </c>
      <c r="E559" s="2" t="s">
        <v>39</v>
      </c>
      <c r="F559" s="2">
        <v>503589950</v>
      </c>
      <c r="G559" s="2" t="s">
        <v>41</v>
      </c>
      <c r="H559" s="2" t="s">
        <v>615</v>
      </c>
      <c r="I559" s="2" t="s">
        <v>696</v>
      </c>
      <c r="J559" s="2">
        <v>913036545</v>
      </c>
      <c r="K559" s="2" t="s">
        <v>178</v>
      </c>
      <c r="L559" s="2" t="s">
        <v>41</v>
      </c>
      <c r="N559" s="2" t="s">
        <v>956</v>
      </c>
      <c r="O559" s="2" t="s">
        <v>43</v>
      </c>
      <c r="P559" s="2" t="s">
        <v>49</v>
      </c>
      <c r="Q559" s="2" t="s">
        <v>50</v>
      </c>
      <c r="R559" s="2">
        <v>1</v>
      </c>
      <c r="S559" s="2">
        <v>12</v>
      </c>
      <c r="T559" s="2">
        <v>2.76</v>
      </c>
      <c r="U559" s="2">
        <v>14.76</v>
      </c>
      <c r="V559" s="2">
        <f>6.6267*R559</f>
        <v>6.6266999999999996</v>
      </c>
      <c r="W559" s="5">
        <f t="shared" si="59"/>
        <v>0.44777500000000003</v>
      </c>
      <c r="Y559" s="2" t="s">
        <v>3256</v>
      </c>
      <c r="Z559" s="2" t="s">
        <v>46</v>
      </c>
      <c r="AA559" s="2" t="s">
        <v>47</v>
      </c>
      <c r="AB559" s="2" t="s">
        <v>48</v>
      </c>
      <c r="AE559" s="2">
        <f t="shared" si="56"/>
        <v>0</v>
      </c>
      <c r="AF559" s="2">
        <v>6.6266999999999996</v>
      </c>
      <c r="AG559" s="2">
        <v>12</v>
      </c>
      <c r="AI559" s="2">
        <f t="shared" si="57"/>
        <v>0</v>
      </c>
      <c r="AJ559" s="2">
        <f t="shared" si="58"/>
        <v>5.3733000000000004</v>
      </c>
      <c r="AK559" s="5">
        <f t="shared" si="60"/>
        <v>0.44777500000000003</v>
      </c>
    </row>
    <row r="560" spans="1:37" x14ac:dyDescent="0.2">
      <c r="A560" s="2">
        <v>2025</v>
      </c>
      <c r="B560" s="2">
        <v>3</v>
      </c>
      <c r="C560" s="2" t="s">
        <v>695</v>
      </c>
      <c r="D560" s="2" t="s">
        <v>109</v>
      </c>
      <c r="E560" s="2" t="s">
        <v>39</v>
      </c>
      <c r="F560" s="2">
        <v>503589950</v>
      </c>
      <c r="G560" s="2" t="s">
        <v>41</v>
      </c>
      <c r="H560" s="2" t="s">
        <v>615</v>
      </c>
      <c r="I560" s="2" t="s">
        <v>696</v>
      </c>
      <c r="J560" s="2">
        <v>913036545</v>
      </c>
      <c r="K560" s="2" t="s">
        <v>178</v>
      </c>
      <c r="L560" s="2" t="s">
        <v>41</v>
      </c>
      <c r="N560" s="2" t="s">
        <v>956</v>
      </c>
      <c r="O560" s="2" t="s">
        <v>85</v>
      </c>
      <c r="P560" s="2" t="s">
        <v>275</v>
      </c>
      <c r="Q560" s="2" t="s">
        <v>276</v>
      </c>
      <c r="R560" s="2">
        <v>1</v>
      </c>
      <c r="S560" s="2">
        <v>6</v>
      </c>
      <c r="T560" s="2">
        <v>1.38</v>
      </c>
      <c r="U560" s="2">
        <v>7.38</v>
      </c>
      <c r="V560" s="2">
        <v>2.94</v>
      </c>
      <c r="W560" s="5">
        <f t="shared" si="59"/>
        <v>0.51</v>
      </c>
      <c r="Y560" s="2" t="s">
        <v>3256</v>
      </c>
      <c r="Z560" s="2" t="s">
        <v>88</v>
      </c>
      <c r="AA560" s="2" t="s">
        <v>91</v>
      </c>
      <c r="AB560" s="2" t="s">
        <v>85</v>
      </c>
      <c r="AE560" s="2">
        <f t="shared" si="56"/>
        <v>0</v>
      </c>
      <c r="AI560" s="2">
        <f t="shared" si="57"/>
        <v>0</v>
      </c>
      <c r="AJ560" s="2">
        <f t="shared" si="58"/>
        <v>3.06</v>
      </c>
      <c r="AK560" s="5">
        <f t="shared" si="60"/>
        <v>0.51</v>
      </c>
    </row>
    <row r="561" spans="1:37" x14ac:dyDescent="0.2">
      <c r="A561" s="2">
        <v>2025</v>
      </c>
      <c r="B561" s="2">
        <v>3</v>
      </c>
      <c r="C561" s="2" t="s">
        <v>695</v>
      </c>
      <c r="D561" s="2" t="s">
        <v>109</v>
      </c>
      <c r="E561" s="2" t="s">
        <v>39</v>
      </c>
      <c r="F561" s="2">
        <v>503589950</v>
      </c>
      <c r="G561" s="2" t="s">
        <v>41</v>
      </c>
      <c r="H561" s="2" t="s">
        <v>615</v>
      </c>
      <c r="I561" s="2" t="s">
        <v>696</v>
      </c>
      <c r="J561" s="2">
        <v>913036545</v>
      </c>
      <c r="K561" s="2" t="s">
        <v>178</v>
      </c>
      <c r="L561" s="2" t="s">
        <v>41</v>
      </c>
      <c r="N561" s="2" t="s">
        <v>956</v>
      </c>
      <c r="O561" s="2" t="s">
        <v>85</v>
      </c>
      <c r="P561" s="2" t="s">
        <v>277</v>
      </c>
      <c r="Q561" s="2" t="s">
        <v>278</v>
      </c>
      <c r="R561" s="2">
        <v>1</v>
      </c>
      <c r="S561" s="2">
        <v>6</v>
      </c>
      <c r="T561" s="2">
        <v>1.38</v>
      </c>
      <c r="U561" s="2">
        <v>7.38</v>
      </c>
      <c r="W561" s="5">
        <f t="shared" si="59"/>
        <v>1</v>
      </c>
      <c r="Y561" s="2" t="s">
        <v>3256</v>
      </c>
      <c r="Z561" s="2" t="s">
        <v>88</v>
      </c>
      <c r="AA561" s="2" t="s">
        <v>91</v>
      </c>
      <c r="AB561" s="2" t="s">
        <v>85</v>
      </c>
      <c r="AE561" s="2">
        <f t="shared" si="56"/>
        <v>0</v>
      </c>
      <c r="AI561" s="2">
        <f t="shared" si="57"/>
        <v>0</v>
      </c>
      <c r="AJ561" s="2">
        <f t="shared" si="58"/>
        <v>6</v>
      </c>
      <c r="AK561" s="5">
        <f t="shared" si="60"/>
        <v>1</v>
      </c>
    </row>
    <row r="562" spans="1:37" x14ac:dyDescent="0.2">
      <c r="A562" s="2">
        <v>2025</v>
      </c>
      <c r="B562" s="2">
        <v>3</v>
      </c>
      <c r="C562" s="2" t="s">
        <v>193</v>
      </c>
      <c r="D562" s="2" t="s">
        <v>109</v>
      </c>
      <c r="E562" s="2" t="s">
        <v>194</v>
      </c>
      <c r="F562" s="2">
        <v>502044411</v>
      </c>
      <c r="G562" s="2" t="s">
        <v>40</v>
      </c>
      <c r="H562" s="2" t="s">
        <v>157</v>
      </c>
      <c r="I562" s="2" t="s">
        <v>195</v>
      </c>
      <c r="K562" s="2" t="s">
        <v>100</v>
      </c>
      <c r="L562" s="2" t="s">
        <v>40</v>
      </c>
      <c r="N562" s="2" t="s">
        <v>957</v>
      </c>
      <c r="O562" s="2" t="s">
        <v>73</v>
      </c>
      <c r="P562" s="2" t="s">
        <v>197</v>
      </c>
      <c r="Q562" s="2" t="s">
        <v>198</v>
      </c>
      <c r="R562" s="2">
        <v>-1</v>
      </c>
      <c r="S562" s="2">
        <v>-345</v>
      </c>
      <c r="T562" s="2">
        <v>-79.350000000000009</v>
      </c>
      <c r="U562" s="2">
        <v>-424.35</v>
      </c>
      <c r="W562" s="5">
        <v>0</v>
      </c>
      <c r="Y562" s="2" t="s">
        <v>3256</v>
      </c>
      <c r="Z562" s="2" t="s">
        <v>76</v>
      </c>
      <c r="AA562" s="2" t="s">
        <v>77</v>
      </c>
      <c r="AB562" s="2" t="s">
        <v>78</v>
      </c>
      <c r="AE562" s="2">
        <f t="shared" si="56"/>
        <v>0</v>
      </c>
      <c r="AF562" s="2">
        <v>187.99</v>
      </c>
      <c r="AI562" s="2">
        <f t="shared" si="57"/>
        <v>0</v>
      </c>
      <c r="AJ562" s="2">
        <f t="shared" si="58"/>
        <v>-345</v>
      </c>
      <c r="AK562" s="5">
        <f t="shared" si="60"/>
        <v>1</v>
      </c>
    </row>
    <row r="563" spans="1:37" x14ac:dyDescent="0.2">
      <c r="A563" s="2">
        <v>2025</v>
      </c>
      <c r="B563" s="2">
        <v>3</v>
      </c>
      <c r="C563" s="2" t="s">
        <v>193</v>
      </c>
      <c r="D563" s="2" t="s">
        <v>109</v>
      </c>
      <c r="E563" s="2" t="s">
        <v>194</v>
      </c>
      <c r="F563" s="2">
        <v>502044411</v>
      </c>
      <c r="G563" s="2" t="s">
        <v>40</v>
      </c>
      <c r="H563" s="2" t="s">
        <v>157</v>
      </c>
      <c r="I563" s="2" t="s">
        <v>195</v>
      </c>
      <c r="K563" s="2" t="s">
        <v>100</v>
      </c>
      <c r="L563" s="2" t="s">
        <v>40</v>
      </c>
      <c r="N563" s="2" t="s">
        <v>957</v>
      </c>
      <c r="O563" s="2" t="s">
        <v>94</v>
      </c>
      <c r="P563" s="2" t="s">
        <v>95</v>
      </c>
      <c r="Q563" s="2" t="s">
        <v>96</v>
      </c>
      <c r="R563" s="2">
        <v>-1</v>
      </c>
      <c r="S563" s="2">
        <v>-1.1399999999999999</v>
      </c>
      <c r="T563" s="2">
        <v>-0.26219999999999999</v>
      </c>
      <c r="U563" s="2">
        <v>-1.4021999999999999</v>
      </c>
      <c r="V563" s="2">
        <v>-1.1399999999999999</v>
      </c>
      <c r="W563" s="5">
        <f t="shared" ref="W563:W593" si="61">(S563-V563)/S563</f>
        <v>0</v>
      </c>
      <c r="Y563" s="2" t="s">
        <v>3256</v>
      </c>
      <c r="Z563" s="2" t="s">
        <v>97</v>
      </c>
      <c r="AA563" s="2" t="s">
        <v>77</v>
      </c>
      <c r="AB563" s="2" t="s">
        <v>94</v>
      </c>
      <c r="AE563" s="2">
        <f t="shared" si="56"/>
        <v>0</v>
      </c>
      <c r="AI563" s="2">
        <f t="shared" si="57"/>
        <v>0</v>
      </c>
      <c r="AJ563" s="2">
        <f t="shared" si="58"/>
        <v>0</v>
      </c>
      <c r="AK563" s="5">
        <f t="shared" si="60"/>
        <v>0</v>
      </c>
    </row>
    <row r="564" spans="1:37" x14ac:dyDescent="0.2">
      <c r="A564" s="2">
        <v>2025</v>
      </c>
      <c r="B564" s="2">
        <v>3</v>
      </c>
      <c r="C564" s="2" t="s">
        <v>290</v>
      </c>
      <c r="D564" s="2" t="s">
        <v>109</v>
      </c>
      <c r="E564" s="2" t="s">
        <v>39</v>
      </c>
      <c r="F564" s="2">
        <v>508428300</v>
      </c>
      <c r="G564" s="2" t="s">
        <v>291</v>
      </c>
      <c r="H564" s="2" t="s">
        <v>292</v>
      </c>
      <c r="I564" s="2" t="s">
        <v>293</v>
      </c>
      <c r="J564" s="2">
        <v>917165642</v>
      </c>
      <c r="K564" s="2" t="s">
        <v>294</v>
      </c>
      <c r="L564" s="2" t="s">
        <v>40</v>
      </c>
      <c r="N564" s="2" t="s">
        <v>958</v>
      </c>
      <c r="O564" s="2" t="s">
        <v>115</v>
      </c>
      <c r="P564" s="2" t="s">
        <v>741</v>
      </c>
      <c r="Q564" s="2" t="s">
        <v>742</v>
      </c>
      <c r="R564" s="2">
        <v>1</v>
      </c>
      <c r="S564" s="2">
        <v>17.37</v>
      </c>
      <c r="T564" s="2">
        <v>3.9950999999999999</v>
      </c>
      <c r="U564" s="2">
        <v>21.365100000000002</v>
      </c>
      <c r="V564" s="2">
        <v>10.38</v>
      </c>
      <c r="W564" s="5">
        <f t="shared" si="61"/>
        <v>0.4024179620034542</v>
      </c>
      <c r="Y564" s="2" t="s">
        <v>118</v>
      </c>
      <c r="Z564" s="2" t="s">
        <v>119</v>
      </c>
      <c r="AA564" s="2" t="s">
        <v>120</v>
      </c>
      <c r="AB564" s="2" t="s">
        <v>115</v>
      </c>
      <c r="AE564" s="2">
        <f t="shared" si="56"/>
        <v>0</v>
      </c>
      <c r="AF564" s="2">
        <v>10.38</v>
      </c>
      <c r="AI564" s="2">
        <f t="shared" si="57"/>
        <v>0</v>
      </c>
      <c r="AJ564" s="2">
        <f t="shared" si="58"/>
        <v>6.99</v>
      </c>
      <c r="AK564" s="5">
        <f t="shared" si="60"/>
        <v>0.4024179620034542</v>
      </c>
    </row>
    <row r="565" spans="1:37" x14ac:dyDescent="0.2">
      <c r="A565" s="2">
        <v>2025</v>
      </c>
      <c r="B565" s="2">
        <v>3</v>
      </c>
      <c r="C565" s="2" t="s">
        <v>290</v>
      </c>
      <c r="D565" s="2" t="s">
        <v>109</v>
      </c>
      <c r="E565" s="2" t="s">
        <v>39</v>
      </c>
      <c r="F565" s="2">
        <v>508428300</v>
      </c>
      <c r="G565" s="2" t="s">
        <v>291</v>
      </c>
      <c r="H565" s="2" t="s">
        <v>292</v>
      </c>
      <c r="I565" s="2" t="s">
        <v>293</v>
      </c>
      <c r="J565" s="2">
        <v>917165642</v>
      </c>
      <c r="K565" s="2" t="s">
        <v>294</v>
      </c>
      <c r="L565" s="2" t="s">
        <v>40</v>
      </c>
      <c r="N565" s="2" t="s">
        <v>959</v>
      </c>
      <c r="O565" s="2" t="s">
        <v>115</v>
      </c>
      <c r="P565" s="2" t="s">
        <v>960</v>
      </c>
      <c r="Q565" s="2" t="s">
        <v>961</v>
      </c>
      <c r="R565" s="2">
        <v>1</v>
      </c>
      <c r="S565" s="2">
        <v>31.32</v>
      </c>
      <c r="T565" s="2">
        <v>7.2036000000000007</v>
      </c>
      <c r="U565" s="2">
        <v>38.523600000000002</v>
      </c>
      <c r="V565" s="2">
        <v>14.4</v>
      </c>
      <c r="W565" s="5">
        <f t="shared" si="61"/>
        <v>0.54022988505747127</v>
      </c>
      <c r="Y565" s="2" t="s">
        <v>118</v>
      </c>
      <c r="Z565" s="2" t="s">
        <v>583</v>
      </c>
      <c r="AA565" s="2" t="s">
        <v>120</v>
      </c>
      <c r="AB565" s="2" t="s">
        <v>115</v>
      </c>
      <c r="AE565" s="2">
        <f t="shared" si="56"/>
        <v>0</v>
      </c>
      <c r="AF565" s="2">
        <v>14.4</v>
      </c>
      <c r="AI565" s="2">
        <f t="shared" si="57"/>
        <v>0</v>
      </c>
      <c r="AJ565" s="2">
        <f t="shared" si="58"/>
        <v>16.920000000000002</v>
      </c>
      <c r="AK565" s="5">
        <f t="shared" si="60"/>
        <v>0.54022988505747127</v>
      </c>
    </row>
    <row r="566" spans="1:37" x14ac:dyDescent="0.2">
      <c r="A566" s="2">
        <v>2025</v>
      </c>
      <c r="B566" s="2">
        <v>3</v>
      </c>
      <c r="C566" s="2" t="s">
        <v>712</v>
      </c>
      <c r="D566" s="2" t="s">
        <v>184</v>
      </c>
      <c r="F566" s="2">
        <v>500038996</v>
      </c>
      <c r="G566" s="2" t="s">
        <v>110</v>
      </c>
      <c r="H566" s="2" t="s">
        <v>713</v>
      </c>
      <c r="I566" s="2" t="s">
        <v>714</v>
      </c>
      <c r="J566" s="2">
        <v>913640179</v>
      </c>
      <c r="K566" s="2" t="s">
        <v>134</v>
      </c>
      <c r="L566" s="2" t="s">
        <v>110</v>
      </c>
      <c r="O566" s="2" t="s">
        <v>115</v>
      </c>
      <c r="P566" s="2" t="s">
        <v>962</v>
      </c>
      <c r="Q566" s="2" t="s">
        <v>716</v>
      </c>
      <c r="R566" s="2">
        <v>2</v>
      </c>
      <c r="S566" s="2">
        <v>3200</v>
      </c>
      <c r="T566" s="2">
        <v>736</v>
      </c>
      <c r="U566" s="2">
        <v>3936</v>
      </c>
      <c r="W566" s="5">
        <f t="shared" si="61"/>
        <v>1</v>
      </c>
      <c r="AE566" s="2">
        <f t="shared" si="56"/>
        <v>0</v>
      </c>
      <c r="AI566" s="2">
        <f t="shared" si="57"/>
        <v>0</v>
      </c>
      <c r="AJ566" s="2">
        <f t="shared" si="58"/>
        <v>3200</v>
      </c>
      <c r="AK566" s="5">
        <f t="shared" si="60"/>
        <v>1</v>
      </c>
    </row>
    <row r="567" spans="1:37" x14ac:dyDescent="0.2">
      <c r="A567" s="2">
        <v>2025</v>
      </c>
      <c r="B567" s="2">
        <v>3</v>
      </c>
      <c r="C567" s="2" t="s">
        <v>712</v>
      </c>
      <c r="D567" s="2" t="s">
        <v>184</v>
      </c>
      <c r="F567" s="2">
        <v>500038996</v>
      </c>
      <c r="G567" s="2" t="s">
        <v>110</v>
      </c>
      <c r="H567" s="2" t="s">
        <v>713</v>
      </c>
      <c r="I567" s="2" t="s">
        <v>714</v>
      </c>
      <c r="J567" s="2">
        <v>913640179</v>
      </c>
      <c r="K567" s="2" t="s">
        <v>134</v>
      </c>
      <c r="L567" s="2" t="s">
        <v>110</v>
      </c>
      <c r="O567" s="2" t="s">
        <v>115</v>
      </c>
      <c r="P567" s="2" t="s">
        <v>416</v>
      </c>
      <c r="Q567" s="2" t="s">
        <v>417</v>
      </c>
      <c r="R567" s="2">
        <v>1</v>
      </c>
      <c r="S567" s="2">
        <v>14900</v>
      </c>
      <c r="T567" s="2">
        <v>3427</v>
      </c>
      <c r="U567" s="2">
        <v>18327</v>
      </c>
      <c r="V567" s="2">
        <v>10669.4</v>
      </c>
      <c r="W567" s="5">
        <f t="shared" si="61"/>
        <v>0.28393288590604027</v>
      </c>
      <c r="Y567" s="2" t="s">
        <v>105</v>
      </c>
      <c r="Z567" s="2" t="s">
        <v>418</v>
      </c>
      <c r="AA567" s="2" t="s">
        <v>152</v>
      </c>
      <c r="AB567" s="2" t="s">
        <v>115</v>
      </c>
      <c r="AE567" s="2">
        <f t="shared" si="56"/>
        <v>0</v>
      </c>
      <c r="AI567" s="2">
        <f t="shared" si="57"/>
        <v>0</v>
      </c>
      <c r="AJ567" s="2">
        <f t="shared" si="58"/>
        <v>4230.6000000000004</v>
      </c>
      <c r="AK567" s="5">
        <f t="shared" si="60"/>
        <v>0.28393288590604027</v>
      </c>
    </row>
    <row r="568" spans="1:37" x14ac:dyDescent="0.2">
      <c r="A568" s="2">
        <v>2025</v>
      </c>
      <c r="B568" s="2">
        <v>3</v>
      </c>
      <c r="C568" s="2" t="s">
        <v>712</v>
      </c>
      <c r="D568" s="2" t="s">
        <v>184</v>
      </c>
      <c r="F568" s="2">
        <v>500038996</v>
      </c>
      <c r="G568" s="2" t="s">
        <v>110</v>
      </c>
      <c r="H568" s="2" t="s">
        <v>713</v>
      </c>
      <c r="I568" s="2" t="s">
        <v>714</v>
      </c>
      <c r="J568" s="2">
        <v>913640179</v>
      </c>
      <c r="K568" s="2" t="s">
        <v>134</v>
      </c>
      <c r="L568" s="2" t="s">
        <v>110</v>
      </c>
      <c r="O568" s="2" t="s">
        <v>115</v>
      </c>
      <c r="P568" s="2" t="s">
        <v>717</v>
      </c>
      <c r="Q568" s="2" t="s">
        <v>718</v>
      </c>
      <c r="R568" s="2">
        <v>1</v>
      </c>
      <c r="S568" s="2">
        <v>5500</v>
      </c>
      <c r="T568" s="2">
        <v>1265</v>
      </c>
      <c r="U568" s="2">
        <v>6765</v>
      </c>
      <c r="W568" s="5">
        <f t="shared" si="61"/>
        <v>1</v>
      </c>
      <c r="Y568" s="2" t="s">
        <v>105</v>
      </c>
      <c r="AE568" s="2">
        <f t="shared" si="56"/>
        <v>0</v>
      </c>
      <c r="AI568" s="2">
        <f t="shared" si="57"/>
        <v>0</v>
      </c>
      <c r="AJ568" s="2">
        <f t="shared" si="58"/>
        <v>5500</v>
      </c>
      <c r="AK568" s="5">
        <f t="shared" si="60"/>
        <v>1</v>
      </c>
    </row>
    <row r="569" spans="1:37" x14ac:dyDescent="0.2">
      <c r="A569" s="2">
        <v>2025</v>
      </c>
      <c r="B569" s="2">
        <v>3</v>
      </c>
      <c r="C569" s="2" t="s">
        <v>712</v>
      </c>
      <c r="D569" s="2" t="s">
        <v>184</v>
      </c>
      <c r="F569" s="2">
        <v>500038996</v>
      </c>
      <c r="G569" s="2" t="s">
        <v>110</v>
      </c>
      <c r="H569" s="2" t="s">
        <v>713</v>
      </c>
      <c r="I569" s="2" t="s">
        <v>714</v>
      </c>
      <c r="J569" s="2">
        <v>913640179</v>
      </c>
      <c r="K569" s="2" t="s">
        <v>134</v>
      </c>
      <c r="L569" s="2" t="s">
        <v>110</v>
      </c>
      <c r="O569" s="2" t="s">
        <v>115</v>
      </c>
      <c r="P569" s="2" t="s">
        <v>963</v>
      </c>
      <c r="Q569" s="2" t="s">
        <v>964</v>
      </c>
      <c r="R569" s="2">
        <v>1</v>
      </c>
      <c r="S569" s="2">
        <v>9900</v>
      </c>
      <c r="T569" s="2">
        <v>2277</v>
      </c>
      <c r="U569" s="2">
        <v>12177</v>
      </c>
      <c r="V569" s="2">
        <v>6468.73</v>
      </c>
      <c r="W569" s="5">
        <f t="shared" si="61"/>
        <v>0.34659292929292934</v>
      </c>
      <c r="Y569" s="2" t="s">
        <v>105</v>
      </c>
      <c r="Z569" s="2" t="s">
        <v>621</v>
      </c>
      <c r="AA569" s="2" t="s">
        <v>965</v>
      </c>
      <c r="AB569" s="2" t="s">
        <v>115</v>
      </c>
      <c r="AE569" s="2">
        <f t="shared" si="56"/>
        <v>0</v>
      </c>
      <c r="AF569" s="2">
        <v>6468.73</v>
      </c>
      <c r="AI569" s="2">
        <f t="shared" si="57"/>
        <v>0</v>
      </c>
      <c r="AJ569" s="2">
        <f t="shared" si="58"/>
        <v>3431.2700000000004</v>
      </c>
      <c r="AK569" s="5">
        <f t="shared" si="60"/>
        <v>0.34659292929292934</v>
      </c>
    </row>
    <row r="570" spans="1:37" x14ac:dyDescent="0.2">
      <c r="A570" s="2">
        <v>2025</v>
      </c>
      <c r="B570" s="2">
        <v>3</v>
      </c>
      <c r="C570" s="2" t="s">
        <v>712</v>
      </c>
      <c r="D570" s="2" t="s">
        <v>184</v>
      </c>
      <c r="F570" s="2">
        <v>500038996</v>
      </c>
      <c r="G570" s="2" t="s">
        <v>110</v>
      </c>
      <c r="H570" s="2" t="s">
        <v>713</v>
      </c>
      <c r="I570" s="2" t="s">
        <v>714</v>
      </c>
      <c r="J570" s="2">
        <v>913640179</v>
      </c>
      <c r="K570" s="2" t="s">
        <v>134</v>
      </c>
      <c r="L570" s="2" t="s">
        <v>110</v>
      </c>
      <c r="O570" s="2" t="s">
        <v>115</v>
      </c>
      <c r="P570" s="2" t="s">
        <v>719</v>
      </c>
      <c r="Q570" s="2" t="s">
        <v>720</v>
      </c>
      <c r="R570" s="2">
        <v>1</v>
      </c>
      <c r="S570" s="2">
        <v>3400</v>
      </c>
      <c r="T570" s="2">
        <v>782</v>
      </c>
      <c r="U570" s="2">
        <v>4182</v>
      </c>
      <c r="W570" s="5">
        <f t="shared" si="61"/>
        <v>1</v>
      </c>
      <c r="Y570" s="2" t="s">
        <v>105</v>
      </c>
      <c r="AE570" s="2">
        <f t="shared" si="56"/>
        <v>0</v>
      </c>
      <c r="AI570" s="2">
        <f t="shared" si="57"/>
        <v>0</v>
      </c>
      <c r="AJ570" s="2">
        <f t="shared" si="58"/>
        <v>3400</v>
      </c>
      <c r="AK570" s="5">
        <f t="shared" si="60"/>
        <v>1</v>
      </c>
    </row>
    <row r="571" spans="1:37" x14ac:dyDescent="0.2">
      <c r="A571" s="2">
        <v>2025</v>
      </c>
      <c r="B571" s="2">
        <v>3</v>
      </c>
      <c r="C571" s="2" t="s">
        <v>712</v>
      </c>
      <c r="D571" s="2" t="s">
        <v>184</v>
      </c>
      <c r="F571" s="2">
        <v>500038996</v>
      </c>
      <c r="G571" s="2" t="s">
        <v>110</v>
      </c>
      <c r="H571" s="2" t="s">
        <v>713</v>
      </c>
      <c r="I571" s="2" t="s">
        <v>714</v>
      </c>
      <c r="J571" s="2">
        <v>913640179</v>
      </c>
      <c r="K571" s="2" t="s">
        <v>134</v>
      </c>
      <c r="L571" s="2" t="s">
        <v>110</v>
      </c>
      <c r="O571" s="2" t="s">
        <v>115</v>
      </c>
      <c r="P571" s="2" t="s">
        <v>844</v>
      </c>
      <c r="Q571" s="2" t="s">
        <v>845</v>
      </c>
      <c r="R571" s="2">
        <v>1</v>
      </c>
      <c r="S571" s="2">
        <v>3600</v>
      </c>
      <c r="T571" s="2">
        <v>828</v>
      </c>
      <c r="U571" s="2">
        <v>4428</v>
      </c>
      <c r="W571" s="5">
        <f t="shared" si="61"/>
        <v>1</v>
      </c>
      <c r="Y571" s="2" t="s">
        <v>105</v>
      </c>
      <c r="AE571" s="2">
        <f t="shared" si="56"/>
        <v>0</v>
      </c>
      <c r="AI571" s="2">
        <f t="shared" si="57"/>
        <v>0</v>
      </c>
      <c r="AJ571" s="2">
        <f t="shared" si="58"/>
        <v>3600</v>
      </c>
      <c r="AK571" s="5">
        <f t="shared" si="60"/>
        <v>1</v>
      </c>
    </row>
    <row r="572" spans="1:37" x14ac:dyDescent="0.2">
      <c r="A572" s="2">
        <v>2025</v>
      </c>
      <c r="B572" s="2">
        <v>3</v>
      </c>
      <c r="C572" s="2" t="s">
        <v>966</v>
      </c>
      <c r="O572" s="2" t="s">
        <v>115</v>
      </c>
      <c r="P572" s="2" t="s">
        <v>911</v>
      </c>
      <c r="Q572" s="2" t="s">
        <v>912</v>
      </c>
      <c r="R572" s="2">
        <v>1</v>
      </c>
      <c r="S572" s="2">
        <v>699.3</v>
      </c>
      <c r="T572" s="2">
        <v>160.839</v>
      </c>
      <c r="U572" s="2">
        <v>860.1389999999999</v>
      </c>
      <c r="W572" s="5">
        <f t="shared" si="61"/>
        <v>1</v>
      </c>
      <c r="AE572" s="2">
        <f t="shared" si="56"/>
        <v>0</v>
      </c>
      <c r="AI572" s="2">
        <f t="shared" si="57"/>
        <v>0</v>
      </c>
      <c r="AJ572" s="2">
        <f t="shared" si="58"/>
        <v>699.3</v>
      </c>
      <c r="AK572" s="5">
        <f t="shared" si="60"/>
        <v>1</v>
      </c>
    </row>
    <row r="573" spans="1:37" x14ac:dyDescent="0.2">
      <c r="A573" s="2">
        <v>2025</v>
      </c>
      <c r="B573" s="2">
        <v>3</v>
      </c>
      <c r="C573" s="2" t="s">
        <v>966</v>
      </c>
      <c r="L573" s="2" t="s">
        <v>40</v>
      </c>
      <c r="O573" s="2" t="s">
        <v>188</v>
      </c>
      <c r="P573" s="2" t="s">
        <v>189</v>
      </c>
      <c r="Q573" s="2" t="s">
        <v>190</v>
      </c>
      <c r="R573" s="2">
        <v>1</v>
      </c>
      <c r="S573" s="2">
        <v>75</v>
      </c>
      <c r="T573" s="2">
        <v>17.25</v>
      </c>
      <c r="U573" s="2">
        <v>92.25</v>
      </c>
      <c r="W573" s="5">
        <f t="shared" si="61"/>
        <v>1</v>
      </c>
      <c r="Y573" s="2" t="s">
        <v>118</v>
      </c>
      <c r="Z573" s="2" t="s">
        <v>191</v>
      </c>
      <c r="AE573" s="2">
        <f t="shared" si="56"/>
        <v>0</v>
      </c>
      <c r="AI573" s="2">
        <f t="shared" si="57"/>
        <v>0</v>
      </c>
      <c r="AJ573" s="2">
        <f t="shared" si="58"/>
        <v>75</v>
      </c>
      <c r="AK573" s="5">
        <f t="shared" si="60"/>
        <v>1</v>
      </c>
    </row>
    <row r="574" spans="1:37" x14ac:dyDescent="0.2">
      <c r="A574" s="2">
        <v>2025</v>
      </c>
      <c r="B574" s="2">
        <v>3</v>
      </c>
      <c r="C574" s="2" t="s">
        <v>966</v>
      </c>
      <c r="L574" s="2" t="s">
        <v>40</v>
      </c>
      <c r="O574" s="2" t="s">
        <v>188</v>
      </c>
      <c r="P574" s="2" t="s">
        <v>192</v>
      </c>
      <c r="Q574" s="2" t="s">
        <v>191</v>
      </c>
      <c r="R574" s="2">
        <v>1</v>
      </c>
      <c r="S574" s="2">
        <v>50</v>
      </c>
      <c r="T574" s="2">
        <v>11.5</v>
      </c>
      <c r="U574" s="2">
        <v>61.5</v>
      </c>
      <c r="V574" s="2">
        <f>S574*50%</f>
        <v>25</v>
      </c>
      <c r="W574" s="5">
        <f t="shared" si="61"/>
        <v>0.5</v>
      </c>
      <c r="Y574" s="2" t="s">
        <v>118</v>
      </c>
      <c r="Z574" s="2" t="s">
        <v>191</v>
      </c>
      <c r="AE574" s="2">
        <f t="shared" si="56"/>
        <v>0</v>
      </c>
      <c r="AI574" s="2">
        <f t="shared" si="57"/>
        <v>0</v>
      </c>
      <c r="AJ574" s="2">
        <f t="shared" si="58"/>
        <v>25</v>
      </c>
      <c r="AK574" s="5">
        <f t="shared" si="60"/>
        <v>0.5</v>
      </c>
    </row>
    <row r="575" spans="1:37" x14ac:dyDescent="0.2">
      <c r="A575" s="2">
        <v>2025</v>
      </c>
      <c r="B575" s="2">
        <v>3</v>
      </c>
      <c r="C575" s="2" t="s">
        <v>298</v>
      </c>
      <c r="D575" s="2" t="s">
        <v>38</v>
      </c>
      <c r="E575" s="2" t="s">
        <v>39</v>
      </c>
      <c r="F575" s="2">
        <v>510939570</v>
      </c>
      <c r="G575" s="2" t="s">
        <v>41</v>
      </c>
      <c r="H575" s="2" t="s">
        <v>299</v>
      </c>
      <c r="I575" s="2" t="s">
        <v>300</v>
      </c>
      <c r="J575" s="2">
        <v>962678129</v>
      </c>
      <c r="K575" s="2" t="s">
        <v>178</v>
      </c>
      <c r="L575" s="2" t="s">
        <v>41</v>
      </c>
      <c r="N575" s="2" t="s">
        <v>967</v>
      </c>
      <c r="O575" s="2" t="s">
        <v>43</v>
      </c>
      <c r="P575" s="2" t="s">
        <v>59</v>
      </c>
      <c r="Q575" s="2" t="s">
        <v>60</v>
      </c>
      <c r="R575" s="2">
        <v>1000</v>
      </c>
      <c r="S575" s="2">
        <v>120</v>
      </c>
      <c r="T575" s="2">
        <v>27.6</v>
      </c>
      <c r="U575" s="2">
        <v>147.6</v>
      </c>
      <c r="V575" s="2">
        <f>0.0914*R575</f>
        <v>91.399999999999991</v>
      </c>
      <c r="W575" s="5">
        <f t="shared" si="61"/>
        <v>0.2383333333333334</v>
      </c>
      <c r="Y575" s="2" t="s">
        <v>3256</v>
      </c>
      <c r="Z575" s="2" t="s">
        <v>46</v>
      </c>
      <c r="AA575" s="2" t="s">
        <v>61</v>
      </c>
      <c r="AB575" s="2" t="s">
        <v>58</v>
      </c>
      <c r="AE575" s="2">
        <f t="shared" si="56"/>
        <v>0</v>
      </c>
      <c r="AF575" s="2">
        <v>9.14</v>
      </c>
      <c r="AG575" s="2">
        <v>16</v>
      </c>
      <c r="AI575" s="2">
        <f t="shared" si="57"/>
        <v>0</v>
      </c>
      <c r="AJ575" s="2">
        <f t="shared" si="58"/>
        <v>28.600000000000009</v>
      </c>
      <c r="AK575" s="5">
        <f t="shared" si="60"/>
        <v>0.2383333333333334</v>
      </c>
    </row>
    <row r="576" spans="1:37" x14ac:dyDescent="0.2">
      <c r="A576" s="2">
        <v>2025</v>
      </c>
      <c r="B576" s="2">
        <v>3</v>
      </c>
      <c r="C576" s="2" t="s">
        <v>968</v>
      </c>
      <c r="O576" s="2" t="s">
        <v>73</v>
      </c>
      <c r="P576" s="2" t="s">
        <v>969</v>
      </c>
      <c r="Q576" s="2" t="s">
        <v>970</v>
      </c>
      <c r="R576" s="2">
        <v>1</v>
      </c>
      <c r="S576" s="2">
        <v>445</v>
      </c>
      <c r="T576" s="2">
        <v>102.35</v>
      </c>
      <c r="U576" s="2">
        <v>547.35</v>
      </c>
      <c r="W576" s="5">
        <f t="shared" si="61"/>
        <v>1</v>
      </c>
      <c r="Y576" s="2" t="s">
        <v>3256</v>
      </c>
      <c r="Z576" s="2" t="s">
        <v>76</v>
      </c>
      <c r="AA576" s="2" t="s">
        <v>77</v>
      </c>
      <c r="AB576" s="2" t="s">
        <v>78</v>
      </c>
      <c r="AE576" s="2">
        <f t="shared" si="56"/>
        <v>0</v>
      </c>
      <c r="AI576" s="2">
        <f t="shared" si="57"/>
        <v>0</v>
      </c>
      <c r="AJ576" s="2">
        <f t="shared" si="58"/>
        <v>445</v>
      </c>
      <c r="AK576" s="5">
        <f t="shared" si="60"/>
        <v>1</v>
      </c>
    </row>
    <row r="577" spans="1:37" x14ac:dyDescent="0.2">
      <c r="A577" s="2">
        <v>2025</v>
      </c>
      <c r="B577" s="2">
        <v>3</v>
      </c>
      <c r="C577" s="2" t="s">
        <v>968</v>
      </c>
      <c r="O577" s="2" t="s">
        <v>94</v>
      </c>
      <c r="P577" s="2" t="s">
        <v>95</v>
      </c>
      <c r="Q577" s="2" t="s">
        <v>96</v>
      </c>
      <c r="R577" s="2">
        <v>1</v>
      </c>
      <c r="S577" s="2">
        <v>1.1399999999999999</v>
      </c>
      <c r="T577" s="2">
        <v>0.26219999999999999</v>
      </c>
      <c r="U577" s="2">
        <v>1.4021999999999999</v>
      </c>
      <c r="V577" s="2">
        <v>1.1399999999999999</v>
      </c>
      <c r="W577" s="5">
        <f t="shared" si="61"/>
        <v>0</v>
      </c>
      <c r="Y577" s="2" t="s">
        <v>3256</v>
      </c>
      <c r="Z577" s="2" t="s">
        <v>97</v>
      </c>
      <c r="AA577" s="2" t="s">
        <v>77</v>
      </c>
      <c r="AB577" s="2" t="s">
        <v>94</v>
      </c>
      <c r="AE577" s="2">
        <f t="shared" si="56"/>
        <v>0</v>
      </c>
      <c r="AI577" s="2">
        <f t="shared" si="57"/>
        <v>0</v>
      </c>
      <c r="AJ577" s="2">
        <f t="shared" si="58"/>
        <v>0</v>
      </c>
      <c r="AK577" s="5">
        <f t="shared" si="60"/>
        <v>0</v>
      </c>
    </row>
    <row r="578" spans="1:37" x14ac:dyDescent="0.2">
      <c r="A578" s="2">
        <v>2025</v>
      </c>
      <c r="B578" s="2">
        <v>3</v>
      </c>
      <c r="C578" s="2" t="s">
        <v>320</v>
      </c>
      <c r="D578" s="2" t="s">
        <v>38</v>
      </c>
      <c r="E578" s="2" t="s">
        <v>39</v>
      </c>
      <c r="F578" s="2">
        <v>500883262</v>
      </c>
      <c r="G578" s="2" t="s">
        <v>40</v>
      </c>
      <c r="H578" s="2" t="s">
        <v>100</v>
      </c>
      <c r="I578" s="2" t="s">
        <v>321</v>
      </c>
      <c r="K578" s="2" t="s">
        <v>100</v>
      </c>
      <c r="L578" s="2" t="s">
        <v>81</v>
      </c>
      <c r="N578" s="2" t="s">
        <v>971</v>
      </c>
      <c r="O578" s="2" t="s">
        <v>43</v>
      </c>
      <c r="P578" s="2" t="s">
        <v>972</v>
      </c>
      <c r="Q578" s="2" t="s">
        <v>973</v>
      </c>
      <c r="R578" s="2">
        <v>10</v>
      </c>
      <c r="S578" s="2">
        <v>40</v>
      </c>
      <c r="T578" s="2">
        <v>9.2000000000000011</v>
      </c>
      <c r="U578" s="2">
        <v>49.2</v>
      </c>
      <c r="V578" s="2">
        <v>17.7</v>
      </c>
      <c r="W578" s="5">
        <f t="shared" si="61"/>
        <v>0.5575</v>
      </c>
      <c r="Y578" s="2" t="s">
        <v>3256</v>
      </c>
      <c r="Z578" s="2" t="s">
        <v>46</v>
      </c>
      <c r="AA578" s="2" t="s">
        <v>61</v>
      </c>
      <c r="AB578" s="2" t="s">
        <v>58</v>
      </c>
      <c r="AE578" s="2">
        <f t="shared" ref="AE578:AE641" si="62">AI578</f>
        <v>0</v>
      </c>
      <c r="AF578" s="2">
        <v>1.77</v>
      </c>
      <c r="AG578" s="2">
        <v>5</v>
      </c>
      <c r="AI578" s="2">
        <f t="shared" ref="AI578:AI641" si="63">AH578*S578</f>
        <v>0</v>
      </c>
      <c r="AJ578" s="2">
        <f t="shared" ref="AJ578:AJ641" si="64">S578-V578</f>
        <v>22.3</v>
      </c>
      <c r="AK578" s="5">
        <f t="shared" si="60"/>
        <v>0.5575</v>
      </c>
    </row>
    <row r="579" spans="1:37" x14ac:dyDescent="0.2">
      <c r="A579" s="2">
        <v>2025</v>
      </c>
      <c r="B579" s="2">
        <v>3</v>
      </c>
      <c r="C579" s="2" t="s">
        <v>320</v>
      </c>
      <c r="D579" s="2" t="s">
        <v>38</v>
      </c>
      <c r="E579" s="2" t="s">
        <v>39</v>
      </c>
      <c r="F579" s="2">
        <v>500883262</v>
      </c>
      <c r="G579" s="2" t="s">
        <v>40</v>
      </c>
      <c r="H579" s="2" t="s">
        <v>100</v>
      </c>
      <c r="I579" s="2" t="s">
        <v>321</v>
      </c>
      <c r="K579" s="2" t="s">
        <v>100</v>
      </c>
      <c r="L579" s="2" t="s">
        <v>81</v>
      </c>
      <c r="N579" s="2" t="s">
        <v>974</v>
      </c>
      <c r="O579" s="2" t="s">
        <v>43</v>
      </c>
      <c r="P579" s="2" t="s">
        <v>975</v>
      </c>
      <c r="Q579" s="2" t="s">
        <v>976</v>
      </c>
      <c r="R579" s="2">
        <v>6</v>
      </c>
      <c r="S579" s="2">
        <v>150</v>
      </c>
      <c r="T579" s="2">
        <v>34.5</v>
      </c>
      <c r="U579" s="2">
        <v>184.5</v>
      </c>
      <c r="W579" s="5">
        <f t="shared" si="61"/>
        <v>1</v>
      </c>
      <c r="Y579" s="2" t="s">
        <v>3256</v>
      </c>
      <c r="Z579" s="2" t="s">
        <v>46</v>
      </c>
      <c r="AA579" s="2" t="s">
        <v>61</v>
      </c>
      <c r="AB579" s="2" t="s">
        <v>58</v>
      </c>
      <c r="AE579" s="2">
        <f t="shared" si="62"/>
        <v>0</v>
      </c>
      <c r="AI579" s="2">
        <f t="shared" si="63"/>
        <v>0</v>
      </c>
      <c r="AJ579" s="2">
        <f t="shared" si="64"/>
        <v>150</v>
      </c>
      <c r="AK579" s="5">
        <f t="shared" si="60"/>
        <v>1</v>
      </c>
    </row>
    <row r="580" spans="1:37" x14ac:dyDescent="0.2">
      <c r="A580" s="2">
        <v>2025</v>
      </c>
      <c r="B580" s="2">
        <v>3</v>
      </c>
      <c r="C580" s="2" t="s">
        <v>320</v>
      </c>
      <c r="D580" s="2" t="s">
        <v>38</v>
      </c>
      <c r="E580" s="2" t="s">
        <v>39</v>
      </c>
      <c r="F580" s="2">
        <v>500883262</v>
      </c>
      <c r="G580" s="2" t="s">
        <v>40</v>
      </c>
      <c r="H580" s="2" t="s">
        <v>100</v>
      </c>
      <c r="I580" s="2" t="s">
        <v>321</v>
      </c>
      <c r="K580" s="2" t="s">
        <v>100</v>
      </c>
      <c r="L580" s="2" t="s">
        <v>81</v>
      </c>
      <c r="N580" s="2" t="s">
        <v>974</v>
      </c>
      <c r="O580" s="2" t="s">
        <v>43</v>
      </c>
      <c r="P580" s="2" t="s">
        <v>977</v>
      </c>
      <c r="Q580" s="2" t="s">
        <v>978</v>
      </c>
      <c r="R580" s="2">
        <v>12</v>
      </c>
      <c r="S580" s="2">
        <v>348</v>
      </c>
      <c r="T580" s="2">
        <v>80.040000000000006</v>
      </c>
      <c r="U580" s="2">
        <v>428.04</v>
      </c>
      <c r="W580" s="5">
        <f t="shared" si="61"/>
        <v>1</v>
      </c>
      <c r="Y580" s="2" t="s">
        <v>3256</v>
      </c>
      <c r="Z580" s="2" t="s">
        <v>46</v>
      </c>
      <c r="AA580" s="2" t="s">
        <v>61</v>
      </c>
      <c r="AB580" s="2" t="s">
        <v>58</v>
      </c>
      <c r="AE580" s="2">
        <f t="shared" si="62"/>
        <v>0</v>
      </c>
      <c r="AI580" s="2">
        <f t="shared" si="63"/>
        <v>0</v>
      </c>
      <c r="AJ580" s="2">
        <f t="shared" si="64"/>
        <v>348</v>
      </c>
      <c r="AK580" s="5">
        <f t="shared" si="60"/>
        <v>1</v>
      </c>
    </row>
    <row r="581" spans="1:37" x14ac:dyDescent="0.2">
      <c r="A581" s="2">
        <v>2025</v>
      </c>
      <c r="B581" s="2">
        <v>3</v>
      </c>
      <c r="C581" s="2" t="s">
        <v>320</v>
      </c>
      <c r="D581" s="2" t="s">
        <v>38</v>
      </c>
      <c r="E581" s="2" t="s">
        <v>39</v>
      </c>
      <c r="F581" s="2">
        <v>500883262</v>
      </c>
      <c r="G581" s="2" t="s">
        <v>40</v>
      </c>
      <c r="H581" s="2" t="s">
        <v>100</v>
      </c>
      <c r="I581" s="2" t="s">
        <v>321</v>
      </c>
      <c r="K581" s="2" t="s">
        <v>100</v>
      </c>
      <c r="L581" s="2" t="s">
        <v>81</v>
      </c>
      <c r="N581" s="2" t="s">
        <v>974</v>
      </c>
      <c r="O581" s="2" t="s">
        <v>43</v>
      </c>
      <c r="P581" s="2" t="s">
        <v>979</v>
      </c>
      <c r="Q581" s="2" t="s">
        <v>980</v>
      </c>
      <c r="R581" s="2">
        <v>20</v>
      </c>
      <c r="S581" s="2">
        <v>580</v>
      </c>
      <c r="T581" s="2">
        <v>133.4</v>
      </c>
      <c r="U581" s="2">
        <v>713.4</v>
      </c>
      <c r="W581" s="5">
        <f t="shared" si="61"/>
        <v>1</v>
      </c>
      <c r="Y581" s="2" t="s">
        <v>3256</v>
      </c>
      <c r="Z581" s="2" t="s">
        <v>46</v>
      </c>
      <c r="AA581" s="2" t="s">
        <v>61</v>
      </c>
      <c r="AB581" s="2" t="s">
        <v>58</v>
      </c>
      <c r="AE581" s="2">
        <f t="shared" si="62"/>
        <v>0</v>
      </c>
      <c r="AI581" s="2">
        <f t="shared" si="63"/>
        <v>0</v>
      </c>
      <c r="AJ581" s="2">
        <f t="shared" si="64"/>
        <v>580</v>
      </c>
      <c r="AK581" s="5">
        <f t="shared" si="60"/>
        <v>1</v>
      </c>
    </row>
    <row r="582" spans="1:37" x14ac:dyDescent="0.2">
      <c r="A582" s="2">
        <v>2025</v>
      </c>
      <c r="B582" s="2">
        <v>3</v>
      </c>
      <c r="C582" s="2" t="s">
        <v>981</v>
      </c>
      <c r="L582" s="2" t="s">
        <v>40</v>
      </c>
      <c r="O582" s="2" t="s">
        <v>188</v>
      </c>
      <c r="P582" s="2" t="s">
        <v>189</v>
      </c>
      <c r="Q582" s="2" t="s">
        <v>190</v>
      </c>
      <c r="R582" s="2">
        <v>1</v>
      </c>
      <c r="S582" s="2">
        <v>50</v>
      </c>
      <c r="T582" s="2">
        <v>11.5</v>
      </c>
      <c r="U582" s="2">
        <v>61.5</v>
      </c>
      <c r="W582" s="5">
        <f t="shared" si="61"/>
        <v>1</v>
      </c>
      <c r="Y582" s="2" t="s">
        <v>118</v>
      </c>
      <c r="Z582" s="2" t="s">
        <v>191</v>
      </c>
      <c r="AE582" s="2">
        <f t="shared" si="62"/>
        <v>0</v>
      </c>
      <c r="AI582" s="2">
        <f t="shared" si="63"/>
        <v>0</v>
      </c>
      <c r="AJ582" s="2">
        <f t="shared" si="64"/>
        <v>50</v>
      </c>
      <c r="AK582" s="5">
        <f t="shared" si="60"/>
        <v>1</v>
      </c>
    </row>
    <row r="583" spans="1:37" x14ac:dyDescent="0.2">
      <c r="A583" s="2">
        <v>2025</v>
      </c>
      <c r="B583" s="2">
        <v>3</v>
      </c>
      <c r="C583" s="2" t="s">
        <v>981</v>
      </c>
      <c r="L583" s="2" t="s">
        <v>40</v>
      </c>
      <c r="O583" s="2" t="s">
        <v>188</v>
      </c>
      <c r="P583" s="2" t="s">
        <v>192</v>
      </c>
      <c r="Q583" s="2" t="s">
        <v>191</v>
      </c>
      <c r="R583" s="2">
        <v>1</v>
      </c>
      <c r="S583" s="2">
        <v>50</v>
      </c>
      <c r="T583" s="2">
        <v>11.5</v>
      </c>
      <c r="U583" s="2">
        <v>61.5</v>
      </c>
      <c r="V583" s="2">
        <f>S583*50%</f>
        <v>25</v>
      </c>
      <c r="W583" s="5">
        <f t="shared" si="61"/>
        <v>0.5</v>
      </c>
      <c r="Y583" s="2" t="s">
        <v>118</v>
      </c>
      <c r="Z583" s="2" t="s">
        <v>191</v>
      </c>
      <c r="AE583" s="2">
        <f t="shared" si="62"/>
        <v>0</v>
      </c>
      <c r="AI583" s="2">
        <f t="shared" si="63"/>
        <v>0</v>
      </c>
      <c r="AJ583" s="2">
        <f t="shared" si="64"/>
        <v>25</v>
      </c>
      <c r="AK583" s="5">
        <f t="shared" si="60"/>
        <v>0.5</v>
      </c>
    </row>
    <row r="584" spans="1:37" x14ac:dyDescent="0.2">
      <c r="A584" s="2">
        <v>2025</v>
      </c>
      <c r="B584" s="2">
        <v>3</v>
      </c>
      <c r="C584" s="2" t="s">
        <v>982</v>
      </c>
      <c r="D584" s="2" t="s">
        <v>38</v>
      </c>
      <c r="E584" s="2" t="s">
        <v>39</v>
      </c>
      <c r="F584" s="2">
        <v>515212466</v>
      </c>
      <c r="G584" s="2" t="s">
        <v>41</v>
      </c>
      <c r="H584" s="2" t="s">
        <v>983</v>
      </c>
      <c r="I584" s="2" t="s">
        <v>984</v>
      </c>
      <c r="K584" s="2" t="s">
        <v>605</v>
      </c>
      <c r="L584" s="2" t="s">
        <v>40</v>
      </c>
      <c r="N584" s="2" t="s">
        <v>985</v>
      </c>
      <c r="O584" s="2" t="s">
        <v>115</v>
      </c>
      <c r="P584" s="2" t="s">
        <v>986</v>
      </c>
      <c r="Q584" s="2" t="s">
        <v>987</v>
      </c>
      <c r="R584" s="2">
        <v>1</v>
      </c>
      <c r="S584" s="2">
        <v>76.930000000000007</v>
      </c>
      <c r="T584" s="2">
        <v>17.693899999999999</v>
      </c>
      <c r="U584" s="2">
        <v>94.623900000000006</v>
      </c>
      <c r="V584" s="2">
        <v>38.01</v>
      </c>
      <c r="W584" s="5">
        <f t="shared" si="61"/>
        <v>0.50591446769790727</v>
      </c>
      <c r="Y584" s="2" t="s">
        <v>118</v>
      </c>
      <c r="Z584" s="2" t="s">
        <v>119</v>
      </c>
      <c r="AE584" s="2">
        <f t="shared" si="62"/>
        <v>0</v>
      </c>
      <c r="AF584" s="2">
        <f>37.85+0.16</f>
        <v>38.01</v>
      </c>
      <c r="AI584" s="2">
        <f t="shared" si="63"/>
        <v>0</v>
      </c>
      <c r="AJ584" s="2">
        <f t="shared" si="64"/>
        <v>38.920000000000009</v>
      </c>
      <c r="AK584" s="5">
        <f t="shared" si="60"/>
        <v>0.50591446769790727</v>
      </c>
    </row>
    <row r="585" spans="1:37" x14ac:dyDescent="0.2">
      <c r="A585" s="2">
        <v>2025</v>
      </c>
      <c r="B585" s="2">
        <v>3</v>
      </c>
      <c r="C585" s="2" t="s">
        <v>982</v>
      </c>
      <c r="D585" s="2" t="s">
        <v>38</v>
      </c>
      <c r="E585" s="2" t="s">
        <v>39</v>
      </c>
      <c r="F585" s="2">
        <v>515212466</v>
      </c>
      <c r="G585" s="2" t="s">
        <v>41</v>
      </c>
      <c r="H585" s="2" t="s">
        <v>983</v>
      </c>
      <c r="I585" s="2" t="s">
        <v>984</v>
      </c>
      <c r="K585" s="2" t="s">
        <v>605</v>
      </c>
      <c r="L585" s="2" t="s">
        <v>40</v>
      </c>
      <c r="N585" s="2" t="s">
        <v>985</v>
      </c>
      <c r="O585" s="2" t="s">
        <v>188</v>
      </c>
      <c r="P585" s="2" t="s">
        <v>189</v>
      </c>
      <c r="Q585" s="2" t="s">
        <v>190</v>
      </c>
      <c r="R585" s="2">
        <v>1</v>
      </c>
      <c r="S585" s="2">
        <v>195</v>
      </c>
      <c r="T585" s="2">
        <v>44.85</v>
      </c>
      <c r="U585" s="2">
        <v>239.85</v>
      </c>
      <c r="W585" s="5">
        <f t="shared" si="61"/>
        <v>1</v>
      </c>
      <c r="Y585" s="2" t="s">
        <v>118</v>
      </c>
      <c r="Z585" s="2" t="s">
        <v>191</v>
      </c>
      <c r="AE585" s="2">
        <f t="shared" si="62"/>
        <v>0</v>
      </c>
      <c r="AI585" s="2">
        <f t="shared" si="63"/>
        <v>0</v>
      </c>
      <c r="AJ585" s="2">
        <f t="shared" si="64"/>
        <v>195</v>
      </c>
      <c r="AK585" s="5">
        <f t="shared" si="60"/>
        <v>1</v>
      </c>
    </row>
    <row r="586" spans="1:37" x14ac:dyDescent="0.2">
      <c r="A586" s="2">
        <v>2025</v>
      </c>
      <c r="B586" s="2">
        <v>3</v>
      </c>
      <c r="C586" s="2" t="s">
        <v>982</v>
      </c>
      <c r="D586" s="2" t="s">
        <v>38</v>
      </c>
      <c r="E586" s="2" t="s">
        <v>39</v>
      </c>
      <c r="F586" s="2">
        <v>515212466</v>
      </c>
      <c r="G586" s="2" t="s">
        <v>41</v>
      </c>
      <c r="H586" s="2" t="s">
        <v>983</v>
      </c>
      <c r="I586" s="2" t="s">
        <v>984</v>
      </c>
      <c r="K586" s="2" t="s">
        <v>605</v>
      </c>
      <c r="L586" s="2" t="s">
        <v>40</v>
      </c>
      <c r="N586" s="2" t="s">
        <v>985</v>
      </c>
      <c r="O586" s="2" t="s">
        <v>188</v>
      </c>
      <c r="P586" s="2" t="s">
        <v>192</v>
      </c>
      <c r="Q586" s="2" t="s">
        <v>191</v>
      </c>
      <c r="R586" s="2">
        <v>2</v>
      </c>
      <c r="S586" s="2">
        <v>100</v>
      </c>
      <c r="T586" s="2">
        <v>23</v>
      </c>
      <c r="U586" s="2">
        <v>123</v>
      </c>
      <c r="V586" s="2">
        <f>S586*50%</f>
        <v>50</v>
      </c>
      <c r="W586" s="5">
        <f t="shared" si="61"/>
        <v>0.5</v>
      </c>
      <c r="Y586" s="2" t="s">
        <v>118</v>
      </c>
      <c r="Z586" s="2" t="s">
        <v>191</v>
      </c>
      <c r="AE586" s="2">
        <f t="shared" si="62"/>
        <v>0</v>
      </c>
      <c r="AI586" s="2">
        <f t="shared" si="63"/>
        <v>0</v>
      </c>
      <c r="AJ586" s="2">
        <f t="shared" si="64"/>
        <v>50</v>
      </c>
      <c r="AK586" s="5">
        <f t="shared" si="60"/>
        <v>0.5</v>
      </c>
    </row>
    <row r="587" spans="1:37" x14ac:dyDescent="0.2">
      <c r="A587" s="2">
        <v>2025</v>
      </c>
      <c r="B587" s="2">
        <v>3</v>
      </c>
      <c r="C587" s="2" t="s">
        <v>333</v>
      </c>
      <c r="D587" s="2" t="s">
        <v>109</v>
      </c>
      <c r="E587" s="2" t="s">
        <v>39</v>
      </c>
      <c r="F587" s="2">
        <v>513493557</v>
      </c>
      <c r="G587" s="2" t="s">
        <v>41</v>
      </c>
      <c r="H587" s="2" t="s">
        <v>280</v>
      </c>
      <c r="I587" s="2" t="s">
        <v>334</v>
      </c>
      <c r="K587" s="2" t="s">
        <v>178</v>
      </c>
      <c r="L587" s="2" t="s">
        <v>41</v>
      </c>
      <c r="O587" s="2" t="s">
        <v>43</v>
      </c>
      <c r="P587" s="2" t="s">
        <v>66</v>
      </c>
      <c r="Q587" s="2" t="s">
        <v>67</v>
      </c>
      <c r="R587" s="2">
        <v>4</v>
      </c>
      <c r="S587" s="2">
        <v>84</v>
      </c>
      <c r="T587" s="2">
        <v>19.32</v>
      </c>
      <c r="U587" s="2">
        <v>103.32</v>
      </c>
      <c r="V587" s="2">
        <f>15.0203*R587</f>
        <v>60.081200000000003</v>
      </c>
      <c r="W587" s="5">
        <f t="shared" si="61"/>
        <v>0.28474761904761903</v>
      </c>
      <c r="Y587" s="2" t="s">
        <v>3256</v>
      </c>
      <c r="Z587" s="2" t="s">
        <v>46</v>
      </c>
      <c r="AA587" s="2" t="s">
        <v>68</v>
      </c>
      <c r="AB587" s="2" t="s">
        <v>58</v>
      </c>
      <c r="AE587" s="2">
        <f t="shared" si="62"/>
        <v>0</v>
      </c>
      <c r="AF587" s="2">
        <v>15.020300000000001</v>
      </c>
      <c r="AG587" s="2">
        <v>27.6</v>
      </c>
      <c r="AI587" s="2">
        <f t="shared" si="63"/>
        <v>0</v>
      </c>
      <c r="AJ587" s="2">
        <f t="shared" si="64"/>
        <v>23.918799999999997</v>
      </c>
      <c r="AK587" s="5">
        <f t="shared" si="60"/>
        <v>0.28474761904761903</v>
      </c>
    </row>
    <row r="588" spans="1:37" x14ac:dyDescent="0.2">
      <c r="A588" s="2">
        <v>2025</v>
      </c>
      <c r="B588" s="2">
        <v>3</v>
      </c>
      <c r="C588" s="2" t="s">
        <v>988</v>
      </c>
      <c r="O588" s="2" t="s">
        <v>43</v>
      </c>
      <c r="P588" s="2" t="s">
        <v>49</v>
      </c>
      <c r="Q588" s="2" t="s">
        <v>50</v>
      </c>
      <c r="R588" s="2">
        <v>2</v>
      </c>
      <c r="S588" s="2">
        <v>24</v>
      </c>
      <c r="T588" s="2">
        <v>5.52</v>
      </c>
      <c r="U588" s="2">
        <v>29.52</v>
      </c>
      <c r="V588" s="2">
        <f>6.6267*R588</f>
        <v>13.253399999999999</v>
      </c>
      <c r="W588" s="5">
        <f t="shared" si="61"/>
        <v>0.44777500000000003</v>
      </c>
      <c r="Y588" s="2" t="s">
        <v>3256</v>
      </c>
      <c r="Z588" s="2" t="s">
        <v>46</v>
      </c>
      <c r="AA588" s="2" t="s">
        <v>47</v>
      </c>
      <c r="AB588" s="2" t="s">
        <v>48</v>
      </c>
      <c r="AE588" s="2">
        <f t="shared" si="62"/>
        <v>0</v>
      </c>
      <c r="AF588" s="2">
        <v>6.6266999999999996</v>
      </c>
      <c r="AG588" s="2">
        <v>12</v>
      </c>
      <c r="AI588" s="2">
        <f t="shared" si="63"/>
        <v>0</v>
      </c>
      <c r="AJ588" s="2">
        <f t="shared" si="64"/>
        <v>10.746600000000001</v>
      </c>
      <c r="AK588" s="5">
        <f t="shared" si="60"/>
        <v>0.44777500000000003</v>
      </c>
    </row>
    <row r="589" spans="1:37" x14ac:dyDescent="0.2">
      <c r="A589" s="2">
        <v>2025</v>
      </c>
      <c r="B589" s="2">
        <v>3</v>
      </c>
      <c r="C589" s="2" t="s">
        <v>988</v>
      </c>
      <c r="O589" s="2" t="s">
        <v>43</v>
      </c>
      <c r="P589" s="2" t="s">
        <v>59</v>
      </c>
      <c r="Q589" s="2" t="s">
        <v>60</v>
      </c>
      <c r="R589" s="2">
        <v>100</v>
      </c>
      <c r="S589" s="2">
        <v>13</v>
      </c>
      <c r="T589" s="2">
        <v>2.99</v>
      </c>
      <c r="U589" s="2">
        <v>15.99</v>
      </c>
      <c r="V589" s="2">
        <f>0.0914*R589</f>
        <v>9.1399999999999988</v>
      </c>
      <c r="W589" s="5">
        <f t="shared" si="61"/>
        <v>0.29692307692307701</v>
      </c>
      <c r="Y589" s="2" t="s">
        <v>3256</v>
      </c>
      <c r="Z589" s="2" t="s">
        <v>46</v>
      </c>
      <c r="AA589" s="2" t="s">
        <v>61</v>
      </c>
      <c r="AB589" s="2" t="s">
        <v>58</v>
      </c>
      <c r="AE589" s="2">
        <f t="shared" si="62"/>
        <v>0</v>
      </c>
      <c r="AF589" s="2">
        <v>9.14</v>
      </c>
      <c r="AG589" s="2">
        <v>16</v>
      </c>
      <c r="AI589" s="2">
        <f t="shared" si="63"/>
        <v>0</v>
      </c>
      <c r="AJ589" s="2">
        <f t="shared" si="64"/>
        <v>3.8600000000000012</v>
      </c>
      <c r="AK589" s="5">
        <f t="shared" si="60"/>
        <v>0.29692307692307701</v>
      </c>
    </row>
    <row r="590" spans="1:37" x14ac:dyDescent="0.2">
      <c r="A590" s="2">
        <v>2025</v>
      </c>
      <c r="B590" s="2">
        <v>3</v>
      </c>
      <c r="C590" s="2" t="s">
        <v>988</v>
      </c>
      <c r="O590" s="2" t="s">
        <v>85</v>
      </c>
      <c r="P590" s="2" t="s">
        <v>271</v>
      </c>
      <c r="Q590" s="2" t="s">
        <v>272</v>
      </c>
      <c r="R590" s="2">
        <v>1</v>
      </c>
      <c r="S590" s="2">
        <v>11.9</v>
      </c>
      <c r="T590" s="2">
        <v>2.7370000000000001</v>
      </c>
      <c r="U590" s="2">
        <v>14.637</v>
      </c>
      <c r="V590" s="2">
        <v>6.86</v>
      </c>
      <c r="W590" s="5">
        <f t="shared" si="61"/>
        <v>0.42352941176470588</v>
      </c>
      <c r="Y590" s="2" t="s">
        <v>3256</v>
      </c>
      <c r="Z590" s="2" t="s">
        <v>88</v>
      </c>
      <c r="AA590" s="2" t="s">
        <v>91</v>
      </c>
      <c r="AB590" s="2" t="s">
        <v>85</v>
      </c>
      <c r="AE590" s="2">
        <f t="shared" si="62"/>
        <v>0</v>
      </c>
      <c r="AI590" s="2">
        <f t="shared" si="63"/>
        <v>0</v>
      </c>
      <c r="AJ590" s="2">
        <f t="shared" si="64"/>
        <v>5.04</v>
      </c>
      <c r="AK590" s="5">
        <f t="shared" si="60"/>
        <v>0.42352941176470588</v>
      </c>
    </row>
    <row r="591" spans="1:37" x14ac:dyDescent="0.2">
      <c r="A591" s="2">
        <v>2025</v>
      </c>
      <c r="B591" s="2">
        <v>3</v>
      </c>
      <c r="C591" s="2" t="s">
        <v>989</v>
      </c>
      <c r="D591" s="2" t="s">
        <v>109</v>
      </c>
      <c r="E591" s="2" t="s">
        <v>723</v>
      </c>
      <c r="F591" s="2">
        <v>500594309</v>
      </c>
      <c r="G591" s="2" t="s">
        <v>291</v>
      </c>
      <c r="H591" s="2" t="s">
        <v>990</v>
      </c>
      <c r="I591" s="2" t="s">
        <v>991</v>
      </c>
      <c r="K591" s="2" t="s">
        <v>294</v>
      </c>
      <c r="L591" s="2" t="s">
        <v>81</v>
      </c>
      <c r="N591" s="2" t="s">
        <v>992</v>
      </c>
      <c r="O591" s="2" t="s">
        <v>73</v>
      </c>
      <c r="P591" s="2" t="s">
        <v>74</v>
      </c>
      <c r="Q591" s="2" t="s">
        <v>75</v>
      </c>
      <c r="R591" s="2">
        <v>1</v>
      </c>
      <c r="S591" s="2">
        <v>210</v>
      </c>
      <c r="T591" s="2">
        <v>48.3</v>
      </c>
      <c r="U591" s="2">
        <v>258.3</v>
      </c>
      <c r="V591" s="2">
        <v>117.453</v>
      </c>
      <c r="W591" s="5">
        <f t="shared" si="61"/>
        <v>0.44069999999999998</v>
      </c>
      <c r="Y591" s="2" t="s">
        <v>3256</v>
      </c>
      <c r="Z591" s="2" t="s">
        <v>76</v>
      </c>
      <c r="AA591" s="2" t="s">
        <v>77</v>
      </c>
      <c r="AB591" s="2" t="s">
        <v>78</v>
      </c>
      <c r="AE591" s="2">
        <f t="shared" si="62"/>
        <v>0</v>
      </c>
      <c r="AF591" s="2">
        <v>117.453</v>
      </c>
      <c r="AG591" s="2">
        <v>220</v>
      </c>
      <c r="AI591" s="2">
        <f t="shared" si="63"/>
        <v>0</v>
      </c>
      <c r="AJ591" s="2">
        <f t="shared" si="64"/>
        <v>92.546999999999997</v>
      </c>
      <c r="AK591" s="5">
        <f t="shared" si="60"/>
        <v>0.44069999999999998</v>
      </c>
    </row>
    <row r="592" spans="1:37" x14ac:dyDescent="0.2">
      <c r="A592" s="2">
        <v>2025</v>
      </c>
      <c r="B592" s="2">
        <v>3</v>
      </c>
      <c r="C592" s="2" t="s">
        <v>989</v>
      </c>
      <c r="D592" s="2" t="s">
        <v>109</v>
      </c>
      <c r="E592" s="2" t="s">
        <v>723</v>
      </c>
      <c r="F592" s="2">
        <v>500594309</v>
      </c>
      <c r="G592" s="2" t="s">
        <v>291</v>
      </c>
      <c r="H592" s="2" t="s">
        <v>990</v>
      </c>
      <c r="I592" s="2" t="s">
        <v>991</v>
      </c>
      <c r="K592" s="2" t="s">
        <v>294</v>
      </c>
      <c r="L592" s="2" t="s">
        <v>81</v>
      </c>
      <c r="N592" s="2" t="s">
        <v>992</v>
      </c>
      <c r="O592" s="2" t="s">
        <v>94</v>
      </c>
      <c r="P592" s="2" t="s">
        <v>95</v>
      </c>
      <c r="Q592" s="2" t="s">
        <v>96</v>
      </c>
      <c r="R592" s="2">
        <v>1</v>
      </c>
      <c r="S592" s="2">
        <v>1.1399999999999999</v>
      </c>
      <c r="T592" s="2">
        <v>0.26219999999999999</v>
      </c>
      <c r="U592" s="2">
        <v>1.4021999999999999</v>
      </c>
      <c r="V592" s="2">
        <v>1.1399999999999999</v>
      </c>
      <c r="W592" s="5">
        <f t="shared" si="61"/>
        <v>0</v>
      </c>
      <c r="Y592" s="2" t="s">
        <v>3256</v>
      </c>
      <c r="Z592" s="2" t="s">
        <v>97</v>
      </c>
      <c r="AA592" s="2" t="s">
        <v>77</v>
      </c>
      <c r="AB592" s="2" t="s">
        <v>94</v>
      </c>
      <c r="AE592" s="2">
        <f t="shared" si="62"/>
        <v>0</v>
      </c>
      <c r="AF592" s="2">
        <v>1.1399999999999999</v>
      </c>
      <c r="AG592" s="2">
        <v>1.1399999999999999</v>
      </c>
      <c r="AI592" s="2">
        <f t="shared" si="63"/>
        <v>0</v>
      </c>
      <c r="AJ592" s="2">
        <f t="shared" si="64"/>
        <v>0</v>
      </c>
      <c r="AK592" s="5">
        <f t="shared" si="60"/>
        <v>0</v>
      </c>
    </row>
    <row r="593" spans="1:37" x14ac:dyDescent="0.2">
      <c r="A593" s="2">
        <v>2025</v>
      </c>
      <c r="B593" s="2">
        <v>3</v>
      </c>
      <c r="C593" s="2" t="s">
        <v>337</v>
      </c>
      <c r="D593" s="2" t="s">
        <v>109</v>
      </c>
      <c r="E593" s="2" t="s">
        <v>39</v>
      </c>
      <c r="F593" s="2">
        <v>503373494</v>
      </c>
      <c r="G593" s="2" t="s">
        <v>291</v>
      </c>
      <c r="H593" s="2" t="s">
        <v>338</v>
      </c>
      <c r="I593" s="2" t="s">
        <v>339</v>
      </c>
      <c r="J593" s="2">
        <v>965852001</v>
      </c>
      <c r="K593" s="2" t="s">
        <v>340</v>
      </c>
      <c r="O593" s="2" t="s">
        <v>153</v>
      </c>
      <c r="P593" s="2" t="s">
        <v>154</v>
      </c>
      <c r="Q593" s="2" t="s">
        <v>155</v>
      </c>
      <c r="R593" s="2">
        <v>16</v>
      </c>
      <c r="S593" s="2">
        <v>40</v>
      </c>
      <c r="T593" s="2">
        <v>9.2000000000000011</v>
      </c>
      <c r="U593" s="2">
        <v>49.2</v>
      </c>
      <c r="V593" s="2">
        <f>0.7*R593</f>
        <v>11.2</v>
      </c>
      <c r="W593" s="5">
        <f t="shared" si="61"/>
        <v>0.72</v>
      </c>
      <c r="Y593" s="2" t="s">
        <v>3256</v>
      </c>
      <c r="Z593" s="2" t="s">
        <v>156</v>
      </c>
      <c r="AA593" s="2" t="s">
        <v>155</v>
      </c>
      <c r="AB593" s="2" t="s">
        <v>153</v>
      </c>
      <c r="AE593" s="2">
        <f t="shared" si="62"/>
        <v>0</v>
      </c>
      <c r="AF593" s="2">
        <v>0.7</v>
      </c>
      <c r="AI593" s="2">
        <f t="shared" si="63"/>
        <v>0</v>
      </c>
      <c r="AJ593" s="2">
        <f t="shared" si="64"/>
        <v>28.8</v>
      </c>
      <c r="AK593" s="5">
        <f t="shared" si="60"/>
        <v>0.72</v>
      </c>
    </row>
    <row r="594" spans="1:37" x14ac:dyDescent="0.2">
      <c r="A594" s="2">
        <v>2025</v>
      </c>
      <c r="B594" s="2">
        <v>3</v>
      </c>
      <c r="C594" s="2" t="s">
        <v>337</v>
      </c>
      <c r="D594" s="2" t="s">
        <v>109</v>
      </c>
      <c r="E594" s="2" t="s">
        <v>39</v>
      </c>
      <c r="F594" s="2">
        <v>503373494</v>
      </c>
      <c r="G594" s="2" t="s">
        <v>291</v>
      </c>
      <c r="H594" s="2" t="s">
        <v>338</v>
      </c>
      <c r="I594" s="2" t="s">
        <v>339</v>
      </c>
      <c r="J594" s="2">
        <v>965852001</v>
      </c>
      <c r="K594" s="2" t="s">
        <v>340</v>
      </c>
      <c r="O594" s="2" t="s">
        <v>170</v>
      </c>
      <c r="P594" s="2" t="s">
        <v>171</v>
      </c>
      <c r="Q594" s="2" t="s">
        <v>171</v>
      </c>
      <c r="R594" s="2">
        <v>1</v>
      </c>
      <c r="S594" s="2">
        <v>5.5</v>
      </c>
      <c r="T594" s="2">
        <v>1.2649999999999999</v>
      </c>
      <c r="U594" s="2">
        <v>6.7650000000000006</v>
      </c>
      <c r="W594" s="5">
        <f t="shared" ref="W594:W625" si="65">(S594-V594)/S594</f>
        <v>1</v>
      </c>
      <c r="Y594" s="2" t="s">
        <v>170</v>
      </c>
      <c r="Z594" s="2" t="s">
        <v>170</v>
      </c>
      <c r="AE594" s="2">
        <f t="shared" si="62"/>
        <v>0</v>
      </c>
      <c r="AI594" s="2">
        <f t="shared" si="63"/>
        <v>0</v>
      </c>
      <c r="AJ594" s="2">
        <f t="shared" si="64"/>
        <v>5.5</v>
      </c>
      <c r="AK594" s="5">
        <f t="shared" ref="AK594:AK657" si="66">(S594-V594)/S594</f>
        <v>1</v>
      </c>
    </row>
    <row r="595" spans="1:37" x14ac:dyDescent="0.2">
      <c r="A595" s="2">
        <v>2025</v>
      </c>
      <c r="B595" s="2">
        <v>3</v>
      </c>
      <c r="C595" s="2" t="s">
        <v>993</v>
      </c>
      <c r="O595" s="2" t="s">
        <v>40</v>
      </c>
      <c r="P595" s="2" t="s">
        <v>994</v>
      </c>
      <c r="Q595" s="2" t="s">
        <v>995</v>
      </c>
      <c r="R595" s="2">
        <v>1</v>
      </c>
      <c r="S595" s="2">
        <v>4898</v>
      </c>
      <c r="T595" s="2">
        <v>1126.54</v>
      </c>
      <c r="U595" s="2">
        <v>6024.54</v>
      </c>
      <c r="W595" s="5">
        <f t="shared" si="65"/>
        <v>1</v>
      </c>
      <c r="Y595" s="2" t="s">
        <v>105</v>
      </c>
      <c r="Z595" s="2" t="s">
        <v>996</v>
      </c>
      <c r="AA595" s="2" t="s">
        <v>479</v>
      </c>
      <c r="AE595" s="2">
        <f t="shared" si="62"/>
        <v>0</v>
      </c>
      <c r="AI595" s="2">
        <f t="shared" si="63"/>
        <v>0</v>
      </c>
      <c r="AJ595" s="2">
        <f t="shared" si="64"/>
        <v>4898</v>
      </c>
      <c r="AK595" s="5">
        <f t="shared" si="66"/>
        <v>1</v>
      </c>
    </row>
    <row r="596" spans="1:37" x14ac:dyDescent="0.2">
      <c r="A596" s="2">
        <v>2025</v>
      </c>
      <c r="B596" s="2">
        <v>3</v>
      </c>
      <c r="C596" s="2" t="s">
        <v>750</v>
      </c>
      <c r="D596" s="2" t="s">
        <v>109</v>
      </c>
      <c r="E596" s="2" t="s">
        <v>39</v>
      </c>
      <c r="F596" s="2">
        <v>509181163</v>
      </c>
      <c r="G596" s="2" t="s">
        <v>40</v>
      </c>
      <c r="H596" s="2" t="s">
        <v>751</v>
      </c>
      <c r="I596" s="2" t="s">
        <v>752</v>
      </c>
      <c r="J596" s="2">
        <v>962372760</v>
      </c>
      <c r="K596" s="2" t="s">
        <v>202</v>
      </c>
      <c r="O596" s="2" t="s">
        <v>115</v>
      </c>
      <c r="P596" s="2" t="s">
        <v>997</v>
      </c>
      <c r="Q596" s="2" t="s">
        <v>998</v>
      </c>
      <c r="R596" s="2">
        <v>1</v>
      </c>
      <c r="S596" s="2">
        <v>363.6</v>
      </c>
      <c r="T596" s="2">
        <v>83.628000000000014</v>
      </c>
      <c r="U596" s="2">
        <v>447.22800000000012</v>
      </c>
      <c r="W596" s="5">
        <f t="shared" si="65"/>
        <v>1</v>
      </c>
      <c r="AE596" s="2">
        <f t="shared" si="62"/>
        <v>0</v>
      </c>
      <c r="AI596" s="2">
        <f t="shared" si="63"/>
        <v>0</v>
      </c>
      <c r="AJ596" s="2">
        <f t="shared" si="64"/>
        <v>363.6</v>
      </c>
      <c r="AK596" s="5">
        <f t="shared" si="66"/>
        <v>1</v>
      </c>
    </row>
    <row r="597" spans="1:37" x14ac:dyDescent="0.2">
      <c r="A597" s="2">
        <v>2025</v>
      </c>
      <c r="B597" s="2">
        <v>3</v>
      </c>
      <c r="C597" s="2" t="s">
        <v>750</v>
      </c>
      <c r="D597" s="2" t="s">
        <v>109</v>
      </c>
      <c r="E597" s="2" t="s">
        <v>39</v>
      </c>
      <c r="F597" s="2">
        <v>509181163</v>
      </c>
      <c r="G597" s="2" t="s">
        <v>40</v>
      </c>
      <c r="H597" s="2" t="s">
        <v>751</v>
      </c>
      <c r="I597" s="2" t="s">
        <v>752</v>
      </c>
      <c r="J597" s="2">
        <v>962372760</v>
      </c>
      <c r="K597" s="2" t="s">
        <v>202</v>
      </c>
      <c r="L597" s="2" t="s">
        <v>40</v>
      </c>
      <c r="O597" s="2" t="s">
        <v>188</v>
      </c>
      <c r="P597" s="2" t="s">
        <v>189</v>
      </c>
      <c r="Q597" s="2" t="s">
        <v>190</v>
      </c>
      <c r="R597" s="2">
        <v>2</v>
      </c>
      <c r="S597" s="2">
        <v>131</v>
      </c>
      <c r="T597" s="2">
        <v>30.13</v>
      </c>
      <c r="U597" s="2">
        <v>161.13</v>
      </c>
      <c r="W597" s="5">
        <f t="shared" si="65"/>
        <v>1</v>
      </c>
      <c r="Y597" s="2" t="s">
        <v>118</v>
      </c>
      <c r="Z597" s="2" t="s">
        <v>191</v>
      </c>
      <c r="AE597" s="2">
        <f t="shared" si="62"/>
        <v>0</v>
      </c>
      <c r="AI597" s="2">
        <f t="shared" si="63"/>
        <v>0</v>
      </c>
      <c r="AJ597" s="2">
        <f t="shared" si="64"/>
        <v>131</v>
      </c>
      <c r="AK597" s="5">
        <f t="shared" si="66"/>
        <v>1</v>
      </c>
    </row>
    <row r="598" spans="1:37" x14ac:dyDescent="0.2">
      <c r="A598" s="2">
        <v>2025</v>
      </c>
      <c r="B598" s="2">
        <v>3</v>
      </c>
      <c r="C598" s="2" t="s">
        <v>750</v>
      </c>
      <c r="D598" s="2" t="s">
        <v>109</v>
      </c>
      <c r="E598" s="2" t="s">
        <v>39</v>
      </c>
      <c r="F598" s="2">
        <v>509181163</v>
      </c>
      <c r="G598" s="2" t="s">
        <v>40</v>
      </c>
      <c r="H598" s="2" t="s">
        <v>751</v>
      </c>
      <c r="I598" s="2" t="s">
        <v>752</v>
      </c>
      <c r="J598" s="2">
        <v>962372760</v>
      </c>
      <c r="K598" s="2" t="s">
        <v>202</v>
      </c>
      <c r="L598" s="2" t="s">
        <v>40</v>
      </c>
      <c r="O598" s="2" t="s">
        <v>188</v>
      </c>
      <c r="P598" s="2" t="s">
        <v>192</v>
      </c>
      <c r="Q598" s="2" t="s">
        <v>191</v>
      </c>
      <c r="R598" s="2">
        <v>6</v>
      </c>
      <c r="S598" s="2">
        <v>200</v>
      </c>
      <c r="T598" s="2">
        <v>46</v>
      </c>
      <c r="U598" s="2">
        <v>246</v>
      </c>
      <c r="V598" s="2">
        <f>S598*50%</f>
        <v>100</v>
      </c>
      <c r="W598" s="5">
        <f t="shared" si="65"/>
        <v>0.5</v>
      </c>
      <c r="Y598" s="2" t="s">
        <v>118</v>
      </c>
      <c r="Z598" s="2" t="s">
        <v>191</v>
      </c>
      <c r="AE598" s="2">
        <f t="shared" si="62"/>
        <v>0</v>
      </c>
      <c r="AI598" s="2">
        <f t="shared" si="63"/>
        <v>0</v>
      </c>
      <c r="AJ598" s="2">
        <f t="shared" si="64"/>
        <v>100</v>
      </c>
      <c r="AK598" s="5">
        <f t="shared" si="66"/>
        <v>0.5</v>
      </c>
    </row>
    <row r="599" spans="1:37" x14ac:dyDescent="0.2">
      <c r="A599" s="2">
        <v>2025</v>
      </c>
      <c r="B599" s="2">
        <v>3</v>
      </c>
      <c r="C599" s="2" t="s">
        <v>750</v>
      </c>
      <c r="D599" s="2" t="s">
        <v>109</v>
      </c>
      <c r="E599" s="2" t="s">
        <v>39</v>
      </c>
      <c r="F599" s="2">
        <v>509181163</v>
      </c>
      <c r="G599" s="2" t="s">
        <v>40</v>
      </c>
      <c r="H599" s="2" t="s">
        <v>751</v>
      </c>
      <c r="I599" s="2" t="s">
        <v>752</v>
      </c>
      <c r="J599" s="2">
        <v>962372760</v>
      </c>
      <c r="K599" s="2" t="s">
        <v>202</v>
      </c>
      <c r="O599" s="2" t="s">
        <v>40</v>
      </c>
      <c r="P599" s="2" t="s">
        <v>364</v>
      </c>
      <c r="Q599" s="2" t="s">
        <v>365</v>
      </c>
      <c r="R599" s="2">
        <v>2</v>
      </c>
      <c r="S599" s="2">
        <v>194.29</v>
      </c>
      <c r="T599" s="2">
        <v>44.686700000000002</v>
      </c>
      <c r="U599" s="2">
        <v>238.97669999999999</v>
      </c>
      <c r="W599" s="5">
        <f t="shared" si="65"/>
        <v>1</v>
      </c>
      <c r="Y599" s="2" t="s">
        <v>120</v>
      </c>
      <c r="AE599" s="2">
        <f t="shared" si="62"/>
        <v>0</v>
      </c>
      <c r="AI599" s="2">
        <f t="shared" si="63"/>
        <v>0</v>
      </c>
      <c r="AJ599" s="2">
        <f t="shared" si="64"/>
        <v>194.29</v>
      </c>
      <c r="AK599" s="5">
        <f t="shared" si="66"/>
        <v>1</v>
      </c>
    </row>
    <row r="600" spans="1:37" x14ac:dyDescent="0.2">
      <c r="A600" s="2">
        <v>2025</v>
      </c>
      <c r="B600" s="2">
        <v>3</v>
      </c>
      <c r="C600" s="2" t="s">
        <v>999</v>
      </c>
      <c r="D600" s="2" t="s">
        <v>38</v>
      </c>
      <c r="E600" s="2" t="s">
        <v>39</v>
      </c>
      <c r="F600" s="2">
        <v>513796878</v>
      </c>
      <c r="G600" s="2" t="s">
        <v>40</v>
      </c>
      <c r="H600" s="2" t="s">
        <v>1000</v>
      </c>
      <c r="I600" s="2" t="s">
        <v>1001</v>
      </c>
      <c r="J600" s="2">
        <v>964159861</v>
      </c>
      <c r="K600" s="2" t="s">
        <v>202</v>
      </c>
      <c r="L600" s="2" t="s">
        <v>81</v>
      </c>
      <c r="N600" s="2" t="s">
        <v>1002</v>
      </c>
      <c r="O600" s="2" t="s">
        <v>73</v>
      </c>
      <c r="P600" s="2" t="s">
        <v>1003</v>
      </c>
      <c r="Q600" s="2" t="s">
        <v>1004</v>
      </c>
      <c r="R600" s="2">
        <v>1</v>
      </c>
      <c r="S600" s="2">
        <v>230</v>
      </c>
      <c r="T600" s="2">
        <v>52.900000000000013</v>
      </c>
      <c r="U600" s="2">
        <v>282.89999999999998</v>
      </c>
      <c r="W600" s="5">
        <f t="shared" si="65"/>
        <v>1</v>
      </c>
      <c r="Y600" s="2" t="s">
        <v>3256</v>
      </c>
      <c r="Z600" s="2" t="s">
        <v>76</v>
      </c>
      <c r="AA600" s="2" t="s">
        <v>77</v>
      </c>
      <c r="AB600" s="2" t="s">
        <v>78</v>
      </c>
      <c r="AE600" s="2">
        <f t="shared" si="62"/>
        <v>0</v>
      </c>
      <c r="AI600" s="2">
        <f t="shared" si="63"/>
        <v>0</v>
      </c>
      <c r="AJ600" s="2">
        <f t="shared" si="64"/>
        <v>230</v>
      </c>
      <c r="AK600" s="5">
        <f t="shared" si="66"/>
        <v>1</v>
      </c>
    </row>
    <row r="601" spans="1:37" x14ac:dyDescent="0.2">
      <c r="A601" s="2">
        <v>2025</v>
      </c>
      <c r="B601" s="2">
        <v>3</v>
      </c>
      <c r="C601" s="2" t="s">
        <v>999</v>
      </c>
      <c r="D601" s="2" t="s">
        <v>38</v>
      </c>
      <c r="E601" s="2" t="s">
        <v>39</v>
      </c>
      <c r="F601" s="2">
        <v>513796878</v>
      </c>
      <c r="G601" s="2" t="s">
        <v>40</v>
      </c>
      <c r="H601" s="2" t="s">
        <v>1000</v>
      </c>
      <c r="I601" s="2" t="s">
        <v>1001</v>
      </c>
      <c r="J601" s="2">
        <v>964159861</v>
      </c>
      <c r="K601" s="2" t="s">
        <v>202</v>
      </c>
      <c r="L601" s="2" t="s">
        <v>81</v>
      </c>
      <c r="N601" s="2" t="s">
        <v>1002</v>
      </c>
      <c r="O601" s="2" t="s">
        <v>94</v>
      </c>
      <c r="P601" s="2" t="s">
        <v>95</v>
      </c>
      <c r="Q601" s="2" t="s">
        <v>96</v>
      </c>
      <c r="R601" s="2">
        <v>1</v>
      </c>
      <c r="S601" s="2">
        <v>1.1399999999999999</v>
      </c>
      <c r="T601" s="2">
        <v>0.26219999999999999</v>
      </c>
      <c r="U601" s="2">
        <v>1.4021999999999999</v>
      </c>
      <c r="V601" s="2">
        <v>1.1399999999999999</v>
      </c>
      <c r="W601" s="5">
        <f t="shared" si="65"/>
        <v>0</v>
      </c>
      <c r="Y601" s="2" t="s">
        <v>3256</v>
      </c>
      <c r="Z601" s="2" t="s">
        <v>97</v>
      </c>
      <c r="AA601" s="2" t="s">
        <v>77</v>
      </c>
      <c r="AB601" s="2" t="s">
        <v>94</v>
      </c>
      <c r="AE601" s="2">
        <f t="shared" si="62"/>
        <v>0</v>
      </c>
      <c r="AF601" s="2">
        <v>1.1399999999999999</v>
      </c>
      <c r="AG601" s="2">
        <v>1.1399999999999999</v>
      </c>
      <c r="AI601" s="2">
        <f t="shared" si="63"/>
        <v>0</v>
      </c>
      <c r="AJ601" s="2">
        <f t="shared" si="64"/>
        <v>0</v>
      </c>
      <c r="AK601" s="5">
        <f t="shared" si="66"/>
        <v>0</v>
      </c>
    </row>
    <row r="602" spans="1:37" x14ac:dyDescent="0.2">
      <c r="A602" s="2">
        <v>2025</v>
      </c>
      <c r="B602" s="2">
        <v>3</v>
      </c>
      <c r="C602" s="2" t="s">
        <v>1005</v>
      </c>
      <c r="O602" s="2" t="s">
        <v>283</v>
      </c>
      <c r="P602" s="2" t="s">
        <v>1006</v>
      </c>
      <c r="Q602" s="2" t="s">
        <v>1007</v>
      </c>
      <c r="R602" s="2">
        <v>1</v>
      </c>
      <c r="S602" s="2">
        <v>99</v>
      </c>
      <c r="T602" s="2">
        <v>22.77</v>
      </c>
      <c r="U602" s="2">
        <v>121.77</v>
      </c>
      <c r="W602" s="5">
        <f t="shared" si="65"/>
        <v>1</v>
      </c>
      <c r="AE602" s="2">
        <f t="shared" si="62"/>
        <v>0</v>
      </c>
      <c r="AI602" s="2">
        <f t="shared" si="63"/>
        <v>0</v>
      </c>
      <c r="AJ602" s="2">
        <f t="shared" si="64"/>
        <v>99</v>
      </c>
      <c r="AK602" s="5">
        <f t="shared" si="66"/>
        <v>1</v>
      </c>
    </row>
    <row r="603" spans="1:37" x14ac:dyDescent="0.2">
      <c r="A603" s="2">
        <v>2025</v>
      </c>
      <c r="B603" s="2">
        <v>3</v>
      </c>
      <c r="C603" s="2" t="s">
        <v>367</v>
      </c>
      <c r="D603" s="2" t="s">
        <v>184</v>
      </c>
      <c r="E603" s="2" t="s">
        <v>368</v>
      </c>
      <c r="F603" s="2">
        <v>501423192</v>
      </c>
      <c r="G603" s="2" t="s">
        <v>40</v>
      </c>
      <c r="H603" s="2" t="s">
        <v>369</v>
      </c>
      <c r="I603" s="2" t="s">
        <v>370</v>
      </c>
      <c r="K603" s="2" t="s">
        <v>100</v>
      </c>
      <c r="L603" s="2" t="s">
        <v>81</v>
      </c>
      <c r="N603" s="2" t="s">
        <v>1008</v>
      </c>
      <c r="O603" s="2" t="s">
        <v>73</v>
      </c>
      <c r="P603" s="2" t="s">
        <v>74</v>
      </c>
      <c r="Q603" s="2" t="s">
        <v>75</v>
      </c>
      <c r="R603" s="2">
        <v>1</v>
      </c>
      <c r="S603" s="2">
        <v>210</v>
      </c>
      <c r="T603" s="2">
        <v>48.3</v>
      </c>
      <c r="U603" s="2">
        <v>258.3</v>
      </c>
      <c r="V603" s="2">
        <v>117.453</v>
      </c>
      <c r="W603" s="5">
        <f t="shared" si="65"/>
        <v>0.44069999999999998</v>
      </c>
      <c r="Y603" s="2" t="s">
        <v>3256</v>
      </c>
      <c r="Z603" s="2" t="s">
        <v>76</v>
      </c>
      <c r="AA603" s="2" t="s">
        <v>77</v>
      </c>
      <c r="AB603" s="2" t="s">
        <v>78</v>
      </c>
      <c r="AE603" s="2">
        <f t="shared" si="62"/>
        <v>0</v>
      </c>
      <c r="AF603" s="2">
        <v>117.453</v>
      </c>
      <c r="AG603" s="2">
        <v>220</v>
      </c>
      <c r="AI603" s="2">
        <f t="shared" si="63"/>
        <v>0</v>
      </c>
      <c r="AJ603" s="2">
        <f t="shared" si="64"/>
        <v>92.546999999999997</v>
      </c>
      <c r="AK603" s="5">
        <f t="shared" si="66"/>
        <v>0.44069999999999998</v>
      </c>
    </row>
    <row r="604" spans="1:37" x14ac:dyDescent="0.2">
      <c r="A604" s="2">
        <v>2025</v>
      </c>
      <c r="B604" s="2">
        <v>3</v>
      </c>
      <c r="C604" s="2" t="s">
        <v>367</v>
      </c>
      <c r="D604" s="2" t="s">
        <v>184</v>
      </c>
      <c r="E604" s="2" t="s">
        <v>368</v>
      </c>
      <c r="F604" s="2">
        <v>501423192</v>
      </c>
      <c r="G604" s="2" t="s">
        <v>40</v>
      </c>
      <c r="H604" s="2" t="s">
        <v>369</v>
      </c>
      <c r="I604" s="2" t="s">
        <v>370</v>
      </c>
      <c r="K604" s="2" t="s">
        <v>100</v>
      </c>
      <c r="L604" s="2" t="s">
        <v>81</v>
      </c>
      <c r="N604" s="2" t="s">
        <v>1008</v>
      </c>
      <c r="O604" s="2" t="s">
        <v>94</v>
      </c>
      <c r="P604" s="2" t="s">
        <v>95</v>
      </c>
      <c r="Q604" s="2" t="s">
        <v>96</v>
      </c>
      <c r="R604" s="2">
        <v>1</v>
      </c>
      <c r="S604" s="2">
        <v>1.1399999999999999</v>
      </c>
      <c r="T604" s="2">
        <v>0.26219999999999999</v>
      </c>
      <c r="U604" s="2">
        <v>1.4021999999999999</v>
      </c>
      <c r="V604" s="2">
        <v>1.1399999999999999</v>
      </c>
      <c r="W604" s="5">
        <f t="shared" si="65"/>
        <v>0</v>
      </c>
      <c r="Y604" s="2" t="s">
        <v>3256</v>
      </c>
      <c r="Z604" s="2" t="s">
        <v>97</v>
      </c>
      <c r="AA604" s="2" t="s">
        <v>77</v>
      </c>
      <c r="AB604" s="2" t="s">
        <v>94</v>
      </c>
      <c r="AE604" s="2">
        <f t="shared" si="62"/>
        <v>0</v>
      </c>
      <c r="AI604" s="2">
        <f t="shared" si="63"/>
        <v>0</v>
      </c>
      <c r="AJ604" s="2">
        <f t="shared" si="64"/>
        <v>0</v>
      </c>
      <c r="AK604" s="5">
        <f t="shared" si="66"/>
        <v>0</v>
      </c>
    </row>
    <row r="605" spans="1:37" x14ac:dyDescent="0.2">
      <c r="A605" s="2">
        <v>2025</v>
      </c>
      <c r="B605" s="2">
        <v>3</v>
      </c>
      <c r="C605" s="2" t="s">
        <v>1009</v>
      </c>
      <c r="D605" s="2" t="s">
        <v>38</v>
      </c>
      <c r="E605" s="2" t="s">
        <v>39</v>
      </c>
      <c r="F605" s="2">
        <v>510743854</v>
      </c>
      <c r="G605" s="2" t="s">
        <v>40</v>
      </c>
      <c r="H605" s="2" t="s">
        <v>1010</v>
      </c>
      <c r="I605" s="2" t="s">
        <v>1011</v>
      </c>
      <c r="J605" s="2">
        <v>917233128</v>
      </c>
      <c r="K605" s="2" t="s">
        <v>100</v>
      </c>
      <c r="L605" s="2" t="s">
        <v>40</v>
      </c>
      <c r="N605" s="2" t="s">
        <v>1012</v>
      </c>
      <c r="O605" s="2" t="s">
        <v>188</v>
      </c>
      <c r="P605" s="2" t="s">
        <v>189</v>
      </c>
      <c r="Q605" s="2" t="s">
        <v>190</v>
      </c>
      <c r="R605" s="2">
        <v>1</v>
      </c>
      <c r="S605" s="2">
        <v>50</v>
      </c>
      <c r="T605" s="2">
        <v>11.5</v>
      </c>
      <c r="U605" s="2">
        <v>61.5</v>
      </c>
      <c r="W605" s="5">
        <f t="shared" si="65"/>
        <v>1</v>
      </c>
      <c r="Y605" s="2" t="s">
        <v>118</v>
      </c>
      <c r="Z605" s="2" t="s">
        <v>191</v>
      </c>
      <c r="AE605" s="2">
        <f t="shared" si="62"/>
        <v>0</v>
      </c>
      <c r="AI605" s="2">
        <f t="shared" si="63"/>
        <v>0</v>
      </c>
      <c r="AJ605" s="2">
        <f t="shared" si="64"/>
        <v>50</v>
      </c>
      <c r="AK605" s="5">
        <f t="shared" si="66"/>
        <v>1</v>
      </c>
    </row>
    <row r="606" spans="1:37" x14ac:dyDescent="0.2">
      <c r="A606" s="2">
        <v>2025</v>
      </c>
      <c r="B606" s="2">
        <v>3</v>
      </c>
      <c r="C606" s="2" t="s">
        <v>1009</v>
      </c>
      <c r="D606" s="2" t="s">
        <v>38</v>
      </c>
      <c r="E606" s="2" t="s">
        <v>39</v>
      </c>
      <c r="F606" s="2">
        <v>510743854</v>
      </c>
      <c r="G606" s="2" t="s">
        <v>40</v>
      </c>
      <c r="H606" s="2" t="s">
        <v>1010</v>
      </c>
      <c r="I606" s="2" t="s">
        <v>1011</v>
      </c>
      <c r="J606" s="2">
        <v>917233128</v>
      </c>
      <c r="K606" s="2" t="s">
        <v>100</v>
      </c>
      <c r="L606" s="2" t="s">
        <v>40</v>
      </c>
      <c r="N606" s="2" t="s">
        <v>1012</v>
      </c>
      <c r="O606" s="2" t="s">
        <v>188</v>
      </c>
      <c r="P606" s="2" t="s">
        <v>192</v>
      </c>
      <c r="Q606" s="2" t="s">
        <v>191</v>
      </c>
      <c r="R606" s="2">
        <v>2</v>
      </c>
      <c r="S606" s="2">
        <v>100</v>
      </c>
      <c r="T606" s="2">
        <v>23</v>
      </c>
      <c r="U606" s="2">
        <v>123</v>
      </c>
      <c r="V606" s="2">
        <f>S606*50%</f>
        <v>50</v>
      </c>
      <c r="W606" s="5">
        <f t="shared" si="65"/>
        <v>0.5</v>
      </c>
      <c r="Y606" s="2" t="s">
        <v>118</v>
      </c>
      <c r="Z606" s="2" t="s">
        <v>191</v>
      </c>
      <c r="AE606" s="2">
        <f t="shared" si="62"/>
        <v>0</v>
      </c>
      <c r="AI606" s="2">
        <f t="shared" si="63"/>
        <v>0</v>
      </c>
      <c r="AJ606" s="2">
        <f t="shared" si="64"/>
        <v>50</v>
      </c>
      <c r="AK606" s="5">
        <f t="shared" si="66"/>
        <v>0.5</v>
      </c>
    </row>
    <row r="607" spans="1:37" x14ac:dyDescent="0.2">
      <c r="A607" s="2">
        <v>2025</v>
      </c>
      <c r="B607" s="2">
        <v>3</v>
      </c>
      <c r="C607" s="2" t="s">
        <v>1009</v>
      </c>
      <c r="D607" s="2" t="s">
        <v>38</v>
      </c>
      <c r="E607" s="2" t="s">
        <v>39</v>
      </c>
      <c r="F607" s="2">
        <v>510743854</v>
      </c>
      <c r="G607" s="2" t="s">
        <v>40</v>
      </c>
      <c r="H607" s="2" t="s">
        <v>1010</v>
      </c>
      <c r="I607" s="2" t="s">
        <v>1011</v>
      </c>
      <c r="J607" s="2">
        <v>917233128</v>
      </c>
      <c r="K607" s="2" t="s">
        <v>100</v>
      </c>
      <c r="L607" s="2" t="s">
        <v>40</v>
      </c>
      <c r="N607" s="2" t="s">
        <v>1012</v>
      </c>
      <c r="O607" s="2" t="s">
        <v>40</v>
      </c>
      <c r="P607" s="2" t="s">
        <v>364</v>
      </c>
      <c r="Q607" s="2" t="s">
        <v>365</v>
      </c>
      <c r="R607" s="2">
        <v>11</v>
      </c>
      <c r="S607" s="2">
        <v>141.47</v>
      </c>
      <c r="T607" s="2">
        <v>32.5381</v>
      </c>
      <c r="U607" s="2">
        <v>174.00810000000001</v>
      </c>
      <c r="W607" s="5">
        <f t="shared" si="65"/>
        <v>1</v>
      </c>
      <c r="Y607" s="2" t="s">
        <v>118</v>
      </c>
      <c r="Z607" s="2" t="s">
        <v>119</v>
      </c>
      <c r="AA607" s="2" t="s">
        <v>1013</v>
      </c>
      <c r="AE607" s="2">
        <f t="shared" si="62"/>
        <v>0</v>
      </c>
      <c r="AI607" s="2">
        <f t="shared" si="63"/>
        <v>0</v>
      </c>
      <c r="AJ607" s="2">
        <f t="shared" si="64"/>
        <v>141.47</v>
      </c>
      <c r="AK607" s="5">
        <f t="shared" si="66"/>
        <v>1</v>
      </c>
    </row>
    <row r="608" spans="1:37" x14ac:dyDescent="0.2">
      <c r="A608" s="2">
        <v>2025</v>
      </c>
      <c r="B608" s="2">
        <v>3</v>
      </c>
      <c r="C608" s="2" t="s">
        <v>771</v>
      </c>
      <c r="D608" s="2" t="s">
        <v>38</v>
      </c>
      <c r="F608" s="2">
        <v>513686231</v>
      </c>
      <c r="G608" s="2" t="s">
        <v>291</v>
      </c>
      <c r="H608" s="2" t="s">
        <v>772</v>
      </c>
      <c r="I608" s="2" t="s">
        <v>773</v>
      </c>
      <c r="K608" s="2" t="s">
        <v>484</v>
      </c>
      <c r="L608" s="2" t="s">
        <v>81</v>
      </c>
      <c r="N608" s="2" t="s">
        <v>1014</v>
      </c>
      <c r="O608" s="2" t="s">
        <v>43</v>
      </c>
      <c r="P608" s="2" t="s">
        <v>235</v>
      </c>
      <c r="Q608" s="2" t="s">
        <v>236</v>
      </c>
      <c r="R608" s="2">
        <v>3</v>
      </c>
      <c r="S608" s="2">
        <v>39.6</v>
      </c>
      <c r="T608" s="2">
        <v>9.1080000000000005</v>
      </c>
      <c r="U608" s="2">
        <v>48.707999999999998</v>
      </c>
      <c r="V608" s="2">
        <v>21.665099999999999</v>
      </c>
      <c r="W608" s="5">
        <f t="shared" si="65"/>
        <v>0.45290151515151522</v>
      </c>
      <c r="Y608" s="2" t="s">
        <v>3256</v>
      </c>
      <c r="Z608" s="2" t="s">
        <v>46</v>
      </c>
      <c r="AA608" s="2" t="s">
        <v>57</v>
      </c>
      <c r="AB608" s="2" t="s">
        <v>58</v>
      </c>
      <c r="AE608" s="2">
        <f t="shared" si="62"/>
        <v>0</v>
      </c>
      <c r="AF608" s="2">
        <v>7.2217000000000002</v>
      </c>
      <c r="AG608" s="2">
        <v>14.4</v>
      </c>
      <c r="AI608" s="2">
        <f t="shared" si="63"/>
        <v>0</v>
      </c>
      <c r="AJ608" s="2">
        <f t="shared" si="64"/>
        <v>17.934900000000003</v>
      </c>
      <c r="AK608" s="5">
        <f t="shared" si="66"/>
        <v>0.45290151515151522</v>
      </c>
    </row>
    <row r="609" spans="1:37" x14ac:dyDescent="0.2">
      <c r="A609" s="2">
        <v>2025</v>
      </c>
      <c r="B609" s="2">
        <v>3</v>
      </c>
      <c r="C609" s="2" t="s">
        <v>771</v>
      </c>
      <c r="D609" s="2" t="s">
        <v>38</v>
      </c>
      <c r="F609" s="2">
        <v>513686231</v>
      </c>
      <c r="G609" s="2" t="s">
        <v>291</v>
      </c>
      <c r="H609" s="2" t="s">
        <v>772</v>
      </c>
      <c r="I609" s="2" t="s">
        <v>773</v>
      </c>
      <c r="K609" s="2" t="s">
        <v>484</v>
      </c>
      <c r="L609" s="2" t="s">
        <v>81</v>
      </c>
      <c r="N609" s="2" t="s">
        <v>1014</v>
      </c>
      <c r="O609" s="2" t="s">
        <v>43</v>
      </c>
      <c r="P609" s="2" t="s">
        <v>237</v>
      </c>
      <c r="Q609" s="2" t="s">
        <v>238</v>
      </c>
      <c r="R609" s="2">
        <v>1</v>
      </c>
      <c r="S609" s="2">
        <v>16.2</v>
      </c>
      <c r="T609" s="2">
        <v>3.726</v>
      </c>
      <c r="U609" s="2">
        <v>19.925999999999998</v>
      </c>
      <c r="V609" s="2">
        <v>9.0749999999999993</v>
      </c>
      <c r="W609" s="5">
        <f t="shared" si="65"/>
        <v>0.43981481481481483</v>
      </c>
      <c r="Y609" s="2" t="s">
        <v>3256</v>
      </c>
      <c r="Z609" s="2" t="s">
        <v>46</v>
      </c>
      <c r="AA609" s="2" t="s">
        <v>57</v>
      </c>
      <c r="AB609" s="2" t="s">
        <v>58</v>
      </c>
      <c r="AE609" s="2">
        <f t="shared" si="62"/>
        <v>0</v>
      </c>
      <c r="AF609" s="2">
        <v>9.0749999999999993</v>
      </c>
      <c r="AI609" s="2">
        <f t="shared" si="63"/>
        <v>0</v>
      </c>
      <c r="AJ609" s="2">
        <f t="shared" si="64"/>
        <v>7.125</v>
      </c>
      <c r="AK609" s="5">
        <f t="shared" si="66"/>
        <v>0.43981481481481483</v>
      </c>
    </row>
    <row r="610" spans="1:37" x14ac:dyDescent="0.2">
      <c r="A610" s="2">
        <v>2025</v>
      </c>
      <c r="B610" s="2">
        <v>3</v>
      </c>
      <c r="C610" s="2" t="s">
        <v>771</v>
      </c>
      <c r="D610" s="2" t="s">
        <v>38</v>
      </c>
      <c r="F610" s="2">
        <v>513686231</v>
      </c>
      <c r="G610" s="2" t="s">
        <v>291</v>
      </c>
      <c r="H610" s="2" t="s">
        <v>772</v>
      </c>
      <c r="I610" s="2" t="s">
        <v>773</v>
      </c>
      <c r="K610" s="2" t="s">
        <v>484</v>
      </c>
      <c r="L610" s="2" t="s">
        <v>81</v>
      </c>
      <c r="N610" s="2" t="s">
        <v>1014</v>
      </c>
      <c r="O610" s="2" t="s">
        <v>43</v>
      </c>
      <c r="P610" s="2" t="s">
        <v>243</v>
      </c>
      <c r="Q610" s="2" t="s">
        <v>244</v>
      </c>
      <c r="R610" s="2">
        <v>3</v>
      </c>
      <c r="S610" s="2">
        <v>86.4</v>
      </c>
      <c r="T610" s="2">
        <v>19.872</v>
      </c>
      <c r="U610" s="2">
        <v>106.27200000000001</v>
      </c>
      <c r="V610" s="2">
        <v>48.674700000000001</v>
      </c>
      <c r="W610" s="5">
        <f t="shared" si="65"/>
        <v>0.43663541666666666</v>
      </c>
      <c r="Y610" s="2" t="s">
        <v>3256</v>
      </c>
      <c r="Z610" s="2" t="s">
        <v>46</v>
      </c>
      <c r="AA610" s="2" t="s">
        <v>57</v>
      </c>
      <c r="AB610" s="2" t="s">
        <v>58</v>
      </c>
      <c r="AE610" s="2">
        <f t="shared" si="62"/>
        <v>0</v>
      </c>
      <c r="AF610" s="2">
        <v>16.224900000000002</v>
      </c>
      <c r="AI610" s="2">
        <f t="shared" si="63"/>
        <v>0</v>
      </c>
      <c r="AJ610" s="2">
        <f t="shared" si="64"/>
        <v>37.725300000000004</v>
      </c>
      <c r="AK610" s="5">
        <f t="shared" si="66"/>
        <v>0.43663541666666666</v>
      </c>
    </row>
    <row r="611" spans="1:37" x14ac:dyDescent="0.2">
      <c r="A611" s="2">
        <v>2025</v>
      </c>
      <c r="B611" s="2">
        <v>3</v>
      </c>
      <c r="C611" s="2" t="s">
        <v>1015</v>
      </c>
      <c r="O611" s="2" t="s">
        <v>283</v>
      </c>
      <c r="P611" s="2" t="s">
        <v>438</v>
      </c>
      <c r="Q611" s="2" t="s">
        <v>439</v>
      </c>
      <c r="R611" s="2">
        <v>1</v>
      </c>
      <c r="S611" s="2">
        <v>595</v>
      </c>
      <c r="T611" s="2">
        <v>136.85</v>
      </c>
      <c r="U611" s="2">
        <v>731.85</v>
      </c>
      <c r="W611" s="5">
        <f t="shared" si="65"/>
        <v>1</v>
      </c>
      <c r="Y611" s="2" t="s">
        <v>105</v>
      </c>
      <c r="AE611" s="2">
        <f t="shared" si="62"/>
        <v>0</v>
      </c>
      <c r="AI611" s="2">
        <f t="shared" si="63"/>
        <v>0</v>
      </c>
      <c r="AJ611" s="2">
        <f t="shared" si="64"/>
        <v>595</v>
      </c>
      <c r="AK611" s="5">
        <f t="shared" si="66"/>
        <v>1</v>
      </c>
    </row>
    <row r="612" spans="1:37" x14ac:dyDescent="0.2">
      <c r="A612" s="2">
        <v>2025</v>
      </c>
      <c r="B612" s="2">
        <v>3</v>
      </c>
      <c r="C612" s="2" t="s">
        <v>1015</v>
      </c>
      <c r="O612" s="2" t="s">
        <v>283</v>
      </c>
      <c r="P612" s="2" t="s">
        <v>404</v>
      </c>
      <c r="Q612" s="2" t="s">
        <v>405</v>
      </c>
      <c r="R612" s="2">
        <v>4</v>
      </c>
      <c r="S612" s="2">
        <v>116</v>
      </c>
      <c r="T612" s="2">
        <v>26.68</v>
      </c>
      <c r="U612" s="2">
        <v>142.68</v>
      </c>
      <c r="W612" s="5">
        <f t="shared" si="65"/>
        <v>1</v>
      </c>
      <c r="Y612" s="2" t="s">
        <v>3256</v>
      </c>
      <c r="AE612" s="2">
        <f t="shared" si="62"/>
        <v>0</v>
      </c>
      <c r="AI612" s="2">
        <f t="shared" si="63"/>
        <v>0</v>
      </c>
      <c r="AJ612" s="2">
        <f t="shared" si="64"/>
        <v>116</v>
      </c>
      <c r="AK612" s="5">
        <f t="shared" si="66"/>
        <v>1</v>
      </c>
    </row>
    <row r="613" spans="1:37" x14ac:dyDescent="0.2">
      <c r="A613" s="2">
        <v>2025</v>
      </c>
      <c r="B613" s="2">
        <v>3</v>
      </c>
      <c r="C613" s="2" t="s">
        <v>781</v>
      </c>
      <c r="D613" s="2" t="s">
        <v>38</v>
      </c>
      <c r="E613" s="2" t="s">
        <v>39</v>
      </c>
      <c r="F613" s="2">
        <v>507324560</v>
      </c>
      <c r="G613" s="2" t="s">
        <v>40</v>
      </c>
      <c r="H613" s="2" t="s">
        <v>782</v>
      </c>
      <c r="I613" s="2" t="s">
        <v>783</v>
      </c>
      <c r="K613" s="2" t="s">
        <v>340</v>
      </c>
      <c r="L613" s="2" t="s">
        <v>40</v>
      </c>
      <c r="N613" s="2" t="s">
        <v>1016</v>
      </c>
      <c r="O613" s="2" t="s">
        <v>115</v>
      </c>
      <c r="P613" s="2" t="s">
        <v>357</v>
      </c>
      <c r="Q613" s="2" t="s">
        <v>358</v>
      </c>
      <c r="R613" s="2">
        <v>1</v>
      </c>
      <c r="S613" s="2">
        <v>518.29</v>
      </c>
      <c r="T613" s="2">
        <v>119.2067</v>
      </c>
      <c r="U613" s="2">
        <v>637.49669999999992</v>
      </c>
      <c r="V613" s="2">
        <v>246.77</v>
      </c>
      <c r="W613" s="5">
        <f t="shared" si="65"/>
        <v>0.52387659418472288</v>
      </c>
      <c r="Y613" s="2" t="s">
        <v>118</v>
      </c>
      <c r="Z613" s="2" t="s">
        <v>119</v>
      </c>
      <c r="AA613" s="2" t="s">
        <v>120</v>
      </c>
      <c r="AB613" s="2" t="s">
        <v>115</v>
      </c>
      <c r="AE613" s="2">
        <f t="shared" si="62"/>
        <v>0</v>
      </c>
      <c r="AF613" s="2">
        <v>246.77</v>
      </c>
      <c r="AI613" s="2">
        <f t="shared" si="63"/>
        <v>0</v>
      </c>
      <c r="AJ613" s="2">
        <f t="shared" si="64"/>
        <v>271.52</v>
      </c>
      <c r="AK613" s="5">
        <f t="shared" si="66"/>
        <v>0.52387659418472288</v>
      </c>
    </row>
    <row r="614" spans="1:37" x14ac:dyDescent="0.2">
      <c r="A614" s="2">
        <v>2025</v>
      </c>
      <c r="B614" s="2">
        <v>3</v>
      </c>
      <c r="C614" s="2" t="s">
        <v>781</v>
      </c>
      <c r="D614" s="2" t="s">
        <v>38</v>
      </c>
      <c r="E614" s="2" t="s">
        <v>39</v>
      </c>
      <c r="F614" s="2">
        <v>507324560</v>
      </c>
      <c r="G614" s="2" t="s">
        <v>40</v>
      </c>
      <c r="H614" s="2" t="s">
        <v>782</v>
      </c>
      <c r="I614" s="2" t="s">
        <v>783</v>
      </c>
      <c r="K614" s="2" t="s">
        <v>340</v>
      </c>
      <c r="L614" s="2" t="s">
        <v>40</v>
      </c>
      <c r="N614" s="2" t="s">
        <v>1016</v>
      </c>
      <c r="O614" s="2" t="s">
        <v>188</v>
      </c>
      <c r="P614" s="2" t="s">
        <v>189</v>
      </c>
      <c r="Q614" s="2" t="s">
        <v>190</v>
      </c>
      <c r="R614" s="2">
        <v>1</v>
      </c>
      <c r="S614" s="2">
        <v>50</v>
      </c>
      <c r="T614" s="2">
        <v>11.5</v>
      </c>
      <c r="U614" s="2">
        <v>61.5</v>
      </c>
      <c r="W614" s="5">
        <f t="shared" si="65"/>
        <v>1</v>
      </c>
      <c r="Y614" s="2" t="s">
        <v>118</v>
      </c>
      <c r="Z614" s="2" t="s">
        <v>191</v>
      </c>
      <c r="AE614" s="2">
        <f t="shared" si="62"/>
        <v>0</v>
      </c>
      <c r="AI614" s="2">
        <f t="shared" si="63"/>
        <v>0</v>
      </c>
      <c r="AJ614" s="2">
        <f t="shared" si="64"/>
        <v>50</v>
      </c>
      <c r="AK614" s="5">
        <f t="shared" si="66"/>
        <v>1</v>
      </c>
    </row>
    <row r="615" spans="1:37" x14ac:dyDescent="0.2">
      <c r="A615" s="2">
        <v>2025</v>
      </c>
      <c r="B615" s="2">
        <v>3</v>
      </c>
      <c r="C615" s="2" t="s">
        <v>781</v>
      </c>
      <c r="D615" s="2" t="s">
        <v>38</v>
      </c>
      <c r="E615" s="2" t="s">
        <v>39</v>
      </c>
      <c r="F615" s="2">
        <v>507324560</v>
      </c>
      <c r="G615" s="2" t="s">
        <v>40</v>
      </c>
      <c r="H615" s="2" t="s">
        <v>782</v>
      </c>
      <c r="I615" s="2" t="s">
        <v>783</v>
      </c>
      <c r="K615" s="2" t="s">
        <v>340</v>
      </c>
      <c r="L615" s="2" t="s">
        <v>40</v>
      </c>
      <c r="N615" s="2" t="s">
        <v>1016</v>
      </c>
      <c r="O615" s="2" t="s">
        <v>188</v>
      </c>
      <c r="P615" s="2" t="s">
        <v>192</v>
      </c>
      <c r="Q615" s="2" t="s">
        <v>191</v>
      </c>
      <c r="R615" s="2">
        <v>3</v>
      </c>
      <c r="S615" s="2">
        <v>100</v>
      </c>
      <c r="T615" s="2">
        <v>23</v>
      </c>
      <c r="U615" s="2">
        <v>123</v>
      </c>
      <c r="V615" s="2">
        <f>S615*50%</f>
        <v>50</v>
      </c>
      <c r="W615" s="5">
        <f t="shared" si="65"/>
        <v>0.5</v>
      </c>
      <c r="Y615" s="2" t="s">
        <v>118</v>
      </c>
      <c r="Z615" s="2" t="s">
        <v>191</v>
      </c>
      <c r="AE615" s="2">
        <f t="shared" si="62"/>
        <v>0</v>
      </c>
      <c r="AI615" s="2">
        <f t="shared" si="63"/>
        <v>0</v>
      </c>
      <c r="AJ615" s="2">
        <f t="shared" si="64"/>
        <v>50</v>
      </c>
      <c r="AK615" s="5">
        <f t="shared" si="66"/>
        <v>0.5</v>
      </c>
    </row>
    <row r="616" spans="1:37" x14ac:dyDescent="0.2">
      <c r="A616" s="2">
        <v>2025</v>
      </c>
      <c r="B616" s="2">
        <v>3</v>
      </c>
      <c r="C616" s="2" t="s">
        <v>1017</v>
      </c>
      <c r="L616" s="2" t="s">
        <v>41</v>
      </c>
      <c r="O616" s="2" t="s">
        <v>43</v>
      </c>
      <c r="P616" s="2" t="s">
        <v>55</v>
      </c>
      <c r="Q616" s="2" t="s">
        <v>56</v>
      </c>
      <c r="R616" s="2">
        <v>3</v>
      </c>
      <c r="S616" s="2">
        <v>54</v>
      </c>
      <c r="T616" s="2">
        <v>12.42</v>
      </c>
      <c r="U616" s="2">
        <v>66.42</v>
      </c>
      <c r="V616" s="2">
        <f>10.6*R616</f>
        <v>31.799999999999997</v>
      </c>
      <c r="W616" s="5">
        <f t="shared" si="65"/>
        <v>0.41111111111111115</v>
      </c>
      <c r="Y616" s="2" t="s">
        <v>3256</v>
      </c>
      <c r="Z616" s="2" t="s">
        <v>46</v>
      </c>
      <c r="AA616" s="2" t="s">
        <v>57</v>
      </c>
      <c r="AB616" s="2" t="s">
        <v>58</v>
      </c>
      <c r="AE616" s="2">
        <f t="shared" si="62"/>
        <v>0</v>
      </c>
      <c r="AF616" s="2">
        <v>10.6</v>
      </c>
      <c r="AG616" s="2">
        <v>18</v>
      </c>
      <c r="AI616" s="2">
        <f t="shared" si="63"/>
        <v>0</v>
      </c>
      <c r="AJ616" s="2">
        <f t="shared" si="64"/>
        <v>22.200000000000003</v>
      </c>
      <c r="AK616" s="5">
        <f t="shared" si="66"/>
        <v>0.41111111111111115</v>
      </c>
    </row>
    <row r="617" spans="1:37" x14ac:dyDescent="0.2">
      <c r="A617" s="2">
        <v>2025</v>
      </c>
      <c r="B617" s="2">
        <v>3</v>
      </c>
      <c r="C617" s="2" t="s">
        <v>1017</v>
      </c>
      <c r="L617" s="2" t="s">
        <v>41</v>
      </c>
      <c r="O617" s="2" t="s">
        <v>43</v>
      </c>
      <c r="P617" s="2" t="s">
        <v>62</v>
      </c>
      <c r="Q617" s="2" t="s">
        <v>63</v>
      </c>
      <c r="R617" s="2">
        <v>100</v>
      </c>
      <c r="S617" s="2">
        <v>12</v>
      </c>
      <c r="T617" s="2">
        <v>2.76</v>
      </c>
      <c r="U617" s="2">
        <v>14.76</v>
      </c>
      <c r="V617" s="2">
        <f>0.082*R617</f>
        <v>8.2000000000000011</v>
      </c>
      <c r="W617" s="5">
        <f t="shared" si="65"/>
        <v>0.3166666666666666</v>
      </c>
      <c r="Y617" s="2" t="s">
        <v>3256</v>
      </c>
      <c r="Z617" s="2" t="s">
        <v>46</v>
      </c>
      <c r="AA617" s="2" t="s">
        <v>61</v>
      </c>
      <c r="AB617" s="2" t="s">
        <v>58</v>
      </c>
      <c r="AE617" s="2">
        <f t="shared" si="62"/>
        <v>0</v>
      </c>
      <c r="AF617" s="2">
        <v>8.1999999999999993</v>
      </c>
      <c r="AG617" s="2">
        <v>13</v>
      </c>
      <c r="AI617" s="2">
        <f t="shared" si="63"/>
        <v>0</v>
      </c>
      <c r="AJ617" s="2">
        <f t="shared" si="64"/>
        <v>3.7999999999999989</v>
      </c>
      <c r="AK617" s="5">
        <f t="shared" si="66"/>
        <v>0.3166666666666666</v>
      </c>
    </row>
    <row r="618" spans="1:37" x14ac:dyDescent="0.2">
      <c r="A618" s="2">
        <v>2025</v>
      </c>
      <c r="B618" s="2">
        <v>3</v>
      </c>
      <c r="C618" s="2" t="s">
        <v>1017</v>
      </c>
      <c r="L618" s="2" t="s">
        <v>41</v>
      </c>
      <c r="O618" s="2" t="s">
        <v>170</v>
      </c>
      <c r="P618" s="2" t="s">
        <v>171</v>
      </c>
      <c r="Q618" s="2" t="s">
        <v>171</v>
      </c>
      <c r="R618" s="2">
        <v>1</v>
      </c>
      <c r="S618" s="2">
        <v>8</v>
      </c>
      <c r="T618" s="2">
        <v>1.84</v>
      </c>
      <c r="U618" s="2">
        <v>9.84</v>
      </c>
      <c r="W618" s="5">
        <f t="shared" si="65"/>
        <v>1</v>
      </c>
      <c r="Y618" s="2" t="s">
        <v>170</v>
      </c>
      <c r="Z618" s="2" t="s">
        <v>170</v>
      </c>
      <c r="AE618" s="2">
        <f t="shared" si="62"/>
        <v>0</v>
      </c>
      <c r="AI618" s="2">
        <f t="shared" si="63"/>
        <v>0</v>
      </c>
      <c r="AJ618" s="2">
        <f t="shared" si="64"/>
        <v>8</v>
      </c>
      <c r="AK618" s="5">
        <f t="shared" si="66"/>
        <v>1</v>
      </c>
    </row>
    <row r="619" spans="1:37" x14ac:dyDescent="0.2">
      <c r="A619" s="2">
        <v>2025</v>
      </c>
      <c r="B619" s="2">
        <v>3</v>
      </c>
      <c r="C619" s="2" t="s">
        <v>1018</v>
      </c>
      <c r="D619" s="2" t="s">
        <v>109</v>
      </c>
      <c r="E619" s="2" t="s">
        <v>39</v>
      </c>
      <c r="F619" s="2">
        <v>507063481</v>
      </c>
      <c r="G619" s="2" t="s">
        <v>291</v>
      </c>
      <c r="H619" s="2" t="s">
        <v>1019</v>
      </c>
      <c r="I619" s="2" t="s">
        <v>1020</v>
      </c>
      <c r="K619" s="2" t="s">
        <v>294</v>
      </c>
      <c r="L619" s="2" t="s">
        <v>40</v>
      </c>
      <c r="O619" s="2" t="s">
        <v>188</v>
      </c>
      <c r="P619" s="2" t="s">
        <v>189</v>
      </c>
      <c r="Q619" s="2" t="s">
        <v>190</v>
      </c>
      <c r="R619" s="2">
        <v>1</v>
      </c>
      <c r="S619" s="2">
        <v>41.25</v>
      </c>
      <c r="T619" s="2">
        <v>9.4875000000000007</v>
      </c>
      <c r="U619" s="2">
        <v>50.737499999999997</v>
      </c>
      <c r="W619" s="5">
        <f t="shared" si="65"/>
        <v>1</v>
      </c>
      <c r="Y619" s="2" t="s">
        <v>118</v>
      </c>
      <c r="Z619" s="2" t="s">
        <v>191</v>
      </c>
      <c r="AE619" s="2">
        <f t="shared" si="62"/>
        <v>0</v>
      </c>
      <c r="AI619" s="2">
        <f t="shared" si="63"/>
        <v>0</v>
      </c>
      <c r="AJ619" s="2">
        <f t="shared" si="64"/>
        <v>41.25</v>
      </c>
      <c r="AK619" s="5">
        <f t="shared" si="66"/>
        <v>1</v>
      </c>
    </row>
    <row r="620" spans="1:37" x14ac:dyDescent="0.2">
      <c r="A620" s="2">
        <v>2025</v>
      </c>
      <c r="B620" s="2">
        <v>3</v>
      </c>
      <c r="C620" s="2" t="s">
        <v>1018</v>
      </c>
      <c r="D620" s="2" t="s">
        <v>109</v>
      </c>
      <c r="E620" s="2" t="s">
        <v>39</v>
      </c>
      <c r="F620" s="2">
        <v>507063481</v>
      </c>
      <c r="G620" s="2" t="s">
        <v>291</v>
      </c>
      <c r="H620" s="2" t="s">
        <v>1019</v>
      </c>
      <c r="I620" s="2" t="s">
        <v>1020</v>
      </c>
      <c r="K620" s="2" t="s">
        <v>294</v>
      </c>
      <c r="L620" s="2" t="s">
        <v>40</v>
      </c>
      <c r="O620" s="2" t="s">
        <v>188</v>
      </c>
      <c r="P620" s="2" t="s">
        <v>192</v>
      </c>
      <c r="Q620" s="2" t="s">
        <v>191</v>
      </c>
      <c r="R620" s="2">
        <v>1</v>
      </c>
      <c r="S620" s="2">
        <v>45</v>
      </c>
      <c r="T620" s="2">
        <v>10.35</v>
      </c>
      <c r="U620" s="2">
        <v>55.35</v>
      </c>
      <c r="V620" s="2">
        <f>S620*50%</f>
        <v>22.5</v>
      </c>
      <c r="W620" s="5">
        <f t="shared" si="65"/>
        <v>0.5</v>
      </c>
      <c r="Y620" s="2" t="s">
        <v>118</v>
      </c>
      <c r="Z620" s="2" t="s">
        <v>191</v>
      </c>
      <c r="AE620" s="2">
        <f t="shared" si="62"/>
        <v>0</v>
      </c>
      <c r="AI620" s="2">
        <f t="shared" si="63"/>
        <v>0</v>
      </c>
      <c r="AJ620" s="2">
        <f t="shared" si="64"/>
        <v>22.5</v>
      </c>
      <c r="AK620" s="5">
        <f t="shared" si="66"/>
        <v>0.5</v>
      </c>
    </row>
    <row r="621" spans="1:37" x14ac:dyDescent="0.2">
      <c r="A621" s="2">
        <v>2025</v>
      </c>
      <c r="B621" s="2">
        <v>3</v>
      </c>
      <c r="C621" s="2" t="s">
        <v>1018</v>
      </c>
      <c r="D621" s="2" t="s">
        <v>109</v>
      </c>
      <c r="E621" s="2" t="s">
        <v>39</v>
      </c>
      <c r="F621" s="2">
        <v>507063481</v>
      </c>
      <c r="G621" s="2" t="s">
        <v>291</v>
      </c>
      <c r="H621" s="2" t="s">
        <v>1019</v>
      </c>
      <c r="I621" s="2" t="s">
        <v>1020</v>
      </c>
      <c r="K621" s="2" t="s">
        <v>294</v>
      </c>
      <c r="O621" s="2" t="s">
        <v>40</v>
      </c>
      <c r="P621" s="2" t="s">
        <v>364</v>
      </c>
      <c r="Q621" s="2" t="s">
        <v>365</v>
      </c>
      <c r="R621" s="2">
        <v>2</v>
      </c>
      <c r="S621" s="2">
        <v>10.8</v>
      </c>
      <c r="T621" s="2">
        <v>2.484</v>
      </c>
      <c r="U621" s="2">
        <v>13.284000000000001</v>
      </c>
      <c r="W621" s="5">
        <f t="shared" si="65"/>
        <v>1</v>
      </c>
      <c r="Y621" s="2" t="s">
        <v>120</v>
      </c>
      <c r="AE621" s="2">
        <f t="shared" si="62"/>
        <v>0</v>
      </c>
      <c r="AI621" s="2">
        <f t="shared" si="63"/>
        <v>0</v>
      </c>
      <c r="AJ621" s="2">
        <f t="shared" si="64"/>
        <v>10.8</v>
      </c>
      <c r="AK621" s="5">
        <f t="shared" si="66"/>
        <v>1</v>
      </c>
    </row>
    <row r="622" spans="1:37" x14ac:dyDescent="0.2">
      <c r="A622" s="2">
        <v>2025</v>
      </c>
      <c r="B622" s="2">
        <v>3</v>
      </c>
      <c r="C622" s="2" t="s">
        <v>1021</v>
      </c>
      <c r="L622" s="2" t="s">
        <v>40</v>
      </c>
      <c r="O622" s="2" t="s">
        <v>188</v>
      </c>
      <c r="P622" s="2" t="s">
        <v>189</v>
      </c>
      <c r="Q622" s="2" t="s">
        <v>190</v>
      </c>
      <c r="R622" s="2">
        <v>1</v>
      </c>
      <c r="S622" s="2">
        <v>50</v>
      </c>
      <c r="T622" s="2">
        <v>11.5</v>
      </c>
      <c r="U622" s="2">
        <v>61.5</v>
      </c>
      <c r="W622" s="5">
        <f t="shared" si="65"/>
        <v>1</v>
      </c>
      <c r="Y622" s="2" t="s">
        <v>118</v>
      </c>
      <c r="Z622" s="2" t="s">
        <v>191</v>
      </c>
      <c r="AE622" s="2">
        <f t="shared" si="62"/>
        <v>0</v>
      </c>
      <c r="AI622" s="2">
        <f t="shared" si="63"/>
        <v>0</v>
      </c>
      <c r="AJ622" s="2">
        <f t="shared" si="64"/>
        <v>50</v>
      </c>
      <c r="AK622" s="5">
        <f t="shared" si="66"/>
        <v>1</v>
      </c>
    </row>
    <row r="623" spans="1:37" x14ac:dyDescent="0.2">
      <c r="A623" s="2">
        <v>2025</v>
      </c>
      <c r="B623" s="2">
        <v>3</v>
      </c>
      <c r="C623" s="2" t="s">
        <v>1021</v>
      </c>
      <c r="L623" s="2" t="s">
        <v>40</v>
      </c>
      <c r="O623" s="2" t="s">
        <v>188</v>
      </c>
      <c r="P623" s="2" t="s">
        <v>192</v>
      </c>
      <c r="Q623" s="2" t="s">
        <v>191</v>
      </c>
      <c r="R623" s="2">
        <v>1</v>
      </c>
      <c r="S623" s="2">
        <v>50</v>
      </c>
      <c r="T623" s="2">
        <v>11.5</v>
      </c>
      <c r="U623" s="2">
        <v>61.5</v>
      </c>
      <c r="V623" s="2">
        <f>S623*50%</f>
        <v>25</v>
      </c>
      <c r="W623" s="5">
        <f t="shared" si="65"/>
        <v>0.5</v>
      </c>
      <c r="Y623" s="2" t="s">
        <v>118</v>
      </c>
      <c r="Z623" s="2" t="s">
        <v>191</v>
      </c>
      <c r="AE623" s="2">
        <f t="shared" si="62"/>
        <v>0</v>
      </c>
      <c r="AI623" s="2">
        <f t="shared" si="63"/>
        <v>0</v>
      </c>
      <c r="AJ623" s="2">
        <f t="shared" si="64"/>
        <v>25</v>
      </c>
      <c r="AK623" s="5">
        <f t="shared" si="66"/>
        <v>0.5</v>
      </c>
    </row>
    <row r="624" spans="1:37" x14ac:dyDescent="0.2">
      <c r="A624" s="2">
        <v>2025</v>
      </c>
      <c r="B624" s="2">
        <v>3</v>
      </c>
      <c r="C624" s="2" t="s">
        <v>794</v>
      </c>
      <c r="D624" s="2" t="s">
        <v>38</v>
      </c>
      <c r="E624" s="2" t="s">
        <v>39</v>
      </c>
      <c r="F624" s="2">
        <v>507389689</v>
      </c>
      <c r="G624" s="2" t="s">
        <v>40</v>
      </c>
      <c r="H624" s="2" t="s">
        <v>795</v>
      </c>
      <c r="I624" s="2" t="s">
        <v>796</v>
      </c>
      <c r="J624" s="2">
        <v>912216027</v>
      </c>
      <c r="K624" s="2" t="s">
        <v>294</v>
      </c>
      <c r="L624" s="2" t="s">
        <v>40</v>
      </c>
      <c r="O624" s="2" t="s">
        <v>115</v>
      </c>
      <c r="P624" s="2" t="s">
        <v>1022</v>
      </c>
      <c r="Q624" s="2" t="s">
        <v>1023</v>
      </c>
      <c r="R624" s="2">
        <v>1</v>
      </c>
      <c r="S624" s="2">
        <v>83.75</v>
      </c>
      <c r="T624" s="2">
        <v>19.262499999999999</v>
      </c>
      <c r="U624" s="2">
        <v>103.0125</v>
      </c>
      <c r="W624" s="5">
        <f t="shared" si="65"/>
        <v>1</v>
      </c>
      <c r="Y624" s="2" t="s">
        <v>118</v>
      </c>
      <c r="AE624" s="2">
        <f t="shared" si="62"/>
        <v>0</v>
      </c>
      <c r="AI624" s="2">
        <f t="shared" si="63"/>
        <v>0</v>
      </c>
      <c r="AJ624" s="2">
        <f t="shared" si="64"/>
        <v>83.75</v>
      </c>
      <c r="AK624" s="5">
        <f t="shared" si="66"/>
        <v>1</v>
      </c>
    </row>
    <row r="625" spans="1:37" x14ac:dyDescent="0.2">
      <c r="A625" s="2">
        <v>2025</v>
      </c>
      <c r="B625" s="2">
        <v>3</v>
      </c>
      <c r="C625" s="2" t="s">
        <v>419</v>
      </c>
      <c r="D625" s="2" t="s">
        <v>38</v>
      </c>
      <c r="E625" s="2" t="s">
        <v>39</v>
      </c>
      <c r="F625" s="2">
        <v>219908800</v>
      </c>
      <c r="G625" s="2" t="s">
        <v>41</v>
      </c>
      <c r="H625" s="2" t="s">
        <v>420</v>
      </c>
      <c r="I625" s="2" t="s">
        <v>421</v>
      </c>
      <c r="K625" s="2" t="s">
        <v>422</v>
      </c>
      <c r="L625" s="2" t="s">
        <v>41</v>
      </c>
      <c r="O625" s="2" t="s">
        <v>43</v>
      </c>
      <c r="P625" s="2" t="s">
        <v>335</v>
      </c>
      <c r="Q625" s="2" t="s">
        <v>336</v>
      </c>
      <c r="R625" s="2">
        <v>8</v>
      </c>
      <c r="S625" s="2">
        <v>24</v>
      </c>
      <c r="T625" s="2">
        <v>5.52</v>
      </c>
      <c r="U625" s="2">
        <v>29.52</v>
      </c>
      <c r="V625" s="2">
        <f>1.1122*R625</f>
        <v>8.8976000000000006</v>
      </c>
      <c r="W625" s="5">
        <f t="shared" si="65"/>
        <v>0.62926666666666664</v>
      </c>
      <c r="Y625" s="2" t="s">
        <v>3256</v>
      </c>
      <c r="Z625" s="2" t="s">
        <v>46</v>
      </c>
      <c r="AA625" s="2" t="s">
        <v>61</v>
      </c>
      <c r="AB625" s="2" t="s">
        <v>58</v>
      </c>
      <c r="AE625" s="2">
        <f t="shared" si="62"/>
        <v>0</v>
      </c>
      <c r="AF625" s="2">
        <v>1.1122000000000001</v>
      </c>
      <c r="AG625" s="2">
        <v>3</v>
      </c>
      <c r="AI625" s="2">
        <f t="shared" si="63"/>
        <v>0</v>
      </c>
      <c r="AJ625" s="2">
        <f t="shared" si="64"/>
        <v>15.102399999999999</v>
      </c>
      <c r="AK625" s="5">
        <f t="shared" si="66"/>
        <v>0.62926666666666664</v>
      </c>
    </row>
    <row r="626" spans="1:37" x14ac:dyDescent="0.2">
      <c r="A626" s="2">
        <v>2025</v>
      </c>
      <c r="B626" s="2">
        <v>3</v>
      </c>
      <c r="C626" s="2" t="s">
        <v>1024</v>
      </c>
      <c r="O626" s="2" t="s">
        <v>43</v>
      </c>
      <c r="P626" s="2" t="s">
        <v>165</v>
      </c>
      <c r="Q626" s="2" t="s">
        <v>166</v>
      </c>
      <c r="R626" s="2">
        <v>2</v>
      </c>
      <c r="S626" s="2">
        <v>30</v>
      </c>
      <c r="T626" s="2">
        <v>6.9</v>
      </c>
      <c r="U626" s="2">
        <v>36.9</v>
      </c>
      <c r="V626" s="2">
        <f>7.9612*R626</f>
        <v>15.9224</v>
      </c>
      <c r="W626" s="5">
        <f t="shared" ref="W626:W634" si="67">(S626-V626)/S626</f>
        <v>0.46925333333333336</v>
      </c>
      <c r="Y626" s="2" t="s">
        <v>3256</v>
      </c>
      <c r="Z626" s="2" t="s">
        <v>46</v>
      </c>
      <c r="AA626" s="2" t="s">
        <v>68</v>
      </c>
      <c r="AB626" s="2" t="s">
        <v>58</v>
      </c>
      <c r="AE626" s="2">
        <f t="shared" si="62"/>
        <v>0</v>
      </c>
      <c r="AF626" s="2">
        <v>7.9611999999999998</v>
      </c>
      <c r="AG626" s="2">
        <v>14.4</v>
      </c>
      <c r="AI626" s="2">
        <f t="shared" si="63"/>
        <v>0</v>
      </c>
      <c r="AJ626" s="2">
        <f t="shared" si="64"/>
        <v>14.0776</v>
      </c>
      <c r="AK626" s="5">
        <f t="shared" si="66"/>
        <v>0.46925333333333336</v>
      </c>
    </row>
    <row r="627" spans="1:37" x14ac:dyDescent="0.2">
      <c r="A627" s="2">
        <v>2025</v>
      </c>
      <c r="B627" s="2">
        <v>3</v>
      </c>
      <c r="C627" s="2" t="s">
        <v>426</v>
      </c>
      <c r="D627" s="2" t="s">
        <v>99</v>
      </c>
      <c r="E627" s="2" t="s">
        <v>39</v>
      </c>
      <c r="F627" s="2">
        <v>503523470</v>
      </c>
      <c r="G627" s="2" t="s">
        <v>40</v>
      </c>
      <c r="H627" s="2" t="s">
        <v>427</v>
      </c>
      <c r="I627" s="2" t="s">
        <v>428</v>
      </c>
      <c r="K627" s="2" t="s">
        <v>202</v>
      </c>
      <c r="L627" s="2" t="s">
        <v>81</v>
      </c>
      <c r="O627" s="2" t="s">
        <v>43</v>
      </c>
      <c r="P627" s="2" t="s">
        <v>55</v>
      </c>
      <c r="Q627" s="2" t="s">
        <v>56</v>
      </c>
      <c r="R627" s="2">
        <v>1</v>
      </c>
      <c r="S627" s="2">
        <v>18</v>
      </c>
      <c r="T627" s="2">
        <v>4.1400000000000006</v>
      </c>
      <c r="U627" s="2">
        <v>22.14</v>
      </c>
      <c r="V627" s="2">
        <f>10.6*R627</f>
        <v>10.6</v>
      </c>
      <c r="W627" s="5">
        <f t="shared" si="67"/>
        <v>0.41111111111111115</v>
      </c>
      <c r="Y627" s="2" t="s">
        <v>3256</v>
      </c>
      <c r="Z627" s="2" t="s">
        <v>46</v>
      </c>
      <c r="AA627" s="2" t="s">
        <v>57</v>
      </c>
      <c r="AB627" s="2" t="s">
        <v>58</v>
      </c>
      <c r="AE627" s="2">
        <f t="shared" si="62"/>
        <v>0</v>
      </c>
      <c r="AF627" s="2">
        <v>10.6</v>
      </c>
      <c r="AG627" s="2">
        <v>18</v>
      </c>
      <c r="AI627" s="2">
        <f t="shared" si="63"/>
        <v>0</v>
      </c>
      <c r="AJ627" s="2">
        <f t="shared" si="64"/>
        <v>7.4</v>
      </c>
      <c r="AK627" s="5">
        <f t="shared" si="66"/>
        <v>0.41111111111111115</v>
      </c>
    </row>
    <row r="628" spans="1:37" x14ac:dyDescent="0.2">
      <c r="A628" s="2">
        <v>2025</v>
      </c>
      <c r="B628" s="2">
        <v>3</v>
      </c>
      <c r="C628" s="2" t="s">
        <v>426</v>
      </c>
      <c r="D628" s="2" t="s">
        <v>99</v>
      </c>
      <c r="E628" s="2" t="s">
        <v>39</v>
      </c>
      <c r="F628" s="2">
        <v>503523470</v>
      </c>
      <c r="G628" s="2" t="s">
        <v>40</v>
      </c>
      <c r="H628" s="2" t="s">
        <v>427</v>
      </c>
      <c r="I628" s="2" t="s">
        <v>428</v>
      </c>
      <c r="K628" s="2" t="s">
        <v>202</v>
      </c>
      <c r="L628" s="2" t="s">
        <v>81</v>
      </c>
      <c r="O628" s="2" t="s">
        <v>43</v>
      </c>
      <c r="P628" s="2" t="s">
        <v>66</v>
      </c>
      <c r="Q628" s="2" t="s">
        <v>67</v>
      </c>
      <c r="R628" s="2">
        <v>1</v>
      </c>
      <c r="S628" s="2">
        <v>22</v>
      </c>
      <c r="T628" s="2">
        <v>5.0599999999999996</v>
      </c>
      <c r="U628" s="2">
        <v>27.06</v>
      </c>
      <c r="V628" s="2">
        <f>15.0203*R628</f>
        <v>15.020300000000001</v>
      </c>
      <c r="W628" s="5">
        <f t="shared" si="67"/>
        <v>0.31725909090909088</v>
      </c>
      <c r="Y628" s="2" t="s">
        <v>3256</v>
      </c>
      <c r="Z628" s="2" t="s">
        <v>46</v>
      </c>
      <c r="AA628" s="2" t="s">
        <v>68</v>
      </c>
      <c r="AB628" s="2" t="s">
        <v>58</v>
      </c>
      <c r="AE628" s="2">
        <f t="shared" si="62"/>
        <v>0</v>
      </c>
      <c r="AF628" s="2">
        <v>15.020300000000001</v>
      </c>
      <c r="AG628" s="2">
        <v>27.6</v>
      </c>
      <c r="AI628" s="2">
        <f t="shared" si="63"/>
        <v>0</v>
      </c>
      <c r="AJ628" s="2">
        <f t="shared" si="64"/>
        <v>6.9796999999999993</v>
      </c>
      <c r="AK628" s="5">
        <f t="shared" si="66"/>
        <v>0.31725909090909088</v>
      </c>
    </row>
    <row r="629" spans="1:37" x14ac:dyDescent="0.2">
      <c r="A629" s="2">
        <v>2025</v>
      </c>
      <c r="B629" s="2">
        <v>3</v>
      </c>
      <c r="C629" s="2" t="s">
        <v>819</v>
      </c>
      <c r="D629" s="2" t="s">
        <v>38</v>
      </c>
      <c r="E629" s="2" t="s">
        <v>39</v>
      </c>
      <c r="F629" s="2" t="s">
        <v>820</v>
      </c>
      <c r="G629" s="2" t="s">
        <v>41</v>
      </c>
      <c r="H629" s="2" t="s">
        <v>632</v>
      </c>
      <c r="K629" s="2" t="s">
        <v>632</v>
      </c>
      <c r="L629" s="2" t="s">
        <v>41</v>
      </c>
      <c r="N629" s="2" t="s">
        <v>1025</v>
      </c>
      <c r="O629" s="2" t="s">
        <v>43</v>
      </c>
      <c r="P629" s="2" t="s">
        <v>866</v>
      </c>
      <c r="Q629" s="2" t="s">
        <v>867</v>
      </c>
      <c r="R629" s="2">
        <v>1</v>
      </c>
      <c r="S629" s="2">
        <v>16.8</v>
      </c>
      <c r="T629" s="2">
        <v>3.8639999999999999</v>
      </c>
      <c r="U629" s="2">
        <v>20.664000000000001</v>
      </c>
      <c r="W629" s="5">
        <f t="shared" si="67"/>
        <v>1</v>
      </c>
      <c r="Y629" s="2" t="s">
        <v>3256</v>
      </c>
      <c r="Z629" s="2" t="s">
        <v>46</v>
      </c>
      <c r="AA629" s="2" t="s">
        <v>47</v>
      </c>
      <c r="AB629" s="2" t="s">
        <v>48</v>
      </c>
      <c r="AE629" s="2">
        <f t="shared" si="62"/>
        <v>0</v>
      </c>
      <c r="AI629" s="2">
        <f t="shared" si="63"/>
        <v>0</v>
      </c>
      <c r="AJ629" s="2">
        <f t="shared" si="64"/>
        <v>16.8</v>
      </c>
      <c r="AK629" s="5">
        <f t="shared" si="66"/>
        <v>1</v>
      </c>
    </row>
    <row r="630" spans="1:37" x14ac:dyDescent="0.2">
      <c r="A630" s="2">
        <v>2025</v>
      </c>
      <c r="B630" s="2">
        <v>3</v>
      </c>
      <c r="C630" s="2" t="s">
        <v>819</v>
      </c>
      <c r="D630" s="2" t="s">
        <v>38</v>
      </c>
      <c r="E630" s="2" t="s">
        <v>39</v>
      </c>
      <c r="F630" s="2" t="s">
        <v>820</v>
      </c>
      <c r="G630" s="2" t="s">
        <v>41</v>
      </c>
      <c r="H630" s="2" t="s">
        <v>632</v>
      </c>
      <c r="K630" s="2" t="s">
        <v>632</v>
      </c>
      <c r="L630" s="2" t="s">
        <v>41</v>
      </c>
      <c r="N630" s="2" t="s">
        <v>1025</v>
      </c>
      <c r="O630" s="2" t="s">
        <v>43</v>
      </c>
      <c r="P630" s="2" t="s">
        <v>66</v>
      </c>
      <c r="Q630" s="2" t="s">
        <v>67</v>
      </c>
      <c r="R630" s="2">
        <v>1</v>
      </c>
      <c r="S630" s="2">
        <v>21.5</v>
      </c>
      <c r="T630" s="2">
        <v>4.9450000000000003</v>
      </c>
      <c r="U630" s="2">
        <v>26.445</v>
      </c>
      <c r="V630" s="2">
        <f>15.0203*R630</f>
        <v>15.020300000000001</v>
      </c>
      <c r="W630" s="5">
        <f t="shared" si="67"/>
        <v>0.30138139534883718</v>
      </c>
      <c r="Y630" s="2" t="s">
        <v>3256</v>
      </c>
      <c r="Z630" s="2" t="s">
        <v>46</v>
      </c>
      <c r="AA630" s="2" t="s">
        <v>68</v>
      </c>
      <c r="AB630" s="2" t="s">
        <v>58</v>
      </c>
      <c r="AE630" s="2">
        <f t="shared" si="62"/>
        <v>0</v>
      </c>
      <c r="AF630" s="2">
        <v>15.020300000000001</v>
      </c>
      <c r="AG630" s="2">
        <v>27.6</v>
      </c>
      <c r="AI630" s="2">
        <f t="shared" si="63"/>
        <v>0</v>
      </c>
      <c r="AJ630" s="2">
        <f t="shared" si="64"/>
        <v>6.4796999999999993</v>
      </c>
      <c r="AK630" s="5">
        <f t="shared" si="66"/>
        <v>0.30138139534883718</v>
      </c>
    </row>
    <row r="631" spans="1:37" x14ac:dyDescent="0.2">
      <c r="A631" s="2">
        <v>2025</v>
      </c>
      <c r="B631" s="2">
        <v>3</v>
      </c>
      <c r="C631" s="2" t="s">
        <v>1026</v>
      </c>
      <c r="D631" s="2" t="s">
        <v>38</v>
      </c>
      <c r="E631" s="2" t="s">
        <v>39</v>
      </c>
      <c r="F631" s="2">
        <v>505647338</v>
      </c>
      <c r="G631" s="2" t="s">
        <v>291</v>
      </c>
      <c r="H631" s="2" t="s">
        <v>1027</v>
      </c>
      <c r="I631" s="2" t="s">
        <v>1028</v>
      </c>
      <c r="K631" s="2" t="s">
        <v>294</v>
      </c>
      <c r="L631" s="2" t="s">
        <v>81</v>
      </c>
      <c r="N631" s="2" t="s">
        <v>1029</v>
      </c>
      <c r="O631" s="2" t="s">
        <v>73</v>
      </c>
      <c r="P631" s="2" t="s">
        <v>74</v>
      </c>
      <c r="Q631" s="2" t="s">
        <v>75</v>
      </c>
      <c r="R631" s="2">
        <v>2</v>
      </c>
      <c r="S631" s="2">
        <v>420</v>
      </c>
      <c r="T631" s="2">
        <v>96.600000000000009</v>
      </c>
      <c r="U631" s="2">
        <v>516.6</v>
      </c>
      <c r="V631" s="2">
        <v>234.90600000000001</v>
      </c>
      <c r="W631" s="5">
        <f t="shared" si="67"/>
        <v>0.44069999999999998</v>
      </c>
      <c r="Y631" s="2" t="s">
        <v>3256</v>
      </c>
      <c r="Z631" s="2" t="s">
        <v>76</v>
      </c>
      <c r="AA631" s="2" t="s">
        <v>77</v>
      </c>
      <c r="AB631" s="2" t="s">
        <v>78</v>
      </c>
      <c r="AE631" s="2">
        <f t="shared" si="62"/>
        <v>0</v>
      </c>
      <c r="AF631" s="2">
        <v>117.453</v>
      </c>
      <c r="AG631" s="2">
        <v>220</v>
      </c>
      <c r="AI631" s="2">
        <f t="shared" si="63"/>
        <v>0</v>
      </c>
      <c r="AJ631" s="2">
        <f t="shared" si="64"/>
        <v>185.09399999999999</v>
      </c>
      <c r="AK631" s="5">
        <f t="shared" si="66"/>
        <v>0.44069999999999998</v>
      </c>
    </row>
    <row r="632" spans="1:37" x14ac:dyDescent="0.2">
      <c r="A632" s="2">
        <v>2025</v>
      </c>
      <c r="B632" s="2">
        <v>3</v>
      </c>
      <c r="C632" s="2" t="s">
        <v>1026</v>
      </c>
      <c r="D632" s="2" t="s">
        <v>38</v>
      </c>
      <c r="E632" s="2" t="s">
        <v>39</v>
      </c>
      <c r="F632" s="2">
        <v>505647338</v>
      </c>
      <c r="G632" s="2" t="s">
        <v>291</v>
      </c>
      <c r="H632" s="2" t="s">
        <v>1027</v>
      </c>
      <c r="I632" s="2" t="s">
        <v>1028</v>
      </c>
      <c r="K632" s="2" t="s">
        <v>294</v>
      </c>
      <c r="L632" s="2" t="s">
        <v>81</v>
      </c>
      <c r="N632" s="2" t="s">
        <v>1029</v>
      </c>
      <c r="O632" s="2" t="s">
        <v>94</v>
      </c>
      <c r="P632" s="2" t="s">
        <v>95</v>
      </c>
      <c r="Q632" s="2" t="s">
        <v>96</v>
      </c>
      <c r="R632" s="2">
        <v>2</v>
      </c>
      <c r="S632" s="2">
        <v>2.2799999999999998</v>
      </c>
      <c r="T632" s="2">
        <v>0.52439999999999998</v>
      </c>
      <c r="U632" s="2">
        <v>2.8043999999999998</v>
      </c>
      <c r="V632" s="2">
        <v>2.2799999999999998</v>
      </c>
      <c r="W632" s="5">
        <f t="shared" si="67"/>
        <v>0</v>
      </c>
      <c r="Y632" s="2" t="s">
        <v>3256</v>
      </c>
      <c r="Z632" s="2" t="s">
        <v>97</v>
      </c>
      <c r="AA632" s="2" t="s">
        <v>77</v>
      </c>
      <c r="AB632" s="2" t="s">
        <v>94</v>
      </c>
      <c r="AE632" s="2">
        <f t="shared" si="62"/>
        <v>0</v>
      </c>
      <c r="AF632" s="2">
        <v>1.1399999999999999</v>
      </c>
      <c r="AG632" s="2">
        <v>1.1399999999999999</v>
      </c>
      <c r="AI632" s="2">
        <f t="shared" si="63"/>
        <v>0</v>
      </c>
      <c r="AJ632" s="2">
        <f t="shared" si="64"/>
        <v>0</v>
      </c>
      <c r="AK632" s="5">
        <f t="shared" si="66"/>
        <v>0</v>
      </c>
    </row>
    <row r="633" spans="1:37" x14ac:dyDescent="0.2">
      <c r="A633" s="2">
        <v>2025</v>
      </c>
      <c r="B633" s="2">
        <v>3</v>
      </c>
      <c r="C633" s="2" t="s">
        <v>1030</v>
      </c>
      <c r="L633" s="2" t="s">
        <v>40</v>
      </c>
      <c r="O633" s="2" t="s">
        <v>115</v>
      </c>
      <c r="P633" s="2" t="s">
        <v>180</v>
      </c>
      <c r="Q633" s="2" t="s">
        <v>181</v>
      </c>
      <c r="R633" s="2">
        <v>1</v>
      </c>
      <c r="S633" s="2">
        <v>690.61</v>
      </c>
      <c r="T633" s="2">
        <v>158.84030000000001</v>
      </c>
      <c r="U633" s="2">
        <v>849.45029999999997</v>
      </c>
      <c r="V633" s="2">
        <v>346.57</v>
      </c>
      <c r="W633" s="5">
        <f t="shared" si="67"/>
        <v>0.49816828600802193</v>
      </c>
      <c r="Y633" s="2" t="s">
        <v>118</v>
      </c>
      <c r="Z633" s="2" t="s">
        <v>182</v>
      </c>
      <c r="AE633" s="2">
        <f t="shared" si="62"/>
        <v>0</v>
      </c>
      <c r="AI633" s="2">
        <f t="shared" si="63"/>
        <v>0</v>
      </c>
      <c r="AJ633" s="2">
        <f t="shared" si="64"/>
        <v>344.04</v>
      </c>
      <c r="AK633" s="5">
        <f t="shared" si="66"/>
        <v>0.49816828600802193</v>
      </c>
    </row>
    <row r="634" spans="1:37" x14ac:dyDescent="0.2">
      <c r="A634" s="2">
        <v>2025</v>
      </c>
      <c r="B634" s="2">
        <v>3</v>
      </c>
      <c r="C634" s="2" t="s">
        <v>1030</v>
      </c>
      <c r="L634" s="2" t="s">
        <v>40</v>
      </c>
      <c r="O634" s="2" t="s">
        <v>188</v>
      </c>
      <c r="P634" s="2" t="s">
        <v>189</v>
      </c>
      <c r="Q634" s="2" t="s">
        <v>190</v>
      </c>
      <c r="R634" s="2">
        <v>1</v>
      </c>
      <c r="S634" s="2">
        <v>74</v>
      </c>
      <c r="T634" s="2">
        <v>17.02</v>
      </c>
      <c r="U634" s="2">
        <v>91.02</v>
      </c>
      <c r="W634" s="5">
        <f t="shared" si="67"/>
        <v>1</v>
      </c>
      <c r="Y634" s="2" t="s">
        <v>118</v>
      </c>
      <c r="Z634" s="2" t="s">
        <v>191</v>
      </c>
      <c r="AE634" s="2">
        <f t="shared" si="62"/>
        <v>0</v>
      </c>
      <c r="AI634" s="2">
        <f t="shared" si="63"/>
        <v>0</v>
      </c>
      <c r="AJ634" s="2">
        <f t="shared" si="64"/>
        <v>74</v>
      </c>
      <c r="AK634" s="5">
        <f t="shared" si="66"/>
        <v>1</v>
      </c>
    </row>
    <row r="635" spans="1:37" x14ac:dyDescent="0.2">
      <c r="A635" s="2">
        <v>2025</v>
      </c>
      <c r="B635" s="2">
        <v>3</v>
      </c>
      <c r="C635" s="2" t="s">
        <v>1030</v>
      </c>
      <c r="L635" s="2" t="s">
        <v>40</v>
      </c>
      <c r="O635" s="2" t="s">
        <v>188</v>
      </c>
      <c r="P635" s="2" t="s">
        <v>192</v>
      </c>
      <c r="Q635" s="2" t="s">
        <v>191</v>
      </c>
      <c r="R635" s="2">
        <v>1</v>
      </c>
      <c r="S635" s="2">
        <v>0</v>
      </c>
      <c r="T635" s="2">
        <v>0</v>
      </c>
      <c r="U635" s="2">
        <v>0</v>
      </c>
      <c r="V635" s="2">
        <f>S635*50%</f>
        <v>0</v>
      </c>
      <c r="W635" s="5">
        <v>0</v>
      </c>
      <c r="Y635" s="2" t="s">
        <v>118</v>
      </c>
      <c r="Z635" s="2" t="s">
        <v>191</v>
      </c>
      <c r="AE635" s="2">
        <f t="shared" si="62"/>
        <v>0</v>
      </c>
      <c r="AI635" s="2">
        <f t="shared" si="63"/>
        <v>0</v>
      </c>
      <c r="AJ635" s="2">
        <f t="shared" si="64"/>
        <v>0</v>
      </c>
      <c r="AK635" s="5" t="e">
        <f t="shared" si="66"/>
        <v>#DIV/0!</v>
      </c>
    </row>
    <row r="636" spans="1:37" x14ac:dyDescent="0.2">
      <c r="A636" s="2">
        <v>2025</v>
      </c>
      <c r="B636" s="2">
        <v>3</v>
      </c>
      <c r="C636" s="2" t="s">
        <v>440</v>
      </c>
      <c r="D636" s="2" t="s">
        <v>109</v>
      </c>
      <c r="E636" s="2" t="s">
        <v>378</v>
      </c>
      <c r="F636" s="2">
        <v>509350631</v>
      </c>
      <c r="G636" s="2" t="s">
        <v>291</v>
      </c>
      <c r="H636" s="2" t="s">
        <v>441</v>
      </c>
      <c r="I636" s="2" t="s">
        <v>442</v>
      </c>
      <c r="K636" s="2" t="s">
        <v>340</v>
      </c>
      <c r="L636" s="2" t="s">
        <v>81</v>
      </c>
      <c r="O636" s="2" t="s">
        <v>73</v>
      </c>
      <c r="P636" s="2" t="s">
        <v>1031</v>
      </c>
      <c r="Q636" s="2" t="s">
        <v>75</v>
      </c>
      <c r="R636" s="2">
        <v>1</v>
      </c>
      <c r="S636" s="2">
        <v>205</v>
      </c>
      <c r="T636" s="2">
        <v>47.15</v>
      </c>
      <c r="U636" s="2">
        <v>252.15</v>
      </c>
      <c r="W636" s="5">
        <f t="shared" ref="W636:W667" si="68">(S636-V636)/S636</f>
        <v>1</v>
      </c>
      <c r="Y636" s="2" t="s">
        <v>3256</v>
      </c>
      <c r="Z636" s="2" t="s">
        <v>76</v>
      </c>
      <c r="AA636" s="2" t="s">
        <v>77</v>
      </c>
      <c r="AB636" s="2" t="s">
        <v>78</v>
      </c>
      <c r="AE636" s="2">
        <f t="shared" si="62"/>
        <v>0</v>
      </c>
      <c r="AI636" s="2">
        <f t="shared" si="63"/>
        <v>0</v>
      </c>
      <c r="AJ636" s="2">
        <f t="shared" si="64"/>
        <v>205</v>
      </c>
      <c r="AK636" s="5">
        <f t="shared" si="66"/>
        <v>1</v>
      </c>
    </row>
    <row r="637" spans="1:37" x14ac:dyDescent="0.2">
      <c r="A637" s="2">
        <v>2025</v>
      </c>
      <c r="B637" s="2">
        <v>3</v>
      </c>
      <c r="C637" s="2" t="s">
        <v>440</v>
      </c>
      <c r="D637" s="2" t="s">
        <v>109</v>
      </c>
      <c r="E637" s="2" t="s">
        <v>378</v>
      </c>
      <c r="F637" s="2">
        <v>509350631</v>
      </c>
      <c r="G637" s="2" t="s">
        <v>291</v>
      </c>
      <c r="H637" s="2" t="s">
        <v>441</v>
      </c>
      <c r="I637" s="2" t="s">
        <v>442</v>
      </c>
      <c r="K637" s="2" t="s">
        <v>340</v>
      </c>
      <c r="L637" s="2" t="s">
        <v>81</v>
      </c>
      <c r="O637" s="2" t="s">
        <v>94</v>
      </c>
      <c r="P637" s="2" t="s">
        <v>95</v>
      </c>
      <c r="Q637" s="2" t="s">
        <v>96</v>
      </c>
      <c r="R637" s="2">
        <v>1</v>
      </c>
      <c r="S637" s="2">
        <v>1.1399999999999999</v>
      </c>
      <c r="T637" s="2">
        <v>0.26219999999999999</v>
      </c>
      <c r="U637" s="2">
        <v>1.4021999999999999</v>
      </c>
      <c r="V637" s="2">
        <v>1.1399999999999999</v>
      </c>
      <c r="W637" s="5">
        <f t="shared" si="68"/>
        <v>0</v>
      </c>
      <c r="Y637" s="2" t="s">
        <v>3256</v>
      </c>
      <c r="Z637" s="2" t="s">
        <v>97</v>
      </c>
      <c r="AA637" s="2" t="s">
        <v>77</v>
      </c>
      <c r="AB637" s="2" t="s">
        <v>94</v>
      </c>
      <c r="AE637" s="2">
        <f t="shared" si="62"/>
        <v>0</v>
      </c>
      <c r="AF637" s="2">
        <v>1.1399999999999999</v>
      </c>
      <c r="AG637" s="2">
        <v>1.1399999999999999</v>
      </c>
      <c r="AI637" s="2">
        <f t="shared" si="63"/>
        <v>0</v>
      </c>
      <c r="AJ637" s="2">
        <f t="shared" si="64"/>
        <v>0</v>
      </c>
      <c r="AK637" s="5">
        <f t="shared" si="66"/>
        <v>0</v>
      </c>
    </row>
    <row r="638" spans="1:37" x14ac:dyDescent="0.2">
      <c r="A638" s="2">
        <v>2025</v>
      </c>
      <c r="B638" s="2">
        <v>3</v>
      </c>
      <c r="C638" s="2" t="s">
        <v>455</v>
      </c>
      <c r="D638" s="2" t="s">
        <v>109</v>
      </c>
      <c r="E638" s="2" t="s">
        <v>39</v>
      </c>
      <c r="F638" s="2">
        <v>506085686</v>
      </c>
      <c r="G638" s="2" t="s">
        <v>40</v>
      </c>
      <c r="H638" s="2" t="s">
        <v>456</v>
      </c>
      <c r="I638" s="2" t="s">
        <v>457</v>
      </c>
      <c r="J638" s="2">
        <v>917241919</v>
      </c>
      <c r="K638" s="2" t="s">
        <v>400</v>
      </c>
      <c r="P638" s="2" t="s">
        <v>1032</v>
      </c>
      <c r="Q638" s="2" t="s">
        <v>1033</v>
      </c>
      <c r="R638" s="2">
        <v>1</v>
      </c>
      <c r="S638" s="2">
        <v>276.45</v>
      </c>
      <c r="T638" s="2">
        <v>63.583500000000001</v>
      </c>
      <c r="U638" s="2">
        <v>340.0335</v>
      </c>
      <c r="W638" s="5">
        <f t="shared" si="68"/>
        <v>1</v>
      </c>
      <c r="AE638" s="2">
        <f t="shared" si="62"/>
        <v>0</v>
      </c>
      <c r="AI638" s="2">
        <f t="shared" si="63"/>
        <v>0</v>
      </c>
      <c r="AJ638" s="2">
        <f t="shared" si="64"/>
        <v>276.45</v>
      </c>
      <c r="AK638" s="5">
        <f t="shared" si="66"/>
        <v>1</v>
      </c>
    </row>
    <row r="639" spans="1:37" x14ac:dyDescent="0.2">
      <c r="A639" s="2">
        <v>2025</v>
      </c>
      <c r="B639" s="2">
        <v>3</v>
      </c>
      <c r="C639" s="2" t="s">
        <v>455</v>
      </c>
      <c r="D639" s="2" t="s">
        <v>109</v>
      </c>
      <c r="E639" s="2" t="s">
        <v>39</v>
      </c>
      <c r="F639" s="2">
        <v>506085686</v>
      </c>
      <c r="G639" s="2" t="s">
        <v>40</v>
      </c>
      <c r="H639" s="2" t="s">
        <v>456</v>
      </c>
      <c r="I639" s="2" t="s">
        <v>457</v>
      </c>
      <c r="J639" s="2">
        <v>917241919</v>
      </c>
      <c r="K639" s="2" t="s">
        <v>400</v>
      </c>
      <c r="L639" s="2" t="s">
        <v>81</v>
      </c>
      <c r="O639" s="2" t="s">
        <v>73</v>
      </c>
      <c r="P639" s="2" t="s">
        <v>74</v>
      </c>
      <c r="Q639" s="2" t="s">
        <v>75</v>
      </c>
      <c r="R639" s="2">
        <v>1</v>
      </c>
      <c r="S639" s="2">
        <v>205</v>
      </c>
      <c r="T639" s="2">
        <v>47.15</v>
      </c>
      <c r="U639" s="2">
        <v>252.15</v>
      </c>
      <c r="V639" s="2">
        <v>117.453</v>
      </c>
      <c r="W639" s="5">
        <f t="shared" si="68"/>
        <v>0.42705853658536586</v>
      </c>
      <c r="Y639" s="2" t="s">
        <v>3256</v>
      </c>
      <c r="Z639" s="2" t="s">
        <v>76</v>
      </c>
      <c r="AA639" s="2" t="s">
        <v>77</v>
      </c>
      <c r="AB639" s="2" t="s">
        <v>78</v>
      </c>
      <c r="AE639" s="2">
        <f t="shared" si="62"/>
        <v>0</v>
      </c>
      <c r="AF639" s="2">
        <v>117.453</v>
      </c>
      <c r="AG639" s="2">
        <v>220</v>
      </c>
      <c r="AI639" s="2">
        <f t="shared" si="63"/>
        <v>0</v>
      </c>
      <c r="AJ639" s="2">
        <f t="shared" si="64"/>
        <v>87.546999999999997</v>
      </c>
      <c r="AK639" s="5">
        <f t="shared" si="66"/>
        <v>0.42705853658536586</v>
      </c>
    </row>
    <row r="640" spans="1:37" x14ac:dyDescent="0.2">
      <c r="A640" s="2">
        <v>2025</v>
      </c>
      <c r="B640" s="2">
        <v>3</v>
      </c>
      <c r="C640" s="2" t="s">
        <v>455</v>
      </c>
      <c r="D640" s="2" t="s">
        <v>109</v>
      </c>
      <c r="E640" s="2" t="s">
        <v>39</v>
      </c>
      <c r="F640" s="2">
        <v>506085686</v>
      </c>
      <c r="G640" s="2" t="s">
        <v>40</v>
      </c>
      <c r="H640" s="2" t="s">
        <v>456</v>
      </c>
      <c r="I640" s="2" t="s">
        <v>457</v>
      </c>
      <c r="J640" s="2">
        <v>917241919</v>
      </c>
      <c r="K640" s="2" t="s">
        <v>400</v>
      </c>
      <c r="L640" s="2" t="s">
        <v>40</v>
      </c>
      <c r="O640" s="2" t="s">
        <v>188</v>
      </c>
      <c r="P640" s="2" t="s">
        <v>189</v>
      </c>
      <c r="Q640" s="2" t="s">
        <v>190</v>
      </c>
      <c r="R640" s="2">
        <v>3</v>
      </c>
      <c r="S640" s="2">
        <v>144.75</v>
      </c>
      <c r="T640" s="2">
        <v>33.292499999999997</v>
      </c>
      <c r="U640" s="2">
        <v>178.04249999999999</v>
      </c>
      <c r="W640" s="5">
        <f t="shared" si="68"/>
        <v>1</v>
      </c>
      <c r="Y640" s="2" t="s">
        <v>118</v>
      </c>
      <c r="Z640" s="2" t="s">
        <v>191</v>
      </c>
      <c r="AE640" s="2">
        <f t="shared" si="62"/>
        <v>0</v>
      </c>
      <c r="AI640" s="2">
        <f t="shared" si="63"/>
        <v>0</v>
      </c>
      <c r="AJ640" s="2">
        <f t="shared" si="64"/>
        <v>144.75</v>
      </c>
      <c r="AK640" s="5">
        <f t="shared" si="66"/>
        <v>1</v>
      </c>
    </row>
    <row r="641" spans="1:37" x14ac:dyDescent="0.2">
      <c r="A641" s="2">
        <v>2025</v>
      </c>
      <c r="B641" s="2">
        <v>3</v>
      </c>
      <c r="C641" s="2" t="s">
        <v>455</v>
      </c>
      <c r="D641" s="2" t="s">
        <v>109</v>
      </c>
      <c r="E641" s="2" t="s">
        <v>39</v>
      </c>
      <c r="F641" s="2">
        <v>506085686</v>
      </c>
      <c r="G641" s="2" t="s">
        <v>40</v>
      </c>
      <c r="H641" s="2" t="s">
        <v>456</v>
      </c>
      <c r="I641" s="2" t="s">
        <v>457</v>
      </c>
      <c r="J641" s="2">
        <v>917241919</v>
      </c>
      <c r="K641" s="2" t="s">
        <v>400</v>
      </c>
      <c r="L641" s="2" t="s">
        <v>40</v>
      </c>
      <c r="O641" s="2" t="s">
        <v>188</v>
      </c>
      <c r="P641" s="2" t="s">
        <v>192</v>
      </c>
      <c r="Q641" s="2" t="s">
        <v>191</v>
      </c>
      <c r="R641" s="2">
        <v>5</v>
      </c>
      <c r="S641" s="2">
        <v>225</v>
      </c>
      <c r="T641" s="2">
        <v>51.75</v>
      </c>
      <c r="U641" s="2">
        <v>276.75</v>
      </c>
      <c r="V641" s="2">
        <f>S641*50%</f>
        <v>112.5</v>
      </c>
      <c r="W641" s="5">
        <f t="shared" si="68"/>
        <v>0.5</v>
      </c>
      <c r="Y641" s="2" t="s">
        <v>118</v>
      </c>
      <c r="Z641" s="2" t="s">
        <v>191</v>
      </c>
      <c r="AE641" s="2">
        <f t="shared" si="62"/>
        <v>0</v>
      </c>
      <c r="AI641" s="2">
        <f t="shared" si="63"/>
        <v>0</v>
      </c>
      <c r="AJ641" s="2">
        <f t="shared" si="64"/>
        <v>112.5</v>
      </c>
      <c r="AK641" s="5">
        <f t="shared" si="66"/>
        <v>0.5</v>
      </c>
    </row>
    <row r="642" spans="1:37" x14ac:dyDescent="0.2">
      <c r="A642" s="2">
        <v>2025</v>
      </c>
      <c r="B642" s="2">
        <v>3</v>
      </c>
      <c r="C642" s="2" t="s">
        <v>455</v>
      </c>
      <c r="D642" s="2" t="s">
        <v>109</v>
      </c>
      <c r="E642" s="2" t="s">
        <v>39</v>
      </c>
      <c r="F642" s="2">
        <v>506085686</v>
      </c>
      <c r="G642" s="2" t="s">
        <v>40</v>
      </c>
      <c r="H642" s="2" t="s">
        <v>456</v>
      </c>
      <c r="I642" s="2" t="s">
        <v>457</v>
      </c>
      <c r="J642" s="2">
        <v>917241919</v>
      </c>
      <c r="K642" s="2" t="s">
        <v>400</v>
      </c>
      <c r="L642" s="2" t="s">
        <v>81</v>
      </c>
      <c r="O642" s="2" t="s">
        <v>94</v>
      </c>
      <c r="P642" s="2" t="s">
        <v>95</v>
      </c>
      <c r="Q642" s="2" t="s">
        <v>96</v>
      </c>
      <c r="R642" s="2">
        <v>1</v>
      </c>
      <c r="S642" s="2">
        <v>1.1399999999999999</v>
      </c>
      <c r="T642" s="2">
        <v>0.26219999999999999</v>
      </c>
      <c r="U642" s="2">
        <v>1.4021999999999999</v>
      </c>
      <c r="V642" s="2">
        <v>1.1399999999999999</v>
      </c>
      <c r="W642" s="5">
        <f t="shared" si="68"/>
        <v>0</v>
      </c>
      <c r="Y642" s="2" t="s">
        <v>3256</v>
      </c>
      <c r="Z642" s="2" t="s">
        <v>97</v>
      </c>
      <c r="AA642" s="2" t="s">
        <v>77</v>
      </c>
      <c r="AB642" s="2" t="s">
        <v>94</v>
      </c>
      <c r="AE642" s="2">
        <f t="shared" ref="AE642:AE705" si="69">AI642</f>
        <v>0</v>
      </c>
      <c r="AI642" s="2">
        <f t="shared" ref="AI642:AI705" si="70">AH642*S642</f>
        <v>0</v>
      </c>
      <c r="AJ642" s="2">
        <f t="shared" ref="AJ642:AJ705" si="71">S642-V642</f>
        <v>0</v>
      </c>
      <c r="AK642" s="5">
        <f t="shared" si="66"/>
        <v>0</v>
      </c>
    </row>
    <row r="643" spans="1:37" x14ac:dyDescent="0.2">
      <c r="A643" s="2">
        <v>2025</v>
      </c>
      <c r="B643" s="2">
        <v>3</v>
      </c>
      <c r="C643" s="2" t="s">
        <v>828</v>
      </c>
      <c r="O643" s="2" t="s">
        <v>73</v>
      </c>
      <c r="P643" s="2" t="s">
        <v>1034</v>
      </c>
      <c r="Q643" s="2" t="s">
        <v>198</v>
      </c>
      <c r="R643" s="2">
        <v>1</v>
      </c>
      <c r="S643" s="2">
        <v>245</v>
      </c>
      <c r="T643" s="2">
        <v>56.35</v>
      </c>
      <c r="U643" s="2">
        <v>301.35000000000002</v>
      </c>
      <c r="W643" s="5">
        <f t="shared" si="68"/>
        <v>1</v>
      </c>
      <c r="Y643" s="2" t="s">
        <v>3256</v>
      </c>
      <c r="Z643" s="2" t="s">
        <v>76</v>
      </c>
      <c r="AA643" s="2" t="s">
        <v>77</v>
      </c>
      <c r="AB643" s="2" t="s">
        <v>78</v>
      </c>
      <c r="AE643" s="2">
        <f t="shared" si="69"/>
        <v>0</v>
      </c>
      <c r="AI643" s="2">
        <f t="shared" si="70"/>
        <v>0</v>
      </c>
      <c r="AJ643" s="2">
        <f t="shared" si="71"/>
        <v>245</v>
      </c>
      <c r="AK643" s="5">
        <f t="shared" si="66"/>
        <v>1</v>
      </c>
    </row>
    <row r="644" spans="1:37" x14ac:dyDescent="0.2">
      <c r="A644" s="2">
        <v>2025</v>
      </c>
      <c r="B644" s="2">
        <v>3</v>
      </c>
      <c r="C644" s="2" t="s">
        <v>828</v>
      </c>
      <c r="O644" s="2" t="s">
        <v>94</v>
      </c>
      <c r="P644" s="2" t="s">
        <v>95</v>
      </c>
      <c r="Q644" s="2" t="s">
        <v>96</v>
      </c>
      <c r="R644" s="2">
        <v>1</v>
      </c>
      <c r="S644" s="2">
        <v>1.1399999999999999</v>
      </c>
      <c r="T644" s="2">
        <v>0.26219999999999999</v>
      </c>
      <c r="U644" s="2">
        <v>1.4021999999999999</v>
      </c>
      <c r="V644" s="2">
        <v>1.1399999999999999</v>
      </c>
      <c r="W644" s="5">
        <f t="shared" si="68"/>
        <v>0</v>
      </c>
      <c r="Y644" s="2" t="s">
        <v>3256</v>
      </c>
      <c r="Z644" s="2" t="s">
        <v>97</v>
      </c>
      <c r="AA644" s="2" t="s">
        <v>77</v>
      </c>
      <c r="AB644" s="2" t="s">
        <v>94</v>
      </c>
      <c r="AE644" s="2">
        <f t="shared" si="69"/>
        <v>0</v>
      </c>
      <c r="AI644" s="2">
        <f t="shared" si="70"/>
        <v>0</v>
      </c>
      <c r="AJ644" s="2">
        <f t="shared" si="71"/>
        <v>0</v>
      </c>
      <c r="AK644" s="5">
        <f t="shared" si="66"/>
        <v>0</v>
      </c>
    </row>
    <row r="645" spans="1:37" x14ac:dyDescent="0.2">
      <c r="A645" s="2">
        <v>2025</v>
      </c>
      <c r="B645" s="2">
        <v>3</v>
      </c>
      <c r="C645" s="2" t="s">
        <v>1035</v>
      </c>
      <c r="D645" s="2" t="s">
        <v>38</v>
      </c>
      <c r="E645" s="2" t="s">
        <v>39</v>
      </c>
      <c r="F645" s="2">
        <v>514229829</v>
      </c>
      <c r="G645" s="2" t="s">
        <v>41</v>
      </c>
      <c r="H645" s="2" t="s">
        <v>1036</v>
      </c>
      <c r="I645" s="2" t="s">
        <v>1037</v>
      </c>
      <c r="J645" s="2">
        <v>963046242</v>
      </c>
      <c r="K645" s="2" t="s">
        <v>178</v>
      </c>
      <c r="L645" s="2" t="s">
        <v>40</v>
      </c>
      <c r="O645" s="2" t="s">
        <v>115</v>
      </c>
      <c r="P645" s="2" t="s">
        <v>1038</v>
      </c>
      <c r="Q645" s="2" t="s">
        <v>139</v>
      </c>
      <c r="R645" s="2">
        <v>1</v>
      </c>
      <c r="S645" s="2">
        <v>2852.95</v>
      </c>
      <c r="T645" s="2">
        <v>656.17849999999999</v>
      </c>
      <c r="U645" s="2">
        <v>3509.1284999999998</v>
      </c>
      <c r="W645" s="5">
        <f t="shared" si="68"/>
        <v>1</v>
      </c>
      <c r="AE645" s="2">
        <f t="shared" si="69"/>
        <v>0</v>
      </c>
      <c r="AI645" s="2">
        <f t="shared" si="70"/>
        <v>0</v>
      </c>
      <c r="AJ645" s="2">
        <f t="shared" si="71"/>
        <v>2852.95</v>
      </c>
      <c r="AK645" s="5">
        <f t="shared" si="66"/>
        <v>1</v>
      </c>
    </row>
    <row r="646" spans="1:37" x14ac:dyDescent="0.2">
      <c r="A646" s="2">
        <v>2025</v>
      </c>
      <c r="B646" s="2">
        <v>3</v>
      </c>
      <c r="C646" s="2" t="s">
        <v>1035</v>
      </c>
      <c r="D646" s="2" t="s">
        <v>38</v>
      </c>
      <c r="E646" s="2" t="s">
        <v>39</v>
      </c>
      <c r="F646" s="2">
        <v>514229829</v>
      </c>
      <c r="G646" s="2" t="s">
        <v>41</v>
      </c>
      <c r="H646" s="2" t="s">
        <v>1036</v>
      </c>
      <c r="I646" s="2" t="s">
        <v>1037</v>
      </c>
      <c r="J646" s="2">
        <v>963046242</v>
      </c>
      <c r="K646" s="2" t="s">
        <v>178</v>
      </c>
      <c r="L646" s="2" t="s">
        <v>40</v>
      </c>
      <c r="O646" s="2" t="s">
        <v>188</v>
      </c>
      <c r="P646" s="2" t="s">
        <v>189</v>
      </c>
      <c r="Q646" s="2" t="s">
        <v>190</v>
      </c>
      <c r="R646" s="2">
        <v>1</v>
      </c>
      <c r="S646" s="2">
        <v>50</v>
      </c>
      <c r="T646" s="2">
        <v>11.5</v>
      </c>
      <c r="U646" s="2">
        <v>61.5</v>
      </c>
      <c r="W646" s="5">
        <f t="shared" si="68"/>
        <v>1</v>
      </c>
      <c r="Y646" s="2" t="s">
        <v>118</v>
      </c>
      <c r="Z646" s="2" t="s">
        <v>191</v>
      </c>
      <c r="AE646" s="2">
        <f t="shared" si="69"/>
        <v>0</v>
      </c>
      <c r="AI646" s="2">
        <f t="shared" si="70"/>
        <v>0</v>
      </c>
      <c r="AJ646" s="2">
        <f t="shared" si="71"/>
        <v>50</v>
      </c>
      <c r="AK646" s="5">
        <f t="shared" si="66"/>
        <v>1</v>
      </c>
    </row>
    <row r="647" spans="1:37" x14ac:dyDescent="0.2">
      <c r="A647" s="2">
        <v>2025</v>
      </c>
      <c r="B647" s="2">
        <v>3</v>
      </c>
      <c r="C647" s="2" t="s">
        <v>1035</v>
      </c>
      <c r="D647" s="2" t="s">
        <v>38</v>
      </c>
      <c r="E647" s="2" t="s">
        <v>39</v>
      </c>
      <c r="F647" s="2">
        <v>514229829</v>
      </c>
      <c r="G647" s="2" t="s">
        <v>41</v>
      </c>
      <c r="H647" s="2" t="s">
        <v>1036</v>
      </c>
      <c r="I647" s="2" t="s">
        <v>1037</v>
      </c>
      <c r="J647" s="2">
        <v>963046242</v>
      </c>
      <c r="K647" s="2" t="s">
        <v>178</v>
      </c>
      <c r="L647" s="2" t="s">
        <v>40</v>
      </c>
      <c r="O647" s="2" t="s">
        <v>188</v>
      </c>
      <c r="P647" s="2" t="s">
        <v>192</v>
      </c>
      <c r="Q647" s="2" t="s">
        <v>191</v>
      </c>
      <c r="R647" s="2">
        <v>2</v>
      </c>
      <c r="S647" s="2">
        <v>100</v>
      </c>
      <c r="T647" s="2">
        <v>23</v>
      </c>
      <c r="U647" s="2">
        <v>123</v>
      </c>
      <c r="V647" s="2">
        <f>S647*50%</f>
        <v>50</v>
      </c>
      <c r="W647" s="5">
        <f t="shared" si="68"/>
        <v>0.5</v>
      </c>
      <c r="Y647" s="2" t="s">
        <v>118</v>
      </c>
      <c r="Z647" s="2" t="s">
        <v>191</v>
      </c>
      <c r="AE647" s="2">
        <f t="shared" si="69"/>
        <v>0</v>
      </c>
      <c r="AI647" s="2">
        <f t="shared" si="70"/>
        <v>0</v>
      </c>
      <c r="AJ647" s="2">
        <f t="shared" si="71"/>
        <v>50</v>
      </c>
      <c r="AK647" s="5">
        <f t="shared" si="66"/>
        <v>0.5</v>
      </c>
    </row>
    <row r="648" spans="1:37" x14ac:dyDescent="0.2">
      <c r="A648" s="2">
        <v>2025</v>
      </c>
      <c r="B648" s="2">
        <v>3</v>
      </c>
      <c r="C648" s="2" t="s">
        <v>839</v>
      </c>
      <c r="L648" s="2" t="s">
        <v>40</v>
      </c>
      <c r="O648" s="2" t="s">
        <v>188</v>
      </c>
      <c r="P648" s="2" t="s">
        <v>189</v>
      </c>
      <c r="Q648" s="2" t="s">
        <v>190</v>
      </c>
      <c r="R648" s="2">
        <v>1</v>
      </c>
      <c r="S648" s="2">
        <v>71</v>
      </c>
      <c r="T648" s="2">
        <v>16.329999999999998</v>
      </c>
      <c r="U648" s="2">
        <v>87.33</v>
      </c>
      <c r="W648" s="5">
        <f t="shared" si="68"/>
        <v>1</v>
      </c>
      <c r="Y648" s="2" t="s">
        <v>118</v>
      </c>
      <c r="Z648" s="2" t="s">
        <v>191</v>
      </c>
      <c r="AE648" s="2">
        <f t="shared" si="69"/>
        <v>0</v>
      </c>
      <c r="AI648" s="2">
        <f t="shared" si="70"/>
        <v>0</v>
      </c>
      <c r="AJ648" s="2">
        <f t="shared" si="71"/>
        <v>71</v>
      </c>
      <c r="AK648" s="5">
        <f t="shared" si="66"/>
        <v>1</v>
      </c>
    </row>
    <row r="649" spans="1:37" x14ac:dyDescent="0.2">
      <c r="A649" s="2">
        <v>2025</v>
      </c>
      <c r="B649" s="2">
        <v>3</v>
      </c>
      <c r="C649" s="2" t="s">
        <v>839</v>
      </c>
      <c r="L649" s="2" t="s">
        <v>40</v>
      </c>
      <c r="O649" s="2" t="s">
        <v>188</v>
      </c>
      <c r="P649" s="2" t="s">
        <v>192</v>
      </c>
      <c r="Q649" s="2" t="s">
        <v>191</v>
      </c>
      <c r="R649" s="2">
        <v>1.5</v>
      </c>
      <c r="S649" s="2">
        <v>75</v>
      </c>
      <c r="T649" s="2">
        <v>17.25</v>
      </c>
      <c r="U649" s="2">
        <v>92.25</v>
      </c>
      <c r="V649" s="2">
        <f>S649*50%</f>
        <v>37.5</v>
      </c>
      <c r="W649" s="5">
        <f t="shared" si="68"/>
        <v>0.5</v>
      </c>
      <c r="Y649" s="2" t="s">
        <v>118</v>
      </c>
      <c r="Z649" s="2" t="s">
        <v>191</v>
      </c>
      <c r="AE649" s="2">
        <f t="shared" si="69"/>
        <v>0</v>
      </c>
      <c r="AI649" s="2">
        <f t="shared" si="70"/>
        <v>0</v>
      </c>
      <c r="AJ649" s="2">
        <f t="shared" si="71"/>
        <v>37.5</v>
      </c>
      <c r="AK649" s="5">
        <f t="shared" si="66"/>
        <v>0.5</v>
      </c>
    </row>
    <row r="650" spans="1:37" x14ac:dyDescent="0.2">
      <c r="A650" s="2">
        <v>2025</v>
      </c>
      <c r="B650" s="2">
        <v>3</v>
      </c>
      <c r="C650" s="2" t="s">
        <v>1039</v>
      </c>
      <c r="D650" s="2" t="s">
        <v>109</v>
      </c>
      <c r="E650" s="2" t="s">
        <v>39</v>
      </c>
      <c r="F650" s="2">
        <v>502432357</v>
      </c>
      <c r="G650" s="2" t="s">
        <v>41</v>
      </c>
      <c r="H650" s="2" t="s">
        <v>1040</v>
      </c>
      <c r="I650" s="2" t="s">
        <v>1041</v>
      </c>
      <c r="J650" s="2">
        <v>917611946</v>
      </c>
      <c r="K650" s="2" t="s">
        <v>465</v>
      </c>
      <c r="L650" s="2" t="s">
        <v>41</v>
      </c>
      <c r="N650" s="2" t="s">
        <v>1042</v>
      </c>
      <c r="O650" s="2" t="s">
        <v>73</v>
      </c>
      <c r="P650" s="2" t="s">
        <v>307</v>
      </c>
      <c r="Q650" s="2" t="s">
        <v>308</v>
      </c>
      <c r="R650" s="2">
        <v>1</v>
      </c>
      <c r="S650" s="2">
        <v>210</v>
      </c>
      <c r="T650" s="2">
        <v>48.3</v>
      </c>
      <c r="U650" s="2">
        <v>258.3</v>
      </c>
      <c r="V650" s="2">
        <v>119.33</v>
      </c>
      <c r="W650" s="5">
        <f t="shared" si="68"/>
        <v>0.43176190476190479</v>
      </c>
      <c r="Y650" s="2" t="s">
        <v>3256</v>
      </c>
      <c r="Z650" s="2" t="s">
        <v>76</v>
      </c>
      <c r="AA650" s="2" t="s">
        <v>77</v>
      </c>
      <c r="AB650" s="2" t="s">
        <v>78</v>
      </c>
      <c r="AE650" s="2">
        <f t="shared" si="69"/>
        <v>0</v>
      </c>
      <c r="AF650" s="2">
        <v>119.33</v>
      </c>
      <c r="AG650" s="2">
        <v>220</v>
      </c>
      <c r="AI650" s="2">
        <f t="shared" si="70"/>
        <v>0</v>
      </c>
      <c r="AJ650" s="2">
        <f t="shared" si="71"/>
        <v>90.67</v>
      </c>
      <c r="AK650" s="5">
        <f t="shared" si="66"/>
        <v>0.43176190476190479</v>
      </c>
    </row>
    <row r="651" spans="1:37" x14ac:dyDescent="0.2">
      <c r="A651" s="2">
        <v>2025</v>
      </c>
      <c r="B651" s="2">
        <v>3</v>
      </c>
      <c r="C651" s="2" t="s">
        <v>1039</v>
      </c>
      <c r="D651" s="2" t="s">
        <v>109</v>
      </c>
      <c r="E651" s="2" t="s">
        <v>39</v>
      </c>
      <c r="F651" s="2">
        <v>502432357</v>
      </c>
      <c r="G651" s="2" t="s">
        <v>41</v>
      </c>
      <c r="H651" s="2" t="s">
        <v>1040</v>
      </c>
      <c r="I651" s="2" t="s">
        <v>1041</v>
      </c>
      <c r="J651" s="2">
        <v>917611946</v>
      </c>
      <c r="K651" s="2" t="s">
        <v>465</v>
      </c>
      <c r="L651" s="2" t="s">
        <v>41</v>
      </c>
      <c r="N651" s="2" t="s">
        <v>1043</v>
      </c>
      <c r="O651" s="2" t="s">
        <v>73</v>
      </c>
      <c r="P651" s="2" t="s">
        <v>1044</v>
      </c>
      <c r="Q651" s="2" t="s">
        <v>80</v>
      </c>
      <c r="R651" s="2">
        <v>1</v>
      </c>
      <c r="S651" s="2">
        <v>210</v>
      </c>
      <c r="T651" s="2">
        <v>48.3</v>
      </c>
      <c r="U651" s="2">
        <v>258.3</v>
      </c>
      <c r="V651" s="2">
        <v>113.33</v>
      </c>
      <c r="W651" s="5">
        <f t="shared" si="68"/>
        <v>0.46033333333333332</v>
      </c>
      <c r="Y651" s="2" t="s">
        <v>3256</v>
      </c>
      <c r="Z651" s="2" t="s">
        <v>76</v>
      </c>
      <c r="AA651" s="2" t="s">
        <v>77</v>
      </c>
      <c r="AB651" s="2" t="s">
        <v>78</v>
      </c>
      <c r="AE651" s="2">
        <f t="shared" si="69"/>
        <v>0</v>
      </c>
      <c r="AF651" s="2">
        <v>113.33</v>
      </c>
      <c r="AG651" s="2">
        <v>220</v>
      </c>
      <c r="AI651" s="2">
        <f t="shared" si="70"/>
        <v>0</v>
      </c>
      <c r="AJ651" s="2">
        <f t="shared" si="71"/>
        <v>96.67</v>
      </c>
      <c r="AK651" s="5">
        <f t="shared" si="66"/>
        <v>0.46033333333333332</v>
      </c>
    </row>
    <row r="652" spans="1:37" x14ac:dyDescent="0.2">
      <c r="A652" s="2">
        <v>2025</v>
      </c>
      <c r="B652" s="2">
        <v>3</v>
      </c>
      <c r="C652" s="2" t="s">
        <v>1039</v>
      </c>
      <c r="D652" s="2" t="s">
        <v>109</v>
      </c>
      <c r="E652" s="2" t="s">
        <v>39</v>
      </c>
      <c r="F652" s="2">
        <v>502432357</v>
      </c>
      <c r="G652" s="2" t="s">
        <v>41</v>
      </c>
      <c r="H652" s="2" t="s">
        <v>1040</v>
      </c>
      <c r="I652" s="2" t="s">
        <v>1041</v>
      </c>
      <c r="J652" s="2">
        <v>917611946</v>
      </c>
      <c r="K652" s="2" t="s">
        <v>465</v>
      </c>
      <c r="L652" s="2" t="s">
        <v>41</v>
      </c>
      <c r="N652" s="2" t="s">
        <v>1045</v>
      </c>
      <c r="O652" s="2" t="s">
        <v>94</v>
      </c>
      <c r="P652" s="2" t="s">
        <v>95</v>
      </c>
      <c r="Q652" s="2" t="s">
        <v>96</v>
      </c>
      <c r="R652" s="2">
        <v>2</v>
      </c>
      <c r="S652" s="2">
        <v>2.2799999999999998</v>
      </c>
      <c r="T652" s="2">
        <v>0.52439999999999998</v>
      </c>
      <c r="U652" s="2">
        <v>2.8043999999999998</v>
      </c>
      <c r="V652" s="2">
        <v>2.2799999999999998</v>
      </c>
      <c r="W652" s="5">
        <f t="shared" si="68"/>
        <v>0</v>
      </c>
      <c r="Y652" s="2" t="s">
        <v>3256</v>
      </c>
      <c r="Z652" s="2" t="s">
        <v>97</v>
      </c>
      <c r="AA652" s="2" t="s">
        <v>77</v>
      </c>
      <c r="AB652" s="2" t="s">
        <v>94</v>
      </c>
      <c r="AE652" s="2">
        <f t="shared" si="69"/>
        <v>0</v>
      </c>
      <c r="AF652" s="2">
        <v>1.1399999999999999</v>
      </c>
      <c r="AG652" s="2">
        <v>1.1399999999999999</v>
      </c>
      <c r="AI652" s="2">
        <f t="shared" si="70"/>
        <v>0</v>
      </c>
      <c r="AJ652" s="2">
        <f t="shared" si="71"/>
        <v>0</v>
      </c>
      <c r="AK652" s="5">
        <f t="shared" si="66"/>
        <v>0</v>
      </c>
    </row>
    <row r="653" spans="1:37" x14ac:dyDescent="0.2">
      <c r="A653" s="2">
        <v>2025</v>
      </c>
      <c r="B653" s="2">
        <v>3</v>
      </c>
      <c r="C653" s="2" t="s">
        <v>480</v>
      </c>
      <c r="D653" s="2" t="s">
        <v>109</v>
      </c>
      <c r="E653" s="2" t="s">
        <v>481</v>
      </c>
      <c r="F653" s="2">
        <v>500864365</v>
      </c>
      <c r="G653" s="2" t="s">
        <v>41</v>
      </c>
      <c r="H653" s="2" t="s">
        <v>482</v>
      </c>
      <c r="I653" s="2" t="s">
        <v>483</v>
      </c>
      <c r="K653" s="2" t="s">
        <v>484</v>
      </c>
      <c r="O653" s="2" t="s">
        <v>73</v>
      </c>
      <c r="P653" s="2" t="s">
        <v>307</v>
      </c>
      <c r="Q653" s="2" t="s">
        <v>308</v>
      </c>
      <c r="R653" s="2">
        <v>1</v>
      </c>
      <c r="S653" s="2">
        <v>225</v>
      </c>
      <c r="T653" s="2">
        <v>51.75</v>
      </c>
      <c r="U653" s="2">
        <v>276.75</v>
      </c>
      <c r="V653" s="2">
        <v>119.33</v>
      </c>
      <c r="W653" s="5">
        <f t="shared" si="68"/>
        <v>0.46964444444444448</v>
      </c>
      <c r="Y653" s="2" t="s">
        <v>3256</v>
      </c>
      <c r="Z653" s="2" t="s">
        <v>76</v>
      </c>
      <c r="AA653" s="2" t="s">
        <v>77</v>
      </c>
      <c r="AB653" s="2" t="s">
        <v>78</v>
      </c>
      <c r="AE653" s="2">
        <f t="shared" si="69"/>
        <v>0</v>
      </c>
      <c r="AF653" s="2">
        <v>119.33</v>
      </c>
      <c r="AG653" s="2">
        <v>220</v>
      </c>
      <c r="AI653" s="2">
        <f t="shared" si="70"/>
        <v>0</v>
      </c>
      <c r="AJ653" s="2">
        <f t="shared" si="71"/>
        <v>105.67</v>
      </c>
      <c r="AK653" s="5">
        <f t="shared" si="66"/>
        <v>0.46964444444444448</v>
      </c>
    </row>
    <row r="654" spans="1:37" x14ac:dyDescent="0.2">
      <c r="A654" s="2">
        <v>2025</v>
      </c>
      <c r="B654" s="2">
        <v>3</v>
      </c>
      <c r="C654" s="2" t="s">
        <v>480</v>
      </c>
      <c r="D654" s="2" t="s">
        <v>109</v>
      </c>
      <c r="E654" s="2" t="s">
        <v>481</v>
      </c>
      <c r="F654" s="2">
        <v>500864365</v>
      </c>
      <c r="G654" s="2" t="s">
        <v>41</v>
      </c>
      <c r="H654" s="2" t="s">
        <v>482</v>
      </c>
      <c r="I654" s="2" t="s">
        <v>483</v>
      </c>
      <c r="K654" s="2" t="s">
        <v>484</v>
      </c>
      <c r="O654" s="2" t="s">
        <v>94</v>
      </c>
      <c r="P654" s="2" t="s">
        <v>95</v>
      </c>
      <c r="Q654" s="2" t="s">
        <v>96</v>
      </c>
      <c r="R654" s="2">
        <v>1</v>
      </c>
      <c r="S654" s="2">
        <v>1.1399999999999999</v>
      </c>
      <c r="T654" s="2">
        <v>0.26219999999999999</v>
      </c>
      <c r="U654" s="2">
        <v>1.4021999999999999</v>
      </c>
      <c r="V654" s="2">
        <v>1.1399999999999999</v>
      </c>
      <c r="W654" s="5">
        <f t="shared" si="68"/>
        <v>0</v>
      </c>
      <c r="Y654" s="2" t="s">
        <v>3256</v>
      </c>
      <c r="Z654" s="2" t="s">
        <v>97</v>
      </c>
      <c r="AA654" s="2" t="s">
        <v>77</v>
      </c>
      <c r="AB654" s="2" t="s">
        <v>94</v>
      </c>
      <c r="AE654" s="2">
        <f t="shared" si="69"/>
        <v>0</v>
      </c>
      <c r="AI654" s="2">
        <f t="shared" si="70"/>
        <v>0</v>
      </c>
      <c r="AJ654" s="2">
        <f t="shared" si="71"/>
        <v>0</v>
      </c>
      <c r="AK654" s="5">
        <f t="shared" si="66"/>
        <v>0</v>
      </c>
    </row>
    <row r="655" spans="1:37" x14ac:dyDescent="0.2">
      <c r="A655" s="2">
        <v>2025</v>
      </c>
      <c r="B655" s="2">
        <v>3</v>
      </c>
      <c r="C655" s="2" t="s">
        <v>850</v>
      </c>
      <c r="D655" s="2" t="s">
        <v>38</v>
      </c>
      <c r="E655" s="2" t="s">
        <v>39</v>
      </c>
      <c r="F655" s="2">
        <v>161685080</v>
      </c>
      <c r="G655" s="2" t="s">
        <v>41</v>
      </c>
      <c r="H655" s="2" t="s">
        <v>422</v>
      </c>
      <c r="J655" s="2" t="s">
        <v>851</v>
      </c>
      <c r="K655" s="2" t="s">
        <v>422</v>
      </c>
      <c r="L655" s="2" t="s">
        <v>41</v>
      </c>
      <c r="N655" s="2" t="s">
        <v>1046</v>
      </c>
      <c r="O655" s="2" t="s">
        <v>43</v>
      </c>
      <c r="P655" s="2" t="s">
        <v>55</v>
      </c>
      <c r="Q655" s="2" t="s">
        <v>56</v>
      </c>
      <c r="R655" s="2">
        <v>2</v>
      </c>
      <c r="S655" s="2">
        <v>36</v>
      </c>
      <c r="T655" s="2">
        <v>8.2800000000000011</v>
      </c>
      <c r="U655" s="2">
        <v>44.28</v>
      </c>
      <c r="V655" s="2">
        <f>10.6*R655</f>
        <v>21.2</v>
      </c>
      <c r="W655" s="5">
        <f t="shared" si="68"/>
        <v>0.41111111111111115</v>
      </c>
      <c r="Y655" s="2" t="s">
        <v>3256</v>
      </c>
      <c r="Z655" s="2" t="s">
        <v>46</v>
      </c>
      <c r="AA655" s="2" t="s">
        <v>57</v>
      </c>
      <c r="AB655" s="2" t="s">
        <v>58</v>
      </c>
      <c r="AE655" s="2">
        <f t="shared" si="69"/>
        <v>0</v>
      </c>
      <c r="AF655" s="2">
        <v>10.6</v>
      </c>
      <c r="AG655" s="2">
        <v>18</v>
      </c>
      <c r="AI655" s="2">
        <f t="shared" si="70"/>
        <v>0</v>
      </c>
      <c r="AJ655" s="2">
        <f t="shared" si="71"/>
        <v>14.8</v>
      </c>
      <c r="AK655" s="5">
        <f t="shared" si="66"/>
        <v>0.41111111111111115</v>
      </c>
    </row>
    <row r="656" spans="1:37" x14ac:dyDescent="0.2">
      <c r="A656" s="2">
        <v>2025</v>
      </c>
      <c r="B656" s="2">
        <v>3</v>
      </c>
      <c r="C656" s="2" t="s">
        <v>489</v>
      </c>
      <c r="D656" s="2" t="s">
        <v>109</v>
      </c>
      <c r="E656" s="2" t="s">
        <v>39</v>
      </c>
      <c r="F656" s="2">
        <v>506834689</v>
      </c>
      <c r="G656" s="2" t="s">
        <v>41</v>
      </c>
      <c r="H656" s="2" t="s">
        <v>490</v>
      </c>
      <c r="I656" s="2" t="s">
        <v>491</v>
      </c>
      <c r="J656" s="2">
        <v>919866237</v>
      </c>
      <c r="K656" s="2" t="s">
        <v>465</v>
      </c>
      <c r="L656" s="2" t="s">
        <v>41</v>
      </c>
      <c r="O656" s="2" t="s">
        <v>73</v>
      </c>
      <c r="P656" s="2" t="s">
        <v>74</v>
      </c>
      <c r="Q656" s="2" t="s">
        <v>75</v>
      </c>
      <c r="R656" s="2">
        <v>1</v>
      </c>
      <c r="S656" s="2">
        <v>200</v>
      </c>
      <c r="T656" s="2">
        <v>46</v>
      </c>
      <c r="U656" s="2">
        <v>246</v>
      </c>
      <c r="V656" s="2">
        <v>117.453</v>
      </c>
      <c r="W656" s="5">
        <f t="shared" si="68"/>
        <v>0.41273499999999996</v>
      </c>
      <c r="Y656" s="2" t="s">
        <v>3256</v>
      </c>
      <c r="Z656" s="2" t="s">
        <v>76</v>
      </c>
      <c r="AA656" s="2" t="s">
        <v>77</v>
      </c>
      <c r="AB656" s="2" t="s">
        <v>78</v>
      </c>
      <c r="AE656" s="2">
        <f t="shared" si="69"/>
        <v>0</v>
      </c>
      <c r="AF656" s="2">
        <v>117.453</v>
      </c>
      <c r="AG656" s="2">
        <v>220</v>
      </c>
      <c r="AI656" s="2">
        <f t="shared" si="70"/>
        <v>0</v>
      </c>
      <c r="AJ656" s="2">
        <f t="shared" si="71"/>
        <v>82.546999999999997</v>
      </c>
      <c r="AK656" s="5">
        <f t="shared" si="66"/>
        <v>0.41273499999999996</v>
      </c>
    </row>
    <row r="657" spans="1:37" x14ac:dyDescent="0.2">
      <c r="A657" s="2">
        <v>2025</v>
      </c>
      <c r="B657" s="2">
        <v>3</v>
      </c>
      <c r="C657" s="2" t="s">
        <v>489</v>
      </c>
      <c r="D657" s="2" t="s">
        <v>109</v>
      </c>
      <c r="E657" s="2" t="s">
        <v>39</v>
      </c>
      <c r="F657" s="2">
        <v>506834689</v>
      </c>
      <c r="G657" s="2" t="s">
        <v>41</v>
      </c>
      <c r="H657" s="2" t="s">
        <v>490</v>
      </c>
      <c r="I657" s="2" t="s">
        <v>491</v>
      </c>
      <c r="J657" s="2">
        <v>919866237</v>
      </c>
      <c r="K657" s="2" t="s">
        <v>465</v>
      </c>
      <c r="L657" s="2" t="s">
        <v>41</v>
      </c>
      <c r="N657" s="2" t="s">
        <v>3171</v>
      </c>
      <c r="O657" s="2" t="s">
        <v>1047</v>
      </c>
      <c r="P657" s="2" t="s">
        <v>1048</v>
      </c>
      <c r="Q657" s="2" t="s">
        <v>1049</v>
      </c>
      <c r="R657" s="2">
        <v>4</v>
      </c>
      <c r="S657" s="2">
        <v>813.01</v>
      </c>
      <c r="T657" s="2">
        <v>186.9923</v>
      </c>
      <c r="U657" s="2">
        <v>1000.0023</v>
      </c>
      <c r="V657" s="2">
        <f>150.37*R657</f>
        <v>601.48</v>
      </c>
      <c r="W657" s="5">
        <f t="shared" si="68"/>
        <v>0.26018130158300634</v>
      </c>
      <c r="Y657" s="2" t="s">
        <v>3256</v>
      </c>
      <c r="Z657" s="2" t="s">
        <v>1050</v>
      </c>
      <c r="AA657" s="2" t="s">
        <v>1051</v>
      </c>
      <c r="AB657" s="2" t="s">
        <v>1047</v>
      </c>
      <c r="AE657" s="2">
        <f t="shared" si="69"/>
        <v>0</v>
      </c>
      <c r="AF657" s="2">
        <v>150.37</v>
      </c>
      <c r="AI657" s="2">
        <f t="shared" si="70"/>
        <v>0</v>
      </c>
      <c r="AJ657" s="2">
        <f t="shared" si="71"/>
        <v>211.52999999999997</v>
      </c>
      <c r="AK657" s="5">
        <f t="shared" si="66"/>
        <v>0.26018130158300634</v>
      </c>
    </row>
    <row r="658" spans="1:37" x14ac:dyDescent="0.2">
      <c r="A658" s="2">
        <v>2025</v>
      </c>
      <c r="B658" s="2">
        <v>3</v>
      </c>
      <c r="C658" s="2" t="s">
        <v>489</v>
      </c>
      <c r="D658" s="2" t="s">
        <v>109</v>
      </c>
      <c r="E658" s="2" t="s">
        <v>39</v>
      </c>
      <c r="F658" s="2">
        <v>506834689</v>
      </c>
      <c r="G658" s="2" t="s">
        <v>41</v>
      </c>
      <c r="H658" s="2" t="s">
        <v>490</v>
      </c>
      <c r="I658" s="2" t="s">
        <v>491</v>
      </c>
      <c r="J658" s="2">
        <v>919866237</v>
      </c>
      <c r="K658" s="2" t="s">
        <v>465</v>
      </c>
      <c r="L658" s="2" t="s">
        <v>41</v>
      </c>
      <c r="O658" s="2" t="s">
        <v>94</v>
      </c>
      <c r="P658" s="2" t="s">
        <v>95</v>
      </c>
      <c r="Q658" s="2" t="s">
        <v>96</v>
      </c>
      <c r="R658" s="2">
        <v>1</v>
      </c>
      <c r="S658" s="2">
        <v>1.1399999999999999</v>
      </c>
      <c r="T658" s="2">
        <v>0.26219999999999999</v>
      </c>
      <c r="U658" s="2">
        <v>1.4021999999999999</v>
      </c>
      <c r="V658" s="2">
        <v>1.1399999999999999</v>
      </c>
      <c r="W658" s="5">
        <f t="shared" si="68"/>
        <v>0</v>
      </c>
      <c r="Y658" s="2" t="s">
        <v>3256</v>
      </c>
      <c r="Z658" s="2" t="s">
        <v>97</v>
      </c>
      <c r="AA658" s="2" t="s">
        <v>77</v>
      </c>
      <c r="AB658" s="2" t="s">
        <v>94</v>
      </c>
      <c r="AE658" s="2">
        <f t="shared" si="69"/>
        <v>0</v>
      </c>
      <c r="AI658" s="2">
        <f t="shared" si="70"/>
        <v>0</v>
      </c>
      <c r="AJ658" s="2">
        <f t="shared" si="71"/>
        <v>0</v>
      </c>
      <c r="AK658" s="5">
        <f t="shared" ref="AK658:AK721" si="72">(S658-V658)/S658</f>
        <v>0</v>
      </c>
    </row>
    <row r="659" spans="1:37" x14ac:dyDescent="0.2">
      <c r="A659" s="2">
        <v>2025</v>
      </c>
      <c r="B659" s="2">
        <v>3</v>
      </c>
      <c r="C659" s="2" t="s">
        <v>1052</v>
      </c>
      <c r="O659" s="2" t="s">
        <v>167</v>
      </c>
      <c r="P659" s="2" t="s">
        <v>1053</v>
      </c>
      <c r="Q659" s="2" t="s">
        <v>1054</v>
      </c>
      <c r="R659" s="2">
        <v>4</v>
      </c>
      <c r="S659" s="2">
        <v>12</v>
      </c>
      <c r="T659" s="2">
        <v>2.76</v>
      </c>
      <c r="U659" s="2">
        <v>14.76</v>
      </c>
      <c r="W659" s="5">
        <f t="shared" si="68"/>
        <v>1</v>
      </c>
      <c r="Y659" s="2" t="s">
        <v>3256</v>
      </c>
      <c r="Z659" s="2" t="s">
        <v>88</v>
      </c>
      <c r="AA659" s="2" t="s">
        <v>120</v>
      </c>
      <c r="AB659" s="2" t="s">
        <v>167</v>
      </c>
      <c r="AE659" s="2">
        <f t="shared" si="69"/>
        <v>0</v>
      </c>
      <c r="AI659" s="2">
        <f t="shared" si="70"/>
        <v>0</v>
      </c>
      <c r="AJ659" s="2">
        <f t="shared" si="71"/>
        <v>12</v>
      </c>
      <c r="AK659" s="5">
        <f t="shared" si="72"/>
        <v>1</v>
      </c>
    </row>
    <row r="660" spans="1:37" x14ac:dyDescent="0.2">
      <c r="A660" s="2">
        <v>2025</v>
      </c>
      <c r="B660" s="2">
        <v>3</v>
      </c>
      <c r="C660" s="2" t="s">
        <v>1052</v>
      </c>
      <c r="O660" s="2" t="s">
        <v>167</v>
      </c>
      <c r="P660" s="2" t="s">
        <v>1055</v>
      </c>
      <c r="Q660" s="2" t="s">
        <v>1056</v>
      </c>
      <c r="R660" s="2">
        <v>4</v>
      </c>
      <c r="S660" s="2">
        <v>8.4</v>
      </c>
      <c r="T660" s="2">
        <v>1.9319999999999999</v>
      </c>
      <c r="U660" s="2">
        <v>10.332000000000001</v>
      </c>
      <c r="W660" s="5">
        <f t="shared" si="68"/>
        <v>1</v>
      </c>
      <c r="Y660" s="2" t="s">
        <v>3256</v>
      </c>
      <c r="Z660" s="2" t="s">
        <v>88</v>
      </c>
      <c r="AA660" s="2" t="s">
        <v>120</v>
      </c>
      <c r="AB660" s="2" t="s">
        <v>167</v>
      </c>
      <c r="AE660" s="2">
        <f t="shared" si="69"/>
        <v>0</v>
      </c>
      <c r="AI660" s="2">
        <f t="shared" si="70"/>
        <v>0</v>
      </c>
      <c r="AJ660" s="2">
        <f t="shared" si="71"/>
        <v>8.4</v>
      </c>
      <c r="AK660" s="5">
        <f t="shared" si="72"/>
        <v>1</v>
      </c>
    </row>
    <row r="661" spans="1:37" x14ac:dyDescent="0.2">
      <c r="A661" s="2">
        <v>2025</v>
      </c>
      <c r="B661" s="2">
        <v>3</v>
      </c>
      <c r="C661" s="2" t="s">
        <v>1052</v>
      </c>
      <c r="O661" s="2" t="s">
        <v>85</v>
      </c>
      <c r="P661" s="2" t="s">
        <v>1057</v>
      </c>
      <c r="Q661" s="2" t="s">
        <v>206</v>
      </c>
      <c r="R661" s="2">
        <v>1</v>
      </c>
      <c r="S661" s="2">
        <v>2.1</v>
      </c>
      <c r="T661" s="2">
        <v>0.48299999999999998</v>
      </c>
      <c r="U661" s="2">
        <v>2.5830000000000002</v>
      </c>
      <c r="W661" s="5">
        <f t="shared" si="68"/>
        <v>1</v>
      </c>
      <c r="Y661" s="2" t="s">
        <v>3256</v>
      </c>
      <c r="Z661" s="2" t="s">
        <v>88</v>
      </c>
      <c r="AA661" s="2" t="s">
        <v>91</v>
      </c>
      <c r="AB661" s="2" t="s">
        <v>85</v>
      </c>
      <c r="AE661" s="2">
        <f t="shared" si="69"/>
        <v>0</v>
      </c>
      <c r="AI661" s="2">
        <f t="shared" si="70"/>
        <v>0</v>
      </c>
      <c r="AJ661" s="2">
        <f t="shared" si="71"/>
        <v>2.1</v>
      </c>
      <c r="AK661" s="5">
        <f t="shared" si="72"/>
        <v>1</v>
      </c>
    </row>
    <row r="662" spans="1:37" x14ac:dyDescent="0.2">
      <c r="A662" s="2">
        <v>2025</v>
      </c>
      <c r="B662" s="2">
        <v>3</v>
      </c>
      <c r="C662" s="2" t="s">
        <v>1058</v>
      </c>
      <c r="D662" s="2" t="s">
        <v>109</v>
      </c>
      <c r="E662" s="2" t="s">
        <v>535</v>
      </c>
      <c r="F662" s="2">
        <v>504586351</v>
      </c>
      <c r="G662" s="2" t="s">
        <v>291</v>
      </c>
      <c r="H662" s="2" t="s">
        <v>1059</v>
      </c>
      <c r="I662" s="2" t="s">
        <v>1060</v>
      </c>
      <c r="K662" s="2" t="s">
        <v>340</v>
      </c>
      <c r="L662" s="2" t="s">
        <v>40</v>
      </c>
      <c r="N662" s="2" t="s">
        <v>1061</v>
      </c>
      <c r="O662" s="2" t="s">
        <v>188</v>
      </c>
      <c r="P662" s="2" t="s">
        <v>189</v>
      </c>
      <c r="Q662" s="2" t="s">
        <v>190</v>
      </c>
      <c r="R662" s="2">
        <v>1</v>
      </c>
      <c r="S662" s="2">
        <v>50</v>
      </c>
      <c r="T662" s="2">
        <v>11.5</v>
      </c>
      <c r="U662" s="2">
        <v>61.5</v>
      </c>
      <c r="W662" s="5">
        <f t="shared" si="68"/>
        <v>1</v>
      </c>
      <c r="Y662" s="2" t="s">
        <v>118</v>
      </c>
      <c r="Z662" s="2" t="s">
        <v>191</v>
      </c>
      <c r="AE662" s="2">
        <f t="shared" si="69"/>
        <v>0</v>
      </c>
      <c r="AI662" s="2">
        <f t="shared" si="70"/>
        <v>0</v>
      </c>
      <c r="AJ662" s="2">
        <f t="shared" si="71"/>
        <v>50</v>
      </c>
      <c r="AK662" s="5">
        <f t="shared" si="72"/>
        <v>1</v>
      </c>
    </row>
    <row r="663" spans="1:37" x14ac:dyDescent="0.2">
      <c r="A663" s="2">
        <v>2025</v>
      </c>
      <c r="B663" s="2">
        <v>3</v>
      </c>
      <c r="C663" s="2" t="s">
        <v>1058</v>
      </c>
      <c r="D663" s="2" t="s">
        <v>109</v>
      </c>
      <c r="E663" s="2" t="s">
        <v>535</v>
      </c>
      <c r="F663" s="2">
        <v>504586351</v>
      </c>
      <c r="G663" s="2" t="s">
        <v>291</v>
      </c>
      <c r="H663" s="2" t="s">
        <v>1059</v>
      </c>
      <c r="I663" s="2" t="s">
        <v>1060</v>
      </c>
      <c r="K663" s="2" t="s">
        <v>340</v>
      </c>
      <c r="L663" s="2" t="s">
        <v>40</v>
      </c>
      <c r="N663" s="2" t="s">
        <v>1061</v>
      </c>
      <c r="O663" s="2" t="s">
        <v>188</v>
      </c>
      <c r="P663" s="2" t="s">
        <v>192</v>
      </c>
      <c r="Q663" s="2" t="s">
        <v>191</v>
      </c>
      <c r="R663" s="2">
        <v>2</v>
      </c>
      <c r="S663" s="2">
        <v>100</v>
      </c>
      <c r="T663" s="2">
        <v>23</v>
      </c>
      <c r="U663" s="2">
        <v>123</v>
      </c>
      <c r="V663" s="2">
        <f>S663*50%</f>
        <v>50</v>
      </c>
      <c r="W663" s="5">
        <f t="shared" si="68"/>
        <v>0.5</v>
      </c>
      <c r="Y663" s="2" t="s">
        <v>118</v>
      </c>
      <c r="Z663" s="2" t="s">
        <v>191</v>
      </c>
      <c r="AE663" s="2">
        <f t="shared" si="69"/>
        <v>0</v>
      </c>
      <c r="AI663" s="2">
        <f t="shared" si="70"/>
        <v>0</v>
      </c>
      <c r="AJ663" s="2">
        <f t="shared" si="71"/>
        <v>50</v>
      </c>
      <c r="AK663" s="5">
        <f t="shared" si="72"/>
        <v>0.5</v>
      </c>
    </row>
    <row r="664" spans="1:37" x14ac:dyDescent="0.2">
      <c r="A664" s="2">
        <v>2025</v>
      </c>
      <c r="B664" s="2">
        <v>3</v>
      </c>
      <c r="C664" s="2" t="s">
        <v>1062</v>
      </c>
      <c r="D664" s="2" t="s">
        <v>184</v>
      </c>
      <c r="E664" s="2" t="s">
        <v>1063</v>
      </c>
      <c r="F664" s="2">
        <v>500199523</v>
      </c>
      <c r="G664" s="2" t="s">
        <v>291</v>
      </c>
      <c r="H664" s="2" t="s">
        <v>294</v>
      </c>
      <c r="I664" s="2" t="s">
        <v>1064</v>
      </c>
      <c r="K664" s="2" t="s">
        <v>294</v>
      </c>
      <c r="L664" s="2" t="s">
        <v>81</v>
      </c>
      <c r="N664" s="2" t="s">
        <v>1065</v>
      </c>
      <c r="O664" s="2" t="s">
        <v>73</v>
      </c>
      <c r="P664" s="2" t="s">
        <v>326</v>
      </c>
      <c r="Q664" s="2" t="s">
        <v>80</v>
      </c>
      <c r="R664" s="2">
        <v>1</v>
      </c>
      <c r="S664" s="2">
        <v>200</v>
      </c>
      <c r="T664" s="2">
        <v>46</v>
      </c>
      <c r="U664" s="2">
        <v>246</v>
      </c>
      <c r="V664" s="2">
        <f>110.68*R664</f>
        <v>110.68</v>
      </c>
      <c r="W664" s="5">
        <f t="shared" si="68"/>
        <v>0.44659999999999994</v>
      </c>
      <c r="Y664" s="2" t="s">
        <v>3256</v>
      </c>
      <c r="Z664" s="2" t="s">
        <v>76</v>
      </c>
      <c r="AA664" s="2" t="s">
        <v>77</v>
      </c>
      <c r="AB664" s="2" t="s">
        <v>78</v>
      </c>
      <c r="AE664" s="2">
        <f t="shared" si="69"/>
        <v>0</v>
      </c>
      <c r="AF664" s="2">
        <v>110.68</v>
      </c>
      <c r="AG664" s="2">
        <v>210</v>
      </c>
      <c r="AI664" s="2">
        <f t="shared" si="70"/>
        <v>0</v>
      </c>
      <c r="AJ664" s="2">
        <f t="shared" si="71"/>
        <v>89.32</v>
      </c>
      <c r="AK664" s="5">
        <f t="shared" si="72"/>
        <v>0.44659999999999994</v>
      </c>
    </row>
    <row r="665" spans="1:37" x14ac:dyDescent="0.2">
      <c r="A665" s="2">
        <v>2025</v>
      </c>
      <c r="B665" s="2">
        <v>3</v>
      </c>
      <c r="C665" s="2" t="s">
        <v>1062</v>
      </c>
      <c r="D665" s="2" t="s">
        <v>184</v>
      </c>
      <c r="E665" s="2" t="s">
        <v>1063</v>
      </c>
      <c r="F665" s="2">
        <v>500199523</v>
      </c>
      <c r="G665" s="2" t="s">
        <v>291</v>
      </c>
      <c r="H665" s="2" t="s">
        <v>294</v>
      </c>
      <c r="I665" s="2" t="s">
        <v>1064</v>
      </c>
      <c r="K665" s="2" t="s">
        <v>294</v>
      </c>
      <c r="L665" s="2" t="s">
        <v>81</v>
      </c>
      <c r="N665" s="2" t="s">
        <v>1065</v>
      </c>
      <c r="O665" s="2" t="s">
        <v>94</v>
      </c>
      <c r="P665" s="2" t="s">
        <v>95</v>
      </c>
      <c r="Q665" s="2" t="s">
        <v>96</v>
      </c>
      <c r="R665" s="2">
        <v>1</v>
      </c>
      <c r="S665" s="2">
        <v>1.1399999999999999</v>
      </c>
      <c r="T665" s="2">
        <v>0.26219999999999999</v>
      </c>
      <c r="U665" s="2">
        <v>1.4021999999999999</v>
      </c>
      <c r="V665" s="2">
        <v>1.1399999999999999</v>
      </c>
      <c r="W665" s="5">
        <f t="shared" si="68"/>
        <v>0</v>
      </c>
      <c r="Y665" s="2" t="s">
        <v>3256</v>
      </c>
      <c r="Z665" s="2" t="s">
        <v>97</v>
      </c>
      <c r="AA665" s="2" t="s">
        <v>77</v>
      </c>
      <c r="AB665" s="2" t="s">
        <v>94</v>
      </c>
      <c r="AE665" s="2">
        <f t="shared" si="69"/>
        <v>0</v>
      </c>
      <c r="AI665" s="2">
        <f t="shared" si="70"/>
        <v>0</v>
      </c>
      <c r="AJ665" s="2">
        <f t="shared" si="71"/>
        <v>0</v>
      </c>
      <c r="AK665" s="5">
        <f t="shared" si="72"/>
        <v>0</v>
      </c>
    </row>
    <row r="666" spans="1:37" x14ac:dyDescent="0.2">
      <c r="A666" s="2">
        <v>2025</v>
      </c>
      <c r="B666" s="2">
        <v>3</v>
      </c>
      <c r="C666" s="2" t="s">
        <v>504</v>
      </c>
      <c r="D666" s="2" t="s">
        <v>38</v>
      </c>
      <c r="E666" s="2" t="s">
        <v>39</v>
      </c>
      <c r="F666" s="2">
        <v>513244468</v>
      </c>
      <c r="G666" s="2" t="s">
        <v>41</v>
      </c>
      <c r="H666" s="2" t="s">
        <v>505</v>
      </c>
      <c r="I666" s="2" t="s">
        <v>506</v>
      </c>
      <c r="J666" s="2">
        <v>918010109</v>
      </c>
      <c r="K666" s="2" t="s">
        <v>100</v>
      </c>
      <c r="L666" s="2" t="s">
        <v>41</v>
      </c>
      <c r="O666" s="2" t="s">
        <v>283</v>
      </c>
      <c r="P666" s="2" t="s">
        <v>1066</v>
      </c>
      <c r="Q666" s="2" t="s">
        <v>1067</v>
      </c>
      <c r="R666" s="2">
        <v>1</v>
      </c>
      <c r="S666" s="2">
        <v>15.9</v>
      </c>
      <c r="T666" s="2">
        <v>3.657</v>
      </c>
      <c r="U666" s="2">
        <v>19.556999999999999</v>
      </c>
      <c r="W666" s="5">
        <f t="shared" si="68"/>
        <v>1</v>
      </c>
      <c r="Y666" s="2" t="s">
        <v>3256</v>
      </c>
      <c r="AE666" s="2">
        <f t="shared" si="69"/>
        <v>0</v>
      </c>
      <c r="AI666" s="2">
        <f t="shared" si="70"/>
        <v>0</v>
      </c>
      <c r="AJ666" s="2">
        <f t="shared" si="71"/>
        <v>15.9</v>
      </c>
      <c r="AK666" s="5">
        <f t="shared" si="72"/>
        <v>1</v>
      </c>
    </row>
    <row r="667" spans="1:37" x14ac:dyDescent="0.2">
      <c r="A667" s="2">
        <v>2025</v>
      </c>
      <c r="B667" s="2">
        <v>3</v>
      </c>
      <c r="C667" s="2" t="s">
        <v>504</v>
      </c>
      <c r="D667" s="2" t="s">
        <v>38</v>
      </c>
      <c r="E667" s="2" t="s">
        <v>39</v>
      </c>
      <c r="F667" s="2">
        <v>513244468</v>
      </c>
      <c r="G667" s="2" t="s">
        <v>41</v>
      </c>
      <c r="H667" s="2" t="s">
        <v>505</v>
      </c>
      <c r="I667" s="2" t="s">
        <v>506</v>
      </c>
      <c r="J667" s="2">
        <v>918010109</v>
      </c>
      <c r="K667" s="2" t="s">
        <v>100</v>
      </c>
      <c r="L667" s="2" t="s">
        <v>41</v>
      </c>
      <c r="O667" s="2" t="s">
        <v>283</v>
      </c>
      <c r="P667" s="2" t="s">
        <v>1068</v>
      </c>
      <c r="Q667" s="2" t="s">
        <v>1069</v>
      </c>
      <c r="R667" s="2">
        <v>1</v>
      </c>
      <c r="S667" s="2">
        <v>12.9</v>
      </c>
      <c r="T667" s="2">
        <v>2.9670000000000001</v>
      </c>
      <c r="U667" s="2">
        <v>15.867000000000001</v>
      </c>
      <c r="W667" s="5">
        <f t="shared" si="68"/>
        <v>1</v>
      </c>
      <c r="Y667" s="2" t="s">
        <v>3256</v>
      </c>
      <c r="AE667" s="2">
        <f t="shared" si="69"/>
        <v>0</v>
      </c>
      <c r="AI667" s="2">
        <f t="shared" si="70"/>
        <v>0</v>
      </c>
      <c r="AJ667" s="2">
        <f t="shared" si="71"/>
        <v>12.9</v>
      </c>
      <c r="AK667" s="5">
        <f t="shared" si="72"/>
        <v>1</v>
      </c>
    </row>
    <row r="668" spans="1:37" x14ac:dyDescent="0.2">
      <c r="A668" s="2">
        <v>2025</v>
      </c>
      <c r="B668" s="2">
        <v>3</v>
      </c>
      <c r="C668" s="2" t="s">
        <v>504</v>
      </c>
      <c r="D668" s="2" t="s">
        <v>38</v>
      </c>
      <c r="E668" s="2" t="s">
        <v>39</v>
      </c>
      <c r="F668" s="2">
        <v>513244468</v>
      </c>
      <c r="G668" s="2" t="s">
        <v>41</v>
      </c>
      <c r="H668" s="2" t="s">
        <v>505</v>
      </c>
      <c r="I668" s="2" t="s">
        <v>506</v>
      </c>
      <c r="J668" s="2">
        <v>918010109</v>
      </c>
      <c r="K668" s="2" t="s">
        <v>100</v>
      </c>
      <c r="L668" s="2" t="s">
        <v>41</v>
      </c>
      <c r="O668" s="2" t="s">
        <v>283</v>
      </c>
      <c r="P668" s="2" t="s">
        <v>532</v>
      </c>
      <c r="Q668" s="2" t="s">
        <v>533</v>
      </c>
      <c r="R668" s="2">
        <v>1</v>
      </c>
      <c r="S668" s="2">
        <v>399</v>
      </c>
      <c r="T668" s="2">
        <v>91.77000000000001</v>
      </c>
      <c r="U668" s="2">
        <v>490.77</v>
      </c>
      <c r="W668" s="5">
        <f t="shared" ref="W668:W688" si="73">(S668-V668)/S668</f>
        <v>1</v>
      </c>
      <c r="Y668" s="2" t="s">
        <v>3256</v>
      </c>
      <c r="AE668" s="2">
        <f t="shared" si="69"/>
        <v>0</v>
      </c>
      <c r="AI668" s="2">
        <f t="shared" si="70"/>
        <v>0</v>
      </c>
      <c r="AJ668" s="2">
        <f t="shared" si="71"/>
        <v>399</v>
      </c>
      <c r="AK668" s="5">
        <f t="shared" si="72"/>
        <v>1</v>
      </c>
    </row>
    <row r="669" spans="1:37" x14ac:dyDescent="0.2">
      <c r="A669" s="2">
        <v>2025</v>
      </c>
      <c r="B669" s="2">
        <v>3</v>
      </c>
      <c r="C669" s="2" t="s">
        <v>504</v>
      </c>
      <c r="D669" s="2" t="s">
        <v>38</v>
      </c>
      <c r="E669" s="2" t="s">
        <v>39</v>
      </c>
      <c r="F669" s="2">
        <v>513244468</v>
      </c>
      <c r="G669" s="2" t="s">
        <v>41</v>
      </c>
      <c r="H669" s="2" t="s">
        <v>505</v>
      </c>
      <c r="I669" s="2" t="s">
        <v>506</v>
      </c>
      <c r="J669" s="2">
        <v>918010109</v>
      </c>
      <c r="K669" s="2" t="s">
        <v>100</v>
      </c>
      <c r="L669" s="2" t="s">
        <v>41</v>
      </c>
      <c r="O669" s="2" t="s">
        <v>283</v>
      </c>
      <c r="P669" s="2" t="s">
        <v>1070</v>
      </c>
      <c r="Q669" s="2" t="s">
        <v>1071</v>
      </c>
      <c r="R669" s="2">
        <v>1</v>
      </c>
      <c r="S669" s="2">
        <v>25.9</v>
      </c>
      <c r="T669" s="2">
        <v>5.9569999999999999</v>
      </c>
      <c r="U669" s="2">
        <v>31.856999999999999</v>
      </c>
      <c r="W669" s="5">
        <f t="shared" si="73"/>
        <v>1</v>
      </c>
      <c r="Y669" s="2" t="s">
        <v>3256</v>
      </c>
      <c r="AE669" s="2">
        <f t="shared" si="69"/>
        <v>0</v>
      </c>
      <c r="AI669" s="2">
        <f t="shared" si="70"/>
        <v>0</v>
      </c>
      <c r="AJ669" s="2">
        <f t="shared" si="71"/>
        <v>25.9</v>
      </c>
      <c r="AK669" s="5">
        <f t="shared" si="72"/>
        <v>1</v>
      </c>
    </row>
    <row r="670" spans="1:37" x14ac:dyDescent="0.2">
      <c r="A670" s="2">
        <v>2025</v>
      </c>
      <c r="B670" s="2">
        <v>3</v>
      </c>
      <c r="C670" s="2" t="s">
        <v>504</v>
      </c>
      <c r="D670" s="2" t="s">
        <v>38</v>
      </c>
      <c r="E670" s="2" t="s">
        <v>39</v>
      </c>
      <c r="F670" s="2">
        <v>513244468</v>
      </c>
      <c r="G670" s="2" t="s">
        <v>41</v>
      </c>
      <c r="H670" s="2" t="s">
        <v>505</v>
      </c>
      <c r="I670" s="2" t="s">
        <v>506</v>
      </c>
      <c r="J670" s="2">
        <v>918010109</v>
      </c>
      <c r="K670" s="2" t="s">
        <v>100</v>
      </c>
      <c r="L670" s="2" t="s">
        <v>41</v>
      </c>
      <c r="O670" s="2" t="s">
        <v>283</v>
      </c>
      <c r="P670" s="2" t="s">
        <v>1072</v>
      </c>
      <c r="Q670" s="2" t="s">
        <v>1073</v>
      </c>
      <c r="R670" s="2">
        <v>1</v>
      </c>
      <c r="S670" s="2">
        <v>28.9</v>
      </c>
      <c r="T670" s="2">
        <v>6.6470000000000002</v>
      </c>
      <c r="U670" s="2">
        <v>35.546999999999997</v>
      </c>
      <c r="W670" s="5">
        <f t="shared" si="73"/>
        <v>1</v>
      </c>
      <c r="Y670" s="2" t="s">
        <v>3256</v>
      </c>
      <c r="AE670" s="2">
        <f t="shared" si="69"/>
        <v>0</v>
      </c>
      <c r="AI670" s="2">
        <f t="shared" si="70"/>
        <v>0</v>
      </c>
      <c r="AJ670" s="2">
        <f t="shared" si="71"/>
        <v>28.9</v>
      </c>
      <c r="AK670" s="5">
        <f t="shared" si="72"/>
        <v>1</v>
      </c>
    </row>
    <row r="671" spans="1:37" x14ac:dyDescent="0.2">
      <c r="A671" s="2">
        <v>2025</v>
      </c>
      <c r="B671" s="2">
        <v>3</v>
      </c>
      <c r="C671" s="2" t="s">
        <v>1074</v>
      </c>
      <c r="O671" s="2" t="s">
        <v>43</v>
      </c>
      <c r="P671" s="2" t="s">
        <v>62</v>
      </c>
      <c r="Q671" s="2" t="s">
        <v>63</v>
      </c>
      <c r="R671" s="2">
        <v>1000</v>
      </c>
      <c r="S671" s="2">
        <v>105</v>
      </c>
      <c r="T671" s="2">
        <v>24.15</v>
      </c>
      <c r="U671" s="2">
        <v>129.15</v>
      </c>
      <c r="V671" s="2">
        <f>0.082*R671</f>
        <v>82</v>
      </c>
      <c r="W671" s="5">
        <f t="shared" si="73"/>
        <v>0.21904761904761905</v>
      </c>
      <c r="Y671" s="2" t="s">
        <v>3256</v>
      </c>
      <c r="Z671" s="2" t="s">
        <v>46</v>
      </c>
      <c r="AA671" s="2" t="s">
        <v>61</v>
      </c>
      <c r="AB671" s="2" t="s">
        <v>58</v>
      </c>
      <c r="AE671" s="2">
        <f t="shared" si="69"/>
        <v>0</v>
      </c>
      <c r="AF671" s="2">
        <v>8.1999999999999993</v>
      </c>
      <c r="AG671" s="2">
        <v>13</v>
      </c>
      <c r="AI671" s="2">
        <f t="shared" si="70"/>
        <v>0</v>
      </c>
      <c r="AJ671" s="2">
        <f t="shared" si="71"/>
        <v>23</v>
      </c>
      <c r="AK671" s="5">
        <f t="shared" si="72"/>
        <v>0.21904761904761905</v>
      </c>
    </row>
    <row r="672" spans="1:37" x14ac:dyDescent="0.2">
      <c r="A672" s="2">
        <v>2025</v>
      </c>
      <c r="B672" s="2">
        <v>3</v>
      </c>
      <c r="C672" s="2" t="s">
        <v>1074</v>
      </c>
      <c r="O672" s="2" t="s">
        <v>43</v>
      </c>
      <c r="P672" s="2" t="s">
        <v>66</v>
      </c>
      <c r="Q672" s="2" t="s">
        <v>67</v>
      </c>
      <c r="R672" s="2">
        <v>2</v>
      </c>
      <c r="S672" s="2">
        <v>42</v>
      </c>
      <c r="T672" s="2">
        <v>9.66</v>
      </c>
      <c r="U672" s="2">
        <v>51.66</v>
      </c>
      <c r="V672" s="2">
        <f>15.0203*R672</f>
        <v>30.040600000000001</v>
      </c>
      <c r="W672" s="5">
        <f t="shared" si="73"/>
        <v>0.28474761904761903</v>
      </c>
      <c r="Y672" s="2" t="s">
        <v>3256</v>
      </c>
      <c r="Z672" s="2" t="s">
        <v>46</v>
      </c>
      <c r="AA672" s="2" t="s">
        <v>68</v>
      </c>
      <c r="AB672" s="2" t="s">
        <v>58</v>
      </c>
      <c r="AE672" s="2">
        <f t="shared" si="69"/>
        <v>0</v>
      </c>
      <c r="AF672" s="2">
        <v>15.020300000000001</v>
      </c>
      <c r="AG672" s="2">
        <v>27.6</v>
      </c>
      <c r="AI672" s="2">
        <f t="shared" si="70"/>
        <v>0</v>
      </c>
      <c r="AJ672" s="2">
        <f t="shared" si="71"/>
        <v>11.959399999999999</v>
      </c>
      <c r="AK672" s="5">
        <f t="shared" si="72"/>
        <v>0.28474761904761903</v>
      </c>
    </row>
    <row r="673" spans="1:37" x14ac:dyDescent="0.2">
      <c r="A673" s="2">
        <v>2025</v>
      </c>
      <c r="B673" s="2">
        <v>3</v>
      </c>
      <c r="C673" s="2" t="s">
        <v>1075</v>
      </c>
      <c r="O673" s="2" t="s">
        <v>2713</v>
      </c>
      <c r="P673" s="2" t="s">
        <v>1076</v>
      </c>
      <c r="Q673" s="2" t="s">
        <v>1077</v>
      </c>
      <c r="R673" s="2">
        <v>2</v>
      </c>
      <c r="S673" s="2">
        <v>680</v>
      </c>
      <c r="T673" s="2">
        <v>156.4</v>
      </c>
      <c r="U673" s="2">
        <v>836.4</v>
      </c>
      <c r="W673" s="5">
        <f t="shared" si="73"/>
        <v>1</v>
      </c>
      <c r="Y673" s="2" t="s">
        <v>3256</v>
      </c>
      <c r="AE673" s="2">
        <f t="shared" si="69"/>
        <v>0</v>
      </c>
      <c r="AI673" s="2">
        <f t="shared" si="70"/>
        <v>0</v>
      </c>
      <c r="AJ673" s="2">
        <f t="shared" si="71"/>
        <v>680</v>
      </c>
      <c r="AK673" s="5">
        <f t="shared" si="72"/>
        <v>1</v>
      </c>
    </row>
    <row r="674" spans="1:37" x14ac:dyDescent="0.2">
      <c r="A674" s="2">
        <v>2025</v>
      </c>
      <c r="B674" s="2">
        <v>3</v>
      </c>
      <c r="C674" s="2" t="s">
        <v>874</v>
      </c>
      <c r="D674" s="2" t="s">
        <v>38</v>
      </c>
      <c r="E674" s="2" t="s">
        <v>39</v>
      </c>
      <c r="F674" s="2">
        <v>226546594</v>
      </c>
      <c r="G674" s="2" t="s">
        <v>41</v>
      </c>
      <c r="H674" s="2" t="s">
        <v>875</v>
      </c>
      <c r="I674" s="2" t="s">
        <v>876</v>
      </c>
      <c r="J674" s="2">
        <v>933599817</v>
      </c>
      <c r="K674" s="2" t="s">
        <v>100</v>
      </c>
      <c r="O674" s="2" t="s">
        <v>283</v>
      </c>
      <c r="P674" s="2" t="s">
        <v>1078</v>
      </c>
      <c r="Q674" s="2" t="s">
        <v>1079</v>
      </c>
      <c r="R674" s="2">
        <v>1</v>
      </c>
      <c r="S674" s="2">
        <v>9.08</v>
      </c>
      <c r="T674" s="2">
        <v>2.0884</v>
      </c>
      <c r="U674" s="2">
        <v>11.1684</v>
      </c>
      <c r="W674" s="5">
        <f t="shared" si="73"/>
        <v>1</v>
      </c>
      <c r="Y674" s="2" t="s">
        <v>3256</v>
      </c>
      <c r="AE674" s="2">
        <f t="shared" si="69"/>
        <v>0</v>
      </c>
      <c r="AI674" s="2">
        <f t="shared" si="70"/>
        <v>0</v>
      </c>
      <c r="AJ674" s="2">
        <f t="shared" si="71"/>
        <v>9.08</v>
      </c>
      <c r="AK674" s="5">
        <f t="shared" si="72"/>
        <v>1</v>
      </c>
    </row>
    <row r="675" spans="1:37" x14ac:dyDescent="0.2">
      <c r="A675" s="2">
        <v>2025</v>
      </c>
      <c r="B675" s="2">
        <v>3</v>
      </c>
      <c r="C675" s="2" t="s">
        <v>874</v>
      </c>
      <c r="D675" s="2" t="s">
        <v>38</v>
      </c>
      <c r="E675" s="2" t="s">
        <v>39</v>
      </c>
      <c r="F675" s="2">
        <v>226546594</v>
      </c>
      <c r="G675" s="2" t="s">
        <v>41</v>
      </c>
      <c r="H675" s="2" t="s">
        <v>875</v>
      </c>
      <c r="I675" s="2" t="s">
        <v>876</v>
      </c>
      <c r="J675" s="2">
        <v>933599817</v>
      </c>
      <c r="K675" s="2" t="s">
        <v>100</v>
      </c>
      <c r="O675" s="2" t="s">
        <v>43</v>
      </c>
      <c r="P675" s="2" t="s">
        <v>251</v>
      </c>
      <c r="Q675" s="2" t="s">
        <v>252</v>
      </c>
      <c r="R675" s="2">
        <v>1</v>
      </c>
      <c r="S675" s="2">
        <v>65</v>
      </c>
      <c r="T675" s="2">
        <v>14.95</v>
      </c>
      <c r="U675" s="2">
        <v>79.95</v>
      </c>
      <c r="W675" s="5">
        <f t="shared" si="73"/>
        <v>1</v>
      </c>
      <c r="Y675" s="2" t="s">
        <v>3256</v>
      </c>
      <c r="Z675" s="2" t="s">
        <v>46</v>
      </c>
      <c r="AA675" s="2" t="s">
        <v>91</v>
      </c>
      <c r="AB675" s="2" t="s">
        <v>58</v>
      </c>
      <c r="AE675" s="2">
        <f t="shared" si="69"/>
        <v>0</v>
      </c>
      <c r="AI675" s="2">
        <f t="shared" si="70"/>
        <v>0</v>
      </c>
      <c r="AJ675" s="2">
        <f t="shared" si="71"/>
        <v>65</v>
      </c>
      <c r="AK675" s="5">
        <f t="shared" si="72"/>
        <v>1</v>
      </c>
    </row>
    <row r="676" spans="1:37" x14ac:dyDescent="0.2">
      <c r="A676" s="2">
        <v>2025</v>
      </c>
      <c r="B676" s="2">
        <v>3</v>
      </c>
      <c r="C676" s="2" t="s">
        <v>1080</v>
      </c>
      <c r="O676" s="2" t="s">
        <v>43</v>
      </c>
      <c r="P676" s="2" t="s">
        <v>49</v>
      </c>
      <c r="Q676" s="2" t="s">
        <v>50</v>
      </c>
      <c r="R676" s="2">
        <v>8</v>
      </c>
      <c r="S676" s="2">
        <v>96</v>
      </c>
      <c r="T676" s="2">
        <v>22.08</v>
      </c>
      <c r="U676" s="2">
        <v>118.08</v>
      </c>
      <c r="V676" s="2">
        <f>6.6267*R676</f>
        <v>53.013599999999997</v>
      </c>
      <c r="W676" s="5">
        <f t="shared" si="73"/>
        <v>0.44777500000000003</v>
      </c>
      <c r="Y676" s="2" t="s">
        <v>3256</v>
      </c>
      <c r="Z676" s="2" t="s">
        <v>46</v>
      </c>
      <c r="AA676" s="2" t="s">
        <v>47</v>
      </c>
      <c r="AB676" s="2" t="s">
        <v>48</v>
      </c>
      <c r="AE676" s="2">
        <f t="shared" si="69"/>
        <v>0</v>
      </c>
      <c r="AF676" s="2">
        <v>6.6266999999999996</v>
      </c>
      <c r="AG676" s="2">
        <v>12</v>
      </c>
      <c r="AI676" s="2">
        <f t="shared" si="70"/>
        <v>0</v>
      </c>
      <c r="AJ676" s="2">
        <f t="shared" si="71"/>
        <v>42.986400000000003</v>
      </c>
      <c r="AK676" s="5">
        <f t="shared" si="72"/>
        <v>0.44777500000000003</v>
      </c>
    </row>
    <row r="677" spans="1:37" x14ac:dyDescent="0.2">
      <c r="A677" s="2">
        <v>2025</v>
      </c>
      <c r="B677" s="2">
        <v>3</v>
      </c>
      <c r="C677" s="2" t="s">
        <v>1080</v>
      </c>
      <c r="O677" s="2" t="s">
        <v>43</v>
      </c>
      <c r="P677" s="2" t="s">
        <v>62</v>
      </c>
      <c r="Q677" s="2" t="s">
        <v>63</v>
      </c>
      <c r="R677" s="2">
        <v>100</v>
      </c>
      <c r="S677" s="2">
        <v>13</v>
      </c>
      <c r="T677" s="2">
        <v>2.99</v>
      </c>
      <c r="U677" s="2">
        <v>15.99</v>
      </c>
      <c r="V677" s="2">
        <f>0.082*R677</f>
        <v>8.2000000000000011</v>
      </c>
      <c r="W677" s="5">
        <f t="shared" si="73"/>
        <v>0.36923076923076914</v>
      </c>
      <c r="Y677" s="2" t="s">
        <v>3256</v>
      </c>
      <c r="Z677" s="2" t="s">
        <v>46</v>
      </c>
      <c r="AA677" s="2" t="s">
        <v>61</v>
      </c>
      <c r="AB677" s="2" t="s">
        <v>58</v>
      </c>
      <c r="AE677" s="2">
        <f t="shared" si="69"/>
        <v>0</v>
      </c>
      <c r="AF677" s="2">
        <v>8.1999999999999993</v>
      </c>
      <c r="AG677" s="2">
        <v>13</v>
      </c>
      <c r="AI677" s="2">
        <f t="shared" si="70"/>
        <v>0</v>
      </c>
      <c r="AJ677" s="2">
        <f t="shared" si="71"/>
        <v>4.7999999999999989</v>
      </c>
      <c r="AK677" s="5">
        <f t="shared" si="72"/>
        <v>0.36923076923076914</v>
      </c>
    </row>
    <row r="678" spans="1:37" x14ac:dyDescent="0.2">
      <c r="A678" s="2">
        <v>2025</v>
      </c>
      <c r="B678" s="2">
        <v>3</v>
      </c>
      <c r="C678" s="2" t="s">
        <v>534</v>
      </c>
      <c r="D678" s="2" t="s">
        <v>109</v>
      </c>
      <c r="E678" s="2" t="s">
        <v>535</v>
      </c>
      <c r="F678" s="2">
        <v>502139552</v>
      </c>
      <c r="G678" s="2" t="s">
        <v>40</v>
      </c>
      <c r="H678" s="2" t="s">
        <v>340</v>
      </c>
      <c r="I678" s="2" t="s">
        <v>536</v>
      </c>
      <c r="K678" s="2" t="s">
        <v>340</v>
      </c>
      <c r="O678" s="2" t="s">
        <v>283</v>
      </c>
      <c r="P678" s="2" t="s">
        <v>1006</v>
      </c>
      <c r="Q678" s="2" t="s">
        <v>1007</v>
      </c>
      <c r="R678" s="2">
        <v>1</v>
      </c>
      <c r="S678" s="2">
        <v>99</v>
      </c>
      <c r="T678" s="2">
        <v>22.77</v>
      </c>
      <c r="U678" s="2">
        <v>121.77</v>
      </c>
      <c r="W678" s="5">
        <f t="shared" si="73"/>
        <v>1</v>
      </c>
      <c r="Y678" s="2" t="s">
        <v>3256</v>
      </c>
      <c r="AE678" s="2">
        <f t="shared" si="69"/>
        <v>0</v>
      </c>
      <c r="AI678" s="2">
        <f t="shared" si="70"/>
        <v>0</v>
      </c>
      <c r="AJ678" s="2">
        <f t="shared" si="71"/>
        <v>99</v>
      </c>
      <c r="AK678" s="5">
        <f t="shared" si="72"/>
        <v>1</v>
      </c>
    </row>
    <row r="679" spans="1:37" x14ac:dyDescent="0.2">
      <c r="A679" s="2">
        <v>2025</v>
      </c>
      <c r="B679" s="2">
        <v>3</v>
      </c>
      <c r="C679" s="2" t="s">
        <v>534</v>
      </c>
      <c r="D679" s="2" t="s">
        <v>109</v>
      </c>
      <c r="E679" s="2" t="s">
        <v>535</v>
      </c>
      <c r="F679" s="2">
        <v>502139552</v>
      </c>
      <c r="G679" s="2" t="s">
        <v>40</v>
      </c>
      <c r="H679" s="2" t="s">
        <v>340</v>
      </c>
      <c r="I679" s="2" t="s">
        <v>536</v>
      </c>
      <c r="K679" s="2" t="s">
        <v>340</v>
      </c>
      <c r="L679" s="2" t="s">
        <v>81</v>
      </c>
      <c r="O679" s="2" t="s">
        <v>73</v>
      </c>
      <c r="P679" s="2" t="s">
        <v>74</v>
      </c>
      <c r="Q679" s="2" t="s">
        <v>75</v>
      </c>
      <c r="R679" s="2">
        <v>1</v>
      </c>
      <c r="S679" s="2">
        <v>210</v>
      </c>
      <c r="T679" s="2">
        <v>48.3</v>
      </c>
      <c r="U679" s="2">
        <v>258.3</v>
      </c>
      <c r="V679" s="2">
        <v>117.453</v>
      </c>
      <c r="W679" s="5">
        <f t="shared" si="73"/>
        <v>0.44069999999999998</v>
      </c>
      <c r="Y679" s="2" t="s">
        <v>3256</v>
      </c>
      <c r="Z679" s="2" t="s">
        <v>76</v>
      </c>
      <c r="AA679" s="2" t="s">
        <v>77</v>
      </c>
      <c r="AB679" s="2" t="s">
        <v>78</v>
      </c>
      <c r="AE679" s="2">
        <f t="shared" si="69"/>
        <v>0</v>
      </c>
      <c r="AF679" s="2">
        <v>117.453</v>
      </c>
      <c r="AG679" s="2">
        <v>220</v>
      </c>
      <c r="AI679" s="2">
        <f t="shared" si="70"/>
        <v>0</v>
      </c>
      <c r="AJ679" s="2">
        <f t="shared" si="71"/>
        <v>92.546999999999997</v>
      </c>
      <c r="AK679" s="5">
        <f t="shared" si="72"/>
        <v>0.44069999999999998</v>
      </c>
    </row>
    <row r="680" spans="1:37" x14ac:dyDescent="0.2">
      <c r="A680" s="2">
        <v>2025</v>
      </c>
      <c r="B680" s="2">
        <v>3</v>
      </c>
      <c r="C680" s="2" t="s">
        <v>534</v>
      </c>
      <c r="D680" s="2" t="s">
        <v>109</v>
      </c>
      <c r="E680" s="2" t="s">
        <v>535</v>
      </c>
      <c r="F680" s="2">
        <v>502139552</v>
      </c>
      <c r="G680" s="2" t="s">
        <v>40</v>
      </c>
      <c r="H680" s="2" t="s">
        <v>340</v>
      </c>
      <c r="I680" s="2" t="s">
        <v>536</v>
      </c>
      <c r="K680" s="2" t="s">
        <v>340</v>
      </c>
      <c r="L680" s="2" t="s">
        <v>81</v>
      </c>
      <c r="O680" s="2" t="s">
        <v>73</v>
      </c>
      <c r="P680" s="2" t="s">
        <v>1081</v>
      </c>
      <c r="Q680" s="2" t="s">
        <v>383</v>
      </c>
      <c r="R680" s="2">
        <v>1</v>
      </c>
      <c r="S680" s="2">
        <v>220</v>
      </c>
      <c r="T680" s="2">
        <v>50.6</v>
      </c>
      <c r="U680" s="2">
        <v>270.60000000000002</v>
      </c>
      <c r="W680" s="5">
        <f t="shared" si="73"/>
        <v>1</v>
      </c>
      <c r="Y680" s="2" t="s">
        <v>3256</v>
      </c>
      <c r="Z680" s="2" t="s">
        <v>76</v>
      </c>
      <c r="AA680" s="2" t="s">
        <v>77</v>
      </c>
      <c r="AB680" s="2" t="s">
        <v>78</v>
      </c>
      <c r="AE680" s="2">
        <f t="shared" si="69"/>
        <v>0</v>
      </c>
      <c r="AI680" s="2">
        <f t="shared" si="70"/>
        <v>0</v>
      </c>
      <c r="AJ680" s="2">
        <f t="shared" si="71"/>
        <v>220</v>
      </c>
      <c r="AK680" s="5">
        <f t="shared" si="72"/>
        <v>1</v>
      </c>
    </row>
    <row r="681" spans="1:37" x14ac:dyDescent="0.2">
      <c r="A681" s="2">
        <v>2025</v>
      </c>
      <c r="B681" s="2">
        <v>3</v>
      </c>
      <c r="C681" s="2" t="s">
        <v>534</v>
      </c>
      <c r="D681" s="2" t="s">
        <v>109</v>
      </c>
      <c r="E681" s="2" t="s">
        <v>535</v>
      </c>
      <c r="F681" s="2">
        <v>502139552</v>
      </c>
      <c r="G681" s="2" t="s">
        <v>40</v>
      </c>
      <c r="H681" s="2" t="s">
        <v>340</v>
      </c>
      <c r="I681" s="2" t="s">
        <v>536</v>
      </c>
      <c r="K681" s="2" t="s">
        <v>340</v>
      </c>
      <c r="L681" s="2" t="s">
        <v>81</v>
      </c>
      <c r="O681" s="2" t="s">
        <v>94</v>
      </c>
      <c r="P681" s="2" t="s">
        <v>95</v>
      </c>
      <c r="Q681" s="2" t="s">
        <v>96</v>
      </c>
      <c r="R681" s="2">
        <v>2</v>
      </c>
      <c r="S681" s="2">
        <v>2.2799999999999998</v>
      </c>
      <c r="T681" s="2">
        <v>0.52439999999999998</v>
      </c>
      <c r="U681" s="2">
        <v>2.8043999999999998</v>
      </c>
      <c r="V681" s="2">
        <v>2.2799999999999998</v>
      </c>
      <c r="W681" s="5">
        <f t="shared" si="73"/>
        <v>0</v>
      </c>
      <c r="Y681" s="2" t="s">
        <v>3256</v>
      </c>
      <c r="Z681" s="2" t="s">
        <v>97</v>
      </c>
      <c r="AA681" s="2" t="s">
        <v>77</v>
      </c>
      <c r="AB681" s="2" t="s">
        <v>94</v>
      </c>
      <c r="AE681" s="2">
        <f t="shared" si="69"/>
        <v>0</v>
      </c>
      <c r="AI681" s="2">
        <f t="shared" si="70"/>
        <v>0</v>
      </c>
      <c r="AJ681" s="2">
        <f t="shared" si="71"/>
        <v>0</v>
      </c>
      <c r="AK681" s="5">
        <f t="shared" si="72"/>
        <v>0</v>
      </c>
    </row>
    <row r="682" spans="1:37" x14ac:dyDescent="0.2">
      <c r="A682" s="2">
        <v>2025</v>
      </c>
      <c r="B682" s="2">
        <v>3</v>
      </c>
      <c r="C682" s="2" t="s">
        <v>1082</v>
      </c>
      <c r="O682" s="2" t="s">
        <v>73</v>
      </c>
      <c r="P682" s="2" t="s">
        <v>1083</v>
      </c>
      <c r="Q682" s="2" t="s">
        <v>308</v>
      </c>
      <c r="R682" s="2">
        <v>1</v>
      </c>
      <c r="S682" s="2">
        <v>215</v>
      </c>
      <c r="T682" s="2">
        <v>49.45</v>
      </c>
      <c r="U682" s="2">
        <v>264.45</v>
      </c>
      <c r="W682" s="5">
        <f t="shared" si="73"/>
        <v>1</v>
      </c>
      <c r="Y682" s="2" t="s">
        <v>3256</v>
      </c>
      <c r="Z682" s="2" t="s">
        <v>76</v>
      </c>
      <c r="AA682" s="2" t="s">
        <v>77</v>
      </c>
      <c r="AB682" s="2" t="s">
        <v>78</v>
      </c>
      <c r="AE682" s="2">
        <f t="shared" si="69"/>
        <v>0</v>
      </c>
      <c r="AI682" s="2">
        <f t="shared" si="70"/>
        <v>0</v>
      </c>
      <c r="AJ682" s="2">
        <f t="shared" si="71"/>
        <v>215</v>
      </c>
      <c r="AK682" s="5">
        <f t="shared" si="72"/>
        <v>1</v>
      </c>
    </row>
    <row r="683" spans="1:37" x14ac:dyDescent="0.2">
      <c r="A683" s="2">
        <v>2025</v>
      </c>
      <c r="B683" s="2">
        <v>3</v>
      </c>
      <c r="C683" s="2" t="s">
        <v>1082</v>
      </c>
      <c r="O683" s="2" t="s">
        <v>73</v>
      </c>
      <c r="P683" s="2" t="s">
        <v>1084</v>
      </c>
      <c r="Q683" s="2" t="s">
        <v>84</v>
      </c>
      <c r="R683" s="2">
        <v>1</v>
      </c>
      <c r="S683" s="2">
        <v>250</v>
      </c>
      <c r="T683" s="2">
        <v>57.5</v>
      </c>
      <c r="U683" s="2">
        <v>307.5</v>
      </c>
      <c r="V683" s="2">
        <v>159.54</v>
      </c>
      <c r="W683" s="5">
        <f t="shared" si="73"/>
        <v>0.36184000000000005</v>
      </c>
      <c r="Y683" s="2" t="s">
        <v>3256</v>
      </c>
      <c r="Z683" s="2" t="s">
        <v>76</v>
      </c>
      <c r="AA683" s="2" t="s">
        <v>77</v>
      </c>
      <c r="AB683" s="2" t="s">
        <v>78</v>
      </c>
      <c r="AE683" s="2">
        <f t="shared" si="69"/>
        <v>0</v>
      </c>
      <c r="AF683" s="2">
        <f>144.14+15.4</f>
        <v>159.54</v>
      </c>
      <c r="AG683" s="2">
        <v>280</v>
      </c>
      <c r="AI683" s="2">
        <f t="shared" si="70"/>
        <v>0</v>
      </c>
      <c r="AJ683" s="2">
        <f t="shared" si="71"/>
        <v>90.460000000000008</v>
      </c>
      <c r="AK683" s="5">
        <f t="shared" si="72"/>
        <v>0.36184000000000005</v>
      </c>
    </row>
    <row r="684" spans="1:37" x14ac:dyDescent="0.2">
      <c r="A684" s="2">
        <v>2025</v>
      </c>
      <c r="B684" s="2">
        <v>3</v>
      </c>
      <c r="C684" s="2" t="s">
        <v>1082</v>
      </c>
      <c r="O684" s="2" t="s">
        <v>94</v>
      </c>
      <c r="P684" s="2" t="s">
        <v>95</v>
      </c>
      <c r="Q684" s="2" t="s">
        <v>96</v>
      </c>
      <c r="R684" s="2">
        <v>2</v>
      </c>
      <c r="S684" s="2">
        <v>2.2799999999999998</v>
      </c>
      <c r="T684" s="2">
        <v>0.52439999999999998</v>
      </c>
      <c r="U684" s="2">
        <v>2.8043999999999998</v>
      </c>
      <c r="V684" s="2">
        <v>2.2799999999999998</v>
      </c>
      <c r="W684" s="5">
        <f t="shared" si="73"/>
        <v>0</v>
      </c>
      <c r="Y684" s="2" t="s">
        <v>3256</v>
      </c>
      <c r="Z684" s="2" t="s">
        <v>97</v>
      </c>
      <c r="AA684" s="2" t="s">
        <v>77</v>
      </c>
      <c r="AB684" s="2" t="s">
        <v>94</v>
      </c>
      <c r="AE684" s="2">
        <f t="shared" si="69"/>
        <v>0</v>
      </c>
      <c r="AI684" s="2">
        <f t="shared" si="70"/>
        <v>0</v>
      </c>
      <c r="AJ684" s="2">
        <f t="shared" si="71"/>
        <v>0</v>
      </c>
      <c r="AK684" s="5">
        <f t="shared" si="72"/>
        <v>0</v>
      </c>
    </row>
    <row r="685" spans="1:37" x14ac:dyDescent="0.2">
      <c r="A685" s="2">
        <v>2025</v>
      </c>
      <c r="B685" s="2">
        <v>3</v>
      </c>
      <c r="C685" s="2" t="s">
        <v>553</v>
      </c>
      <c r="D685" s="2" t="s">
        <v>109</v>
      </c>
      <c r="E685" s="2" t="s">
        <v>397</v>
      </c>
      <c r="F685" s="2">
        <v>503641790</v>
      </c>
      <c r="G685" s="2" t="s">
        <v>40</v>
      </c>
      <c r="H685" s="2" t="s">
        <v>554</v>
      </c>
      <c r="I685" s="2" t="s">
        <v>555</v>
      </c>
      <c r="J685" s="2">
        <v>917753665</v>
      </c>
      <c r="K685" s="2" t="s">
        <v>100</v>
      </c>
      <c r="L685" s="2" t="s">
        <v>40</v>
      </c>
      <c r="N685" s="2" t="s">
        <v>1085</v>
      </c>
      <c r="O685" s="2" t="s">
        <v>115</v>
      </c>
      <c r="P685" s="2" t="s">
        <v>1086</v>
      </c>
      <c r="Q685" s="2" t="s">
        <v>1087</v>
      </c>
      <c r="R685" s="2">
        <v>1</v>
      </c>
      <c r="S685" s="2">
        <v>136.22999999999999</v>
      </c>
      <c r="T685" s="2">
        <v>31.332899999999999</v>
      </c>
      <c r="U685" s="2">
        <v>167.56290000000001</v>
      </c>
      <c r="V685" s="2">
        <v>74.795000000000002</v>
      </c>
      <c r="W685" s="5">
        <f t="shared" si="73"/>
        <v>0.45096527930705421</v>
      </c>
      <c r="Y685" s="2" t="s">
        <v>118</v>
      </c>
      <c r="Z685" s="2" t="s">
        <v>119</v>
      </c>
      <c r="AA685" s="2" t="s">
        <v>120</v>
      </c>
      <c r="AB685" s="2" t="s">
        <v>115</v>
      </c>
      <c r="AE685" s="2">
        <f t="shared" si="69"/>
        <v>0</v>
      </c>
      <c r="AF685" s="2">
        <v>74.795000000000002</v>
      </c>
      <c r="AI685" s="2">
        <f t="shared" si="70"/>
        <v>0</v>
      </c>
      <c r="AJ685" s="2">
        <f t="shared" si="71"/>
        <v>61.434999999999988</v>
      </c>
      <c r="AK685" s="5">
        <f t="shared" si="72"/>
        <v>0.45096527930705421</v>
      </c>
    </row>
    <row r="686" spans="1:37" x14ac:dyDescent="0.2">
      <c r="A686" s="2">
        <v>2025</v>
      </c>
      <c r="B686" s="2">
        <v>3</v>
      </c>
      <c r="C686" s="2" t="s">
        <v>553</v>
      </c>
      <c r="D686" s="2" t="s">
        <v>109</v>
      </c>
      <c r="E686" s="2" t="s">
        <v>397</v>
      </c>
      <c r="F686" s="2">
        <v>503641790</v>
      </c>
      <c r="G686" s="2" t="s">
        <v>40</v>
      </c>
      <c r="H686" s="2" t="s">
        <v>554</v>
      </c>
      <c r="I686" s="2" t="s">
        <v>555</v>
      </c>
      <c r="J686" s="2">
        <v>917753665</v>
      </c>
      <c r="K686" s="2" t="s">
        <v>100</v>
      </c>
      <c r="L686" s="2" t="s">
        <v>40</v>
      </c>
      <c r="N686" s="2" t="s">
        <v>1085</v>
      </c>
      <c r="O686" s="2" t="s">
        <v>115</v>
      </c>
      <c r="P686" s="2" t="s">
        <v>1088</v>
      </c>
      <c r="Q686" s="2" t="s">
        <v>1089</v>
      </c>
      <c r="R686" s="2">
        <v>1</v>
      </c>
      <c r="S686" s="2">
        <v>66.41</v>
      </c>
      <c r="T686" s="2">
        <v>15.2743</v>
      </c>
      <c r="U686" s="2">
        <v>81.684299999999993</v>
      </c>
      <c r="V686" s="2">
        <v>37.96</v>
      </c>
      <c r="W686" s="5">
        <f t="shared" si="73"/>
        <v>0.4283993374491793</v>
      </c>
      <c r="Y686" s="2" t="s">
        <v>118</v>
      </c>
      <c r="Z686" s="2" t="s">
        <v>119</v>
      </c>
      <c r="AA686" s="2" t="s">
        <v>120</v>
      </c>
      <c r="AB686" s="2" t="s">
        <v>115</v>
      </c>
      <c r="AE686" s="2">
        <f t="shared" si="69"/>
        <v>0</v>
      </c>
      <c r="AF686" s="2">
        <v>37.96</v>
      </c>
      <c r="AI686" s="2">
        <f t="shared" si="70"/>
        <v>0</v>
      </c>
      <c r="AJ686" s="2">
        <f t="shared" si="71"/>
        <v>28.449999999999996</v>
      </c>
      <c r="AK686" s="5">
        <f t="shared" si="72"/>
        <v>0.4283993374491793</v>
      </c>
    </row>
    <row r="687" spans="1:37" x14ac:dyDescent="0.2">
      <c r="A687" s="2">
        <v>2025</v>
      </c>
      <c r="B687" s="2">
        <v>3</v>
      </c>
      <c r="C687" s="2" t="s">
        <v>553</v>
      </c>
      <c r="D687" s="2" t="s">
        <v>109</v>
      </c>
      <c r="E687" s="2" t="s">
        <v>397</v>
      </c>
      <c r="F687" s="2">
        <v>503641790</v>
      </c>
      <c r="G687" s="2" t="s">
        <v>40</v>
      </c>
      <c r="H687" s="2" t="s">
        <v>554</v>
      </c>
      <c r="I687" s="2" t="s">
        <v>555</v>
      </c>
      <c r="J687" s="2">
        <v>917753665</v>
      </c>
      <c r="K687" s="2" t="s">
        <v>100</v>
      </c>
      <c r="L687" s="2" t="s">
        <v>81</v>
      </c>
      <c r="N687" s="2" t="s">
        <v>1090</v>
      </c>
      <c r="O687" s="2" t="s">
        <v>73</v>
      </c>
      <c r="P687" s="2" t="s">
        <v>74</v>
      </c>
      <c r="Q687" s="2" t="s">
        <v>75</v>
      </c>
      <c r="R687" s="2">
        <v>1</v>
      </c>
      <c r="S687" s="2">
        <v>210</v>
      </c>
      <c r="T687" s="2">
        <v>48.3</v>
      </c>
      <c r="U687" s="2">
        <v>258.3</v>
      </c>
      <c r="V687" s="2">
        <v>117.453</v>
      </c>
      <c r="W687" s="5">
        <f t="shared" si="73"/>
        <v>0.44069999999999998</v>
      </c>
      <c r="Y687" s="2" t="s">
        <v>3256</v>
      </c>
      <c r="Z687" s="2" t="s">
        <v>76</v>
      </c>
      <c r="AA687" s="2" t="s">
        <v>77</v>
      </c>
      <c r="AB687" s="2" t="s">
        <v>78</v>
      </c>
      <c r="AE687" s="2">
        <f t="shared" si="69"/>
        <v>0</v>
      </c>
      <c r="AF687" s="2">
        <v>117.453</v>
      </c>
      <c r="AG687" s="2">
        <v>220</v>
      </c>
      <c r="AI687" s="2">
        <f t="shared" si="70"/>
        <v>0</v>
      </c>
      <c r="AJ687" s="2">
        <f t="shared" si="71"/>
        <v>92.546999999999997</v>
      </c>
      <c r="AK687" s="5">
        <f t="shared" si="72"/>
        <v>0.44069999999999998</v>
      </c>
    </row>
    <row r="688" spans="1:37" x14ac:dyDescent="0.2">
      <c r="A688" s="2">
        <v>2025</v>
      </c>
      <c r="B688" s="2">
        <v>3</v>
      </c>
      <c r="C688" s="2" t="s">
        <v>553</v>
      </c>
      <c r="D688" s="2" t="s">
        <v>109</v>
      </c>
      <c r="E688" s="2" t="s">
        <v>397</v>
      </c>
      <c r="F688" s="2">
        <v>503641790</v>
      </c>
      <c r="G688" s="2" t="s">
        <v>40</v>
      </c>
      <c r="H688" s="2" t="s">
        <v>554</v>
      </c>
      <c r="I688" s="2" t="s">
        <v>555</v>
      </c>
      <c r="J688" s="2">
        <v>917753665</v>
      </c>
      <c r="K688" s="2" t="s">
        <v>100</v>
      </c>
      <c r="L688" s="2" t="s">
        <v>81</v>
      </c>
      <c r="N688" s="2" t="s">
        <v>1091</v>
      </c>
      <c r="O688" s="2" t="s">
        <v>73</v>
      </c>
      <c r="P688" s="2" t="s">
        <v>670</v>
      </c>
      <c r="Q688" s="2" t="s">
        <v>80</v>
      </c>
      <c r="R688" s="2">
        <v>1</v>
      </c>
      <c r="S688" s="2">
        <v>210</v>
      </c>
      <c r="T688" s="2">
        <v>48.3</v>
      </c>
      <c r="U688" s="2">
        <v>258.3</v>
      </c>
      <c r="V688" s="2">
        <v>111.11</v>
      </c>
      <c r="W688" s="5">
        <f t="shared" si="73"/>
        <v>0.47090476190476188</v>
      </c>
      <c r="Y688" s="2" t="s">
        <v>3256</v>
      </c>
      <c r="Z688" s="2" t="s">
        <v>76</v>
      </c>
      <c r="AA688" s="2" t="s">
        <v>77</v>
      </c>
      <c r="AB688" s="2" t="s">
        <v>78</v>
      </c>
      <c r="AE688" s="2">
        <f t="shared" si="69"/>
        <v>0</v>
      </c>
      <c r="AF688" s="2">
        <v>111.11</v>
      </c>
      <c r="AI688" s="2">
        <f t="shared" si="70"/>
        <v>0</v>
      </c>
      <c r="AJ688" s="2">
        <f t="shared" si="71"/>
        <v>98.89</v>
      </c>
      <c r="AK688" s="5">
        <f t="shared" si="72"/>
        <v>0.47090476190476188</v>
      </c>
    </row>
    <row r="689" spans="1:37" x14ac:dyDescent="0.2">
      <c r="A689" s="2">
        <v>2025</v>
      </c>
      <c r="B689" s="2">
        <v>3</v>
      </c>
      <c r="C689" s="2" t="s">
        <v>553</v>
      </c>
      <c r="D689" s="2" t="s">
        <v>109</v>
      </c>
      <c r="E689" s="2" t="s">
        <v>397</v>
      </c>
      <c r="F689" s="2">
        <v>503641790</v>
      </c>
      <c r="G689" s="2" t="s">
        <v>40</v>
      </c>
      <c r="H689" s="2" t="s">
        <v>554</v>
      </c>
      <c r="I689" s="2" t="s">
        <v>555</v>
      </c>
      <c r="J689" s="2">
        <v>917753665</v>
      </c>
      <c r="K689" s="2" t="s">
        <v>100</v>
      </c>
      <c r="L689" s="2" t="s">
        <v>40</v>
      </c>
      <c r="N689" s="2" t="s">
        <v>1085</v>
      </c>
      <c r="O689" s="2" t="s">
        <v>188</v>
      </c>
      <c r="P689" s="2" t="s">
        <v>189</v>
      </c>
      <c r="Q689" s="2" t="s">
        <v>190</v>
      </c>
      <c r="R689" s="2">
        <v>1</v>
      </c>
      <c r="S689" s="2">
        <v>0</v>
      </c>
      <c r="T689" s="2">
        <v>0</v>
      </c>
      <c r="U689" s="2">
        <v>0</v>
      </c>
      <c r="V689" s="2">
        <v>0</v>
      </c>
      <c r="W689" s="5">
        <v>0</v>
      </c>
      <c r="Y689" s="2" t="s">
        <v>118</v>
      </c>
      <c r="Z689" s="2" t="s">
        <v>191</v>
      </c>
      <c r="AE689" s="2">
        <f t="shared" si="69"/>
        <v>0</v>
      </c>
      <c r="AI689" s="2">
        <f t="shared" si="70"/>
        <v>0</v>
      </c>
      <c r="AJ689" s="2">
        <f t="shared" si="71"/>
        <v>0</v>
      </c>
      <c r="AK689" s="5" t="e">
        <f t="shared" si="72"/>
        <v>#DIV/0!</v>
      </c>
    </row>
    <row r="690" spans="1:37" x14ac:dyDescent="0.2">
      <c r="A690" s="2">
        <v>2025</v>
      </c>
      <c r="B690" s="2">
        <v>3</v>
      </c>
      <c r="C690" s="2" t="s">
        <v>553</v>
      </c>
      <c r="D690" s="2" t="s">
        <v>109</v>
      </c>
      <c r="E690" s="2" t="s">
        <v>397</v>
      </c>
      <c r="F690" s="2">
        <v>503641790</v>
      </c>
      <c r="G690" s="2" t="s">
        <v>40</v>
      </c>
      <c r="H690" s="2" t="s">
        <v>554</v>
      </c>
      <c r="I690" s="2" t="s">
        <v>555</v>
      </c>
      <c r="J690" s="2">
        <v>917753665</v>
      </c>
      <c r="K690" s="2" t="s">
        <v>100</v>
      </c>
      <c r="L690" s="2" t="s">
        <v>40</v>
      </c>
      <c r="N690" s="2" t="s">
        <v>1085</v>
      </c>
      <c r="O690" s="2" t="s">
        <v>188</v>
      </c>
      <c r="P690" s="2" t="s">
        <v>192</v>
      </c>
      <c r="Q690" s="2" t="s">
        <v>191</v>
      </c>
      <c r="R690" s="2">
        <v>2</v>
      </c>
      <c r="S690" s="2">
        <v>37.5</v>
      </c>
      <c r="T690" s="2">
        <v>8.625</v>
      </c>
      <c r="U690" s="2">
        <v>46.125</v>
      </c>
      <c r="V690" s="2">
        <f>S690*50%</f>
        <v>18.75</v>
      </c>
      <c r="W690" s="5">
        <f t="shared" ref="W690:W721" si="74">(S690-V690)/S690</f>
        <v>0.5</v>
      </c>
      <c r="Y690" s="2" t="s">
        <v>118</v>
      </c>
      <c r="Z690" s="2" t="s">
        <v>191</v>
      </c>
      <c r="AE690" s="2">
        <f t="shared" si="69"/>
        <v>0</v>
      </c>
      <c r="AI690" s="2">
        <f t="shared" si="70"/>
        <v>0</v>
      </c>
      <c r="AJ690" s="2">
        <f t="shared" si="71"/>
        <v>18.75</v>
      </c>
      <c r="AK690" s="5">
        <f t="shared" si="72"/>
        <v>0.5</v>
      </c>
    </row>
    <row r="691" spans="1:37" x14ac:dyDescent="0.2">
      <c r="A691" s="2">
        <v>2025</v>
      </c>
      <c r="B691" s="2">
        <v>3</v>
      </c>
      <c r="C691" s="2" t="s">
        <v>553</v>
      </c>
      <c r="D691" s="2" t="s">
        <v>109</v>
      </c>
      <c r="E691" s="2" t="s">
        <v>397</v>
      </c>
      <c r="F691" s="2">
        <v>503641790</v>
      </c>
      <c r="G691" s="2" t="s">
        <v>40</v>
      </c>
      <c r="H691" s="2" t="s">
        <v>554</v>
      </c>
      <c r="I691" s="2" t="s">
        <v>555</v>
      </c>
      <c r="J691" s="2">
        <v>917753665</v>
      </c>
      <c r="K691" s="2" t="s">
        <v>100</v>
      </c>
      <c r="L691" s="2" t="s">
        <v>81</v>
      </c>
      <c r="N691" s="2" t="s">
        <v>1091</v>
      </c>
      <c r="O691" s="2" t="s">
        <v>94</v>
      </c>
      <c r="P691" s="2" t="s">
        <v>95</v>
      </c>
      <c r="Q691" s="2" t="s">
        <v>96</v>
      </c>
      <c r="R691" s="2">
        <v>2</v>
      </c>
      <c r="S691" s="2">
        <v>2.2799999999999998</v>
      </c>
      <c r="T691" s="2">
        <v>0.52439999999999998</v>
      </c>
      <c r="U691" s="2">
        <v>2.8043999999999998</v>
      </c>
      <c r="V691" s="2">
        <v>2.2799999999999998</v>
      </c>
      <c r="W691" s="5">
        <f t="shared" si="74"/>
        <v>0</v>
      </c>
      <c r="Y691" s="2" t="s">
        <v>3256</v>
      </c>
      <c r="Z691" s="2" t="s">
        <v>97</v>
      </c>
      <c r="AA691" s="2" t="s">
        <v>77</v>
      </c>
      <c r="AB691" s="2" t="s">
        <v>94</v>
      </c>
      <c r="AE691" s="2">
        <f t="shared" si="69"/>
        <v>0</v>
      </c>
      <c r="AF691" s="2">
        <v>1.1399999999999999</v>
      </c>
      <c r="AG691" s="2">
        <v>1.1399999999999999</v>
      </c>
      <c r="AI691" s="2">
        <f t="shared" si="70"/>
        <v>0</v>
      </c>
      <c r="AJ691" s="2">
        <f t="shared" si="71"/>
        <v>0</v>
      </c>
      <c r="AK691" s="5">
        <f t="shared" si="72"/>
        <v>0</v>
      </c>
    </row>
    <row r="692" spans="1:37" x14ac:dyDescent="0.2">
      <c r="A692" s="2">
        <v>2025</v>
      </c>
      <c r="B692" s="2">
        <v>3</v>
      </c>
      <c r="C692" s="2" t="s">
        <v>1092</v>
      </c>
      <c r="O692" s="2" t="s">
        <v>1203</v>
      </c>
      <c r="P692" s="2" t="s">
        <v>1093</v>
      </c>
      <c r="Q692" s="2" t="s">
        <v>1094</v>
      </c>
      <c r="R692" s="2">
        <v>1</v>
      </c>
      <c r="S692" s="2">
        <v>2958.54</v>
      </c>
      <c r="T692" s="2">
        <v>680.46420000000001</v>
      </c>
      <c r="U692" s="2">
        <v>3639.0041999999999</v>
      </c>
      <c r="W692" s="5">
        <f t="shared" si="74"/>
        <v>1</v>
      </c>
      <c r="Y692" s="2" t="s">
        <v>105</v>
      </c>
      <c r="AE692" s="2">
        <f t="shared" si="69"/>
        <v>0</v>
      </c>
      <c r="AI692" s="2">
        <f t="shared" si="70"/>
        <v>0</v>
      </c>
      <c r="AJ692" s="2">
        <f t="shared" si="71"/>
        <v>2958.54</v>
      </c>
      <c r="AK692" s="5">
        <f t="shared" si="72"/>
        <v>1</v>
      </c>
    </row>
    <row r="693" spans="1:37" x14ac:dyDescent="0.2">
      <c r="A693" s="2">
        <v>2025</v>
      </c>
      <c r="B693" s="2">
        <v>3</v>
      </c>
      <c r="C693" s="2" t="s">
        <v>1092</v>
      </c>
      <c r="P693" s="2" t="s">
        <v>1095</v>
      </c>
      <c r="Q693" s="2" t="s">
        <v>1096</v>
      </c>
      <c r="R693" s="2">
        <v>2</v>
      </c>
      <c r="S693" s="2">
        <v>700</v>
      </c>
      <c r="T693" s="2">
        <v>161</v>
      </c>
      <c r="U693" s="2">
        <v>861</v>
      </c>
      <c r="W693" s="5">
        <f t="shared" si="74"/>
        <v>1</v>
      </c>
      <c r="AE693" s="2">
        <f t="shared" si="69"/>
        <v>0</v>
      </c>
      <c r="AI693" s="2">
        <f t="shared" si="70"/>
        <v>0</v>
      </c>
      <c r="AJ693" s="2">
        <f t="shared" si="71"/>
        <v>700</v>
      </c>
      <c r="AK693" s="5">
        <f t="shared" si="72"/>
        <v>1</v>
      </c>
    </row>
    <row r="694" spans="1:37" x14ac:dyDescent="0.2">
      <c r="A694" s="2">
        <v>2025</v>
      </c>
      <c r="B694" s="2">
        <v>3</v>
      </c>
      <c r="C694" s="2" t="s">
        <v>1097</v>
      </c>
      <c r="D694" s="2" t="s">
        <v>109</v>
      </c>
      <c r="E694" s="2" t="s">
        <v>39</v>
      </c>
      <c r="F694" s="2">
        <v>505194147</v>
      </c>
      <c r="G694" s="2" t="s">
        <v>110</v>
      </c>
      <c r="H694" s="2" t="s">
        <v>1098</v>
      </c>
      <c r="I694" s="2" t="s">
        <v>1099</v>
      </c>
      <c r="J694" s="2">
        <v>917523997</v>
      </c>
      <c r="K694" s="2" t="s">
        <v>113</v>
      </c>
      <c r="L694" s="2" t="s">
        <v>40</v>
      </c>
      <c r="N694" s="2" t="s">
        <v>1100</v>
      </c>
      <c r="O694" s="2" t="s">
        <v>115</v>
      </c>
      <c r="P694" s="2" t="s">
        <v>986</v>
      </c>
      <c r="Q694" s="2" t="s">
        <v>987</v>
      </c>
      <c r="R694" s="2">
        <v>1</v>
      </c>
      <c r="S694" s="2">
        <v>76.930000000000007</v>
      </c>
      <c r="T694" s="2">
        <v>17.693899999999999</v>
      </c>
      <c r="U694" s="2">
        <v>94.623900000000006</v>
      </c>
      <c r="W694" s="5">
        <f t="shared" si="74"/>
        <v>1</v>
      </c>
      <c r="Y694" s="2" t="s">
        <v>118</v>
      </c>
      <c r="Z694" s="2" t="s">
        <v>119</v>
      </c>
      <c r="AE694" s="2">
        <f t="shared" si="69"/>
        <v>0</v>
      </c>
      <c r="AI694" s="2">
        <f t="shared" si="70"/>
        <v>0</v>
      </c>
      <c r="AJ694" s="2">
        <f t="shared" si="71"/>
        <v>76.930000000000007</v>
      </c>
      <c r="AK694" s="5">
        <f t="shared" si="72"/>
        <v>1</v>
      </c>
    </row>
    <row r="695" spans="1:37" x14ac:dyDescent="0.2">
      <c r="A695" s="2">
        <v>2025</v>
      </c>
      <c r="B695" s="2">
        <v>3</v>
      </c>
      <c r="C695" s="2" t="s">
        <v>899</v>
      </c>
      <c r="O695" s="2" t="s">
        <v>73</v>
      </c>
      <c r="P695" s="2" t="s">
        <v>838</v>
      </c>
      <c r="Q695" s="2" t="s">
        <v>75</v>
      </c>
      <c r="R695" s="2">
        <v>1</v>
      </c>
      <c r="S695" s="2">
        <v>220</v>
      </c>
      <c r="T695" s="2">
        <v>50.6</v>
      </c>
      <c r="U695" s="2">
        <v>270.60000000000002</v>
      </c>
      <c r="V695" s="2">
        <v>120.636</v>
      </c>
      <c r="W695" s="5">
        <f t="shared" si="74"/>
        <v>0.45165454545454548</v>
      </c>
      <c r="Y695" s="2" t="s">
        <v>3256</v>
      </c>
      <c r="Z695" s="2" t="s">
        <v>76</v>
      </c>
      <c r="AA695" s="2" t="s">
        <v>77</v>
      </c>
      <c r="AB695" s="2" t="s">
        <v>78</v>
      </c>
      <c r="AE695" s="2">
        <f t="shared" si="69"/>
        <v>0</v>
      </c>
      <c r="AF695" s="2">
        <v>120.636</v>
      </c>
      <c r="AG695" s="2">
        <v>220</v>
      </c>
      <c r="AI695" s="2">
        <f t="shared" si="70"/>
        <v>0</v>
      </c>
      <c r="AJ695" s="2">
        <f t="shared" si="71"/>
        <v>99.364000000000004</v>
      </c>
      <c r="AK695" s="5">
        <f t="shared" si="72"/>
        <v>0.45165454545454548</v>
      </c>
    </row>
    <row r="696" spans="1:37" x14ac:dyDescent="0.2">
      <c r="A696" s="2">
        <v>2025</v>
      </c>
      <c r="B696" s="2">
        <v>3</v>
      </c>
      <c r="C696" s="2" t="s">
        <v>899</v>
      </c>
      <c r="O696" s="2" t="s">
        <v>94</v>
      </c>
      <c r="P696" s="2" t="s">
        <v>95</v>
      </c>
      <c r="Q696" s="2" t="s">
        <v>96</v>
      </c>
      <c r="R696" s="2">
        <v>1</v>
      </c>
      <c r="S696" s="2">
        <v>1.1399999999999999</v>
      </c>
      <c r="T696" s="2">
        <v>0.26219999999999999</v>
      </c>
      <c r="U696" s="2">
        <v>1.4021999999999999</v>
      </c>
      <c r="V696" s="2">
        <v>1.1399999999999999</v>
      </c>
      <c r="W696" s="5">
        <f t="shared" si="74"/>
        <v>0</v>
      </c>
      <c r="Y696" s="2" t="s">
        <v>3256</v>
      </c>
      <c r="Z696" s="2" t="s">
        <v>97</v>
      </c>
      <c r="AA696" s="2" t="s">
        <v>77</v>
      </c>
      <c r="AB696" s="2" t="s">
        <v>94</v>
      </c>
      <c r="AE696" s="2">
        <f t="shared" si="69"/>
        <v>0</v>
      </c>
      <c r="AI696" s="2">
        <f t="shared" si="70"/>
        <v>0</v>
      </c>
      <c r="AJ696" s="2">
        <f t="shared" si="71"/>
        <v>0</v>
      </c>
      <c r="AK696" s="5">
        <f t="shared" si="72"/>
        <v>0</v>
      </c>
    </row>
    <row r="697" spans="1:37" x14ac:dyDescent="0.2">
      <c r="A697" s="2">
        <v>2025</v>
      </c>
      <c r="B697" s="2">
        <v>3</v>
      </c>
      <c r="C697" s="2" t="s">
        <v>1101</v>
      </c>
      <c r="O697" s="2" t="s">
        <v>115</v>
      </c>
      <c r="P697" s="2" t="s">
        <v>543</v>
      </c>
      <c r="Q697" s="2" t="s">
        <v>544</v>
      </c>
      <c r="R697" s="2">
        <v>1</v>
      </c>
      <c r="S697" s="2">
        <v>49.81</v>
      </c>
      <c r="T697" s="2">
        <v>11.456300000000001</v>
      </c>
      <c r="U697" s="2">
        <v>61.266300000000001</v>
      </c>
      <c r="W697" s="5">
        <f t="shared" si="74"/>
        <v>1</v>
      </c>
      <c r="AE697" s="2">
        <f t="shared" si="69"/>
        <v>0</v>
      </c>
      <c r="AI697" s="2">
        <f t="shared" si="70"/>
        <v>0</v>
      </c>
      <c r="AJ697" s="2">
        <f t="shared" si="71"/>
        <v>49.81</v>
      </c>
      <c r="AK697" s="5">
        <f t="shared" si="72"/>
        <v>1</v>
      </c>
    </row>
    <row r="698" spans="1:37" x14ac:dyDescent="0.2">
      <c r="A698" s="2">
        <v>2025</v>
      </c>
      <c r="B698" s="2">
        <v>3</v>
      </c>
      <c r="C698" s="2" t="s">
        <v>1101</v>
      </c>
      <c r="L698" s="2" t="s">
        <v>40</v>
      </c>
      <c r="O698" s="2" t="s">
        <v>188</v>
      </c>
      <c r="P698" s="2" t="s">
        <v>189</v>
      </c>
      <c r="Q698" s="2" t="s">
        <v>190</v>
      </c>
      <c r="R698" s="2">
        <v>1</v>
      </c>
      <c r="S698" s="2">
        <v>50</v>
      </c>
      <c r="T698" s="2">
        <v>11.5</v>
      </c>
      <c r="U698" s="2">
        <v>61.5</v>
      </c>
      <c r="W698" s="5">
        <f t="shared" si="74"/>
        <v>1</v>
      </c>
      <c r="Y698" s="2" t="s">
        <v>118</v>
      </c>
      <c r="Z698" s="2" t="s">
        <v>191</v>
      </c>
      <c r="AE698" s="2">
        <f t="shared" si="69"/>
        <v>0</v>
      </c>
      <c r="AI698" s="2">
        <f t="shared" si="70"/>
        <v>0</v>
      </c>
      <c r="AJ698" s="2">
        <f t="shared" si="71"/>
        <v>50</v>
      </c>
      <c r="AK698" s="5">
        <f t="shared" si="72"/>
        <v>1</v>
      </c>
    </row>
    <row r="699" spans="1:37" x14ac:dyDescent="0.2">
      <c r="A699" s="2">
        <v>2025</v>
      </c>
      <c r="B699" s="2">
        <v>3</v>
      </c>
      <c r="C699" s="2" t="s">
        <v>1101</v>
      </c>
      <c r="L699" s="2" t="s">
        <v>40</v>
      </c>
      <c r="O699" s="2" t="s">
        <v>188</v>
      </c>
      <c r="P699" s="2" t="s">
        <v>192</v>
      </c>
      <c r="Q699" s="2" t="s">
        <v>191</v>
      </c>
      <c r="R699" s="2">
        <v>1</v>
      </c>
      <c r="S699" s="2">
        <v>50</v>
      </c>
      <c r="T699" s="2">
        <v>11.5</v>
      </c>
      <c r="U699" s="2">
        <v>61.5</v>
      </c>
      <c r="V699" s="2">
        <f>S699*50%</f>
        <v>25</v>
      </c>
      <c r="W699" s="5">
        <f t="shared" si="74"/>
        <v>0.5</v>
      </c>
      <c r="Y699" s="2" t="s">
        <v>118</v>
      </c>
      <c r="Z699" s="2" t="s">
        <v>191</v>
      </c>
      <c r="AE699" s="2">
        <f t="shared" si="69"/>
        <v>0</v>
      </c>
      <c r="AI699" s="2">
        <f t="shared" si="70"/>
        <v>0</v>
      </c>
      <c r="AJ699" s="2">
        <f t="shared" si="71"/>
        <v>25</v>
      </c>
      <c r="AK699" s="5">
        <f t="shared" si="72"/>
        <v>0.5</v>
      </c>
    </row>
    <row r="700" spans="1:37" x14ac:dyDescent="0.2">
      <c r="A700" s="2">
        <v>2025</v>
      </c>
      <c r="B700" s="2">
        <v>3</v>
      </c>
      <c r="C700" s="2" t="s">
        <v>579</v>
      </c>
      <c r="D700" s="2" t="s">
        <v>38</v>
      </c>
      <c r="E700" s="2" t="s">
        <v>39</v>
      </c>
      <c r="F700" s="2">
        <v>504811029</v>
      </c>
      <c r="G700" s="2" t="s">
        <v>41</v>
      </c>
      <c r="H700" s="2" t="s">
        <v>178</v>
      </c>
      <c r="I700" s="2" t="s">
        <v>580</v>
      </c>
      <c r="K700" s="2" t="s">
        <v>178</v>
      </c>
      <c r="L700" s="2" t="s">
        <v>41</v>
      </c>
      <c r="O700" s="2" t="s">
        <v>102</v>
      </c>
      <c r="P700" s="2" t="s">
        <v>1102</v>
      </c>
      <c r="Q700" s="2" t="s">
        <v>1103</v>
      </c>
      <c r="R700" s="2">
        <v>3</v>
      </c>
      <c r="S700" s="2">
        <v>8673</v>
      </c>
      <c r="T700" s="2">
        <v>1994.79</v>
      </c>
      <c r="U700" s="2">
        <v>10667.79</v>
      </c>
      <c r="W700" s="5">
        <f t="shared" si="74"/>
        <v>1</v>
      </c>
      <c r="Y700" s="2" t="s">
        <v>105</v>
      </c>
      <c r="Z700" s="2" t="s">
        <v>265</v>
      </c>
      <c r="AA700" s="2" t="s">
        <v>1104</v>
      </c>
      <c r="AB700" s="2" t="s">
        <v>102</v>
      </c>
      <c r="AE700" s="2">
        <f t="shared" si="69"/>
        <v>0</v>
      </c>
      <c r="AI700" s="2">
        <f t="shared" si="70"/>
        <v>0</v>
      </c>
      <c r="AJ700" s="2">
        <f t="shared" si="71"/>
        <v>8673</v>
      </c>
      <c r="AK700" s="5">
        <f t="shared" si="72"/>
        <v>1</v>
      </c>
    </row>
    <row r="701" spans="1:37" x14ac:dyDescent="0.2">
      <c r="A701" s="2">
        <v>2025</v>
      </c>
      <c r="B701" s="2">
        <v>3</v>
      </c>
      <c r="C701" s="2" t="s">
        <v>579</v>
      </c>
      <c r="D701" s="2" t="s">
        <v>38</v>
      </c>
      <c r="E701" s="2" t="s">
        <v>39</v>
      </c>
      <c r="F701" s="2">
        <v>504811029</v>
      </c>
      <c r="G701" s="2" t="s">
        <v>41</v>
      </c>
      <c r="H701" s="2" t="s">
        <v>178</v>
      </c>
      <c r="I701" s="2" t="s">
        <v>580</v>
      </c>
      <c r="K701" s="2" t="s">
        <v>178</v>
      </c>
      <c r="L701" s="2" t="s">
        <v>41</v>
      </c>
      <c r="O701" s="2" t="s">
        <v>102</v>
      </c>
      <c r="P701" s="2" t="s">
        <v>1105</v>
      </c>
      <c r="Q701" s="2" t="s">
        <v>1106</v>
      </c>
      <c r="R701" s="2">
        <v>1</v>
      </c>
      <c r="S701" s="2">
        <v>3234</v>
      </c>
      <c r="T701" s="2">
        <v>743.82</v>
      </c>
      <c r="U701" s="2">
        <v>3977.82</v>
      </c>
      <c r="W701" s="5">
        <f t="shared" si="74"/>
        <v>1</v>
      </c>
      <c r="Y701" s="2" t="s">
        <v>105</v>
      </c>
      <c r="AB701" s="2" t="s">
        <v>102</v>
      </c>
      <c r="AE701" s="2">
        <f t="shared" si="69"/>
        <v>0</v>
      </c>
      <c r="AI701" s="2">
        <f t="shared" si="70"/>
        <v>0</v>
      </c>
      <c r="AJ701" s="2">
        <f t="shared" si="71"/>
        <v>3234</v>
      </c>
      <c r="AK701" s="5">
        <f t="shared" si="72"/>
        <v>1</v>
      </c>
    </row>
    <row r="702" spans="1:37" x14ac:dyDescent="0.2">
      <c r="A702" s="2">
        <v>2025</v>
      </c>
      <c r="B702" s="2">
        <v>3</v>
      </c>
      <c r="C702" s="2" t="s">
        <v>1107</v>
      </c>
      <c r="O702" s="2" t="s">
        <v>115</v>
      </c>
      <c r="P702" s="2" t="s">
        <v>1108</v>
      </c>
      <c r="Q702" s="2" t="s">
        <v>1109</v>
      </c>
      <c r="R702" s="2">
        <v>1</v>
      </c>
      <c r="S702" s="2">
        <v>184.34</v>
      </c>
      <c r="T702" s="2">
        <v>42.398200000000003</v>
      </c>
      <c r="U702" s="2">
        <v>226.73820000000001</v>
      </c>
      <c r="W702" s="5">
        <f t="shared" si="74"/>
        <v>1</v>
      </c>
      <c r="AE702" s="2">
        <f t="shared" si="69"/>
        <v>0</v>
      </c>
      <c r="AI702" s="2">
        <f t="shared" si="70"/>
        <v>0</v>
      </c>
      <c r="AJ702" s="2">
        <f t="shared" si="71"/>
        <v>184.34</v>
      </c>
      <c r="AK702" s="5">
        <f t="shared" si="72"/>
        <v>1</v>
      </c>
    </row>
    <row r="703" spans="1:37" x14ac:dyDescent="0.2">
      <c r="A703" s="2">
        <v>2025</v>
      </c>
      <c r="B703" s="2">
        <v>3</v>
      </c>
      <c r="C703" s="2" t="s">
        <v>1107</v>
      </c>
      <c r="L703" s="2" t="s">
        <v>40</v>
      </c>
      <c r="O703" s="2" t="s">
        <v>188</v>
      </c>
      <c r="P703" s="2" t="s">
        <v>192</v>
      </c>
      <c r="Q703" s="2" t="s">
        <v>191</v>
      </c>
      <c r="R703" s="2">
        <v>4</v>
      </c>
      <c r="S703" s="2">
        <v>200</v>
      </c>
      <c r="T703" s="2">
        <v>46</v>
      </c>
      <c r="U703" s="2">
        <v>246</v>
      </c>
      <c r="V703" s="2">
        <f>S703*50%</f>
        <v>100</v>
      </c>
      <c r="W703" s="5">
        <f t="shared" si="74"/>
        <v>0.5</v>
      </c>
      <c r="Y703" s="2" t="s">
        <v>118</v>
      </c>
      <c r="Z703" s="2" t="s">
        <v>191</v>
      </c>
      <c r="AE703" s="2">
        <f t="shared" si="69"/>
        <v>0</v>
      </c>
      <c r="AI703" s="2">
        <f t="shared" si="70"/>
        <v>0</v>
      </c>
      <c r="AJ703" s="2">
        <f t="shared" si="71"/>
        <v>100</v>
      </c>
      <c r="AK703" s="5">
        <f t="shared" si="72"/>
        <v>0.5</v>
      </c>
    </row>
    <row r="704" spans="1:37" x14ac:dyDescent="0.2">
      <c r="A704" s="2">
        <v>2025</v>
      </c>
      <c r="B704" s="2">
        <v>3</v>
      </c>
      <c r="C704" s="2" t="s">
        <v>586</v>
      </c>
      <c r="D704" s="2" t="s">
        <v>38</v>
      </c>
      <c r="E704" s="2" t="s">
        <v>39</v>
      </c>
      <c r="F704" s="2">
        <v>518281272</v>
      </c>
      <c r="G704" s="2" t="s">
        <v>41</v>
      </c>
      <c r="H704" s="2" t="s">
        <v>1110</v>
      </c>
      <c r="I704" s="2" t="s">
        <v>1111</v>
      </c>
      <c r="K704" s="2" t="s">
        <v>178</v>
      </c>
      <c r="L704" s="2" t="s">
        <v>41</v>
      </c>
      <c r="N704" s="2" t="s">
        <v>1112</v>
      </c>
      <c r="O704" s="2" t="s">
        <v>43</v>
      </c>
      <c r="P704" s="2" t="s">
        <v>1113</v>
      </c>
      <c r="Q704" s="2" t="s">
        <v>1114</v>
      </c>
      <c r="R704" s="2">
        <v>1</v>
      </c>
      <c r="S704" s="2">
        <v>18</v>
      </c>
      <c r="T704" s="2">
        <v>4.1400000000000006</v>
      </c>
      <c r="U704" s="2">
        <v>22.14</v>
      </c>
      <c r="V704" s="2">
        <v>10</v>
      </c>
      <c r="W704" s="5">
        <f t="shared" si="74"/>
        <v>0.44444444444444442</v>
      </c>
      <c r="Y704" s="2" t="s">
        <v>3256</v>
      </c>
      <c r="Z704" s="2" t="s">
        <v>46</v>
      </c>
      <c r="AA704" s="2" t="s">
        <v>47</v>
      </c>
      <c r="AB704" s="2" t="s">
        <v>48</v>
      </c>
      <c r="AE704" s="2">
        <f t="shared" si="69"/>
        <v>0</v>
      </c>
      <c r="AF704" s="2">
        <v>10</v>
      </c>
      <c r="AG704" s="2">
        <v>21</v>
      </c>
      <c r="AI704" s="2">
        <f t="shared" si="70"/>
        <v>0</v>
      </c>
      <c r="AJ704" s="2">
        <f t="shared" si="71"/>
        <v>8</v>
      </c>
      <c r="AK704" s="5">
        <f t="shared" si="72"/>
        <v>0.44444444444444442</v>
      </c>
    </row>
    <row r="705" spans="1:37" x14ac:dyDescent="0.2">
      <c r="A705" s="2">
        <v>2025</v>
      </c>
      <c r="B705" s="2">
        <v>3</v>
      </c>
      <c r="C705" s="2" t="s">
        <v>586</v>
      </c>
      <c r="L705" s="2" t="s">
        <v>41</v>
      </c>
      <c r="N705" s="2" t="s">
        <v>1112</v>
      </c>
      <c r="O705" s="2" t="s">
        <v>43</v>
      </c>
      <c r="P705" s="2" t="s">
        <v>352</v>
      </c>
      <c r="Q705" s="2" t="s">
        <v>353</v>
      </c>
      <c r="R705" s="2">
        <v>1</v>
      </c>
      <c r="S705" s="2">
        <v>18</v>
      </c>
      <c r="T705" s="2">
        <v>4.1400000000000006</v>
      </c>
      <c r="U705" s="2">
        <v>22.14</v>
      </c>
      <c r="V705" s="2">
        <v>10.67</v>
      </c>
      <c r="W705" s="5">
        <f t="shared" si="74"/>
        <v>0.40722222222222221</v>
      </c>
      <c r="Y705" s="2" t="s">
        <v>3256</v>
      </c>
      <c r="Z705" s="2" t="s">
        <v>46</v>
      </c>
      <c r="AA705" s="2" t="s">
        <v>47</v>
      </c>
      <c r="AB705" s="2" t="s">
        <v>48</v>
      </c>
      <c r="AE705" s="2">
        <f t="shared" si="69"/>
        <v>0</v>
      </c>
      <c r="AF705" s="2">
        <v>10.67</v>
      </c>
      <c r="AG705" s="2">
        <v>21</v>
      </c>
      <c r="AI705" s="2">
        <f t="shared" si="70"/>
        <v>0</v>
      </c>
      <c r="AJ705" s="2">
        <f t="shared" si="71"/>
        <v>7.33</v>
      </c>
      <c r="AK705" s="5">
        <f t="shared" si="72"/>
        <v>0.40722222222222221</v>
      </c>
    </row>
    <row r="706" spans="1:37" x14ac:dyDescent="0.2">
      <c r="A706" s="2">
        <v>2025</v>
      </c>
      <c r="B706" s="2">
        <v>3</v>
      </c>
      <c r="C706" s="2" t="s">
        <v>586</v>
      </c>
      <c r="O706" s="2" t="s">
        <v>43</v>
      </c>
      <c r="P706" s="2" t="s">
        <v>597</v>
      </c>
      <c r="Q706" s="2" t="s">
        <v>598</v>
      </c>
      <c r="R706" s="2">
        <v>1</v>
      </c>
      <c r="S706" s="2">
        <v>28.8</v>
      </c>
      <c r="T706" s="2">
        <v>6.6240000000000014</v>
      </c>
      <c r="U706" s="2">
        <v>35.423999999999999</v>
      </c>
      <c r="W706" s="5">
        <f t="shared" si="74"/>
        <v>1</v>
      </c>
      <c r="Y706" s="2" t="s">
        <v>3256</v>
      </c>
      <c r="Z706" s="2" t="s">
        <v>46</v>
      </c>
      <c r="AA706" s="2" t="s">
        <v>47</v>
      </c>
      <c r="AB706" s="2" t="s">
        <v>48</v>
      </c>
      <c r="AE706" s="2">
        <f t="shared" ref="AE706:AE769" si="75">AI706</f>
        <v>0</v>
      </c>
      <c r="AI706" s="2">
        <f t="shared" ref="AI706:AI769" si="76">AH706*S706</f>
        <v>0</v>
      </c>
      <c r="AJ706" s="2">
        <f t="shared" ref="AJ706:AJ769" si="77">S706-V706</f>
        <v>28.8</v>
      </c>
      <c r="AK706" s="5">
        <f t="shared" si="72"/>
        <v>1</v>
      </c>
    </row>
    <row r="707" spans="1:37" x14ac:dyDescent="0.2">
      <c r="A707" s="2">
        <v>2025</v>
      </c>
      <c r="B707" s="2">
        <v>3</v>
      </c>
      <c r="C707" s="2" t="s">
        <v>586</v>
      </c>
      <c r="O707" s="2" t="s">
        <v>43</v>
      </c>
      <c r="P707" s="2" t="s">
        <v>51</v>
      </c>
      <c r="Q707" s="2" t="s">
        <v>52</v>
      </c>
      <c r="R707" s="2">
        <v>1</v>
      </c>
      <c r="S707" s="2">
        <v>16.8</v>
      </c>
      <c r="T707" s="2">
        <v>3.8639999999999999</v>
      </c>
      <c r="U707" s="2">
        <v>20.664000000000001</v>
      </c>
      <c r="V707" s="2">
        <f>10.2346*R707</f>
        <v>10.2346</v>
      </c>
      <c r="W707" s="5">
        <f t="shared" si="74"/>
        <v>0.39079761904761906</v>
      </c>
      <c r="Y707" s="2" t="s">
        <v>3256</v>
      </c>
      <c r="Z707" s="2" t="s">
        <v>46</v>
      </c>
      <c r="AA707" s="2" t="s">
        <v>47</v>
      </c>
      <c r="AB707" s="2" t="s">
        <v>48</v>
      </c>
      <c r="AE707" s="2">
        <f t="shared" si="75"/>
        <v>0</v>
      </c>
      <c r="AF707" s="2">
        <v>10.2346</v>
      </c>
      <c r="AG707" s="2">
        <v>18</v>
      </c>
      <c r="AI707" s="2">
        <f t="shared" si="76"/>
        <v>0</v>
      </c>
      <c r="AJ707" s="2">
        <f t="shared" si="77"/>
        <v>6.5654000000000003</v>
      </c>
      <c r="AK707" s="5">
        <f t="shared" si="72"/>
        <v>0.39079761904761906</v>
      </c>
    </row>
    <row r="708" spans="1:37" x14ac:dyDescent="0.2">
      <c r="A708" s="2">
        <v>2025</v>
      </c>
      <c r="B708" s="2">
        <v>3</v>
      </c>
      <c r="C708" s="2" t="s">
        <v>586</v>
      </c>
      <c r="O708" s="2" t="s">
        <v>43</v>
      </c>
      <c r="P708" s="2" t="s">
        <v>161</v>
      </c>
      <c r="Q708" s="2" t="s">
        <v>162</v>
      </c>
      <c r="R708" s="2">
        <v>1</v>
      </c>
      <c r="S708" s="2">
        <v>7.8</v>
      </c>
      <c r="T708" s="2">
        <v>1.794</v>
      </c>
      <c r="U708" s="2">
        <v>9.5939999999999994</v>
      </c>
      <c r="V708" s="2">
        <f>3.7358*R708</f>
        <v>3.7357999999999998</v>
      </c>
      <c r="W708" s="5">
        <f t="shared" si="74"/>
        <v>0.52105128205128204</v>
      </c>
      <c r="Y708" s="2" t="s">
        <v>3256</v>
      </c>
      <c r="Z708" s="2" t="s">
        <v>46</v>
      </c>
      <c r="AA708" s="2" t="s">
        <v>47</v>
      </c>
      <c r="AB708" s="2" t="s">
        <v>48</v>
      </c>
      <c r="AE708" s="2">
        <f t="shared" si="75"/>
        <v>0</v>
      </c>
      <c r="AF708" s="2">
        <v>3.7357999999999998</v>
      </c>
      <c r="AG708" s="2">
        <v>9</v>
      </c>
      <c r="AI708" s="2">
        <f t="shared" si="76"/>
        <v>0</v>
      </c>
      <c r="AJ708" s="2">
        <f t="shared" si="77"/>
        <v>4.0641999999999996</v>
      </c>
      <c r="AK708" s="5">
        <f t="shared" si="72"/>
        <v>0.52105128205128204</v>
      </c>
    </row>
    <row r="709" spans="1:37" x14ac:dyDescent="0.2">
      <c r="A709" s="2">
        <v>2025</v>
      </c>
      <c r="B709" s="2">
        <v>3</v>
      </c>
      <c r="C709" s="2" t="s">
        <v>586</v>
      </c>
      <c r="O709" s="2" t="s">
        <v>43</v>
      </c>
      <c r="P709" s="2" t="s">
        <v>62</v>
      </c>
      <c r="Q709" s="2" t="s">
        <v>63</v>
      </c>
      <c r="R709" s="2">
        <v>1000</v>
      </c>
      <c r="S709" s="2">
        <v>105</v>
      </c>
      <c r="T709" s="2">
        <v>24.15</v>
      </c>
      <c r="U709" s="2">
        <v>129.15</v>
      </c>
      <c r="V709" s="2">
        <f>0.082*R709</f>
        <v>82</v>
      </c>
      <c r="W709" s="5">
        <f t="shared" si="74"/>
        <v>0.21904761904761905</v>
      </c>
      <c r="Y709" s="2" t="s">
        <v>3256</v>
      </c>
      <c r="Z709" s="2" t="s">
        <v>46</v>
      </c>
      <c r="AA709" s="2" t="s">
        <v>61</v>
      </c>
      <c r="AB709" s="2" t="s">
        <v>58</v>
      </c>
      <c r="AE709" s="2">
        <f t="shared" si="75"/>
        <v>0</v>
      </c>
      <c r="AF709" s="2">
        <v>8.1999999999999993</v>
      </c>
      <c r="AG709" s="2">
        <v>13</v>
      </c>
      <c r="AI709" s="2">
        <f t="shared" si="76"/>
        <v>0</v>
      </c>
      <c r="AJ709" s="2">
        <f t="shared" si="77"/>
        <v>23</v>
      </c>
      <c r="AK709" s="5">
        <f t="shared" si="72"/>
        <v>0.21904761904761905</v>
      </c>
    </row>
    <row r="710" spans="1:37" x14ac:dyDescent="0.2">
      <c r="A710" s="2">
        <v>2025</v>
      </c>
      <c r="B710" s="2">
        <v>3</v>
      </c>
      <c r="C710" s="2" t="s">
        <v>587</v>
      </c>
      <c r="D710" s="2" t="s">
        <v>109</v>
      </c>
      <c r="F710" s="2">
        <v>503850276</v>
      </c>
      <c r="G710" s="2" t="s">
        <v>40</v>
      </c>
      <c r="H710" s="2" t="s">
        <v>588</v>
      </c>
      <c r="I710" s="2" t="s">
        <v>589</v>
      </c>
      <c r="K710" s="2" t="s">
        <v>202</v>
      </c>
      <c r="L710" s="2" t="s">
        <v>81</v>
      </c>
      <c r="O710" s="2" t="s">
        <v>43</v>
      </c>
      <c r="P710" s="2" t="s">
        <v>66</v>
      </c>
      <c r="Q710" s="2" t="s">
        <v>67</v>
      </c>
      <c r="R710" s="2">
        <v>16</v>
      </c>
      <c r="S710" s="2">
        <v>320</v>
      </c>
      <c r="T710" s="2">
        <v>73.600000000000009</v>
      </c>
      <c r="U710" s="2">
        <v>393.6</v>
      </c>
      <c r="V710" s="2">
        <f>15.0203*R710</f>
        <v>240.32480000000001</v>
      </c>
      <c r="W710" s="5">
        <f t="shared" si="74"/>
        <v>0.24898499999999996</v>
      </c>
      <c r="Y710" s="2" t="s">
        <v>3256</v>
      </c>
      <c r="Z710" s="2" t="s">
        <v>46</v>
      </c>
      <c r="AA710" s="2" t="s">
        <v>68</v>
      </c>
      <c r="AB710" s="2" t="s">
        <v>58</v>
      </c>
      <c r="AE710" s="2">
        <f t="shared" si="75"/>
        <v>0</v>
      </c>
      <c r="AF710" s="2">
        <v>15.020300000000001</v>
      </c>
      <c r="AG710" s="2">
        <v>27.6</v>
      </c>
      <c r="AI710" s="2">
        <f t="shared" si="76"/>
        <v>0</v>
      </c>
      <c r="AJ710" s="2">
        <f t="shared" si="77"/>
        <v>79.67519999999999</v>
      </c>
      <c r="AK710" s="5">
        <f t="shared" si="72"/>
        <v>0.24898499999999996</v>
      </c>
    </row>
    <row r="711" spans="1:37" x14ac:dyDescent="0.2">
      <c r="A711" s="2">
        <v>2025</v>
      </c>
      <c r="B711" s="2">
        <v>3</v>
      </c>
      <c r="C711" s="2" t="s">
        <v>593</v>
      </c>
      <c r="D711" s="2" t="s">
        <v>38</v>
      </c>
      <c r="E711" s="2" t="s">
        <v>39</v>
      </c>
      <c r="F711" s="2">
        <v>510339298</v>
      </c>
      <c r="G711" s="2" t="s">
        <v>41</v>
      </c>
      <c r="H711" s="2" t="s">
        <v>178</v>
      </c>
      <c r="I711" s="2" t="s">
        <v>594</v>
      </c>
      <c r="K711" s="2" t="s">
        <v>178</v>
      </c>
      <c r="L711" s="2" t="s">
        <v>41</v>
      </c>
      <c r="O711" s="2" t="s">
        <v>43</v>
      </c>
      <c r="P711" s="2" t="s">
        <v>49</v>
      </c>
      <c r="Q711" s="2" t="s">
        <v>50</v>
      </c>
      <c r="R711" s="2">
        <v>2</v>
      </c>
      <c r="S711" s="2">
        <v>24</v>
      </c>
      <c r="T711" s="2">
        <v>5.52</v>
      </c>
      <c r="U711" s="2">
        <v>29.52</v>
      </c>
      <c r="V711" s="2">
        <f>6.6267*R711</f>
        <v>13.253399999999999</v>
      </c>
      <c r="W711" s="5">
        <f t="shared" si="74"/>
        <v>0.44777500000000003</v>
      </c>
      <c r="Y711" s="2" t="s">
        <v>3256</v>
      </c>
      <c r="Z711" s="2" t="s">
        <v>46</v>
      </c>
      <c r="AA711" s="2" t="s">
        <v>47</v>
      </c>
      <c r="AB711" s="2" t="s">
        <v>48</v>
      </c>
      <c r="AE711" s="2">
        <f t="shared" si="75"/>
        <v>0</v>
      </c>
      <c r="AF711" s="2">
        <v>6.6266999999999996</v>
      </c>
      <c r="AG711" s="2">
        <v>12</v>
      </c>
      <c r="AI711" s="2">
        <f t="shared" si="76"/>
        <v>0</v>
      </c>
      <c r="AJ711" s="2">
        <f t="shared" si="77"/>
        <v>10.746600000000001</v>
      </c>
      <c r="AK711" s="5">
        <f t="shared" si="72"/>
        <v>0.44777500000000003</v>
      </c>
    </row>
    <row r="712" spans="1:37" x14ac:dyDescent="0.2">
      <c r="A712" s="2">
        <v>2025</v>
      </c>
      <c r="B712" s="2">
        <v>3</v>
      </c>
      <c r="C712" s="2" t="s">
        <v>593</v>
      </c>
      <c r="D712" s="2" t="s">
        <v>38</v>
      </c>
      <c r="E712" s="2" t="s">
        <v>39</v>
      </c>
      <c r="F712" s="2">
        <v>510339298</v>
      </c>
      <c r="G712" s="2" t="s">
        <v>41</v>
      </c>
      <c r="H712" s="2" t="s">
        <v>178</v>
      </c>
      <c r="I712" s="2" t="s">
        <v>594</v>
      </c>
      <c r="K712" s="2" t="s">
        <v>178</v>
      </c>
      <c r="L712" s="2" t="s">
        <v>41</v>
      </c>
      <c r="O712" s="2" t="s">
        <v>43</v>
      </c>
      <c r="P712" s="2" t="s">
        <v>161</v>
      </c>
      <c r="Q712" s="2" t="s">
        <v>162</v>
      </c>
      <c r="R712" s="2">
        <v>1</v>
      </c>
      <c r="S712" s="2">
        <v>7.8</v>
      </c>
      <c r="T712" s="2">
        <v>1.794</v>
      </c>
      <c r="U712" s="2">
        <v>9.5939999999999994</v>
      </c>
      <c r="V712" s="2">
        <f>3.7358*R712</f>
        <v>3.7357999999999998</v>
      </c>
      <c r="W712" s="5">
        <f t="shared" si="74"/>
        <v>0.52105128205128204</v>
      </c>
      <c r="Y712" s="2" t="s">
        <v>3256</v>
      </c>
      <c r="Z712" s="2" t="s">
        <v>46</v>
      </c>
      <c r="AA712" s="2" t="s">
        <v>47</v>
      </c>
      <c r="AB712" s="2" t="s">
        <v>48</v>
      </c>
      <c r="AE712" s="2">
        <f t="shared" si="75"/>
        <v>0</v>
      </c>
      <c r="AF712" s="2">
        <v>3.7357999999999998</v>
      </c>
      <c r="AG712" s="2">
        <v>9</v>
      </c>
      <c r="AI712" s="2">
        <f t="shared" si="76"/>
        <v>0</v>
      </c>
      <c r="AJ712" s="2">
        <f t="shared" si="77"/>
        <v>4.0641999999999996</v>
      </c>
      <c r="AK712" s="5">
        <f t="shared" si="72"/>
        <v>0.52105128205128204</v>
      </c>
    </row>
    <row r="713" spans="1:37" x14ac:dyDescent="0.2">
      <c r="A713" s="2">
        <v>2025</v>
      </c>
      <c r="B713" s="2">
        <v>3</v>
      </c>
      <c r="C713" s="2" t="s">
        <v>593</v>
      </c>
      <c r="D713" s="2" t="s">
        <v>38</v>
      </c>
      <c r="E713" s="2" t="s">
        <v>39</v>
      </c>
      <c r="F713" s="2">
        <v>510339298</v>
      </c>
      <c r="G713" s="2" t="s">
        <v>41</v>
      </c>
      <c r="H713" s="2" t="s">
        <v>178</v>
      </c>
      <c r="I713" s="2" t="s">
        <v>594</v>
      </c>
      <c r="K713" s="2" t="s">
        <v>178</v>
      </c>
      <c r="L713" s="2" t="s">
        <v>41</v>
      </c>
      <c r="O713" s="2" t="s">
        <v>43</v>
      </c>
      <c r="P713" s="2" t="s">
        <v>55</v>
      </c>
      <c r="Q713" s="2" t="s">
        <v>56</v>
      </c>
      <c r="R713" s="2">
        <v>10</v>
      </c>
      <c r="S713" s="2">
        <v>150</v>
      </c>
      <c r="T713" s="2">
        <v>34.5</v>
      </c>
      <c r="U713" s="2">
        <v>184.5</v>
      </c>
      <c r="V713" s="2">
        <f>10.6*R713</f>
        <v>106</v>
      </c>
      <c r="W713" s="5">
        <f t="shared" si="74"/>
        <v>0.29333333333333333</v>
      </c>
      <c r="Y713" s="2" t="s">
        <v>3256</v>
      </c>
      <c r="Z713" s="2" t="s">
        <v>46</v>
      </c>
      <c r="AA713" s="2" t="s">
        <v>57</v>
      </c>
      <c r="AB713" s="2" t="s">
        <v>58</v>
      </c>
      <c r="AE713" s="2">
        <f t="shared" si="75"/>
        <v>0</v>
      </c>
      <c r="AF713" s="2">
        <v>10.6</v>
      </c>
      <c r="AG713" s="2">
        <v>18</v>
      </c>
      <c r="AI713" s="2">
        <f t="shared" si="76"/>
        <v>0</v>
      </c>
      <c r="AJ713" s="2">
        <f t="shared" si="77"/>
        <v>44</v>
      </c>
      <c r="AK713" s="5">
        <f t="shared" si="72"/>
        <v>0.29333333333333333</v>
      </c>
    </row>
    <row r="714" spans="1:37" x14ac:dyDescent="0.2">
      <c r="A714" s="2">
        <v>2025</v>
      </c>
      <c r="B714" s="2">
        <v>3</v>
      </c>
      <c r="C714" s="2" t="s">
        <v>593</v>
      </c>
      <c r="D714" s="2" t="s">
        <v>38</v>
      </c>
      <c r="E714" s="2" t="s">
        <v>39</v>
      </c>
      <c r="F714" s="2">
        <v>510339298</v>
      </c>
      <c r="G714" s="2" t="s">
        <v>41</v>
      </c>
      <c r="H714" s="2" t="s">
        <v>178</v>
      </c>
      <c r="I714" s="2" t="s">
        <v>594</v>
      </c>
      <c r="K714" s="2" t="s">
        <v>178</v>
      </c>
      <c r="L714" s="2" t="s">
        <v>41</v>
      </c>
      <c r="O714" s="2" t="s">
        <v>85</v>
      </c>
      <c r="P714" s="2" t="s">
        <v>92</v>
      </c>
      <c r="Q714" s="2" t="s">
        <v>93</v>
      </c>
      <c r="R714" s="2">
        <v>4</v>
      </c>
      <c r="S714" s="2">
        <v>14.4</v>
      </c>
      <c r="T714" s="2">
        <v>3.3119999999999998</v>
      </c>
      <c r="U714" s="2">
        <v>17.712</v>
      </c>
      <c r="W714" s="5">
        <f t="shared" si="74"/>
        <v>1</v>
      </c>
      <c r="Y714" s="2" t="s">
        <v>3256</v>
      </c>
      <c r="Z714" s="2" t="s">
        <v>88</v>
      </c>
      <c r="AA714" s="2" t="s">
        <v>91</v>
      </c>
      <c r="AB714" s="2" t="s">
        <v>85</v>
      </c>
      <c r="AE714" s="2">
        <f t="shared" si="75"/>
        <v>0</v>
      </c>
      <c r="AI714" s="2">
        <f t="shared" si="76"/>
        <v>0</v>
      </c>
      <c r="AJ714" s="2">
        <f t="shared" si="77"/>
        <v>14.4</v>
      </c>
      <c r="AK714" s="5">
        <f t="shared" si="72"/>
        <v>1</v>
      </c>
    </row>
    <row r="715" spans="1:37" x14ac:dyDescent="0.2">
      <c r="A715" s="2">
        <v>2025</v>
      </c>
      <c r="B715" s="2">
        <v>3</v>
      </c>
      <c r="C715" s="2" t="s">
        <v>1115</v>
      </c>
      <c r="F715" s="2">
        <v>502514027</v>
      </c>
      <c r="G715" s="2" t="s">
        <v>40</v>
      </c>
      <c r="L715" s="2" t="s">
        <v>40</v>
      </c>
      <c r="N715" s="2" t="s">
        <v>1116</v>
      </c>
      <c r="O715" s="2" t="s">
        <v>1117</v>
      </c>
      <c r="P715" s="2" t="s">
        <v>1118</v>
      </c>
      <c r="Q715" s="2" t="s">
        <v>1119</v>
      </c>
      <c r="R715" s="2">
        <v>1</v>
      </c>
      <c r="S715" s="2">
        <v>2450</v>
      </c>
      <c r="T715" s="2">
        <v>563.5</v>
      </c>
      <c r="U715" s="2">
        <v>3013.5</v>
      </c>
      <c r="V715" s="2">
        <v>2242.31</v>
      </c>
      <c r="W715" s="5">
        <f t="shared" si="74"/>
        <v>8.4771428571428595E-2</v>
      </c>
      <c r="Y715" s="2" t="s">
        <v>105</v>
      </c>
      <c r="Z715" s="2" t="s">
        <v>1120</v>
      </c>
      <c r="AA715" s="2" t="s">
        <v>1121</v>
      </c>
      <c r="AB715" s="2" t="s">
        <v>1117</v>
      </c>
      <c r="AE715" s="2">
        <f t="shared" si="75"/>
        <v>0</v>
      </c>
      <c r="AF715" s="2">
        <v>2242.31</v>
      </c>
      <c r="AI715" s="2">
        <f t="shared" si="76"/>
        <v>0</v>
      </c>
      <c r="AJ715" s="2">
        <f t="shared" si="77"/>
        <v>207.69000000000005</v>
      </c>
      <c r="AK715" s="5">
        <f t="shared" si="72"/>
        <v>8.4771428571428595E-2</v>
      </c>
    </row>
    <row r="716" spans="1:37" x14ac:dyDescent="0.2">
      <c r="A716" s="2">
        <v>2025</v>
      </c>
      <c r="B716" s="2">
        <v>3</v>
      </c>
      <c r="C716" s="2" t="s">
        <v>623</v>
      </c>
      <c r="D716" s="2" t="s">
        <v>38</v>
      </c>
      <c r="E716" s="2" t="s">
        <v>39</v>
      </c>
      <c r="F716" s="2">
        <v>513759654</v>
      </c>
      <c r="G716" s="2" t="s">
        <v>41</v>
      </c>
      <c r="H716" s="2" t="s">
        <v>624</v>
      </c>
      <c r="I716" s="2" t="s">
        <v>625</v>
      </c>
      <c r="K716" s="2" t="s">
        <v>422</v>
      </c>
      <c r="L716" s="2" t="s">
        <v>41</v>
      </c>
      <c r="O716" s="2" t="s">
        <v>43</v>
      </c>
      <c r="P716" s="2" t="s">
        <v>251</v>
      </c>
      <c r="Q716" s="2" t="s">
        <v>252</v>
      </c>
      <c r="R716" s="2">
        <v>1</v>
      </c>
      <c r="S716" s="2">
        <v>65</v>
      </c>
      <c r="T716" s="2">
        <v>14.95</v>
      </c>
      <c r="U716" s="2">
        <v>79.95</v>
      </c>
      <c r="W716" s="5">
        <f t="shared" si="74"/>
        <v>1</v>
      </c>
      <c r="Y716" s="2" t="s">
        <v>3256</v>
      </c>
      <c r="Z716" s="2" t="s">
        <v>46</v>
      </c>
      <c r="AA716" s="2" t="s">
        <v>91</v>
      </c>
      <c r="AB716" s="2" t="s">
        <v>58</v>
      </c>
      <c r="AE716" s="2">
        <f t="shared" si="75"/>
        <v>0</v>
      </c>
      <c r="AI716" s="2">
        <f t="shared" si="76"/>
        <v>0</v>
      </c>
      <c r="AJ716" s="2">
        <f t="shared" si="77"/>
        <v>65</v>
      </c>
      <c r="AK716" s="5">
        <f t="shared" si="72"/>
        <v>1</v>
      </c>
    </row>
    <row r="717" spans="1:37" x14ac:dyDescent="0.2">
      <c r="A717" s="2">
        <v>2025</v>
      </c>
      <c r="B717" s="2">
        <v>3</v>
      </c>
      <c r="C717" s="2" t="s">
        <v>1122</v>
      </c>
      <c r="D717" s="2" t="s">
        <v>38</v>
      </c>
      <c r="E717" s="2" t="s">
        <v>39</v>
      </c>
      <c r="F717" s="2">
        <v>210420588</v>
      </c>
      <c r="G717" s="2" t="s">
        <v>40</v>
      </c>
      <c r="H717" s="2" t="s">
        <v>1123</v>
      </c>
      <c r="I717" s="2" t="s">
        <v>1124</v>
      </c>
      <c r="J717" s="2">
        <v>914550474</v>
      </c>
      <c r="K717" s="2" t="s">
        <v>100</v>
      </c>
      <c r="L717" s="2" t="s">
        <v>40</v>
      </c>
      <c r="N717" s="2" t="s">
        <v>1125</v>
      </c>
      <c r="O717" s="2" t="s">
        <v>115</v>
      </c>
      <c r="P717" s="2" t="s">
        <v>911</v>
      </c>
      <c r="Q717" s="2" t="s">
        <v>912</v>
      </c>
      <c r="R717" s="2">
        <v>1</v>
      </c>
      <c r="S717" s="2">
        <v>699.3</v>
      </c>
      <c r="T717" s="2">
        <v>160.839</v>
      </c>
      <c r="U717" s="2">
        <v>860.1389999999999</v>
      </c>
      <c r="W717" s="5">
        <f t="shared" si="74"/>
        <v>1</v>
      </c>
      <c r="Y717" s="2" t="s">
        <v>118</v>
      </c>
      <c r="AE717" s="2">
        <f t="shared" si="75"/>
        <v>0</v>
      </c>
      <c r="AI717" s="2">
        <f t="shared" si="76"/>
        <v>0</v>
      </c>
      <c r="AJ717" s="2">
        <f t="shared" si="77"/>
        <v>699.3</v>
      </c>
      <c r="AK717" s="5">
        <f t="shared" si="72"/>
        <v>1</v>
      </c>
    </row>
    <row r="718" spans="1:37" x14ac:dyDescent="0.2">
      <c r="A718" s="2">
        <v>2025</v>
      </c>
      <c r="B718" s="2">
        <v>3</v>
      </c>
      <c r="C718" s="2" t="s">
        <v>1122</v>
      </c>
      <c r="D718" s="2" t="s">
        <v>38</v>
      </c>
      <c r="E718" s="2" t="s">
        <v>39</v>
      </c>
      <c r="F718" s="2">
        <v>210420588</v>
      </c>
      <c r="G718" s="2" t="s">
        <v>40</v>
      </c>
      <c r="H718" s="2" t="s">
        <v>1123</v>
      </c>
      <c r="I718" s="2" t="s">
        <v>1124</v>
      </c>
      <c r="J718" s="2">
        <v>914550474</v>
      </c>
      <c r="K718" s="2" t="s">
        <v>100</v>
      </c>
      <c r="L718" s="2" t="s">
        <v>81</v>
      </c>
      <c r="N718" s="2" t="s">
        <v>1126</v>
      </c>
      <c r="O718" s="2" t="s">
        <v>43</v>
      </c>
      <c r="P718" s="2" t="s">
        <v>161</v>
      </c>
      <c r="Q718" s="2" t="s">
        <v>162</v>
      </c>
      <c r="R718" s="2">
        <v>4</v>
      </c>
      <c r="S718" s="2">
        <v>36</v>
      </c>
      <c r="T718" s="2">
        <v>8.2800000000000011</v>
      </c>
      <c r="U718" s="2">
        <v>44.28</v>
      </c>
      <c r="V718" s="2">
        <f>3.7358*R718</f>
        <v>14.943199999999999</v>
      </c>
      <c r="W718" s="5">
        <f t="shared" si="74"/>
        <v>0.58491111111111116</v>
      </c>
      <c r="Y718" s="2" t="s">
        <v>3256</v>
      </c>
      <c r="Z718" s="2" t="s">
        <v>46</v>
      </c>
      <c r="AA718" s="2" t="s">
        <v>47</v>
      </c>
      <c r="AB718" s="2" t="s">
        <v>48</v>
      </c>
      <c r="AE718" s="2">
        <f t="shared" si="75"/>
        <v>0</v>
      </c>
      <c r="AF718" s="2">
        <v>3.7357999999999998</v>
      </c>
      <c r="AG718" s="2">
        <v>9</v>
      </c>
      <c r="AI718" s="2">
        <f t="shared" si="76"/>
        <v>0</v>
      </c>
      <c r="AJ718" s="2">
        <f t="shared" si="77"/>
        <v>21.056800000000003</v>
      </c>
      <c r="AK718" s="5">
        <f t="shared" si="72"/>
        <v>0.58491111111111116</v>
      </c>
    </row>
    <row r="719" spans="1:37" x14ac:dyDescent="0.2">
      <c r="A719" s="2">
        <v>2025</v>
      </c>
      <c r="B719" s="2">
        <v>3</v>
      </c>
      <c r="C719" s="2" t="s">
        <v>1122</v>
      </c>
      <c r="D719" s="2" t="s">
        <v>38</v>
      </c>
      <c r="E719" s="2" t="s">
        <v>39</v>
      </c>
      <c r="F719" s="2">
        <v>210420588</v>
      </c>
      <c r="G719" s="2" t="s">
        <v>40</v>
      </c>
      <c r="H719" s="2" t="s">
        <v>1123</v>
      </c>
      <c r="I719" s="2" t="s">
        <v>1124</v>
      </c>
      <c r="J719" s="2">
        <v>914550474</v>
      </c>
      <c r="K719" s="2" t="s">
        <v>100</v>
      </c>
      <c r="L719" s="2" t="s">
        <v>40</v>
      </c>
      <c r="N719" s="2" t="s">
        <v>1125</v>
      </c>
      <c r="O719" s="2" t="s">
        <v>188</v>
      </c>
      <c r="P719" s="2" t="s">
        <v>189</v>
      </c>
      <c r="Q719" s="2" t="s">
        <v>190</v>
      </c>
      <c r="R719" s="2">
        <v>2</v>
      </c>
      <c r="S719" s="2">
        <v>50</v>
      </c>
      <c r="T719" s="2">
        <v>11.5</v>
      </c>
      <c r="U719" s="2">
        <v>61.5</v>
      </c>
      <c r="W719" s="5">
        <f t="shared" si="74"/>
        <v>1</v>
      </c>
      <c r="Y719" s="2" t="s">
        <v>118</v>
      </c>
      <c r="Z719" s="2" t="s">
        <v>191</v>
      </c>
      <c r="AE719" s="2">
        <f t="shared" si="75"/>
        <v>0</v>
      </c>
      <c r="AI719" s="2">
        <f t="shared" si="76"/>
        <v>0</v>
      </c>
      <c r="AJ719" s="2">
        <f t="shared" si="77"/>
        <v>50</v>
      </c>
      <c r="AK719" s="5">
        <f t="shared" si="72"/>
        <v>1</v>
      </c>
    </row>
    <row r="720" spans="1:37" x14ac:dyDescent="0.2">
      <c r="A720" s="2">
        <v>2025</v>
      </c>
      <c r="B720" s="2">
        <v>3</v>
      </c>
      <c r="C720" s="2" t="s">
        <v>1122</v>
      </c>
      <c r="D720" s="2" t="s">
        <v>38</v>
      </c>
      <c r="E720" s="2" t="s">
        <v>39</v>
      </c>
      <c r="F720" s="2">
        <v>210420588</v>
      </c>
      <c r="G720" s="2" t="s">
        <v>40</v>
      </c>
      <c r="H720" s="2" t="s">
        <v>1123</v>
      </c>
      <c r="I720" s="2" t="s">
        <v>1124</v>
      </c>
      <c r="J720" s="2">
        <v>914550474</v>
      </c>
      <c r="K720" s="2" t="s">
        <v>100</v>
      </c>
      <c r="L720" s="2" t="s">
        <v>40</v>
      </c>
      <c r="N720" s="2" t="s">
        <v>1125</v>
      </c>
      <c r="O720" s="2" t="s">
        <v>188</v>
      </c>
      <c r="P720" s="2" t="s">
        <v>192</v>
      </c>
      <c r="Q720" s="2" t="s">
        <v>191</v>
      </c>
      <c r="R720" s="2">
        <v>3</v>
      </c>
      <c r="S720" s="2">
        <v>100</v>
      </c>
      <c r="T720" s="2">
        <v>23</v>
      </c>
      <c r="U720" s="2">
        <v>123</v>
      </c>
      <c r="V720" s="2">
        <f>S720*50%</f>
        <v>50</v>
      </c>
      <c r="W720" s="5">
        <f t="shared" si="74"/>
        <v>0.5</v>
      </c>
      <c r="Y720" s="2" t="s">
        <v>118</v>
      </c>
      <c r="Z720" s="2" t="s">
        <v>191</v>
      </c>
      <c r="AE720" s="2">
        <f t="shared" si="75"/>
        <v>0</v>
      </c>
      <c r="AI720" s="2">
        <f t="shared" si="76"/>
        <v>0</v>
      </c>
      <c r="AJ720" s="2">
        <f t="shared" si="77"/>
        <v>50</v>
      </c>
      <c r="AK720" s="5">
        <f t="shared" si="72"/>
        <v>0.5</v>
      </c>
    </row>
    <row r="721" spans="1:37" x14ac:dyDescent="0.2">
      <c r="A721" s="2">
        <v>2025</v>
      </c>
      <c r="B721" s="2">
        <v>3</v>
      </c>
      <c r="C721" s="2" t="s">
        <v>1127</v>
      </c>
      <c r="O721" s="2" t="s">
        <v>43</v>
      </c>
      <c r="P721" s="2" t="s">
        <v>165</v>
      </c>
      <c r="Q721" s="2" t="s">
        <v>166</v>
      </c>
      <c r="R721" s="2">
        <v>1</v>
      </c>
      <c r="S721" s="2">
        <v>15</v>
      </c>
      <c r="T721" s="2">
        <v>3.45</v>
      </c>
      <c r="U721" s="2">
        <v>18.45</v>
      </c>
      <c r="V721" s="2">
        <f>7.9612*R721</f>
        <v>7.9611999999999998</v>
      </c>
      <c r="W721" s="5">
        <f t="shared" si="74"/>
        <v>0.46925333333333336</v>
      </c>
      <c r="Y721" s="2" t="s">
        <v>3256</v>
      </c>
      <c r="Z721" s="2" t="s">
        <v>46</v>
      </c>
      <c r="AA721" s="2" t="s">
        <v>68</v>
      </c>
      <c r="AB721" s="2" t="s">
        <v>58</v>
      </c>
      <c r="AE721" s="2">
        <f t="shared" si="75"/>
        <v>0</v>
      </c>
      <c r="AF721" s="2">
        <v>7.9611999999999998</v>
      </c>
      <c r="AG721" s="2">
        <v>14.4</v>
      </c>
      <c r="AI721" s="2">
        <f t="shared" si="76"/>
        <v>0</v>
      </c>
      <c r="AJ721" s="2">
        <f t="shared" si="77"/>
        <v>7.0388000000000002</v>
      </c>
      <c r="AK721" s="5">
        <f t="shared" si="72"/>
        <v>0.46925333333333336</v>
      </c>
    </row>
    <row r="722" spans="1:37" x14ac:dyDescent="0.2">
      <c r="A722" s="2">
        <v>2025</v>
      </c>
      <c r="B722" s="2">
        <v>3</v>
      </c>
      <c r="C722" s="2" t="s">
        <v>1128</v>
      </c>
      <c r="L722" s="2" t="s">
        <v>40</v>
      </c>
      <c r="O722" s="2" t="s">
        <v>188</v>
      </c>
      <c r="P722" s="2" t="s">
        <v>189</v>
      </c>
      <c r="Q722" s="2" t="s">
        <v>190</v>
      </c>
      <c r="R722" s="2">
        <v>1</v>
      </c>
      <c r="S722" s="2">
        <v>50</v>
      </c>
      <c r="T722" s="2">
        <v>11.5</v>
      </c>
      <c r="U722" s="2">
        <v>61.5</v>
      </c>
      <c r="W722" s="5">
        <f t="shared" ref="W722:W753" si="78">(S722-V722)/S722</f>
        <v>1</v>
      </c>
      <c r="Y722" s="2" t="s">
        <v>118</v>
      </c>
      <c r="Z722" s="2" t="s">
        <v>191</v>
      </c>
      <c r="AE722" s="2">
        <f t="shared" si="75"/>
        <v>0</v>
      </c>
      <c r="AI722" s="2">
        <f t="shared" si="76"/>
        <v>0</v>
      </c>
      <c r="AJ722" s="2">
        <f t="shared" si="77"/>
        <v>50</v>
      </c>
      <c r="AK722" s="5">
        <f t="shared" ref="AK722:AK785" si="79">(S722-V722)/S722</f>
        <v>1</v>
      </c>
    </row>
    <row r="723" spans="1:37" x14ac:dyDescent="0.2">
      <c r="A723" s="2">
        <v>2025</v>
      </c>
      <c r="B723" s="2">
        <v>3</v>
      </c>
      <c r="C723" s="2" t="s">
        <v>1128</v>
      </c>
      <c r="L723" s="2" t="s">
        <v>40</v>
      </c>
      <c r="O723" s="2" t="s">
        <v>188</v>
      </c>
      <c r="P723" s="2" t="s">
        <v>192</v>
      </c>
      <c r="Q723" s="2" t="s">
        <v>191</v>
      </c>
      <c r="R723" s="2">
        <v>1</v>
      </c>
      <c r="S723" s="2">
        <v>50</v>
      </c>
      <c r="T723" s="2">
        <v>11.5</v>
      </c>
      <c r="U723" s="2">
        <v>61.5</v>
      </c>
      <c r="V723" s="2">
        <f>S723*50%</f>
        <v>25</v>
      </c>
      <c r="W723" s="5">
        <f t="shared" si="78"/>
        <v>0.5</v>
      </c>
      <c r="Y723" s="2" t="s">
        <v>118</v>
      </c>
      <c r="Z723" s="2" t="s">
        <v>191</v>
      </c>
      <c r="AE723" s="2">
        <f t="shared" si="75"/>
        <v>0</v>
      </c>
      <c r="AI723" s="2">
        <f t="shared" si="76"/>
        <v>0</v>
      </c>
      <c r="AJ723" s="2">
        <f t="shared" si="77"/>
        <v>25</v>
      </c>
      <c r="AK723" s="5">
        <f t="shared" si="79"/>
        <v>0.5</v>
      </c>
    </row>
    <row r="724" spans="1:37" x14ac:dyDescent="0.2">
      <c r="A724" s="2">
        <v>2025</v>
      </c>
      <c r="B724" s="2">
        <v>3</v>
      </c>
      <c r="C724" s="2" t="s">
        <v>1128</v>
      </c>
      <c r="O724" s="2" t="s">
        <v>40</v>
      </c>
      <c r="P724" s="2" t="s">
        <v>364</v>
      </c>
      <c r="Q724" s="2" t="s">
        <v>365</v>
      </c>
      <c r="R724" s="2">
        <v>1</v>
      </c>
      <c r="S724" s="2">
        <v>122.56</v>
      </c>
      <c r="T724" s="2">
        <v>28.188800000000001</v>
      </c>
      <c r="U724" s="2">
        <v>150.74879999999999</v>
      </c>
      <c r="W724" s="5">
        <f t="shared" si="78"/>
        <v>1</v>
      </c>
      <c r="Y724" s="2" t="s">
        <v>120</v>
      </c>
      <c r="AE724" s="2">
        <f t="shared" si="75"/>
        <v>0</v>
      </c>
      <c r="AI724" s="2">
        <f t="shared" si="76"/>
        <v>0</v>
      </c>
      <c r="AJ724" s="2">
        <f t="shared" si="77"/>
        <v>122.56</v>
      </c>
      <c r="AK724" s="5">
        <f t="shared" si="79"/>
        <v>1</v>
      </c>
    </row>
    <row r="725" spans="1:37" x14ac:dyDescent="0.2">
      <c r="A725" s="2">
        <v>2025</v>
      </c>
      <c r="B725" s="2">
        <v>3</v>
      </c>
      <c r="C725" s="2" t="s">
        <v>639</v>
      </c>
      <c r="L725" s="2" t="s">
        <v>81</v>
      </c>
      <c r="O725" s="2" t="s">
        <v>73</v>
      </c>
      <c r="P725" s="2" t="s">
        <v>74</v>
      </c>
      <c r="Q725" s="2" t="s">
        <v>75</v>
      </c>
      <c r="R725" s="2">
        <v>1</v>
      </c>
      <c r="S725" s="2">
        <v>210</v>
      </c>
      <c r="T725" s="2">
        <v>48.3</v>
      </c>
      <c r="U725" s="2">
        <v>258.3</v>
      </c>
      <c r="V725" s="2">
        <v>117.453</v>
      </c>
      <c r="W725" s="5">
        <f t="shared" si="78"/>
        <v>0.44069999999999998</v>
      </c>
      <c r="Y725" s="2" t="s">
        <v>3256</v>
      </c>
      <c r="Z725" s="2" t="s">
        <v>76</v>
      </c>
      <c r="AA725" s="2" t="s">
        <v>77</v>
      </c>
      <c r="AB725" s="2" t="s">
        <v>78</v>
      </c>
      <c r="AE725" s="2">
        <f t="shared" si="75"/>
        <v>0</v>
      </c>
      <c r="AF725" s="2">
        <v>117.453</v>
      </c>
      <c r="AG725" s="2">
        <v>220</v>
      </c>
      <c r="AI725" s="2">
        <f t="shared" si="76"/>
        <v>0</v>
      </c>
      <c r="AJ725" s="2">
        <f t="shared" si="77"/>
        <v>92.546999999999997</v>
      </c>
      <c r="AK725" s="5">
        <f t="shared" si="79"/>
        <v>0.44069999999999998</v>
      </c>
    </row>
    <row r="726" spans="1:37" x14ac:dyDescent="0.2">
      <c r="A726" s="2">
        <v>2025</v>
      </c>
      <c r="B726" s="2">
        <v>3</v>
      </c>
      <c r="C726" s="2" t="s">
        <v>639</v>
      </c>
      <c r="L726" s="2" t="s">
        <v>81</v>
      </c>
      <c r="O726" s="2" t="s">
        <v>94</v>
      </c>
      <c r="P726" s="2" t="s">
        <v>95</v>
      </c>
      <c r="Q726" s="2" t="s">
        <v>96</v>
      </c>
      <c r="R726" s="2">
        <v>1</v>
      </c>
      <c r="S726" s="2">
        <v>1.1399999999999999</v>
      </c>
      <c r="T726" s="2">
        <v>0.26219999999999999</v>
      </c>
      <c r="U726" s="2">
        <v>1.4021999999999999</v>
      </c>
      <c r="V726" s="2">
        <v>1.1399999999999999</v>
      </c>
      <c r="W726" s="5">
        <f t="shared" si="78"/>
        <v>0</v>
      </c>
      <c r="Y726" s="2" t="s">
        <v>3256</v>
      </c>
      <c r="Z726" s="2" t="s">
        <v>97</v>
      </c>
      <c r="AA726" s="2" t="s">
        <v>77</v>
      </c>
      <c r="AB726" s="2" t="s">
        <v>94</v>
      </c>
      <c r="AE726" s="2">
        <f t="shared" si="75"/>
        <v>0</v>
      </c>
      <c r="AI726" s="2">
        <f t="shared" si="76"/>
        <v>0</v>
      </c>
      <c r="AJ726" s="2">
        <f t="shared" si="77"/>
        <v>0</v>
      </c>
      <c r="AK726" s="5">
        <f t="shared" si="79"/>
        <v>0</v>
      </c>
    </row>
    <row r="727" spans="1:37" x14ac:dyDescent="0.2">
      <c r="A727" s="2">
        <v>2025</v>
      </c>
      <c r="B727" s="2">
        <v>3</v>
      </c>
      <c r="C727" s="2" t="s">
        <v>1129</v>
      </c>
      <c r="D727" s="2" t="s">
        <v>109</v>
      </c>
      <c r="E727" s="2" t="s">
        <v>39</v>
      </c>
      <c r="F727" s="2">
        <v>504923765</v>
      </c>
      <c r="G727" s="2" t="s">
        <v>110</v>
      </c>
      <c r="H727" s="2" t="s">
        <v>3275</v>
      </c>
      <c r="I727" s="2" t="s">
        <v>3276</v>
      </c>
      <c r="J727" s="2">
        <v>96179412</v>
      </c>
      <c r="K727" s="2" t="s">
        <v>465</v>
      </c>
      <c r="L727" s="2" t="s">
        <v>40</v>
      </c>
      <c r="N727" s="2" t="s">
        <v>3278</v>
      </c>
      <c r="O727" s="2" t="s">
        <v>188</v>
      </c>
      <c r="P727" s="2" t="s">
        <v>189</v>
      </c>
      <c r="Q727" s="2" t="s">
        <v>190</v>
      </c>
      <c r="R727" s="2">
        <v>1</v>
      </c>
      <c r="S727" s="2">
        <v>197</v>
      </c>
      <c r="T727" s="2">
        <v>45.31</v>
      </c>
      <c r="U727" s="2">
        <v>242.31</v>
      </c>
      <c r="W727" s="5">
        <f t="shared" si="78"/>
        <v>1</v>
      </c>
      <c r="Y727" s="2" t="s">
        <v>118</v>
      </c>
      <c r="Z727" s="2" t="s">
        <v>191</v>
      </c>
      <c r="AE727" s="2">
        <f t="shared" si="75"/>
        <v>0</v>
      </c>
      <c r="AI727" s="2">
        <f t="shared" si="76"/>
        <v>0</v>
      </c>
      <c r="AJ727" s="2">
        <f t="shared" si="77"/>
        <v>197</v>
      </c>
      <c r="AK727" s="5">
        <f t="shared" si="79"/>
        <v>1</v>
      </c>
    </row>
    <row r="728" spans="1:37" x14ac:dyDescent="0.2">
      <c r="A728" s="2">
        <v>2025</v>
      </c>
      <c r="B728" s="2">
        <v>3</v>
      </c>
      <c r="C728" s="2" t="s">
        <v>1129</v>
      </c>
      <c r="D728" s="2" t="s">
        <v>109</v>
      </c>
      <c r="E728" s="2" t="s">
        <v>39</v>
      </c>
      <c r="F728" s="2">
        <v>504923765</v>
      </c>
      <c r="G728" s="2" t="s">
        <v>110</v>
      </c>
      <c r="H728" s="2" t="s">
        <v>3275</v>
      </c>
      <c r="I728" s="2" t="s">
        <v>3276</v>
      </c>
      <c r="J728" s="2">
        <v>96179412</v>
      </c>
      <c r="K728" s="2" t="s">
        <v>465</v>
      </c>
      <c r="L728" s="2" t="s">
        <v>40</v>
      </c>
      <c r="N728" s="2" t="s">
        <v>3278</v>
      </c>
      <c r="O728" s="2" t="s">
        <v>188</v>
      </c>
      <c r="P728" s="2" t="s">
        <v>192</v>
      </c>
      <c r="Q728" s="2" t="s">
        <v>191</v>
      </c>
      <c r="R728" s="2">
        <v>0.75</v>
      </c>
      <c r="S728" s="2">
        <v>37.5</v>
      </c>
      <c r="T728" s="2">
        <v>8.625</v>
      </c>
      <c r="U728" s="2">
        <v>46.125</v>
      </c>
      <c r="V728" s="2">
        <f>S728*50%</f>
        <v>18.75</v>
      </c>
      <c r="W728" s="5">
        <f t="shared" si="78"/>
        <v>0.5</v>
      </c>
      <c r="Y728" s="2" t="s">
        <v>118</v>
      </c>
      <c r="Z728" s="2" t="s">
        <v>191</v>
      </c>
      <c r="AE728" s="2">
        <f t="shared" si="75"/>
        <v>0</v>
      </c>
      <c r="AI728" s="2">
        <f t="shared" si="76"/>
        <v>0</v>
      </c>
      <c r="AJ728" s="2">
        <f t="shared" si="77"/>
        <v>18.75</v>
      </c>
      <c r="AK728" s="5">
        <f t="shared" si="79"/>
        <v>0.5</v>
      </c>
    </row>
    <row r="729" spans="1:37" x14ac:dyDescent="0.2">
      <c r="A729" s="2">
        <v>2025</v>
      </c>
      <c r="B729" s="2">
        <v>3</v>
      </c>
      <c r="C729" s="2" t="s">
        <v>924</v>
      </c>
      <c r="D729" s="2" t="s">
        <v>758</v>
      </c>
      <c r="E729" s="2" t="s">
        <v>925</v>
      </c>
      <c r="F729" s="2">
        <v>505973960</v>
      </c>
      <c r="G729" s="2" t="s">
        <v>40</v>
      </c>
      <c r="H729" s="2" t="s">
        <v>157</v>
      </c>
      <c r="I729" s="2" t="s">
        <v>926</v>
      </c>
      <c r="K729" s="2" t="s">
        <v>100</v>
      </c>
      <c r="L729" s="2" t="s">
        <v>81</v>
      </c>
      <c r="N729" s="2" t="s">
        <v>1130</v>
      </c>
      <c r="O729" s="2" t="s">
        <v>43</v>
      </c>
      <c r="P729" s="2" t="s">
        <v>972</v>
      </c>
      <c r="Q729" s="2" t="s">
        <v>973</v>
      </c>
      <c r="R729" s="2">
        <v>1</v>
      </c>
      <c r="S729" s="2">
        <v>3</v>
      </c>
      <c r="T729" s="2">
        <v>0.69000000000000006</v>
      </c>
      <c r="U729" s="2">
        <v>3.69</v>
      </c>
      <c r="W729" s="5">
        <f t="shared" si="78"/>
        <v>1</v>
      </c>
      <c r="Y729" s="2" t="s">
        <v>3256</v>
      </c>
      <c r="Z729" s="2" t="s">
        <v>46</v>
      </c>
      <c r="AA729" s="2" t="s">
        <v>61</v>
      </c>
      <c r="AB729" s="2" t="s">
        <v>58</v>
      </c>
      <c r="AE729" s="2">
        <f t="shared" si="75"/>
        <v>0</v>
      </c>
      <c r="AI729" s="2">
        <f t="shared" si="76"/>
        <v>0</v>
      </c>
      <c r="AJ729" s="2">
        <f t="shared" si="77"/>
        <v>3</v>
      </c>
      <c r="AK729" s="5">
        <f t="shared" si="79"/>
        <v>1</v>
      </c>
    </row>
    <row r="730" spans="1:37" x14ac:dyDescent="0.2">
      <c r="A730" s="2">
        <v>2025</v>
      </c>
      <c r="B730" s="2">
        <v>3</v>
      </c>
      <c r="C730" s="2" t="s">
        <v>924</v>
      </c>
      <c r="D730" s="2" t="s">
        <v>758</v>
      </c>
      <c r="E730" s="2" t="s">
        <v>925</v>
      </c>
      <c r="F730" s="2">
        <v>505973960</v>
      </c>
      <c r="G730" s="2" t="s">
        <v>40</v>
      </c>
      <c r="H730" s="2" t="s">
        <v>157</v>
      </c>
      <c r="I730" s="2" t="s">
        <v>926</v>
      </c>
      <c r="K730" s="2" t="s">
        <v>100</v>
      </c>
      <c r="L730" s="2" t="s">
        <v>81</v>
      </c>
      <c r="N730" s="2" t="s">
        <v>1130</v>
      </c>
      <c r="O730" s="2" t="s">
        <v>43</v>
      </c>
      <c r="P730" s="2" t="s">
        <v>975</v>
      </c>
      <c r="Q730" s="2" t="s">
        <v>976</v>
      </c>
      <c r="R730" s="2">
        <v>1</v>
      </c>
      <c r="S730" s="2">
        <v>27</v>
      </c>
      <c r="T730" s="2">
        <v>6.21</v>
      </c>
      <c r="U730" s="2">
        <v>33.21</v>
      </c>
      <c r="W730" s="5">
        <f t="shared" si="78"/>
        <v>1</v>
      </c>
      <c r="Y730" s="2" t="s">
        <v>3256</v>
      </c>
      <c r="Z730" s="2" t="s">
        <v>46</v>
      </c>
      <c r="AA730" s="2" t="s">
        <v>61</v>
      </c>
      <c r="AB730" s="2" t="s">
        <v>58</v>
      </c>
      <c r="AE730" s="2">
        <f t="shared" si="75"/>
        <v>0</v>
      </c>
      <c r="AI730" s="2">
        <f t="shared" si="76"/>
        <v>0</v>
      </c>
      <c r="AJ730" s="2">
        <f t="shared" si="77"/>
        <v>27</v>
      </c>
      <c r="AK730" s="5">
        <f t="shared" si="79"/>
        <v>1</v>
      </c>
    </row>
    <row r="731" spans="1:37" x14ac:dyDescent="0.2">
      <c r="A731" s="2">
        <v>2025</v>
      </c>
      <c r="B731" s="2">
        <v>3</v>
      </c>
      <c r="C731" s="2" t="s">
        <v>661</v>
      </c>
      <c r="D731" s="2" t="s">
        <v>38</v>
      </c>
      <c r="F731" s="2">
        <v>509116590</v>
      </c>
      <c r="G731" s="2" t="s">
        <v>291</v>
      </c>
      <c r="H731" s="2" t="s">
        <v>662</v>
      </c>
      <c r="I731" s="2" t="s">
        <v>663</v>
      </c>
      <c r="K731" s="2" t="s">
        <v>294</v>
      </c>
      <c r="L731" s="2" t="s">
        <v>81</v>
      </c>
      <c r="O731" s="2" t="s">
        <v>73</v>
      </c>
      <c r="P731" s="2" t="s">
        <v>1131</v>
      </c>
      <c r="Q731" s="2" t="s">
        <v>80</v>
      </c>
      <c r="R731" s="2">
        <v>1</v>
      </c>
      <c r="S731" s="2">
        <v>181.24</v>
      </c>
      <c r="T731" s="2">
        <v>41.685200000000002</v>
      </c>
      <c r="U731" s="2">
        <v>222.92519999999999</v>
      </c>
      <c r="W731" s="5">
        <f t="shared" si="78"/>
        <v>1</v>
      </c>
      <c r="Y731" s="2" t="s">
        <v>3256</v>
      </c>
      <c r="Z731" s="2" t="s">
        <v>76</v>
      </c>
      <c r="AA731" s="2" t="s">
        <v>77</v>
      </c>
      <c r="AB731" s="2" t="s">
        <v>78</v>
      </c>
      <c r="AE731" s="2">
        <f t="shared" si="75"/>
        <v>0</v>
      </c>
      <c r="AI731" s="2">
        <f t="shared" si="76"/>
        <v>0</v>
      </c>
      <c r="AJ731" s="2">
        <f t="shared" si="77"/>
        <v>181.24</v>
      </c>
      <c r="AK731" s="5">
        <f t="shared" si="79"/>
        <v>1</v>
      </c>
    </row>
    <row r="732" spans="1:37" x14ac:dyDescent="0.2">
      <c r="A732" s="2">
        <v>2025</v>
      </c>
      <c r="B732" s="2">
        <v>3</v>
      </c>
      <c r="C732" s="2" t="s">
        <v>661</v>
      </c>
      <c r="D732" s="2" t="s">
        <v>38</v>
      </c>
      <c r="F732" s="2">
        <v>509116590</v>
      </c>
      <c r="G732" s="2" t="s">
        <v>291</v>
      </c>
      <c r="H732" s="2" t="s">
        <v>662</v>
      </c>
      <c r="I732" s="2" t="s">
        <v>663</v>
      </c>
      <c r="K732" s="2" t="s">
        <v>294</v>
      </c>
      <c r="L732" s="2" t="s">
        <v>81</v>
      </c>
      <c r="O732" s="2" t="s">
        <v>94</v>
      </c>
      <c r="P732" s="2" t="s">
        <v>95</v>
      </c>
      <c r="Q732" s="2" t="s">
        <v>96</v>
      </c>
      <c r="R732" s="2">
        <v>1</v>
      </c>
      <c r="S732" s="2">
        <v>1.1399999999999999</v>
      </c>
      <c r="T732" s="2">
        <v>0.26219999999999999</v>
      </c>
      <c r="U732" s="2">
        <v>1.4021999999999999</v>
      </c>
      <c r="V732" s="2">
        <v>1.1399999999999999</v>
      </c>
      <c r="W732" s="5">
        <f t="shared" si="78"/>
        <v>0</v>
      </c>
      <c r="Y732" s="2" t="s">
        <v>3256</v>
      </c>
      <c r="Z732" s="2" t="s">
        <v>97</v>
      </c>
      <c r="AA732" s="2" t="s">
        <v>77</v>
      </c>
      <c r="AB732" s="2" t="s">
        <v>94</v>
      </c>
      <c r="AE732" s="2">
        <f t="shared" si="75"/>
        <v>0</v>
      </c>
      <c r="AI732" s="2">
        <f t="shared" si="76"/>
        <v>0</v>
      </c>
      <c r="AJ732" s="2">
        <f t="shared" si="77"/>
        <v>0</v>
      </c>
      <c r="AK732" s="5">
        <f t="shared" si="79"/>
        <v>0</v>
      </c>
    </row>
    <row r="733" spans="1:37" x14ac:dyDescent="0.2">
      <c r="A733" s="2">
        <v>2025</v>
      </c>
      <c r="B733" s="2">
        <v>3</v>
      </c>
      <c r="C733" s="2" t="s">
        <v>1132</v>
      </c>
      <c r="L733" s="2" t="s">
        <v>40</v>
      </c>
      <c r="O733" s="2" t="s">
        <v>188</v>
      </c>
      <c r="P733" s="2" t="s">
        <v>189</v>
      </c>
      <c r="Q733" s="2" t="s">
        <v>190</v>
      </c>
      <c r="R733" s="2">
        <v>1</v>
      </c>
      <c r="S733" s="2">
        <v>67</v>
      </c>
      <c r="T733" s="2">
        <v>15.41</v>
      </c>
      <c r="U733" s="2">
        <v>82.41</v>
      </c>
      <c r="W733" s="5">
        <f t="shared" si="78"/>
        <v>1</v>
      </c>
      <c r="Y733" s="2" t="s">
        <v>118</v>
      </c>
      <c r="Z733" s="2" t="s">
        <v>191</v>
      </c>
      <c r="AE733" s="2">
        <f t="shared" si="75"/>
        <v>0</v>
      </c>
      <c r="AI733" s="2">
        <f t="shared" si="76"/>
        <v>0</v>
      </c>
      <c r="AJ733" s="2">
        <f t="shared" si="77"/>
        <v>67</v>
      </c>
      <c r="AK733" s="5">
        <f t="shared" si="79"/>
        <v>1</v>
      </c>
    </row>
    <row r="734" spans="1:37" x14ac:dyDescent="0.2">
      <c r="A734" s="2">
        <v>2025</v>
      </c>
      <c r="B734" s="2">
        <v>3</v>
      </c>
      <c r="C734" s="2" t="s">
        <v>1132</v>
      </c>
      <c r="L734" s="2" t="s">
        <v>40</v>
      </c>
      <c r="O734" s="2" t="s">
        <v>188</v>
      </c>
      <c r="P734" s="2" t="s">
        <v>192</v>
      </c>
      <c r="Q734" s="2" t="s">
        <v>191</v>
      </c>
      <c r="R734" s="2">
        <v>1</v>
      </c>
      <c r="S734" s="2">
        <v>50</v>
      </c>
      <c r="T734" s="2">
        <v>11.5</v>
      </c>
      <c r="U734" s="2">
        <v>61.5</v>
      </c>
      <c r="V734" s="2">
        <f>S734*50%</f>
        <v>25</v>
      </c>
      <c r="W734" s="5">
        <f t="shared" si="78"/>
        <v>0.5</v>
      </c>
      <c r="Y734" s="2" t="s">
        <v>118</v>
      </c>
      <c r="Z734" s="2" t="s">
        <v>191</v>
      </c>
      <c r="AE734" s="2">
        <f t="shared" si="75"/>
        <v>0</v>
      </c>
      <c r="AI734" s="2">
        <f t="shared" si="76"/>
        <v>0</v>
      </c>
      <c r="AJ734" s="2">
        <f t="shared" si="77"/>
        <v>25</v>
      </c>
      <c r="AK734" s="5">
        <f t="shared" si="79"/>
        <v>0.5</v>
      </c>
    </row>
    <row r="735" spans="1:37" x14ac:dyDescent="0.2">
      <c r="A735" s="2">
        <v>2025</v>
      </c>
      <c r="B735" s="2">
        <v>3</v>
      </c>
      <c r="C735" s="2" t="s">
        <v>1133</v>
      </c>
      <c r="D735" s="2" t="s">
        <v>109</v>
      </c>
      <c r="E735" s="2" t="s">
        <v>39</v>
      </c>
      <c r="F735" s="2">
        <v>515742279</v>
      </c>
      <c r="G735" s="2" t="s">
        <v>41</v>
      </c>
      <c r="H735" s="2" t="s">
        <v>2316</v>
      </c>
      <c r="I735" s="2" t="s">
        <v>2317</v>
      </c>
      <c r="J735" s="2">
        <v>965790183</v>
      </c>
      <c r="K735" s="2" t="s">
        <v>178</v>
      </c>
      <c r="L735" s="2" t="s">
        <v>41</v>
      </c>
      <c r="N735" s="2" t="s">
        <v>3247</v>
      </c>
      <c r="O735" s="2" t="s">
        <v>283</v>
      </c>
      <c r="P735" s="2" t="s">
        <v>438</v>
      </c>
      <c r="Q735" s="2" t="s">
        <v>439</v>
      </c>
      <c r="R735" s="2">
        <v>1</v>
      </c>
      <c r="S735" s="2">
        <v>595</v>
      </c>
      <c r="T735" s="2">
        <v>136.85</v>
      </c>
      <c r="U735" s="2">
        <v>731.85</v>
      </c>
      <c r="V735" s="2">
        <v>417</v>
      </c>
      <c r="W735" s="5">
        <f t="shared" si="78"/>
        <v>0.29915966386554621</v>
      </c>
      <c r="Y735" s="2" t="s">
        <v>105</v>
      </c>
      <c r="Z735" s="2" t="s">
        <v>389</v>
      </c>
      <c r="AA735" s="2" t="s">
        <v>390</v>
      </c>
      <c r="AB735" s="2" t="s">
        <v>391</v>
      </c>
      <c r="AE735" s="2">
        <f t="shared" si="75"/>
        <v>0</v>
      </c>
      <c r="AI735" s="2">
        <f t="shared" si="76"/>
        <v>0</v>
      </c>
      <c r="AJ735" s="2">
        <f t="shared" si="77"/>
        <v>178</v>
      </c>
      <c r="AK735" s="5">
        <f t="shared" si="79"/>
        <v>0.29915966386554621</v>
      </c>
    </row>
    <row r="736" spans="1:37" x14ac:dyDescent="0.2">
      <c r="A736" s="2">
        <v>2025</v>
      </c>
      <c r="B736" s="2">
        <v>3</v>
      </c>
      <c r="C736" s="2" t="s">
        <v>1134</v>
      </c>
      <c r="D736" s="2" t="s">
        <v>38</v>
      </c>
      <c r="E736" s="2" t="s">
        <v>39</v>
      </c>
      <c r="F736" s="2">
        <v>501551298</v>
      </c>
      <c r="G736" s="2" t="s">
        <v>110</v>
      </c>
      <c r="H736" s="2" t="s">
        <v>1135</v>
      </c>
      <c r="I736" s="2" t="s">
        <v>1136</v>
      </c>
      <c r="K736" s="2" t="s">
        <v>465</v>
      </c>
      <c r="L736" s="2" t="s">
        <v>40</v>
      </c>
      <c r="N736" s="2" t="s">
        <v>1137</v>
      </c>
      <c r="O736" s="2" t="s">
        <v>115</v>
      </c>
      <c r="P736" s="2" t="s">
        <v>1138</v>
      </c>
      <c r="Q736" s="2" t="s">
        <v>1139</v>
      </c>
      <c r="R736" s="2">
        <v>2</v>
      </c>
      <c r="S736" s="2">
        <v>22.92</v>
      </c>
      <c r="T736" s="2">
        <v>5.2716000000000003</v>
      </c>
      <c r="U736" s="2">
        <v>28.191600000000001</v>
      </c>
      <c r="V736" s="2">
        <f>5.4834*R736</f>
        <v>10.966799999999999</v>
      </c>
      <c r="W736" s="5">
        <f t="shared" si="78"/>
        <v>0.52151832460732994</v>
      </c>
      <c r="Y736" s="2" t="s">
        <v>118</v>
      </c>
      <c r="Z736" s="2" t="s">
        <v>119</v>
      </c>
      <c r="AA736" s="2" t="s">
        <v>120</v>
      </c>
      <c r="AB736" s="2" t="s">
        <v>115</v>
      </c>
      <c r="AE736" s="2">
        <f t="shared" si="75"/>
        <v>0</v>
      </c>
      <c r="AF736" s="2">
        <v>5.4833999999999996</v>
      </c>
      <c r="AI736" s="2">
        <f t="shared" si="76"/>
        <v>0</v>
      </c>
      <c r="AJ736" s="2">
        <f t="shared" si="77"/>
        <v>11.953200000000002</v>
      </c>
      <c r="AK736" s="5">
        <f t="shared" si="79"/>
        <v>0.52151832460732994</v>
      </c>
    </row>
    <row r="737" spans="1:37" x14ac:dyDescent="0.2">
      <c r="A737" s="2">
        <v>2025</v>
      </c>
      <c r="B737" s="2">
        <v>3</v>
      </c>
      <c r="C737" s="2" t="s">
        <v>1134</v>
      </c>
      <c r="D737" s="2" t="s">
        <v>38</v>
      </c>
      <c r="E737" s="2" t="s">
        <v>39</v>
      </c>
      <c r="F737" s="2">
        <v>501551298</v>
      </c>
      <c r="G737" s="2" t="s">
        <v>110</v>
      </c>
      <c r="H737" s="2" t="s">
        <v>1135</v>
      </c>
      <c r="I737" s="2" t="s">
        <v>1136</v>
      </c>
      <c r="K737" s="2" t="s">
        <v>465</v>
      </c>
      <c r="L737" s="2" t="s">
        <v>40</v>
      </c>
      <c r="N737" s="2" t="s">
        <v>1137</v>
      </c>
      <c r="O737" s="2" t="s">
        <v>170</v>
      </c>
      <c r="P737" s="2" t="s">
        <v>171</v>
      </c>
      <c r="Q737" s="2" t="s">
        <v>171</v>
      </c>
      <c r="R737" s="2">
        <v>1</v>
      </c>
      <c r="S737" s="2">
        <v>5</v>
      </c>
      <c r="T737" s="2">
        <v>1.1499999999999999</v>
      </c>
      <c r="U737" s="2">
        <v>6.15</v>
      </c>
      <c r="W737" s="5">
        <f t="shared" si="78"/>
        <v>1</v>
      </c>
      <c r="Y737" s="2" t="s">
        <v>170</v>
      </c>
      <c r="Z737" s="2" t="s">
        <v>170</v>
      </c>
      <c r="AE737" s="2">
        <f t="shared" si="75"/>
        <v>0</v>
      </c>
      <c r="AI737" s="2">
        <f t="shared" si="76"/>
        <v>0</v>
      </c>
      <c r="AJ737" s="2">
        <f t="shared" si="77"/>
        <v>5</v>
      </c>
      <c r="AK737" s="5">
        <f t="shared" si="79"/>
        <v>1</v>
      </c>
    </row>
    <row r="738" spans="1:37" x14ac:dyDescent="0.2">
      <c r="A738" s="2">
        <v>2025</v>
      </c>
      <c r="B738" s="2">
        <v>3</v>
      </c>
      <c r="C738" s="2" t="s">
        <v>935</v>
      </c>
      <c r="D738" s="2" t="s">
        <v>38</v>
      </c>
      <c r="E738" s="2" t="s">
        <v>39</v>
      </c>
      <c r="F738" s="2" t="s">
        <v>936</v>
      </c>
      <c r="G738" s="2" t="s">
        <v>41</v>
      </c>
      <c r="H738" s="2" t="s">
        <v>632</v>
      </c>
      <c r="I738" s="2" t="s">
        <v>937</v>
      </c>
      <c r="K738" s="2" t="s">
        <v>632</v>
      </c>
      <c r="L738" s="2" t="s">
        <v>41</v>
      </c>
      <c r="O738" s="2" t="s">
        <v>283</v>
      </c>
      <c r="P738" s="2" t="s">
        <v>532</v>
      </c>
      <c r="Q738" s="2" t="s">
        <v>533</v>
      </c>
      <c r="R738" s="2">
        <v>1</v>
      </c>
      <c r="S738" s="2">
        <v>399</v>
      </c>
      <c r="T738" s="2">
        <v>91.77000000000001</v>
      </c>
      <c r="U738" s="2">
        <v>490.77</v>
      </c>
      <c r="W738" s="5">
        <f t="shared" si="78"/>
        <v>1</v>
      </c>
      <c r="Y738" s="2" t="s">
        <v>3256</v>
      </c>
      <c r="AE738" s="2">
        <f t="shared" si="75"/>
        <v>0</v>
      </c>
      <c r="AI738" s="2">
        <f t="shared" si="76"/>
        <v>0</v>
      </c>
      <c r="AJ738" s="2">
        <f t="shared" si="77"/>
        <v>399</v>
      </c>
      <c r="AK738" s="5">
        <f t="shared" si="79"/>
        <v>1</v>
      </c>
    </row>
    <row r="739" spans="1:37" x14ac:dyDescent="0.2">
      <c r="A739" s="2">
        <v>2025</v>
      </c>
      <c r="B739" s="2">
        <v>4</v>
      </c>
      <c r="C739" s="2" t="s">
        <v>37</v>
      </c>
      <c r="D739" s="2" t="s">
        <v>38</v>
      </c>
      <c r="E739" s="2" t="s">
        <v>39</v>
      </c>
      <c r="G739" s="2" t="s">
        <v>40</v>
      </c>
      <c r="O739" s="2" t="s">
        <v>283</v>
      </c>
      <c r="P739" s="2" t="s">
        <v>1070</v>
      </c>
      <c r="Q739" s="2" t="s">
        <v>1071</v>
      </c>
      <c r="R739" s="2">
        <v>1</v>
      </c>
      <c r="S739" s="2">
        <v>25.9</v>
      </c>
      <c r="W739" s="5">
        <f t="shared" si="78"/>
        <v>1</v>
      </c>
      <c r="Y739" s="2" t="s">
        <v>3256</v>
      </c>
      <c r="AE739" s="2">
        <f t="shared" si="75"/>
        <v>0</v>
      </c>
      <c r="AI739" s="2">
        <f t="shared" si="76"/>
        <v>0</v>
      </c>
      <c r="AJ739" s="2">
        <f t="shared" si="77"/>
        <v>25.9</v>
      </c>
      <c r="AK739" s="5">
        <f t="shared" si="79"/>
        <v>1</v>
      </c>
    </row>
    <row r="740" spans="1:37" x14ac:dyDescent="0.2">
      <c r="A740" s="2">
        <v>2025</v>
      </c>
      <c r="B740" s="2">
        <v>4</v>
      </c>
      <c r="C740" s="2" t="s">
        <v>37</v>
      </c>
      <c r="D740" s="2" t="s">
        <v>38</v>
      </c>
      <c r="E740" s="2" t="s">
        <v>39</v>
      </c>
      <c r="G740" s="2" t="s">
        <v>40</v>
      </c>
      <c r="O740" s="2" t="s">
        <v>283</v>
      </c>
      <c r="P740" s="2" t="s">
        <v>401</v>
      </c>
      <c r="Q740" s="2" t="s">
        <v>402</v>
      </c>
      <c r="R740" s="2">
        <v>2</v>
      </c>
      <c r="S740" s="2">
        <v>28.4</v>
      </c>
      <c r="T740" s="2">
        <v>6.532</v>
      </c>
      <c r="U740" s="2">
        <v>34.932000000000002</v>
      </c>
      <c r="W740" s="5">
        <f t="shared" si="78"/>
        <v>1</v>
      </c>
      <c r="Y740" s="2" t="s">
        <v>3256</v>
      </c>
      <c r="Z740" s="2" t="s">
        <v>46</v>
      </c>
      <c r="AA740" s="2" t="s">
        <v>61</v>
      </c>
      <c r="AB740" s="2" t="s">
        <v>403</v>
      </c>
      <c r="AE740" s="2">
        <f t="shared" si="75"/>
        <v>0</v>
      </c>
      <c r="AI740" s="2">
        <f t="shared" si="76"/>
        <v>0</v>
      </c>
      <c r="AJ740" s="2">
        <f t="shared" si="77"/>
        <v>28.4</v>
      </c>
      <c r="AK740" s="5">
        <f t="shared" si="79"/>
        <v>1</v>
      </c>
    </row>
    <row r="741" spans="1:37" x14ac:dyDescent="0.2">
      <c r="A741" s="2">
        <v>2025</v>
      </c>
      <c r="B741" s="2">
        <v>4</v>
      </c>
      <c r="C741" s="2" t="s">
        <v>37</v>
      </c>
      <c r="D741" s="2" t="s">
        <v>38</v>
      </c>
      <c r="E741" s="2" t="s">
        <v>39</v>
      </c>
      <c r="G741" s="2" t="s">
        <v>40</v>
      </c>
      <c r="L741" s="2" t="s">
        <v>81</v>
      </c>
      <c r="N741" s="2" t="s">
        <v>1140</v>
      </c>
      <c r="O741" s="2" t="s">
        <v>43</v>
      </c>
      <c r="P741" s="2" t="s">
        <v>352</v>
      </c>
      <c r="Q741" s="2" t="s">
        <v>353</v>
      </c>
      <c r="R741" s="2">
        <v>3</v>
      </c>
      <c r="S741" s="2">
        <v>42</v>
      </c>
      <c r="T741" s="2">
        <v>9.66</v>
      </c>
      <c r="U741" s="2">
        <v>51.66</v>
      </c>
      <c r="V741" s="2">
        <f>10.67*R741</f>
        <v>32.01</v>
      </c>
      <c r="W741" s="5">
        <f t="shared" si="78"/>
        <v>0.23785714285714291</v>
      </c>
      <c r="Y741" s="2" t="s">
        <v>3256</v>
      </c>
      <c r="Z741" s="2" t="s">
        <v>46</v>
      </c>
      <c r="AA741" s="2" t="s">
        <v>47</v>
      </c>
      <c r="AB741" s="2" t="s">
        <v>48</v>
      </c>
      <c r="AE741" s="2">
        <f t="shared" si="75"/>
        <v>0</v>
      </c>
      <c r="AF741" s="2">
        <v>10.67</v>
      </c>
      <c r="AG741" s="2">
        <v>21</v>
      </c>
      <c r="AI741" s="2">
        <f t="shared" si="76"/>
        <v>0</v>
      </c>
      <c r="AJ741" s="2">
        <f t="shared" si="77"/>
        <v>9.990000000000002</v>
      </c>
      <c r="AK741" s="5">
        <f t="shared" si="79"/>
        <v>0.23785714285714291</v>
      </c>
    </row>
    <row r="742" spans="1:37" x14ac:dyDescent="0.2">
      <c r="A742" s="2">
        <v>2025</v>
      </c>
      <c r="B742" s="2">
        <v>4</v>
      </c>
      <c r="C742" s="2" t="s">
        <v>37</v>
      </c>
      <c r="D742" s="2" t="s">
        <v>38</v>
      </c>
      <c r="E742" s="2" t="s">
        <v>39</v>
      </c>
      <c r="G742" s="2" t="s">
        <v>40</v>
      </c>
      <c r="L742" s="2" t="s">
        <v>81</v>
      </c>
      <c r="N742" s="2" t="s">
        <v>1140</v>
      </c>
      <c r="O742" s="2" t="s">
        <v>43</v>
      </c>
      <c r="P742" s="2" t="s">
        <v>159</v>
      </c>
      <c r="Q742" s="2" t="s">
        <v>160</v>
      </c>
      <c r="R742" s="2">
        <v>1</v>
      </c>
      <c r="S742" s="2">
        <v>14</v>
      </c>
      <c r="T742" s="2">
        <v>3.22</v>
      </c>
      <c r="U742" s="2">
        <v>17.22</v>
      </c>
      <c r="V742" s="2">
        <f>9.3*R742</f>
        <v>9.3000000000000007</v>
      </c>
      <c r="W742" s="5">
        <f t="shared" si="78"/>
        <v>0.33571428571428569</v>
      </c>
      <c r="Y742" s="2" t="s">
        <v>3256</v>
      </c>
      <c r="Z742" s="2" t="s">
        <v>46</v>
      </c>
      <c r="AA742" s="2" t="s">
        <v>47</v>
      </c>
      <c r="AB742" s="2" t="s">
        <v>48</v>
      </c>
      <c r="AE742" s="2">
        <f t="shared" si="75"/>
        <v>0</v>
      </c>
      <c r="AF742" s="2">
        <v>9.3000000000000007</v>
      </c>
      <c r="AG742" s="2">
        <v>21</v>
      </c>
      <c r="AI742" s="2">
        <f t="shared" si="76"/>
        <v>0</v>
      </c>
      <c r="AJ742" s="2">
        <f t="shared" si="77"/>
        <v>4.6999999999999993</v>
      </c>
      <c r="AK742" s="5">
        <f t="shared" si="79"/>
        <v>0.33571428571428569</v>
      </c>
    </row>
    <row r="743" spans="1:37" x14ac:dyDescent="0.2">
      <c r="A743" s="2">
        <v>2025</v>
      </c>
      <c r="B743" s="2">
        <v>4</v>
      </c>
      <c r="C743" s="2" t="s">
        <v>37</v>
      </c>
      <c r="D743" s="2" t="s">
        <v>38</v>
      </c>
      <c r="E743" s="2" t="s">
        <v>39</v>
      </c>
      <c r="G743" s="2" t="s">
        <v>40</v>
      </c>
      <c r="O743" s="2" t="s">
        <v>43</v>
      </c>
      <c r="P743" s="2" t="s">
        <v>161</v>
      </c>
      <c r="Q743" s="2" t="s">
        <v>162</v>
      </c>
      <c r="R743" s="2">
        <v>1</v>
      </c>
      <c r="S743" s="2">
        <v>7.8</v>
      </c>
      <c r="T743" s="2">
        <v>1.794</v>
      </c>
      <c r="U743" s="2">
        <v>9.5939999999999994</v>
      </c>
      <c r="V743" s="2">
        <f>3.7358*R743</f>
        <v>3.7357999999999998</v>
      </c>
      <c r="W743" s="5">
        <f t="shared" si="78"/>
        <v>0.52105128205128204</v>
      </c>
      <c r="Y743" s="2" t="s">
        <v>3256</v>
      </c>
      <c r="Z743" s="2" t="s">
        <v>46</v>
      </c>
      <c r="AA743" s="2" t="s">
        <v>47</v>
      </c>
      <c r="AB743" s="2" t="s">
        <v>48</v>
      </c>
      <c r="AE743" s="2">
        <f t="shared" si="75"/>
        <v>0</v>
      </c>
      <c r="AF743" s="2">
        <v>3.7357999999999998</v>
      </c>
      <c r="AG743" s="2">
        <v>9</v>
      </c>
      <c r="AI743" s="2">
        <f t="shared" si="76"/>
        <v>0</v>
      </c>
      <c r="AJ743" s="2">
        <f t="shared" si="77"/>
        <v>4.0641999999999996</v>
      </c>
      <c r="AK743" s="5">
        <f t="shared" si="79"/>
        <v>0.52105128205128204</v>
      </c>
    </row>
    <row r="744" spans="1:37" x14ac:dyDescent="0.2">
      <c r="A744" s="2">
        <v>2025</v>
      </c>
      <c r="B744" s="2">
        <v>4</v>
      </c>
      <c r="C744" s="2" t="s">
        <v>37</v>
      </c>
      <c r="D744" s="2" t="s">
        <v>38</v>
      </c>
      <c r="E744" s="2" t="s">
        <v>39</v>
      </c>
      <c r="G744" s="2" t="s">
        <v>40</v>
      </c>
      <c r="O744" s="2" t="s">
        <v>43</v>
      </c>
      <c r="P744" s="2" t="s">
        <v>55</v>
      </c>
      <c r="Q744" s="2" t="s">
        <v>56</v>
      </c>
      <c r="R744" s="2">
        <v>6</v>
      </c>
      <c r="S744" s="2">
        <v>100</v>
      </c>
      <c r="T744" s="2">
        <v>23</v>
      </c>
      <c r="U744" s="2">
        <v>123</v>
      </c>
      <c r="V744" s="2">
        <f>10.6*R744</f>
        <v>63.599999999999994</v>
      </c>
      <c r="W744" s="5">
        <f t="shared" si="78"/>
        <v>0.36400000000000005</v>
      </c>
      <c r="Y744" s="2" t="s">
        <v>3256</v>
      </c>
      <c r="Z744" s="2" t="s">
        <v>46</v>
      </c>
      <c r="AA744" s="2" t="s">
        <v>57</v>
      </c>
      <c r="AB744" s="2" t="s">
        <v>58</v>
      </c>
      <c r="AE744" s="2">
        <f t="shared" si="75"/>
        <v>0</v>
      </c>
      <c r="AF744" s="2">
        <v>10.6</v>
      </c>
      <c r="AG744" s="2">
        <v>18</v>
      </c>
      <c r="AI744" s="2">
        <f t="shared" si="76"/>
        <v>0</v>
      </c>
      <c r="AJ744" s="2">
        <f t="shared" si="77"/>
        <v>36.400000000000006</v>
      </c>
      <c r="AK744" s="5">
        <f t="shared" si="79"/>
        <v>0.36400000000000005</v>
      </c>
    </row>
    <row r="745" spans="1:37" x14ac:dyDescent="0.2">
      <c r="A745" s="2">
        <v>2025</v>
      </c>
      <c r="B745" s="2">
        <v>4</v>
      </c>
      <c r="C745" s="2" t="s">
        <v>37</v>
      </c>
      <c r="D745" s="2" t="s">
        <v>38</v>
      </c>
      <c r="E745" s="2" t="s">
        <v>39</v>
      </c>
      <c r="G745" s="2" t="s">
        <v>40</v>
      </c>
      <c r="O745" s="2" t="s">
        <v>43</v>
      </c>
      <c r="P745" s="2" t="s">
        <v>62</v>
      </c>
      <c r="Q745" s="2" t="s">
        <v>63</v>
      </c>
      <c r="R745" s="2">
        <v>200</v>
      </c>
      <c r="S745" s="2">
        <v>26</v>
      </c>
      <c r="T745" s="2">
        <v>5.98</v>
      </c>
      <c r="U745" s="2">
        <v>31.98</v>
      </c>
      <c r="V745" s="2">
        <f>0.082*R745</f>
        <v>16.400000000000002</v>
      </c>
      <c r="W745" s="5">
        <f t="shared" si="78"/>
        <v>0.36923076923076914</v>
      </c>
      <c r="Y745" s="2" t="s">
        <v>3256</v>
      </c>
      <c r="Z745" s="2" t="s">
        <v>46</v>
      </c>
      <c r="AA745" s="2" t="s">
        <v>61</v>
      </c>
      <c r="AB745" s="2" t="s">
        <v>58</v>
      </c>
      <c r="AE745" s="2">
        <f t="shared" si="75"/>
        <v>0</v>
      </c>
      <c r="AF745" s="2">
        <v>8.1999999999999993</v>
      </c>
      <c r="AG745" s="2">
        <v>13</v>
      </c>
      <c r="AI745" s="2">
        <f t="shared" si="76"/>
        <v>0</v>
      </c>
      <c r="AJ745" s="2">
        <f t="shared" si="77"/>
        <v>9.5999999999999979</v>
      </c>
      <c r="AK745" s="5">
        <f t="shared" si="79"/>
        <v>0.36923076923076914</v>
      </c>
    </row>
    <row r="746" spans="1:37" x14ac:dyDescent="0.2">
      <c r="A746" s="2">
        <v>2025</v>
      </c>
      <c r="B746" s="2">
        <v>4</v>
      </c>
      <c r="C746" s="2" t="s">
        <v>37</v>
      </c>
      <c r="D746" s="2" t="s">
        <v>38</v>
      </c>
      <c r="E746" s="2" t="s">
        <v>39</v>
      </c>
      <c r="G746" s="2" t="s">
        <v>40</v>
      </c>
      <c r="L746" s="2" t="s">
        <v>41</v>
      </c>
      <c r="N746" s="2" t="s">
        <v>1141</v>
      </c>
      <c r="O746" s="2" t="s">
        <v>43</v>
      </c>
      <c r="P746" s="2" t="s">
        <v>424</v>
      </c>
      <c r="Q746" s="2" t="s">
        <v>425</v>
      </c>
      <c r="R746" s="2">
        <v>4</v>
      </c>
      <c r="S746" s="2">
        <v>26.4</v>
      </c>
      <c r="T746" s="2">
        <v>6.0720000000000001</v>
      </c>
      <c r="U746" s="2">
        <v>32.472000000000001</v>
      </c>
      <c r="V746" s="2">
        <f>3.7556*R746</f>
        <v>15.022399999999999</v>
      </c>
      <c r="W746" s="5">
        <f t="shared" si="78"/>
        <v>0.43096969696969695</v>
      </c>
      <c r="Y746" s="2" t="s">
        <v>3256</v>
      </c>
      <c r="Z746" s="2" t="s">
        <v>46</v>
      </c>
      <c r="AA746" s="2" t="s">
        <v>61</v>
      </c>
      <c r="AB746" s="2" t="s">
        <v>58</v>
      </c>
      <c r="AE746" s="2">
        <f t="shared" si="75"/>
        <v>0</v>
      </c>
      <c r="AF746" s="2">
        <v>3.7555999999999998</v>
      </c>
      <c r="AG746" s="2">
        <v>7.2</v>
      </c>
      <c r="AI746" s="2">
        <f t="shared" si="76"/>
        <v>0</v>
      </c>
      <c r="AJ746" s="2">
        <f t="shared" si="77"/>
        <v>11.377599999999999</v>
      </c>
      <c r="AK746" s="5">
        <f t="shared" si="79"/>
        <v>0.43096969696969695</v>
      </c>
    </row>
    <row r="747" spans="1:37" x14ac:dyDescent="0.2">
      <c r="A747" s="2">
        <v>2025</v>
      </c>
      <c r="B747" s="2">
        <v>4</v>
      </c>
      <c r="C747" s="2" t="s">
        <v>37</v>
      </c>
      <c r="D747" s="2" t="s">
        <v>38</v>
      </c>
      <c r="E747" s="2" t="s">
        <v>39</v>
      </c>
      <c r="G747" s="2" t="s">
        <v>40</v>
      </c>
      <c r="O747" s="2" t="s">
        <v>43</v>
      </c>
      <c r="P747" s="2" t="s">
        <v>64</v>
      </c>
      <c r="Q747" s="2" t="s">
        <v>65</v>
      </c>
      <c r="R747" s="2">
        <v>11</v>
      </c>
      <c r="S747" s="2">
        <v>24.9</v>
      </c>
      <c r="T747" s="2">
        <v>5.7270000000000003</v>
      </c>
      <c r="U747" s="2">
        <v>30.626999999999999</v>
      </c>
      <c r="V747" s="2">
        <f>0.8561*R747</f>
        <v>9.4170999999999996</v>
      </c>
      <c r="W747" s="5">
        <f t="shared" si="78"/>
        <v>0.62180321285140561</v>
      </c>
      <c r="Y747" s="2" t="s">
        <v>3256</v>
      </c>
      <c r="Z747" s="2" t="s">
        <v>46</v>
      </c>
      <c r="AA747" s="2" t="s">
        <v>61</v>
      </c>
      <c r="AB747" s="2" t="s">
        <v>58</v>
      </c>
      <c r="AE747" s="2">
        <f t="shared" si="75"/>
        <v>0</v>
      </c>
      <c r="AF747" s="2">
        <v>0.85609999999999997</v>
      </c>
      <c r="AG747" s="2">
        <v>1.8</v>
      </c>
      <c r="AI747" s="2">
        <f t="shared" si="76"/>
        <v>0</v>
      </c>
      <c r="AJ747" s="2">
        <f t="shared" si="77"/>
        <v>15.482899999999999</v>
      </c>
      <c r="AK747" s="5">
        <f t="shared" si="79"/>
        <v>0.62180321285140561</v>
      </c>
    </row>
    <row r="748" spans="1:37" x14ac:dyDescent="0.2">
      <c r="A748" s="2">
        <v>2025</v>
      </c>
      <c r="B748" s="2">
        <v>4</v>
      </c>
      <c r="C748" s="2" t="s">
        <v>37</v>
      </c>
      <c r="D748" s="2" t="s">
        <v>38</v>
      </c>
      <c r="E748" s="2" t="s">
        <v>39</v>
      </c>
      <c r="G748" s="2" t="s">
        <v>40</v>
      </c>
      <c r="O748" s="2" t="s">
        <v>43</v>
      </c>
      <c r="P748" s="2" t="s">
        <v>165</v>
      </c>
      <c r="Q748" s="2" t="s">
        <v>166</v>
      </c>
      <c r="R748" s="2">
        <v>1</v>
      </c>
      <c r="S748" s="2">
        <v>14.5</v>
      </c>
      <c r="T748" s="2">
        <v>3.335</v>
      </c>
      <c r="U748" s="2">
        <v>17.835000000000001</v>
      </c>
      <c r="V748" s="2">
        <f>7.9612*R748</f>
        <v>7.9611999999999998</v>
      </c>
      <c r="W748" s="5">
        <f t="shared" si="78"/>
        <v>0.45095172413793105</v>
      </c>
      <c r="Y748" s="2" t="s">
        <v>3256</v>
      </c>
      <c r="Z748" s="2" t="s">
        <v>46</v>
      </c>
      <c r="AA748" s="2" t="s">
        <v>68</v>
      </c>
      <c r="AB748" s="2" t="s">
        <v>58</v>
      </c>
      <c r="AE748" s="2">
        <f t="shared" si="75"/>
        <v>0</v>
      </c>
      <c r="AF748" s="2">
        <v>7.9611999999999998</v>
      </c>
      <c r="AG748" s="2">
        <v>14.4</v>
      </c>
      <c r="AI748" s="2">
        <f t="shared" si="76"/>
        <v>0</v>
      </c>
      <c r="AJ748" s="2">
        <f t="shared" si="77"/>
        <v>6.5388000000000002</v>
      </c>
      <c r="AK748" s="5">
        <f t="shared" si="79"/>
        <v>0.45095172413793105</v>
      </c>
    </row>
    <row r="749" spans="1:37" x14ac:dyDescent="0.2">
      <c r="A749" s="2">
        <v>2025</v>
      </c>
      <c r="B749" s="2">
        <v>4</v>
      </c>
      <c r="C749" s="2" t="s">
        <v>37</v>
      </c>
      <c r="D749" s="2" t="s">
        <v>38</v>
      </c>
      <c r="E749" s="2" t="s">
        <v>39</v>
      </c>
      <c r="G749" s="2" t="s">
        <v>40</v>
      </c>
      <c r="O749" s="2" t="s">
        <v>43</v>
      </c>
      <c r="P749" s="2" t="s">
        <v>261</v>
      </c>
      <c r="Q749" s="2" t="s">
        <v>262</v>
      </c>
      <c r="R749" s="2">
        <v>1</v>
      </c>
      <c r="S749" s="2">
        <v>12</v>
      </c>
      <c r="T749" s="2">
        <v>2.76</v>
      </c>
      <c r="U749" s="2">
        <v>14.76</v>
      </c>
      <c r="V749" s="2">
        <f>8.3145*R749</f>
        <v>8.3145000000000007</v>
      </c>
      <c r="W749" s="5">
        <f t="shared" si="78"/>
        <v>0.30712499999999993</v>
      </c>
      <c r="Y749" s="2" t="s">
        <v>3256</v>
      </c>
      <c r="Z749" s="2" t="s">
        <v>46</v>
      </c>
      <c r="AA749" s="2" t="s">
        <v>68</v>
      </c>
      <c r="AB749" s="2" t="s">
        <v>58</v>
      </c>
      <c r="AE749" s="2">
        <f t="shared" si="75"/>
        <v>0</v>
      </c>
      <c r="AF749" s="2">
        <v>8.3145000000000007</v>
      </c>
      <c r="AG749" s="2">
        <v>15</v>
      </c>
      <c r="AI749" s="2">
        <f t="shared" si="76"/>
        <v>0</v>
      </c>
      <c r="AJ749" s="2">
        <f t="shared" si="77"/>
        <v>3.6854999999999993</v>
      </c>
      <c r="AK749" s="5">
        <f t="shared" si="79"/>
        <v>0.30712499999999993</v>
      </c>
    </row>
    <row r="750" spans="1:37" x14ac:dyDescent="0.2">
      <c r="A750" s="2">
        <v>2025</v>
      </c>
      <c r="B750" s="2">
        <v>4</v>
      </c>
      <c r="C750" s="2" t="s">
        <v>37</v>
      </c>
      <c r="D750" s="2" t="s">
        <v>38</v>
      </c>
      <c r="E750" s="2" t="s">
        <v>39</v>
      </c>
      <c r="G750" s="2" t="s">
        <v>40</v>
      </c>
      <c r="O750" s="2" t="s">
        <v>73</v>
      </c>
      <c r="P750" s="2" t="s">
        <v>74</v>
      </c>
      <c r="Q750" s="2" t="s">
        <v>75</v>
      </c>
      <c r="R750" s="2">
        <v>3</v>
      </c>
      <c r="S750" s="2">
        <v>695.76</v>
      </c>
      <c r="T750" s="2">
        <v>160.0248</v>
      </c>
      <c r="U750" s="2">
        <v>855.78480000000002</v>
      </c>
      <c r="V750" s="2">
        <v>352.35899999999998</v>
      </c>
      <c r="W750" s="5">
        <f t="shared" si="78"/>
        <v>0.49356243532252503</v>
      </c>
      <c r="Y750" s="2" t="s">
        <v>3256</v>
      </c>
      <c r="Z750" s="2" t="s">
        <v>76</v>
      </c>
      <c r="AA750" s="2" t="s">
        <v>77</v>
      </c>
      <c r="AB750" s="2" t="s">
        <v>78</v>
      </c>
      <c r="AE750" s="2">
        <f t="shared" si="75"/>
        <v>0</v>
      </c>
      <c r="AF750" s="2">
        <v>117.453</v>
      </c>
      <c r="AG750" s="2">
        <v>220</v>
      </c>
      <c r="AI750" s="2">
        <f t="shared" si="76"/>
        <v>0</v>
      </c>
      <c r="AJ750" s="2">
        <f t="shared" si="77"/>
        <v>343.40100000000001</v>
      </c>
      <c r="AK750" s="5">
        <f t="shared" si="79"/>
        <v>0.49356243532252503</v>
      </c>
    </row>
    <row r="751" spans="1:37" x14ac:dyDescent="0.2">
      <c r="A751" s="2">
        <v>2025</v>
      </c>
      <c r="B751" s="2">
        <v>4</v>
      </c>
      <c r="C751" s="2" t="s">
        <v>37</v>
      </c>
      <c r="D751" s="2" t="s">
        <v>38</v>
      </c>
      <c r="E751" s="2" t="s">
        <v>39</v>
      </c>
      <c r="G751" s="2" t="s">
        <v>40</v>
      </c>
      <c r="K751" s="2" t="s">
        <v>100</v>
      </c>
      <c r="L751" s="2" t="s">
        <v>81</v>
      </c>
      <c r="N751" s="2" t="s">
        <v>1142</v>
      </c>
      <c r="O751" s="2" t="s">
        <v>73</v>
      </c>
      <c r="P751" s="2" t="s">
        <v>561</v>
      </c>
      <c r="Q751" s="2" t="s">
        <v>308</v>
      </c>
      <c r="R751" s="2">
        <v>2</v>
      </c>
      <c r="S751" s="2">
        <v>404.22</v>
      </c>
      <c r="T751" s="2">
        <v>92.970600000000005</v>
      </c>
      <c r="U751" s="2">
        <v>497.19060000000002</v>
      </c>
      <c r="V751" s="2">
        <f>122.446*R751</f>
        <v>244.892</v>
      </c>
      <c r="W751" s="5">
        <f t="shared" si="78"/>
        <v>0.39416159517094657</v>
      </c>
      <c r="Y751" s="2" t="s">
        <v>3256</v>
      </c>
      <c r="Z751" s="2" t="s">
        <v>76</v>
      </c>
      <c r="AA751" s="2" t="s">
        <v>77</v>
      </c>
      <c r="AB751" s="2" t="s">
        <v>78</v>
      </c>
      <c r="AE751" s="2">
        <f t="shared" si="75"/>
        <v>0</v>
      </c>
      <c r="AF751" s="2">
        <v>122.446</v>
      </c>
      <c r="AG751" s="2">
        <v>230</v>
      </c>
      <c r="AI751" s="2">
        <f t="shared" si="76"/>
        <v>0</v>
      </c>
      <c r="AJ751" s="2">
        <f t="shared" si="77"/>
        <v>159.32800000000003</v>
      </c>
      <c r="AK751" s="5">
        <f t="shared" si="79"/>
        <v>0.39416159517094657</v>
      </c>
    </row>
    <row r="752" spans="1:37" x14ac:dyDescent="0.2">
      <c r="A752" s="2">
        <v>2025</v>
      </c>
      <c r="B752" s="2">
        <v>4</v>
      </c>
      <c r="C752" s="2" t="s">
        <v>37</v>
      </c>
      <c r="D752" s="2" t="s">
        <v>38</v>
      </c>
      <c r="E752" s="2" t="s">
        <v>39</v>
      </c>
      <c r="G752" s="2" t="s">
        <v>40</v>
      </c>
      <c r="L752" s="2" t="s">
        <v>81</v>
      </c>
      <c r="N752" s="2" t="s">
        <v>3221</v>
      </c>
      <c r="O752" s="2" t="s">
        <v>73</v>
      </c>
      <c r="P752" s="2" t="s">
        <v>537</v>
      </c>
      <c r="Q752" s="2" t="s">
        <v>538</v>
      </c>
      <c r="R752" s="2">
        <v>1</v>
      </c>
      <c r="S752" s="2">
        <v>145</v>
      </c>
      <c r="T752" s="2">
        <v>33.35</v>
      </c>
      <c r="U752" s="2">
        <v>178.35</v>
      </c>
      <c r="V752" s="2">
        <f>110.125+11.77</f>
        <v>121.895</v>
      </c>
      <c r="W752" s="5">
        <f t="shared" si="78"/>
        <v>0.15934482758620691</v>
      </c>
      <c r="Y752" s="2" t="s">
        <v>3256</v>
      </c>
      <c r="Z752" s="2" t="s">
        <v>76</v>
      </c>
      <c r="AA752" s="2" t="s">
        <v>77</v>
      </c>
      <c r="AB752" s="2" t="s">
        <v>78</v>
      </c>
      <c r="AE752" s="2">
        <f t="shared" si="75"/>
        <v>0</v>
      </c>
      <c r="AF752" s="2">
        <f>110.125+11.77</f>
        <v>121.895</v>
      </c>
      <c r="AI752" s="2">
        <f t="shared" si="76"/>
        <v>0</v>
      </c>
      <c r="AJ752" s="2">
        <f t="shared" si="77"/>
        <v>23.105000000000004</v>
      </c>
      <c r="AK752" s="5">
        <f t="shared" si="79"/>
        <v>0.15934482758620691</v>
      </c>
    </row>
    <row r="753" spans="1:37" x14ac:dyDescent="0.2">
      <c r="A753" s="2">
        <v>2025</v>
      </c>
      <c r="B753" s="2">
        <v>4</v>
      </c>
      <c r="C753" s="2" t="s">
        <v>37</v>
      </c>
      <c r="D753" s="2" t="s">
        <v>38</v>
      </c>
      <c r="E753" s="2" t="s">
        <v>39</v>
      </c>
      <c r="G753" s="2" t="s">
        <v>40</v>
      </c>
      <c r="O753" s="2" t="s">
        <v>73</v>
      </c>
      <c r="P753" s="2" t="s">
        <v>1143</v>
      </c>
      <c r="Q753" s="2" t="s">
        <v>538</v>
      </c>
      <c r="R753" s="2">
        <v>1</v>
      </c>
      <c r="S753" s="2">
        <v>283.41000000000003</v>
      </c>
      <c r="T753" s="2">
        <v>65.184300000000007</v>
      </c>
      <c r="U753" s="2">
        <v>348.59429999999998</v>
      </c>
      <c r="W753" s="5">
        <f t="shared" si="78"/>
        <v>1</v>
      </c>
      <c r="Y753" s="2" t="s">
        <v>3256</v>
      </c>
      <c r="Z753" s="2" t="s">
        <v>76</v>
      </c>
      <c r="AA753" s="2" t="s">
        <v>77</v>
      </c>
      <c r="AB753" s="2" t="s">
        <v>78</v>
      </c>
      <c r="AE753" s="2">
        <f t="shared" si="75"/>
        <v>0</v>
      </c>
      <c r="AI753" s="2">
        <f t="shared" si="76"/>
        <v>0</v>
      </c>
      <c r="AJ753" s="2">
        <f t="shared" si="77"/>
        <v>283.41000000000003</v>
      </c>
      <c r="AK753" s="5">
        <f t="shared" si="79"/>
        <v>1</v>
      </c>
    </row>
    <row r="754" spans="1:37" x14ac:dyDescent="0.2">
      <c r="A754" s="2">
        <v>2025</v>
      </c>
      <c r="B754" s="2">
        <v>4</v>
      </c>
      <c r="C754" s="2" t="s">
        <v>37</v>
      </c>
      <c r="D754" s="2" t="s">
        <v>38</v>
      </c>
      <c r="E754" s="2" t="s">
        <v>39</v>
      </c>
      <c r="G754" s="2" t="s">
        <v>40</v>
      </c>
      <c r="O754" s="2" t="s">
        <v>94</v>
      </c>
      <c r="P754" s="2" t="s">
        <v>95</v>
      </c>
      <c r="Q754" s="2" t="s">
        <v>96</v>
      </c>
      <c r="R754" s="2">
        <v>7</v>
      </c>
      <c r="S754" s="2">
        <v>7.98</v>
      </c>
      <c r="T754" s="2">
        <v>1.8353999999999999</v>
      </c>
      <c r="U754" s="2">
        <v>9.8154000000000003</v>
      </c>
      <c r="V754" s="2">
        <v>7.98</v>
      </c>
      <c r="W754" s="5">
        <f>(S754-V754)/S754</f>
        <v>0</v>
      </c>
      <c r="Y754" s="2" t="s">
        <v>3256</v>
      </c>
      <c r="Z754" s="2" t="s">
        <v>97</v>
      </c>
      <c r="AA754" s="2" t="s">
        <v>77</v>
      </c>
      <c r="AB754" s="2" t="s">
        <v>94</v>
      </c>
      <c r="AE754" s="2">
        <f t="shared" si="75"/>
        <v>0</v>
      </c>
      <c r="AI754" s="2">
        <f t="shared" si="76"/>
        <v>0</v>
      </c>
      <c r="AJ754" s="2">
        <f t="shared" si="77"/>
        <v>0</v>
      </c>
      <c r="AK754" s="5">
        <f t="shared" si="79"/>
        <v>0</v>
      </c>
    </row>
    <row r="755" spans="1:37" x14ac:dyDescent="0.2">
      <c r="A755" s="2">
        <v>2025</v>
      </c>
      <c r="B755" s="2">
        <v>4</v>
      </c>
      <c r="C755" s="2" t="s">
        <v>98</v>
      </c>
      <c r="D755" s="2" t="s">
        <v>99</v>
      </c>
      <c r="E755" s="2" t="s">
        <v>39</v>
      </c>
      <c r="F755" s="2">
        <v>517450925</v>
      </c>
      <c r="G755" s="2" t="s">
        <v>40</v>
      </c>
      <c r="H755" s="2" t="s">
        <v>100</v>
      </c>
      <c r="I755" s="2" t="s">
        <v>101</v>
      </c>
      <c r="K755" s="2" t="s">
        <v>100</v>
      </c>
      <c r="L755" s="2" t="s">
        <v>40</v>
      </c>
      <c r="O755" s="2" t="s">
        <v>102</v>
      </c>
      <c r="P755" s="2" t="s">
        <v>263</v>
      </c>
      <c r="Q755" s="2" t="s">
        <v>264</v>
      </c>
      <c r="R755" s="2">
        <v>-1</v>
      </c>
      <c r="S755" s="2">
        <v>-20000</v>
      </c>
      <c r="T755" s="2">
        <v>-4600</v>
      </c>
      <c r="U755" s="2">
        <v>-24600</v>
      </c>
      <c r="W755" s="5">
        <f>(S755-V755)/S755</f>
        <v>1</v>
      </c>
      <c r="Y755" s="2" t="s">
        <v>105</v>
      </c>
      <c r="Z755" s="2" t="s">
        <v>265</v>
      </c>
      <c r="AA755" s="2" t="s">
        <v>266</v>
      </c>
      <c r="AB755" s="2" t="s">
        <v>102</v>
      </c>
      <c r="AE755" s="2">
        <f t="shared" si="75"/>
        <v>0</v>
      </c>
      <c r="AI755" s="2">
        <f t="shared" si="76"/>
        <v>0</v>
      </c>
      <c r="AJ755" s="2">
        <f t="shared" si="77"/>
        <v>-20000</v>
      </c>
      <c r="AK755" s="5">
        <f t="shared" si="79"/>
        <v>1</v>
      </c>
    </row>
    <row r="756" spans="1:37" x14ac:dyDescent="0.2">
      <c r="A756" s="2">
        <v>2025</v>
      </c>
      <c r="B756" s="2">
        <v>4</v>
      </c>
      <c r="C756" s="2" t="s">
        <v>98</v>
      </c>
      <c r="D756" s="2" t="s">
        <v>99</v>
      </c>
      <c r="E756" s="2" t="s">
        <v>39</v>
      </c>
      <c r="F756" s="2">
        <v>517450925</v>
      </c>
      <c r="G756" s="2" t="s">
        <v>40</v>
      </c>
      <c r="H756" s="2" t="s">
        <v>100</v>
      </c>
      <c r="I756" s="2" t="s">
        <v>101</v>
      </c>
      <c r="K756" s="2" t="s">
        <v>100</v>
      </c>
      <c r="L756" s="2" t="s">
        <v>40</v>
      </c>
      <c r="O756" s="2" t="s">
        <v>69</v>
      </c>
      <c r="P756" s="2" t="s">
        <v>267</v>
      </c>
      <c r="Q756" s="2" t="s">
        <v>268</v>
      </c>
      <c r="R756" s="2">
        <v>1</v>
      </c>
      <c r="S756" s="2">
        <v>19.2</v>
      </c>
      <c r="T756" s="2">
        <v>4.4160000000000004</v>
      </c>
      <c r="U756" s="2">
        <v>23.616</v>
      </c>
      <c r="W756" s="5">
        <f>(S756-V756)/S756</f>
        <v>1</v>
      </c>
      <c r="Y756" s="2" t="s">
        <v>3256</v>
      </c>
      <c r="AB756" s="2" t="s">
        <v>3261</v>
      </c>
      <c r="AE756" s="2">
        <f t="shared" si="75"/>
        <v>0</v>
      </c>
      <c r="AI756" s="2">
        <f t="shared" si="76"/>
        <v>0</v>
      </c>
      <c r="AJ756" s="2">
        <f t="shared" si="77"/>
        <v>19.2</v>
      </c>
      <c r="AK756" s="5">
        <f t="shared" si="79"/>
        <v>1</v>
      </c>
    </row>
    <row r="757" spans="1:37" x14ac:dyDescent="0.2">
      <c r="A757" s="2">
        <v>2025</v>
      </c>
      <c r="B757" s="2">
        <v>4</v>
      </c>
      <c r="C757" s="2" t="s">
        <v>98</v>
      </c>
      <c r="D757" s="2" t="s">
        <v>99</v>
      </c>
      <c r="E757" s="2" t="s">
        <v>39</v>
      </c>
      <c r="F757" s="2">
        <v>517450925</v>
      </c>
      <c r="G757" s="2" t="s">
        <v>40</v>
      </c>
      <c r="H757" s="2" t="s">
        <v>100</v>
      </c>
      <c r="I757" s="2" t="s">
        <v>101</v>
      </c>
      <c r="K757" s="2" t="s">
        <v>100</v>
      </c>
      <c r="L757" s="2" t="s">
        <v>40</v>
      </c>
      <c r="O757" s="2" t="s">
        <v>85</v>
      </c>
      <c r="P757" s="2" t="s">
        <v>1144</v>
      </c>
      <c r="Q757" s="2" t="s">
        <v>1145</v>
      </c>
      <c r="R757" s="2">
        <v>1</v>
      </c>
      <c r="S757" s="2">
        <v>232.32</v>
      </c>
      <c r="T757" s="2">
        <v>53.433599999999998</v>
      </c>
      <c r="U757" s="2">
        <v>285.75360000000001</v>
      </c>
      <c r="W757" s="5">
        <f>(S757-V757)/S757</f>
        <v>1</v>
      </c>
      <c r="Y757" s="2" t="s">
        <v>3256</v>
      </c>
      <c r="Z757" s="2" t="s">
        <v>88</v>
      </c>
      <c r="AA757" s="2" t="s">
        <v>91</v>
      </c>
      <c r="AB757" s="2" t="s">
        <v>85</v>
      </c>
      <c r="AE757" s="2">
        <f t="shared" si="75"/>
        <v>0</v>
      </c>
      <c r="AI757" s="2">
        <f t="shared" si="76"/>
        <v>0</v>
      </c>
      <c r="AJ757" s="2">
        <f t="shared" si="77"/>
        <v>232.32</v>
      </c>
      <c r="AK757" s="5">
        <f t="shared" si="79"/>
        <v>1</v>
      </c>
    </row>
    <row r="758" spans="1:37" x14ac:dyDescent="0.2">
      <c r="A758" s="2">
        <v>2025</v>
      </c>
      <c r="B758" s="2">
        <v>4</v>
      </c>
      <c r="C758" s="2" t="s">
        <v>98</v>
      </c>
      <c r="D758" s="2" t="s">
        <v>99</v>
      </c>
      <c r="E758" s="2" t="s">
        <v>39</v>
      </c>
      <c r="F758" s="2">
        <v>517450925</v>
      </c>
      <c r="G758" s="2" t="s">
        <v>40</v>
      </c>
      <c r="H758" s="2" t="s">
        <v>100</v>
      </c>
      <c r="I758" s="2" t="s">
        <v>101</v>
      </c>
      <c r="K758" s="2" t="s">
        <v>100</v>
      </c>
      <c r="L758" s="2" t="s">
        <v>40</v>
      </c>
      <c r="P758" s="2" t="s">
        <v>705</v>
      </c>
      <c r="Q758" s="2" t="s">
        <v>706</v>
      </c>
      <c r="R758" s="2">
        <v>1</v>
      </c>
      <c r="S758" s="2">
        <v>0</v>
      </c>
      <c r="T758" s="2">
        <v>0</v>
      </c>
      <c r="U758" s="2">
        <v>0</v>
      </c>
      <c r="W758" s="5">
        <v>0</v>
      </c>
      <c r="Y758" s="2" t="s">
        <v>105</v>
      </c>
      <c r="AE758" s="2">
        <f t="shared" si="75"/>
        <v>0</v>
      </c>
      <c r="AI758" s="2">
        <f t="shared" si="76"/>
        <v>0</v>
      </c>
      <c r="AJ758" s="2">
        <f t="shared" si="77"/>
        <v>0</v>
      </c>
      <c r="AK758" s="5" t="e">
        <f t="shared" si="79"/>
        <v>#DIV/0!</v>
      </c>
    </row>
    <row r="759" spans="1:37" x14ac:dyDescent="0.2">
      <c r="A759" s="2">
        <v>2025</v>
      </c>
      <c r="B759" s="2">
        <v>4</v>
      </c>
      <c r="C759" s="2" t="s">
        <v>98</v>
      </c>
      <c r="D759" s="2" t="s">
        <v>99</v>
      </c>
      <c r="E759" s="2" t="s">
        <v>39</v>
      </c>
      <c r="F759" s="2">
        <v>517450925</v>
      </c>
      <c r="G759" s="2" t="s">
        <v>40</v>
      </c>
      <c r="H759" s="2" t="s">
        <v>100</v>
      </c>
      <c r="I759" s="2" t="s">
        <v>101</v>
      </c>
      <c r="K759" s="2" t="s">
        <v>100</v>
      </c>
      <c r="L759" s="2" t="s">
        <v>40</v>
      </c>
      <c r="P759" s="2" t="s">
        <v>708</v>
      </c>
      <c r="Q759" s="2" t="s">
        <v>709</v>
      </c>
      <c r="R759" s="2">
        <v>1</v>
      </c>
      <c r="S759" s="2">
        <v>2394</v>
      </c>
      <c r="T759" s="2">
        <v>550.62</v>
      </c>
      <c r="U759" s="2">
        <v>2944.62</v>
      </c>
      <c r="W759" s="5">
        <f t="shared" ref="W759:W774" si="80">(S759-V759)/S759</f>
        <v>1</v>
      </c>
      <c r="Y759" s="2" t="s">
        <v>105</v>
      </c>
      <c r="AE759" s="2">
        <f t="shared" si="75"/>
        <v>0</v>
      </c>
      <c r="AI759" s="2">
        <f t="shared" si="76"/>
        <v>0</v>
      </c>
      <c r="AJ759" s="2">
        <f t="shared" si="77"/>
        <v>2394</v>
      </c>
      <c r="AK759" s="5">
        <f t="shared" si="79"/>
        <v>1</v>
      </c>
    </row>
    <row r="760" spans="1:37" x14ac:dyDescent="0.2">
      <c r="A760" s="2">
        <v>2025</v>
      </c>
      <c r="B760" s="2">
        <v>4</v>
      </c>
      <c r="C760" s="2" t="s">
        <v>1146</v>
      </c>
      <c r="D760" s="2" t="s">
        <v>38</v>
      </c>
      <c r="F760" s="2">
        <v>506131904</v>
      </c>
      <c r="G760" s="2" t="s">
        <v>40</v>
      </c>
      <c r="H760" s="2" t="s">
        <v>1147</v>
      </c>
      <c r="I760" s="2" t="s">
        <v>1148</v>
      </c>
      <c r="K760" s="2" t="s">
        <v>202</v>
      </c>
      <c r="L760" s="2" t="s">
        <v>40</v>
      </c>
      <c r="O760" s="2" t="s">
        <v>188</v>
      </c>
      <c r="P760" s="2" t="s">
        <v>189</v>
      </c>
      <c r="Q760" s="2" t="s">
        <v>190</v>
      </c>
      <c r="R760" s="2">
        <v>1</v>
      </c>
      <c r="S760" s="2">
        <v>63</v>
      </c>
      <c r="T760" s="2">
        <v>14.49</v>
      </c>
      <c r="U760" s="2">
        <v>77.489999999999995</v>
      </c>
      <c r="W760" s="5">
        <f t="shared" si="80"/>
        <v>1</v>
      </c>
      <c r="Y760" s="2" t="s">
        <v>118</v>
      </c>
      <c r="Z760" s="2" t="s">
        <v>191</v>
      </c>
      <c r="AE760" s="2">
        <f t="shared" si="75"/>
        <v>0</v>
      </c>
      <c r="AI760" s="2">
        <f t="shared" si="76"/>
        <v>0</v>
      </c>
      <c r="AJ760" s="2">
        <f t="shared" si="77"/>
        <v>63</v>
      </c>
      <c r="AK760" s="5">
        <f t="shared" si="79"/>
        <v>1</v>
      </c>
    </row>
    <row r="761" spans="1:37" x14ac:dyDescent="0.2">
      <c r="A761" s="2">
        <v>2025</v>
      </c>
      <c r="B761" s="2">
        <v>4</v>
      </c>
      <c r="C761" s="2" t="s">
        <v>1146</v>
      </c>
      <c r="D761" s="2" t="s">
        <v>38</v>
      </c>
      <c r="F761" s="2">
        <v>506131904</v>
      </c>
      <c r="G761" s="2" t="s">
        <v>40</v>
      </c>
      <c r="H761" s="2" t="s">
        <v>1147</v>
      </c>
      <c r="I761" s="2" t="s">
        <v>1148</v>
      </c>
      <c r="K761" s="2" t="s">
        <v>202</v>
      </c>
      <c r="L761" s="2" t="s">
        <v>40</v>
      </c>
      <c r="O761" s="2" t="s">
        <v>188</v>
      </c>
      <c r="P761" s="2" t="s">
        <v>192</v>
      </c>
      <c r="Q761" s="2" t="s">
        <v>191</v>
      </c>
      <c r="R761" s="2">
        <v>0.5</v>
      </c>
      <c r="S761" s="2">
        <v>25</v>
      </c>
      <c r="T761" s="2">
        <v>5.75</v>
      </c>
      <c r="U761" s="2">
        <v>30.75</v>
      </c>
      <c r="V761" s="2">
        <f>S761*50%</f>
        <v>12.5</v>
      </c>
      <c r="W761" s="5">
        <f t="shared" si="80"/>
        <v>0.5</v>
      </c>
      <c r="Y761" s="2" t="s">
        <v>118</v>
      </c>
      <c r="Z761" s="2" t="s">
        <v>191</v>
      </c>
      <c r="AE761" s="2">
        <f t="shared" si="75"/>
        <v>0</v>
      </c>
      <c r="AI761" s="2">
        <f t="shared" si="76"/>
        <v>0</v>
      </c>
      <c r="AJ761" s="2">
        <f t="shared" si="77"/>
        <v>12.5</v>
      </c>
      <c r="AK761" s="5">
        <f t="shared" si="79"/>
        <v>0.5</v>
      </c>
    </row>
    <row r="762" spans="1:37" x14ac:dyDescent="0.2">
      <c r="A762" s="2">
        <v>2025</v>
      </c>
      <c r="B762" s="2">
        <v>4</v>
      </c>
      <c r="C762" s="2" t="s">
        <v>1146</v>
      </c>
      <c r="D762" s="2" t="s">
        <v>38</v>
      </c>
      <c r="F762" s="2">
        <v>506131904</v>
      </c>
      <c r="G762" s="2" t="s">
        <v>40</v>
      </c>
      <c r="H762" s="2" t="s">
        <v>1147</v>
      </c>
      <c r="I762" s="2" t="s">
        <v>1148</v>
      </c>
      <c r="K762" s="2" t="s">
        <v>202</v>
      </c>
      <c r="L762" s="2" t="s">
        <v>40</v>
      </c>
      <c r="O762" s="2" t="s">
        <v>40</v>
      </c>
      <c r="P762" s="2" t="s">
        <v>364</v>
      </c>
      <c r="Q762" s="2" t="s">
        <v>365</v>
      </c>
      <c r="R762" s="2">
        <v>1</v>
      </c>
      <c r="S762" s="2">
        <v>12.22</v>
      </c>
      <c r="T762" s="2">
        <v>2.8106</v>
      </c>
      <c r="U762" s="2">
        <v>15.0306</v>
      </c>
      <c r="W762" s="5">
        <f t="shared" si="80"/>
        <v>1</v>
      </c>
      <c r="Y762" s="2" t="s">
        <v>120</v>
      </c>
      <c r="AE762" s="2">
        <f t="shared" si="75"/>
        <v>0</v>
      </c>
      <c r="AI762" s="2">
        <f t="shared" si="76"/>
        <v>0</v>
      </c>
      <c r="AJ762" s="2">
        <f t="shared" si="77"/>
        <v>12.22</v>
      </c>
      <c r="AK762" s="5">
        <f t="shared" si="79"/>
        <v>1</v>
      </c>
    </row>
    <row r="763" spans="1:37" x14ac:dyDescent="0.2">
      <c r="A763" s="2">
        <v>2025</v>
      </c>
      <c r="B763" s="2">
        <v>4</v>
      </c>
      <c r="C763" s="2" t="s">
        <v>1149</v>
      </c>
      <c r="D763" s="2" t="s">
        <v>109</v>
      </c>
      <c r="E763" s="2" t="s">
        <v>39</v>
      </c>
      <c r="F763" s="2">
        <v>504576658</v>
      </c>
      <c r="G763" s="2" t="s">
        <v>41</v>
      </c>
      <c r="H763" s="2" t="s">
        <v>1150</v>
      </c>
      <c r="I763" s="2" t="s">
        <v>1151</v>
      </c>
      <c r="K763" s="2" t="s">
        <v>100</v>
      </c>
      <c r="L763" s="2" t="s">
        <v>41</v>
      </c>
      <c r="N763" s="2" t="s">
        <v>1152</v>
      </c>
      <c r="O763" s="2" t="s">
        <v>43</v>
      </c>
      <c r="P763" s="2" t="s">
        <v>62</v>
      </c>
      <c r="Q763" s="2" t="s">
        <v>63</v>
      </c>
      <c r="R763" s="2">
        <v>1000</v>
      </c>
      <c r="S763" s="2">
        <v>105</v>
      </c>
      <c r="T763" s="2">
        <v>24.15</v>
      </c>
      <c r="U763" s="2">
        <v>129.15</v>
      </c>
      <c r="V763" s="2">
        <f>0.082*R763</f>
        <v>82</v>
      </c>
      <c r="W763" s="5">
        <f t="shared" si="80"/>
        <v>0.21904761904761905</v>
      </c>
      <c r="Y763" s="2" t="s">
        <v>3256</v>
      </c>
      <c r="Z763" s="2" t="s">
        <v>46</v>
      </c>
      <c r="AA763" s="2" t="s">
        <v>61</v>
      </c>
      <c r="AB763" s="2" t="s">
        <v>58</v>
      </c>
      <c r="AE763" s="2">
        <f t="shared" si="75"/>
        <v>0</v>
      </c>
      <c r="AF763" s="2">
        <v>8.1999999999999993</v>
      </c>
      <c r="AG763" s="2">
        <v>13</v>
      </c>
      <c r="AI763" s="2">
        <f t="shared" si="76"/>
        <v>0</v>
      </c>
      <c r="AJ763" s="2">
        <f t="shared" si="77"/>
        <v>23</v>
      </c>
      <c r="AK763" s="5">
        <f t="shared" si="79"/>
        <v>0.21904761904761905</v>
      </c>
    </row>
    <row r="764" spans="1:37" x14ac:dyDescent="0.2">
      <c r="A764" s="2">
        <v>2025</v>
      </c>
      <c r="B764" s="2">
        <v>4</v>
      </c>
      <c r="C764" s="2" t="s">
        <v>1153</v>
      </c>
      <c r="O764" s="2" t="s">
        <v>115</v>
      </c>
      <c r="P764" s="2" t="s">
        <v>565</v>
      </c>
      <c r="Q764" s="2" t="s">
        <v>566</v>
      </c>
      <c r="R764" s="2">
        <v>2</v>
      </c>
      <c r="S764" s="2">
        <v>28.57</v>
      </c>
      <c r="T764" s="2">
        <f>S764*23%</f>
        <v>6.5711000000000004</v>
      </c>
      <c r="U764" s="2">
        <f>S764+T764</f>
        <v>35.141100000000002</v>
      </c>
      <c r="W764" s="5">
        <f t="shared" si="80"/>
        <v>1</v>
      </c>
      <c r="Y764" s="2" t="s">
        <v>118</v>
      </c>
      <c r="AE764" s="2">
        <f t="shared" si="75"/>
        <v>0</v>
      </c>
      <c r="AI764" s="2">
        <f t="shared" si="76"/>
        <v>0</v>
      </c>
      <c r="AJ764" s="2">
        <f t="shared" si="77"/>
        <v>28.57</v>
      </c>
      <c r="AK764" s="5">
        <f t="shared" si="79"/>
        <v>1</v>
      </c>
    </row>
    <row r="765" spans="1:37" x14ac:dyDescent="0.2">
      <c r="A765" s="2">
        <v>2025</v>
      </c>
      <c r="B765" s="2">
        <v>4</v>
      </c>
      <c r="C765" s="2" t="s">
        <v>144</v>
      </c>
      <c r="L765" s="2" t="s">
        <v>40</v>
      </c>
      <c r="O765" s="2" t="s">
        <v>188</v>
      </c>
      <c r="P765" s="2" t="s">
        <v>189</v>
      </c>
      <c r="Q765" s="2" t="s">
        <v>190</v>
      </c>
      <c r="R765" s="2">
        <v>1</v>
      </c>
      <c r="S765" s="2">
        <v>228</v>
      </c>
      <c r="T765" s="2">
        <v>52.44</v>
      </c>
      <c r="U765" s="2">
        <v>280.44</v>
      </c>
      <c r="W765" s="5">
        <f t="shared" si="80"/>
        <v>1</v>
      </c>
      <c r="Y765" s="2" t="s">
        <v>118</v>
      </c>
      <c r="Z765" s="2" t="s">
        <v>191</v>
      </c>
      <c r="AE765" s="2">
        <f t="shared" si="75"/>
        <v>0</v>
      </c>
      <c r="AI765" s="2">
        <f t="shared" si="76"/>
        <v>0</v>
      </c>
      <c r="AJ765" s="2">
        <f t="shared" si="77"/>
        <v>228</v>
      </c>
      <c r="AK765" s="5">
        <f t="shared" si="79"/>
        <v>1</v>
      </c>
    </row>
    <row r="766" spans="1:37" x14ac:dyDescent="0.2">
      <c r="A766" s="2">
        <v>2025</v>
      </c>
      <c r="B766" s="2">
        <v>4</v>
      </c>
      <c r="C766" s="2" t="s">
        <v>144</v>
      </c>
      <c r="L766" s="2" t="s">
        <v>40</v>
      </c>
      <c r="O766" s="2" t="s">
        <v>188</v>
      </c>
      <c r="P766" s="2" t="s">
        <v>192</v>
      </c>
      <c r="Q766" s="2" t="s">
        <v>191</v>
      </c>
      <c r="R766" s="2">
        <v>2</v>
      </c>
      <c r="S766" s="2">
        <v>100</v>
      </c>
      <c r="T766" s="2">
        <v>23</v>
      </c>
      <c r="U766" s="2">
        <v>123</v>
      </c>
      <c r="V766" s="2">
        <f>S766*50%</f>
        <v>50</v>
      </c>
      <c r="W766" s="5">
        <f t="shared" si="80"/>
        <v>0.5</v>
      </c>
      <c r="Y766" s="2" t="s">
        <v>118</v>
      </c>
      <c r="Z766" s="2" t="s">
        <v>191</v>
      </c>
      <c r="AE766" s="2">
        <f t="shared" si="75"/>
        <v>0</v>
      </c>
      <c r="AI766" s="2">
        <f t="shared" si="76"/>
        <v>0</v>
      </c>
      <c r="AJ766" s="2">
        <f t="shared" si="77"/>
        <v>50</v>
      </c>
      <c r="AK766" s="5">
        <f t="shared" si="79"/>
        <v>0.5</v>
      </c>
    </row>
    <row r="767" spans="1:37" x14ac:dyDescent="0.2">
      <c r="A767" s="2">
        <v>2025</v>
      </c>
      <c r="B767" s="2">
        <v>4</v>
      </c>
      <c r="C767" s="2" t="s">
        <v>1154</v>
      </c>
      <c r="D767" s="2" t="s">
        <v>109</v>
      </c>
      <c r="E767" s="2" t="s">
        <v>39</v>
      </c>
      <c r="F767" s="2">
        <v>518312798</v>
      </c>
      <c r="G767" s="2" t="s">
        <v>41</v>
      </c>
      <c r="H767" s="2" t="s">
        <v>1155</v>
      </c>
      <c r="I767" s="2" t="s">
        <v>1156</v>
      </c>
      <c r="K767" s="2" t="s">
        <v>134</v>
      </c>
      <c r="L767" s="2" t="s">
        <v>41</v>
      </c>
      <c r="N767" s="2" t="s">
        <v>1157</v>
      </c>
      <c r="O767" s="2" t="s">
        <v>40</v>
      </c>
      <c r="P767" s="2" t="s">
        <v>364</v>
      </c>
      <c r="Q767" s="2" t="s">
        <v>365</v>
      </c>
      <c r="R767" s="2">
        <v>1</v>
      </c>
      <c r="S767" s="2">
        <v>1250</v>
      </c>
      <c r="T767" s="2">
        <v>287.5</v>
      </c>
      <c r="U767" s="2">
        <v>1537.5</v>
      </c>
      <c r="W767" s="5">
        <f t="shared" si="80"/>
        <v>1</v>
      </c>
      <c r="Y767" s="2" t="s">
        <v>1158</v>
      </c>
      <c r="Z767" s="2" t="s">
        <v>151</v>
      </c>
      <c r="AA767" s="2" t="s">
        <v>479</v>
      </c>
      <c r="AE767" s="2">
        <f t="shared" si="75"/>
        <v>0</v>
      </c>
      <c r="AI767" s="2">
        <f t="shared" si="76"/>
        <v>0</v>
      </c>
      <c r="AJ767" s="2">
        <f t="shared" si="77"/>
        <v>1250</v>
      </c>
      <c r="AK767" s="5">
        <f t="shared" si="79"/>
        <v>1</v>
      </c>
    </row>
    <row r="768" spans="1:37" x14ac:dyDescent="0.2">
      <c r="A768" s="2">
        <v>2025</v>
      </c>
      <c r="B768" s="2">
        <v>4</v>
      </c>
      <c r="C768" s="2" t="s">
        <v>1159</v>
      </c>
      <c r="O768" s="2" t="s">
        <v>115</v>
      </c>
      <c r="P768" s="2" t="s">
        <v>1160</v>
      </c>
      <c r="Q768" s="2" t="s">
        <v>1161</v>
      </c>
      <c r="R768" s="2">
        <v>1</v>
      </c>
      <c r="S768" s="2">
        <v>252.66</v>
      </c>
      <c r="W768" s="5">
        <f t="shared" si="80"/>
        <v>1</v>
      </c>
      <c r="AE768" s="2">
        <f t="shared" si="75"/>
        <v>0</v>
      </c>
      <c r="AI768" s="2">
        <f t="shared" si="76"/>
        <v>0</v>
      </c>
      <c r="AJ768" s="2">
        <f t="shared" si="77"/>
        <v>252.66</v>
      </c>
      <c r="AK768" s="5">
        <f t="shared" si="79"/>
        <v>1</v>
      </c>
    </row>
    <row r="769" spans="1:37" x14ac:dyDescent="0.2">
      <c r="A769" s="2">
        <v>2025</v>
      </c>
      <c r="B769" s="2">
        <v>4</v>
      </c>
      <c r="C769" s="2" t="s">
        <v>1162</v>
      </c>
      <c r="O769" s="2" t="s">
        <v>283</v>
      </c>
      <c r="P769" s="2" t="s">
        <v>1163</v>
      </c>
      <c r="Q769" s="2" t="s">
        <v>1164</v>
      </c>
      <c r="R769" s="2">
        <v>1</v>
      </c>
      <c r="S769" s="2">
        <v>2990</v>
      </c>
      <c r="W769" s="5">
        <f t="shared" si="80"/>
        <v>1</v>
      </c>
      <c r="Y769" s="2" t="s">
        <v>105</v>
      </c>
      <c r="AE769" s="2">
        <f t="shared" si="75"/>
        <v>0</v>
      </c>
      <c r="AI769" s="2">
        <f t="shared" si="76"/>
        <v>0</v>
      </c>
      <c r="AJ769" s="2">
        <f t="shared" si="77"/>
        <v>2990</v>
      </c>
      <c r="AK769" s="5">
        <f t="shared" si="79"/>
        <v>1</v>
      </c>
    </row>
    <row r="770" spans="1:37" x14ac:dyDescent="0.2">
      <c r="A770" s="2">
        <v>2025</v>
      </c>
      <c r="B770" s="2">
        <v>4</v>
      </c>
      <c r="C770" s="2" t="s">
        <v>1162</v>
      </c>
      <c r="O770" s="2" t="s">
        <v>283</v>
      </c>
      <c r="P770" s="2" t="s">
        <v>1165</v>
      </c>
      <c r="Q770" s="2" t="s">
        <v>1166</v>
      </c>
      <c r="R770" s="2">
        <v>1</v>
      </c>
      <c r="S770" s="2">
        <v>345</v>
      </c>
      <c r="W770" s="5">
        <f t="shared" si="80"/>
        <v>1</v>
      </c>
      <c r="AE770" s="2">
        <f t="shared" ref="AE770:AE833" si="81">AI770</f>
        <v>0</v>
      </c>
      <c r="AI770" s="2">
        <f t="shared" ref="AI770:AI833" si="82">AH770*S770</f>
        <v>0</v>
      </c>
      <c r="AJ770" s="2">
        <f t="shared" ref="AJ770:AJ833" si="83">S770-V770</f>
        <v>345</v>
      </c>
      <c r="AK770" s="5">
        <f t="shared" si="79"/>
        <v>1</v>
      </c>
    </row>
    <row r="771" spans="1:37" x14ac:dyDescent="0.2">
      <c r="A771" s="2">
        <v>2025</v>
      </c>
      <c r="B771" s="2">
        <v>4</v>
      </c>
      <c r="C771" s="2" t="s">
        <v>1162</v>
      </c>
      <c r="O771" s="2" t="s">
        <v>283</v>
      </c>
      <c r="P771" s="2" t="s">
        <v>1167</v>
      </c>
      <c r="Q771" s="2" t="s">
        <v>1168</v>
      </c>
      <c r="R771" s="2">
        <v>1</v>
      </c>
      <c r="S771" s="2">
        <v>0</v>
      </c>
      <c r="W771" s="5" t="e">
        <f t="shared" si="80"/>
        <v>#DIV/0!</v>
      </c>
      <c r="AE771" s="2">
        <f t="shared" si="81"/>
        <v>0</v>
      </c>
      <c r="AI771" s="2">
        <f t="shared" si="82"/>
        <v>0</v>
      </c>
      <c r="AJ771" s="2">
        <f t="shared" si="83"/>
        <v>0</v>
      </c>
      <c r="AK771" s="5" t="e">
        <f t="shared" si="79"/>
        <v>#DIV/0!</v>
      </c>
    </row>
    <row r="772" spans="1:37" x14ac:dyDescent="0.2">
      <c r="A772" s="2">
        <v>2025</v>
      </c>
      <c r="B772" s="2">
        <v>4</v>
      </c>
      <c r="C772" s="2" t="s">
        <v>183</v>
      </c>
      <c r="D772" s="2" t="s">
        <v>184</v>
      </c>
      <c r="E772" s="2" t="s">
        <v>185</v>
      </c>
      <c r="F772" s="2">
        <v>503116920</v>
      </c>
      <c r="G772" s="2" t="s">
        <v>41</v>
      </c>
      <c r="H772" s="2" t="s">
        <v>186</v>
      </c>
      <c r="I772" s="2" t="s">
        <v>187</v>
      </c>
      <c r="J772" s="2">
        <v>919591406</v>
      </c>
      <c r="K772" s="2" t="s">
        <v>100</v>
      </c>
      <c r="O772" s="2" t="s">
        <v>69</v>
      </c>
      <c r="P772" s="2" t="s">
        <v>1169</v>
      </c>
      <c r="Q772" s="2" t="s">
        <v>1170</v>
      </c>
      <c r="R772" s="2">
        <v>1</v>
      </c>
      <c r="S772" s="2">
        <v>70</v>
      </c>
      <c r="T772" s="2">
        <v>16.100000000000001</v>
      </c>
      <c r="U772" s="2">
        <v>86.1</v>
      </c>
      <c r="V772" s="2">
        <v>47.4</v>
      </c>
      <c r="W772" s="5">
        <f t="shared" si="80"/>
        <v>0.3228571428571429</v>
      </c>
      <c r="Y772" s="2" t="s">
        <v>3256</v>
      </c>
      <c r="Z772" s="2" t="s">
        <v>72</v>
      </c>
      <c r="AA772" s="2" t="s">
        <v>69</v>
      </c>
      <c r="AB772" s="2" t="s">
        <v>3261</v>
      </c>
      <c r="AE772" s="2">
        <f t="shared" si="81"/>
        <v>0</v>
      </c>
      <c r="AI772" s="2">
        <f t="shared" si="82"/>
        <v>0</v>
      </c>
      <c r="AJ772" s="2">
        <f t="shared" si="83"/>
        <v>22.6</v>
      </c>
      <c r="AK772" s="5">
        <f t="shared" si="79"/>
        <v>0.3228571428571429</v>
      </c>
    </row>
    <row r="773" spans="1:37" x14ac:dyDescent="0.2">
      <c r="A773" s="2">
        <v>2025</v>
      </c>
      <c r="B773" s="2">
        <v>4</v>
      </c>
      <c r="C773" s="2" t="s">
        <v>1171</v>
      </c>
      <c r="D773" s="2" t="s">
        <v>758</v>
      </c>
      <c r="F773" s="2">
        <v>508199280</v>
      </c>
      <c r="G773" s="2" t="s">
        <v>40</v>
      </c>
      <c r="H773" s="2" t="s">
        <v>1172</v>
      </c>
      <c r="K773" s="2" t="s">
        <v>294</v>
      </c>
      <c r="L773" s="2" t="s">
        <v>40</v>
      </c>
      <c r="O773" s="2" t="s">
        <v>115</v>
      </c>
      <c r="P773" s="2" t="s">
        <v>180</v>
      </c>
      <c r="Q773" s="2" t="s">
        <v>181</v>
      </c>
      <c r="R773" s="2">
        <v>1</v>
      </c>
      <c r="S773" s="2">
        <v>699.3</v>
      </c>
      <c r="T773" s="2">
        <v>160.839</v>
      </c>
      <c r="U773" s="2">
        <v>860.1389999999999</v>
      </c>
      <c r="V773" s="2">
        <v>346.57</v>
      </c>
      <c r="W773" s="5">
        <f t="shared" si="80"/>
        <v>0.50440440440440437</v>
      </c>
      <c r="Y773" s="2" t="s">
        <v>118</v>
      </c>
      <c r="Z773" s="2" t="s">
        <v>182</v>
      </c>
      <c r="AE773" s="2">
        <f t="shared" si="81"/>
        <v>0</v>
      </c>
      <c r="AI773" s="2">
        <f t="shared" si="82"/>
        <v>0</v>
      </c>
      <c r="AJ773" s="2">
        <f t="shared" si="83"/>
        <v>352.72999999999996</v>
      </c>
      <c r="AK773" s="5">
        <f t="shared" si="79"/>
        <v>0.50440440440440437</v>
      </c>
    </row>
    <row r="774" spans="1:37" x14ac:dyDescent="0.2">
      <c r="A774" s="2">
        <v>2025</v>
      </c>
      <c r="B774" s="2">
        <v>4</v>
      </c>
      <c r="C774" s="2" t="s">
        <v>1171</v>
      </c>
      <c r="D774" s="2" t="s">
        <v>758</v>
      </c>
      <c r="F774" s="2">
        <v>508199280</v>
      </c>
      <c r="G774" s="2" t="s">
        <v>40</v>
      </c>
      <c r="H774" s="2" t="s">
        <v>1172</v>
      </c>
      <c r="K774" s="2" t="s">
        <v>294</v>
      </c>
      <c r="L774" s="2" t="s">
        <v>40</v>
      </c>
      <c r="O774" s="2" t="s">
        <v>188</v>
      </c>
      <c r="P774" s="2" t="s">
        <v>189</v>
      </c>
      <c r="Q774" s="2" t="s">
        <v>190</v>
      </c>
      <c r="R774" s="2">
        <v>1</v>
      </c>
      <c r="S774" s="2">
        <v>73</v>
      </c>
      <c r="T774" s="2">
        <v>16.79</v>
      </c>
      <c r="U774" s="2">
        <v>89.789999999999992</v>
      </c>
      <c r="W774" s="5">
        <f t="shared" si="80"/>
        <v>1</v>
      </c>
      <c r="Y774" s="2" t="s">
        <v>118</v>
      </c>
      <c r="Z774" s="2" t="s">
        <v>191</v>
      </c>
      <c r="AE774" s="2">
        <f t="shared" si="81"/>
        <v>0</v>
      </c>
      <c r="AI774" s="2">
        <f t="shared" si="82"/>
        <v>0</v>
      </c>
      <c r="AJ774" s="2">
        <f t="shared" si="83"/>
        <v>73</v>
      </c>
      <c r="AK774" s="5">
        <f t="shared" si="79"/>
        <v>1</v>
      </c>
    </row>
    <row r="775" spans="1:37" x14ac:dyDescent="0.2">
      <c r="A775" s="2">
        <v>2025</v>
      </c>
      <c r="B775" s="2">
        <v>4</v>
      </c>
      <c r="C775" s="2" t="s">
        <v>1171</v>
      </c>
      <c r="D775" s="2" t="s">
        <v>758</v>
      </c>
      <c r="F775" s="2">
        <v>508199280</v>
      </c>
      <c r="G775" s="2" t="s">
        <v>40</v>
      </c>
      <c r="H775" s="2" t="s">
        <v>1172</v>
      </c>
      <c r="K775" s="2" t="s">
        <v>294</v>
      </c>
      <c r="L775" s="2" t="s">
        <v>40</v>
      </c>
      <c r="O775" s="2" t="s">
        <v>188</v>
      </c>
      <c r="P775" s="2" t="s">
        <v>192</v>
      </c>
      <c r="Q775" s="2" t="s">
        <v>191</v>
      </c>
      <c r="R775" s="2">
        <v>1.5</v>
      </c>
      <c r="S775" s="2">
        <v>0</v>
      </c>
      <c r="T775" s="2">
        <v>0</v>
      </c>
      <c r="U775" s="2">
        <v>0</v>
      </c>
      <c r="V775" s="2">
        <f>S775*50%</f>
        <v>0</v>
      </c>
      <c r="W775" s="5">
        <v>0</v>
      </c>
      <c r="Y775" s="2" t="s">
        <v>118</v>
      </c>
      <c r="Z775" s="2" t="s">
        <v>191</v>
      </c>
      <c r="AE775" s="2">
        <f t="shared" si="81"/>
        <v>0</v>
      </c>
      <c r="AI775" s="2">
        <f t="shared" si="82"/>
        <v>0</v>
      </c>
      <c r="AJ775" s="2">
        <f t="shared" si="83"/>
        <v>0</v>
      </c>
      <c r="AK775" s="5" t="e">
        <f t="shared" si="79"/>
        <v>#DIV/0!</v>
      </c>
    </row>
    <row r="776" spans="1:37" x14ac:dyDescent="0.2">
      <c r="A776" s="2">
        <v>2025</v>
      </c>
      <c r="B776" s="2">
        <v>4</v>
      </c>
      <c r="C776" s="2" t="s">
        <v>695</v>
      </c>
      <c r="D776" s="2" t="s">
        <v>109</v>
      </c>
      <c r="E776" s="2" t="s">
        <v>39</v>
      </c>
      <c r="F776" s="2">
        <v>503589950</v>
      </c>
      <c r="G776" s="2" t="s">
        <v>41</v>
      </c>
      <c r="H776" s="2" t="s">
        <v>615</v>
      </c>
      <c r="I776" s="2" t="s">
        <v>696</v>
      </c>
      <c r="J776" s="2">
        <v>913036545</v>
      </c>
      <c r="K776" s="2" t="s">
        <v>178</v>
      </c>
      <c r="L776" s="2" t="s">
        <v>41</v>
      </c>
      <c r="N776" s="2" t="s">
        <v>1173</v>
      </c>
      <c r="O776" s="2" t="s">
        <v>43</v>
      </c>
      <c r="P776" s="2" t="s">
        <v>1174</v>
      </c>
      <c r="Q776" s="2" t="s">
        <v>1175</v>
      </c>
      <c r="R776" s="2">
        <v>1</v>
      </c>
      <c r="S776" s="2">
        <v>33</v>
      </c>
      <c r="T776" s="2">
        <v>7.5900000000000007</v>
      </c>
      <c r="U776" s="2">
        <v>40.590000000000003</v>
      </c>
      <c r="W776" s="5">
        <f>(S776-V776)/S776</f>
        <v>1</v>
      </c>
      <c r="Y776" s="2" t="s">
        <v>3256</v>
      </c>
      <c r="Z776" s="2" t="s">
        <v>46</v>
      </c>
      <c r="AA776" s="2" t="s">
        <v>47</v>
      </c>
      <c r="AB776" s="2" t="s">
        <v>48</v>
      </c>
      <c r="AE776" s="2">
        <f t="shared" si="81"/>
        <v>0</v>
      </c>
      <c r="AI776" s="2">
        <f t="shared" si="82"/>
        <v>0</v>
      </c>
      <c r="AJ776" s="2">
        <f t="shared" si="83"/>
        <v>33</v>
      </c>
      <c r="AK776" s="5">
        <f t="shared" si="79"/>
        <v>1</v>
      </c>
    </row>
    <row r="777" spans="1:37" x14ac:dyDescent="0.2">
      <c r="A777" s="2">
        <v>2025</v>
      </c>
      <c r="B777" s="2">
        <v>4</v>
      </c>
      <c r="C777" s="2" t="s">
        <v>193</v>
      </c>
      <c r="D777" s="2" t="s">
        <v>109</v>
      </c>
      <c r="E777" s="2" t="s">
        <v>194</v>
      </c>
      <c r="F777" s="2">
        <v>502044411</v>
      </c>
      <c r="G777" s="2" t="s">
        <v>40</v>
      </c>
      <c r="H777" s="2" t="s">
        <v>157</v>
      </c>
      <c r="I777" s="2" t="s">
        <v>195</v>
      </c>
      <c r="K777" s="2" t="s">
        <v>100</v>
      </c>
      <c r="L777" s="2" t="s">
        <v>40</v>
      </c>
      <c r="N777" s="2" t="s">
        <v>1176</v>
      </c>
      <c r="O777" s="2" t="s">
        <v>188</v>
      </c>
      <c r="P777" s="2" t="s">
        <v>189</v>
      </c>
      <c r="Q777" s="2" t="s">
        <v>190</v>
      </c>
      <c r="R777" s="2">
        <v>1</v>
      </c>
      <c r="S777" s="2">
        <v>0</v>
      </c>
      <c r="T777" s="2">
        <v>0</v>
      </c>
      <c r="U777" s="2">
        <v>0</v>
      </c>
      <c r="W777" s="5">
        <v>0</v>
      </c>
      <c r="Y777" s="2" t="s">
        <v>118</v>
      </c>
      <c r="Z777" s="2" t="s">
        <v>191</v>
      </c>
      <c r="AE777" s="2">
        <f t="shared" si="81"/>
        <v>0</v>
      </c>
      <c r="AI777" s="2">
        <f t="shared" si="82"/>
        <v>0</v>
      </c>
      <c r="AJ777" s="2">
        <f t="shared" si="83"/>
        <v>0</v>
      </c>
      <c r="AK777" s="5" t="e">
        <f t="shared" si="79"/>
        <v>#DIV/0!</v>
      </c>
    </row>
    <row r="778" spans="1:37" x14ac:dyDescent="0.2">
      <c r="A778" s="2">
        <v>2025</v>
      </c>
      <c r="B778" s="2">
        <v>4</v>
      </c>
      <c r="C778" s="2" t="s">
        <v>193</v>
      </c>
      <c r="D778" s="2" t="s">
        <v>109</v>
      </c>
      <c r="E778" s="2" t="s">
        <v>194</v>
      </c>
      <c r="F778" s="2">
        <v>502044411</v>
      </c>
      <c r="G778" s="2" t="s">
        <v>40</v>
      </c>
      <c r="H778" s="2" t="s">
        <v>157</v>
      </c>
      <c r="I778" s="2" t="s">
        <v>195</v>
      </c>
      <c r="K778" s="2" t="s">
        <v>100</v>
      </c>
      <c r="L778" s="2" t="s">
        <v>40</v>
      </c>
      <c r="N778" s="2" t="s">
        <v>1176</v>
      </c>
      <c r="O778" s="2" t="s">
        <v>188</v>
      </c>
      <c r="P778" s="2" t="s">
        <v>192</v>
      </c>
      <c r="Q778" s="2" t="s">
        <v>191</v>
      </c>
      <c r="R778" s="2">
        <v>1</v>
      </c>
      <c r="S778" s="2">
        <v>50</v>
      </c>
      <c r="T778" s="2">
        <v>11.5</v>
      </c>
      <c r="U778" s="2">
        <v>61.5</v>
      </c>
      <c r="V778" s="2">
        <f>S778*50%</f>
        <v>25</v>
      </c>
      <c r="W778" s="5">
        <f t="shared" ref="W778:W801" si="84">(S778-V778)/S778</f>
        <v>0.5</v>
      </c>
      <c r="Y778" s="2" t="s">
        <v>118</v>
      </c>
      <c r="Z778" s="2" t="s">
        <v>191</v>
      </c>
      <c r="AE778" s="2">
        <f t="shared" si="81"/>
        <v>0</v>
      </c>
      <c r="AI778" s="2">
        <f t="shared" si="82"/>
        <v>0</v>
      </c>
      <c r="AJ778" s="2">
        <f t="shared" si="83"/>
        <v>25</v>
      </c>
      <c r="AK778" s="5">
        <f t="shared" si="79"/>
        <v>0.5</v>
      </c>
    </row>
    <row r="779" spans="1:37" x14ac:dyDescent="0.2">
      <c r="A779" s="2">
        <v>2025</v>
      </c>
      <c r="B779" s="2">
        <v>4</v>
      </c>
      <c r="C779" s="2" t="s">
        <v>1177</v>
      </c>
      <c r="D779" s="2" t="s">
        <v>758</v>
      </c>
      <c r="E779" s="2" t="s">
        <v>1178</v>
      </c>
      <c r="F779" s="2">
        <v>505760088</v>
      </c>
      <c r="G779" s="2" t="s">
        <v>291</v>
      </c>
      <c r="H779" s="2" t="s">
        <v>1179</v>
      </c>
      <c r="I779" s="2" t="s">
        <v>1180</v>
      </c>
      <c r="K779" s="2" t="s">
        <v>340</v>
      </c>
      <c r="L779" s="2" t="s">
        <v>1181</v>
      </c>
      <c r="N779" s="2" t="s">
        <v>1182</v>
      </c>
      <c r="O779" s="2" t="s">
        <v>43</v>
      </c>
      <c r="P779" s="2" t="s">
        <v>1183</v>
      </c>
      <c r="Q779" s="2" t="s">
        <v>1184</v>
      </c>
      <c r="R779" s="2">
        <v>1</v>
      </c>
      <c r="S779" s="2">
        <v>5</v>
      </c>
      <c r="T779" s="2">
        <v>1.1499999999999999</v>
      </c>
      <c r="U779" s="2">
        <v>6.15</v>
      </c>
      <c r="V779" s="2">
        <v>1.8107</v>
      </c>
      <c r="W779" s="5">
        <f t="shared" si="84"/>
        <v>0.63786000000000009</v>
      </c>
      <c r="Y779" s="2" t="s">
        <v>3256</v>
      </c>
      <c r="Z779" s="2" t="s">
        <v>46</v>
      </c>
      <c r="AA779" s="2" t="s">
        <v>61</v>
      </c>
      <c r="AB779" s="2" t="s">
        <v>58</v>
      </c>
      <c r="AE779" s="2">
        <f t="shared" si="81"/>
        <v>0</v>
      </c>
      <c r="AF779" s="2">
        <v>1.8107</v>
      </c>
      <c r="AG779" s="2">
        <v>3</v>
      </c>
      <c r="AI779" s="2">
        <f t="shared" si="82"/>
        <v>0</v>
      </c>
      <c r="AJ779" s="2">
        <f t="shared" si="83"/>
        <v>3.1893000000000002</v>
      </c>
      <c r="AK779" s="5">
        <f t="shared" si="79"/>
        <v>0.63786000000000009</v>
      </c>
    </row>
    <row r="780" spans="1:37" x14ac:dyDescent="0.2">
      <c r="A780" s="2">
        <v>2025</v>
      </c>
      <c r="B780" s="2">
        <v>4</v>
      </c>
      <c r="C780" s="2" t="s">
        <v>1177</v>
      </c>
      <c r="D780" s="2" t="s">
        <v>758</v>
      </c>
      <c r="E780" s="2" t="s">
        <v>1178</v>
      </c>
      <c r="F780" s="2">
        <v>505760088</v>
      </c>
      <c r="G780" s="2" t="s">
        <v>291</v>
      </c>
      <c r="H780" s="2" t="s">
        <v>1179</v>
      </c>
      <c r="I780" s="2" t="s">
        <v>1180</v>
      </c>
      <c r="K780" s="2" t="s">
        <v>340</v>
      </c>
      <c r="L780" s="2" t="s">
        <v>1181</v>
      </c>
      <c r="N780" s="2" t="s">
        <v>1182</v>
      </c>
      <c r="O780" s="2" t="s">
        <v>43</v>
      </c>
      <c r="P780" s="2" t="s">
        <v>1185</v>
      </c>
      <c r="Q780" s="2" t="s">
        <v>1186</v>
      </c>
      <c r="R780" s="2">
        <v>1</v>
      </c>
      <c r="S780" s="2">
        <v>25</v>
      </c>
      <c r="T780" s="2">
        <v>5.75</v>
      </c>
      <c r="U780" s="2">
        <v>30.75</v>
      </c>
      <c r="V780" s="2">
        <v>20.3</v>
      </c>
      <c r="W780" s="5">
        <f t="shared" si="84"/>
        <v>0.18799999999999997</v>
      </c>
      <c r="Y780" s="2" t="s">
        <v>3256</v>
      </c>
      <c r="Z780" s="2" t="s">
        <v>46</v>
      </c>
      <c r="AA780" s="2" t="s">
        <v>61</v>
      </c>
      <c r="AB780" s="2" t="s">
        <v>58</v>
      </c>
      <c r="AE780" s="2">
        <f t="shared" si="81"/>
        <v>0</v>
      </c>
      <c r="AF780" s="2">
        <v>20.3</v>
      </c>
      <c r="AG780" s="2">
        <v>30.6</v>
      </c>
      <c r="AI780" s="2">
        <f t="shared" si="82"/>
        <v>0</v>
      </c>
      <c r="AJ780" s="2">
        <f t="shared" si="83"/>
        <v>4.6999999999999993</v>
      </c>
      <c r="AK780" s="5">
        <f t="shared" si="79"/>
        <v>0.18799999999999997</v>
      </c>
    </row>
    <row r="781" spans="1:37" x14ac:dyDescent="0.2">
      <c r="A781" s="2">
        <v>2025</v>
      </c>
      <c r="B781" s="2">
        <v>4</v>
      </c>
      <c r="C781" s="2" t="s">
        <v>1177</v>
      </c>
      <c r="D781" s="2" t="s">
        <v>758</v>
      </c>
      <c r="E781" s="2" t="s">
        <v>1178</v>
      </c>
      <c r="F781" s="2">
        <v>505760088</v>
      </c>
      <c r="G781" s="2" t="s">
        <v>291</v>
      </c>
      <c r="H781" s="2" t="s">
        <v>1179</v>
      </c>
      <c r="I781" s="2" t="s">
        <v>1180</v>
      </c>
      <c r="K781" s="2" t="s">
        <v>340</v>
      </c>
      <c r="L781" s="2" t="s">
        <v>1181</v>
      </c>
      <c r="N781" s="2" t="s">
        <v>1182</v>
      </c>
      <c r="O781" s="2" t="s">
        <v>43</v>
      </c>
      <c r="P781" s="2" t="s">
        <v>979</v>
      </c>
      <c r="Q781" s="2" t="s">
        <v>980</v>
      </c>
      <c r="R781" s="2">
        <v>4</v>
      </c>
      <c r="S781" s="2">
        <v>120</v>
      </c>
      <c r="T781" s="2">
        <v>27.6</v>
      </c>
      <c r="U781" s="2">
        <v>147.6</v>
      </c>
      <c r="V781" s="2">
        <f>18.9342*R781</f>
        <v>75.736800000000002</v>
      </c>
      <c r="W781" s="5">
        <f t="shared" si="84"/>
        <v>0.36885999999999997</v>
      </c>
      <c r="Y781" s="2" t="s">
        <v>3256</v>
      </c>
      <c r="Z781" s="2" t="s">
        <v>46</v>
      </c>
      <c r="AA781" s="2" t="s">
        <v>61</v>
      </c>
      <c r="AB781" s="2" t="s">
        <v>58</v>
      </c>
      <c r="AE781" s="2">
        <f t="shared" si="81"/>
        <v>0</v>
      </c>
      <c r="AF781" s="2">
        <v>18.934200000000001</v>
      </c>
      <c r="AG781" s="2">
        <v>29</v>
      </c>
      <c r="AI781" s="2">
        <f t="shared" si="82"/>
        <v>0</v>
      </c>
      <c r="AJ781" s="2">
        <f t="shared" si="83"/>
        <v>44.263199999999998</v>
      </c>
      <c r="AK781" s="5">
        <f t="shared" si="79"/>
        <v>0.36885999999999997</v>
      </c>
    </row>
    <row r="782" spans="1:37" x14ac:dyDescent="0.2">
      <c r="A782" s="2">
        <v>2025</v>
      </c>
      <c r="B782" s="2">
        <v>4</v>
      </c>
      <c r="C782" s="2" t="s">
        <v>1187</v>
      </c>
      <c r="D782" s="2" t="s">
        <v>38</v>
      </c>
      <c r="E782" s="2" t="s">
        <v>39</v>
      </c>
      <c r="F782" s="2">
        <v>502089075</v>
      </c>
      <c r="G782" s="2" t="s">
        <v>41</v>
      </c>
      <c r="H782" s="2" t="s">
        <v>1188</v>
      </c>
      <c r="I782" s="2" t="s">
        <v>1189</v>
      </c>
      <c r="K782" s="2" t="s">
        <v>465</v>
      </c>
      <c r="L782" s="2" t="s">
        <v>41</v>
      </c>
      <c r="N782" s="2" t="s">
        <v>1190</v>
      </c>
      <c r="O782" s="2" t="s">
        <v>43</v>
      </c>
      <c r="P782" s="2" t="s">
        <v>235</v>
      </c>
      <c r="Q782" s="2" t="s">
        <v>236</v>
      </c>
      <c r="R782" s="2">
        <v>1</v>
      </c>
      <c r="S782" s="2">
        <v>13.2</v>
      </c>
      <c r="T782" s="2">
        <v>3.036</v>
      </c>
      <c r="U782" s="2">
        <v>16.236000000000001</v>
      </c>
      <c r="V782" s="2">
        <v>7.2217000000000002</v>
      </c>
      <c r="W782" s="5">
        <f t="shared" si="84"/>
        <v>0.45290151515151511</v>
      </c>
      <c r="Y782" s="2" t="s">
        <v>3256</v>
      </c>
      <c r="Z782" s="2" t="s">
        <v>46</v>
      </c>
      <c r="AA782" s="2" t="s">
        <v>57</v>
      </c>
      <c r="AB782" s="2" t="s">
        <v>58</v>
      </c>
      <c r="AE782" s="2">
        <f t="shared" si="81"/>
        <v>0</v>
      </c>
      <c r="AF782" s="2">
        <v>7.2217000000000002</v>
      </c>
      <c r="AG782" s="2">
        <v>14.4</v>
      </c>
      <c r="AI782" s="2">
        <f t="shared" si="82"/>
        <v>0</v>
      </c>
      <c r="AJ782" s="2">
        <f t="shared" si="83"/>
        <v>5.9782999999999991</v>
      </c>
      <c r="AK782" s="5">
        <f t="shared" si="79"/>
        <v>0.45290151515151511</v>
      </c>
    </row>
    <row r="783" spans="1:37" x14ac:dyDescent="0.2">
      <c r="A783" s="2">
        <v>2025</v>
      </c>
      <c r="B783" s="2">
        <v>4</v>
      </c>
      <c r="C783" s="2" t="s">
        <v>1187</v>
      </c>
      <c r="D783" s="2" t="s">
        <v>38</v>
      </c>
      <c r="E783" s="2" t="s">
        <v>39</v>
      </c>
      <c r="F783" s="2">
        <v>502089075</v>
      </c>
      <c r="G783" s="2" t="s">
        <v>41</v>
      </c>
      <c r="H783" s="2" t="s">
        <v>1188</v>
      </c>
      <c r="I783" s="2" t="s">
        <v>1189</v>
      </c>
      <c r="K783" s="2" t="s">
        <v>465</v>
      </c>
      <c r="L783" s="2" t="s">
        <v>41</v>
      </c>
      <c r="N783" s="2" t="s">
        <v>1190</v>
      </c>
      <c r="O783" s="2" t="s">
        <v>43</v>
      </c>
      <c r="P783" s="2" t="s">
        <v>237</v>
      </c>
      <c r="Q783" s="2" t="s">
        <v>238</v>
      </c>
      <c r="R783" s="2">
        <v>1</v>
      </c>
      <c r="S783" s="2">
        <v>16.2</v>
      </c>
      <c r="T783" s="2">
        <v>3.726</v>
      </c>
      <c r="U783" s="2">
        <v>19.925999999999998</v>
      </c>
      <c r="W783" s="5">
        <f t="shared" si="84"/>
        <v>1</v>
      </c>
      <c r="Y783" s="2" t="s">
        <v>3256</v>
      </c>
      <c r="Z783" s="2" t="s">
        <v>46</v>
      </c>
      <c r="AA783" s="2" t="s">
        <v>57</v>
      </c>
      <c r="AB783" s="2" t="s">
        <v>58</v>
      </c>
      <c r="AE783" s="2">
        <f t="shared" si="81"/>
        <v>0</v>
      </c>
      <c r="AI783" s="2">
        <f t="shared" si="82"/>
        <v>0</v>
      </c>
      <c r="AJ783" s="2">
        <f t="shared" si="83"/>
        <v>16.2</v>
      </c>
      <c r="AK783" s="5">
        <f t="shared" si="79"/>
        <v>1</v>
      </c>
    </row>
    <row r="784" spans="1:37" x14ac:dyDescent="0.2">
      <c r="A784" s="2">
        <v>2025</v>
      </c>
      <c r="B784" s="2">
        <v>4</v>
      </c>
      <c r="C784" s="2" t="s">
        <v>1187</v>
      </c>
      <c r="D784" s="2" t="s">
        <v>38</v>
      </c>
      <c r="E784" s="2" t="s">
        <v>39</v>
      </c>
      <c r="F784" s="2">
        <v>502089075</v>
      </c>
      <c r="G784" s="2" t="s">
        <v>41</v>
      </c>
      <c r="H784" s="2" t="s">
        <v>1188</v>
      </c>
      <c r="I784" s="2" t="s">
        <v>1189</v>
      </c>
      <c r="K784" s="2" t="s">
        <v>465</v>
      </c>
      <c r="L784" s="2" t="s">
        <v>41</v>
      </c>
      <c r="N784" s="2" t="s">
        <v>1190</v>
      </c>
      <c r="O784" s="2" t="s">
        <v>43</v>
      </c>
      <c r="P784" s="2" t="s">
        <v>239</v>
      </c>
      <c r="Q784" s="2" t="s">
        <v>240</v>
      </c>
      <c r="R784" s="2">
        <v>1</v>
      </c>
      <c r="S784" s="2">
        <v>19.8</v>
      </c>
      <c r="T784" s="2">
        <v>4.5540000000000003</v>
      </c>
      <c r="U784" s="2">
        <v>24.353999999999999</v>
      </c>
      <c r="W784" s="5">
        <f t="shared" si="84"/>
        <v>1</v>
      </c>
      <c r="Y784" s="2" t="s">
        <v>3256</v>
      </c>
      <c r="Z784" s="2" t="s">
        <v>46</v>
      </c>
      <c r="AA784" s="2" t="s">
        <v>57</v>
      </c>
      <c r="AB784" s="2" t="s">
        <v>58</v>
      </c>
      <c r="AE784" s="2">
        <f t="shared" si="81"/>
        <v>0</v>
      </c>
      <c r="AI784" s="2">
        <f t="shared" si="82"/>
        <v>0</v>
      </c>
      <c r="AJ784" s="2">
        <f t="shared" si="83"/>
        <v>19.8</v>
      </c>
      <c r="AK784" s="5">
        <f t="shared" si="79"/>
        <v>1</v>
      </c>
    </row>
    <row r="785" spans="1:37" x14ac:dyDescent="0.2">
      <c r="A785" s="2">
        <v>2025</v>
      </c>
      <c r="B785" s="2">
        <v>4</v>
      </c>
      <c r="C785" s="2" t="s">
        <v>1187</v>
      </c>
      <c r="D785" s="2" t="s">
        <v>38</v>
      </c>
      <c r="E785" s="2" t="s">
        <v>39</v>
      </c>
      <c r="F785" s="2">
        <v>502089075</v>
      </c>
      <c r="G785" s="2" t="s">
        <v>41</v>
      </c>
      <c r="H785" s="2" t="s">
        <v>1188</v>
      </c>
      <c r="I785" s="2" t="s">
        <v>1189</v>
      </c>
      <c r="K785" s="2" t="s">
        <v>465</v>
      </c>
      <c r="L785" s="2" t="s">
        <v>41</v>
      </c>
      <c r="N785" s="2" t="s">
        <v>1191</v>
      </c>
      <c r="O785" s="2" t="s">
        <v>43</v>
      </c>
      <c r="P785" s="2" t="s">
        <v>241</v>
      </c>
      <c r="Q785" s="2" t="s">
        <v>242</v>
      </c>
      <c r="R785" s="2">
        <v>1</v>
      </c>
      <c r="S785" s="2">
        <v>24</v>
      </c>
      <c r="T785" s="2">
        <v>5.52</v>
      </c>
      <c r="U785" s="2">
        <v>29.52</v>
      </c>
      <c r="W785" s="5">
        <f t="shared" si="84"/>
        <v>1</v>
      </c>
      <c r="Y785" s="2" t="s">
        <v>3256</v>
      </c>
      <c r="Z785" s="2" t="s">
        <v>46</v>
      </c>
      <c r="AA785" s="2" t="s">
        <v>57</v>
      </c>
      <c r="AB785" s="2" t="s">
        <v>58</v>
      </c>
      <c r="AE785" s="2">
        <f t="shared" si="81"/>
        <v>0</v>
      </c>
      <c r="AI785" s="2">
        <f t="shared" si="82"/>
        <v>0</v>
      </c>
      <c r="AJ785" s="2">
        <f t="shared" si="83"/>
        <v>24</v>
      </c>
      <c r="AK785" s="5">
        <f t="shared" si="79"/>
        <v>1</v>
      </c>
    </row>
    <row r="786" spans="1:37" x14ac:dyDescent="0.2">
      <c r="A786" s="2">
        <v>2025</v>
      </c>
      <c r="B786" s="2">
        <v>4</v>
      </c>
      <c r="C786" s="2" t="s">
        <v>1187</v>
      </c>
      <c r="D786" s="2" t="s">
        <v>38</v>
      </c>
      <c r="E786" s="2" t="s">
        <v>39</v>
      </c>
      <c r="F786" s="2">
        <v>502089075</v>
      </c>
      <c r="G786" s="2" t="s">
        <v>41</v>
      </c>
      <c r="H786" s="2" t="s">
        <v>1188</v>
      </c>
      <c r="I786" s="2" t="s">
        <v>1189</v>
      </c>
      <c r="K786" s="2" t="s">
        <v>465</v>
      </c>
      <c r="L786" s="2" t="s">
        <v>41</v>
      </c>
      <c r="N786" s="2" t="s">
        <v>1190</v>
      </c>
      <c r="O786" s="2" t="s">
        <v>43</v>
      </c>
      <c r="P786" s="2" t="s">
        <v>245</v>
      </c>
      <c r="Q786" s="2" t="s">
        <v>246</v>
      </c>
      <c r="R786" s="2">
        <v>1</v>
      </c>
      <c r="S786" s="2">
        <v>16.8</v>
      </c>
      <c r="T786" s="2">
        <v>3.8639999999999999</v>
      </c>
      <c r="U786" s="2">
        <v>20.664000000000001</v>
      </c>
      <c r="W786" s="5">
        <f t="shared" si="84"/>
        <v>1</v>
      </c>
      <c r="Y786" s="2" t="s">
        <v>3256</v>
      </c>
      <c r="Z786" s="2" t="s">
        <v>46</v>
      </c>
      <c r="AA786" s="2" t="s">
        <v>57</v>
      </c>
      <c r="AB786" s="2" t="s">
        <v>58</v>
      </c>
      <c r="AE786" s="2">
        <f t="shared" si="81"/>
        <v>0</v>
      </c>
      <c r="AI786" s="2">
        <f t="shared" si="82"/>
        <v>0</v>
      </c>
      <c r="AJ786" s="2">
        <f t="shared" si="83"/>
        <v>16.8</v>
      </c>
      <c r="AK786" s="5">
        <f t="shared" ref="AK786:AK849" si="85">(S786-V786)/S786</f>
        <v>1</v>
      </c>
    </row>
    <row r="787" spans="1:37" x14ac:dyDescent="0.2">
      <c r="A787" s="2">
        <v>2025</v>
      </c>
      <c r="B787" s="2">
        <v>4</v>
      </c>
      <c r="C787" s="2" t="s">
        <v>1187</v>
      </c>
      <c r="D787" s="2" t="s">
        <v>38</v>
      </c>
      <c r="E787" s="2" t="s">
        <v>39</v>
      </c>
      <c r="F787" s="2">
        <v>502089075</v>
      </c>
      <c r="G787" s="2" t="s">
        <v>41</v>
      </c>
      <c r="H787" s="2" t="s">
        <v>1188</v>
      </c>
      <c r="I787" s="2" t="s">
        <v>1189</v>
      </c>
      <c r="K787" s="2" t="s">
        <v>465</v>
      </c>
      <c r="L787" s="2" t="s">
        <v>41</v>
      </c>
      <c r="N787" s="2" t="s">
        <v>1190</v>
      </c>
      <c r="O787" s="2" t="s">
        <v>43</v>
      </c>
      <c r="P787" s="2" t="s">
        <v>55</v>
      </c>
      <c r="Q787" s="2" t="s">
        <v>56</v>
      </c>
      <c r="R787" s="2">
        <v>3</v>
      </c>
      <c r="S787" s="2">
        <v>54</v>
      </c>
      <c r="T787" s="2">
        <f>S787*23%</f>
        <v>12.42</v>
      </c>
      <c r="U787" s="2">
        <f>S787+T787</f>
        <v>66.42</v>
      </c>
      <c r="V787" s="2">
        <f>10.6*R787</f>
        <v>31.799999999999997</v>
      </c>
      <c r="W787" s="5">
        <f t="shared" si="84"/>
        <v>0.41111111111111115</v>
      </c>
      <c r="Y787" s="2" t="s">
        <v>3256</v>
      </c>
      <c r="Z787" s="2" t="s">
        <v>46</v>
      </c>
      <c r="AA787" s="2" t="s">
        <v>57</v>
      </c>
      <c r="AB787" s="2" t="s">
        <v>58</v>
      </c>
      <c r="AE787" s="2">
        <f t="shared" si="81"/>
        <v>0</v>
      </c>
      <c r="AF787" s="2">
        <v>10.6</v>
      </c>
      <c r="AG787" s="2">
        <v>18</v>
      </c>
      <c r="AI787" s="2">
        <f t="shared" si="82"/>
        <v>0</v>
      </c>
      <c r="AJ787" s="2">
        <f t="shared" si="83"/>
        <v>22.200000000000003</v>
      </c>
      <c r="AK787" s="5">
        <f t="shared" si="85"/>
        <v>0.41111111111111115</v>
      </c>
    </row>
    <row r="788" spans="1:37" x14ac:dyDescent="0.2">
      <c r="A788" s="2">
        <v>2025</v>
      </c>
      <c r="B788" s="2">
        <v>4</v>
      </c>
      <c r="C788" s="2" t="s">
        <v>712</v>
      </c>
      <c r="D788" s="2" t="s">
        <v>184</v>
      </c>
      <c r="F788" s="2">
        <v>500038996</v>
      </c>
      <c r="G788" s="2" t="s">
        <v>110</v>
      </c>
      <c r="H788" s="2" t="s">
        <v>713</v>
      </c>
      <c r="I788" s="2" t="s">
        <v>714</v>
      </c>
      <c r="J788" s="2">
        <v>913640179</v>
      </c>
      <c r="K788" s="2" t="s">
        <v>134</v>
      </c>
      <c r="L788" s="2" t="s">
        <v>110</v>
      </c>
      <c r="O788" s="2" t="s">
        <v>115</v>
      </c>
      <c r="P788" s="2" t="s">
        <v>840</v>
      </c>
      <c r="Q788" s="2" t="s">
        <v>841</v>
      </c>
      <c r="R788" s="2">
        <v>1</v>
      </c>
      <c r="S788" s="2">
        <v>0</v>
      </c>
      <c r="W788" s="5" t="e">
        <f t="shared" si="84"/>
        <v>#DIV/0!</v>
      </c>
      <c r="AE788" s="2">
        <f t="shared" si="81"/>
        <v>0</v>
      </c>
      <c r="AI788" s="2">
        <f t="shared" si="82"/>
        <v>0</v>
      </c>
      <c r="AJ788" s="2">
        <f t="shared" si="83"/>
        <v>0</v>
      </c>
      <c r="AK788" s="5" t="e">
        <f t="shared" si="85"/>
        <v>#DIV/0!</v>
      </c>
    </row>
    <row r="789" spans="1:37" x14ac:dyDescent="0.2">
      <c r="A789" s="2">
        <v>2025</v>
      </c>
      <c r="B789" s="2">
        <v>4</v>
      </c>
      <c r="C789" s="2" t="s">
        <v>712</v>
      </c>
      <c r="D789" s="2" t="s">
        <v>184</v>
      </c>
      <c r="F789" s="2">
        <v>500038996</v>
      </c>
      <c r="G789" s="2" t="s">
        <v>110</v>
      </c>
      <c r="H789" s="2" t="s">
        <v>713</v>
      </c>
      <c r="I789" s="2" t="s">
        <v>714</v>
      </c>
      <c r="J789" s="2">
        <v>913640179</v>
      </c>
      <c r="K789" s="2" t="s">
        <v>134</v>
      </c>
      <c r="L789" s="2" t="s">
        <v>110</v>
      </c>
      <c r="O789" s="2" t="s">
        <v>115</v>
      </c>
      <c r="P789" s="2" t="s">
        <v>1192</v>
      </c>
      <c r="Q789" s="2" t="s">
        <v>1193</v>
      </c>
      <c r="R789" s="2">
        <v>1</v>
      </c>
      <c r="S789" s="2">
        <v>11660</v>
      </c>
      <c r="T789" s="2">
        <v>2681.8</v>
      </c>
      <c r="U789" s="2">
        <v>14341.8</v>
      </c>
      <c r="V789" s="2">
        <v>7437.5950000000003</v>
      </c>
      <c r="W789" s="5">
        <f t="shared" si="84"/>
        <v>0.36212735849056604</v>
      </c>
      <c r="Y789" s="2" t="s">
        <v>105</v>
      </c>
      <c r="Z789" s="2" t="s">
        <v>418</v>
      </c>
      <c r="AA789" s="2" t="s">
        <v>152</v>
      </c>
      <c r="AB789" s="2" t="s">
        <v>115</v>
      </c>
      <c r="AE789" s="2">
        <f t="shared" si="81"/>
        <v>0</v>
      </c>
      <c r="AI789" s="2">
        <f t="shared" si="82"/>
        <v>0</v>
      </c>
      <c r="AJ789" s="2">
        <f t="shared" si="83"/>
        <v>4222.4049999999997</v>
      </c>
      <c r="AK789" s="5">
        <f t="shared" si="85"/>
        <v>0.36212735849056604</v>
      </c>
    </row>
    <row r="790" spans="1:37" x14ac:dyDescent="0.2">
      <c r="A790" s="2">
        <v>2025</v>
      </c>
      <c r="B790" s="2">
        <v>4</v>
      </c>
      <c r="C790" s="2" t="s">
        <v>712</v>
      </c>
      <c r="D790" s="2" t="s">
        <v>184</v>
      </c>
      <c r="F790" s="2">
        <v>500038996</v>
      </c>
      <c r="G790" s="2" t="s">
        <v>110</v>
      </c>
      <c r="H790" s="2" t="s">
        <v>713</v>
      </c>
      <c r="I790" s="2" t="s">
        <v>714</v>
      </c>
      <c r="J790" s="2">
        <v>913640179</v>
      </c>
      <c r="K790" s="2" t="s">
        <v>134</v>
      </c>
      <c r="L790" s="2" t="s">
        <v>110</v>
      </c>
      <c r="N790" s="2" t="s">
        <v>1194</v>
      </c>
      <c r="O790" s="2" t="s">
        <v>69</v>
      </c>
      <c r="P790" s="2" t="s">
        <v>1169</v>
      </c>
      <c r="Q790" s="2" t="s">
        <v>1170</v>
      </c>
      <c r="R790" s="2">
        <v>2</v>
      </c>
      <c r="S790" s="2">
        <v>140</v>
      </c>
      <c r="T790" s="2">
        <v>32.200000000000003</v>
      </c>
      <c r="U790" s="2">
        <v>172.2</v>
      </c>
      <c r="V790" s="2">
        <v>94.8</v>
      </c>
      <c r="W790" s="5">
        <f t="shared" si="84"/>
        <v>0.3228571428571429</v>
      </c>
      <c r="Y790" s="2" t="s">
        <v>3256</v>
      </c>
      <c r="Z790" s="2" t="s">
        <v>72</v>
      </c>
      <c r="AA790" s="2" t="s">
        <v>69</v>
      </c>
      <c r="AB790" s="2" t="s">
        <v>3261</v>
      </c>
      <c r="AE790" s="2">
        <f t="shared" si="81"/>
        <v>0</v>
      </c>
      <c r="AI790" s="2">
        <f t="shared" si="82"/>
        <v>0</v>
      </c>
      <c r="AJ790" s="2">
        <f t="shared" si="83"/>
        <v>45.2</v>
      </c>
      <c r="AK790" s="5">
        <f t="shared" si="85"/>
        <v>0.3228571428571429</v>
      </c>
    </row>
    <row r="791" spans="1:37" x14ac:dyDescent="0.2">
      <c r="A791" s="2">
        <v>2025</v>
      </c>
      <c r="B791" s="2">
        <v>4</v>
      </c>
      <c r="C791" s="2" t="s">
        <v>712</v>
      </c>
      <c r="D791" s="2" t="s">
        <v>184</v>
      </c>
      <c r="F791" s="2">
        <v>500038996</v>
      </c>
      <c r="G791" s="2" t="s">
        <v>110</v>
      </c>
      <c r="H791" s="2" t="s">
        <v>713</v>
      </c>
      <c r="I791" s="2" t="s">
        <v>714</v>
      </c>
      <c r="J791" s="2">
        <v>913640179</v>
      </c>
      <c r="K791" s="2" t="s">
        <v>134</v>
      </c>
      <c r="L791" s="2" t="s">
        <v>110</v>
      </c>
      <c r="N791" s="2" t="s">
        <v>1194</v>
      </c>
      <c r="O791" s="2" t="s">
        <v>170</v>
      </c>
      <c r="P791" s="2" t="s">
        <v>171</v>
      </c>
      <c r="Q791" s="2" t="s">
        <v>171</v>
      </c>
      <c r="R791" s="2">
        <v>2</v>
      </c>
      <c r="S791" s="2">
        <v>10</v>
      </c>
      <c r="T791" s="2">
        <v>2.2999999999999998</v>
      </c>
      <c r="U791" s="2">
        <v>12.3</v>
      </c>
      <c r="W791" s="5">
        <f t="shared" si="84"/>
        <v>1</v>
      </c>
      <c r="Y791" s="2" t="s">
        <v>170</v>
      </c>
      <c r="Z791" s="2" t="s">
        <v>170</v>
      </c>
      <c r="AE791" s="2">
        <f t="shared" si="81"/>
        <v>0</v>
      </c>
      <c r="AI791" s="2">
        <f t="shared" si="82"/>
        <v>0</v>
      </c>
      <c r="AJ791" s="2">
        <f t="shared" si="83"/>
        <v>10</v>
      </c>
      <c r="AK791" s="5">
        <f t="shared" si="85"/>
        <v>1</v>
      </c>
    </row>
    <row r="792" spans="1:37" x14ac:dyDescent="0.2">
      <c r="A792" s="2">
        <v>2025</v>
      </c>
      <c r="B792" s="2">
        <v>4</v>
      </c>
      <c r="C792" s="2" t="s">
        <v>1195</v>
      </c>
      <c r="D792" s="2" t="s">
        <v>38</v>
      </c>
      <c r="E792" s="2" t="s">
        <v>39</v>
      </c>
      <c r="F792" s="2">
        <v>502245247</v>
      </c>
      <c r="G792" s="2" t="s">
        <v>40</v>
      </c>
      <c r="H792" s="2" t="s">
        <v>433</v>
      </c>
      <c r="I792" s="2" t="s">
        <v>1196</v>
      </c>
      <c r="K792" s="2" t="s">
        <v>100</v>
      </c>
      <c r="L792" s="2" t="s">
        <v>81</v>
      </c>
      <c r="N792" s="2" t="s">
        <v>1197</v>
      </c>
      <c r="O792" s="2" t="s">
        <v>73</v>
      </c>
      <c r="P792" s="2" t="s">
        <v>74</v>
      </c>
      <c r="Q792" s="2" t="s">
        <v>75</v>
      </c>
      <c r="R792" s="2">
        <v>1</v>
      </c>
      <c r="S792" s="2">
        <v>218.37</v>
      </c>
      <c r="T792" s="2">
        <v>50.225099999999998</v>
      </c>
      <c r="U792" s="2">
        <v>268.5951</v>
      </c>
      <c r="V792" s="2">
        <v>117.453</v>
      </c>
      <c r="W792" s="5">
        <f t="shared" si="84"/>
        <v>0.46213765627146586</v>
      </c>
      <c r="Y792" s="2" t="s">
        <v>3256</v>
      </c>
      <c r="Z792" s="2" t="s">
        <v>76</v>
      </c>
      <c r="AA792" s="2" t="s">
        <v>77</v>
      </c>
      <c r="AB792" s="2" t="s">
        <v>78</v>
      </c>
      <c r="AE792" s="2">
        <f t="shared" si="81"/>
        <v>0</v>
      </c>
      <c r="AF792" s="2">
        <v>117.453</v>
      </c>
      <c r="AG792" s="2">
        <v>220</v>
      </c>
      <c r="AI792" s="2">
        <f t="shared" si="82"/>
        <v>0</v>
      </c>
      <c r="AJ792" s="2">
        <f t="shared" si="83"/>
        <v>100.917</v>
      </c>
      <c r="AK792" s="5">
        <f t="shared" si="85"/>
        <v>0.46213765627146586</v>
      </c>
    </row>
    <row r="793" spans="1:37" x14ac:dyDescent="0.2">
      <c r="A793" s="2">
        <v>2025</v>
      </c>
      <c r="B793" s="2">
        <v>4</v>
      </c>
      <c r="C793" s="2" t="s">
        <v>1195</v>
      </c>
      <c r="D793" s="2" t="s">
        <v>38</v>
      </c>
      <c r="E793" s="2" t="s">
        <v>39</v>
      </c>
      <c r="F793" s="2">
        <v>502245247</v>
      </c>
      <c r="G793" s="2" t="s">
        <v>40</v>
      </c>
      <c r="H793" s="2" t="s">
        <v>433</v>
      </c>
      <c r="I793" s="2" t="s">
        <v>1196</v>
      </c>
      <c r="K793" s="2" t="s">
        <v>100</v>
      </c>
      <c r="L793" s="2" t="s">
        <v>81</v>
      </c>
      <c r="N793" s="2" t="s">
        <v>1197</v>
      </c>
      <c r="O793" s="2" t="s">
        <v>94</v>
      </c>
      <c r="P793" s="2" t="s">
        <v>95</v>
      </c>
      <c r="Q793" s="2" t="s">
        <v>96</v>
      </c>
      <c r="R793" s="2">
        <v>1</v>
      </c>
      <c r="S793" s="2">
        <v>1.1399999999999999</v>
      </c>
      <c r="T793" s="2">
        <v>0.26219999999999999</v>
      </c>
      <c r="U793" s="2">
        <v>1.4021999999999999</v>
      </c>
      <c r="V793" s="2">
        <v>1.1399999999999999</v>
      </c>
      <c r="W793" s="5">
        <f t="shared" si="84"/>
        <v>0</v>
      </c>
      <c r="Y793" s="2" t="s">
        <v>3256</v>
      </c>
      <c r="Z793" s="2" t="s">
        <v>97</v>
      </c>
      <c r="AA793" s="2" t="s">
        <v>77</v>
      </c>
      <c r="AB793" s="2" t="s">
        <v>94</v>
      </c>
      <c r="AE793" s="2">
        <f t="shared" si="81"/>
        <v>0</v>
      </c>
      <c r="AI793" s="2">
        <f t="shared" si="82"/>
        <v>0</v>
      </c>
      <c r="AJ793" s="2">
        <f t="shared" si="83"/>
        <v>0</v>
      </c>
      <c r="AK793" s="5">
        <f t="shared" si="85"/>
        <v>0</v>
      </c>
    </row>
    <row r="794" spans="1:37" x14ac:dyDescent="0.2">
      <c r="A794" s="2">
        <v>2025</v>
      </c>
      <c r="B794" s="2">
        <v>4</v>
      </c>
      <c r="C794" s="2" t="s">
        <v>1198</v>
      </c>
      <c r="D794" s="2" t="s">
        <v>38</v>
      </c>
      <c r="E794" s="2" t="s">
        <v>39</v>
      </c>
      <c r="F794" s="2">
        <v>515912336</v>
      </c>
      <c r="G794" s="2" t="s">
        <v>41</v>
      </c>
      <c r="H794" s="2" t="s">
        <v>568</v>
      </c>
      <c r="I794" s="2" t="s">
        <v>1199</v>
      </c>
      <c r="J794" s="2">
        <v>965705708</v>
      </c>
      <c r="K794" s="2" t="s">
        <v>422</v>
      </c>
      <c r="L794" s="2" t="s">
        <v>40</v>
      </c>
      <c r="N794" s="2" t="s">
        <v>1200</v>
      </c>
      <c r="O794" s="2" t="s">
        <v>40</v>
      </c>
      <c r="P794" s="2" t="s">
        <v>364</v>
      </c>
      <c r="Q794" s="2" t="s">
        <v>365</v>
      </c>
      <c r="R794" s="2">
        <v>-1</v>
      </c>
      <c r="S794" s="2">
        <v>-64.97</v>
      </c>
      <c r="T794" s="2">
        <v>-14.943099999999999</v>
      </c>
      <c r="U794" s="2">
        <v>-79.9131</v>
      </c>
      <c r="W794" s="5">
        <f t="shared" si="84"/>
        <v>1</v>
      </c>
      <c r="Y794" s="2" t="s">
        <v>120</v>
      </c>
      <c r="Z794" s="2" t="s">
        <v>366</v>
      </c>
      <c r="AE794" s="2">
        <f t="shared" si="81"/>
        <v>0</v>
      </c>
      <c r="AI794" s="2">
        <f t="shared" si="82"/>
        <v>0</v>
      </c>
      <c r="AJ794" s="2">
        <f t="shared" si="83"/>
        <v>-64.97</v>
      </c>
      <c r="AK794" s="5">
        <f t="shared" si="85"/>
        <v>1</v>
      </c>
    </row>
    <row r="795" spans="1:37" x14ac:dyDescent="0.2">
      <c r="A795" s="2">
        <v>2025</v>
      </c>
      <c r="B795" s="2">
        <v>4</v>
      </c>
      <c r="C795" s="2" t="s">
        <v>327</v>
      </c>
      <c r="D795" s="2" t="s">
        <v>109</v>
      </c>
      <c r="E795" s="2" t="s">
        <v>39</v>
      </c>
      <c r="F795" s="2">
        <v>501544801</v>
      </c>
      <c r="G795" s="2" t="s">
        <v>41</v>
      </c>
      <c r="H795" s="2" t="s">
        <v>328</v>
      </c>
      <c r="I795" s="2" t="s">
        <v>329</v>
      </c>
      <c r="K795" s="2" t="s">
        <v>178</v>
      </c>
      <c r="O795" s="2" t="s">
        <v>73</v>
      </c>
      <c r="P795" s="2" t="s">
        <v>1201</v>
      </c>
      <c r="Q795" s="2" t="s">
        <v>198</v>
      </c>
      <c r="R795" s="2">
        <v>1</v>
      </c>
      <c r="S795" s="2">
        <v>245</v>
      </c>
      <c r="T795" s="2">
        <v>56.35</v>
      </c>
      <c r="U795" s="2">
        <v>301.35000000000002</v>
      </c>
      <c r="W795" s="5">
        <f t="shared" si="84"/>
        <v>1</v>
      </c>
      <c r="Y795" s="2" t="s">
        <v>3256</v>
      </c>
      <c r="Z795" s="2" t="s">
        <v>76</v>
      </c>
      <c r="AA795" s="2" t="s">
        <v>77</v>
      </c>
      <c r="AB795" s="2" t="s">
        <v>78</v>
      </c>
      <c r="AE795" s="2">
        <f t="shared" si="81"/>
        <v>0</v>
      </c>
      <c r="AI795" s="2">
        <f t="shared" si="82"/>
        <v>0</v>
      </c>
      <c r="AJ795" s="2">
        <f t="shared" si="83"/>
        <v>245</v>
      </c>
      <c r="AK795" s="5">
        <f t="shared" si="85"/>
        <v>1</v>
      </c>
    </row>
    <row r="796" spans="1:37" x14ac:dyDescent="0.2">
      <c r="A796" s="2">
        <v>2025</v>
      </c>
      <c r="B796" s="2">
        <v>4</v>
      </c>
      <c r="C796" s="2" t="s">
        <v>327</v>
      </c>
      <c r="D796" s="2" t="s">
        <v>109</v>
      </c>
      <c r="E796" s="2" t="s">
        <v>39</v>
      </c>
      <c r="F796" s="2">
        <v>501544801</v>
      </c>
      <c r="G796" s="2" t="s">
        <v>41</v>
      </c>
      <c r="H796" s="2" t="s">
        <v>328</v>
      </c>
      <c r="I796" s="2" t="s">
        <v>329</v>
      </c>
      <c r="K796" s="2" t="s">
        <v>178</v>
      </c>
      <c r="O796" s="2" t="s">
        <v>94</v>
      </c>
      <c r="P796" s="2" t="s">
        <v>95</v>
      </c>
      <c r="Q796" s="2" t="s">
        <v>96</v>
      </c>
      <c r="R796" s="2">
        <v>1</v>
      </c>
      <c r="S796" s="2">
        <v>1.1399999999999999</v>
      </c>
      <c r="T796" s="2">
        <v>0.26219999999999999</v>
      </c>
      <c r="U796" s="2">
        <v>1.4021999999999999</v>
      </c>
      <c r="V796" s="2">
        <v>1.1399999999999999</v>
      </c>
      <c r="W796" s="5">
        <f t="shared" si="84"/>
        <v>0</v>
      </c>
      <c r="Y796" s="2" t="s">
        <v>3256</v>
      </c>
      <c r="Z796" s="2" t="s">
        <v>97</v>
      </c>
      <c r="AA796" s="2" t="s">
        <v>77</v>
      </c>
      <c r="AB796" s="2" t="s">
        <v>94</v>
      </c>
      <c r="AE796" s="2">
        <f t="shared" si="81"/>
        <v>0</v>
      </c>
      <c r="AI796" s="2">
        <f t="shared" si="82"/>
        <v>0</v>
      </c>
      <c r="AJ796" s="2">
        <f t="shared" si="83"/>
        <v>0</v>
      </c>
      <c r="AK796" s="5">
        <f t="shared" si="85"/>
        <v>0</v>
      </c>
    </row>
    <row r="797" spans="1:37" x14ac:dyDescent="0.2">
      <c r="A797" s="2">
        <v>2025</v>
      </c>
      <c r="B797" s="2">
        <v>4</v>
      </c>
      <c r="C797" s="2" t="s">
        <v>737</v>
      </c>
      <c r="D797" s="2" t="s">
        <v>109</v>
      </c>
      <c r="E797" s="2" t="s">
        <v>39</v>
      </c>
      <c r="F797" s="2">
        <v>502757396</v>
      </c>
      <c r="G797" s="2" t="s">
        <v>40</v>
      </c>
      <c r="H797" s="2" t="s">
        <v>100</v>
      </c>
      <c r="I797" s="2" t="s">
        <v>738</v>
      </c>
      <c r="K797" s="2" t="s">
        <v>100</v>
      </c>
      <c r="L797" s="2" t="s">
        <v>81</v>
      </c>
      <c r="N797" s="2" t="s">
        <v>3248</v>
      </c>
      <c r="O797" s="2" t="s">
        <v>73</v>
      </c>
      <c r="P797" s="2" t="s">
        <v>74</v>
      </c>
      <c r="Q797" s="2" t="s">
        <v>75</v>
      </c>
      <c r="R797" s="2">
        <v>2</v>
      </c>
      <c r="S797" s="2">
        <v>400</v>
      </c>
      <c r="T797" s="2">
        <v>92</v>
      </c>
      <c r="U797" s="2">
        <v>492</v>
      </c>
      <c r="V797" s="2">
        <v>234.90600000000001</v>
      </c>
      <c r="W797" s="5">
        <f t="shared" si="84"/>
        <v>0.41273499999999996</v>
      </c>
      <c r="Y797" s="2" t="s">
        <v>3256</v>
      </c>
      <c r="Z797" s="2" t="s">
        <v>76</v>
      </c>
      <c r="AA797" s="2" t="s">
        <v>77</v>
      </c>
      <c r="AB797" s="2" t="s">
        <v>78</v>
      </c>
      <c r="AE797" s="2">
        <f t="shared" si="81"/>
        <v>0</v>
      </c>
      <c r="AF797" s="2">
        <v>117.453</v>
      </c>
      <c r="AG797" s="2">
        <v>220</v>
      </c>
      <c r="AI797" s="2">
        <f t="shared" si="82"/>
        <v>0</v>
      </c>
      <c r="AJ797" s="2">
        <f t="shared" si="83"/>
        <v>165.09399999999999</v>
      </c>
      <c r="AK797" s="5">
        <f t="shared" si="85"/>
        <v>0.41273499999999996</v>
      </c>
    </row>
    <row r="798" spans="1:37" x14ac:dyDescent="0.2">
      <c r="A798" s="2">
        <v>2025</v>
      </c>
      <c r="B798" s="2">
        <v>4</v>
      </c>
      <c r="C798" s="2" t="s">
        <v>737</v>
      </c>
      <c r="D798" s="2" t="s">
        <v>109</v>
      </c>
      <c r="E798" s="2" t="s">
        <v>39</v>
      </c>
      <c r="F798" s="2">
        <v>502757396</v>
      </c>
      <c r="G798" s="2" t="s">
        <v>40</v>
      </c>
      <c r="H798" s="2" t="s">
        <v>100</v>
      </c>
      <c r="I798" s="2" t="s">
        <v>738</v>
      </c>
      <c r="K798" s="2" t="s">
        <v>100</v>
      </c>
      <c r="L798" s="2" t="s">
        <v>81</v>
      </c>
      <c r="N798" s="2" t="s">
        <v>3248</v>
      </c>
      <c r="O798" s="2" t="s">
        <v>94</v>
      </c>
      <c r="P798" s="2" t="s">
        <v>95</v>
      </c>
      <c r="Q798" s="2" t="s">
        <v>96</v>
      </c>
      <c r="R798" s="2">
        <v>2</v>
      </c>
      <c r="S798" s="2">
        <v>2.2799999999999998</v>
      </c>
      <c r="T798" s="2">
        <v>0.52439999999999998</v>
      </c>
      <c r="U798" s="2">
        <v>2.8043999999999998</v>
      </c>
      <c r="V798" s="2">
        <v>2.2799999999999998</v>
      </c>
      <c r="W798" s="5">
        <f t="shared" si="84"/>
        <v>0</v>
      </c>
      <c r="Y798" s="2" t="s">
        <v>3256</v>
      </c>
      <c r="Z798" s="2" t="s">
        <v>97</v>
      </c>
      <c r="AA798" s="2" t="s">
        <v>77</v>
      </c>
      <c r="AB798" s="2" t="s">
        <v>94</v>
      </c>
      <c r="AE798" s="2">
        <f t="shared" si="81"/>
        <v>0</v>
      </c>
      <c r="AF798" s="2">
        <v>1.1399999999999999</v>
      </c>
      <c r="AG798" s="2">
        <v>1.1399999999999999</v>
      </c>
      <c r="AI798" s="2">
        <f t="shared" si="82"/>
        <v>0</v>
      </c>
      <c r="AJ798" s="2">
        <f t="shared" si="83"/>
        <v>0</v>
      </c>
      <c r="AK798" s="5">
        <f t="shared" si="85"/>
        <v>0</v>
      </c>
    </row>
    <row r="799" spans="1:37" x14ac:dyDescent="0.2">
      <c r="A799" s="2">
        <v>2025</v>
      </c>
      <c r="B799" s="2">
        <v>4</v>
      </c>
      <c r="C799" s="2" t="s">
        <v>337</v>
      </c>
      <c r="D799" s="2" t="s">
        <v>109</v>
      </c>
      <c r="E799" s="2" t="s">
        <v>39</v>
      </c>
      <c r="F799" s="2">
        <v>503373494</v>
      </c>
      <c r="G799" s="2" t="s">
        <v>291</v>
      </c>
      <c r="H799" s="2" t="s">
        <v>338</v>
      </c>
      <c r="I799" s="2" t="s">
        <v>339</v>
      </c>
      <c r="J799" s="2">
        <v>965852001</v>
      </c>
      <c r="K799" s="2" t="s">
        <v>340</v>
      </c>
      <c r="L799" s="2" t="s">
        <v>40</v>
      </c>
      <c r="N799" s="2" t="s">
        <v>1202</v>
      </c>
      <c r="O799" s="2" t="s">
        <v>1203</v>
      </c>
      <c r="P799" s="2" t="s">
        <v>1204</v>
      </c>
      <c r="Q799" s="2" t="s">
        <v>1205</v>
      </c>
      <c r="R799" s="2">
        <v>1</v>
      </c>
      <c r="S799" s="2">
        <v>850</v>
      </c>
      <c r="W799" s="5">
        <f t="shared" si="84"/>
        <v>1</v>
      </c>
      <c r="Y799" s="2" t="s">
        <v>118</v>
      </c>
      <c r="Z799" s="2" t="s">
        <v>119</v>
      </c>
      <c r="AA799" s="2" t="s">
        <v>120</v>
      </c>
      <c r="AB799" s="2" t="s">
        <v>1203</v>
      </c>
      <c r="AE799" s="2">
        <f t="shared" si="81"/>
        <v>0</v>
      </c>
      <c r="AI799" s="2">
        <f t="shared" si="82"/>
        <v>0</v>
      </c>
      <c r="AJ799" s="2">
        <f t="shared" si="83"/>
        <v>850</v>
      </c>
      <c r="AK799" s="5">
        <f t="shared" si="85"/>
        <v>1</v>
      </c>
    </row>
    <row r="800" spans="1:37" x14ac:dyDescent="0.2">
      <c r="A800" s="2">
        <v>2025</v>
      </c>
      <c r="B800" s="2">
        <v>4</v>
      </c>
      <c r="C800" s="2" t="s">
        <v>337</v>
      </c>
      <c r="D800" s="2" t="s">
        <v>109</v>
      </c>
      <c r="E800" s="2" t="s">
        <v>39</v>
      </c>
      <c r="F800" s="2">
        <v>503373494</v>
      </c>
      <c r="G800" s="2" t="s">
        <v>291</v>
      </c>
      <c r="H800" s="2" t="s">
        <v>338</v>
      </c>
      <c r="I800" s="2" t="s">
        <v>339</v>
      </c>
      <c r="J800" s="2">
        <v>965852001</v>
      </c>
      <c r="K800" s="2" t="s">
        <v>340</v>
      </c>
      <c r="L800" s="2" t="s">
        <v>40</v>
      </c>
      <c r="N800" s="2" t="s">
        <v>1202</v>
      </c>
      <c r="O800" s="2" t="s">
        <v>1203</v>
      </c>
      <c r="P800" s="2" t="s">
        <v>1206</v>
      </c>
      <c r="Q800" s="2" t="s">
        <v>1207</v>
      </c>
      <c r="R800" s="2">
        <v>1</v>
      </c>
      <c r="S800" s="2">
        <v>530</v>
      </c>
      <c r="T800" s="2">
        <v>121.9</v>
      </c>
      <c r="U800" s="2">
        <v>651.9</v>
      </c>
      <c r="W800" s="5">
        <f t="shared" si="84"/>
        <v>1</v>
      </c>
      <c r="Y800" s="2" t="s">
        <v>105</v>
      </c>
      <c r="Z800" s="2" t="s">
        <v>1208</v>
      </c>
      <c r="AA800" s="2" t="s">
        <v>120</v>
      </c>
      <c r="AB800" s="2" t="s">
        <v>1203</v>
      </c>
      <c r="AE800" s="2">
        <f t="shared" si="81"/>
        <v>0</v>
      </c>
      <c r="AI800" s="2">
        <f t="shared" si="82"/>
        <v>0</v>
      </c>
      <c r="AJ800" s="2">
        <f t="shared" si="83"/>
        <v>530</v>
      </c>
      <c r="AK800" s="5">
        <f t="shared" si="85"/>
        <v>1</v>
      </c>
    </row>
    <row r="801" spans="1:37" x14ac:dyDescent="0.2">
      <c r="A801" s="2">
        <v>2025</v>
      </c>
      <c r="B801" s="2">
        <v>4</v>
      </c>
      <c r="C801" s="2" t="s">
        <v>337</v>
      </c>
      <c r="D801" s="2" t="s">
        <v>109</v>
      </c>
      <c r="E801" s="2" t="s">
        <v>39</v>
      </c>
      <c r="F801" s="2">
        <v>503373494</v>
      </c>
      <c r="G801" s="2" t="s">
        <v>291</v>
      </c>
      <c r="H801" s="2" t="s">
        <v>338</v>
      </c>
      <c r="I801" s="2" t="s">
        <v>339</v>
      </c>
      <c r="J801" s="2">
        <v>965852001</v>
      </c>
      <c r="K801" s="2" t="s">
        <v>340</v>
      </c>
      <c r="L801" s="2" t="s">
        <v>40</v>
      </c>
      <c r="N801" s="2" t="s">
        <v>1202</v>
      </c>
      <c r="O801" s="2" t="s">
        <v>188</v>
      </c>
      <c r="P801" s="2" t="s">
        <v>192</v>
      </c>
      <c r="Q801" s="2" t="s">
        <v>191</v>
      </c>
      <c r="R801" s="2">
        <v>1</v>
      </c>
      <c r="S801" s="2">
        <v>200</v>
      </c>
      <c r="T801" s="2">
        <v>46</v>
      </c>
      <c r="U801" s="2">
        <v>246</v>
      </c>
      <c r="V801" s="2">
        <f>S801*50%</f>
        <v>100</v>
      </c>
      <c r="W801" s="5">
        <f t="shared" si="84"/>
        <v>0.5</v>
      </c>
      <c r="Y801" s="2" t="s">
        <v>118</v>
      </c>
      <c r="Z801" s="2" t="s">
        <v>191</v>
      </c>
      <c r="AE801" s="2">
        <f t="shared" si="81"/>
        <v>0</v>
      </c>
      <c r="AI801" s="2">
        <f t="shared" si="82"/>
        <v>0</v>
      </c>
      <c r="AJ801" s="2">
        <f t="shared" si="83"/>
        <v>100</v>
      </c>
      <c r="AK801" s="5">
        <f t="shared" si="85"/>
        <v>0.5</v>
      </c>
    </row>
    <row r="802" spans="1:37" x14ac:dyDescent="0.2">
      <c r="A802" s="2">
        <v>2025</v>
      </c>
      <c r="B802" s="2">
        <v>4</v>
      </c>
      <c r="C802" s="2" t="s">
        <v>337</v>
      </c>
      <c r="D802" s="2" t="s">
        <v>109</v>
      </c>
      <c r="E802" s="2" t="s">
        <v>39</v>
      </c>
      <c r="F802" s="2">
        <v>503373494</v>
      </c>
      <c r="G802" s="2" t="s">
        <v>291</v>
      </c>
      <c r="H802" s="2" t="s">
        <v>338</v>
      </c>
      <c r="I802" s="2" t="s">
        <v>339</v>
      </c>
      <c r="J802" s="2">
        <v>965852001</v>
      </c>
      <c r="K802" s="2" t="s">
        <v>340</v>
      </c>
      <c r="L802" s="2" t="s">
        <v>40</v>
      </c>
      <c r="N802" s="2" t="s">
        <v>1202</v>
      </c>
      <c r="O802" s="2" t="s">
        <v>40</v>
      </c>
      <c r="P802" s="2" t="s">
        <v>364</v>
      </c>
      <c r="Q802" s="2" t="s">
        <v>365</v>
      </c>
      <c r="R802" s="2">
        <v>1</v>
      </c>
      <c r="S802" s="2">
        <v>0</v>
      </c>
      <c r="T802" s="2">
        <v>0</v>
      </c>
      <c r="U802" s="2">
        <v>0</v>
      </c>
      <c r="W802" s="5">
        <v>0</v>
      </c>
      <c r="Y802" s="2" t="s">
        <v>118</v>
      </c>
      <c r="Z802" s="2" t="s">
        <v>119</v>
      </c>
      <c r="AA802" s="2" t="s">
        <v>120</v>
      </c>
      <c r="AE802" s="2">
        <f t="shared" si="81"/>
        <v>0</v>
      </c>
      <c r="AI802" s="2">
        <f t="shared" si="82"/>
        <v>0</v>
      </c>
      <c r="AJ802" s="2">
        <f t="shared" si="83"/>
        <v>0</v>
      </c>
      <c r="AK802" s="5" t="e">
        <f t="shared" si="85"/>
        <v>#DIV/0!</v>
      </c>
    </row>
    <row r="803" spans="1:37" x14ac:dyDescent="0.2">
      <c r="A803" s="2">
        <v>2025</v>
      </c>
      <c r="B803" s="2">
        <v>4</v>
      </c>
      <c r="C803" s="2" t="s">
        <v>750</v>
      </c>
      <c r="D803" s="2" t="s">
        <v>109</v>
      </c>
      <c r="E803" s="2" t="s">
        <v>39</v>
      </c>
      <c r="F803" s="2">
        <v>509181163</v>
      </c>
      <c r="G803" s="2" t="s">
        <v>40</v>
      </c>
      <c r="H803" s="2" t="s">
        <v>751</v>
      </c>
      <c r="I803" s="2" t="s">
        <v>752</v>
      </c>
      <c r="J803" s="2">
        <v>962372760</v>
      </c>
      <c r="K803" s="2" t="s">
        <v>202</v>
      </c>
      <c r="O803" s="2" t="s">
        <v>115</v>
      </c>
      <c r="P803" s="2" t="s">
        <v>1209</v>
      </c>
      <c r="Q803" s="2" t="s">
        <v>1210</v>
      </c>
      <c r="R803" s="2">
        <v>1</v>
      </c>
      <c r="S803" s="2">
        <v>356.81</v>
      </c>
      <c r="W803" s="5">
        <f t="shared" ref="W803:W834" si="86">(S803-V803)/S803</f>
        <v>1</v>
      </c>
      <c r="Y803" s="2" t="s">
        <v>118</v>
      </c>
      <c r="AE803" s="2">
        <f t="shared" si="81"/>
        <v>0</v>
      </c>
      <c r="AI803" s="2">
        <f t="shared" si="82"/>
        <v>0</v>
      </c>
      <c r="AJ803" s="2">
        <f t="shared" si="83"/>
        <v>356.81</v>
      </c>
      <c r="AK803" s="5">
        <f t="shared" si="85"/>
        <v>1</v>
      </c>
    </row>
    <row r="804" spans="1:37" x14ac:dyDescent="0.2">
      <c r="A804" s="2">
        <v>2025</v>
      </c>
      <c r="B804" s="2">
        <v>4</v>
      </c>
      <c r="C804" s="2" t="s">
        <v>1211</v>
      </c>
      <c r="D804" s="2" t="s">
        <v>38</v>
      </c>
      <c r="E804" s="2" t="s">
        <v>39</v>
      </c>
      <c r="F804" s="2">
        <v>507181522</v>
      </c>
      <c r="G804" s="2" t="s">
        <v>291</v>
      </c>
      <c r="H804" s="2" t="s">
        <v>1212</v>
      </c>
      <c r="I804" s="2" t="s">
        <v>1213</v>
      </c>
      <c r="J804" s="2">
        <v>913806033</v>
      </c>
      <c r="K804" s="2" t="s">
        <v>294</v>
      </c>
      <c r="O804" s="2" t="s">
        <v>283</v>
      </c>
      <c r="P804" s="2" t="s">
        <v>1214</v>
      </c>
      <c r="Q804" s="2" t="s">
        <v>1215</v>
      </c>
      <c r="R804" s="2">
        <v>1</v>
      </c>
      <c r="S804" s="2">
        <v>23.9</v>
      </c>
      <c r="W804" s="5">
        <f t="shared" si="86"/>
        <v>1</v>
      </c>
      <c r="Y804" s="2" t="s">
        <v>3256</v>
      </c>
      <c r="AE804" s="2">
        <f t="shared" si="81"/>
        <v>0</v>
      </c>
      <c r="AI804" s="2">
        <f t="shared" si="82"/>
        <v>0</v>
      </c>
      <c r="AJ804" s="2">
        <f t="shared" si="83"/>
        <v>23.9</v>
      </c>
      <c r="AK804" s="5">
        <f t="shared" si="85"/>
        <v>1</v>
      </c>
    </row>
    <row r="805" spans="1:37" x14ac:dyDescent="0.2">
      <c r="A805" s="2">
        <v>2025</v>
      </c>
      <c r="B805" s="2">
        <v>4</v>
      </c>
      <c r="C805" s="2" t="s">
        <v>1211</v>
      </c>
      <c r="D805" s="2" t="s">
        <v>38</v>
      </c>
      <c r="E805" s="2" t="s">
        <v>39</v>
      </c>
      <c r="F805" s="2">
        <v>507181522</v>
      </c>
      <c r="G805" s="2" t="s">
        <v>291</v>
      </c>
      <c r="H805" s="2" t="s">
        <v>1212</v>
      </c>
      <c r="I805" s="2" t="s">
        <v>1213</v>
      </c>
      <c r="J805" s="2">
        <v>913806033</v>
      </c>
      <c r="K805" s="2" t="s">
        <v>294</v>
      </c>
      <c r="O805" s="2" t="s">
        <v>43</v>
      </c>
      <c r="P805" s="2" t="s">
        <v>49</v>
      </c>
      <c r="Q805" s="2" t="s">
        <v>50</v>
      </c>
      <c r="R805" s="2">
        <v>2</v>
      </c>
      <c r="S805" s="2">
        <v>24</v>
      </c>
      <c r="T805" s="2">
        <f>S805*23%</f>
        <v>5.5200000000000005</v>
      </c>
      <c r="U805" s="2">
        <f>S805+T805</f>
        <v>29.52</v>
      </c>
      <c r="V805" s="2">
        <f>6.6267*R805</f>
        <v>13.253399999999999</v>
      </c>
      <c r="W805" s="5">
        <f t="shared" si="86"/>
        <v>0.44777500000000003</v>
      </c>
      <c r="Y805" s="2" t="s">
        <v>3256</v>
      </c>
      <c r="Z805" s="2" t="s">
        <v>46</v>
      </c>
      <c r="AA805" s="2" t="s">
        <v>47</v>
      </c>
      <c r="AB805" s="2" t="s">
        <v>48</v>
      </c>
      <c r="AE805" s="2">
        <f t="shared" si="81"/>
        <v>0</v>
      </c>
      <c r="AF805" s="2">
        <v>6.6266999999999996</v>
      </c>
      <c r="AG805" s="2">
        <v>12</v>
      </c>
      <c r="AI805" s="2">
        <f t="shared" si="82"/>
        <v>0</v>
      </c>
      <c r="AJ805" s="2">
        <f t="shared" si="83"/>
        <v>10.746600000000001</v>
      </c>
      <c r="AK805" s="5">
        <f t="shared" si="85"/>
        <v>0.44777500000000003</v>
      </c>
    </row>
    <row r="806" spans="1:37" x14ac:dyDescent="0.2">
      <c r="A806" s="2">
        <v>2025</v>
      </c>
      <c r="B806" s="2">
        <v>4</v>
      </c>
      <c r="C806" s="2" t="s">
        <v>1211</v>
      </c>
      <c r="D806" s="2" t="s">
        <v>38</v>
      </c>
      <c r="E806" s="2" t="s">
        <v>39</v>
      </c>
      <c r="F806" s="2">
        <v>507181522</v>
      </c>
      <c r="G806" s="2" t="s">
        <v>291</v>
      </c>
      <c r="H806" s="2" t="s">
        <v>1212</v>
      </c>
      <c r="I806" s="2" t="s">
        <v>1213</v>
      </c>
      <c r="J806" s="2">
        <v>913806033</v>
      </c>
      <c r="K806" s="2" t="s">
        <v>294</v>
      </c>
      <c r="O806" s="2" t="s">
        <v>43</v>
      </c>
      <c r="P806" s="2" t="s">
        <v>51</v>
      </c>
      <c r="Q806" s="2" t="s">
        <v>52</v>
      </c>
      <c r="R806" s="2">
        <v>1</v>
      </c>
      <c r="S806" s="2">
        <v>16.8</v>
      </c>
      <c r="T806" s="2">
        <f>S806*23%</f>
        <v>3.8640000000000003</v>
      </c>
      <c r="U806" s="2">
        <f>S806+T806</f>
        <v>20.664000000000001</v>
      </c>
      <c r="V806" s="2">
        <f>10.2346*R806</f>
        <v>10.2346</v>
      </c>
      <c r="W806" s="5">
        <f t="shared" si="86"/>
        <v>0.39079761904761906</v>
      </c>
      <c r="Y806" s="2" t="s">
        <v>3256</v>
      </c>
      <c r="Z806" s="2" t="s">
        <v>46</v>
      </c>
      <c r="AA806" s="2" t="s">
        <v>47</v>
      </c>
      <c r="AB806" s="2" t="s">
        <v>48</v>
      </c>
      <c r="AE806" s="2">
        <f t="shared" si="81"/>
        <v>0</v>
      </c>
      <c r="AF806" s="2">
        <v>10.2346</v>
      </c>
      <c r="AG806" s="2">
        <v>18</v>
      </c>
      <c r="AI806" s="2">
        <f t="shared" si="82"/>
        <v>0</v>
      </c>
      <c r="AJ806" s="2">
        <f t="shared" si="83"/>
        <v>6.5654000000000003</v>
      </c>
      <c r="AK806" s="5">
        <f t="shared" si="85"/>
        <v>0.39079761904761906</v>
      </c>
    </row>
    <row r="807" spans="1:37" x14ac:dyDescent="0.2">
      <c r="A807" s="2">
        <v>2025</v>
      </c>
      <c r="B807" s="2">
        <v>4</v>
      </c>
      <c r="C807" s="2" t="s">
        <v>1211</v>
      </c>
      <c r="D807" s="2" t="s">
        <v>38</v>
      </c>
      <c r="E807" s="2" t="s">
        <v>39</v>
      </c>
      <c r="F807" s="2">
        <v>507181522</v>
      </c>
      <c r="G807" s="2" t="s">
        <v>291</v>
      </c>
      <c r="H807" s="2" t="s">
        <v>1212</v>
      </c>
      <c r="I807" s="2" t="s">
        <v>1213</v>
      </c>
      <c r="J807" s="2">
        <v>913806033</v>
      </c>
      <c r="K807" s="2" t="s">
        <v>294</v>
      </c>
      <c r="O807" s="2" t="s">
        <v>43</v>
      </c>
      <c r="P807" s="2" t="s">
        <v>161</v>
      </c>
      <c r="Q807" s="2" t="s">
        <v>162</v>
      </c>
      <c r="R807" s="2">
        <v>1</v>
      </c>
      <c r="S807" s="2">
        <v>7.8</v>
      </c>
      <c r="T807" s="2">
        <v>1.794</v>
      </c>
      <c r="U807" s="2">
        <v>9.5939999999999994</v>
      </c>
      <c r="V807" s="2">
        <f>3.7358*R807</f>
        <v>3.7357999999999998</v>
      </c>
      <c r="W807" s="5">
        <f t="shared" si="86"/>
        <v>0.52105128205128204</v>
      </c>
      <c r="Y807" s="2" t="s">
        <v>3256</v>
      </c>
      <c r="Z807" s="2" t="s">
        <v>46</v>
      </c>
      <c r="AA807" s="2" t="s">
        <v>47</v>
      </c>
      <c r="AB807" s="2" t="s">
        <v>48</v>
      </c>
      <c r="AE807" s="2">
        <f t="shared" si="81"/>
        <v>0</v>
      </c>
      <c r="AF807" s="2">
        <v>3.7357999999999998</v>
      </c>
      <c r="AG807" s="2">
        <v>9</v>
      </c>
      <c r="AI807" s="2">
        <f t="shared" si="82"/>
        <v>0</v>
      </c>
      <c r="AJ807" s="2">
        <f t="shared" si="83"/>
        <v>4.0641999999999996</v>
      </c>
      <c r="AK807" s="5">
        <f t="shared" si="85"/>
        <v>0.52105128205128204</v>
      </c>
    </row>
    <row r="808" spans="1:37" x14ac:dyDescent="0.2">
      <c r="A808" s="2">
        <v>2025</v>
      </c>
      <c r="B808" s="2">
        <v>4</v>
      </c>
      <c r="C808" s="2" t="s">
        <v>1211</v>
      </c>
      <c r="D808" s="2" t="s">
        <v>38</v>
      </c>
      <c r="E808" s="2" t="s">
        <v>39</v>
      </c>
      <c r="F808" s="2">
        <v>507181522</v>
      </c>
      <c r="G808" s="2" t="s">
        <v>291</v>
      </c>
      <c r="H808" s="2" t="s">
        <v>1212</v>
      </c>
      <c r="I808" s="2" t="s">
        <v>1213</v>
      </c>
      <c r="J808" s="2">
        <v>913806033</v>
      </c>
      <c r="K808" s="2" t="s">
        <v>294</v>
      </c>
      <c r="O808" s="2" t="s">
        <v>167</v>
      </c>
      <c r="P808" s="2" t="s">
        <v>1055</v>
      </c>
      <c r="Q808" s="2" t="s">
        <v>1056</v>
      </c>
      <c r="R808" s="2">
        <v>20</v>
      </c>
      <c r="S808" s="2">
        <v>42</v>
      </c>
      <c r="W808" s="5">
        <f t="shared" si="86"/>
        <v>1</v>
      </c>
      <c r="Y808" s="2" t="s">
        <v>3256</v>
      </c>
      <c r="Z808" s="2" t="s">
        <v>88</v>
      </c>
      <c r="AA808" s="2" t="s">
        <v>120</v>
      </c>
      <c r="AB808" s="2" t="s">
        <v>167</v>
      </c>
      <c r="AE808" s="2">
        <f t="shared" si="81"/>
        <v>0</v>
      </c>
      <c r="AI808" s="2">
        <f t="shared" si="82"/>
        <v>0</v>
      </c>
      <c r="AJ808" s="2">
        <f t="shared" si="83"/>
        <v>42</v>
      </c>
      <c r="AK808" s="5">
        <f t="shared" si="85"/>
        <v>1</v>
      </c>
    </row>
    <row r="809" spans="1:37" x14ac:dyDescent="0.2">
      <c r="A809" s="2">
        <v>2025</v>
      </c>
      <c r="B809" s="2">
        <v>4</v>
      </c>
      <c r="C809" s="2" t="s">
        <v>1211</v>
      </c>
      <c r="D809" s="2" t="s">
        <v>38</v>
      </c>
      <c r="E809" s="2" t="s">
        <v>39</v>
      </c>
      <c r="F809" s="2">
        <v>507181522</v>
      </c>
      <c r="G809" s="2" t="s">
        <v>291</v>
      </c>
      <c r="H809" s="2" t="s">
        <v>1212</v>
      </c>
      <c r="I809" s="2" t="s">
        <v>1213</v>
      </c>
      <c r="J809" s="2">
        <v>913806033</v>
      </c>
      <c r="K809" s="2" t="s">
        <v>294</v>
      </c>
      <c r="O809" s="2" t="s">
        <v>167</v>
      </c>
      <c r="P809" s="2" t="s">
        <v>1216</v>
      </c>
      <c r="Q809" s="2" t="s">
        <v>1217</v>
      </c>
      <c r="R809" s="2">
        <v>15</v>
      </c>
      <c r="S809" s="2">
        <v>49.5</v>
      </c>
      <c r="W809" s="5">
        <f t="shared" si="86"/>
        <v>1</v>
      </c>
      <c r="Y809" s="2" t="s">
        <v>3256</v>
      </c>
      <c r="Z809" s="2" t="s">
        <v>88</v>
      </c>
      <c r="AA809" s="2" t="s">
        <v>61</v>
      </c>
      <c r="AB809" s="2" t="s">
        <v>167</v>
      </c>
      <c r="AE809" s="2">
        <f t="shared" si="81"/>
        <v>0</v>
      </c>
      <c r="AI809" s="2">
        <f t="shared" si="82"/>
        <v>0</v>
      </c>
      <c r="AJ809" s="2">
        <f t="shared" si="83"/>
        <v>49.5</v>
      </c>
      <c r="AK809" s="5">
        <f t="shared" si="85"/>
        <v>1</v>
      </c>
    </row>
    <row r="810" spans="1:37" x14ac:dyDescent="0.2">
      <c r="A810" s="2">
        <v>2025</v>
      </c>
      <c r="B810" s="2">
        <v>4</v>
      </c>
      <c r="C810" s="2" t="s">
        <v>1211</v>
      </c>
      <c r="D810" s="2" t="s">
        <v>38</v>
      </c>
      <c r="E810" s="2" t="s">
        <v>39</v>
      </c>
      <c r="F810" s="2">
        <v>507181522</v>
      </c>
      <c r="G810" s="2" t="s">
        <v>291</v>
      </c>
      <c r="H810" s="2" t="s">
        <v>1212</v>
      </c>
      <c r="I810" s="2" t="s">
        <v>1213</v>
      </c>
      <c r="J810" s="2">
        <v>913806033</v>
      </c>
      <c r="K810" s="2" t="s">
        <v>294</v>
      </c>
      <c r="O810" s="2" t="s">
        <v>85</v>
      </c>
      <c r="P810" s="2" t="s">
        <v>1218</v>
      </c>
      <c r="Q810" s="2" t="s">
        <v>1219</v>
      </c>
      <c r="R810" s="2">
        <v>15</v>
      </c>
      <c r="S810" s="2">
        <v>44.1</v>
      </c>
      <c r="W810" s="5">
        <f t="shared" si="86"/>
        <v>1</v>
      </c>
      <c r="Y810" s="2" t="s">
        <v>3256</v>
      </c>
      <c r="Z810" s="2" t="s">
        <v>88</v>
      </c>
      <c r="AA810" s="2" t="s">
        <v>61</v>
      </c>
      <c r="AB810" s="2" t="s">
        <v>85</v>
      </c>
      <c r="AE810" s="2">
        <f t="shared" si="81"/>
        <v>0</v>
      </c>
      <c r="AI810" s="2">
        <f t="shared" si="82"/>
        <v>0</v>
      </c>
      <c r="AJ810" s="2">
        <f t="shared" si="83"/>
        <v>44.1</v>
      </c>
      <c r="AK810" s="5">
        <f t="shared" si="85"/>
        <v>1</v>
      </c>
    </row>
    <row r="811" spans="1:37" x14ac:dyDescent="0.2">
      <c r="A811" s="2">
        <v>2025</v>
      </c>
      <c r="B811" s="2">
        <v>4</v>
      </c>
      <c r="C811" s="2" t="s">
        <v>1211</v>
      </c>
      <c r="D811" s="2" t="s">
        <v>38</v>
      </c>
      <c r="E811" s="2" t="s">
        <v>39</v>
      </c>
      <c r="F811" s="2">
        <v>507181522</v>
      </c>
      <c r="G811" s="2" t="s">
        <v>291</v>
      </c>
      <c r="H811" s="2" t="s">
        <v>1212</v>
      </c>
      <c r="I811" s="2" t="s">
        <v>1213</v>
      </c>
      <c r="J811" s="2">
        <v>913806033</v>
      </c>
      <c r="K811" s="2" t="s">
        <v>294</v>
      </c>
      <c r="O811" s="2" t="s">
        <v>85</v>
      </c>
      <c r="P811" s="2" t="s">
        <v>1220</v>
      </c>
      <c r="Q811" s="2" t="s">
        <v>1221</v>
      </c>
      <c r="R811" s="2">
        <v>1</v>
      </c>
      <c r="S811" s="2">
        <v>12</v>
      </c>
      <c r="T811" s="2">
        <v>2.76</v>
      </c>
      <c r="U811" s="2">
        <v>14.76</v>
      </c>
      <c r="W811" s="5">
        <f t="shared" si="86"/>
        <v>1</v>
      </c>
      <c r="Y811" s="2" t="s">
        <v>3256</v>
      </c>
      <c r="Z811" s="2" t="s">
        <v>88</v>
      </c>
      <c r="AA811" s="2" t="s">
        <v>91</v>
      </c>
      <c r="AB811" s="2" t="s">
        <v>85</v>
      </c>
      <c r="AE811" s="2">
        <f t="shared" si="81"/>
        <v>0</v>
      </c>
      <c r="AI811" s="2">
        <f t="shared" si="82"/>
        <v>0</v>
      </c>
      <c r="AJ811" s="2">
        <f t="shared" si="83"/>
        <v>12</v>
      </c>
      <c r="AK811" s="5">
        <f t="shared" si="85"/>
        <v>1</v>
      </c>
    </row>
    <row r="812" spans="1:37" x14ac:dyDescent="0.2">
      <c r="A812" s="2">
        <v>2025</v>
      </c>
      <c r="B812" s="2">
        <v>4</v>
      </c>
      <c r="C812" s="2" t="s">
        <v>1211</v>
      </c>
      <c r="D812" s="2" t="s">
        <v>38</v>
      </c>
      <c r="E812" s="2" t="s">
        <v>39</v>
      </c>
      <c r="F812" s="2">
        <v>507181522</v>
      </c>
      <c r="G812" s="2" t="s">
        <v>291</v>
      </c>
      <c r="H812" s="2" t="s">
        <v>1212</v>
      </c>
      <c r="I812" s="2" t="s">
        <v>1213</v>
      </c>
      <c r="J812" s="2">
        <v>913806033</v>
      </c>
      <c r="K812" s="2" t="s">
        <v>294</v>
      </c>
      <c r="O812" s="2" t="s">
        <v>85</v>
      </c>
      <c r="P812" s="2" t="s">
        <v>271</v>
      </c>
      <c r="Q812" s="2" t="s">
        <v>272</v>
      </c>
      <c r="R812" s="2">
        <v>1</v>
      </c>
      <c r="S812" s="2">
        <v>10.199999999999999</v>
      </c>
      <c r="T812" s="2">
        <v>2.3460000000000001</v>
      </c>
      <c r="U812" s="2">
        <v>12.545999999999999</v>
      </c>
      <c r="V812" s="2">
        <v>6.86</v>
      </c>
      <c r="W812" s="5">
        <f t="shared" si="86"/>
        <v>0.32745098039215681</v>
      </c>
      <c r="Y812" s="2" t="s">
        <v>3256</v>
      </c>
      <c r="Z812" s="2" t="s">
        <v>88</v>
      </c>
      <c r="AA812" s="2" t="s">
        <v>91</v>
      </c>
      <c r="AB812" s="2" t="s">
        <v>85</v>
      </c>
      <c r="AE812" s="2">
        <f t="shared" si="81"/>
        <v>0</v>
      </c>
      <c r="AI812" s="2">
        <f t="shared" si="82"/>
        <v>0</v>
      </c>
      <c r="AJ812" s="2">
        <f t="shared" si="83"/>
        <v>3.339999999999999</v>
      </c>
      <c r="AK812" s="5">
        <f t="shared" si="85"/>
        <v>0.32745098039215681</v>
      </c>
    </row>
    <row r="813" spans="1:37" x14ac:dyDescent="0.2">
      <c r="A813" s="2">
        <v>2025</v>
      </c>
      <c r="B813" s="2">
        <v>4</v>
      </c>
      <c r="C813" s="2" t="s">
        <v>999</v>
      </c>
      <c r="D813" s="2" t="s">
        <v>38</v>
      </c>
      <c r="E813" s="2" t="s">
        <v>39</v>
      </c>
      <c r="F813" s="2">
        <v>513796878</v>
      </c>
      <c r="G813" s="2" t="s">
        <v>40</v>
      </c>
      <c r="H813" s="2" t="s">
        <v>1000</v>
      </c>
      <c r="I813" s="2" t="s">
        <v>1001</v>
      </c>
      <c r="J813" s="2">
        <v>964159861</v>
      </c>
      <c r="K813" s="2" t="s">
        <v>202</v>
      </c>
      <c r="L813" s="2" t="s">
        <v>81</v>
      </c>
      <c r="N813" s="2" t="s">
        <v>1222</v>
      </c>
      <c r="O813" s="2" t="s">
        <v>73</v>
      </c>
      <c r="P813" s="2" t="s">
        <v>561</v>
      </c>
      <c r="Q813" s="2" t="s">
        <v>308</v>
      </c>
      <c r="R813" s="2">
        <v>1</v>
      </c>
      <c r="S813" s="2">
        <v>218.37</v>
      </c>
      <c r="T813" s="2">
        <v>50.225099999999998</v>
      </c>
      <c r="U813" s="2">
        <v>268.5951</v>
      </c>
      <c r="V813" s="2">
        <v>122.446</v>
      </c>
      <c r="W813" s="5">
        <f t="shared" si="86"/>
        <v>0.43927279388194351</v>
      </c>
      <c r="Y813" s="2" t="s">
        <v>3256</v>
      </c>
      <c r="Z813" s="2" t="s">
        <v>76</v>
      </c>
      <c r="AA813" s="2" t="s">
        <v>77</v>
      </c>
      <c r="AB813" s="2" t="s">
        <v>78</v>
      </c>
      <c r="AE813" s="2">
        <f t="shared" si="81"/>
        <v>0</v>
      </c>
      <c r="AF813" s="2">
        <v>122.446</v>
      </c>
      <c r="AG813" s="2">
        <v>230</v>
      </c>
      <c r="AI813" s="2">
        <f t="shared" si="82"/>
        <v>0</v>
      </c>
      <c r="AJ813" s="2">
        <f t="shared" si="83"/>
        <v>95.924000000000007</v>
      </c>
      <c r="AK813" s="5">
        <f t="shared" si="85"/>
        <v>0.43927279388194351</v>
      </c>
    </row>
    <row r="814" spans="1:37" x14ac:dyDescent="0.2">
      <c r="A814" s="2">
        <v>2025</v>
      </c>
      <c r="B814" s="2">
        <v>4</v>
      </c>
      <c r="C814" s="2" t="s">
        <v>999</v>
      </c>
      <c r="D814" s="2" t="s">
        <v>38</v>
      </c>
      <c r="E814" s="2" t="s">
        <v>39</v>
      </c>
      <c r="F814" s="2">
        <v>513796878</v>
      </c>
      <c r="G814" s="2" t="s">
        <v>40</v>
      </c>
      <c r="H814" s="2" t="s">
        <v>1000</v>
      </c>
      <c r="I814" s="2" t="s">
        <v>1001</v>
      </c>
      <c r="J814" s="2">
        <v>964159861</v>
      </c>
      <c r="K814" s="2" t="s">
        <v>202</v>
      </c>
      <c r="L814" s="2" t="s">
        <v>81</v>
      </c>
      <c r="N814" s="2" t="s">
        <v>1222</v>
      </c>
      <c r="O814" s="2" t="s">
        <v>94</v>
      </c>
      <c r="P814" s="2" t="s">
        <v>95</v>
      </c>
      <c r="Q814" s="2" t="s">
        <v>96</v>
      </c>
      <c r="R814" s="2">
        <v>1</v>
      </c>
      <c r="S814" s="2">
        <v>1.1399999999999999</v>
      </c>
      <c r="T814" s="2">
        <v>0.26219999999999999</v>
      </c>
      <c r="U814" s="2">
        <v>1.4021999999999999</v>
      </c>
      <c r="V814" s="2">
        <v>1.1399999999999999</v>
      </c>
      <c r="W814" s="5">
        <f t="shared" si="86"/>
        <v>0</v>
      </c>
      <c r="Y814" s="2" t="s">
        <v>3256</v>
      </c>
      <c r="Z814" s="2" t="s">
        <v>97</v>
      </c>
      <c r="AA814" s="2" t="s">
        <v>77</v>
      </c>
      <c r="AB814" s="2" t="s">
        <v>94</v>
      </c>
      <c r="AE814" s="2">
        <f t="shared" si="81"/>
        <v>0</v>
      </c>
      <c r="AF814" s="2">
        <v>1.1399999999999999</v>
      </c>
      <c r="AG814" s="2">
        <v>1.1399999999999999</v>
      </c>
      <c r="AI814" s="2">
        <f t="shared" si="82"/>
        <v>0</v>
      </c>
      <c r="AJ814" s="2">
        <f t="shared" si="83"/>
        <v>0</v>
      </c>
      <c r="AK814" s="5">
        <f t="shared" si="85"/>
        <v>0</v>
      </c>
    </row>
    <row r="815" spans="1:37" x14ac:dyDescent="0.2">
      <c r="A815" s="2">
        <v>2025</v>
      </c>
      <c r="B815" s="2">
        <v>4</v>
      </c>
      <c r="C815" s="2" t="s">
        <v>755</v>
      </c>
      <c r="D815" s="2" t="s">
        <v>109</v>
      </c>
      <c r="E815" s="2" t="s">
        <v>39</v>
      </c>
      <c r="F815" s="2">
        <v>510039537</v>
      </c>
      <c r="G815" s="2" t="s">
        <v>40</v>
      </c>
      <c r="H815" s="2" t="s">
        <v>576</v>
      </c>
      <c r="I815" s="2" t="s">
        <v>756</v>
      </c>
      <c r="J815" s="2">
        <v>969042927</v>
      </c>
      <c r="K815" s="2" t="s">
        <v>576</v>
      </c>
      <c r="O815" s="2" t="s">
        <v>115</v>
      </c>
      <c r="P815" s="2" t="s">
        <v>1223</v>
      </c>
      <c r="Q815" s="2" t="s">
        <v>1224</v>
      </c>
      <c r="R815" s="2">
        <v>1</v>
      </c>
      <c r="S815" s="2">
        <v>49.71</v>
      </c>
      <c r="W815" s="5">
        <f t="shared" si="86"/>
        <v>1</v>
      </c>
      <c r="Y815" s="2" t="s">
        <v>118</v>
      </c>
      <c r="AE815" s="2">
        <f t="shared" si="81"/>
        <v>0</v>
      </c>
      <c r="AI815" s="2">
        <f t="shared" si="82"/>
        <v>0</v>
      </c>
      <c r="AJ815" s="2">
        <f t="shared" si="83"/>
        <v>49.71</v>
      </c>
      <c r="AK815" s="5">
        <f t="shared" si="85"/>
        <v>1</v>
      </c>
    </row>
    <row r="816" spans="1:37" x14ac:dyDescent="0.2">
      <c r="A816" s="2">
        <v>2025</v>
      </c>
      <c r="B816" s="2">
        <v>4</v>
      </c>
      <c r="C816" s="2" t="s">
        <v>755</v>
      </c>
      <c r="D816" s="2" t="s">
        <v>109</v>
      </c>
      <c r="E816" s="2" t="s">
        <v>39</v>
      </c>
      <c r="F816" s="2">
        <v>510039537</v>
      </c>
      <c r="G816" s="2" t="s">
        <v>40</v>
      </c>
      <c r="H816" s="2" t="s">
        <v>576</v>
      </c>
      <c r="I816" s="2" t="s">
        <v>756</v>
      </c>
      <c r="J816" s="2">
        <v>969042927</v>
      </c>
      <c r="K816" s="2" t="s">
        <v>576</v>
      </c>
      <c r="L816" s="2" t="s">
        <v>40</v>
      </c>
      <c r="O816" s="2" t="s">
        <v>188</v>
      </c>
      <c r="P816" s="2" t="s">
        <v>189</v>
      </c>
      <c r="Q816" s="2" t="s">
        <v>190</v>
      </c>
      <c r="R816" s="2">
        <v>1</v>
      </c>
      <c r="S816" s="2">
        <v>184</v>
      </c>
      <c r="T816" s="2">
        <v>42.32</v>
      </c>
      <c r="U816" s="2">
        <v>226.32</v>
      </c>
      <c r="W816" s="5">
        <f t="shared" si="86"/>
        <v>1</v>
      </c>
      <c r="Y816" s="2" t="s">
        <v>118</v>
      </c>
      <c r="Z816" s="2" t="s">
        <v>191</v>
      </c>
      <c r="AE816" s="2">
        <f t="shared" si="81"/>
        <v>0</v>
      </c>
      <c r="AI816" s="2">
        <f t="shared" si="82"/>
        <v>0</v>
      </c>
      <c r="AJ816" s="2">
        <f t="shared" si="83"/>
        <v>184</v>
      </c>
      <c r="AK816" s="5">
        <f t="shared" si="85"/>
        <v>1</v>
      </c>
    </row>
    <row r="817" spans="1:37" x14ac:dyDescent="0.2">
      <c r="A817" s="2">
        <v>2025</v>
      </c>
      <c r="B817" s="2">
        <v>4</v>
      </c>
      <c r="C817" s="2" t="s">
        <v>755</v>
      </c>
      <c r="D817" s="2" t="s">
        <v>109</v>
      </c>
      <c r="E817" s="2" t="s">
        <v>39</v>
      </c>
      <c r="F817" s="2">
        <v>510039537</v>
      </c>
      <c r="G817" s="2" t="s">
        <v>40</v>
      </c>
      <c r="H817" s="2" t="s">
        <v>576</v>
      </c>
      <c r="I817" s="2" t="s">
        <v>756</v>
      </c>
      <c r="J817" s="2">
        <v>969042927</v>
      </c>
      <c r="K817" s="2" t="s">
        <v>576</v>
      </c>
      <c r="L817" s="2" t="s">
        <v>40</v>
      </c>
      <c r="O817" s="2" t="s">
        <v>188</v>
      </c>
      <c r="P817" s="2" t="s">
        <v>192</v>
      </c>
      <c r="Q817" s="2" t="s">
        <v>191</v>
      </c>
      <c r="R817" s="2">
        <v>1</v>
      </c>
      <c r="S817" s="2">
        <v>50</v>
      </c>
      <c r="T817" s="2">
        <v>11.5</v>
      </c>
      <c r="U817" s="2">
        <v>61.5</v>
      </c>
      <c r="V817" s="2">
        <f>S817*50%</f>
        <v>25</v>
      </c>
      <c r="W817" s="5">
        <f t="shared" si="86"/>
        <v>0.5</v>
      </c>
      <c r="Y817" s="2" t="s">
        <v>118</v>
      </c>
      <c r="Z817" s="2" t="s">
        <v>191</v>
      </c>
      <c r="AE817" s="2">
        <f t="shared" si="81"/>
        <v>0</v>
      </c>
      <c r="AI817" s="2">
        <f t="shared" si="82"/>
        <v>0</v>
      </c>
      <c r="AJ817" s="2">
        <f t="shared" si="83"/>
        <v>25</v>
      </c>
      <c r="AK817" s="5">
        <f t="shared" si="85"/>
        <v>0.5</v>
      </c>
    </row>
    <row r="818" spans="1:37" x14ac:dyDescent="0.2">
      <c r="A818" s="2">
        <v>2025</v>
      </c>
      <c r="B818" s="2">
        <v>4</v>
      </c>
      <c r="C818" s="2" t="s">
        <v>1225</v>
      </c>
      <c r="D818" s="2" t="s">
        <v>758</v>
      </c>
      <c r="E818" s="2" t="s">
        <v>1226</v>
      </c>
      <c r="F818" s="2">
        <v>505181983</v>
      </c>
      <c r="G818" s="2" t="s">
        <v>110</v>
      </c>
      <c r="H818" s="2" t="s">
        <v>1227</v>
      </c>
      <c r="I818" s="2" t="s">
        <v>1228</v>
      </c>
      <c r="K818" s="2" t="s">
        <v>113</v>
      </c>
      <c r="L818" s="2" t="s">
        <v>81</v>
      </c>
      <c r="N818" s="2" t="s">
        <v>1229</v>
      </c>
      <c r="O818" s="2" t="s">
        <v>43</v>
      </c>
      <c r="P818" s="2" t="s">
        <v>49</v>
      </c>
      <c r="Q818" s="2" t="s">
        <v>50</v>
      </c>
      <c r="R818" s="2">
        <v>3</v>
      </c>
      <c r="S818" s="2">
        <v>36</v>
      </c>
      <c r="T818" s="2">
        <f>S818*23%</f>
        <v>8.2800000000000011</v>
      </c>
      <c r="U818" s="2">
        <f>S818+T818</f>
        <v>44.28</v>
      </c>
      <c r="V818" s="2">
        <f>6.6267*R818</f>
        <v>19.880099999999999</v>
      </c>
      <c r="W818" s="5">
        <f t="shared" si="86"/>
        <v>0.44777500000000003</v>
      </c>
      <c r="Y818" s="2" t="s">
        <v>3256</v>
      </c>
      <c r="Z818" s="2" t="s">
        <v>46</v>
      </c>
      <c r="AA818" s="2" t="s">
        <v>47</v>
      </c>
      <c r="AB818" s="2" t="s">
        <v>48</v>
      </c>
      <c r="AE818" s="2">
        <f t="shared" si="81"/>
        <v>0</v>
      </c>
      <c r="AF818" s="2">
        <v>6.6266999999999996</v>
      </c>
      <c r="AG818" s="2">
        <v>12</v>
      </c>
      <c r="AI818" s="2">
        <f t="shared" si="82"/>
        <v>0</v>
      </c>
      <c r="AJ818" s="2">
        <f t="shared" si="83"/>
        <v>16.119900000000001</v>
      </c>
      <c r="AK818" s="5">
        <f t="shared" si="85"/>
        <v>0.44777500000000003</v>
      </c>
    </row>
    <row r="819" spans="1:37" x14ac:dyDescent="0.2">
      <c r="A819" s="2">
        <v>2025</v>
      </c>
      <c r="B819" s="2">
        <v>4</v>
      </c>
      <c r="C819" s="2" t="s">
        <v>1225</v>
      </c>
      <c r="D819" s="2" t="s">
        <v>758</v>
      </c>
      <c r="E819" s="2" t="s">
        <v>1226</v>
      </c>
      <c r="F819" s="2">
        <v>505181983</v>
      </c>
      <c r="G819" s="2" t="s">
        <v>110</v>
      </c>
      <c r="H819" s="2" t="s">
        <v>1227</v>
      </c>
      <c r="I819" s="2" t="s">
        <v>1228</v>
      </c>
      <c r="K819" s="2" t="s">
        <v>113</v>
      </c>
      <c r="L819" s="2" t="s">
        <v>81</v>
      </c>
      <c r="N819" s="2" t="s">
        <v>1229</v>
      </c>
      <c r="O819" s="2" t="s">
        <v>43</v>
      </c>
      <c r="P819" s="2" t="s">
        <v>53</v>
      </c>
      <c r="Q819" s="2" t="s">
        <v>54</v>
      </c>
      <c r="R819" s="2">
        <v>1</v>
      </c>
      <c r="S819" s="2">
        <v>9.6</v>
      </c>
      <c r="V819" s="2">
        <f>5.2973*R819</f>
        <v>5.2972999999999999</v>
      </c>
      <c r="W819" s="5">
        <f t="shared" si="86"/>
        <v>0.44819791666666664</v>
      </c>
      <c r="Y819" s="2" t="s">
        <v>3256</v>
      </c>
      <c r="Z819" s="2" t="s">
        <v>46</v>
      </c>
      <c r="AA819" s="2" t="s">
        <v>47</v>
      </c>
      <c r="AB819" s="2" t="s">
        <v>48</v>
      </c>
      <c r="AE819" s="2">
        <f t="shared" si="81"/>
        <v>0</v>
      </c>
      <c r="AF819" s="2">
        <v>5.2972999999999999</v>
      </c>
      <c r="AG819" s="2">
        <v>10.8</v>
      </c>
      <c r="AI819" s="2">
        <f t="shared" si="82"/>
        <v>0</v>
      </c>
      <c r="AJ819" s="2">
        <f t="shared" si="83"/>
        <v>4.3026999999999997</v>
      </c>
      <c r="AK819" s="5">
        <f t="shared" si="85"/>
        <v>0.44819791666666664</v>
      </c>
    </row>
    <row r="820" spans="1:37" x14ac:dyDescent="0.2">
      <c r="A820" s="2">
        <v>2025</v>
      </c>
      <c r="B820" s="2">
        <v>4</v>
      </c>
      <c r="C820" s="2" t="s">
        <v>1225</v>
      </c>
      <c r="D820" s="2" t="s">
        <v>758</v>
      </c>
      <c r="E820" s="2" t="s">
        <v>1226</v>
      </c>
      <c r="F820" s="2">
        <v>505181983</v>
      </c>
      <c r="G820" s="2" t="s">
        <v>110</v>
      </c>
      <c r="H820" s="2" t="s">
        <v>1227</v>
      </c>
      <c r="I820" s="2" t="s">
        <v>1228</v>
      </c>
      <c r="K820" s="2" t="s">
        <v>113</v>
      </c>
      <c r="L820" s="2" t="s">
        <v>81</v>
      </c>
      <c r="N820" s="2" t="s">
        <v>1229</v>
      </c>
      <c r="O820" s="2" t="s">
        <v>43</v>
      </c>
      <c r="P820" s="2" t="s">
        <v>235</v>
      </c>
      <c r="Q820" s="2" t="s">
        <v>236</v>
      </c>
      <c r="R820" s="2">
        <v>1</v>
      </c>
      <c r="S820" s="2">
        <v>13.2</v>
      </c>
      <c r="T820" s="2">
        <f>S820*23%</f>
        <v>3.036</v>
      </c>
      <c r="U820" s="2">
        <f>S820+T820</f>
        <v>16.236000000000001</v>
      </c>
      <c r="V820" s="2">
        <v>7.2217000000000002</v>
      </c>
      <c r="W820" s="5">
        <f t="shared" si="86"/>
        <v>0.45290151515151511</v>
      </c>
      <c r="Y820" s="2" t="s">
        <v>3256</v>
      </c>
      <c r="Z820" s="2" t="s">
        <v>46</v>
      </c>
      <c r="AA820" s="2" t="s">
        <v>57</v>
      </c>
      <c r="AB820" s="2" t="s">
        <v>58</v>
      </c>
      <c r="AE820" s="2">
        <f t="shared" si="81"/>
        <v>0</v>
      </c>
      <c r="AF820" s="2">
        <v>7.2217000000000002</v>
      </c>
      <c r="AG820" s="2">
        <v>14.4</v>
      </c>
      <c r="AI820" s="2">
        <f t="shared" si="82"/>
        <v>0</v>
      </c>
      <c r="AJ820" s="2">
        <f t="shared" si="83"/>
        <v>5.9782999999999991</v>
      </c>
      <c r="AK820" s="5">
        <f t="shared" si="85"/>
        <v>0.45290151515151511</v>
      </c>
    </row>
    <row r="821" spans="1:37" x14ac:dyDescent="0.2">
      <c r="A821" s="2">
        <v>2025</v>
      </c>
      <c r="B821" s="2">
        <v>4</v>
      </c>
      <c r="C821" s="2" t="s">
        <v>1225</v>
      </c>
      <c r="D821" s="2" t="s">
        <v>758</v>
      </c>
      <c r="E821" s="2" t="s">
        <v>1226</v>
      </c>
      <c r="F821" s="2">
        <v>505181983</v>
      </c>
      <c r="G821" s="2" t="s">
        <v>110</v>
      </c>
      <c r="H821" s="2" t="s">
        <v>1227</v>
      </c>
      <c r="I821" s="2" t="s">
        <v>1228</v>
      </c>
      <c r="K821" s="2" t="s">
        <v>113</v>
      </c>
      <c r="L821" s="2" t="s">
        <v>81</v>
      </c>
      <c r="N821" s="2" t="s">
        <v>1229</v>
      </c>
      <c r="O821" s="2" t="s">
        <v>43</v>
      </c>
      <c r="P821" s="2" t="s">
        <v>55</v>
      </c>
      <c r="Q821" s="2" t="s">
        <v>56</v>
      </c>
      <c r="R821" s="2">
        <v>3</v>
      </c>
      <c r="S821" s="2">
        <v>54</v>
      </c>
      <c r="T821" s="2">
        <f>S821*23%</f>
        <v>12.42</v>
      </c>
      <c r="U821" s="2">
        <f>S821+T821</f>
        <v>66.42</v>
      </c>
      <c r="V821" s="2">
        <f>10.6*R821</f>
        <v>31.799999999999997</v>
      </c>
      <c r="W821" s="5">
        <f t="shared" si="86"/>
        <v>0.41111111111111115</v>
      </c>
      <c r="Y821" s="2" t="s">
        <v>3256</v>
      </c>
      <c r="Z821" s="2" t="s">
        <v>46</v>
      </c>
      <c r="AA821" s="2" t="s">
        <v>57</v>
      </c>
      <c r="AB821" s="2" t="s">
        <v>58</v>
      </c>
      <c r="AE821" s="2">
        <f t="shared" si="81"/>
        <v>0</v>
      </c>
      <c r="AF821" s="2">
        <v>10.6</v>
      </c>
      <c r="AG821" s="2">
        <v>18</v>
      </c>
      <c r="AI821" s="2">
        <f t="shared" si="82"/>
        <v>0</v>
      </c>
      <c r="AJ821" s="2">
        <f t="shared" si="83"/>
        <v>22.200000000000003</v>
      </c>
      <c r="AK821" s="5">
        <f t="shared" si="85"/>
        <v>0.41111111111111115</v>
      </c>
    </row>
    <row r="822" spans="1:37" x14ac:dyDescent="0.2">
      <c r="A822" s="2">
        <v>2025</v>
      </c>
      <c r="B822" s="2">
        <v>4</v>
      </c>
      <c r="C822" s="2" t="s">
        <v>1225</v>
      </c>
      <c r="D822" s="2" t="s">
        <v>758</v>
      </c>
      <c r="E822" s="2" t="s">
        <v>1226</v>
      </c>
      <c r="F822" s="2">
        <v>505181983</v>
      </c>
      <c r="G822" s="2" t="s">
        <v>110</v>
      </c>
      <c r="H822" s="2" t="s">
        <v>1227</v>
      </c>
      <c r="I822" s="2" t="s">
        <v>1228</v>
      </c>
      <c r="K822" s="2" t="s">
        <v>113</v>
      </c>
      <c r="L822" s="2" t="s">
        <v>81</v>
      </c>
      <c r="N822" s="2" t="s">
        <v>1229</v>
      </c>
      <c r="O822" s="2" t="s">
        <v>43</v>
      </c>
      <c r="P822" s="2" t="s">
        <v>62</v>
      </c>
      <c r="Q822" s="2" t="s">
        <v>63</v>
      </c>
      <c r="R822" s="2">
        <v>300</v>
      </c>
      <c r="S822" s="2">
        <v>39</v>
      </c>
      <c r="T822" s="2">
        <f>S822*23%</f>
        <v>8.9700000000000006</v>
      </c>
      <c r="U822" s="2">
        <f>S822+T822</f>
        <v>47.97</v>
      </c>
      <c r="V822" s="2">
        <f>0.082*R822</f>
        <v>24.6</v>
      </c>
      <c r="W822" s="5">
        <f t="shared" si="86"/>
        <v>0.3692307692307692</v>
      </c>
      <c r="Y822" s="2" t="s">
        <v>3256</v>
      </c>
      <c r="Z822" s="2" t="s">
        <v>46</v>
      </c>
      <c r="AA822" s="2" t="s">
        <v>61</v>
      </c>
      <c r="AB822" s="2" t="s">
        <v>58</v>
      </c>
      <c r="AE822" s="2">
        <f t="shared" si="81"/>
        <v>0</v>
      </c>
      <c r="AF822" s="2">
        <v>8.1999999999999993</v>
      </c>
      <c r="AG822" s="2">
        <v>13</v>
      </c>
      <c r="AI822" s="2">
        <f t="shared" si="82"/>
        <v>0</v>
      </c>
      <c r="AJ822" s="2">
        <f t="shared" si="83"/>
        <v>14.399999999999999</v>
      </c>
      <c r="AK822" s="5">
        <f t="shared" si="85"/>
        <v>0.3692307692307692</v>
      </c>
    </row>
    <row r="823" spans="1:37" x14ac:dyDescent="0.2">
      <c r="A823" s="2">
        <v>2025</v>
      </c>
      <c r="B823" s="2">
        <v>4</v>
      </c>
      <c r="C823" s="2" t="s">
        <v>1225</v>
      </c>
      <c r="D823" s="2" t="s">
        <v>758</v>
      </c>
      <c r="E823" s="2" t="s">
        <v>1226</v>
      </c>
      <c r="F823" s="2">
        <v>505181983</v>
      </c>
      <c r="G823" s="2" t="s">
        <v>110</v>
      </c>
      <c r="H823" s="2" t="s">
        <v>1227</v>
      </c>
      <c r="I823" s="2" t="s">
        <v>1228</v>
      </c>
      <c r="K823" s="2" t="s">
        <v>113</v>
      </c>
      <c r="L823" s="2" t="s">
        <v>81</v>
      </c>
      <c r="N823" s="2" t="s">
        <v>1229</v>
      </c>
      <c r="O823" s="2" t="s">
        <v>43</v>
      </c>
      <c r="P823" s="2" t="s">
        <v>66</v>
      </c>
      <c r="Q823" s="2" t="s">
        <v>67</v>
      </c>
      <c r="R823" s="2">
        <v>2</v>
      </c>
      <c r="S823" s="2">
        <v>43</v>
      </c>
      <c r="T823" s="2">
        <v>73.600000000000009</v>
      </c>
      <c r="U823" s="2">
        <v>393.6</v>
      </c>
      <c r="V823" s="2">
        <f>15.0203*R823</f>
        <v>30.040600000000001</v>
      </c>
      <c r="W823" s="5">
        <f t="shared" si="86"/>
        <v>0.30138139534883718</v>
      </c>
      <c r="Y823" s="2" t="s">
        <v>3256</v>
      </c>
      <c r="Z823" s="2" t="s">
        <v>46</v>
      </c>
      <c r="AA823" s="2" t="s">
        <v>68</v>
      </c>
      <c r="AB823" s="2" t="s">
        <v>58</v>
      </c>
      <c r="AE823" s="2">
        <f t="shared" si="81"/>
        <v>0</v>
      </c>
      <c r="AF823" s="2">
        <v>15.020300000000001</v>
      </c>
      <c r="AG823" s="2">
        <v>27.6</v>
      </c>
      <c r="AI823" s="2">
        <f t="shared" si="82"/>
        <v>0</v>
      </c>
      <c r="AJ823" s="2">
        <f t="shared" si="83"/>
        <v>12.959399999999999</v>
      </c>
      <c r="AK823" s="5">
        <f t="shared" si="85"/>
        <v>0.30138139534883718</v>
      </c>
    </row>
    <row r="824" spans="1:37" x14ac:dyDescent="0.2">
      <c r="A824" s="2">
        <v>2025</v>
      </c>
      <c r="B824" s="2">
        <v>4</v>
      </c>
      <c r="C824" s="2" t="s">
        <v>360</v>
      </c>
      <c r="D824" s="2" t="s">
        <v>109</v>
      </c>
      <c r="E824" s="2" t="s">
        <v>39</v>
      </c>
      <c r="F824" s="2">
        <v>503413909</v>
      </c>
      <c r="G824" s="2" t="s">
        <v>110</v>
      </c>
      <c r="H824" s="2" t="s">
        <v>361</v>
      </c>
      <c r="I824" s="2" t="s">
        <v>362</v>
      </c>
      <c r="K824" s="2" t="s">
        <v>361</v>
      </c>
      <c r="L824" s="2" t="s">
        <v>81</v>
      </c>
      <c r="N824" s="2" t="s">
        <v>1230</v>
      </c>
      <c r="O824" s="2" t="s">
        <v>664</v>
      </c>
      <c r="P824" s="2" t="s">
        <v>1231</v>
      </c>
      <c r="Q824" s="2" t="s">
        <v>1232</v>
      </c>
      <c r="R824" s="2">
        <v>1</v>
      </c>
      <c r="S824" s="2">
        <v>195</v>
      </c>
      <c r="T824" s="2">
        <v>44.85</v>
      </c>
      <c r="U824" s="2">
        <v>239.85</v>
      </c>
      <c r="V824" s="2">
        <v>103.72</v>
      </c>
      <c r="W824" s="5">
        <f t="shared" si="86"/>
        <v>0.46810256410256412</v>
      </c>
      <c r="Y824" s="2" t="s">
        <v>3256</v>
      </c>
      <c r="Z824" s="2" t="s">
        <v>76</v>
      </c>
      <c r="AA824" s="2" t="s">
        <v>77</v>
      </c>
      <c r="AB824" s="2" t="s">
        <v>664</v>
      </c>
      <c r="AE824" s="2">
        <f t="shared" si="81"/>
        <v>0</v>
      </c>
      <c r="AF824" s="2">
        <f>95.4+8.32</f>
        <v>103.72</v>
      </c>
      <c r="AG824" s="2">
        <v>162.84</v>
      </c>
      <c r="AI824" s="2">
        <f t="shared" si="82"/>
        <v>0</v>
      </c>
      <c r="AJ824" s="2">
        <f t="shared" si="83"/>
        <v>91.28</v>
      </c>
      <c r="AK824" s="5">
        <f t="shared" si="85"/>
        <v>0.46810256410256412</v>
      </c>
    </row>
    <row r="825" spans="1:37" x14ac:dyDescent="0.2">
      <c r="A825" s="2">
        <v>2025</v>
      </c>
      <c r="B825" s="2">
        <v>4</v>
      </c>
      <c r="C825" s="2" t="s">
        <v>360</v>
      </c>
      <c r="D825" s="2" t="s">
        <v>109</v>
      </c>
      <c r="E825" s="2" t="s">
        <v>39</v>
      </c>
      <c r="F825" s="2">
        <v>503413909</v>
      </c>
      <c r="G825" s="2" t="s">
        <v>110</v>
      </c>
      <c r="H825" s="2" t="s">
        <v>361</v>
      </c>
      <c r="I825" s="2" t="s">
        <v>362</v>
      </c>
      <c r="K825" s="2" t="s">
        <v>361</v>
      </c>
      <c r="L825" s="2" t="s">
        <v>81</v>
      </c>
      <c r="N825" s="2" t="s">
        <v>1233</v>
      </c>
      <c r="O825" s="2" t="s">
        <v>1047</v>
      </c>
      <c r="P825" s="2" t="s">
        <v>1234</v>
      </c>
      <c r="Q825" s="2" t="s">
        <v>1235</v>
      </c>
      <c r="R825" s="2">
        <v>1</v>
      </c>
      <c r="S825" s="2">
        <v>260</v>
      </c>
      <c r="T825" s="2">
        <v>59.8</v>
      </c>
      <c r="U825" s="2">
        <v>319.8</v>
      </c>
      <c r="V825" s="2">
        <v>137.1</v>
      </c>
      <c r="W825" s="5">
        <f t="shared" si="86"/>
        <v>0.47269230769230769</v>
      </c>
      <c r="Y825" s="2" t="s">
        <v>3256</v>
      </c>
      <c r="Z825" s="2" t="s">
        <v>76</v>
      </c>
      <c r="AA825" s="2" t="s">
        <v>77</v>
      </c>
      <c r="AB825" s="2" t="s">
        <v>1047</v>
      </c>
      <c r="AE825" s="2">
        <f t="shared" si="81"/>
        <v>0</v>
      </c>
      <c r="AF825" s="2">
        <v>137.1</v>
      </c>
      <c r="AG825" s="2">
        <v>260</v>
      </c>
      <c r="AI825" s="2">
        <f t="shared" si="82"/>
        <v>0</v>
      </c>
      <c r="AJ825" s="2">
        <f t="shared" si="83"/>
        <v>122.9</v>
      </c>
      <c r="AK825" s="5">
        <f t="shared" si="85"/>
        <v>0.47269230769230769</v>
      </c>
    </row>
    <row r="826" spans="1:37" x14ac:dyDescent="0.2">
      <c r="A826" s="2">
        <v>2025</v>
      </c>
      <c r="B826" s="2">
        <v>4</v>
      </c>
      <c r="C826" s="2" t="s">
        <v>360</v>
      </c>
      <c r="D826" s="2" t="s">
        <v>109</v>
      </c>
      <c r="E826" s="2" t="s">
        <v>39</v>
      </c>
      <c r="F826" s="2">
        <v>503413909</v>
      </c>
      <c r="G826" s="2" t="s">
        <v>110</v>
      </c>
      <c r="H826" s="2" t="s">
        <v>361</v>
      </c>
      <c r="I826" s="2" t="s">
        <v>362</v>
      </c>
      <c r="K826" s="2" t="s">
        <v>361</v>
      </c>
      <c r="L826" s="2" t="s">
        <v>81</v>
      </c>
      <c r="N826" s="2" t="s">
        <v>1236</v>
      </c>
      <c r="O826" s="2" t="s">
        <v>94</v>
      </c>
      <c r="P826" s="2" t="s">
        <v>95</v>
      </c>
      <c r="Q826" s="2" t="s">
        <v>96</v>
      </c>
      <c r="R826" s="2">
        <v>2</v>
      </c>
      <c r="S826" s="2">
        <v>2.2799999999999998</v>
      </c>
      <c r="T826" s="2">
        <v>0.52439999999999998</v>
      </c>
      <c r="U826" s="2">
        <v>2.8043999999999998</v>
      </c>
      <c r="V826" s="2">
        <v>2.2799999999999998</v>
      </c>
      <c r="W826" s="5">
        <f t="shared" si="86"/>
        <v>0</v>
      </c>
      <c r="Y826" s="2" t="s">
        <v>3256</v>
      </c>
      <c r="Z826" s="2" t="s">
        <v>97</v>
      </c>
      <c r="AA826" s="2" t="s">
        <v>77</v>
      </c>
      <c r="AB826" s="2" t="s">
        <v>94</v>
      </c>
      <c r="AE826" s="2">
        <f t="shared" si="81"/>
        <v>0</v>
      </c>
      <c r="AF826" s="2">
        <v>1.1399999999999999</v>
      </c>
      <c r="AG826" s="2">
        <v>1.1399999999999999</v>
      </c>
      <c r="AI826" s="2">
        <f t="shared" si="82"/>
        <v>0</v>
      </c>
      <c r="AJ826" s="2">
        <f t="shared" si="83"/>
        <v>0</v>
      </c>
      <c r="AK826" s="5">
        <f t="shared" si="85"/>
        <v>0</v>
      </c>
    </row>
    <row r="827" spans="1:37" x14ac:dyDescent="0.2">
      <c r="A827" s="2">
        <v>2025</v>
      </c>
      <c r="B827" s="2">
        <v>4</v>
      </c>
      <c r="C827" s="2" t="s">
        <v>1237</v>
      </c>
      <c r="O827" s="2" t="s">
        <v>102</v>
      </c>
      <c r="P827" s="2" t="s">
        <v>263</v>
      </c>
      <c r="Q827" s="2" t="s">
        <v>264</v>
      </c>
      <c r="R827" s="2">
        <v>1</v>
      </c>
      <c r="S827" s="2">
        <v>11500</v>
      </c>
      <c r="T827" s="2">
        <v>2645</v>
      </c>
      <c r="U827" s="2">
        <v>14145</v>
      </c>
      <c r="W827" s="5">
        <f t="shared" si="86"/>
        <v>1</v>
      </c>
      <c r="Y827" s="2" t="s">
        <v>105</v>
      </c>
      <c r="Z827" s="2" t="s">
        <v>265</v>
      </c>
      <c r="AA827" s="2" t="s">
        <v>266</v>
      </c>
      <c r="AB827" s="2" t="s">
        <v>102</v>
      </c>
      <c r="AE827" s="2">
        <f t="shared" si="81"/>
        <v>0</v>
      </c>
      <c r="AI827" s="2">
        <f t="shared" si="82"/>
        <v>0</v>
      </c>
      <c r="AJ827" s="2">
        <f t="shared" si="83"/>
        <v>11500</v>
      </c>
      <c r="AK827" s="5">
        <f t="shared" si="85"/>
        <v>1</v>
      </c>
    </row>
    <row r="828" spans="1:37" x14ac:dyDescent="0.2">
      <c r="A828" s="2">
        <v>2025</v>
      </c>
      <c r="B828" s="2">
        <v>4</v>
      </c>
      <c r="C828" s="2" t="s">
        <v>1237</v>
      </c>
      <c r="L828" s="2" t="s">
        <v>40</v>
      </c>
      <c r="O828" s="2" t="s">
        <v>40</v>
      </c>
      <c r="P828" s="2" t="s">
        <v>1238</v>
      </c>
      <c r="Q828" s="2" t="s">
        <v>1239</v>
      </c>
      <c r="R828" s="2">
        <v>-1</v>
      </c>
      <c r="S828" s="2">
        <v>-3369.92</v>
      </c>
      <c r="W828" s="5">
        <f t="shared" si="86"/>
        <v>1</v>
      </c>
      <c r="Y828" s="2" t="s">
        <v>120</v>
      </c>
      <c r="AE828" s="2">
        <f t="shared" si="81"/>
        <v>0</v>
      </c>
      <c r="AI828" s="2">
        <f t="shared" si="82"/>
        <v>0</v>
      </c>
      <c r="AJ828" s="2">
        <f t="shared" si="83"/>
        <v>-3369.92</v>
      </c>
      <c r="AK828" s="5">
        <f t="shared" si="85"/>
        <v>1</v>
      </c>
    </row>
    <row r="829" spans="1:37" x14ac:dyDescent="0.2">
      <c r="A829" s="2">
        <v>2025</v>
      </c>
      <c r="B829" s="2">
        <v>4</v>
      </c>
      <c r="C829" s="2" t="s">
        <v>787</v>
      </c>
      <c r="D829" s="2" t="s">
        <v>38</v>
      </c>
      <c r="E829" s="2" t="s">
        <v>39</v>
      </c>
      <c r="F829" s="2">
        <v>510219675</v>
      </c>
      <c r="G829" s="2" t="s">
        <v>40</v>
      </c>
      <c r="H829" s="2" t="s">
        <v>788</v>
      </c>
      <c r="I829" s="2" t="s">
        <v>789</v>
      </c>
      <c r="J829" s="2">
        <v>917341136</v>
      </c>
      <c r="K829" s="2" t="s">
        <v>100</v>
      </c>
      <c r="L829" s="2" t="s">
        <v>81</v>
      </c>
      <c r="N829" s="2" t="s">
        <v>1240</v>
      </c>
      <c r="O829" s="2" t="s">
        <v>43</v>
      </c>
      <c r="P829" s="2" t="s">
        <v>352</v>
      </c>
      <c r="Q829" s="2" t="s">
        <v>353</v>
      </c>
      <c r="R829" s="2">
        <v>1</v>
      </c>
      <c r="S829" s="2">
        <v>18</v>
      </c>
      <c r="T829" s="2">
        <v>4.1400000000000006</v>
      </c>
      <c r="U829" s="2">
        <v>22.14</v>
      </c>
      <c r="V829" s="2">
        <v>10.67</v>
      </c>
      <c r="W829" s="5">
        <f t="shared" si="86"/>
        <v>0.40722222222222221</v>
      </c>
      <c r="Y829" s="2" t="s">
        <v>3256</v>
      </c>
      <c r="Z829" s="2" t="s">
        <v>46</v>
      </c>
      <c r="AA829" s="2" t="s">
        <v>47</v>
      </c>
      <c r="AB829" s="2" t="s">
        <v>48</v>
      </c>
      <c r="AE829" s="2">
        <f t="shared" si="81"/>
        <v>0</v>
      </c>
      <c r="AF829" s="2">
        <v>10.67</v>
      </c>
      <c r="AG829" s="2">
        <v>21</v>
      </c>
      <c r="AI829" s="2">
        <f t="shared" si="82"/>
        <v>0</v>
      </c>
      <c r="AJ829" s="2">
        <f t="shared" si="83"/>
        <v>7.33</v>
      </c>
      <c r="AK829" s="5">
        <f t="shared" si="85"/>
        <v>0.40722222222222221</v>
      </c>
    </row>
    <row r="830" spans="1:37" x14ac:dyDescent="0.2">
      <c r="A830" s="2">
        <v>2025</v>
      </c>
      <c r="B830" s="2">
        <v>4</v>
      </c>
      <c r="C830" s="2" t="s">
        <v>787</v>
      </c>
      <c r="D830" s="2" t="s">
        <v>38</v>
      </c>
      <c r="E830" s="2" t="s">
        <v>39</v>
      </c>
      <c r="F830" s="2">
        <v>510219675</v>
      </c>
      <c r="G830" s="2" t="s">
        <v>40</v>
      </c>
      <c r="H830" s="2" t="s">
        <v>788</v>
      </c>
      <c r="I830" s="2" t="s">
        <v>789</v>
      </c>
      <c r="J830" s="2">
        <v>917341136</v>
      </c>
      <c r="K830" s="2" t="s">
        <v>100</v>
      </c>
      <c r="O830" s="2" t="s">
        <v>43</v>
      </c>
      <c r="P830" s="2" t="s">
        <v>864</v>
      </c>
      <c r="Q830" s="2" t="s">
        <v>865</v>
      </c>
      <c r="R830" s="2">
        <v>1</v>
      </c>
      <c r="S830" s="2">
        <v>18</v>
      </c>
      <c r="T830" s="2">
        <v>4.1400000000000006</v>
      </c>
      <c r="U830" s="2">
        <v>22.14</v>
      </c>
      <c r="W830" s="5">
        <f t="shared" si="86"/>
        <v>1</v>
      </c>
      <c r="Y830" s="2" t="s">
        <v>3256</v>
      </c>
      <c r="Z830" s="2" t="s">
        <v>46</v>
      </c>
      <c r="AA830" s="2" t="s">
        <v>47</v>
      </c>
      <c r="AB830" s="2" t="s">
        <v>48</v>
      </c>
      <c r="AE830" s="2">
        <f t="shared" si="81"/>
        <v>0</v>
      </c>
      <c r="AI830" s="2">
        <f t="shared" si="82"/>
        <v>0</v>
      </c>
      <c r="AJ830" s="2">
        <f t="shared" si="83"/>
        <v>18</v>
      </c>
      <c r="AK830" s="5">
        <f t="shared" si="85"/>
        <v>1</v>
      </c>
    </row>
    <row r="831" spans="1:37" x14ac:dyDescent="0.2">
      <c r="A831" s="2">
        <v>2025</v>
      </c>
      <c r="B831" s="2">
        <v>4</v>
      </c>
      <c r="C831" s="2" t="s">
        <v>787</v>
      </c>
      <c r="D831" s="2" t="s">
        <v>38</v>
      </c>
      <c r="E831" s="2" t="s">
        <v>39</v>
      </c>
      <c r="F831" s="2">
        <v>510219675</v>
      </c>
      <c r="G831" s="2" t="s">
        <v>40</v>
      </c>
      <c r="H831" s="2" t="s">
        <v>788</v>
      </c>
      <c r="I831" s="2" t="s">
        <v>789</v>
      </c>
      <c r="J831" s="2">
        <v>917341136</v>
      </c>
      <c r="K831" s="2" t="s">
        <v>100</v>
      </c>
      <c r="O831" s="2" t="s">
        <v>43</v>
      </c>
      <c r="P831" s="2" t="s">
        <v>161</v>
      </c>
      <c r="Q831" s="2" t="s">
        <v>162</v>
      </c>
      <c r="R831" s="2">
        <v>1</v>
      </c>
      <c r="S831" s="2">
        <v>7.8</v>
      </c>
      <c r="T831" s="2">
        <v>1.794</v>
      </c>
      <c r="U831" s="2">
        <v>9.5939999999999994</v>
      </c>
      <c r="V831" s="2">
        <f>3.7358*R831</f>
        <v>3.7357999999999998</v>
      </c>
      <c r="W831" s="5">
        <f t="shared" si="86"/>
        <v>0.52105128205128204</v>
      </c>
      <c r="Y831" s="2" t="s">
        <v>3256</v>
      </c>
      <c r="Z831" s="2" t="s">
        <v>46</v>
      </c>
      <c r="AA831" s="2" t="s">
        <v>47</v>
      </c>
      <c r="AB831" s="2" t="s">
        <v>48</v>
      </c>
      <c r="AE831" s="2">
        <f t="shared" si="81"/>
        <v>0</v>
      </c>
      <c r="AF831" s="2">
        <v>3.7357999999999998</v>
      </c>
      <c r="AG831" s="2">
        <v>9</v>
      </c>
      <c r="AI831" s="2">
        <f t="shared" si="82"/>
        <v>0</v>
      </c>
      <c r="AJ831" s="2">
        <f t="shared" si="83"/>
        <v>4.0641999999999996</v>
      </c>
      <c r="AK831" s="5">
        <f t="shared" si="85"/>
        <v>0.52105128205128204</v>
      </c>
    </row>
    <row r="832" spans="1:37" x14ac:dyDescent="0.2">
      <c r="A832" s="2">
        <v>2025</v>
      </c>
      <c r="B832" s="2">
        <v>4</v>
      </c>
      <c r="C832" s="2" t="s">
        <v>1241</v>
      </c>
      <c r="K832" s="2" t="s">
        <v>576</v>
      </c>
      <c r="L832" s="2" t="s">
        <v>81</v>
      </c>
      <c r="N832" s="2" t="s">
        <v>1242</v>
      </c>
      <c r="O832" s="2" t="s">
        <v>73</v>
      </c>
      <c r="P832" s="2" t="s">
        <v>302</v>
      </c>
      <c r="Q832" s="2" t="s">
        <v>75</v>
      </c>
      <c r="R832" s="2">
        <v>1</v>
      </c>
      <c r="S832" s="2">
        <v>193.2</v>
      </c>
      <c r="T832" s="2">
        <v>44.436</v>
      </c>
      <c r="U832" s="2">
        <v>237.636</v>
      </c>
      <c r="V832" s="2">
        <v>121.46</v>
      </c>
      <c r="W832" s="5">
        <f t="shared" si="86"/>
        <v>0.37132505175983438</v>
      </c>
      <c r="Y832" s="2" t="s">
        <v>3256</v>
      </c>
      <c r="Z832" s="2" t="s">
        <v>76</v>
      </c>
      <c r="AA832" s="2" t="s">
        <v>77</v>
      </c>
      <c r="AB832" s="2" t="s">
        <v>78</v>
      </c>
      <c r="AE832" s="2">
        <f t="shared" si="81"/>
        <v>0</v>
      </c>
      <c r="AF832" s="2">
        <v>121.46</v>
      </c>
      <c r="AG832" s="2">
        <v>210</v>
      </c>
      <c r="AI832" s="2">
        <f t="shared" si="82"/>
        <v>0</v>
      </c>
      <c r="AJ832" s="2">
        <f t="shared" si="83"/>
        <v>71.739999999999995</v>
      </c>
      <c r="AK832" s="5">
        <f t="shared" si="85"/>
        <v>0.37132505175983438</v>
      </c>
    </row>
    <row r="833" spans="1:37" x14ac:dyDescent="0.2">
      <c r="A833" s="2">
        <v>2025</v>
      </c>
      <c r="B833" s="2">
        <v>4</v>
      </c>
      <c r="C833" s="2" t="s">
        <v>1241</v>
      </c>
      <c r="O833" s="2" t="s">
        <v>94</v>
      </c>
      <c r="P833" s="2" t="s">
        <v>95</v>
      </c>
      <c r="Q833" s="2" t="s">
        <v>96</v>
      </c>
      <c r="R833" s="2">
        <v>1</v>
      </c>
      <c r="S833" s="2">
        <v>1.1399999999999999</v>
      </c>
      <c r="T833" s="2">
        <v>0.26219999999999999</v>
      </c>
      <c r="U833" s="2">
        <v>1.4021999999999999</v>
      </c>
      <c r="V833" s="2">
        <v>1.1399999999999999</v>
      </c>
      <c r="W833" s="5">
        <f t="shared" si="86"/>
        <v>0</v>
      </c>
      <c r="Y833" s="2" t="s">
        <v>3256</v>
      </c>
      <c r="Z833" s="2" t="s">
        <v>97</v>
      </c>
      <c r="AA833" s="2" t="s">
        <v>77</v>
      </c>
      <c r="AB833" s="2" t="s">
        <v>94</v>
      </c>
      <c r="AE833" s="2">
        <f t="shared" si="81"/>
        <v>0</v>
      </c>
      <c r="AI833" s="2">
        <f t="shared" si="82"/>
        <v>0</v>
      </c>
      <c r="AJ833" s="2">
        <f t="shared" si="83"/>
        <v>0</v>
      </c>
      <c r="AK833" s="5">
        <f t="shared" si="85"/>
        <v>0</v>
      </c>
    </row>
    <row r="834" spans="1:37" x14ac:dyDescent="0.2">
      <c r="A834" s="2">
        <v>2025</v>
      </c>
      <c r="B834" s="2">
        <v>4</v>
      </c>
      <c r="C834" s="2" t="s">
        <v>393</v>
      </c>
      <c r="D834" s="2" t="s">
        <v>38</v>
      </c>
      <c r="E834" s="2" t="s">
        <v>39</v>
      </c>
      <c r="F834" s="2">
        <v>206206143</v>
      </c>
      <c r="G834" s="2" t="s">
        <v>41</v>
      </c>
      <c r="H834" s="2" t="s">
        <v>394</v>
      </c>
      <c r="I834" s="2" t="s">
        <v>395</v>
      </c>
      <c r="K834" s="2" t="s">
        <v>100</v>
      </c>
      <c r="L834" s="2" t="s">
        <v>81</v>
      </c>
      <c r="O834" s="2" t="s">
        <v>73</v>
      </c>
      <c r="P834" s="2" t="s">
        <v>74</v>
      </c>
      <c r="Q834" s="2" t="s">
        <v>75</v>
      </c>
      <c r="R834" s="2">
        <v>1</v>
      </c>
      <c r="S834" s="2">
        <v>200</v>
      </c>
      <c r="T834" s="2">
        <v>46</v>
      </c>
      <c r="U834" s="2">
        <v>246</v>
      </c>
      <c r="V834" s="2">
        <v>117.453</v>
      </c>
      <c r="W834" s="5">
        <f t="shared" si="86"/>
        <v>0.41273499999999996</v>
      </c>
      <c r="Y834" s="2" t="s">
        <v>3256</v>
      </c>
      <c r="Z834" s="2" t="s">
        <v>76</v>
      </c>
      <c r="AA834" s="2" t="s">
        <v>77</v>
      </c>
      <c r="AB834" s="2" t="s">
        <v>78</v>
      </c>
      <c r="AE834" s="2">
        <f t="shared" ref="AE834:AE897" si="87">AI834</f>
        <v>0</v>
      </c>
      <c r="AF834" s="2">
        <v>117.453</v>
      </c>
      <c r="AG834" s="2">
        <v>220</v>
      </c>
      <c r="AI834" s="2">
        <f t="shared" ref="AI834:AI897" si="88">AH834*S834</f>
        <v>0</v>
      </c>
      <c r="AJ834" s="2">
        <f t="shared" ref="AJ834:AJ897" si="89">S834-V834</f>
        <v>82.546999999999997</v>
      </c>
      <c r="AK834" s="5">
        <f t="shared" si="85"/>
        <v>0.41273499999999996</v>
      </c>
    </row>
    <row r="835" spans="1:37" x14ac:dyDescent="0.2">
      <c r="A835" s="2">
        <v>2025</v>
      </c>
      <c r="B835" s="2">
        <v>4</v>
      </c>
      <c r="C835" s="2" t="s">
        <v>393</v>
      </c>
      <c r="D835" s="2" t="s">
        <v>38</v>
      </c>
      <c r="E835" s="2" t="s">
        <v>39</v>
      </c>
      <c r="F835" s="2">
        <v>206206143</v>
      </c>
      <c r="G835" s="2" t="s">
        <v>41</v>
      </c>
      <c r="H835" s="2" t="s">
        <v>394</v>
      </c>
      <c r="I835" s="2" t="s">
        <v>395</v>
      </c>
      <c r="K835" s="2" t="s">
        <v>100</v>
      </c>
      <c r="O835" s="2" t="s">
        <v>94</v>
      </c>
      <c r="P835" s="2" t="s">
        <v>95</v>
      </c>
      <c r="Q835" s="2" t="s">
        <v>96</v>
      </c>
      <c r="R835" s="2">
        <v>1</v>
      </c>
      <c r="S835" s="2">
        <v>1.1399999999999999</v>
      </c>
      <c r="T835" s="2">
        <v>0.26219999999999999</v>
      </c>
      <c r="U835" s="2">
        <v>1.4021999999999999</v>
      </c>
      <c r="V835" s="2">
        <v>1.1399999999999999</v>
      </c>
      <c r="W835" s="5">
        <f t="shared" ref="W835:W866" si="90">(S835-V835)/S835</f>
        <v>0</v>
      </c>
      <c r="Y835" s="2" t="s">
        <v>3256</v>
      </c>
      <c r="Z835" s="2" t="s">
        <v>97</v>
      </c>
      <c r="AA835" s="2" t="s">
        <v>77</v>
      </c>
      <c r="AB835" s="2" t="s">
        <v>94</v>
      </c>
      <c r="AE835" s="2">
        <f t="shared" si="87"/>
        <v>0</v>
      </c>
      <c r="AI835" s="2">
        <f t="shared" si="88"/>
        <v>0</v>
      </c>
      <c r="AJ835" s="2">
        <f t="shared" si="89"/>
        <v>0</v>
      </c>
      <c r="AK835" s="5">
        <f t="shared" si="85"/>
        <v>0</v>
      </c>
    </row>
    <row r="836" spans="1:37" x14ac:dyDescent="0.2">
      <c r="A836" s="2">
        <v>2025</v>
      </c>
      <c r="B836" s="2">
        <v>4</v>
      </c>
      <c r="C836" s="2" t="s">
        <v>1018</v>
      </c>
      <c r="D836" s="2" t="s">
        <v>109</v>
      </c>
      <c r="E836" s="2" t="s">
        <v>39</v>
      </c>
      <c r="F836" s="2">
        <v>507063481</v>
      </c>
      <c r="G836" s="2" t="s">
        <v>291</v>
      </c>
      <c r="H836" s="2" t="s">
        <v>1019</v>
      </c>
      <c r="I836" s="2" t="s">
        <v>1020</v>
      </c>
      <c r="K836" s="2" t="s">
        <v>294</v>
      </c>
      <c r="L836" s="2" t="s">
        <v>40</v>
      </c>
      <c r="O836" s="2" t="s">
        <v>188</v>
      </c>
      <c r="P836" s="2" t="s">
        <v>189</v>
      </c>
      <c r="Q836" s="2" t="s">
        <v>190</v>
      </c>
      <c r="R836" s="2">
        <v>1</v>
      </c>
      <c r="S836" s="2">
        <v>55</v>
      </c>
      <c r="T836" s="2">
        <v>12.65</v>
      </c>
      <c r="U836" s="2">
        <v>67.650000000000006</v>
      </c>
      <c r="W836" s="5">
        <f t="shared" si="90"/>
        <v>1</v>
      </c>
      <c r="Y836" s="2" t="s">
        <v>118</v>
      </c>
      <c r="Z836" s="2" t="s">
        <v>191</v>
      </c>
      <c r="AE836" s="2">
        <f t="shared" si="87"/>
        <v>0</v>
      </c>
      <c r="AI836" s="2">
        <f t="shared" si="88"/>
        <v>0</v>
      </c>
      <c r="AJ836" s="2">
        <f t="shared" si="89"/>
        <v>55</v>
      </c>
      <c r="AK836" s="5">
        <f t="shared" si="85"/>
        <v>1</v>
      </c>
    </row>
    <row r="837" spans="1:37" x14ac:dyDescent="0.2">
      <c r="A837" s="2">
        <v>2025</v>
      </c>
      <c r="B837" s="2">
        <v>4</v>
      </c>
      <c r="C837" s="2" t="s">
        <v>1018</v>
      </c>
      <c r="D837" s="2" t="s">
        <v>109</v>
      </c>
      <c r="E837" s="2" t="s">
        <v>39</v>
      </c>
      <c r="F837" s="2">
        <v>507063481</v>
      </c>
      <c r="G837" s="2" t="s">
        <v>291</v>
      </c>
      <c r="H837" s="2" t="s">
        <v>1019</v>
      </c>
      <c r="I837" s="2" t="s">
        <v>1020</v>
      </c>
      <c r="K837" s="2" t="s">
        <v>294</v>
      </c>
      <c r="L837" s="2" t="s">
        <v>40</v>
      </c>
      <c r="O837" s="2" t="s">
        <v>188</v>
      </c>
      <c r="P837" s="2" t="s">
        <v>192</v>
      </c>
      <c r="Q837" s="2" t="s">
        <v>191</v>
      </c>
      <c r="R837" s="2">
        <v>0.5</v>
      </c>
      <c r="S837" s="2">
        <v>25</v>
      </c>
      <c r="T837" s="2">
        <v>5.75</v>
      </c>
      <c r="U837" s="2">
        <v>30.75</v>
      </c>
      <c r="V837" s="2">
        <f>S837*50%</f>
        <v>12.5</v>
      </c>
      <c r="W837" s="5">
        <f t="shared" si="90"/>
        <v>0.5</v>
      </c>
      <c r="Y837" s="2" t="s">
        <v>118</v>
      </c>
      <c r="Z837" s="2" t="s">
        <v>191</v>
      </c>
      <c r="AE837" s="2">
        <f t="shared" si="87"/>
        <v>0</v>
      </c>
      <c r="AI837" s="2">
        <f t="shared" si="88"/>
        <v>0</v>
      </c>
      <c r="AJ837" s="2">
        <f t="shared" si="89"/>
        <v>12.5</v>
      </c>
      <c r="AK837" s="5">
        <f t="shared" si="85"/>
        <v>0.5</v>
      </c>
    </row>
    <row r="838" spans="1:37" x14ac:dyDescent="0.2">
      <c r="A838" s="2">
        <v>2025</v>
      </c>
      <c r="B838" s="2">
        <v>4</v>
      </c>
      <c r="C838" s="2" t="s">
        <v>414</v>
      </c>
      <c r="D838" s="2" t="s">
        <v>38</v>
      </c>
      <c r="F838" s="2">
        <v>508259509</v>
      </c>
      <c r="G838" s="2" t="s">
        <v>40</v>
      </c>
      <c r="H838" s="2" t="s">
        <v>340</v>
      </c>
      <c r="K838" s="2" t="s">
        <v>340</v>
      </c>
      <c r="L838" s="2" t="s">
        <v>40</v>
      </c>
      <c r="N838" s="2" t="s">
        <v>1243</v>
      </c>
      <c r="O838" s="2" t="s">
        <v>283</v>
      </c>
      <c r="P838" s="2" t="s">
        <v>1244</v>
      </c>
      <c r="Q838" s="2" t="s">
        <v>1245</v>
      </c>
      <c r="R838" s="2">
        <v>1</v>
      </c>
      <c r="S838" s="2">
        <v>3990</v>
      </c>
      <c r="T838" s="2">
        <f>S838*23%</f>
        <v>917.7</v>
      </c>
      <c r="U838" s="2">
        <f>S838+T838</f>
        <v>4907.7</v>
      </c>
      <c r="V838" s="2">
        <v>3246.85</v>
      </c>
      <c r="W838" s="5">
        <f t="shared" si="90"/>
        <v>0.18625313283208023</v>
      </c>
      <c r="Y838" s="2" t="s">
        <v>105</v>
      </c>
      <c r="Z838" s="2" t="s">
        <v>1590</v>
      </c>
      <c r="AA838" s="2" t="s">
        <v>3197</v>
      </c>
      <c r="AB838" s="2" t="s">
        <v>1337</v>
      </c>
      <c r="AE838" s="2">
        <f t="shared" si="87"/>
        <v>0</v>
      </c>
      <c r="AF838" s="2">
        <f>3203.85+43</f>
        <v>3246.85</v>
      </c>
      <c r="AI838" s="2">
        <f t="shared" si="88"/>
        <v>0</v>
      </c>
      <c r="AJ838" s="2">
        <f t="shared" si="89"/>
        <v>743.15000000000009</v>
      </c>
      <c r="AK838" s="5">
        <f t="shared" si="85"/>
        <v>0.18625313283208023</v>
      </c>
    </row>
    <row r="839" spans="1:37" x14ac:dyDescent="0.2">
      <c r="A839" s="2">
        <v>2025</v>
      </c>
      <c r="B839" s="2">
        <v>4</v>
      </c>
      <c r="C839" s="2" t="s">
        <v>414</v>
      </c>
      <c r="D839" s="2" t="s">
        <v>38</v>
      </c>
      <c r="F839" s="2">
        <v>508259509</v>
      </c>
      <c r="G839" s="2" t="s">
        <v>40</v>
      </c>
      <c r="H839" s="2" t="s">
        <v>340</v>
      </c>
      <c r="K839" s="2" t="s">
        <v>340</v>
      </c>
      <c r="L839" s="2" t="s">
        <v>40</v>
      </c>
      <c r="N839" s="2" t="s">
        <v>1243</v>
      </c>
      <c r="O839" s="2" t="s">
        <v>283</v>
      </c>
      <c r="P839" s="2" t="s">
        <v>1163</v>
      </c>
      <c r="Q839" s="2" t="s">
        <v>1164</v>
      </c>
      <c r="R839" s="2">
        <v>1</v>
      </c>
      <c r="S839" s="2">
        <v>2990</v>
      </c>
      <c r="T839" s="2">
        <f>S839*23%</f>
        <v>687.7</v>
      </c>
      <c r="U839" s="2">
        <f>S839+T839</f>
        <v>3677.7</v>
      </c>
      <c r="V839" s="2">
        <v>2190</v>
      </c>
      <c r="W839" s="5">
        <f t="shared" si="90"/>
        <v>0.26755852842809363</v>
      </c>
      <c r="Y839" s="2" t="s">
        <v>105</v>
      </c>
      <c r="Z839" s="2" t="s">
        <v>1590</v>
      </c>
      <c r="AA839" s="2" t="s">
        <v>3197</v>
      </c>
      <c r="AB839" s="2" t="s">
        <v>1337</v>
      </c>
      <c r="AE839" s="2">
        <f t="shared" si="87"/>
        <v>0</v>
      </c>
      <c r="AF839" s="2">
        <v>2190</v>
      </c>
      <c r="AI839" s="2">
        <f t="shared" si="88"/>
        <v>0</v>
      </c>
      <c r="AJ839" s="2">
        <f t="shared" si="89"/>
        <v>800</v>
      </c>
      <c r="AK839" s="5">
        <f t="shared" si="85"/>
        <v>0.26755852842809363</v>
      </c>
    </row>
    <row r="840" spans="1:37" x14ac:dyDescent="0.2">
      <c r="A840" s="2">
        <v>2025</v>
      </c>
      <c r="B840" s="2">
        <v>4</v>
      </c>
      <c r="C840" s="2" t="s">
        <v>414</v>
      </c>
      <c r="D840" s="2" t="s">
        <v>38</v>
      </c>
      <c r="F840" s="2">
        <v>508259509</v>
      </c>
      <c r="G840" s="2" t="s">
        <v>40</v>
      </c>
      <c r="H840" s="2" t="s">
        <v>340</v>
      </c>
      <c r="K840" s="2" t="s">
        <v>340</v>
      </c>
      <c r="L840" s="2" t="s">
        <v>40</v>
      </c>
      <c r="N840" s="2" t="s">
        <v>1243</v>
      </c>
      <c r="O840" s="2" t="s">
        <v>283</v>
      </c>
      <c r="P840" s="2" t="s">
        <v>1167</v>
      </c>
      <c r="Q840" s="2" t="s">
        <v>1168</v>
      </c>
      <c r="R840" s="2">
        <v>1</v>
      </c>
      <c r="S840" s="2">
        <v>0</v>
      </c>
      <c r="W840" s="5">
        <v>0</v>
      </c>
      <c r="Y840" s="2" t="s">
        <v>105</v>
      </c>
      <c r="Z840" s="2" t="s">
        <v>1590</v>
      </c>
      <c r="AA840" s="2" t="s">
        <v>3197</v>
      </c>
      <c r="AB840" s="2" t="s">
        <v>1337</v>
      </c>
      <c r="AE840" s="2">
        <f t="shared" si="87"/>
        <v>0</v>
      </c>
      <c r="AI840" s="2">
        <f t="shared" si="88"/>
        <v>0</v>
      </c>
      <c r="AJ840" s="2">
        <f t="shared" si="89"/>
        <v>0</v>
      </c>
      <c r="AK840" s="5" t="e">
        <f t="shared" si="85"/>
        <v>#DIV/0!</v>
      </c>
    </row>
    <row r="841" spans="1:37" x14ac:dyDescent="0.2">
      <c r="A841" s="2">
        <v>2025</v>
      </c>
      <c r="B841" s="2">
        <v>4</v>
      </c>
      <c r="C841" s="2" t="s">
        <v>419</v>
      </c>
      <c r="D841" s="2" t="s">
        <v>38</v>
      </c>
      <c r="E841" s="2" t="s">
        <v>39</v>
      </c>
      <c r="F841" s="2">
        <v>219908800</v>
      </c>
      <c r="G841" s="2" t="s">
        <v>41</v>
      </c>
      <c r="H841" s="2" t="s">
        <v>420</v>
      </c>
      <c r="I841" s="2" t="s">
        <v>421</v>
      </c>
      <c r="K841" s="2" t="s">
        <v>422</v>
      </c>
      <c r="L841" s="2" t="s">
        <v>41</v>
      </c>
      <c r="O841" s="2" t="s">
        <v>43</v>
      </c>
      <c r="P841" s="2" t="s">
        <v>55</v>
      </c>
      <c r="Q841" s="2" t="s">
        <v>56</v>
      </c>
      <c r="R841" s="2">
        <v>2</v>
      </c>
      <c r="S841" s="2">
        <v>36</v>
      </c>
      <c r="T841" s="2">
        <f>S841*23%</f>
        <v>8.2800000000000011</v>
      </c>
      <c r="U841" s="2">
        <f>S841+T841</f>
        <v>44.28</v>
      </c>
      <c r="V841" s="2">
        <f>10.6*R841</f>
        <v>21.2</v>
      </c>
      <c r="W841" s="5">
        <f t="shared" si="90"/>
        <v>0.41111111111111115</v>
      </c>
      <c r="Y841" s="2" t="s">
        <v>3256</v>
      </c>
      <c r="Z841" s="2" t="s">
        <v>46</v>
      </c>
      <c r="AA841" s="2" t="s">
        <v>57</v>
      </c>
      <c r="AB841" s="2" t="s">
        <v>58</v>
      </c>
      <c r="AE841" s="2">
        <f t="shared" si="87"/>
        <v>0</v>
      </c>
      <c r="AF841" s="2">
        <v>10.6</v>
      </c>
      <c r="AG841" s="2">
        <v>18</v>
      </c>
      <c r="AI841" s="2">
        <f t="shared" si="88"/>
        <v>0</v>
      </c>
      <c r="AJ841" s="2">
        <f t="shared" si="89"/>
        <v>14.8</v>
      </c>
      <c r="AK841" s="5">
        <f t="shared" si="85"/>
        <v>0.41111111111111115</v>
      </c>
    </row>
    <row r="842" spans="1:37" x14ac:dyDescent="0.2">
      <c r="A842" s="2">
        <v>2025</v>
      </c>
      <c r="B842" s="2">
        <v>4</v>
      </c>
      <c r="C842" s="2" t="s">
        <v>419</v>
      </c>
      <c r="D842" s="2" t="s">
        <v>38</v>
      </c>
      <c r="E842" s="2" t="s">
        <v>39</v>
      </c>
      <c r="F842" s="2">
        <v>219908800</v>
      </c>
      <c r="G842" s="2" t="s">
        <v>41</v>
      </c>
      <c r="H842" s="2" t="s">
        <v>420</v>
      </c>
      <c r="I842" s="2" t="s">
        <v>421</v>
      </c>
      <c r="K842" s="2" t="s">
        <v>422</v>
      </c>
      <c r="L842" s="2" t="s">
        <v>41</v>
      </c>
      <c r="O842" s="2" t="s">
        <v>43</v>
      </c>
      <c r="P842" s="2" t="s">
        <v>59</v>
      </c>
      <c r="Q842" s="2" t="s">
        <v>60</v>
      </c>
      <c r="R842" s="2">
        <v>200</v>
      </c>
      <c r="S842" s="2">
        <v>26</v>
      </c>
      <c r="T842" s="2">
        <f>S842*23%</f>
        <v>5.98</v>
      </c>
      <c r="U842" s="2">
        <f>S842+T842</f>
        <v>31.98</v>
      </c>
      <c r="V842" s="2">
        <f>0.0914*R842</f>
        <v>18.279999999999998</v>
      </c>
      <c r="W842" s="5">
        <f t="shared" si="90"/>
        <v>0.29692307692307701</v>
      </c>
      <c r="Y842" s="2" t="s">
        <v>3256</v>
      </c>
      <c r="Z842" s="2" t="s">
        <v>46</v>
      </c>
      <c r="AA842" s="2" t="s">
        <v>61</v>
      </c>
      <c r="AB842" s="2" t="s">
        <v>58</v>
      </c>
      <c r="AE842" s="2">
        <f t="shared" si="87"/>
        <v>0</v>
      </c>
      <c r="AF842" s="2">
        <v>9.14</v>
      </c>
      <c r="AG842" s="2">
        <v>16</v>
      </c>
      <c r="AI842" s="2">
        <f t="shared" si="88"/>
        <v>0</v>
      </c>
      <c r="AJ842" s="2">
        <f t="shared" si="89"/>
        <v>7.7200000000000024</v>
      </c>
      <c r="AK842" s="5">
        <f t="shared" si="85"/>
        <v>0.29692307692307701</v>
      </c>
    </row>
    <row r="843" spans="1:37" x14ac:dyDescent="0.2">
      <c r="A843" s="2">
        <v>2025</v>
      </c>
      <c r="B843" s="2">
        <v>4</v>
      </c>
      <c r="C843" s="2" t="s">
        <v>1024</v>
      </c>
      <c r="O843" s="2" t="s">
        <v>283</v>
      </c>
      <c r="P843" s="2" t="s">
        <v>1246</v>
      </c>
      <c r="Q843" s="2" t="s">
        <v>1247</v>
      </c>
      <c r="R843" s="2">
        <v>1</v>
      </c>
      <c r="S843" s="2">
        <v>70</v>
      </c>
      <c r="W843" s="5">
        <f t="shared" si="90"/>
        <v>1</v>
      </c>
      <c r="Y843" s="2" t="s">
        <v>3256</v>
      </c>
      <c r="AE843" s="2">
        <f t="shared" si="87"/>
        <v>0</v>
      </c>
      <c r="AI843" s="2">
        <f t="shared" si="88"/>
        <v>0</v>
      </c>
      <c r="AJ843" s="2">
        <f t="shared" si="89"/>
        <v>70</v>
      </c>
      <c r="AK843" s="5">
        <f t="shared" si="85"/>
        <v>1</v>
      </c>
    </row>
    <row r="844" spans="1:37" x14ac:dyDescent="0.2">
      <c r="A844" s="2">
        <v>2025</v>
      </c>
      <c r="B844" s="2">
        <v>4</v>
      </c>
      <c r="C844" s="2" t="s">
        <v>426</v>
      </c>
      <c r="D844" s="2" t="s">
        <v>99</v>
      </c>
      <c r="E844" s="2" t="s">
        <v>39</v>
      </c>
      <c r="F844" s="2">
        <v>503523470</v>
      </c>
      <c r="G844" s="2" t="s">
        <v>40</v>
      </c>
      <c r="H844" s="2" t="s">
        <v>427</v>
      </c>
      <c r="I844" s="2" t="s">
        <v>428</v>
      </c>
      <c r="K844" s="2" t="s">
        <v>202</v>
      </c>
      <c r="L844" s="2" t="s">
        <v>81</v>
      </c>
      <c r="O844" s="2" t="s">
        <v>43</v>
      </c>
      <c r="P844" s="2" t="s">
        <v>161</v>
      </c>
      <c r="Q844" s="2" t="s">
        <v>162</v>
      </c>
      <c r="R844" s="2">
        <v>1</v>
      </c>
      <c r="S844" s="2">
        <v>7.8</v>
      </c>
      <c r="T844" s="2">
        <v>1.794</v>
      </c>
      <c r="U844" s="2">
        <v>9.5939999999999994</v>
      </c>
      <c r="V844" s="2">
        <f>3.7358*R844</f>
        <v>3.7357999999999998</v>
      </c>
      <c r="W844" s="5">
        <f t="shared" si="90"/>
        <v>0.52105128205128204</v>
      </c>
      <c r="Y844" s="2" t="s">
        <v>3256</v>
      </c>
      <c r="Z844" s="2" t="s">
        <v>46</v>
      </c>
      <c r="AA844" s="2" t="s">
        <v>47</v>
      </c>
      <c r="AB844" s="2" t="s">
        <v>48</v>
      </c>
      <c r="AE844" s="2">
        <f t="shared" si="87"/>
        <v>0</v>
      </c>
      <c r="AF844" s="2">
        <v>3.7357999999999998</v>
      </c>
      <c r="AG844" s="2">
        <v>9</v>
      </c>
      <c r="AI844" s="2">
        <f t="shared" si="88"/>
        <v>0</v>
      </c>
      <c r="AJ844" s="2">
        <f t="shared" si="89"/>
        <v>4.0641999999999996</v>
      </c>
      <c r="AK844" s="5">
        <f t="shared" si="85"/>
        <v>0.52105128205128204</v>
      </c>
    </row>
    <row r="845" spans="1:37" x14ac:dyDescent="0.2">
      <c r="A845" s="2">
        <v>2025</v>
      </c>
      <c r="B845" s="2">
        <v>4</v>
      </c>
      <c r="C845" s="2" t="s">
        <v>426</v>
      </c>
      <c r="D845" s="2" t="s">
        <v>99</v>
      </c>
      <c r="E845" s="2" t="s">
        <v>39</v>
      </c>
      <c r="F845" s="2">
        <v>503523470</v>
      </c>
      <c r="G845" s="2" t="s">
        <v>40</v>
      </c>
      <c r="H845" s="2" t="s">
        <v>427</v>
      </c>
      <c r="I845" s="2" t="s">
        <v>428</v>
      </c>
      <c r="K845" s="2" t="s">
        <v>202</v>
      </c>
      <c r="L845" s="2" t="s">
        <v>81</v>
      </c>
      <c r="O845" s="2" t="s">
        <v>43</v>
      </c>
      <c r="P845" s="2" t="s">
        <v>55</v>
      </c>
      <c r="Q845" s="2" t="s">
        <v>56</v>
      </c>
      <c r="R845" s="2">
        <v>1</v>
      </c>
      <c r="S845" s="2">
        <v>18</v>
      </c>
      <c r="T845" s="2">
        <f>S845*23%</f>
        <v>4.1400000000000006</v>
      </c>
      <c r="U845" s="2">
        <f>S845+T845</f>
        <v>22.14</v>
      </c>
      <c r="V845" s="2">
        <f>10.6*R845</f>
        <v>10.6</v>
      </c>
      <c r="W845" s="5">
        <f t="shared" si="90"/>
        <v>0.41111111111111115</v>
      </c>
      <c r="Y845" s="2" t="s">
        <v>3256</v>
      </c>
      <c r="Z845" s="2" t="s">
        <v>46</v>
      </c>
      <c r="AA845" s="2" t="s">
        <v>57</v>
      </c>
      <c r="AB845" s="2" t="s">
        <v>58</v>
      </c>
      <c r="AE845" s="2">
        <f t="shared" si="87"/>
        <v>0</v>
      </c>
      <c r="AF845" s="2">
        <v>10.6</v>
      </c>
      <c r="AG845" s="2">
        <v>18</v>
      </c>
      <c r="AI845" s="2">
        <f t="shared" si="88"/>
        <v>0</v>
      </c>
      <c r="AJ845" s="2">
        <f t="shared" si="89"/>
        <v>7.4</v>
      </c>
      <c r="AK845" s="5">
        <f t="shared" si="85"/>
        <v>0.41111111111111115</v>
      </c>
    </row>
    <row r="846" spans="1:37" x14ac:dyDescent="0.2">
      <c r="A846" s="2">
        <v>2025</v>
      </c>
      <c r="B846" s="2">
        <v>4</v>
      </c>
      <c r="C846" s="2" t="s">
        <v>1248</v>
      </c>
      <c r="O846" s="2" t="s">
        <v>69</v>
      </c>
      <c r="P846" s="2" t="s">
        <v>1169</v>
      </c>
      <c r="Q846" s="2" t="s">
        <v>1170</v>
      </c>
      <c r="R846" s="2">
        <v>1</v>
      </c>
      <c r="S846" s="2">
        <v>70</v>
      </c>
      <c r="T846" s="2">
        <v>16.100000000000001</v>
      </c>
      <c r="U846" s="2">
        <v>86.1</v>
      </c>
      <c r="V846" s="2">
        <v>47.4</v>
      </c>
      <c r="W846" s="5">
        <f t="shared" si="90"/>
        <v>0.3228571428571429</v>
      </c>
      <c r="Y846" s="2" t="s">
        <v>3256</v>
      </c>
      <c r="Z846" s="2" t="s">
        <v>72</v>
      </c>
      <c r="AA846" s="2" t="s">
        <v>69</v>
      </c>
      <c r="AB846" s="2" t="s">
        <v>3261</v>
      </c>
      <c r="AE846" s="2">
        <f t="shared" si="87"/>
        <v>0</v>
      </c>
      <c r="AI846" s="2">
        <f t="shared" si="88"/>
        <v>0</v>
      </c>
      <c r="AJ846" s="2">
        <f t="shared" si="89"/>
        <v>22.6</v>
      </c>
      <c r="AK846" s="5">
        <f t="shared" si="85"/>
        <v>0.3228571428571429</v>
      </c>
    </row>
    <row r="847" spans="1:37" x14ac:dyDescent="0.2">
      <c r="A847" s="2">
        <v>2025</v>
      </c>
      <c r="B847" s="2">
        <v>4</v>
      </c>
      <c r="C847" s="2" t="s">
        <v>1248</v>
      </c>
      <c r="O847" s="2" t="s">
        <v>170</v>
      </c>
      <c r="P847" s="2" t="s">
        <v>171</v>
      </c>
      <c r="Q847" s="2" t="s">
        <v>171</v>
      </c>
      <c r="R847" s="2">
        <v>1</v>
      </c>
      <c r="S847" s="2">
        <v>5</v>
      </c>
      <c r="T847" s="2">
        <v>1.1499999999999999</v>
      </c>
      <c r="U847" s="2">
        <v>6.15</v>
      </c>
      <c r="W847" s="5">
        <f t="shared" si="90"/>
        <v>1</v>
      </c>
      <c r="Y847" s="2" t="s">
        <v>170</v>
      </c>
      <c r="Z847" s="2" t="s">
        <v>170</v>
      </c>
      <c r="AE847" s="2">
        <f t="shared" si="87"/>
        <v>0</v>
      </c>
      <c r="AI847" s="2">
        <f t="shared" si="88"/>
        <v>0</v>
      </c>
      <c r="AJ847" s="2">
        <f t="shared" si="89"/>
        <v>5</v>
      </c>
      <c r="AK847" s="5">
        <f t="shared" si="85"/>
        <v>1</v>
      </c>
    </row>
    <row r="848" spans="1:37" x14ac:dyDescent="0.2">
      <c r="A848" s="2">
        <v>2025</v>
      </c>
      <c r="B848" s="2">
        <v>4</v>
      </c>
      <c r="C848" s="2" t="s">
        <v>1249</v>
      </c>
      <c r="D848" s="2" t="s">
        <v>109</v>
      </c>
      <c r="E848" s="2" t="s">
        <v>535</v>
      </c>
      <c r="F848" s="2">
        <v>502421584</v>
      </c>
      <c r="G848" s="2" t="s">
        <v>40</v>
      </c>
      <c r="H848" s="2" t="s">
        <v>3249</v>
      </c>
      <c r="I848" s="2" t="s">
        <v>3250</v>
      </c>
      <c r="K848" s="2" t="s">
        <v>340</v>
      </c>
      <c r="L848" s="2" t="s">
        <v>40</v>
      </c>
      <c r="N848" s="2" t="s">
        <v>3251</v>
      </c>
      <c r="O848" s="2" t="s">
        <v>188</v>
      </c>
      <c r="P848" s="2" t="s">
        <v>189</v>
      </c>
      <c r="Q848" s="2" t="s">
        <v>190</v>
      </c>
      <c r="R848" s="2">
        <v>1</v>
      </c>
      <c r="S848" s="2">
        <v>50</v>
      </c>
      <c r="T848" s="2">
        <v>11.5</v>
      </c>
      <c r="U848" s="2">
        <v>61.5</v>
      </c>
      <c r="W848" s="5">
        <f t="shared" si="90"/>
        <v>1</v>
      </c>
      <c r="Y848" s="2" t="s">
        <v>118</v>
      </c>
      <c r="Z848" s="2" t="s">
        <v>191</v>
      </c>
      <c r="AE848" s="2">
        <f t="shared" si="87"/>
        <v>0</v>
      </c>
      <c r="AI848" s="2">
        <f t="shared" si="88"/>
        <v>0</v>
      </c>
      <c r="AJ848" s="2">
        <f t="shared" si="89"/>
        <v>50</v>
      </c>
      <c r="AK848" s="5">
        <f t="shared" si="85"/>
        <v>1</v>
      </c>
    </row>
    <row r="849" spans="1:37" x14ac:dyDescent="0.2">
      <c r="A849" s="2">
        <v>2025</v>
      </c>
      <c r="B849" s="2">
        <v>4</v>
      </c>
      <c r="C849" s="2" t="s">
        <v>1249</v>
      </c>
      <c r="D849" s="2" t="s">
        <v>109</v>
      </c>
      <c r="E849" s="2" t="s">
        <v>535</v>
      </c>
      <c r="F849" s="2">
        <v>502421584</v>
      </c>
      <c r="G849" s="2" t="s">
        <v>40</v>
      </c>
      <c r="H849" s="2" t="s">
        <v>3249</v>
      </c>
      <c r="I849" s="2" t="s">
        <v>3250</v>
      </c>
      <c r="K849" s="2" t="s">
        <v>340</v>
      </c>
      <c r="L849" s="2" t="s">
        <v>40</v>
      </c>
      <c r="N849" s="2" t="s">
        <v>3251</v>
      </c>
      <c r="O849" s="2" t="s">
        <v>188</v>
      </c>
      <c r="P849" s="2" t="s">
        <v>192</v>
      </c>
      <c r="Q849" s="2" t="s">
        <v>191</v>
      </c>
      <c r="R849" s="2">
        <v>0.5</v>
      </c>
      <c r="S849" s="2">
        <v>25</v>
      </c>
      <c r="T849" s="2">
        <v>5.75</v>
      </c>
      <c r="U849" s="2">
        <v>30.75</v>
      </c>
      <c r="V849" s="2">
        <f>S849*50%</f>
        <v>12.5</v>
      </c>
      <c r="W849" s="5">
        <f t="shared" si="90"/>
        <v>0.5</v>
      </c>
      <c r="Y849" s="2" t="s">
        <v>118</v>
      </c>
      <c r="Z849" s="2" t="s">
        <v>191</v>
      </c>
      <c r="AE849" s="2">
        <f t="shared" si="87"/>
        <v>0</v>
      </c>
      <c r="AI849" s="2">
        <f t="shared" si="88"/>
        <v>0</v>
      </c>
      <c r="AJ849" s="2">
        <f t="shared" si="89"/>
        <v>12.5</v>
      </c>
      <c r="AK849" s="5">
        <f t="shared" si="85"/>
        <v>0.5</v>
      </c>
    </row>
    <row r="850" spans="1:37" x14ac:dyDescent="0.2">
      <c r="A850" s="2">
        <v>2025</v>
      </c>
      <c r="B850" s="2">
        <v>4</v>
      </c>
      <c r="C850" s="2" t="s">
        <v>1250</v>
      </c>
      <c r="L850" s="2" t="s">
        <v>40</v>
      </c>
      <c r="O850" s="2" t="s">
        <v>188</v>
      </c>
      <c r="P850" s="2" t="s">
        <v>189</v>
      </c>
      <c r="Q850" s="2" t="s">
        <v>190</v>
      </c>
      <c r="R850" s="2">
        <v>1</v>
      </c>
      <c r="S850" s="2">
        <v>50</v>
      </c>
      <c r="T850" s="2">
        <v>11.5</v>
      </c>
      <c r="U850" s="2">
        <v>61.5</v>
      </c>
      <c r="W850" s="5">
        <f t="shared" si="90"/>
        <v>1</v>
      </c>
      <c r="Y850" s="2" t="s">
        <v>118</v>
      </c>
      <c r="Z850" s="2" t="s">
        <v>191</v>
      </c>
      <c r="AE850" s="2">
        <f t="shared" si="87"/>
        <v>0</v>
      </c>
      <c r="AI850" s="2">
        <f t="shared" si="88"/>
        <v>0</v>
      </c>
      <c r="AJ850" s="2">
        <f t="shared" si="89"/>
        <v>50</v>
      </c>
      <c r="AK850" s="5">
        <f t="shared" ref="AK850:AK913" si="91">(S850-V850)/S850</f>
        <v>1</v>
      </c>
    </row>
    <row r="851" spans="1:37" x14ac:dyDescent="0.2">
      <c r="A851" s="2">
        <v>2025</v>
      </c>
      <c r="B851" s="2">
        <v>4</v>
      </c>
      <c r="C851" s="2" t="s">
        <v>1250</v>
      </c>
      <c r="L851" s="2" t="s">
        <v>40</v>
      </c>
      <c r="O851" s="2" t="s">
        <v>188</v>
      </c>
      <c r="P851" s="2" t="s">
        <v>192</v>
      </c>
      <c r="Q851" s="2" t="s">
        <v>191</v>
      </c>
      <c r="R851" s="2">
        <v>1</v>
      </c>
      <c r="S851" s="2">
        <v>50</v>
      </c>
      <c r="T851" s="2">
        <v>11.5</v>
      </c>
      <c r="U851" s="2">
        <v>61.5</v>
      </c>
      <c r="V851" s="2">
        <f>S851*50%</f>
        <v>25</v>
      </c>
      <c r="W851" s="5">
        <f t="shared" si="90"/>
        <v>0.5</v>
      </c>
      <c r="Y851" s="2" t="s">
        <v>118</v>
      </c>
      <c r="Z851" s="2" t="s">
        <v>191</v>
      </c>
      <c r="AE851" s="2">
        <f t="shared" si="87"/>
        <v>0</v>
      </c>
      <c r="AI851" s="2">
        <f t="shared" si="88"/>
        <v>0</v>
      </c>
      <c r="AJ851" s="2">
        <f t="shared" si="89"/>
        <v>25</v>
      </c>
      <c r="AK851" s="5">
        <f t="shared" si="91"/>
        <v>0.5</v>
      </c>
    </row>
    <row r="852" spans="1:37" x14ac:dyDescent="0.2">
      <c r="A852" s="2">
        <v>2025</v>
      </c>
      <c r="B852" s="2">
        <v>4</v>
      </c>
      <c r="C852" s="2" t="s">
        <v>1251</v>
      </c>
      <c r="O852" s="2" t="s">
        <v>283</v>
      </c>
      <c r="P852" s="2" t="s">
        <v>1078</v>
      </c>
      <c r="Q852" s="2" t="s">
        <v>1079</v>
      </c>
      <c r="R852" s="2">
        <v>1</v>
      </c>
      <c r="S852" s="2">
        <v>9.08</v>
      </c>
      <c r="W852" s="5">
        <f t="shared" si="90"/>
        <v>1</v>
      </c>
      <c r="Y852" s="2" t="s">
        <v>3256</v>
      </c>
      <c r="AE852" s="2">
        <f t="shared" si="87"/>
        <v>0</v>
      </c>
      <c r="AI852" s="2">
        <f t="shared" si="88"/>
        <v>0</v>
      </c>
      <c r="AJ852" s="2">
        <f t="shared" si="89"/>
        <v>9.08</v>
      </c>
      <c r="AK852" s="5">
        <f t="shared" si="91"/>
        <v>1</v>
      </c>
    </row>
    <row r="853" spans="1:37" x14ac:dyDescent="0.2">
      <c r="A853" s="2">
        <v>2025</v>
      </c>
      <c r="B853" s="2">
        <v>4</v>
      </c>
      <c r="C853" s="2" t="s">
        <v>1251</v>
      </c>
      <c r="O853" s="2" t="s">
        <v>43</v>
      </c>
      <c r="P853" s="2" t="s">
        <v>55</v>
      </c>
      <c r="Q853" s="2" t="s">
        <v>56</v>
      </c>
      <c r="R853" s="2">
        <v>5</v>
      </c>
      <c r="S853" s="2">
        <v>90</v>
      </c>
      <c r="T853" s="2">
        <f>S853*23%</f>
        <v>20.7</v>
      </c>
      <c r="U853" s="2">
        <f>S853+T853</f>
        <v>110.7</v>
      </c>
      <c r="V853" s="2">
        <f>10.6*R853</f>
        <v>53</v>
      </c>
      <c r="W853" s="5">
        <f t="shared" si="90"/>
        <v>0.41111111111111109</v>
      </c>
      <c r="Y853" s="2" t="s">
        <v>3256</v>
      </c>
      <c r="Z853" s="2" t="s">
        <v>46</v>
      </c>
      <c r="AA853" s="2" t="s">
        <v>57</v>
      </c>
      <c r="AB853" s="2" t="s">
        <v>58</v>
      </c>
      <c r="AE853" s="2">
        <f t="shared" si="87"/>
        <v>0</v>
      </c>
      <c r="AF853" s="2">
        <v>10.6</v>
      </c>
      <c r="AG853" s="2">
        <v>18</v>
      </c>
      <c r="AI853" s="2">
        <f t="shared" si="88"/>
        <v>0</v>
      </c>
      <c r="AJ853" s="2">
        <f t="shared" si="89"/>
        <v>37</v>
      </c>
      <c r="AK853" s="5">
        <f t="shared" si="91"/>
        <v>0.41111111111111109</v>
      </c>
    </row>
    <row r="854" spans="1:37" x14ac:dyDescent="0.2">
      <c r="A854" s="2">
        <v>2025</v>
      </c>
      <c r="B854" s="2">
        <v>4</v>
      </c>
      <c r="C854" s="2" t="s">
        <v>1251</v>
      </c>
      <c r="O854" s="2" t="s">
        <v>43</v>
      </c>
      <c r="P854" s="2" t="s">
        <v>1252</v>
      </c>
      <c r="Q854" s="2" t="s">
        <v>1253</v>
      </c>
      <c r="R854" s="2">
        <v>1</v>
      </c>
      <c r="S854" s="2">
        <v>9</v>
      </c>
      <c r="W854" s="5">
        <f t="shared" si="90"/>
        <v>1</v>
      </c>
      <c r="Y854" s="2" t="s">
        <v>3256</v>
      </c>
      <c r="Z854" s="2" t="s">
        <v>46</v>
      </c>
      <c r="AA854" s="2" t="s">
        <v>91</v>
      </c>
      <c r="AB854" s="2" t="s">
        <v>58</v>
      </c>
      <c r="AE854" s="2">
        <f t="shared" si="87"/>
        <v>0</v>
      </c>
      <c r="AI854" s="2">
        <f t="shared" si="88"/>
        <v>0</v>
      </c>
      <c r="AJ854" s="2">
        <f t="shared" si="89"/>
        <v>9</v>
      </c>
      <c r="AK854" s="5">
        <f t="shared" si="91"/>
        <v>1</v>
      </c>
    </row>
    <row r="855" spans="1:37" x14ac:dyDescent="0.2">
      <c r="A855" s="2">
        <v>2025</v>
      </c>
      <c r="B855" s="2">
        <v>4</v>
      </c>
      <c r="C855" s="2" t="s">
        <v>1026</v>
      </c>
      <c r="D855" s="2" t="s">
        <v>38</v>
      </c>
      <c r="E855" s="2" t="s">
        <v>39</v>
      </c>
      <c r="F855" s="2">
        <v>505647338</v>
      </c>
      <c r="G855" s="2" t="s">
        <v>291</v>
      </c>
      <c r="H855" s="2" t="s">
        <v>1027</v>
      </c>
      <c r="I855" s="2" t="s">
        <v>1028</v>
      </c>
      <c r="K855" s="2" t="s">
        <v>294</v>
      </c>
      <c r="L855" s="2" t="s">
        <v>81</v>
      </c>
      <c r="N855" s="2" t="s">
        <v>1254</v>
      </c>
      <c r="O855" s="2" t="s">
        <v>73</v>
      </c>
      <c r="P855" s="2" t="s">
        <v>74</v>
      </c>
      <c r="Q855" s="2" t="s">
        <v>75</v>
      </c>
      <c r="R855" s="2">
        <v>1</v>
      </c>
      <c r="S855" s="2">
        <v>215</v>
      </c>
      <c r="T855" s="2">
        <v>49.45</v>
      </c>
      <c r="U855" s="2">
        <v>264.45</v>
      </c>
      <c r="V855" s="2">
        <v>117.453</v>
      </c>
      <c r="W855" s="5">
        <f t="shared" si="90"/>
        <v>0.45370697674418603</v>
      </c>
      <c r="Y855" s="2" t="s">
        <v>3256</v>
      </c>
      <c r="Z855" s="2" t="s">
        <v>76</v>
      </c>
      <c r="AA855" s="2" t="s">
        <v>77</v>
      </c>
      <c r="AB855" s="2" t="s">
        <v>78</v>
      </c>
      <c r="AE855" s="2">
        <f t="shared" si="87"/>
        <v>0</v>
      </c>
      <c r="AF855" s="2">
        <v>117.453</v>
      </c>
      <c r="AG855" s="2">
        <v>220</v>
      </c>
      <c r="AI855" s="2">
        <f t="shared" si="88"/>
        <v>0</v>
      </c>
      <c r="AJ855" s="2">
        <f t="shared" si="89"/>
        <v>97.546999999999997</v>
      </c>
      <c r="AK855" s="5">
        <f t="shared" si="91"/>
        <v>0.45370697674418603</v>
      </c>
    </row>
    <row r="856" spans="1:37" x14ac:dyDescent="0.2">
      <c r="A856" s="2">
        <v>2025</v>
      </c>
      <c r="B856" s="2">
        <v>4</v>
      </c>
      <c r="C856" s="2" t="s">
        <v>1026</v>
      </c>
      <c r="D856" s="2" t="s">
        <v>38</v>
      </c>
      <c r="E856" s="2" t="s">
        <v>39</v>
      </c>
      <c r="F856" s="2">
        <v>505647338</v>
      </c>
      <c r="G856" s="2" t="s">
        <v>291</v>
      </c>
      <c r="H856" s="2" t="s">
        <v>1027</v>
      </c>
      <c r="I856" s="2" t="s">
        <v>1028</v>
      </c>
      <c r="K856" s="2" t="s">
        <v>294</v>
      </c>
      <c r="L856" s="2" t="s">
        <v>81</v>
      </c>
      <c r="N856" s="2" t="s">
        <v>1255</v>
      </c>
      <c r="O856" s="2" t="s">
        <v>73</v>
      </c>
      <c r="P856" s="2" t="s">
        <v>331</v>
      </c>
      <c r="Q856" s="2" t="s">
        <v>332</v>
      </c>
      <c r="R856" s="2">
        <v>1</v>
      </c>
      <c r="S856" s="2">
        <v>190</v>
      </c>
      <c r="T856" s="2">
        <v>43.7</v>
      </c>
      <c r="U856" s="2">
        <v>233.7</v>
      </c>
      <c r="V856" s="2">
        <v>111.11</v>
      </c>
      <c r="W856" s="5">
        <f t="shared" si="90"/>
        <v>0.41521052631578947</v>
      </c>
      <c r="Y856" s="2" t="s">
        <v>3256</v>
      </c>
      <c r="Z856" s="2" t="s">
        <v>76</v>
      </c>
      <c r="AA856" s="2" t="s">
        <v>77</v>
      </c>
      <c r="AB856" s="2" t="s">
        <v>78</v>
      </c>
      <c r="AE856" s="2">
        <f t="shared" si="87"/>
        <v>0</v>
      </c>
      <c r="AF856" s="2">
        <v>101.30500000000001</v>
      </c>
      <c r="AG856" s="2">
        <v>190</v>
      </c>
      <c r="AI856" s="2">
        <f t="shared" si="88"/>
        <v>0</v>
      </c>
      <c r="AJ856" s="2">
        <f t="shared" si="89"/>
        <v>78.89</v>
      </c>
      <c r="AK856" s="5">
        <f t="shared" si="91"/>
        <v>0.41521052631578947</v>
      </c>
    </row>
    <row r="857" spans="1:37" x14ac:dyDescent="0.2">
      <c r="A857" s="2">
        <v>2025</v>
      </c>
      <c r="B857" s="2">
        <v>4</v>
      </c>
      <c r="C857" s="2" t="s">
        <v>1026</v>
      </c>
      <c r="D857" s="2" t="s">
        <v>38</v>
      </c>
      <c r="E857" s="2" t="s">
        <v>39</v>
      </c>
      <c r="F857" s="2">
        <v>505647338</v>
      </c>
      <c r="G857" s="2" t="s">
        <v>291</v>
      </c>
      <c r="H857" s="2" t="s">
        <v>1027</v>
      </c>
      <c r="I857" s="2" t="s">
        <v>1028</v>
      </c>
      <c r="K857" s="2" t="s">
        <v>294</v>
      </c>
      <c r="L857" s="2" t="s">
        <v>81</v>
      </c>
      <c r="N857" s="2" t="s">
        <v>1256</v>
      </c>
      <c r="O857" s="2" t="s">
        <v>94</v>
      </c>
      <c r="P857" s="2" t="s">
        <v>95</v>
      </c>
      <c r="Q857" s="2" t="s">
        <v>96</v>
      </c>
      <c r="R857" s="2">
        <v>2</v>
      </c>
      <c r="S857" s="2">
        <v>2.2799999999999998</v>
      </c>
      <c r="T857" s="2">
        <v>0.52439999999999998</v>
      </c>
      <c r="U857" s="2">
        <v>2.8043999999999998</v>
      </c>
      <c r="V857" s="2">
        <v>2.2799999999999998</v>
      </c>
      <c r="W857" s="5">
        <f t="shared" si="90"/>
        <v>0</v>
      </c>
      <c r="Y857" s="2" t="s">
        <v>3256</v>
      </c>
      <c r="Z857" s="2" t="s">
        <v>97</v>
      </c>
      <c r="AA857" s="2" t="s">
        <v>77</v>
      </c>
      <c r="AB857" s="2" t="s">
        <v>94</v>
      </c>
      <c r="AE857" s="2">
        <f t="shared" si="87"/>
        <v>0</v>
      </c>
      <c r="AF857" s="2">
        <v>1.1399999999999999</v>
      </c>
      <c r="AG857" s="2">
        <v>1.1399999999999999</v>
      </c>
      <c r="AI857" s="2">
        <f t="shared" si="88"/>
        <v>0</v>
      </c>
      <c r="AJ857" s="2">
        <f t="shared" si="89"/>
        <v>0</v>
      </c>
      <c r="AK857" s="5">
        <f t="shared" si="91"/>
        <v>0</v>
      </c>
    </row>
    <row r="858" spans="1:37" x14ac:dyDescent="0.2">
      <c r="A858" s="2">
        <v>2025</v>
      </c>
      <c r="B858" s="2">
        <v>4</v>
      </c>
      <c r="C858" s="2" t="s">
        <v>1030</v>
      </c>
      <c r="O858" s="2" t="s">
        <v>43</v>
      </c>
      <c r="P858" s="2" t="s">
        <v>49</v>
      </c>
      <c r="Q858" s="2" t="s">
        <v>50</v>
      </c>
      <c r="R858" s="2">
        <v>2</v>
      </c>
      <c r="S858" s="2">
        <v>24</v>
      </c>
      <c r="T858" s="2">
        <f>S858*23%</f>
        <v>5.5200000000000005</v>
      </c>
      <c r="U858" s="2">
        <f>S858+T858</f>
        <v>29.52</v>
      </c>
      <c r="V858" s="2">
        <f>6.6267*R858</f>
        <v>13.253399999999999</v>
      </c>
      <c r="W858" s="5">
        <f t="shared" si="90"/>
        <v>0.44777500000000003</v>
      </c>
      <c r="Y858" s="2" t="s">
        <v>3256</v>
      </c>
      <c r="Z858" s="2" t="s">
        <v>46</v>
      </c>
      <c r="AA858" s="2" t="s">
        <v>47</v>
      </c>
      <c r="AB858" s="2" t="s">
        <v>48</v>
      </c>
      <c r="AE858" s="2">
        <f t="shared" si="87"/>
        <v>0</v>
      </c>
      <c r="AF858" s="2">
        <v>6.6266999999999996</v>
      </c>
      <c r="AG858" s="2">
        <v>12</v>
      </c>
      <c r="AI858" s="2">
        <f t="shared" si="88"/>
        <v>0</v>
      </c>
      <c r="AJ858" s="2">
        <f t="shared" si="89"/>
        <v>10.746600000000001</v>
      </c>
      <c r="AK858" s="5">
        <f t="shared" si="91"/>
        <v>0.44777500000000003</v>
      </c>
    </row>
    <row r="859" spans="1:37" x14ac:dyDescent="0.2">
      <c r="A859" s="2">
        <v>2025</v>
      </c>
      <c r="B859" s="2">
        <v>4</v>
      </c>
      <c r="C859" s="2" t="s">
        <v>455</v>
      </c>
      <c r="D859" s="2" t="s">
        <v>109</v>
      </c>
      <c r="E859" s="2" t="s">
        <v>39</v>
      </c>
      <c r="F859" s="2">
        <v>506085686</v>
      </c>
      <c r="G859" s="2" t="s">
        <v>40</v>
      </c>
      <c r="H859" s="2" t="s">
        <v>456</v>
      </c>
      <c r="I859" s="2" t="s">
        <v>457</v>
      </c>
      <c r="J859" s="2">
        <v>917241919</v>
      </c>
      <c r="K859" s="2" t="s">
        <v>400</v>
      </c>
      <c r="O859" s="2" t="s">
        <v>115</v>
      </c>
      <c r="P859" s="2" t="s">
        <v>814</v>
      </c>
      <c r="Q859" s="2" t="s">
        <v>815</v>
      </c>
      <c r="R859" s="2">
        <v>1</v>
      </c>
      <c r="S859" s="2">
        <v>71.819999999999993</v>
      </c>
      <c r="W859" s="5">
        <f t="shared" si="90"/>
        <v>1</v>
      </c>
      <c r="AE859" s="2">
        <f t="shared" si="87"/>
        <v>0</v>
      </c>
      <c r="AI859" s="2">
        <f t="shared" si="88"/>
        <v>0</v>
      </c>
      <c r="AJ859" s="2">
        <f t="shared" si="89"/>
        <v>71.819999999999993</v>
      </c>
      <c r="AK859" s="5">
        <f t="shared" si="91"/>
        <v>1</v>
      </c>
    </row>
    <row r="860" spans="1:37" x14ac:dyDescent="0.2">
      <c r="A860" s="2">
        <v>2025</v>
      </c>
      <c r="B860" s="2">
        <v>4</v>
      </c>
      <c r="C860" s="2" t="s">
        <v>455</v>
      </c>
      <c r="D860" s="2" t="s">
        <v>109</v>
      </c>
      <c r="E860" s="2" t="s">
        <v>39</v>
      </c>
      <c r="F860" s="2">
        <v>506085686</v>
      </c>
      <c r="G860" s="2" t="s">
        <v>40</v>
      </c>
      <c r="H860" s="2" t="s">
        <v>456</v>
      </c>
      <c r="I860" s="2" t="s">
        <v>457</v>
      </c>
      <c r="J860" s="2">
        <v>917241919</v>
      </c>
      <c r="K860" s="2" t="s">
        <v>400</v>
      </c>
      <c r="L860" s="2" t="s">
        <v>40</v>
      </c>
      <c r="O860" s="2" t="s">
        <v>188</v>
      </c>
      <c r="P860" s="2" t="s">
        <v>189</v>
      </c>
      <c r="Q860" s="2" t="s">
        <v>190</v>
      </c>
      <c r="R860" s="2">
        <v>4</v>
      </c>
      <c r="S860" s="2">
        <v>344.25</v>
      </c>
      <c r="T860" s="2">
        <v>79.177500000000009</v>
      </c>
      <c r="U860" s="2">
        <v>423.42750000000001</v>
      </c>
      <c r="W860" s="5">
        <f t="shared" si="90"/>
        <v>1</v>
      </c>
      <c r="Y860" s="2" t="s">
        <v>118</v>
      </c>
      <c r="Z860" s="2" t="s">
        <v>191</v>
      </c>
      <c r="AE860" s="2">
        <f t="shared" si="87"/>
        <v>0</v>
      </c>
      <c r="AI860" s="2">
        <f t="shared" si="88"/>
        <v>0</v>
      </c>
      <c r="AJ860" s="2">
        <f t="shared" si="89"/>
        <v>344.25</v>
      </c>
      <c r="AK860" s="5">
        <f t="shared" si="91"/>
        <v>1</v>
      </c>
    </row>
    <row r="861" spans="1:37" x14ac:dyDescent="0.2">
      <c r="A861" s="2">
        <v>2025</v>
      </c>
      <c r="B861" s="2">
        <v>4</v>
      </c>
      <c r="C861" s="2" t="s">
        <v>455</v>
      </c>
      <c r="D861" s="2" t="s">
        <v>109</v>
      </c>
      <c r="E861" s="2" t="s">
        <v>39</v>
      </c>
      <c r="F861" s="2">
        <v>506085686</v>
      </c>
      <c r="G861" s="2" t="s">
        <v>40</v>
      </c>
      <c r="H861" s="2" t="s">
        <v>456</v>
      </c>
      <c r="I861" s="2" t="s">
        <v>457</v>
      </c>
      <c r="J861" s="2">
        <v>917241919</v>
      </c>
      <c r="K861" s="2" t="s">
        <v>400</v>
      </c>
      <c r="L861" s="2" t="s">
        <v>40</v>
      </c>
      <c r="O861" s="2" t="s">
        <v>188</v>
      </c>
      <c r="P861" s="2" t="s">
        <v>192</v>
      </c>
      <c r="Q861" s="2" t="s">
        <v>191</v>
      </c>
      <c r="R861" s="2">
        <v>6.25</v>
      </c>
      <c r="S861" s="2">
        <v>281.25</v>
      </c>
      <c r="T861" s="2">
        <v>64.6875</v>
      </c>
      <c r="U861" s="2">
        <v>345.9375</v>
      </c>
      <c r="V861" s="2">
        <f>S861*50%</f>
        <v>140.625</v>
      </c>
      <c r="W861" s="5">
        <f t="shared" si="90"/>
        <v>0.5</v>
      </c>
      <c r="Y861" s="2" t="s">
        <v>118</v>
      </c>
      <c r="Z861" s="2" t="s">
        <v>191</v>
      </c>
      <c r="AE861" s="2">
        <f t="shared" si="87"/>
        <v>0</v>
      </c>
      <c r="AI861" s="2">
        <f t="shared" si="88"/>
        <v>0</v>
      </c>
      <c r="AJ861" s="2">
        <f t="shared" si="89"/>
        <v>140.625</v>
      </c>
      <c r="AK861" s="5">
        <f t="shared" si="91"/>
        <v>0.5</v>
      </c>
    </row>
    <row r="862" spans="1:37" x14ac:dyDescent="0.2">
      <c r="A862" s="2">
        <v>2025</v>
      </c>
      <c r="B862" s="2">
        <v>4</v>
      </c>
      <c r="C862" s="2" t="s">
        <v>1257</v>
      </c>
      <c r="O862" s="2" t="s">
        <v>73</v>
      </c>
      <c r="P862" s="2" t="s">
        <v>1258</v>
      </c>
      <c r="Q862" s="2" t="s">
        <v>75</v>
      </c>
      <c r="R862" s="2">
        <v>1</v>
      </c>
      <c r="S862" s="2">
        <v>220</v>
      </c>
      <c r="T862" s="2">
        <v>50.6</v>
      </c>
      <c r="U862" s="2">
        <v>270.60000000000002</v>
      </c>
      <c r="W862" s="5">
        <f t="shared" si="90"/>
        <v>1</v>
      </c>
      <c r="Y862" s="2" t="s">
        <v>3256</v>
      </c>
      <c r="Z862" s="2" t="s">
        <v>76</v>
      </c>
      <c r="AA862" s="2" t="s">
        <v>77</v>
      </c>
      <c r="AB862" s="2" t="s">
        <v>78</v>
      </c>
      <c r="AE862" s="2">
        <f t="shared" si="87"/>
        <v>0</v>
      </c>
      <c r="AI862" s="2">
        <f t="shared" si="88"/>
        <v>0</v>
      </c>
      <c r="AJ862" s="2">
        <f t="shared" si="89"/>
        <v>220</v>
      </c>
      <c r="AK862" s="5">
        <f t="shared" si="91"/>
        <v>1</v>
      </c>
    </row>
    <row r="863" spans="1:37" x14ac:dyDescent="0.2">
      <c r="A863" s="2">
        <v>2025</v>
      </c>
      <c r="B863" s="2">
        <v>4</v>
      </c>
      <c r="C863" s="2" t="s">
        <v>1257</v>
      </c>
      <c r="O863" s="2" t="s">
        <v>94</v>
      </c>
      <c r="P863" s="2" t="s">
        <v>95</v>
      </c>
      <c r="Q863" s="2" t="s">
        <v>96</v>
      </c>
      <c r="R863" s="2">
        <v>1</v>
      </c>
      <c r="S863" s="2">
        <v>1.1399999999999999</v>
      </c>
      <c r="T863" s="2">
        <v>0.26219999999999999</v>
      </c>
      <c r="U863" s="2">
        <v>1.4021999999999999</v>
      </c>
      <c r="V863" s="2">
        <v>1.1399999999999999</v>
      </c>
      <c r="W863" s="5">
        <f t="shared" si="90"/>
        <v>0</v>
      </c>
      <c r="Y863" s="2" t="s">
        <v>3256</v>
      </c>
      <c r="Z863" s="2" t="s">
        <v>97</v>
      </c>
      <c r="AA863" s="2" t="s">
        <v>77</v>
      </c>
      <c r="AB863" s="2" t="s">
        <v>94</v>
      </c>
      <c r="AE863" s="2">
        <f t="shared" si="87"/>
        <v>0</v>
      </c>
      <c r="AI863" s="2">
        <f t="shared" si="88"/>
        <v>0</v>
      </c>
      <c r="AJ863" s="2">
        <f t="shared" si="89"/>
        <v>0</v>
      </c>
      <c r="AK863" s="5">
        <f t="shared" si="91"/>
        <v>0</v>
      </c>
    </row>
    <row r="864" spans="1:37" x14ac:dyDescent="0.2">
      <c r="A864" s="2">
        <v>2025</v>
      </c>
      <c r="B864" s="2">
        <v>4</v>
      </c>
      <c r="C864" s="2" t="s">
        <v>1259</v>
      </c>
      <c r="O864" s="2" t="s">
        <v>40</v>
      </c>
      <c r="P864" s="2" t="s">
        <v>364</v>
      </c>
      <c r="Q864" s="2" t="s">
        <v>365</v>
      </c>
      <c r="R864" s="2">
        <v>1</v>
      </c>
      <c r="S864" s="2">
        <v>1250</v>
      </c>
      <c r="T864" s="2">
        <v>287.5</v>
      </c>
      <c r="U864" s="2">
        <v>1537.5</v>
      </c>
      <c r="W864" s="5">
        <f t="shared" si="90"/>
        <v>1</v>
      </c>
      <c r="Y864" s="2" t="s">
        <v>120</v>
      </c>
      <c r="AE864" s="2">
        <f t="shared" si="87"/>
        <v>0</v>
      </c>
      <c r="AI864" s="2">
        <f t="shared" si="88"/>
        <v>0</v>
      </c>
      <c r="AJ864" s="2">
        <f t="shared" si="89"/>
        <v>1250</v>
      </c>
      <c r="AK864" s="5">
        <f t="shared" si="91"/>
        <v>1</v>
      </c>
    </row>
    <row r="865" spans="1:37" x14ac:dyDescent="0.2">
      <c r="A865" s="2">
        <v>2025</v>
      </c>
      <c r="B865" s="2">
        <v>4</v>
      </c>
      <c r="C865" s="2" t="s">
        <v>466</v>
      </c>
      <c r="D865" s="2" t="s">
        <v>109</v>
      </c>
      <c r="E865" s="2" t="s">
        <v>39</v>
      </c>
      <c r="F865" s="2">
        <v>506531031</v>
      </c>
      <c r="G865" s="2" t="s">
        <v>110</v>
      </c>
      <c r="H865" s="2" t="s">
        <v>467</v>
      </c>
      <c r="I865" s="2" t="s">
        <v>468</v>
      </c>
      <c r="K865" s="2" t="s">
        <v>113</v>
      </c>
      <c r="O865" s="2" t="s">
        <v>115</v>
      </c>
      <c r="P865" s="2" t="s">
        <v>1260</v>
      </c>
      <c r="Q865" s="2" t="s">
        <v>1261</v>
      </c>
      <c r="R865" s="2">
        <v>1</v>
      </c>
      <c r="S865" s="2">
        <v>382.35</v>
      </c>
      <c r="W865" s="5">
        <f t="shared" si="90"/>
        <v>1</v>
      </c>
      <c r="AE865" s="2">
        <f t="shared" si="87"/>
        <v>0</v>
      </c>
      <c r="AI865" s="2">
        <f t="shared" si="88"/>
        <v>0</v>
      </c>
      <c r="AJ865" s="2">
        <f t="shared" si="89"/>
        <v>382.35</v>
      </c>
      <c r="AK865" s="5">
        <f t="shared" si="91"/>
        <v>1</v>
      </c>
    </row>
    <row r="866" spans="1:37" x14ac:dyDescent="0.2">
      <c r="A866" s="2">
        <v>2025</v>
      </c>
      <c r="B866" s="2">
        <v>4</v>
      </c>
      <c r="C866" s="2" t="s">
        <v>473</v>
      </c>
      <c r="D866" s="2" t="s">
        <v>38</v>
      </c>
      <c r="E866" s="2" t="s">
        <v>474</v>
      </c>
      <c r="F866" s="2">
        <v>513626930</v>
      </c>
      <c r="G866" s="2" t="s">
        <v>40</v>
      </c>
      <c r="H866" s="2" t="s">
        <v>340</v>
      </c>
      <c r="I866" s="2" t="s">
        <v>475</v>
      </c>
      <c r="K866" s="2" t="s">
        <v>340</v>
      </c>
      <c r="L866" s="2" t="s">
        <v>40</v>
      </c>
      <c r="O866" s="2" t="s">
        <v>115</v>
      </c>
      <c r="P866" s="2" t="s">
        <v>416</v>
      </c>
      <c r="Q866" s="2" t="s">
        <v>417</v>
      </c>
      <c r="R866" s="2">
        <v>1</v>
      </c>
      <c r="S866" s="2">
        <v>15000</v>
      </c>
      <c r="T866" s="2">
        <v>3450</v>
      </c>
      <c r="U866" s="2">
        <v>18450</v>
      </c>
      <c r="V866" s="2">
        <v>10669.4</v>
      </c>
      <c r="W866" s="5">
        <f t="shared" si="90"/>
        <v>0.28870666666666667</v>
      </c>
      <c r="Y866" s="2" t="s">
        <v>105</v>
      </c>
      <c r="Z866" s="2" t="s">
        <v>418</v>
      </c>
      <c r="AA866" s="2" t="s">
        <v>152</v>
      </c>
      <c r="AB866" s="2" t="s">
        <v>115</v>
      </c>
      <c r="AE866" s="2">
        <f t="shared" si="87"/>
        <v>0</v>
      </c>
      <c r="AI866" s="2">
        <f t="shared" si="88"/>
        <v>0</v>
      </c>
      <c r="AJ866" s="2">
        <f t="shared" si="89"/>
        <v>4330.6000000000004</v>
      </c>
      <c r="AK866" s="5">
        <f t="shared" si="91"/>
        <v>0.28870666666666667</v>
      </c>
    </row>
    <row r="867" spans="1:37" x14ac:dyDescent="0.2">
      <c r="A867" s="2">
        <v>2025</v>
      </c>
      <c r="B867" s="2">
        <v>4</v>
      </c>
      <c r="C867" s="2" t="s">
        <v>473</v>
      </c>
      <c r="D867" s="2" t="s">
        <v>38</v>
      </c>
      <c r="E867" s="2" t="s">
        <v>474</v>
      </c>
      <c r="F867" s="2">
        <v>513626930</v>
      </c>
      <c r="G867" s="2" t="s">
        <v>40</v>
      </c>
      <c r="H867" s="2" t="s">
        <v>340</v>
      </c>
      <c r="I867" s="2" t="s">
        <v>475</v>
      </c>
      <c r="K867" s="2" t="s">
        <v>340</v>
      </c>
      <c r="L867" s="2" t="s">
        <v>40</v>
      </c>
      <c r="O867" s="2" t="s">
        <v>283</v>
      </c>
      <c r="P867" s="2" t="s">
        <v>1262</v>
      </c>
      <c r="Q867" s="2" t="s">
        <v>1263</v>
      </c>
      <c r="R867" s="2">
        <v>1</v>
      </c>
      <c r="S867" s="2">
        <v>2350</v>
      </c>
      <c r="W867" s="5">
        <f t="shared" ref="W867:W898" si="92">(S867-V867)/S867</f>
        <v>1</v>
      </c>
      <c r="Y867" s="2" t="s">
        <v>105</v>
      </c>
      <c r="AE867" s="2">
        <f t="shared" si="87"/>
        <v>0</v>
      </c>
      <c r="AI867" s="2">
        <f t="shared" si="88"/>
        <v>0</v>
      </c>
      <c r="AJ867" s="2">
        <f t="shared" si="89"/>
        <v>2350</v>
      </c>
      <c r="AK867" s="5">
        <f t="shared" si="91"/>
        <v>1</v>
      </c>
    </row>
    <row r="868" spans="1:37" x14ac:dyDescent="0.2">
      <c r="A868" s="2">
        <v>2025</v>
      </c>
      <c r="B868" s="2">
        <v>4</v>
      </c>
      <c r="C868" s="2" t="s">
        <v>850</v>
      </c>
      <c r="D868" s="2" t="s">
        <v>38</v>
      </c>
      <c r="E868" s="2" t="s">
        <v>39</v>
      </c>
      <c r="F868" s="2">
        <v>161685080</v>
      </c>
      <c r="G868" s="2" t="s">
        <v>41</v>
      </c>
      <c r="H868" s="2" t="s">
        <v>422</v>
      </c>
      <c r="J868" s="2" t="s">
        <v>851</v>
      </c>
      <c r="K868" s="2" t="s">
        <v>422</v>
      </c>
      <c r="L868" s="2" t="s">
        <v>41</v>
      </c>
      <c r="N868" s="2" t="s">
        <v>1264</v>
      </c>
      <c r="O868" s="2" t="s">
        <v>43</v>
      </c>
      <c r="P868" s="2" t="s">
        <v>49</v>
      </c>
      <c r="Q868" s="2" t="s">
        <v>50</v>
      </c>
      <c r="R868" s="2">
        <v>1</v>
      </c>
      <c r="S868" s="2">
        <v>12</v>
      </c>
      <c r="T868" s="2">
        <f>S868*23%</f>
        <v>2.7600000000000002</v>
      </c>
      <c r="U868" s="2">
        <f>S868+T868</f>
        <v>14.76</v>
      </c>
      <c r="V868" s="2">
        <f>6.6267*R868</f>
        <v>6.6266999999999996</v>
      </c>
      <c r="W868" s="5">
        <f t="shared" si="92"/>
        <v>0.44777500000000003</v>
      </c>
      <c r="Y868" s="2" t="s">
        <v>3256</v>
      </c>
      <c r="Z868" s="2" t="s">
        <v>46</v>
      </c>
      <c r="AA868" s="2" t="s">
        <v>47</v>
      </c>
      <c r="AB868" s="2" t="s">
        <v>48</v>
      </c>
      <c r="AE868" s="2">
        <f t="shared" si="87"/>
        <v>0</v>
      </c>
      <c r="AF868" s="2">
        <v>6.6266999999999996</v>
      </c>
      <c r="AG868" s="2">
        <v>12</v>
      </c>
      <c r="AI868" s="2">
        <f t="shared" si="88"/>
        <v>0</v>
      </c>
      <c r="AJ868" s="2">
        <f t="shared" si="89"/>
        <v>5.3733000000000004</v>
      </c>
      <c r="AK868" s="5">
        <f t="shared" si="91"/>
        <v>0.44777500000000003</v>
      </c>
    </row>
    <row r="869" spans="1:37" x14ac:dyDescent="0.2">
      <c r="A869" s="2">
        <v>2025</v>
      </c>
      <c r="B869" s="2">
        <v>4</v>
      </c>
      <c r="C869" s="2" t="s">
        <v>850</v>
      </c>
      <c r="D869" s="2" t="s">
        <v>38</v>
      </c>
      <c r="E869" s="2" t="s">
        <v>39</v>
      </c>
      <c r="F869" s="2">
        <v>161685080</v>
      </c>
      <c r="G869" s="2" t="s">
        <v>41</v>
      </c>
      <c r="H869" s="2" t="s">
        <v>422</v>
      </c>
      <c r="J869" s="2" t="s">
        <v>851</v>
      </c>
      <c r="K869" s="2" t="s">
        <v>422</v>
      </c>
      <c r="L869" s="2" t="s">
        <v>41</v>
      </c>
      <c r="N869" s="2" t="s">
        <v>1264</v>
      </c>
      <c r="O869" s="2" t="s">
        <v>43</v>
      </c>
      <c r="P869" s="2" t="s">
        <v>55</v>
      </c>
      <c r="Q869" s="2" t="s">
        <v>56</v>
      </c>
      <c r="R869" s="2">
        <v>1</v>
      </c>
      <c r="S869" s="2">
        <v>18</v>
      </c>
      <c r="T869" s="2">
        <f>S869*23%</f>
        <v>4.1400000000000006</v>
      </c>
      <c r="U869" s="2">
        <f>S869+T869</f>
        <v>22.14</v>
      </c>
      <c r="V869" s="2">
        <f>10.6*R869</f>
        <v>10.6</v>
      </c>
      <c r="W869" s="5">
        <f t="shared" si="92"/>
        <v>0.41111111111111115</v>
      </c>
      <c r="Y869" s="2" t="s">
        <v>3256</v>
      </c>
      <c r="Z869" s="2" t="s">
        <v>46</v>
      </c>
      <c r="AA869" s="2" t="s">
        <v>57</v>
      </c>
      <c r="AB869" s="2" t="s">
        <v>58</v>
      </c>
      <c r="AE869" s="2">
        <f t="shared" si="87"/>
        <v>0</v>
      </c>
      <c r="AF869" s="2">
        <v>10.6</v>
      </c>
      <c r="AG869" s="2">
        <v>18</v>
      </c>
      <c r="AI869" s="2">
        <f t="shared" si="88"/>
        <v>0</v>
      </c>
      <c r="AJ869" s="2">
        <f t="shared" si="89"/>
        <v>7.4</v>
      </c>
      <c r="AK869" s="5">
        <f t="shared" si="91"/>
        <v>0.41111111111111115</v>
      </c>
    </row>
    <row r="870" spans="1:37" x14ac:dyDescent="0.2">
      <c r="A870" s="2">
        <v>2025</v>
      </c>
      <c r="B870" s="2">
        <v>4</v>
      </c>
      <c r="C870" s="2" t="s">
        <v>850</v>
      </c>
      <c r="D870" s="2" t="s">
        <v>38</v>
      </c>
      <c r="E870" s="2" t="s">
        <v>39</v>
      </c>
      <c r="F870" s="2">
        <v>161685080</v>
      </c>
      <c r="G870" s="2" t="s">
        <v>41</v>
      </c>
      <c r="H870" s="2" t="s">
        <v>422</v>
      </c>
      <c r="J870" s="2" t="s">
        <v>851</v>
      </c>
      <c r="K870" s="2" t="s">
        <v>422</v>
      </c>
      <c r="L870" s="2" t="s">
        <v>41</v>
      </c>
      <c r="N870" s="2" t="s">
        <v>1264</v>
      </c>
      <c r="O870" s="2" t="s">
        <v>43</v>
      </c>
      <c r="P870" s="2" t="s">
        <v>62</v>
      </c>
      <c r="Q870" s="2" t="s">
        <v>63</v>
      </c>
      <c r="R870" s="2">
        <v>100</v>
      </c>
      <c r="S870" s="2">
        <v>13</v>
      </c>
      <c r="T870" s="2">
        <f>S870*23%</f>
        <v>2.99</v>
      </c>
      <c r="U870" s="2">
        <f>S870+T870</f>
        <v>15.99</v>
      </c>
      <c r="V870" s="2">
        <f>0.082*R870</f>
        <v>8.2000000000000011</v>
      </c>
      <c r="W870" s="5">
        <f t="shared" si="92"/>
        <v>0.36923076923076914</v>
      </c>
      <c r="Y870" s="2" t="s">
        <v>3256</v>
      </c>
      <c r="Z870" s="2" t="s">
        <v>46</v>
      </c>
      <c r="AA870" s="2" t="s">
        <v>61</v>
      </c>
      <c r="AB870" s="2" t="s">
        <v>58</v>
      </c>
      <c r="AE870" s="2">
        <f t="shared" si="87"/>
        <v>0</v>
      </c>
      <c r="AF870" s="2">
        <v>8.1999999999999993</v>
      </c>
      <c r="AG870" s="2">
        <v>13</v>
      </c>
      <c r="AI870" s="2">
        <f t="shared" si="88"/>
        <v>0</v>
      </c>
      <c r="AJ870" s="2">
        <f t="shared" si="89"/>
        <v>4.7999999999999989</v>
      </c>
      <c r="AK870" s="5">
        <f t="shared" si="91"/>
        <v>0.36923076923076914</v>
      </c>
    </row>
    <row r="871" spans="1:37" x14ac:dyDescent="0.2">
      <c r="A871" s="2">
        <v>2025</v>
      </c>
      <c r="B871" s="2">
        <v>4</v>
      </c>
      <c r="C871" s="2" t="s">
        <v>853</v>
      </c>
      <c r="O871" s="2" t="s">
        <v>73</v>
      </c>
      <c r="P871" s="2" t="s">
        <v>74</v>
      </c>
      <c r="Q871" s="2" t="s">
        <v>75</v>
      </c>
      <c r="R871" s="2">
        <v>1</v>
      </c>
      <c r="S871" s="2">
        <v>210</v>
      </c>
      <c r="T871" s="2">
        <v>48.3</v>
      </c>
      <c r="U871" s="2">
        <v>258.3</v>
      </c>
      <c r="V871" s="2">
        <v>117.453</v>
      </c>
      <c r="W871" s="5">
        <f t="shared" si="92"/>
        <v>0.44069999999999998</v>
      </c>
      <c r="Y871" s="2" t="s">
        <v>3256</v>
      </c>
      <c r="Z871" s="2" t="s">
        <v>76</v>
      </c>
      <c r="AA871" s="2" t="s">
        <v>77</v>
      </c>
      <c r="AB871" s="2" t="s">
        <v>78</v>
      </c>
      <c r="AE871" s="2">
        <f t="shared" si="87"/>
        <v>0</v>
      </c>
      <c r="AF871" s="2">
        <v>117.453</v>
      </c>
      <c r="AG871" s="2">
        <v>220</v>
      </c>
      <c r="AI871" s="2">
        <f t="shared" si="88"/>
        <v>0</v>
      </c>
      <c r="AJ871" s="2">
        <f t="shared" si="89"/>
        <v>92.546999999999997</v>
      </c>
      <c r="AK871" s="5">
        <f t="shared" si="91"/>
        <v>0.44069999999999998</v>
      </c>
    </row>
    <row r="872" spans="1:37" x14ac:dyDescent="0.2">
      <c r="A872" s="2">
        <v>2025</v>
      </c>
      <c r="B872" s="2">
        <v>4</v>
      </c>
      <c r="C872" s="2" t="s">
        <v>853</v>
      </c>
      <c r="O872" s="2" t="s">
        <v>94</v>
      </c>
      <c r="P872" s="2" t="s">
        <v>95</v>
      </c>
      <c r="Q872" s="2" t="s">
        <v>96</v>
      </c>
      <c r="R872" s="2">
        <v>1</v>
      </c>
      <c r="S872" s="2">
        <v>1.1399999999999999</v>
      </c>
      <c r="T872" s="2">
        <v>0.26219999999999999</v>
      </c>
      <c r="U872" s="2">
        <v>1.4021999999999999</v>
      </c>
      <c r="V872" s="2">
        <v>1.1399999999999999</v>
      </c>
      <c r="W872" s="5">
        <f t="shared" si="92"/>
        <v>0</v>
      </c>
      <c r="Y872" s="2" t="s">
        <v>3256</v>
      </c>
      <c r="Z872" s="2" t="s">
        <v>97</v>
      </c>
      <c r="AA872" s="2" t="s">
        <v>77</v>
      </c>
      <c r="AB872" s="2" t="s">
        <v>94</v>
      </c>
      <c r="AE872" s="2">
        <f t="shared" si="87"/>
        <v>0</v>
      </c>
      <c r="AI872" s="2">
        <f t="shared" si="88"/>
        <v>0</v>
      </c>
      <c r="AJ872" s="2">
        <f t="shared" si="89"/>
        <v>0</v>
      </c>
      <c r="AK872" s="5">
        <f t="shared" si="91"/>
        <v>0</v>
      </c>
    </row>
    <row r="873" spans="1:37" x14ac:dyDescent="0.2">
      <c r="A873" s="2">
        <v>2025</v>
      </c>
      <c r="B873" s="2">
        <v>4</v>
      </c>
      <c r="C873" s="2" t="s">
        <v>489</v>
      </c>
      <c r="D873" s="2" t="s">
        <v>109</v>
      </c>
      <c r="E873" s="2" t="s">
        <v>39</v>
      </c>
      <c r="F873" s="2">
        <v>506834689</v>
      </c>
      <c r="G873" s="2" t="s">
        <v>41</v>
      </c>
      <c r="H873" s="2" t="s">
        <v>490</v>
      </c>
      <c r="I873" s="2" t="s">
        <v>491</v>
      </c>
      <c r="J873" s="2">
        <v>919866237</v>
      </c>
      <c r="K873" s="2" t="s">
        <v>465</v>
      </c>
      <c r="O873" s="2" t="s">
        <v>43</v>
      </c>
      <c r="P873" s="2" t="s">
        <v>225</v>
      </c>
      <c r="Q873" s="2" t="s">
        <v>226</v>
      </c>
      <c r="R873" s="2">
        <v>1</v>
      </c>
      <c r="S873" s="2">
        <v>15.6</v>
      </c>
      <c r="W873" s="5">
        <f t="shared" si="92"/>
        <v>1</v>
      </c>
      <c r="Y873" s="2" t="s">
        <v>3256</v>
      </c>
      <c r="Z873" s="2" t="s">
        <v>46</v>
      </c>
      <c r="AA873" s="2" t="s">
        <v>57</v>
      </c>
      <c r="AB873" s="2" t="s">
        <v>58</v>
      </c>
      <c r="AE873" s="2">
        <f t="shared" si="87"/>
        <v>0</v>
      </c>
      <c r="AI873" s="2">
        <f t="shared" si="88"/>
        <v>0</v>
      </c>
      <c r="AJ873" s="2">
        <f t="shared" si="89"/>
        <v>15.6</v>
      </c>
      <c r="AK873" s="5">
        <f t="shared" si="91"/>
        <v>1</v>
      </c>
    </row>
    <row r="874" spans="1:37" x14ac:dyDescent="0.2">
      <c r="A874" s="2">
        <v>2025</v>
      </c>
      <c r="B874" s="2">
        <v>4</v>
      </c>
      <c r="C874" s="2" t="s">
        <v>489</v>
      </c>
      <c r="D874" s="2" t="s">
        <v>109</v>
      </c>
      <c r="E874" s="2" t="s">
        <v>39</v>
      </c>
      <c r="F874" s="2">
        <v>506834689</v>
      </c>
      <c r="G874" s="2" t="s">
        <v>41</v>
      </c>
      <c r="H874" s="2" t="s">
        <v>490</v>
      </c>
      <c r="I874" s="2" t="s">
        <v>491</v>
      </c>
      <c r="J874" s="2">
        <v>919866237</v>
      </c>
      <c r="K874" s="2" t="s">
        <v>465</v>
      </c>
      <c r="O874" s="2" t="s">
        <v>43</v>
      </c>
      <c r="P874" s="2" t="s">
        <v>227</v>
      </c>
      <c r="Q874" s="2" t="s">
        <v>228</v>
      </c>
      <c r="R874" s="2">
        <v>1</v>
      </c>
      <c r="S874" s="2">
        <v>17.399999999999999</v>
      </c>
      <c r="W874" s="5">
        <f t="shared" si="92"/>
        <v>1</v>
      </c>
      <c r="Y874" s="2" t="s">
        <v>3256</v>
      </c>
      <c r="Z874" s="2" t="s">
        <v>46</v>
      </c>
      <c r="AA874" s="2" t="s">
        <v>57</v>
      </c>
      <c r="AB874" s="2" t="s">
        <v>58</v>
      </c>
      <c r="AE874" s="2">
        <f t="shared" si="87"/>
        <v>0</v>
      </c>
      <c r="AI874" s="2">
        <f t="shared" si="88"/>
        <v>0</v>
      </c>
      <c r="AJ874" s="2">
        <f t="shared" si="89"/>
        <v>17.399999999999999</v>
      </c>
      <c r="AK874" s="5">
        <f t="shared" si="91"/>
        <v>1</v>
      </c>
    </row>
    <row r="875" spans="1:37" x14ac:dyDescent="0.2">
      <c r="A875" s="2">
        <v>2025</v>
      </c>
      <c r="B875" s="2">
        <v>4</v>
      </c>
      <c r="C875" s="2" t="s">
        <v>489</v>
      </c>
      <c r="D875" s="2" t="s">
        <v>109</v>
      </c>
      <c r="E875" s="2" t="s">
        <v>39</v>
      </c>
      <c r="F875" s="2">
        <v>506834689</v>
      </c>
      <c r="G875" s="2" t="s">
        <v>41</v>
      </c>
      <c r="H875" s="2" t="s">
        <v>490</v>
      </c>
      <c r="I875" s="2" t="s">
        <v>491</v>
      </c>
      <c r="J875" s="2">
        <v>919866237</v>
      </c>
      <c r="K875" s="2" t="s">
        <v>465</v>
      </c>
      <c r="O875" s="2" t="s">
        <v>43</v>
      </c>
      <c r="P875" s="2" t="s">
        <v>62</v>
      </c>
      <c r="Q875" s="2" t="s">
        <v>63</v>
      </c>
      <c r="R875" s="2">
        <v>2000</v>
      </c>
      <c r="S875" s="2">
        <v>210</v>
      </c>
      <c r="T875" s="2">
        <f>S875*23%</f>
        <v>48.300000000000004</v>
      </c>
      <c r="U875" s="2">
        <f>S875+T875</f>
        <v>258.3</v>
      </c>
      <c r="V875" s="2">
        <f>0.082*R875</f>
        <v>164</v>
      </c>
      <c r="W875" s="5">
        <f t="shared" si="92"/>
        <v>0.21904761904761905</v>
      </c>
      <c r="Y875" s="2" t="s">
        <v>3256</v>
      </c>
      <c r="Z875" s="2" t="s">
        <v>46</v>
      </c>
      <c r="AA875" s="2" t="s">
        <v>61</v>
      </c>
      <c r="AB875" s="2" t="s">
        <v>58</v>
      </c>
      <c r="AE875" s="2">
        <f t="shared" si="87"/>
        <v>0</v>
      </c>
      <c r="AF875" s="2">
        <v>8.1999999999999993</v>
      </c>
      <c r="AG875" s="2">
        <v>13</v>
      </c>
      <c r="AI875" s="2">
        <f t="shared" si="88"/>
        <v>0</v>
      </c>
      <c r="AJ875" s="2">
        <f t="shared" si="89"/>
        <v>46</v>
      </c>
      <c r="AK875" s="5">
        <f t="shared" si="91"/>
        <v>0.21904761904761905</v>
      </c>
    </row>
    <row r="876" spans="1:37" x14ac:dyDescent="0.2">
      <c r="A876" s="2">
        <v>2025</v>
      </c>
      <c r="B876" s="2">
        <v>4</v>
      </c>
      <c r="C876" s="2" t="s">
        <v>489</v>
      </c>
      <c r="D876" s="2" t="s">
        <v>109</v>
      </c>
      <c r="E876" s="2" t="s">
        <v>39</v>
      </c>
      <c r="F876" s="2">
        <v>506834689</v>
      </c>
      <c r="G876" s="2" t="s">
        <v>41</v>
      </c>
      <c r="H876" s="2" t="s">
        <v>490</v>
      </c>
      <c r="I876" s="2" t="s">
        <v>491</v>
      </c>
      <c r="J876" s="2">
        <v>919866237</v>
      </c>
      <c r="K876" s="2" t="s">
        <v>465</v>
      </c>
      <c r="L876" s="2" t="s">
        <v>40</v>
      </c>
      <c r="O876" s="2" t="s">
        <v>188</v>
      </c>
      <c r="P876" s="2" t="s">
        <v>189</v>
      </c>
      <c r="Q876" s="2" t="s">
        <v>190</v>
      </c>
      <c r="R876" s="2">
        <v>1</v>
      </c>
      <c r="S876" s="2">
        <v>127</v>
      </c>
      <c r="T876" s="2">
        <v>29.21</v>
      </c>
      <c r="U876" s="2">
        <v>156.21</v>
      </c>
      <c r="W876" s="5">
        <f t="shared" si="92"/>
        <v>1</v>
      </c>
      <c r="Y876" s="2" t="s">
        <v>118</v>
      </c>
      <c r="Z876" s="2" t="s">
        <v>191</v>
      </c>
      <c r="AE876" s="2">
        <f t="shared" si="87"/>
        <v>0</v>
      </c>
      <c r="AI876" s="2">
        <f t="shared" si="88"/>
        <v>0</v>
      </c>
      <c r="AJ876" s="2">
        <f t="shared" si="89"/>
        <v>127</v>
      </c>
      <c r="AK876" s="5">
        <f t="shared" si="91"/>
        <v>1</v>
      </c>
    </row>
    <row r="877" spans="1:37" x14ac:dyDescent="0.2">
      <c r="A877" s="2">
        <v>2025</v>
      </c>
      <c r="B877" s="2">
        <v>4</v>
      </c>
      <c r="C877" s="2" t="s">
        <v>489</v>
      </c>
      <c r="D877" s="2" t="s">
        <v>109</v>
      </c>
      <c r="E877" s="2" t="s">
        <v>39</v>
      </c>
      <c r="F877" s="2">
        <v>506834689</v>
      </c>
      <c r="G877" s="2" t="s">
        <v>41</v>
      </c>
      <c r="H877" s="2" t="s">
        <v>490</v>
      </c>
      <c r="I877" s="2" t="s">
        <v>491</v>
      </c>
      <c r="J877" s="2">
        <v>919866237</v>
      </c>
      <c r="K877" s="2" t="s">
        <v>465</v>
      </c>
      <c r="L877" s="2" t="s">
        <v>40</v>
      </c>
      <c r="O877" s="2" t="s">
        <v>188</v>
      </c>
      <c r="P877" s="2" t="s">
        <v>192</v>
      </c>
      <c r="Q877" s="2" t="s">
        <v>191</v>
      </c>
      <c r="R877" s="2">
        <v>1</v>
      </c>
      <c r="S877" s="2">
        <v>50</v>
      </c>
      <c r="T877" s="2">
        <v>11.5</v>
      </c>
      <c r="U877" s="2">
        <v>61.5</v>
      </c>
      <c r="V877" s="2">
        <f>S877*50%</f>
        <v>25</v>
      </c>
      <c r="W877" s="5">
        <f t="shared" si="92"/>
        <v>0.5</v>
      </c>
      <c r="Y877" s="2" t="s">
        <v>118</v>
      </c>
      <c r="Z877" s="2" t="s">
        <v>191</v>
      </c>
      <c r="AE877" s="2">
        <f t="shared" si="87"/>
        <v>0</v>
      </c>
      <c r="AI877" s="2">
        <f t="shared" si="88"/>
        <v>0</v>
      </c>
      <c r="AJ877" s="2">
        <f t="shared" si="89"/>
        <v>25</v>
      </c>
      <c r="AK877" s="5">
        <f t="shared" si="91"/>
        <v>0.5</v>
      </c>
    </row>
    <row r="878" spans="1:37" x14ac:dyDescent="0.2">
      <c r="A878" s="2">
        <v>2025</v>
      </c>
      <c r="B878" s="2">
        <v>4</v>
      </c>
      <c r="C878" s="2" t="s">
        <v>489</v>
      </c>
      <c r="D878" s="2" t="s">
        <v>109</v>
      </c>
      <c r="E878" s="2" t="s">
        <v>39</v>
      </c>
      <c r="F878" s="2">
        <v>506834689</v>
      </c>
      <c r="G878" s="2" t="s">
        <v>41</v>
      </c>
      <c r="H878" s="2" t="s">
        <v>490</v>
      </c>
      <c r="I878" s="2" t="s">
        <v>491</v>
      </c>
      <c r="J878" s="2">
        <v>919866237</v>
      </c>
      <c r="K878" s="2" t="s">
        <v>465</v>
      </c>
      <c r="O878" s="2" t="s">
        <v>40</v>
      </c>
      <c r="P878" s="2" t="s">
        <v>364</v>
      </c>
      <c r="Q878" s="2" t="s">
        <v>365</v>
      </c>
      <c r="R878" s="2">
        <v>1</v>
      </c>
      <c r="S878" s="2">
        <v>101.5</v>
      </c>
      <c r="T878" s="2">
        <v>23.344999999999999</v>
      </c>
      <c r="U878" s="2">
        <v>124.845</v>
      </c>
      <c r="W878" s="5">
        <f t="shared" si="92"/>
        <v>1</v>
      </c>
      <c r="Y878" s="2" t="s">
        <v>120</v>
      </c>
      <c r="AE878" s="2">
        <f t="shared" si="87"/>
        <v>0</v>
      </c>
      <c r="AI878" s="2">
        <f t="shared" si="88"/>
        <v>0</v>
      </c>
      <c r="AJ878" s="2">
        <f t="shared" si="89"/>
        <v>101.5</v>
      </c>
      <c r="AK878" s="5">
        <f t="shared" si="91"/>
        <v>1</v>
      </c>
    </row>
    <row r="879" spans="1:37" x14ac:dyDescent="0.2">
      <c r="A879" s="2">
        <v>2025</v>
      </c>
      <c r="B879" s="2">
        <v>4</v>
      </c>
      <c r="C879" s="2" t="s">
        <v>1265</v>
      </c>
      <c r="O879" s="2" t="s">
        <v>73</v>
      </c>
      <c r="P879" s="2" t="s">
        <v>1084</v>
      </c>
      <c r="Q879" s="2" t="s">
        <v>84</v>
      </c>
      <c r="R879" s="2">
        <v>1</v>
      </c>
      <c r="S879" s="2">
        <v>260</v>
      </c>
      <c r="T879" s="2">
        <v>59.8</v>
      </c>
      <c r="U879" s="2">
        <v>319.8</v>
      </c>
      <c r="V879" s="2">
        <v>159.54</v>
      </c>
      <c r="W879" s="5">
        <f t="shared" si="92"/>
        <v>0.38638461538461544</v>
      </c>
      <c r="Y879" s="2" t="s">
        <v>3256</v>
      </c>
      <c r="Z879" s="2" t="s">
        <v>76</v>
      </c>
      <c r="AA879" s="2" t="s">
        <v>77</v>
      </c>
      <c r="AB879" s="2" t="s">
        <v>78</v>
      </c>
      <c r="AE879" s="2">
        <f t="shared" si="87"/>
        <v>0</v>
      </c>
      <c r="AF879" s="2">
        <f>144.14+15.4</f>
        <v>159.54</v>
      </c>
      <c r="AG879" s="2">
        <v>280</v>
      </c>
      <c r="AI879" s="2">
        <f t="shared" si="88"/>
        <v>0</v>
      </c>
      <c r="AJ879" s="2">
        <f t="shared" si="89"/>
        <v>100.46000000000001</v>
      </c>
      <c r="AK879" s="5">
        <f t="shared" si="91"/>
        <v>0.38638461538461544</v>
      </c>
    </row>
    <row r="880" spans="1:37" x14ac:dyDescent="0.2">
      <c r="A880" s="2">
        <v>2025</v>
      </c>
      <c r="B880" s="2">
        <v>4</v>
      </c>
      <c r="C880" s="2" t="s">
        <v>1265</v>
      </c>
      <c r="O880" s="2" t="s">
        <v>94</v>
      </c>
      <c r="P880" s="2" t="s">
        <v>95</v>
      </c>
      <c r="Q880" s="2" t="s">
        <v>96</v>
      </c>
      <c r="R880" s="2">
        <v>1</v>
      </c>
      <c r="S880" s="2">
        <v>1.1399999999999999</v>
      </c>
      <c r="T880" s="2">
        <v>0.26219999999999999</v>
      </c>
      <c r="U880" s="2">
        <v>1.4021999999999999</v>
      </c>
      <c r="V880" s="2">
        <v>1.1399999999999999</v>
      </c>
      <c r="W880" s="5">
        <f t="shared" si="92"/>
        <v>0</v>
      </c>
      <c r="Y880" s="2" t="s">
        <v>3256</v>
      </c>
      <c r="Z880" s="2" t="s">
        <v>97</v>
      </c>
      <c r="AA880" s="2" t="s">
        <v>77</v>
      </c>
      <c r="AB880" s="2" t="s">
        <v>94</v>
      </c>
      <c r="AE880" s="2">
        <f t="shared" si="87"/>
        <v>0</v>
      </c>
      <c r="AI880" s="2">
        <f t="shared" si="88"/>
        <v>0</v>
      </c>
      <c r="AJ880" s="2">
        <f t="shared" si="89"/>
        <v>0</v>
      </c>
      <c r="AK880" s="5">
        <f t="shared" si="91"/>
        <v>0</v>
      </c>
    </row>
    <row r="881" spans="1:37" x14ac:dyDescent="0.2">
      <c r="A881" s="2">
        <v>2025</v>
      </c>
      <c r="B881" s="2">
        <v>4</v>
      </c>
      <c r="C881" s="2" t="s">
        <v>492</v>
      </c>
      <c r="D881" s="2" t="s">
        <v>38</v>
      </c>
      <c r="E881" s="2" t="s">
        <v>39</v>
      </c>
      <c r="F881" s="2">
        <v>507380312</v>
      </c>
      <c r="G881" s="2" t="s">
        <v>40</v>
      </c>
      <c r="H881" s="2" t="s">
        <v>493</v>
      </c>
      <c r="I881" s="2" t="s">
        <v>494</v>
      </c>
      <c r="J881" s="2">
        <v>912293443</v>
      </c>
      <c r="K881" s="2" t="s">
        <v>100</v>
      </c>
      <c r="L881" s="2" t="s">
        <v>40</v>
      </c>
      <c r="O881" s="2" t="s">
        <v>40</v>
      </c>
      <c r="P881" s="2" t="s">
        <v>495</v>
      </c>
      <c r="Q881" s="2" t="s">
        <v>496</v>
      </c>
      <c r="R881" s="2">
        <v>2</v>
      </c>
      <c r="S881" s="2">
        <v>1328.08</v>
      </c>
      <c r="T881" s="2">
        <v>305.45839999999998</v>
      </c>
      <c r="U881" s="2">
        <v>1633.5383999999999</v>
      </c>
      <c r="W881" s="5">
        <f t="shared" si="92"/>
        <v>1</v>
      </c>
      <c r="Y881" s="2" t="s">
        <v>120</v>
      </c>
      <c r="AE881" s="2">
        <f t="shared" si="87"/>
        <v>0</v>
      </c>
      <c r="AI881" s="2">
        <f t="shared" si="88"/>
        <v>0</v>
      </c>
      <c r="AJ881" s="2">
        <f t="shared" si="89"/>
        <v>1328.08</v>
      </c>
      <c r="AK881" s="5">
        <f t="shared" si="91"/>
        <v>1</v>
      </c>
    </row>
    <row r="882" spans="1:37" x14ac:dyDescent="0.2">
      <c r="A882" s="2">
        <v>2025</v>
      </c>
      <c r="B882" s="2">
        <v>4</v>
      </c>
      <c r="C882" s="2" t="s">
        <v>1266</v>
      </c>
      <c r="O882" s="2" t="s">
        <v>73</v>
      </c>
      <c r="P882" s="2" t="s">
        <v>74</v>
      </c>
      <c r="Q882" s="2" t="s">
        <v>75</v>
      </c>
      <c r="R882" s="2">
        <v>1</v>
      </c>
      <c r="S882" s="2">
        <v>210</v>
      </c>
      <c r="T882" s="2">
        <v>48.3</v>
      </c>
      <c r="U882" s="2">
        <v>258.3</v>
      </c>
      <c r="V882" s="2">
        <v>117.453</v>
      </c>
      <c r="W882" s="5">
        <f t="shared" si="92"/>
        <v>0.44069999999999998</v>
      </c>
      <c r="Y882" s="2" t="s">
        <v>3256</v>
      </c>
      <c r="Z882" s="2" t="s">
        <v>76</v>
      </c>
      <c r="AA882" s="2" t="s">
        <v>77</v>
      </c>
      <c r="AB882" s="2" t="s">
        <v>78</v>
      </c>
      <c r="AE882" s="2">
        <f t="shared" si="87"/>
        <v>0</v>
      </c>
      <c r="AF882" s="2">
        <v>117.453</v>
      </c>
      <c r="AG882" s="2">
        <v>220</v>
      </c>
      <c r="AI882" s="2">
        <f t="shared" si="88"/>
        <v>0</v>
      </c>
      <c r="AJ882" s="2">
        <f t="shared" si="89"/>
        <v>92.546999999999997</v>
      </c>
      <c r="AK882" s="5">
        <f t="shared" si="91"/>
        <v>0.44069999999999998</v>
      </c>
    </row>
    <row r="883" spans="1:37" x14ac:dyDescent="0.2">
      <c r="A883" s="2">
        <v>2025</v>
      </c>
      <c r="B883" s="2">
        <v>4</v>
      </c>
      <c r="C883" s="2" t="s">
        <v>1266</v>
      </c>
      <c r="O883" s="2" t="s">
        <v>94</v>
      </c>
      <c r="P883" s="2" t="s">
        <v>95</v>
      </c>
      <c r="Q883" s="2" t="s">
        <v>96</v>
      </c>
      <c r="R883" s="2">
        <v>1</v>
      </c>
      <c r="S883" s="2">
        <v>1.1399999999999999</v>
      </c>
      <c r="T883" s="2">
        <v>0.26219999999999999</v>
      </c>
      <c r="U883" s="2">
        <v>1.4021999999999999</v>
      </c>
      <c r="V883" s="2">
        <v>1.1399999999999999</v>
      </c>
      <c r="W883" s="5">
        <f t="shared" si="92"/>
        <v>0</v>
      </c>
      <c r="Y883" s="2" t="s">
        <v>3256</v>
      </c>
      <c r="Z883" s="2" t="s">
        <v>97</v>
      </c>
      <c r="AA883" s="2" t="s">
        <v>77</v>
      </c>
      <c r="AB883" s="2" t="s">
        <v>94</v>
      </c>
      <c r="AE883" s="2">
        <f t="shared" si="87"/>
        <v>0</v>
      </c>
      <c r="AI883" s="2">
        <f t="shared" si="88"/>
        <v>0</v>
      </c>
      <c r="AJ883" s="2">
        <f t="shared" si="89"/>
        <v>0</v>
      </c>
      <c r="AK883" s="5">
        <f t="shared" si="91"/>
        <v>0</v>
      </c>
    </row>
    <row r="884" spans="1:37" x14ac:dyDescent="0.2">
      <c r="A884" s="2">
        <v>2025</v>
      </c>
      <c r="B884" s="2">
        <v>4</v>
      </c>
      <c r="C884" s="2" t="s">
        <v>1267</v>
      </c>
      <c r="O884" s="2" t="s">
        <v>115</v>
      </c>
      <c r="P884" s="2" t="s">
        <v>1268</v>
      </c>
      <c r="Q884" s="2" t="s">
        <v>1269</v>
      </c>
      <c r="R884" s="2">
        <v>1</v>
      </c>
      <c r="S884" s="2">
        <v>7400</v>
      </c>
      <c r="W884" s="5">
        <f t="shared" si="92"/>
        <v>1</v>
      </c>
      <c r="Y884" s="2" t="s">
        <v>105</v>
      </c>
      <c r="AE884" s="2">
        <f t="shared" si="87"/>
        <v>0</v>
      </c>
      <c r="AI884" s="2">
        <f t="shared" si="88"/>
        <v>0</v>
      </c>
      <c r="AJ884" s="2">
        <f t="shared" si="89"/>
        <v>7400</v>
      </c>
      <c r="AK884" s="5">
        <f t="shared" si="91"/>
        <v>1</v>
      </c>
    </row>
    <row r="885" spans="1:37" x14ac:dyDescent="0.2">
      <c r="A885" s="2">
        <v>2025</v>
      </c>
      <c r="B885" s="2">
        <v>4</v>
      </c>
      <c r="C885" s="2" t="s">
        <v>1062</v>
      </c>
      <c r="D885" s="2" t="s">
        <v>184</v>
      </c>
      <c r="E885" s="2" t="s">
        <v>1063</v>
      </c>
      <c r="F885" s="2">
        <v>500199523</v>
      </c>
      <c r="G885" s="2" t="s">
        <v>291</v>
      </c>
      <c r="H885" s="2" t="s">
        <v>294</v>
      </c>
      <c r="I885" s="2" t="s">
        <v>1064</v>
      </c>
      <c r="K885" s="2" t="s">
        <v>294</v>
      </c>
      <c r="L885" s="2" t="s">
        <v>81</v>
      </c>
      <c r="N885" s="2" t="s">
        <v>1270</v>
      </c>
      <c r="O885" s="2" t="s">
        <v>73</v>
      </c>
      <c r="P885" s="2" t="s">
        <v>1271</v>
      </c>
      <c r="Q885" s="2" t="s">
        <v>308</v>
      </c>
      <c r="R885" s="2">
        <v>1</v>
      </c>
      <c r="S885" s="2">
        <v>220</v>
      </c>
      <c r="T885" s="2">
        <v>50.6</v>
      </c>
      <c r="U885" s="2">
        <v>270.60000000000002</v>
      </c>
      <c r="V885" s="2">
        <v>107.35</v>
      </c>
      <c r="W885" s="5">
        <f t="shared" si="92"/>
        <v>0.51204545454545458</v>
      </c>
      <c r="Y885" s="2" t="s">
        <v>3256</v>
      </c>
      <c r="Z885" s="2" t="s">
        <v>76</v>
      </c>
      <c r="AA885" s="2" t="s">
        <v>77</v>
      </c>
      <c r="AB885" s="2" t="s">
        <v>78</v>
      </c>
      <c r="AE885" s="2">
        <f t="shared" si="87"/>
        <v>0</v>
      </c>
      <c r="AF885" s="2">
        <v>107.35</v>
      </c>
      <c r="AI885" s="2">
        <f t="shared" si="88"/>
        <v>0</v>
      </c>
      <c r="AJ885" s="2">
        <f t="shared" si="89"/>
        <v>112.65</v>
      </c>
      <c r="AK885" s="5">
        <f t="shared" si="91"/>
        <v>0.51204545454545458</v>
      </c>
    </row>
    <row r="886" spans="1:37" x14ac:dyDescent="0.2">
      <c r="A886" s="2">
        <v>2025</v>
      </c>
      <c r="B886" s="2">
        <v>4</v>
      </c>
      <c r="C886" s="2" t="s">
        <v>1062</v>
      </c>
      <c r="D886" s="2" t="s">
        <v>184</v>
      </c>
      <c r="E886" s="2" t="s">
        <v>1063</v>
      </c>
      <c r="F886" s="2">
        <v>500199523</v>
      </c>
      <c r="G886" s="2" t="s">
        <v>291</v>
      </c>
      <c r="H886" s="2" t="s">
        <v>294</v>
      </c>
      <c r="I886" s="2" t="s">
        <v>1064</v>
      </c>
      <c r="K886" s="2" t="s">
        <v>294</v>
      </c>
      <c r="L886" s="2" t="s">
        <v>81</v>
      </c>
      <c r="N886" s="2" t="s">
        <v>1270</v>
      </c>
      <c r="O886" s="2" t="s">
        <v>170</v>
      </c>
      <c r="P886" s="2" t="s">
        <v>171</v>
      </c>
      <c r="Q886" s="2" t="s">
        <v>171</v>
      </c>
      <c r="R886" s="2">
        <v>1</v>
      </c>
      <c r="S886" s="2">
        <v>35</v>
      </c>
      <c r="T886" s="2">
        <v>8.0500000000000007</v>
      </c>
      <c r="U886" s="2">
        <v>43.05</v>
      </c>
      <c r="W886" s="5">
        <f t="shared" si="92"/>
        <v>1</v>
      </c>
      <c r="Y886" s="2" t="s">
        <v>170</v>
      </c>
      <c r="Z886" s="2" t="s">
        <v>170</v>
      </c>
      <c r="AE886" s="2">
        <f t="shared" si="87"/>
        <v>0</v>
      </c>
      <c r="AI886" s="2">
        <f t="shared" si="88"/>
        <v>0</v>
      </c>
      <c r="AJ886" s="2">
        <f t="shared" si="89"/>
        <v>35</v>
      </c>
      <c r="AK886" s="5">
        <f t="shared" si="91"/>
        <v>1</v>
      </c>
    </row>
    <row r="887" spans="1:37" x14ac:dyDescent="0.2">
      <c r="A887" s="2">
        <v>2025</v>
      </c>
      <c r="B887" s="2">
        <v>4</v>
      </c>
      <c r="C887" s="2" t="s">
        <v>1062</v>
      </c>
      <c r="D887" s="2" t="s">
        <v>184</v>
      </c>
      <c r="E887" s="2" t="s">
        <v>1063</v>
      </c>
      <c r="F887" s="2">
        <v>500199523</v>
      </c>
      <c r="G887" s="2" t="s">
        <v>291</v>
      </c>
      <c r="H887" s="2" t="s">
        <v>294</v>
      </c>
      <c r="I887" s="2" t="s">
        <v>1064</v>
      </c>
      <c r="K887" s="2" t="s">
        <v>294</v>
      </c>
      <c r="L887" s="2" t="s">
        <v>81</v>
      </c>
      <c r="N887" s="2" t="s">
        <v>1270</v>
      </c>
      <c r="O887" s="2" t="s">
        <v>94</v>
      </c>
      <c r="P887" s="2" t="s">
        <v>95</v>
      </c>
      <c r="Q887" s="2" t="s">
        <v>96</v>
      </c>
      <c r="R887" s="2">
        <v>1</v>
      </c>
      <c r="S887" s="2">
        <v>1.1399999999999999</v>
      </c>
      <c r="T887" s="2">
        <v>0.26219999999999999</v>
      </c>
      <c r="U887" s="2">
        <v>1.4021999999999999</v>
      </c>
      <c r="V887" s="2">
        <v>1.1399999999999999</v>
      </c>
      <c r="W887" s="5">
        <f t="shared" si="92"/>
        <v>0</v>
      </c>
      <c r="Y887" s="2" t="s">
        <v>3256</v>
      </c>
      <c r="Z887" s="2" t="s">
        <v>97</v>
      </c>
      <c r="AA887" s="2" t="s">
        <v>77</v>
      </c>
      <c r="AB887" s="2" t="s">
        <v>94</v>
      </c>
      <c r="AE887" s="2">
        <f t="shared" si="87"/>
        <v>0</v>
      </c>
      <c r="AI887" s="2">
        <f t="shared" si="88"/>
        <v>0</v>
      </c>
      <c r="AJ887" s="2">
        <f t="shared" si="89"/>
        <v>0</v>
      </c>
      <c r="AK887" s="5">
        <f t="shared" si="91"/>
        <v>0</v>
      </c>
    </row>
    <row r="888" spans="1:37" x14ac:dyDescent="0.2">
      <c r="A888" s="2">
        <v>2025</v>
      </c>
      <c r="B888" s="2">
        <v>4</v>
      </c>
      <c r="C888" s="2" t="s">
        <v>1075</v>
      </c>
      <c r="O888" s="2" t="s">
        <v>40</v>
      </c>
      <c r="P888" s="2" t="s">
        <v>364</v>
      </c>
      <c r="Q888" s="2" t="s">
        <v>365</v>
      </c>
      <c r="R888" s="2">
        <v>1</v>
      </c>
      <c r="S888" s="2">
        <v>361.2</v>
      </c>
      <c r="T888" s="2">
        <v>83.076000000000008</v>
      </c>
      <c r="U888" s="2">
        <v>444.27600000000001</v>
      </c>
      <c r="W888" s="5">
        <f t="shared" si="92"/>
        <v>1</v>
      </c>
      <c r="Y888" s="2" t="s">
        <v>120</v>
      </c>
      <c r="AE888" s="2">
        <f t="shared" si="87"/>
        <v>0</v>
      </c>
      <c r="AI888" s="2">
        <f t="shared" si="88"/>
        <v>0</v>
      </c>
      <c r="AJ888" s="2">
        <f t="shared" si="89"/>
        <v>361.2</v>
      </c>
      <c r="AK888" s="5">
        <f t="shared" si="91"/>
        <v>1</v>
      </c>
    </row>
    <row r="889" spans="1:37" x14ac:dyDescent="0.2">
      <c r="A889" s="2">
        <v>2025</v>
      </c>
      <c r="B889" s="2">
        <v>4</v>
      </c>
      <c r="C889" s="2" t="s">
        <v>511</v>
      </c>
      <c r="D889" s="2" t="s">
        <v>38</v>
      </c>
      <c r="E889" s="2" t="s">
        <v>39</v>
      </c>
      <c r="F889" s="2">
        <v>514446170</v>
      </c>
      <c r="G889" s="2" t="s">
        <v>41</v>
      </c>
      <c r="H889" s="2" t="s">
        <v>178</v>
      </c>
      <c r="I889" s="2" t="s">
        <v>3158</v>
      </c>
      <c r="K889" s="2" t="s">
        <v>178</v>
      </c>
      <c r="L889" s="2" t="s">
        <v>41</v>
      </c>
      <c r="N889" s="2" t="s">
        <v>3160</v>
      </c>
      <c r="O889" s="2" t="s">
        <v>43</v>
      </c>
      <c r="P889" s="2" t="s">
        <v>49</v>
      </c>
      <c r="Q889" s="2" t="s">
        <v>50</v>
      </c>
      <c r="R889" s="2">
        <v>2</v>
      </c>
      <c r="S889" s="2">
        <v>24</v>
      </c>
      <c r="T889" s="2">
        <f>S889*23%</f>
        <v>5.5200000000000005</v>
      </c>
      <c r="U889" s="2">
        <f>S889+T889</f>
        <v>29.52</v>
      </c>
      <c r="V889" s="2">
        <f>6.6267*R889</f>
        <v>13.253399999999999</v>
      </c>
      <c r="W889" s="5">
        <f t="shared" si="92"/>
        <v>0.44777500000000003</v>
      </c>
      <c r="Y889" s="2" t="s">
        <v>3256</v>
      </c>
      <c r="Z889" s="2" t="s">
        <v>46</v>
      </c>
      <c r="AA889" s="2" t="s">
        <v>47</v>
      </c>
      <c r="AB889" s="2" t="s">
        <v>48</v>
      </c>
      <c r="AE889" s="2">
        <f t="shared" si="87"/>
        <v>0</v>
      </c>
      <c r="AF889" s="2">
        <v>6.6266999999999996</v>
      </c>
      <c r="AG889" s="2">
        <v>12</v>
      </c>
      <c r="AI889" s="2">
        <f t="shared" si="88"/>
        <v>0</v>
      </c>
      <c r="AJ889" s="2">
        <f t="shared" si="89"/>
        <v>10.746600000000001</v>
      </c>
      <c r="AK889" s="5">
        <f t="shared" si="91"/>
        <v>0.44777500000000003</v>
      </c>
    </row>
    <row r="890" spans="1:37" x14ac:dyDescent="0.2">
      <c r="A890" s="2">
        <v>2025</v>
      </c>
      <c r="B890" s="2">
        <v>4</v>
      </c>
      <c r="C890" s="2" t="s">
        <v>511</v>
      </c>
      <c r="D890" s="2" t="s">
        <v>38</v>
      </c>
      <c r="E890" s="2" t="s">
        <v>39</v>
      </c>
      <c r="F890" s="2">
        <v>514446170</v>
      </c>
      <c r="G890" s="2" t="s">
        <v>41</v>
      </c>
      <c r="H890" s="2" t="s">
        <v>178</v>
      </c>
      <c r="I890" s="2" t="s">
        <v>3158</v>
      </c>
      <c r="K890" s="2" t="s">
        <v>178</v>
      </c>
      <c r="L890" s="2" t="s">
        <v>41</v>
      </c>
      <c r="N890" s="2" t="s">
        <v>3160</v>
      </c>
      <c r="O890" s="2" t="s">
        <v>43</v>
      </c>
      <c r="P890" s="2" t="s">
        <v>161</v>
      </c>
      <c r="Q890" s="2" t="s">
        <v>162</v>
      </c>
      <c r="R890" s="2">
        <v>1</v>
      </c>
      <c r="S890" s="2">
        <v>7.8</v>
      </c>
      <c r="T890" s="2">
        <v>1.794</v>
      </c>
      <c r="U890" s="2">
        <v>9.5939999999999994</v>
      </c>
      <c r="V890" s="2">
        <f>3.7358*R890</f>
        <v>3.7357999999999998</v>
      </c>
      <c r="W890" s="5">
        <f t="shared" si="92"/>
        <v>0.52105128205128204</v>
      </c>
      <c r="Y890" s="2" t="s">
        <v>3256</v>
      </c>
      <c r="Z890" s="2" t="s">
        <v>46</v>
      </c>
      <c r="AA890" s="2" t="s">
        <v>47</v>
      </c>
      <c r="AB890" s="2" t="s">
        <v>48</v>
      </c>
      <c r="AE890" s="2">
        <f t="shared" si="87"/>
        <v>0</v>
      </c>
      <c r="AF890" s="2">
        <v>3.7357999999999998</v>
      </c>
      <c r="AG890" s="2">
        <v>9</v>
      </c>
      <c r="AI890" s="2">
        <f t="shared" si="88"/>
        <v>0</v>
      </c>
      <c r="AJ890" s="2">
        <f t="shared" si="89"/>
        <v>4.0641999999999996</v>
      </c>
      <c r="AK890" s="5">
        <f t="shared" si="91"/>
        <v>0.52105128205128204</v>
      </c>
    </row>
    <row r="891" spans="1:37" x14ac:dyDescent="0.2">
      <c r="A891" s="2">
        <v>2025</v>
      </c>
      <c r="B891" s="2">
        <v>4</v>
      </c>
      <c r="C891" s="2" t="s">
        <v>513</v>
      </c>
      <c r="D891" s="2" t="s">
        <v>38</v>
      </c>
      <c r="E891" s="2" t="s">
        <v>39</v>
      </c>
      <c r="F891" s="2">
        <v>513405020</v>
      </c>
      <c r="G891" s="2" t="s">
        <v>40</v>
      </c>
      <c r="H891" s="2" t="s">
        <v>157</v>
      </c>
      <c r="I891" s="2" t="s">
        <v>514</v>
      </c>
      <c r="J891" s="2">
        <v>919770433</v>
      </c>
      <c r="K891" s="2" t="s">
        <v>100</v>
      </c>
      <c r="O891" s="2" t="s">
        <v>43</v>
      </c>
      <c r="P891" s="2" t="s">
        <v>55</v>
      </c>
      <c r="Q891" s="2" t="s">
        <v>56</v>
      </c>
      <c r="R891" s="2">
        <v>2</v>
      </c>
      <c r="S891" s="2">
        <v>36</v>
      </c>
      <c r="T891" s="2">
        <f>S891*23%</f>
        <v>8.2800000000000011</v>
      </c>
      <c r="U891" s="2">
        <f>S891+T891</f>
        <v>44.28</v>
      </c>
      <c r="V891" s="2">
        <f>10.6*R891</f>
        <v>21.2</v>
      </c>
      <c r="W891" s="5">
        <f t="shared" si="92"/>
        <v>0.41111111111111115</v>
      </c>
      <c r="Y891" s="2" t="s">
        <v>3256</v>
      </c>
      <c r="Z891" s="2" t="s">
        <v>46</v>
      </c>
      <c r="AA891" s="2" t="s">
        <v>57</v>
      </c>
      <c r="AB891" s="2" t="s">
        <v>58</v>
      </c>
      <c r="AE891" s="2">
        <f t="shared" si="87"/>
        <v>0</v>
      </c>
      <c r="AF891" s="2">
        <v>10.6</v>
      </c>
      <c r="AG891" s="2">
        <v>18</v>
      </c>
      <c r="AI891" s="2">
        <f t="shared" si="88"/>
        <v>0</v>
      </c>
      <c r="AJ891" s="2">
        <f t="shared" si="89"/>
        <v>14.8</v>
      </c>
      <c r="AK891" s="5">
        <f t="shared" si="91"/>
        <v>0.41111111111111115</v>
      </c>
    </row>
    <row r="892" spans="1:37" x14ac:dyDescent="0.2">
      <c r="A892" s="2">
        <v>2025</v>
      </c>
      <c r="B892" s="2">
        <v>4</v>
      </c>
      <c r="C892" s="2" t="s">
        <v>513</v>
      </c>
      <c r="D892" s="2" t="s">
        <v>38</v>
      </c>
      <c r="E892" s="2" t="s">
        <v>39</v>
      </c>
      <c r="F892" s="2">
        <v>513405020</v>
      </c>
      <c r="G892" s="2" t="s">
        <v>40</v>
      </c>
      <c r="H892" s="2" t="s">
        <v>157</v>
      </c>
      <c r="I892" s="2" t="s">
        <v>514</v>
      </c>
      <c r="J892" s="2">
        <v>919770433</v>
      </c>
      <c r="K892" s="2" t="s">
        <v>100</v>
      </c>
      <c r="O892" s="2" t="s">
        <v>43</v>
      </c>
      <c r="P892" s="2" t="s">
        <v>62</v>
      </c>
      <c r="Q892" s="2" t="s">
        <v>63</v>
      </c>
      <c r="R892" s="2">
        <v>100</v>
      </c>
      <c r="S892" s="2">
        <v>13</v>
      </c>
      <c r="T892" s="2">
        <f>S892*23%</f>
        <v>2.99</v>
      </c>
      <c r="U892" s="2">
        <f>S892+T892</f>
        <v>15.99</v>
      </c>
      <c r="V892" s="2">
        <f>0.082*R892</f>
        <v>8.2000000000000011</v>
      </c>
      <c r="W892" s="5">
        <f t="shared" si="92"/>
        <v>0.36923076923076914</v>
      </c>
      <c r="Y892" s="2" t="s">
        <v>3256</v>
      </c>
      <c r="Z892" s="2" t="s">
        <v>46</v>
      </c>
      <c r="AA892" s="2" t="s">
        <v>61</v>
      </c>
      <c r="AB892" s="2" t="s">
        <v>58</v>
      </c>
      <c r="AE892" s="2">
        <f t="shared" si="87"/>
        <v>0</v>
      </c>
      <c r="AF892" s="2">
        <v>8.1999999999999993</v>
      </c>
      <c r="AG892" s="2">
        <v>13</v>
      </c>
      <c r="AI892" s="2">
        <f t="shared" si="88"/>
        <v>0</v>
      </c>
      <c r="AJ892" s="2">
        <f t="shared" si="89"/>
        <v>4.7999999999999989</v>
      </c>
      <c r="AK892" s="5">
        <f t="shared" si="91"/>
        <v>0.36923076923076914</v>
      </c>
    </row>
    <row r="893" spans="1:37" x14ac:dyDescent="0.2">
      <c r="A893" s="2">
        <v>2025</v>
      </c>
      <c r="B893" s="2">
        <v>4</v>
      </c>
      <c r="C893" s="2" t="s">
        <v>513</v>
      </c>
      <c r="D893" s="2" t="s">
        <v>38</v>
      </c>
      <c r="E893" s="2" t="s">
        <v>39</v>
      </c>
      <c r="F893" s="2">
        <v>513405020</v>
      </c>
      <c r="G893" s="2" t="s">
        <v>40</v>
      </c>
      <c r="H893" s="2" t="s">
        <v>157</v>
      </c>
      <c r="I893" s="2" t="s">
        <v>514</v>
      </c>
      <c r="J893" s="2">
        <v>919770433</v>
      </c>
      <c r="K893" s="2" t="s">
        <v>100</v>
      </c>
      <c r="O893" s="2" t="s">
        <v>43</v>
      </c>
      <c r="P893" s="2" t="s">
        <v>66</v>
      </c>
      <c r="Q893" s="2" t="s">
        <v>67</v>
      </c>
      <c r="R893" s="2">
        <v>1</v>
      </c>
      <c r="S893" s="2">
        <v>21.5</v>
      </c>
      <c r="T893" s="2">
        <v>73.600000000000009</v>
      </c>
      <c r="U893" s="2">
        <v>393.6</v>
      </c>
      <c r="V893" s="2">
        <f>15.0203*R893</f>
        <v>15.020300000000001</v>
      </c>
      <c r="W893" s="5">
        <f t="shared" si="92"/>
        <v>0.30138139534883718</v>
      </c>
      <c r="Y893" s="2" t="s">
        <v>3256</v>
      </c>
      <c r="Z893" s="2" t="s">
        <v>46</v>
      </c>
      <c r="AA893" s="2" t="s">
        <v>68</v>
      </c>
      <c r="AB893" s="2" t="s">
        <v>58</v>
      </c>
      <c r="AE893" s="2">
        <f t="shared" si="87"/>
        <v>0</v>
      </c>
      <c r="AF893" s="2">
        <v>15.020300000000001</v>
      </c>
      <c r="AG893" s="2">
        <v>27.6</v>
      </c>
      <c r="AI893" s="2">
        <f t="shared" si="88"/>
        <v>0</v>
      </c>
      <c r="AJ893" s="2">
        <f t="shared" si="89"/>
        <v>6.4796999999999993</v>
      </c>
      <c r="AK893" s="5">
        <f t="shared" si="91"/>
        <v>0.30138139534883718</v>
      </c>
    </row>
    <row r="894" spans="1:37" x14ac:dyDescent="0.2">
      <c r="A894" s="2">
        <v>2025</v>
      </c>
      <c r="B894" s="2">
        <v>4</v>
      </c>
      <c r="C894" s="2" t="s">
        <v>874</v>
      </c>
      <c r="D894" s="2" t="s">
        <v>38</v>
      </c>
      <c r="E894" s="2" t="s">
        <v>39</v>
      </c>
      <c r="F894" s="2">
        <v>226546594</v>
      </c>
      <c r="G894" s="2" t="s">
        <v>41</v>
      </c>
      <c r="H894" s="2" t="s">
        <v>875</v>
      </c>
      <c r="I894" s="2" t="s">
        <v>876</v>
      </c>
      <c r="J894" s="2">
        <v>933599817</v>
      </c>
      <c r="K894" s="2" t="s">
        <v>100</v>
      </c>
      <c r="O894" s="2" t="s">
        <v>283</v>
      </c>
      <c r="P894" s="2" t="s">
        <v>1078</v>
      </c>
      <c r="Q894" s="2" t="s">
        <v>1079</v>
      </c>
      <c r="R894" s="2">
        <v>2</v>
      </c>
      <c r="S894" s="2">
        <v>18.16</v>
      </c>
      <c r="W894" s="5">
        <f t="shared" si="92"/>
        <v>1</v>
      </c>
      <c r="Y894" s="2" t="s">
        <v>3256</v>
      </c>
      <c r="AE894" s="2">
        <f t="shared" si="87"/>
        <v>0</v>
      </c>
      <c r="AI894" s="2">
        <f t="shared" si="88"/>
        <v>0</v>
      </c>
      <c r="AJ894" s="2">
        <f t="shared" si="89"/>
        <v>18.16</v>
      </c>
      <c r="AK894" s="5">
        <f t="shared" si="91"/>
        <v>1</v>
      </c>
    </row>
    <row r="895" spans="1:37" x14ac:dyDescent="0.2">
      <c r="A895" s="2">
        <v>2025</v>
      </c>
      <c r="B895" s="2">
        <v>4</v>
      </c>
      <c r="C895" s="2" t="s">
        <v>880</v>
      </c>
      <c r="O895" s="2" t="s">
        <v>73</v>
      </c>
      <c r="P895" s="2" t="s">
        <v>207</v>
      </c>
      <c r="Q895" s="2" t="s">
        <v>208</v>
      </c>
      <c r="R895" s="2">
        <v>1</v>
      </c>
      <c r="S895" s="2">
        <v>440</v>
      </c>
      <c r="T895" s="2">
        <v>101.2</v>
      </c>
      <c r="U895" s="2">
        <v>541.20000000000005</v>
      </c>
      <c r="V895" s="2">
        <f>291.59*R895</f>
        <v>291.58999999999997</v>
      </c>
      <c r="W895" s="5">
        <f t="shared" si="92"/>
        <v>0.33729545454545462</v>
      </c>
      <c r="Y895" s="2" t="s">
        <v>3256</v>
      </c>
      <c r="Z895" s="2" t="s">
        <v>76</v>
      </c>
      <c r="AA895" s="2" t="s">
        <v>77</v>
      </c>
      <c r="AB895" s="2" t="s">
        <v>78</v>
      </c>
      <c r="AE895" s="2">
        <f t="shared" si="87"/>
        <v>0</v>
      </c>
      <c r="AF895" s="2">
        <v>291.58999999999997</v>
      </c>
      <c r="AG895" s="2">
        <v>450</v>
      </c>
      <c r="AI895" s="2">
        <f t="shared" si="88"/>
        <v>0</v>
      </c>
      <c r="AJ895" s="2">
        <f t="shared" si="89"/>
        <v>148.41000000000003</v>
      </c>
      <c r="AK895" s="5">
        <f t="shared" si="91"/>
        <v>0.33729545454545462</v>
      </c>
    </row>
    <row r="896" spans="1:37" x14ac:dyDescent="0.2">
      <c r="A896" s="2">
        <v>2025</v>
      </c>
      <c r="B896" s="2">
        <v>4</v>
      </c>
      <c r="C896" s="2" t="s">
        <v>880</v>
      </c>
      <c r="O896" s="2" t="s">
        <v>94</v>
      </c>
      <c r="P896" s="2" t="s">
        <v>95</v>
      </c>
      <c r="Q896" s="2" t="s">
        <v>96</v>
      </c>
      <c r="R896" s="2">
        <v>1</v>
      </c>
      <c r="S896" s="2">
        <v>1.1399999999999999</v>
      </c>
      <c r="T896" s="2">
        <v>0.26219999999999999</v>
      </c>
      <c r="U896" s="2">
        <v>1.4021999999999999</v>
      </c>
      <c r="V896" s="2">
        <v>1.1399999999999999</v>
      </c>
      <c r="W896" s="5">
        <f t="shared" si="92"/>
        <v>0</v>
      </c>
      <c r="Y896" s="2" t="s">
        <v>3256</v>
      </c>
      <c r="Z896" s="2" t="s">
        <v>97</v>
      </c>
      <c r="AA896" s="2" t="s">
        <v>77</v>
      </c>
      <c r="AB896" s="2" t="s">
        <v>94</v>
      </c>
      <c r="AE896" s="2">
        <f t="shared" si="87"/>
        <v>0</v>
      </c>
      <c r="AI896" s="2">
        <f t="shared" si="88"/>
        <v>0</v>
      </c>
      <c r="AJ896" s="2">
        <f t="shared" si="89"/>
        <v>0</v>
      </c>
      <c r="AK896" s="5">
        <f t="shared" si="91"/>
        <v>0</v>
      </c>
    </row>
    <row r="897" spans="1:37" x14ac:dyDescent="0.2">
      <c r="A897" s="2">
        <v>2025</v>
      </c>
      <c r="B897" s="2">
        <v>4</v>
      </c>
      <c r="C897" s="2" t="s">
        <v>553</v>
      </c>
      <c r="D897" s="2" t="s">
        <v>109</v>
      </c>
      <c r="E897" s="2" t="s">
        <v>397</v>
      </c>
      <c r="F897" s="2">
        <v>503641790</v>
      </c>
      <c r="G897" s="2" t="s">
        <v>40</v>
      </c>
      <c r="H897" s="2" t="s">
        <v>554</v>
      </c>
      <c r="I897" s="2" t="s">
        <v>555</v>
      </c>
      <c r="J897" s="2">
        <v>917753665</v>
      </c>
      <c r="K897" s="2" t="s">
        <v>100</v>
      </c>
      <c r="L897" s="2" t="s">
        <v>81</v>
      </c>
      <c r="N897" s="2" t="s">
        <v>1272</v>
      </c>
      <c r="O897" s="2" t="s">
        <v>73</v>
      </c>
      <c r="P897" s="2" t="s">
        <v>687</v>
      </c>
      <c r="Q897" s="2" t="s">
        <v>75</v>
      </c>
      <c r="R897" s="2">
        <v>1</v>
      </c>
      <c r="S897" s="2">
        <v>210</v>
      </c>
      <c r="T897" s="2">
        <v>48.3</v>
      </c>
      <c r="U897" s="2">
        <v>258.3</v>
      </c>
      <c r="V897" s="2">
        <v>104.49</v>
      </c>
      <c r="W897" s="5">
        <f t="shared" si="92"/>
        <v>0.50242857142857145</v>
      </c>
      <c r="Y897" s="2" t="s">
        <v>3256</v>
      </c>
      <c r="Z897" s="2" t="s">
        <v>76</v>
      </c>
      <c r="AA897" s="2" t="s">
        <v>77</v>
      </c>
      <c r="AB897" s="2" t="s">
        <v>78</v>
      </c>
      <c r="AE897" s="2">
        <f t="shared" si="87"/>
        <v>0</v>
      </c>
      <c r="AF897" s="2">
        <v>104.49</v>
      </c>
      <c r="AG897" s="2">
        <v>220</v>
      </c>
      <c r="AI897" s="2">
        <f t="shared" si="88"/>
        <v>0</v>
      </c>
      <c r="AJ897" s="2">
        <f t="shared" si="89"/>
        <v>105.51</v>
      </c>
      <c r="AK897" s="5">
        <f t="shared" si="91"/>
        <v>0.50242857142857145</v>
      </c>
    </row>
    <row r="898" spans="1:37" x14ac:dyDescent="0.2">
      <c r="A898" s="2">
        <v>2025</v>
      </c>
      <c r="B898" s="2">
        <v>4</v>
      </c>
      <c r="C898" s="2" t="s">
        <v>553</v>
      </c>
      <c r="D898" s="2" t="s">
        <v>109</v>
      </c>
      <c r="E898" s="2" t="s">
        <v>397</v>
      </c>
      <c r="F898" s="2">
        <v>503641790</v>
      </c>
      <c r="G898" s="2" t="s">
        <v>40</v>
      </c>
      <c r="H898" s="2" t="s">
        <v>554</v>
      </c>
      <c r="I898" s="2" t="s">
        <v>555</v>
      </c>
      <c r="J898" s="2">
        <v>917753665</v>
      </c>
      <c r="K898" s="2" t="s">
        <v>100</v>
      </c>
      <c r="L898" s="2" t="s">
        <v>81</v>
      </c>
      <c r="N898" s="2" t="s">
        <v>1272</v>
      </c>
      <c r="O898" s="2" t="s">
        <v>94</v>
      </c>
      <c r="P898" s="2" t="s">
        <v>95</v>
      </c>
      <c r="Q898" s="2" t="s">
        <v>96</v>
      </c>
      <c r="R898" s="2">
        <v>1</v>
      </c>
      <c r="S898" s="2">
        <v>1.1399999999999999</v>
      </c>
      <c r="T898" s="2">
        <v>0.26219999999999999</v>
      </c>
      <c r="U898" s="2">
        <v>1.4021999999999999</v>
      </c>
      <c r="V898" s="2">
        <v>1.1399999999999999</v>
      </c>
      <c r="W898" s="5">
        <f t="shared" si="92"/>
        <v>0</v>
      </c>
      <c r="Y898" s="2" t="s">
        <v>3256</v>
      </c>
      <c r="Z898" s="2" t="s">
        <v>97</v>
      </c>
      <c r="AA898" s="2" t="s">
        <v>77</v>
      </c>
      <c r="AB898" s="2" t="s">
        <v>94</v>
      </c>
      <c r="AE898" s="2">
        <f t="shared" ref="AE898:AE960" si="93">AI898</f>
        <v>0</v>
      </c>
      <c r="AF898" s="2">
        <v>1.1399999999999999</v>
      </c>
      <c r="AG898" s="2">
        <v>1.1399999999999999</v>
      </c>
      <c r="AI898" s="2">
        <f t="shared" ref="AI898:AI960" si="94">AH898*S898</f>
        <v>0</v>
      </c>
      <c r="AJ898" s="2">
        <f t="shared" ref="AJ898:AJ960" si="95">S898-V898</f>
        <v>0</v>
      </c>
      <c r="AK898" s="5">
        <f t="shared" si="91"/>
        <v>0</v>
      </c>
    </row>
    <row r="899" spans="1:37" x14ac:dyDescent="0.2">
      <c r="A899" s="2">
        <v>2025</v>
      </c>
      <c r="B899" s="2">
        <v>4</v>
      </c>
      <c r="C899" s="2" t="s">
        <v>562</v>
      </c>
      <c r="D899" s="2" t="s">
        <v>109</v>
      </c>
      <c r="E899" s="2" t="s">
        <v>39</v>
      </c>
      <c r="F899" s="2">
        <v>506517233</v>
      </c>
      <c r="G899" s="2" t="s">
        <v>81</v>
      </c>
      <c r="H899" s="2" t="s">
        <v>563</v>
      </c>
      <c r="I899" s="2" t="s">
        <v>564</v>
      </c>
      <c r="K899" s="2" t="s">
        <v>134</v>
      </c>
      <c r="O899" s="2" t="s">
        <v>115</v>
      </c>
      <c r="P899" s="2" t="s">
        <v>1273</v>
      </c>
      <c r="Q899" s="2" t="s">
        <v>1274</v>
      </c>
      <c r="R899" s="2">
        <v>1</v>
      </c>
      <c r="S899" s="2">
        <v>15.45</v>
      </c>
      <c r="T899" s="2">
        <v>3.5535000000000001</v>
      </c>
      <c r="U899" s="2">
        <v>19.003499999999999</v>
      </c>
      <c r="V899" s="2">
        <v>3.2646999999999999</v>
      </c>
      <c r="W899" s="5">
        <f t="shared" ref="W899:W930" si="96">(S899-V899)/S899</f>
        <v>0.78869255663430426</v>
      </c>
      <c r="Y899" s="2" t="s">
        <v>118</v>
      </c>
      <c r="Z899" s="2" t="s">
        <v>119</v>
      </c>
      <c r="AA899" s="2" t="s">
        <v>120</v>
      </c>
      <c r="AB899" s="2" t="s">
        <v>115</v>
      </c>
      <c r="AE899" s="2">
        <f t="shared" si="93"/>
        <v>0</v>
      </c>
      <c r="AI899" s="2">
        <f t="shared" si="94"/>
        <v>0</v>
      </c>
      <c r="AJ899" s="2">
        <f t="shared" si="95"/>
        <v>12.1853</v>
      </c>
      <c r="AK899" s="5">
        <f t="shared" si="91"/>
        <v>0.78869255663430426</v>
      </c>
    </row>
    <row r="900" spans="1:37" x14ac:dyDescent="0.2">
      <c r="A900" s="2">
        <v>2025</v>
      </c>
      <c r="B900" s="2">
        <v>4</v>
      </c>
      <c r="C900" s="2" t="s">
        <v>562</v>
      </c>
      <c r="D900" s="2" t="s">
        <v>109</v>
      </c>
      <c r="E900" s="2" t="s">
        <v>39</v>
      </c>
      <c r="F900" s="2">
        <v>506517233</v>
      </c>
      <c r="G900" s="2" t="s">
        <v>81</v>
      </c>
      <c r="H900" s="2" t="s">
        <v>563</v>
      </c>
      <c r="I900" s="2" t="s">
        <v>564</v>
      </c>
      <c r="K900" s="2" t="s">
        <v>134</v>
      </c>
      <c r="O900" s="2" t="s">
        <v>115</v>
      </c>
      <c r="P900" s="2" t="s">
        <v>1275</v>
      </c>
      <c r="Q900" s="2" t="s">
        <v>1276</v>
      </c>
      <c r="R900" s="2">
        <v>2</v>
      </c>
      <c r="S900" s="2">
        <v>49.43</v>
      </c>
      <c r="T900" s="2">
        <v>11.3689</v>
      </c>
      <c r="U900" s="2">
        <v>60.798900000000003</v>
      </c>
      <c r="V900" s="2">
        <f>14*R900</f>
        <v>28</v>
      </c>
      <c r="W900" s="5">
        <f t="shared" si="96"/>
        <v>0.43354238316811655</v>
      </c>
      <c r="Y900" s="2" t="s">
        <v>118</v>
      </c>
      <c r="Z900" s="2" t="s">
        <v>119</v>
      </c>
      <c r="AA900" s="2" t="s">
        <v>120</v>
      </c>
      <c r="AB900" s="2" t="s">
        <v>115</v>
      </c>
      <c r="AE900" s="2">
        <f t="shared" si="93"/>
        <v>0</v>
      </c>
      <c r="AI900" s="2">
        <f t="shared" si="94"/>
        <v>0</v>
      </c>
      <c r="AJ900" s="2">
        <f t="shared" si="95"/>
        <v>21.43</v>
      </c>
      <c r="AK900" s="5">
        <f t="shared" si="91"/>
        <v>0.43354238316811655</v>
      </c>
    </row>
    <row r="901" spans="1:37" x14ac:dyDescent="0.2">
      <c r="A901" s="2">
        <v>2025</v>
      </c>
      <c r="B901" s="2">
        <v>4</v>
      </c>
      <c r="C901" s="2" t="s">
        <v>562</v>
      </c>
      <c r="D901" s="2" t="s">
        <v>109</v>
      </c>
      <c r="E901" s="2" t="s">
        <v>39</v>
      </c>
      <c r="F901" s="2">
        <v>506517233</v>
      </c>
      <c r="G901" s="2" t="s">
        <v>81</v>
      </c>
      <c r="H901" s="2" t="s">
        <v>563</v>
      </c>
      <c r="I901" s="2" t="s">
        <v>564</v>
      </c>
      <c r="K901" s="2" t="s">
        <v>134</v>
      </c>
      <c r="L901" s="2" t="s">
        <v>81</v>
      </c>
      <c r="N901" s="2" t="s">
        <v>1277</v>
      </c>
      <c r="O901" s="2" t="s">
        <v>73</v>
      </c>
      <c r="P901" s="2" t="s">
        <v>331</v>
      </c>
      <c r="Q901" s="2" t="s">
        <v>332</v>
      </c>
      <c r="R901" s="2">
        <v>3</v>
      </c>
      <c r="S901" s="2">
        <v>316.5</v>
      </c>
      <c r="T901" s="2">
        <v>72.795000000000002</v>
      </c>
      <c r="U901" s="2">
        <v>389.29500000000002</v>
      </c>
      <c r="V901" s="2">
        <v>303.91500000000002</v>
      </c>
      <c r="W901" s="5">
        <f t="shared" si="96"/>
        <v>3.9763033175355386E-2</v>
      </c>
      <c r="Y901" s="2" t="s">
        <v>3256</v>
      </c>
      <c r="Z901" s="2" t="s">
        <v>76</v>
      </c>
      <c r="AA901" s="2" t="s">
        <v>77</v>
      </c>
      <c r="AB901" s="2" t="s">
        <v>78</v>
      </c>
      <c r="AE901" s="2">
        <f t="shared" si="93"/>
        <v>0</v>
      </c>
      <c r="AF901" s="2">
        <v>101.30500000000001</v>
      </c>
      <c r="AG901" s="2">
        <v>190</v>
      </c>
      <c r="AI901" s="2">
        <f t="shared" si="94"/>
        <v>0</v>
      </c>
      <c r="AJ901" s="2">
        <f t="shared" si="95"/>
        <v>12.58499999999998</v>
      </c>
      <c r="AK901" s="5">
        <f t="shared" si="91"/>
        <v>3.9763033175355386E-2</v>
      </c>
    </row>
    <row r="902" spans="1:37" x14ac:dyDescent="0.2">
      <c r="A902" s="2">
        <v>2025</v>
      </c>
      <c r="B902" s="2">
        <v>4</v>
      </c>
      <c r="C902" s="2" t="s">
        <v>562</v>
      </c>
      <c r="D902" s="2" t="s">
        <v>109</v>
      </c>
      <c r="E902" s="2" t="s">
        <v>39</v>
      </c>
      <c r="F902" s="2">
        <v>506517233</v>
      </c>
      <c r="G902" s="2" t="s">
        <v>81</v>
      </c>
      <c r="H902" s="2" t="s">
        <v>563</v>
      </c>
      <c r="I902" s="2" t="s">
        <v>564</v>
      </c>
      <c r="K902" s="2" t="s">
        <v>134</v>
      </c>
      <c r="L902" s="2" t="s">
        <v>81</v>
      </c>
      <c r="N902" s="2" t="s">
        <v>3173</v>
      </c>
      <c r="O902" s="2" t="s">
        <v>1047</v>
      </c>
      <c r="P902" s="2" t="s">
        <v>1278</v>
      </c>
      <c r="Q902" s="2" t="s">
        <v>1279</v>
      </c>
      <c r="R902" s="2">
        <v>8</v>
      </c>
      <c r="S902" s="2">
        <v>883.6</v>
      </c>
      <c r="T902" s="2">
        <v>203.22800000000001</v>
      </c>
      <c r="U902" s="2">
        <v>1086.828</v>
      </c>
      <c r="V902" s="2">
        <f>94*R902</f>
        <v>752</v>
      </c>
      <c r="W902" s="5">
        <f t="shared" si="96"/>
        <v>0.14893617021276598</v>
      </c>
      <c r="Y902" s="2" t="s">
        <v>3256</v>
      </c>
      <c r="Z902" s="2" t="s">
        <v>1050</v>
      </c>
      <c r="AA902" s="2" t="s">
        <v>1280</v>
      </c>
      <c r="AB902" s="2" t="s">
        <v>1047</v>
      </c>
      <c r="AE902" s="2">
        <f t="shared" si="93"/>
        <v>0</v>
      </c>
      <c r="AF902" s="2">
        <v>94</v>
      </c>
      <c r="AI902" s="2">
        <f t="shared" si="94"/>
        <v>0</v>
      </c>
      <c r="AJ902" s="2">
        <f t="shared" si="95"/>
        <v>131.60000000000002</v>
      </c>
      <c r="AK902" s="5">
        <f t="shared" si="91"/>
        <v>0.14893617021276598</v>
      </c>
    </row>
    <row r="903" spans="1:37" x14ac:dyDescent="0.2">
      <c r="A903" s="2">
        <v>2025</v>
      </c>
      <c r="B903" s="2">
        <v>4</v>
      </c>
      <c r="C903" s="2" t="s">
        <v>562</v>
      </c>
      <c r="D903" s="2" t="s">
        <v>109</v>
      </c>
      <c r="E903" s="2" t="s">
        <v>39</v>
      </c>
      <c r="F903" s="2">
        <v>506517233</v>
      </c>
      <c r="G903" s="2" t="s">
        <v>81</v>
      </c>
      <c r="H903" s="2" t="s">
        <v>563</v>
      </c>
      <c r="I903" s="2" t="s">
        <v>564</v>
      </c>
      <c r="K903" s="2" t="s">
        <v>134</v>
      </c>
      <c r="L903" s="2" t="s">
        <v>40</v>
      </c>
      <c r="O903" s="2" t="s">
        <v>188</v>
      </c>
      <c r="P903" s="2" t="s">
        <v>189</v>
      </c>
      <c r="Q903" s="2" t="s">
        <v>190</v>
      </c>
      <c r="R903" s="2">
        <v>1</v>
      </c>
      <c r="S903" s="2">
        <v>138</v>
      </c>
      <c r="T903" s="2">
        <v>31.74</v>
      </c>
      <c r="U903" s="2">
        <v>169.74</v>
      </c>
      <c r="W903" s="5">
        <f t="shared" si="96"/>
        <v>1</v>
      </c>
      <c r="Y903" s="2" t="s">
        <v>118</v>
      </c>
      <c r="Z903" s="2" t="s">
        <v>191</v>
      </c>
      <c r="AE903" s="2">
        <f t="shared" si="93"/>
        <v>0</v>
      </c>
      <c r="AI903" s="2">
        <f t="shared" si="94"/>
        <v>0</v>
      </c>
      <c r="AJ903" s="2">
        <f t="shared" si="95"/>
        <v>138</v>
      </c>
      <c r="AK903" s="5">
        <f t="shared" si="91"/>
        <v>1</v>
      </c>
    </row>
    <row r="904" spans="1:37" x14ac:dyDescent="0.2">
      <c r="A904" s="2">
        <v>2025</v>
      </c>
      <c r="B904" s="2">
        <v>4</v>
      </c>
      <c r="C904" s="2" t="s">
        <v>562</v>
      </c>
      <c r="D904" s="2" t="s">
        <v>109</v>
      </c>
      <c r="E904" s="2" t="s">
        <v>39</v>
      </c>
      <c r="F904" s="2">
        <v>506517233</v>
      </c>
      <c r="G904" s="2" t="s">
        <v>81</v>
      </c>
      <c r="H904" s="2" t="s">
        <v>563</v>
      </c>
      <c r="I904" s="2" t="s">
        <v>564</v>
      </c>
      <c r="K904" s="2" t="s">
        <v>134</v>
      </c>
      <c r="L904" s="2" t="s">
        <v>40</v>
      </c>
      <c r="O904" s="2" t="s">
        <v>188</v>
      </c>
      <c r="P904" s="2" t="s">
        <v>192</v>
      </c>
      <c r="Q904" s="2" t="s">
        <v>191</v>
      </c>
      <c r="R904" s="2">
        <v>2</v>
      </c>
      <c r="S904" s="2">
        <v>50</v>
      </c>
      <c r="T904" s="2">
        <v>11.5</v>
      </c>
      <c r="U904" s="2">
        <v>61.5</v>
      </c>
      <c r="V904" s="2">
        <f>S904*50%</f>
        <v>25</v>
      </c>
      <c r="W904" s="5">
        <f t="shared" si="96"/>
        <v>0.5</v>
      </c>
      <c r="Y904" s="2" t="s">
        <v>118</v>
      </c>
      <c r="Z904" s="2" t="s">
        <v>191</v>
      </c>
      <c r="AE904" s="2">
        <f t="shared" si="93"/>
        <v>0</v>
      </c>
      <c r="AI904" s="2">
        <f t="shared" si="94"/>
        <v>0</v>
      </c>
      <c r="AJ904" s="2">
        <f t="shared" si="95"/>
        <v>25</v>
      </c>
      <c r="AK904" s="5">
        <f t="shared" si="91"/>
        <v>0.5</v>
      </c>
    </row>
    <row r="905" spans="1:37" x14ac:dyDescent="0.2">
      <c r="A905" s="2">
        <v>2025</v>
      </c>
      <c r="B905" s="2">
        <v>4</v>
      </c>
      <c r="C905" s="2" t="s">
        <v>562</v>
      </c>
      <c r="D905" s="2" t="s">
        <v>109</v>
      </c>
      <c r="E905" s="2" t="s">
        <v>39</v>
      </c>
      <c r="F905" s="2">
        <v>506517233</v>
      </c>
      <c r="G905" s="2" t="s">
        <v>81</v>
      </c>
      <c r="H905" s="2" t="s">
        <v>563</v>
      </c>
      <c r="I905" s="2" t="s">
        <v>564</v>
      </c>
      <c r="K905" s="2" t="s">
        <v>134</v>
      </c>
      <c r="L905" s="2" t="s">
        <v>81</v>
      </c>
      <c r="O905" s="2" t="s">
        <v>170</v>
      </c>
      <c r="P905" s="2" t="s">
        <v>171</v>
      </c>
      <c r="Q905" s="2" t="s">
        <v>171</v>
      </c>
      <c r="R905" s="2">
        <v>2</v>
      </c>
      <c r="S905" s="2">
        <v>105</v>
      </c>
      <c r="T905" s="2">
        <v>24.15</v>
      </c>
      <c r="U905" s="2">
        <v>129.15</v>
      </c>
      <c r="W905" s="5">
        <f t="shared" si="96"/>
        <v>1</v>
      </c>
      <c r="Y905" s="2" t="s">
        <v>170</v>
      </c>
      <c r="Z905" s="2" t="s">
        <v>170</v>
      </c>
      <c r="AE905" s="2">
        <f t="shared" si="93"/>
        <v>0</v>
      </c>
      <c r="AI905" s="2">
        <f t="shared" si="94"/>
        <v>0</v>
      </c>
      <c r="AJ905" s="2">
        <f t="shared" si="95"/>
        <v>105</v>
      </c>
      <c r="AK905" s="5">
        <f t="shared" si="91"/>
        <v>1</v>
      </c>
    </row>
    <row r="906" spans="1:37" x14ac:dyDescent="0.2">
      <c r="A906" s="2">
        <v>2025</v>
      </c>
      <c r="B906" s="2">
        <v>4</v>
      </c>
      <c r="C906" s="2" t="s">
        <v>562</v>
      </c>
      <c r="D906" s="2" t="s">
        <v>109</v>
      </c>
      <c r="E906" s="2" t="s">
        <v>39</v>
      </c>
      <c r="F906" s="2">
        <v>506517233</v>
      </c>
      <c r="G906" s="2" t="s">
        <v>81</v>
      </c>
      <c r="H906" s="2" t="s">
        <v>563</v>
      </c>
      <c r="I906" s="2" t="s">
        <v>564</v>
      </c>
      <c r="K906" s="2" t="s">
        <v>134</v>
      </c>
      <c r="O906" s="2" t="s">
        <v>94</v>
      </c>
      <c r="P906" s="2" t="s">
        <v>95</v>
      </c>
      <c r="Q906" s="2" t="s">
        <v>96</v>
      </c>
      <c r="R906" s="2">
        <v>3</v>
      </c>
      <c r="S906" s="2">
        <v>3.42</v>
      </c>
      <c r="T906" s="2">
        <v>0.78659999999999997</v>
      </c>
      <c r="U906" s="2">
        <v>4.2065999999999999</v>
      </c>
      <c r="V906" s="2">
        <v>3.42</v>
      </c>
      <c r="W906" s="5">
        <f t="shared" si="96"/>
        <v>0</v>
      </c>
      <c r="Y906" s="2" t="s">
        <v>3256</v>
      </c>
      <c r="Z906" s="2" t="s">
        <v>97</v>
      </c>
      <c r="AA906" s="2" t="s">
        <v>77</v>
      </c>
      <c r="AB906" s="2" t="s">
        <v>94</v>
      </c>
      <c r="AE906" s="2">
        <f t="shared" si="93"/>
        <v>0</v>
      </c>
      <c r="AI906" s="2">
        <f t="shared" si="94"/>
        <v>0</v>
      </c>
      <c r="AJ906" s="2">
        <f t="shared" si="95"/>
        <v>0</v>
      </c>
      <c r="AK906" s="5">
        <f t="shared" si="91"/>
        <v>0</v>
      </c>
    </row>
    <row r="907" spans="1:37" x14ac:dyDescent="0.2">
      <c r="A907" s="2">
        <v>2025</v>
      </c>
      <c r="B907" s="2">
        <v>4</v>
      </c>
      <c r="C907" s="2" t="s">
        <v>1281</v>
      </c>
      <c r="D907" s="2" t="s">
        <v>109</v>
      </c>
      <c r="E907" s="2" t="s">
        <v>39</v>
      </c>
      <c r="F907" s="2">
        <v>502618540</v>
      </c>
      <c r="G907" s="2" t="s">
        <v>41</v>
      </c>
      <c r="H907" s="2" t="s">
        <v>1282</v>
      </c>
      <c r="I907" s="2" t="s">
        <v>1283</v>
      </c>
      <c r="K907" s="2" t="s">
        <v>178</v>
      </c>
      <c r="L907" s="2" t="s">
        <v>40</v>
      </c>
      <c r="N907" s="2" t="s">
        <v>1284</v>
      </c>
      <c r="O907" s="2" t="s">
        <v>115</v>
      </c>
      <c r="P907" s="2" t="s">
        <v>1086</v>
      </c>
      <c r="Q907" s="2" t="s">
        <v>1087</v>
      </c>
      <c r="R907" s="2">
        <v>1</v>
      </c>
      <c r="S907" s="2">
        <v>158.93</v>
      </c>
      <c r="T907" s="2">
        <v>36.553900000000013</v>
      </c>
      <c r="U907" s="2">
        <v>195.48390000000001</v>
      </c>
      <c r="V907" s="2">
        <v>74.795000000000002</v>
      </c>
      <c r="W907" s="5">
        <f t="shared" si="96"/>
        <v>0.52938400553702891</v>
      </c>
      <c r="Y907" s="2" t="s">
        <v>118</v>
      </c>
      <c r="Z907" s="2" t="s">
        <v>119</v>
      </c>
      <c r="AA907" s="2" t="s">
        <v>120</v>
      </c>
      <c r="AB907" s="2" t="s">
        <v>115</v>
      </c>
      <c r="AE907" s="2">
        <f t="shared" si="93"/>
        <v>0</v>
      </c>
      <c r="AF907" s="2">
        <v>74.795000000000002</v>
      </c>
      <c r="AI907" s="2">
        <f t="shared" si="94"/>
        <v>0</v>
      </c>
      <c r="AJ907" s="2">
        <f t="shared" si="95"/>
        <v>84.135000000000005</v>
      </c>
      <c r="AK907" s="5">
        <f t="shared" si="91"/>
        <v>0.52938400553702891</v>
      </c>
    </row>
    <row r="908" spans="1:37" x14ac:dyDescent="0.2">
      <c r="A908" s="2">
        <v>2025</v>
      </c>
      <c r="B908" s="2">
        <v>4</v>
      </c>
      <c r="C908" s="2" t="s">
        <v>1285</v>
      </c>
      <c r="D908" s="2" t="s">
        <v>109</v>
      </c>
      <c r="E908" s="2" t="s">
        <v>39</v>
      </c>
      <c r="F908" s="2">
        <v>506187993</v>
      </c>
      <c r="G908" s="2" t="s">
        <v>291</v>
      </c>
      <c r="H908" s="2" t="s">
        <v>1286</v>
      </c>
      <c r="I908" s="2" t="s">
        <v>1287</v>
      </c>
      <c r="K908" s="2" t="s">
        <v>340</v>
      </c>
      <c r="L908" s="2" t="s">
        <v>40</v>
      </c>
      <c r="N908" s="2" t="s">
        <v>1288</v>
      </c>
      <c r="O908" s="2" t="s">
        <v>115</v>
      </c>
      <c r="P908" s="6" t="s">
        <v>127</v>
      </c>
      <c r="Q908" s="2" t="s">
        <v>128</v>
      </c>
      <c r="R908" s="2">
        <v>1</v>
      </c>
      <c r="S908" s="2">
        <v>7.11</v>
      </c>
      <c r="T908" s="2">
        <v>1.6353</v>
      </c>
      <c r="U908" s="2">
        <v>8.7453000000000003</v>
      </c>
      <c r="V908" s="2">
        <v>3.3595999999999999</v>
      </c>
      <c r="W908" s="5">
        <f t="shared" si="96"/>
        <v>0.52748241912798877</v>
      </c>
      <c r="Y908" s="2" t="s">
        <v>118</v>
      </c>
      <c r="Z908" s="2" t="s">
        <v>119</v>
      </c>
      <c r="AA908" s="2" t="s">
        <v>120</v>
      </c>
      <c r="AB908" s="2" t="s">
        <v>115</v>
      </c>
      <c r="AE908" s="2">
        <f t="shared" si="93"/>
        <v>0</v>
      </c>
      <c r="AF908" s="2">
        <v>3.3595999999999999</v>
      </c>
      <c r="AI908" s="2">
        <f t="shared" si="94"/>
        <v>0</v>
      </c>
      <c r="AJ908" s="2">
        <f t="shared" si="95"/>
        <v>3.7504000000000004</v>
      </c>
      <c r="AK908" s="5">
        <f t="shared" si="91"/>
        <v>0.52748241912798877</v>
      </c>
    </row>
    <row r="909" spans="1:37" x14ac:dyDescent="0.2">
      <c r="A909" s="2">
        <v>2025</v>
      </c>
      <c r="B909" s="2">
        <v>4</v>
      </c>
      <c r="C909" s="2" t="s">
        <v>1285</v>
      </c>
      <c r="D909" s="2" t="s">
        <v>109</v>
      </c>
      <c r="E909" s="2" t="s">
        <v>39</v>
      </c>
      <c r="F909" s="2">
        <v>506187993</v>
      </c>
      <c r="G909" s="2" t="s">
        <v>291</v>
      </c>
      <c r="H909" s="2" t="s">
        <v>1286</v>
      </c>
      <c r="I909" s="2" t="s">
        <v>1287</v>
      </c>
      <c r="K909" s="2" t="s">
        <v>340</v>
      </c>
      <c r="L909" s="2" t="s">
        <v>40</v>
      </c>
      <c r="N909" s="2" t="s">
        <v>1288</v>
      </c>
      <c r="O909" s="2" t="s">
        <v>115</v>
      </c>
      <c r="P909" s="6" t="s">
        <v>1289</v>
      </c>
      <c r="Q909" s="2" t="s">
        <v>1290</v>
      </c>
      <c r="R909" s="2">
        <v>1</v>
      </c>
      <c r="S909" s="2">
        <v>7.1</v>
      </c>
      <c r="T909" s="2">
        <v>1.633</v>
      </c>
      <c r="U909" s="2">
        <v>8.7330000000000005</v>
      </c>
      <c r="V909" s="2">
        <v>3.3188</v>
      </c>
      <c r="W909" s="5">
        <f t="shared" si="96"/>
        <v>0.53256338028169015</v>
      </c>
      <c r="Y909" s="2" t="s">
        <v>118</v>
      </c>
      <c r="Z909" s="2" t="s">
        <v>119</v>
      </c>
      <c r="AA909" s="2" t="s">
        <v>120</v>
      </c>
      <c r="AB909" s="2" t="s">
        <v>115</v>
      </c>
      <c r="AE909" s="2">
        <f t="shared" si="93"/>
        <v>0</v>
      </c>
      <c r="AF909" s="2">
        <v>3.3188</v>
      </c>
      <c r="AI909" s="2">
        <f t="shared" si="94"/>
        <v>0</v>
      </c>
      <c r="AJ909" s="2">
        <f t="shared" si="95"/>
        <v>3.7811999999999997</v>
      </c>
      <c r="AK909" s="5">
        <f t="shared" si="91"/>
        <v>0.53256338028169015</v>
      </c>
    </row>
    <row r="910" spans="1:37" x14ac:dyDescent="0.2">
      <c r="A910" s="2">
        <v>2025</v>
      </c>
      <c r="B910" s="2">
        <v>4</v>
      </c>
      <c r="C910" s="2" t="s">
        <v>1285</v>
      </c>
      <c r="L910" s="2" t="s">
        <v>40</v>
      </c>
      <c r="O910" s="2" t="s">
        <v>188</v>
      </c>
      <c r="P910" s="2" t="s">
        <v>189</v>
      </c>
      <c r="Q910" s="2" t="s">
        <v>190</v>
      </c>
      <c r="R910" s="2">
        <v>1</v>
      </c>
      <c r="S910" s="2">
        <v>75</v>
      </c>
      <c r="T910" s="2">
        <v>17.25</v>
      </c>
      <c r="U910" s="2">
        <v>92.25</v>
      </c>
      <c r="W910" s="5">
        <f t="shared" si="96"/>
        <v>1</v>
      </c>
      <c r="Y910" s="2" t="s">
        <v>118</v>
      </c>
      <c r="Z910" s="2" t="s">
        <v>191</v>
      </c>
      <c r="AE910" s="2">
        <f t="shared" si="93"/>
        <v>0</v>
      </c>
      <c r="AI910" s="2">
        <f t="shared" si="94"/>
        <v>0</v>
      </c>
      <c r="AJ910" s="2">
        <f t="shared" si="95"/>
        <v>75</v>
      </c>
      <c r="AK910" s="5">
        <f t="shared" si="91"/>
        <v>1</v>
      </c>
    </row>
    <row r="911" spans="1:37" x14ac:dyDescent="0.2">
      <c r="A911" s="2">
        <v>2025</v>
      </c>
      <c r="B911" s="2">
        <v>4</v>
      </c>
      <c r="C911" s="2" t="s">
        <v>1285</v>
      </c>
      <c r="L911" s="2" t="s">
        <v>40</v>
      </c>
      <c r="O911" s="2" t="s">
        <v>188</v>
      </c>
      <c r="P911" s="2" t="s">
        <v>192</v>
      </c>
      <c r="Q911" s="2" t="s">
        <v>191</v>
      </c>
      <c r="R911" s="2">
        <v>2</v>
      </c>
      <c r="S911" s="2">
        <v>99.99</v>
      </c>
      <c r="T911" s="2">
        <v>22.997699999999998</v>
      </c>
      <c r="U911" s="2">
        <v>122.9877</v>
      </c>
      <c r="V911" s="2">
        <f>S911*50%</f>
        <v>49.994999999999997</v>
      </c>
      <c r="W911" s="5">
        <f t="shared" si="96"/>
        <v>0.5</v>
      </c>
      <c r="Y911" s="2" t="s">
        <v>118</v>
      </c>
      <c r="Z911" s="2" t="s">
        <v>191</v>
      </c>
      <c r="AE911" s="2">
        <f t="shared" si="93"/>
        <v>0</v>
      </c>
      <c r="AI911" s="2">
        <f t="shared" si="94"/>
        <v>0</v>
      </c>
      <c r="AJ911" s="2">
        <f t="shared" si="95"/>
        <v>49.994999999999997</v>
      </c>
      <c r="AK911" s="5">
        <f t="shared" si="91"/>
        <v>0.5</v>
      </c>
    </row>
    <row r="912" spans="1:37" x14ac:dyDescent="0.2">
      <c r="A912" s="2">
        <v>2025</v>
      </c>
      <c r="B912" s="2">
        <v>4</v>
      </c>
      <c r="C912" s="2" t="s">
        <v>1291</v>
      </c>
      <c r="O912" s="2" t="s">
        <v>283</v>
      </c>
      <c r="P912" s="2" t="s">
        <v>1292</v>
      </c>
      <c r="Q912" s="2" t="s">
        <v>1293</v>
      </c>
      <c r="R912" s="2">
        <v>1</v>
      </c>
      <c r="S912" s="2">
        <v>1720</v>
      </c>
      <c r="W912" s="5">
        <f t="shared" si="96"/>
        <v>1</v>
      </c>
      <c r="AE912" s="2">
        <f t="shared" si="93"/>
        <v>0</v>
      </c>
      <c r="AI912" s="2">
        <f t="shared" si="94"/>
        <v>0</v>
      </c>
      <c r="AJ912" s="2">
        <f t="shared" si="95"/>
        <v>1720</v>
      </c>
      <c r="AK912" s="5">
        <f t="shared" si="91"/>
        <v>1</v>
      </c>
    </row>
    <row r="913" spans="1:37" x14ac:dyDescent="0.2">
      <c r="A913" s="2">
        <v>2025</v>
      </c>
      <c r="B913" s="2">
        <v>4</v>
      </c>
      <c r="C913" s="2" t="s">
        <v>1291</v>
      </c>
      <c r="O913" s="2" t="s">
        <v>283</v>
      </c>
      <c r="P913" s="2" t="s">
        <v>1294</v>
      </c>
      <c r="Q913" s="2" t="s">
        <v>1295</v>
      </c>
      <c r="R913" s="2">
        <v>1</v>
      </c>
      <c r="S913" s="2">
        <v>0</v>
      </c>
      <c r="W913" s="5" t="e">
        <f t="shared" si="96"/>
        <v>#DIV/0!</v>
      </c>
      <c r="AE913" s="2">
        <f t="shared" si="93"/>
        <v>0</v>
      </c>
      <c r="AI913" s="2">
        <f t="shared" si="94"/>
        <v>0</v>
      </c>
      <c r="AJ913" s="2">
        <f t="shared" si="95"/>
        <v>0</v>
      </c>
      <c r="AK913" s="5" t="e">
        <f t="shared" si="91"/>
        <v>#DIV/0!</v>
      </c>
    </row>
    <row r="914" spans="1:37" x14ac:dyDescent="0.2">
      <c r="A914" s="2">
        <v>2025</v>
      </c>
      <c r="B914" s="2">
        <v>4</v>
      </c>
      <c r="C914" s="2" t="s">
        <v>1291</v>
      </c>
      <c r="O914" s="2" t="s">
        <v>283</v>
      </c>
      <c r="P914" s="2" t="s">
        <v>1296</v>
      </c>
      <c r="Q914" s="2" t="s">
        <v>1297</v>
      </c>
      <c r="R914" s="2">
        <v>1</v>
      </c>
      <c r="S914" s="2">
        <v>1530</v>
      </c>
      <c r="W914" s="5">
        <f t="shared" si="96"/>
        <v>1</v>
      </c>
      <c r="AE914" s="2">
        <f t="shared" si="93"/>
        <v>0</v>
      </c>
      <c r="AI914" s="2">
        <f t="shared" si="94"/>
        <v>0</v>
      </c>
      <c r="AJ914" s="2">
        <f t="shared" si="95"/>
        <v>1530</v>
      </c>
      <c r="AK914" s="5">
        <f t="shared" ref="AK914:AK976" si="97">(S914-V914)/S914</f>
        <v>1</v>
      </c>
    </row>
    <row r="915" spans="1:37" x14ac:dyDescent="0.2">
      <c r="A915" s="2">
        <v>2025</v>
      </c>
      <c r="B915" s="2">
        <v>4</v>
      </c>
      <c r="C915" s="2" t="s">
        <v>1291</v>
      </c>
      <c r="O915" s="2" t="s">
        <v>283</v>
      </c>
      <c r="P915" s="2" t="s">
        <v>1167</v>
      </c>
      <c r="Q915" s="2" t="s">
        <v>1168</v>
      </c>
      <c r="R915" s="2">
        <v>1</v>
      </c>
      <c r="S915" s="2">
        <v>0</v>
      </c>
      <c r="W915" s="5" t="e">
        <f t="shared" si="96"/>
        <v>#DIV/0!</v>
      </c>
      <c r="AE915" s="2">
        <f t="shared" si="93"/>
        <v>0</v>
      </c>
      <c r="AI915" s="2">
        <f t="shared" si="94"/>
        <v>0</v>
      </c>
      <c r="AJ915" s="2">
        <f t="shared" si="95"/>
        <v>0</v>
      </c>
      <c r="AK915" s="5" t="e">
        <f t="shared" si="97"/>
        <v>#DIV/0!</v>
      </c>
    </row>
    <row r="916" spans="1:37" x14ac:dyDescent="0.2">
      <c r="A916" s="2">
        <v>2025</v>
      </c>
      <c r="B916" s="2">
        <v>4</v>
      </c>
      <c r="C916" s="2" t="s">
        <v>1291</v>
      </c>
      <c r="O916" s="2" t="s">
        <v>283</v>
      </c>
      <c r="P916" s="2" t="s">
        <v>1298</v>
      </c>
      <c r="Q916" s="2" t="s">
        <v>1299</v>
      </c>
      <c r="R916" s="2">
        <v>1</v>
      </c>
      <c r="S916" s="2">
        <v>0</v>
      </c>
      <c r="W916" s="5" t="e">
        <f t="shared" si="96"/>
        <v>#DIV/0!</v>
      </c>
      <c r="AE916" s="2">
        <f t="shared" si="93"/>
        <v>0</v>
      </c>
      <c r="AI916" s="2">
        <f t="shared" si="94"/>
        <v>0</v>
      </c>
      <c r="AJ916" s="2">
        <f t="shared" si="95"/>
        <v>0</v>
      </c>
      <c r="AK916" s="5" t="e">
        <f t="shared" si="97"/>
        <v>#DIV/0!</v>
      </c>
    </row>
    <row r="917" spans="1:37" x14ac:dyDescent="0.2">
      <c r="A917" s="2">
        <v>2025</v>
      </c>
      <c r="B917" s="2">
        <v>4</v>
      </c>
      <c r="C917" s="2" t="s">
        <v>1300</v>
      </c>
      <c r="O917" s="2" t="s">
        <v>115</v>
      </c>
      <c r="P917" s="2" t="s">
        <v>1301</v>
      </c>
      <c r="Q917" s="2" t="s">
        <v>1302</v>
      </c>
      <c r="R917" s="2">
        <v>1</v>
      </c>
      <c r="S917" s="2">
        <v>726.89</v>
      </c>
      <c r="W917" s="5">
        <f t="shared" si="96"/>
        <v>1</v>
      </c>
      <c r="AE917" s="2">
        <f t="shared" si="93"/>
        <v>0</v>
      </c>
      <c r="AI917" s="2">
        <f t="shared" si="94"/>
        <v>0</v>
      </c>
      <c r="AJ917" s="2">
        <f t="shared" si="95"/>
        <v>726.89</v>
      </c>
      <c r="AK917" s="5">
        <f t="shared" si="97"/>
        <v>1</v>
      </c>
    </row>
    <row r="918" spans="1:37" x14ac:dyDescent="0.2">
      <c r="A918" s="2">
        <v>2025</v>
      </c>
      <c r="B918" s="2">
        <v>4</v>
      </c>
      <c r="C918" s="2" t="s">
        <v>579</v>
      </c>
      <c r="D918" s="2" t="s">
        <v>38</v>
      </c>
      <c r="E918" s="2" t="s">
        <v>39</v>
      </c>
      <c r="F918" s="2">
        <v>504811029</v>
      </c>
      <c r="G918" s="2" t="s">
        <v>41</v>
      </c>
      <c r="H918" s="2" t="s">
        <v>178</v>
      </c>
      <c r="I918" s="2" t="s">
        <v>580</v>
      </c>
      <c r="K918" s="2" t="s">
        <v>178</v>
      </c>
      <c r="L918" s="2" t="s">
        <v>41</v>
      </c>
      <c r="O918" s="2" t="s">
        <v>115</v>
      </c>
      <c r="P918" s="2" t="s">
        <v>1303</v>
      </c>
      <c r="Q918" s="2" t="s">
        <v>1304</v>
      </c>
      <c r="R918" s="2">
        <v>1</v>
      </c>
      <c r="S918" s="2">
        <v>584.86</v>
      </c>
      <c r="W918" s="5">
        <f t="shared" si="96"/>
        <v>1</v>
      </c>
      <c r="Y918" s="2" t="s">
        <v>118</v>
      </c>
      <c r="AE918" s="2">
        <f t="shared" si="93"/>
        <v>0</v>
      </c>
      <c r="AI918" s="2">
        <f t="shared" si="94"/>
        <v>0</v>
      </c>
      <c r="AJ918" s="2">
        <f t="shared" si="95"/>
        <v>584.86</v>
      </c>
      <c r="AK918" s="5">
        <f t="shared" si="97"/>
        <v>1</v>
      </c>
    </row>
    <row r="919" spans="1:37" x14ac:dyDescent="0.2">
      <c r="A919" s="2">
        <v>2025</v>
      </c>
      <c r="B919" s="2">
        <v>4</v>
      </c>
      <c r="C919" s="2" t="s">
        <v>1305</v>
      </c>
      <c r="D919" s="2" t="s">
        <v>184</v>
      </c>
      <c r="E919" s="2" t="s">
        <v>368</v>
      </c>
      <c r="F919" s="2">
        <v>500625654</v>
      </c>
      <c r="G919" s="2" t="s">
        <v>291</v>
      </c>
      <c r="H919" s="2" t="s">
        <v>340</v>
      </c>
      <c r="I919" s="2" t="s">
        <v>1306</v>
      </c>
      <c r="K919" s="2" t="s">
        <v>340</v>
      </c>
      <c r="L919" s="2" t="s">
        <v>81</v>
      </c>
      <c r="N919" s="2" t="s">
        <v>3228</v>
      </c>
      <c r="O919" s="2" t="s">
        <v>73</v>
      </c>
      <c r="P919" s="2" t="s">
        <v>79</v>
      </c>
      <c r="Q919" s="2" t="s">
        <v>80</v>
      </c>
      <c r="R919" s="2">
        <v>1</v>
      </c>
      <c r="S919" s="2">
        <v>198.85</v>
      </c>
      <c r="T919" s="2">
        <v>45.735500000000002</v>
      </c>
      <c r="U919" s="2">
        <v>244.5855</v>
      </c>
      <c r="V919" s="2">
        <v>111.98</v>
      </c>
      <c r="W919" s="5">
        <f t="shared" si="96"/>
        <v>0.43686195624842844</v>
      </c>
      <c r="Y919" s="2" t="s">
        <v>3256</v>
      </c>
      <c r="Z919" s="2" t="s">
        <v>76</v>
      </c>
      <c r="AA919" s="2" t="s">
        <v>77</v>
      </c>
      <c r="AB919" s="2" t="s">
        <v>78</v>
      </c>
      <c r="AE919" s="2">
        <f t="shared" si="93"/>
        <v>0</v>
      </c>
      <c r="AF919" s="2">
        <v>111.98</v>
      </c>
      <c r="AG919" s="2">
        <v>210</v>
      </c>
      <c r="AI919" s="2">
        <f t="shared" si="94"/>
        <v>0</v>
      </c>
      <c r="AJ919" s="2">
        <f t="shared" si="95"/>
        <v>86.86999999999999</v>
      </c>
      <c r="AK919" s="5">
        <f t="shared" si="97"/>
        <v>0.43686195624842844</v>
      </c>
    </row>
    <row r="920" spans="1:37" x14ac:dyDescent="0.2">
      <c r="A920" s="2">
        <v>2025</v>
      </c>
      <c r="B920" s="2">
        <v>4</v>
      </c>
      <c r="C920" s="2" t="s">
        <v>1305</v>
      </c>
      <c r="D920" s="2" t="s">
        <v>184</v>
      </c>
      <c r="E920" s="2" t="s">
        <v>368</v>
      </c>
      <c r="F920" s="2">
        <v>500625654</v>
      </c>
      <c r="G920" s="2" t="s">
        <v>291</v>
      </c>
      <c r="H920" s="2" t="s">
        <v>340</v>
      </c>
      <c r="I920" s="2" t="s">
        <v>1306</v>
      </c>
      <c r="K920" s="2" t="s">
        <v>340</v>
      </c>
      <c r="O920" s="2" t="s">
        <v>94</v>
      </c>
      <c r="P920" s="2" t="s">
        <v>95</v>
      </c>
      <c r="Q920" s="2" t="s">
        <v>96</v>
      </c>
      <c r="R920" s="2">
        <v>1</v>
      </c>
      <c r="S920" s="2">
        <v>1.1399999999999999</v>
      </c>
      <c r="T920" s="2">
        <v>0.26219999999999999</v>
      </c>
      <c r="U920" s="2">
        <v>1.4021999999999999</v>
      </c>
      <c r="V920" s="2">
        <v>1.1399999999999999</v>
      </c>
      <c r="W920" s="5">
        <f t="shared" si="96"/>
        <v>0</v>
      </c>
      <c r="Y920" s="2" t="s">
        <v>3256</v>
      </c>
      <c r="Z920" s="2" t="s">
        <v>97</v>
      </c>
      <c r="AA920" s="2" t="s">
        <v>77</v>
      </c>
      <c r="AB920" s="2" t="s">
        <v>94</v>
      </c>
      <c r="AE920" s="2">
        <f t="shared" si="93"/>
        <v>0</v>
      </c>
      <c r="AI920" s="2">
        <f t="shared" si="94"/>
        <v>0</v>
      </c>
      <c r="AJ920" s="2">
        <f t="shared" si="95"/>
        <v>0</v>
      </c>
      <c r="AK920" s="5">
        <f t="shared" si="97"/>
        <v>0</v>
      </c>
    </row>
    <row r="921" spans="1:37" x14ac:dyDescent="0.2">
      <c r="A921" s="2">
        <v>2025</v>
      </c>
      <c r="B921" s="2">
        <v>4</v>
      </c>
      <c r="C921" s="2" t="s">
        <v>1307</v>
      </c>
      <c r="L921" s="2" t="s">
        <v>40</v>
      </c>
      <c r="O921" s="2" t="s">
        <v>115</v>
      </c>
      <c r="P921" s="2" t="s">
        <v>180</v>
      </c>
      <c r="Q921" s="2" t="s">
        <v>181</v>
      </c>
      <c r="R921" s="2">
        <v>1</v>
      </c>
      <c r="S921" s="2">
        <v>690.61</v>
      </c>
      <c r="T921" s="2">
        <v>158.84030000000001</v>
      </c>
      <c r="U921" s="2">
        <v>849.45029999999997</v>
      </c>
      <c r="V921" s="2">
        <v>346.57</v>
      </c>
      <c r="W921" s="5">
        <f t="shared" si="96"/>
        <v>0.49816828600802193</v>
      </c>
      <c r="Y921" s="2" t="s">
        <v>118</v>
      </c>
      <c r="Z921" s="2" t="s">
        <v>182</v>
      </c>
      <c r="AE921" s="2">
        <f t="shared" si="93"/>
        <v>0</v>
      </c>
      <c r="AI921" s="2">
        <f t="shared" si="94"/>
        <v>0</v>
      </c>
      <c r="AJ921" s="2">
        <f t="shared" si="95"/>
        <v>344.04</v>
      </c>
      <c r="AK921" s="5">
        <f t="shared" si="97"/>
        <v>0.49816828600802193</v>
      </c>
    </row>
    <row r="922" spans="1:37" x14ac:dyDescent="0.2">
      <c r="A922" s="2">
        <v>2025</v>
      </c>
      <c r="B922" s="2">
        <v>4</v>
      </c>
      <c r="C922" s="2" t="s">
        <v>1307</v>
      </c>
      <c r="L922" s="2" t="s">
        <v>40</v>
      </c>
      <c r="O922" s="2" t="s">
        <v>188</v>
      </c>
      <c r="P922" s="2" t="s">
        <v>189</v>
      </c>
      <c r="Q922" s="2" t="s">
        <v>190</v>
      </c>
      <c r="R922" s="2">
        <v>1</v>
      </c>
      <c r="S922" s="2">
        <v>133</v>
      </c>
      <c r="T922" s="2">
        <v>30.59</v>
      </c>
      <c r="U922" s="2">
        <v>163.59</v>
      </c>
      <c r="W922" s="5">
        <f t="shared" si="96"/>
        <v>1</v>
      </c>
      <c r="Y922" s="2" t="s">
        <v>118</v>
      </c>
      <c r="Z922" s="2" t="s">
        <v>191</v>
      </c>
      <c r="AE922" s="2">
        <f t="shared" si="93"/>
        <v>0</v>
      </c>
      <c r="AI922" s="2">
        <f t="shared" si="94"/>
        <v>0</v>
      </c>
      <c r="AJ922" s="2">
        <f t="shared" si="95"/>
        <v>133</v>
      </c>
      <c r="AK922" s="5">
        <f t="shared" si="97"/>
        <v>1</v>
      </c>
    </row>
    <row r="923" spans="1:37" x14ac:dyDescent="0.2">
      <c r="A923" s="2">
        <v>2025</v>
      </c>
      <c r="B923" s="2">
        <v>4</v>
      </c>
      <c r="C923" s="2" t="s">
        <v>1307</v>
      </c>
      <c r="L923" s="2" t="s">
        <v>40</v>
      </c>
      <c r="O923" s="2" t="s">
        <v>188</v>
      </c>
      <c r="P923" s="2" t="s">
        <v>192</v>
      </c>
      <c r="Q923" s="2" t="s">
        <v>191</v>
      </c>
      <c r="R923" s="2">
        <v>1</v>
      </c>
      <c r="S923" s="2">
        <v>0</v>
      </c>
      <c r="T923" s="2">
        <v>0</v>
      </c>
      <c r="U923" s="2">
        <v>0</v>
      </c>
      <c r="V923" s="2">
        <f>S923*50%</f>
        <v>0</v>
      </c>
      <c r="W923" s="5" t="e">
        <f t="shared" si="96"/>
        <v>#DIV/0!</v>
      </c>
      <c r="Y923" s="2" t="s">
        <v>118</v>
      </c>
      <c r="Z923" s="2" t="s">
        <v>191</v>
      </c>
      <c r="AE923" s="2">
        <f t="shared" si="93"/>
        <v>0</v>
      </c>
      <c r="AI923" s="2">
        <f t="shared" si="94"/>
        <v>0</v>
      </c>
      <c r="AJ923" s="2">
        <f t="shared" si="95"/>
        <v>0</v>
      </c>
      <c r="AK923" s="5" t="e">
        <f t="shared" si="97"/>
        <v>#DIV/0!</v>
      </c>
    </row>
    <row r="924" spans="1:37" x14ac:dyDescent="0.2">
      <c r="A924" s="2">
        <v>2025</v>
      </c>
      <c r="B924" s="2">
        <v>4</v>
      </c>
      <c r="C924" s="2" t="s">
        <v>630</v>
      </c>
      <c r="D924" s="2" t="s">
        <v>38</v>
      </c>
      <c r="E924" s="2" t="s">
        <v>39</v>
      </c>
      <c r="F924" s="2" t="s">
        <v>631</v>
      </c>
      <c r="G924" s="2" t="s">
        <v>40</v>
      </c>
      <c r="H924" s="2" t="s">
        <v>632</v>
      </c>
      <c r="I924" s="2" t="s">
        <v>633</v>
      </c>
      <c r="K924" s="2" t="s">
        <v>632</v>
      </c>
      <c r="L924" s="2" t="s">
        <v>40</v>
      </c>
      <c r="O924" s="2" t="s">
        <v>115</v>
      </c>
      <c r="P924" s="2" t="s">
        <v>911</v>
      </c>
      <c r="Q924" s="2" t="s">
        <v>912</v>
      </c>
      <c r="R924" s="2">
        <v>1</v>
      </c>
      <c r="S924" s="2">
        <v>465.7</v>
      </c>
      <c r="W924" s="5">
        <f t="shared" si="96"/>
        <v>1</v>
      </c>
      <c r="AE924" s="2">
        <f t="shared" si="93"/>
        <v>0</v>
      </c>
      <c r="AI924" s="2">
        <f t="shared" si="94"/>
        <v>0</v>
      </c>
      <c r="AJ924" s="2">
        <f t="shared" si="95"/>
        <v>465.7</v>
      </c>
      <c r="AK924" s="5">
        <f t="shared" si="97"/>
        <v>1</v>
      </c>
    </row>
    <row r="925" spans="1:37" x14ac:dyDescent="0.2">
      <c r="A925" s="2">
        <v>2025</v>
      </c>
      <c r="B925" s="2">
        <v>4</v>
      </c>
      <c r="C925" s="2" t="s">
        <v>1308</v>
      </c>
      <c r="O925" s="2" t="s">
        <v>43</v>
      </c>
      <c r="P925" s="2" t="s">
        <v>49</v>
      </c>
      <c r="Q925" s="2" t="s">
        <v>50</v>
      </c>
      <c r="R925" s="2">
        <v>3</v>
      </c>
      <c r="S925" s="2">
        <v>36</v>
      </c>
      <c r="T925" s="2">
        <f>S925*23%</f>
        <v>8.2800000000000011</v>
      </c>
      <c r="U925" s="2">
        <f>S925+T925</f>
        <v>44.28</v>
      </c>
      <c r="V925" s="2">
        <f>6.6267*R925</f>
        <v>19.880099999999999</v>
      </c>
      <c r="W925" s="5">
        <f t="shared" si="96"/>
        <v>0.44777500000000003</v>
      </c>
      <c r="Y925" s="2" t="s">
        <v>3256</v>
      </c>
      <c r="Z925" s="2" t="s">
        <v>46</v>
      </c>
      <c r="AA925" s="2" t="s">
        <v>47</v>
      </c>
      <c r="AB925" s="2" t="s">
        <v>48</v>
      </c>
      <c r="AE925" s="2">
        <f t="shared" si="93"/>
        <v>0</v>
      </c>
      <c r="AF925" s="2">
        <v>6.6266999999999996</v>
      </c>
      <c r="AG925" s="2">
        <v>12</v>
      </c>
      <c r="AI925" s="2">
        <f t="shared" si="94"/>
        <v>0</v>
      </c>
      <c r="AJ925" s="2">
        <f t="shared" si="95"/>
        <v>16.119900000000001</v>
      </c>
      <c r="AK925" s="5">
        <f t="shared" si="97"/>
        <v>0.44777500000000003</v>
      </c>
    </row>
    <row r="926" spans="1:37" x14ac:dyDescent="0.2">
      <c r="A926" s="2">
        <v>2025</v>
      </c>
      <c r="B926" s="2">
        <v>4</v>
      </c>
      <c r="C926" s="2" t="s">
        <v>1309</v>
      </c>
      <c r="O926" s="2" t="s">
        <v>115</v>
      </c>
      <c r="P926" s="2" t="s">
        <v>1310</v>
      </c>
      <c r="Q926" s="2" t="s">
        <v>1311</v>
      </c>
      <c r="R926" s="2">
        <v>2</v>
      </c>
      <c r="S926" s="2">
        <v>18.59</v>
      </c>
      <c r="W926" s="5">
        <f t="shared" si="96"/>
        <v>1</v>
      </c>
      <c r="AE926" s="2">
        <f t="shared" si="93"/>
        <v>0</v>
      </c>
      <c r="AI926" s="2">
        <f t="shared" si="94"/>
        <v>0</v>
      </c>
      <c r="AJ926" s="2">
        <f t="shared" si="95"/>
        <v>18.59</v>
      </c>
      <c r="AK926" s="5">
        <f t="shared" si="97"/>
        <v>1</v>
      </c>
    </row>
    <row r="927" spans="1:37" x14ac:dyDescent="0.2">
      <c r="A927" s="2">
        <v>2025</v>
      </c>
      <c r="B927" s="2">
        <v>4</v>
      </c>
      <c r="C927" s="2" t="s">
        <v>1312</v>
      </c>
      <c r="O927" s="2" t="s">
        <v>1203</v>
      </c>
      <c r="P927" s="2" t="s">
        <v>1095</v>
      </c>
      <c r="Q927" s="2" t="s">
        <v>1096</v>
      </c>
      <c r="R927" s="2">
        <v>1</v>
      </c>
      <c r="S927" s="2">
        <v>580</v>
      </c>
      <c r="T927" s="2">
        <v>133.4</v>
      </c>
      <c r="U927" s="2">
        <v>713.4</v>
      </c>
      <c r="W927" s="5">
        <f t="shared" si="96"/>
        <v>1</v>
      </c>
      <c r="Y927" s="2" t="s">
        <v>105</v>
      </c>
      <c r="Z927" s="2" t="s">
        <v>1208</v>
      </c>
      <c r="AA927" s="2" t="s">
        <v>120</v>
      </c>
      <c r="AB927" s="2" t="s">
        <v>1203</v>
      </c>
      <c r="AE927" s="2">
        <f t="shared" si="93"/>
        <v>0</v>
      </c>
      <c r="AI927" s="2">
        <f t="shared" si="94"/>
        <v>0</v>
      </c>
      <c r="AJ927" s="2">
        <f t="shared" si="95"/>
        <v>580</v>
      </c>
      <c r="AK927" s="5">
        <f t="shared" si="97"/>
        <v>1</v>
      </c>
    </row>
    <row r="928" spans="1:37" x14ac:dyDescent="0.2">
      <c r="A928" s="2">
        <v>2025</v>
      </c>
      <c r="B928" s="2">
        <v>4</v>
      </c>
      <c r="C928" s="2" t="s">
        <v>913</v>
      </c>
      <c r="O928" s="2" t="s">
        <v>40</v>
      </c>
      <c r="P928" s="2" t="s">
        <v>364</v>
      </c>
      <c r="Q928" s="2" t="s">
        <v>365</v>
      </c>
      <c r="R928" s="2">
        <v>1</v>
      </c>
      <c r="S928" s="2">
        <v>600</v>
      </c>
      <c r="T928" s="2">
        <v>138</v>
      </c>
      <c r="U928" s="2">
        <v>738</v>
      </c>
      <c r="W928" s="5">
        <f t="shared" si="96"/>
        <v>1</v>
      </c>
      <c r="Y928" s="2" t="s">
        <v>120</v>
      </c>
      <c r="AE928" s="2">
        <f t="shared" si="93"/>
        <v>0</v>
      </c>
      <c r="AI928" s="2">
        <f t="shared" si="94"/>
        <v>0</v>
      </c>
      <c r="AJ928" s="2">
        <f t="shared" si="95"/>
        <v>600</v>
      </c>
      <c r="AK928" s="5">
        <f t="shared" si="97"/>
        <v>1</v>
      </c>
    </row>
    <row r="929" spans="1:37" x14ac:dyDescent="0.2">
      <c r="A929" s="2">
        <v>2025</v>
      </c>
      <c r="B929" s="2">
        <v>4</v>
      </c>
      <c r="C929" s="2" t="s">
        <v>1313</v>
      </c>
      <c r="O929" s="2" t="s">
        <v>1203</v>
      </c>
      <c r="P929" s="2" t="s">
        <v>1314</v>
      </c>
      <c r="Q929" s="2" t="s">
        <v>1315</v>
      </c>
      <c r="R929" s="2">
        <v>1</v>
      </c>
      <c r="S929" s="2">
        <v>7660</v>
      </c>
      <c r="T929" s="2">
        <v>1761.8</v>
      </c>
      <c r="U929" s="2">
        <v>9421.7999999999993</v>
      </c>
      <c r="W929" s="5">
        <f t="shared" si="96"/>
        <v>1</v>
      </c>
      <c r="Y929" s="2" t="s">
        <v>105</v>
      </c>
      <c r="Z929" s="2" t="s">
        <v>1208</v>
      </c>
      <c r="AA929" s="2" t="s">
        <v>120</v>
      </c>
      <c r="AB929" s="2" t="s">
        <v>1203</v>
      </c>
      <c r="AE929" s="2">
        <f t="shared" si="93"/>
        <v>0</v>
      </c>
      <c r="AI929" s="2">
        <f t="shared" si="94"/>
        <v>0</v>
      </c>
      <c r="AJ929" s="2">
        <f t="shared" si="95"/>
        <v>7660</v>
      </c>
      <c r="AK929" s="5">
        <f t="shared" si="97"/>
        <v>1</v>
      </c>
    </row>
    <row r="930" spans="1:37" x14ac:dyDescent="0.2">
      <c r="A930" s="2">
        <v>2025</v>
      </c>
      <c r="B930" s="2">
        <v>4</v>
      </c>
      <c r="C930" s="2" t="s">
        <v>639</v>
      </c>
      <c r="O930" s="2" t="s">
        <v>73</v>
      </c>
      <c r="P930" s="2" t="s">
        <v>670</v>
      </c>
      <c r="Q930" s="2" t="s">
        <v>80</v>
      </c>
      <c r="R930" s="2">
        <v>1</v>
      </c>
      <c r="S930" s="2">
        <v>220</v>
      </c>
      <c r="T930" s="2">
        <v>50.6</v>
      </c>
      <c r="U930" s="2">
        <v>270.60000000000002</v>
      </c>
      <c r="W930" s="5">
        <f t="shared" si="96"/>
        <v>1</v>
      </c>
      <c r="Y930" s="2" t="s">
        <v>3256</v>
      </c>
      <c r="Z930" s="2" t="s">
        <v>76</v>
      </c>
      <c r="AA930" s="2" t="s">
        <v>77</v>
      </c>
      <c r="AB930" s="2" t="s">
        <v>78</v>
      </c>
      <c r="AE930" s="2">
        <f t="shared" si="93"/>
        <v>0</v>
      </c>
      <c r="AI930" s="2">
        <f t="shared" si="94"/>
        <v>0</v>
      </c>
      <c r="AJ930" s="2">
        <f t="shared" si="95"/>
        <v>220</v>
      </c>
      <c r="AK930" s="5">
        <f t="shared" si="97"/>
        <v>1</v>
      </c>
    </row>
    <row r="931" spans="1:37" x14ac:dyDescent="0.2">
      <c r="A931" s="2">
        <v>2025</v>
      </c>
      <c r="B931" s="2">
        <v>4</v>
      </c>
      <c r="C931" s="2" t="s">
        <v>639</v>
      </c>
      <c r="O931" s="2" t="s">
        <v>94</v>
      </c>
      <c r="P931" s="2" t="s">
        <v>95</v>
      </c>
      <c r="Q931" s="2" t="s">
        <v>96</v>
      </c>
      <c r="R931" s="2">
        <v>1</v>
      </c>
      <c r="S931" s="2">
        <v>1.1399999999999999</v>
      </c>
      <c r="T931" s="2">
        <v>0.26219999999999999</v>
      </c>
      <c r="U931" s="2">
        <v>1.4021999999999999</v>
      </c>
      <c r="V931" s="2">
        <v>1.1399999999999999</v>
      </c>
      <c r="W931" s="5">
        <f t="shared" ref="W931:W961" si="98">(S931-V931)/S931</f>
        <v>0</v>
      </c>
      <c r="Y931" s="2" t="s">
        <v>3256</v>
      </c>
      <c r="Z931" s="2" t="s">
        <v>97</v>
      </c>
      <c r="AA931" s="2" t="s">
        <v>77</v>
      </c>
      <c r="AB931" s="2" t="s">
        <v>94</v>
      </c>
      <c r="AE931" s="2">
        <f t="shared" si="93"/>
        <v>0</v>
      </c>
      <c r="AI931" s="2">
        <f t="shared" si="94"/>
        <v>0</v>
      </c>
      <c r="AJ931" s="2">
        <f t="shared" si="95"/>
        <v>0</v>
      </c>
      <c r="AK931" s="5">
        <f t="shared" si="97"/>
        <v>0</v>
      </c>
    </row>
    <row r="932" spans="1:37" x14ac:dyDescent="0.2">
      <c r="A932" s="2">
        <v>2025</v>
      </c>
      <c r="B932" s="2">
        <v>4</v>
      </c>
      <c r="C932" s="2" t="s">
        <v>1129</v>
      </c>
      <c r="D932" s="2" t="s">
        <v>109</v>
      </c>
      <c r="E932" s="2" t="s">
        <v>39</v>
      </c>
      <c r="F932" s="2">
        <v>504923765</v>
      </c>
      <c r="G932" s="2" t="s">
        <v>110</v>
      </c>
      <c r="H932" s="2" t="s">
        <v>3275</v>
      </c>
      <c r="I932" s="2" t="s">
        <v>3276</v>
      </c>
      <c r="J932" s="2">
        <v>96179412</v>
      </c>
      <c r="K932" s="2" t="s">
        <v>465</v>
      </c>
      <c r="L932" s="2" t="s">
        <v>40</v>
      </c>
      <c r="N932" s="2" t="s">
        <v>3279</v>
      </c>
      <c r="O932" s="2" t="s">
        <v>3286</v>
      </c>
      <c r="P932" s="2" t="s">
        <v>1316</v>
      </c>
      <c r="Q932" s="2" t="s">
        <v>1317</v>
      </c>
      <c r="R932" s="2">
        <v>1</v>
      </c>
      <c r="S932" s="2">
        <v>11875</v>
      </c>
      <c r="T932" s="2">
        <f>S932*23%</f>
        <v>2731.25</v>
      </c>
      <c r="U932" s="2">
        <f>S932+T932</f>
        <v>14606.25</v>
      </c>
      <c r="V932" s="2">
        <v>13290</v>
      </c>
      <c r="W932" s="5">
        <f t="shared" si="98"/>
        <v>-0.1191578947368421</v>
      </c>
      <c r="Y932" s="2" t="s">
        <v>105</v>
      </c>
      <c r="Z932" s="2" t="s">
        <v>3285</v>
      </c>
      <c r="AA932" s="2" t="s">
        <v>1121</v>
      </c>
      <c r="AB932" s="2" t="s">
        <v>3284</v>
      </c>
      <c r="AE932" s="2">
        <f t="shared" si="93"/>
        <v>0</v>
      </c>
      <c r="AI932" s="2">
        <f t="shared" si="94"/>
        <v>0</v>
      </c>
      <c r="AJ932" s="2">
        <f t="shared" si="95"/>
        <v>-1415</v>
      </c>
      <c r="AK932" s="5">
        <f t="shared" si="97"/>
        <v>-0.1191578947368421</v>
      </c>
    </row>
    <row r="933" spans="1:37" x14ac:dyDescent="0.2">
      <c r="A933" s="2">
        <v>2025</v>
      </c>
      <c r="B933" s="2">
        <v>4</v>
      </c>
      <c r="C933" s="2" t="s">
        <v>661</v>
      </c>
      <c r="D933" s="2" t="s">
        <v>38</v>
      </c>
      <c r="F933" s="2">
        <v>509116590</v>
      </c>
      <c r="G933" s="2" t="s">
        <v>291</v>
      </c>
      <c r="H933" s="2" t="s">
        <v>662</v>
      </c>
      <c r="I933" s="2" t="s">
        <v>663</v>
      </c>
      <c r="K933" s="2" t="s">
        <v>294</v>
      </c>
      <c r="L933" s="2" t="s">
        <v>81</v>
      </c>
      <c r="N933" s="2" t="s">
        <v>1321</v>
      </c>
      <c r="O933" s="2" t="s">
        <v>73</v>
      </c>
      <c r="P933" s="2" t="s">
        <v>687</v>
      </c>
      <c r="Q933" s="2" t="s">
        <v>75</v>
      </c>
      <c r="R933" s="2">
        <v>1</v>
      </c>
      <c r="S933" s="2">
        <v>210</v>
      </c>
      <c r="T933" s="2">
        <v>48.3</v>
      </c>
      <c r="U933" s="2">
        <v>258.3</v>
      </c>
      <c r="V933" s="2">
        <v>104.49</v>
      </c>
      <c r="W933" s="5">
        <f t="shared" si="98"/>
        <v>0.50242857142857145</v>
      </c>
      <c r="Y933" s="2" t="s">
        <v>3256</v>
      </c>
      <c r="Z933" s="2" t="s">
        <v>76</v>
      </c>
      <c r="AA933" s="2" t="s">
        <v>77</v>
      </c>
      <c r="AB933" s="2" t="s">
        <v>78</v>
      </c>
      <c r="AE933" s="2">
        <f t="shared" si="93"/>
        <v>0</v>
      </c>
      <c r="AF933" s="2">
        <v>104.49</v>
      </c>
      <c r="AG933" s="2">
        <v>220</v>
      </c>
      <c r="AI933" s="2">
        <f t="shared" si="94"/>
        <v>0</v>
      </c>
      <c r="AJ933" s="2">
        <f t="shared" si="95"/>
        <v>105.51</v>
      </c>
      <c r="AK933" s="5">
        <f t="shared" si="97"/>
        <v>0.50242857142857145</v>
      </c>
    </row>
    <row r="934" spans="1:37" x14ac:dyDescent="0.2">
      <c r="A934" s="2">
        <v>2025</v>
      </c>
      <c r="B934" s="2">
        <v>4</v>
      </c>
      <c r="C934" s="2" t="s">
        <v>661</v>
      </c>
      <c r="D934" s="2" t="s">
        <v>38</v>
      </c>
      <c r="F934" s="2">
        <v>509116590</v>
      </c>
      <c r="G934" s="2" t="s">
        <v>291</v>
      </c>
      <c r="H934" s="2" t="s">
        <v>662</v>
      </c>
      <c r="I934" s="2" t="s">
        <v>663</v>
      </c>
      <c r="K934" s="2" t="s">
        <v>294</v>
      </c>
      <c r="L934" s="2" t="s">
        <v>81</v>
      </c>
      <c r="O934" s="2" t="s">
        <v>94</v>
      </c>
      <c r="P934" s="2" t="s">
        <v>95</v>
      </c>
      <c r="Q934" s="2" t="s">
        <v>96</v>
      </c>
      <c r="R934" s="2">
        <v>1</v>
      </c>
      <c r="S934" s="2">
        <v>1.1399999999999999</v>
      </c>
      <c r="T934" s="2">
        <v>0.26219999999999999</v>
      </c>
      <c r="U934" s="2">
        <v>1.4021999999999999</v>
      </c>
      <c r="V934" s="2">
        <v>1.1399999999999999</v>
      </c>
      <c r="W934" s="5">
        <f t="shared" si="98"/>
        <v>0</v>
      </c>
      <c r="Y934" s="2" t="s">
        <v>3256</v>
      </c>
      <c r="Z934" s="2" t="s">
        <v>97</v>
      </c>
      <c r="AA934" s="2" t="s">
        <v>77</v>
      </c>
      <c r="AB934" s="2" t="s">
        <v>94</v>
      </c>
      <c r="AE934" s="2">
        <f t="shared" si="93"/>
        <v>0</v>
      </c>
      <c r="AI934" s="2">
        <f t="shared" si="94"/>
        <v>0</v>
      </c>
      <c r="AJ934" s="2">
        <f t="shared" si="95"/>
        <v>0</v>
      </c>
      <c r="AK934" s="5">
        <f t="shared" si="97"/>
        <v>0</v>
      </c>
    </row>
    <row r="935" spans="1:37" x14ac:dyDescent="0.2">
      <c r="A935" s="2">
        <v>2025</v>
      </c>
      <c r="B935" s="2">
        <v>4</v>
      </c>
      <c r="C935" s="2" t="s">
        <v>1322</v>
      </c>
      <c r="D935" s="2" t="s">
        <v>38</v>
      </c>
      <c r="E935" s="2" t="s">
        <v>39</v>
      </c>
      <c r="F935" s="2">
        <v>509512739</v>
      </c>
      <c r="G935" s="2" t="s">
        <v>41</v>
      </c>
      <c r="H935" s="2" t="s">
        <v>178</v>
      </c>
      <c r="I935" s="2" t="s">
        <v>1323</v>
      </c>
      <c r="K935" s="2" t="s">
        <v>178</v>
      </c>
      <c r="L935" s="2" t="s">
        <v>41</v>
      </c>
      <c r="N935" s="2" t="s">
        <v>1324</v>
      </c>
      <c r="O935" s="2" t="s">
        <v>43</v>
      </c>
      <c r="P935" s="2" t="s">
        <v>55</v>
      </c>
      <c r="Q935" s="2" t="s">
        <v>56</v>
      </c>
      <c r="R935" s="2">
        <v>2</v>
      </c>
      <c r="S935" s="2">
        <v>34</v>
      </c>
      <c r="T935" s="2">
        <f>S935*23%</f>
        <v>7.82</v>
      </c>
      <c r="U935" s="2">
        <f>S935+T935</f>
        <v>41.82</v>
      </c>
      <c r="V935" s="2">
        <f>10.6*R935</f>
        <v>21.2</v>
      </c>
      <c r="W935" s="5">
        <f t="shared" si="98"/>
        <v>0.37647058823529411</v>
      </c>
      <c r="Y935" s="2" t="s">
        <v>3256</v>
      </c>
      <c r="Z935" s="2" t="s">
        <v>46</v>
      </c>
      <c r="AA935" s="2" t="s">
        <v>57</v>
      </c>
      <c r="AB935" s="2" t="s">
        <v>58</v>
      </c>
      <c r="AE935" s="2">
        <f t="shared" si="93"/>
        <v>0</v>
      </c>
      <c r="AF935" s="2">
        <v>10.6</v>
      </c>
      <c r="AG935" s="2">
        <v>18</v>
      </c>
      <c r="AI935" s="2">
        <f t="shared" si="94"/>
        <v>0</v>
      </c>
      <c r="AJ935" s="2">
        <f t="shared" si="95"/>
        <v>12.8</v>
      </c>
      <c r="AK935" s="5">
        <f t="shared" si="97"/>
        <v>0.37647058823529411</v>
      </c>
    </row>
    <row r="936" spans="1:37" x14ac:dyDescent="0.2">
      <c r="A936" s="2">
        <v>2025</v>
      </c>
      <c r="B936" s="2">
        <v>4</v>
      </c>
      <c r="C936" s="2" t="s">
        <v>1322</v>
      </c>
      <c r="D936" s="2" t="s">
        <v>38</v>
      </c>
      <c r="E936" s="2" t="s">
        <v>39</v>
      </c>
      <c r="F936" s="2">
        <v>509512739</v>
      </c>
      <c r="G936" s="2" t="s">
        <v>41</v>
      </c>
      <c r="H936" s="2" t="s">
        <v>178</v>
      </c>
      <c r="I936" s="2" t="s">
        <v>1323</v>
      </c>
      <c r="K936" s="2" t="s">
        <v>178</v>
      </c>
      <c r="L936" s="2" t="s">
        <v>41</v>
      </c>
      <c r="N936" s="2" t="s">
        <v>1324</v>
      </c>
      <c r="O936" s="2" t="s">
        <v>43</v>
      </c>
      <c r="P936" s="2" t="s">
        <v>64</v>
      </c>
      <c r="Q936" s="2" t="s">
        <v>65</v>
      </c>
      <c r="R936" s="2">
        <v>4</v>
      </c>
      <c r="S936" s="2">
        <v>7.2</v>
      </c>
      <c r="T936" s="2">
        <f>S936*23%</f>
        <v>1.6560000000000001</v>
      </c>
      <c r="U936" s="2">
        <f>S936+T936</f>
        <v>8.8559999999999999</v>
      </c>
      <c r="V936" s="2">
        <f>0.8561*R936</f>
        <v>3.4243999999999999</v>
      </c>
      <c r="W936" s="5">
        <f t="shared" si="98"/>
        <v>0.5243888888888889</v>
      </c>
      <c r="Y936" s="2" t="s">
        <v>3256</v>
      </c>
      <c r="Z936" s="2" t="s">
        <v>46</v>
      </c>
      <c r="AA936" s="2" t="s">
        <v>61</v>
      </c>
      <c r="AB936" s="2" t="s">
        <v>58</v>
      </c>
      <c r="AE936" s="2">
        <f t="shared" si="93"/>
        <v>0</v>
      </c>
      <c r="AF936" s="2">
        <v>0.85609999999999997</v>
      </c>
      <c r="AG936" s="2">
        <v>1.8</v>
      </c>
      <c r="AI936" s="2">
        <f t="shared" si="94"/>
        <v>0</v>
      </c>
      <c r="AJ936" s="2">
        <f t="shared" si="95"/>
        <v>3.7756000000000003</v>
      </c>
      <c r="AK936" s="5">
        <f t="shared" si="97"/>
        <v>0.5243888888888889</v>
      </c>
    </row>
    <row r="937" spans="1:37" x14ac:dyDescent="0.2">
      <c r="A937" s="2">
        <v>2025</v>
      </c>
      <c r="B937" s="2">
        <v>4</v>
      </c>
      <c r="C937" s="2" t="s">
        <v>1322</v>
      </c>
      <c r="D937" s="2" t="s">
        <v>38</v>
      </c>
      <c r="E937" s="2" t="s">
        <v>39</v>
      </c>
      <c r="F937" s="2">
        <v>509512739</v>
      </c>
      <c r="G937" s="2" t="s">
        <v>41</v>
      </c>
      <c r="H937" s="2" t="s">
        <v>178</v>
      </c>
      <c r="I937" s="2" t="s">
        <v>1323</v>
      </c>
      <c r="K937" s="2" t="s">
        <v>178</v>
      </c>
      <c r="L937" s="2" t="s">
        <v>41</v>
      </c>
      <c r="N937" s="2" t="s">
        <v>1324</v>
      </c>
      <c r="O937" s="2" t="s">
        <v>43</v>
      </c>
      <c r="P937" s="2" t="s">
        <v>335</v>
      </c>
      <c r="Q937" s="2" t="s">
        <v>336</v>
      </c>
      <c r="R937" s="2">
        <v>4</v>
      </c>
      <c r="S937" s="2">
        <v>12</v>
      </c>
      <c r="T937" s="2">
        <f>S937*23%</f>
        <v>2.7600000000000002</v>
      </c>
      <c r="U937" s="2">
        <f>S937+T937</f>
        <v>14.76</v>
      </c>
      <c r="V937" s="2">
        <f>1.1122*R937</f>
        <v>4.4488000000000003</v>
      </c>
      <c r="W937" s="5">
        <f t="shared" si="98"/>
        <v>0.62926666666666664</v>
      </c>
      <c r="Y937" s="2" t="s">
        <v>3256</v>
      </c>
      <c r="Z937" s="2" t="s">
        <v>46</v>
      </c>
      <c r="AA937" s="2" t="s">
        <v>61</v>
      </c>
      <c r="AB937" s="2" t="s">
        <v>58</v>
      </c>
      <c r="AE937" s="2">
        <f t="shared" si="93"/>
        <v>0</v>
      </c>
      <c r="AF937" s="2">
        <v>1.1122000000000001</v>
      </c>
      <c r="AG937" s="2">
        <v>3</v>
      </c>
      <c r="AI937" s="2">
        <f t="shared" si="94"/>
        <v>0</v>
      </c>
      <c r="AJ937" s="2">
        <f t="shared" si="95"/>
        <v>7.5511999999999997</v>
      </c>
      <c r="AK937" s="5">
        <f t="shared" si="97"/>
        <v>0.62926666666666664</v>
      </c>
    </row>
    <row r="938" spans="1:37" x14ac:dyDescent="0.2">
      <c r="A938" s="2">
        <v>2025</v>
      </c>
      <c r="B938" s="2">
        <v>4</v>
      </c>
      <c r="C938" s="2" t="s">
        <v>1325</v>
      </c>
      <c r="F938" s="2">
        <v>507220633</v>
      </c>
      <c r="H938" s="2" t="s">
        <v>3175</v>
      </c>
      <c r="L938" s="2" t="s">
        <v>81</v>
      </c>
      <c r="N938" s="2" t="s">
        <v>3174</v>
      </c>
      <c r="O938" s="2" t="s">
        <v>1047</v>
      </c>
      <c r="P938" s="2" t="s">
        <v>1326</v>
      </c>
      <c r="Q938" s="2" t="s">
        <v>1327</v>
      </c>
      <c r="R938" s="2">
        <v>4</v>
      </c>
      <c r="S938" s="2">
        <v>487.81</v>
      </c>
      <c r="T938" s="2">
        <v>112.19629999999999</v>
      </c>
      <c r="U938" s="2">
        <v>600.00630000000001</v>
      </c>
      <c r="V938" s="2">
        <f>71.96*R938</f>
        <v>287.83999999999997</v>
      </c>
      <c r="W938" s="5">
        <f t="shared" si="98"/>
        <v>0.4099341956909453</v>
      </c>
      <c r="Y938" s="2" t="s">
        <v>3256</v>
      </c>
      <c r="Z938" s="2" t="s">
        <v>1050</v>
      </c>
      <c r="AA938" s="2" t="s">
        <v>1328</v>
      </c>
      <c r="AB938" s="2" t="s">
        <v>1047</v>
      </c>
      <c r="AE938" s="2">
        <f t="shared" si="93"/>
        <v>0</v>
      </c>
      <c r="AI938" s="2">
        <f t="shared" si="94"/>
        <v>0</v>
      </c>
      <c r="AJ938" s="2">
        <f t="shared" si="95"/>
        <v>199.97000000000003</v>
      </c>
      <c r="AK938" s="5">
        <f t="shared" si="97"/>
        <v>0.4099341956909453</v>
      </c>
    </row>
    <row r="939" spans="1:37" x14ac:dyDescent="0.2">
      <c r="A939" s="2">
        <v>2025</v>
      </c>
      <c r="B939" s="2">
        <v>4</v>
      </c>
      <c r="C939" s="2" t="s">
        <v>935</v>
      </c>
      <c r="D939" s="2" t="s">
        <v>38</v>
      </c>
      <c r="E939" s="2" t="s">
        <v>39</v>
      </c>
      <c r="F939" s="2" t="s">
        <v>936</v>
      </c>
      <c r="G939" s="2" t="s">
        <v>41</v>
      </c>
      <c r="H939" s="2" t="s">
        <v>632</v>
      </c>
      <c r="I939" s="2" t="s">
        <v>937</v>
      </c>
      <c r="K939" s="2" t="s">
        <v>632</v>
      </c>
      <c r="L939" s="2" t="s">
        <v>41</v>
      </c>
      <c r="O939" s="2" t="s">
        <v>43</v>
      </c>
      <c r="P939" s="2" t="s">
        <v>237</v>
      </c>
      <c r="Q939" s="2" t="s">
        <v>238</v>
      </c>
      <c r="R939" s="2">
        <v>1</v>
      </c>
      <c r="S939" s="2">
        <v>16.2</v>
      </c>
      <c r="W939" s="5">
        <f t="shared" si="98"/>
        <v>1</v>
      </c>
      <c r="Y939" s="2" t="s">
        <v>3256</v>
      </c>
      <c r="Z939" s="2" t="s">
        <v>46</v>
      </c>
      <c r="AA939" s="2" t="s">
        <v>57</v>
      </c>
      <c r="AB939" s="2" t="s">
        <v>58</v>
      </c>
      <c r="AE939" s="2">
        <f t="shared" si="93"/>
        <v>0</v>
      </c>
      <c r="AI939" s="2">
        <f t="shared" si="94"/>
        <v>0</v>
      </c>
      <c r="AJ939" s="2">
        <f t="shared" si="95"/>
        <v>16.2</v>
      </c>
      <c r="AK939" s="5">
        <f t="shared" si="97"/>
        <v>1</v>
      </c>
    </row>
    <row r="940" spans="1:37" x14ac:dyDescent="0.2">
      <c r="A940" s="2">
        <v>2025</v>
      </c>
      <c r="B940" s="2">
        <v>4</v>
      </c>
      <c r="C940" s="2" t="s">
        <v>935</v>
      </c>
      <c r="D940" s="2" t="s">
        <v>38</v>
      </c>
      <c r="E940" s="2" t="s">
        <v>39</v>
      </c>
      <c r="F940" s="2" t="s">
        <v>936</v>
      </c>
      <c r="G940" s="2" t="s">
        <v>41</v>
      </c>
      <c r="H940" s="2" t="s">
        <v>632</v>
      </c>
      <c r="I940" s="2" t="s">
        <v>937</v>
      </c>
      <c r="K940" s="2" t="s">
        <v>632</v>
      </c>
      <c r="L940" s="2" t="s">
        <v>41</v>
      </c>
      <c r="O940" s="2" t="s">
        <v>43</v>
      </c>
      <c r="P940" s="2" t="s">
        <v>239</v>
      </c>
      <c r="Q940" s="2" t="s">
        <v>240</v>
      </c>
      <c r="R940" s="2">
        <v>1</v>
      </c>
      <c r="S940" s="2">
        <v>19.8</v>
      </c>
      <c r="W940" s="5">
        <f t="shared" si="98"/>
        <v>1</v>
      </c>
      <c r="Y940" s="2" t="s">
        <v>3256</v>
      </c>
      <c r="Z940" s="2" t="s">
        <v>46</v>
      </c>
      <c r="AA940" s="2" t="s">
        <v>57</v>
      </c>
      <c r="AB940" s="2" t="s">
        <v>58</v>
      </c>
      <c r="AE940" s="2">
        <f t="shared" si="93"/>
        <v>0</v>
      </c>
      <c r="AI940" s="2">
        <f t="shared" si="94"/>
        <v>0</v>
      </c>
      <c r="AJ940" s="2">
        <f t="shared" si="95"/>
        <v>19.8</v>
      </c>
      <c r="AK940" s="5">
        <f t="shared" si="97"/>
        <v>1</v>
      </c>
    </row>
    <row r="941" spans="1:37" x14ac:dyDescent="0.2">
      <c r="A941" s="2">
        <v>2025</v>
      </c>
      <c r="B941" s="2">
        <v>4</v>
      </c>
      <c r="C941" s="2" t="s">
        <v>935</v>
      </c>
      <c r="D941" s="2" t="s">
        <v>38</v>
      </c>
      <c r="E941" s="2" t="s">
        <v>39</v>
      </c>
      <c r="F941" s="2" t="s">
        <v>936</v>
      </c>
      <c r="G941" s="2" t="s">
        <v>41</v>
      </c>
      <c r="H941" s="2" t="s">
        <v>632</v>
      </c>
      <c r="I941" s="2" t="s">
        <v>937</v>
      </c>
      <c r="K941" s="2" t="s">
        <v>632</v>
      </c>
      <c r="L941" s="2" t="s">
        <v>41</v>
      </c>
      <c r="O941" s="2" t="s">
        <v>43</v>
      </c>
      <c r="P941" s="2" t="s">
        <v>241</v>
      </c>
      <c r="Q941" s="2" t="s">
        <v>242</v>
      </c>
      <c r="R941" s="2">
        <v>1</v>
      </c>
      <c r="S941" s="2">
        <v>24</v>
      </c>
      <c r="W941" s="5">
        <f t="shared" si="98"/>
        <v>1</v>
      </c>
      <c r="Y941" s="2" t="s">
        <v>3256</v>
      </c>
      <c r="Z941" s="2" t="s">
        <v>46</v>
      </c>
      <c r="AA941" s="2" t="s">
        <v>57</v>
      </c>
      <c r="AB941" s="2" t="s">
        <v>58</v>
      </c>
      <c r="AE941" s="2">
        <f t="shared" si="93"/>
        <v>0</v>
      </c>
      <c r="AI941" s="2">
        <f t="shared" si="94"/>
        <v>0</v>
      </c>
      <c r="AJ941" s="2">
        <f t="shared" si="95"/>
        <v>24</v>
      </c>
      <c r="AK941" s="5">
        <f t="shared" si="97"/>
        <v>1</v>
      </c>
    </row>
    <row r="942" spans="1:37" x14ac:dyDescent="0.2">
      <c r="A942" s="2">
        <v>2025</v>
      </c>
      <c r="B942" s="2">
        <v>4</v>
      </c>
      <c r="C942" s="2" t="s">
        <v>935</v>
      </c>
      <c r="D942" s="2" t="s">
        <v>38</v>
      </c>
      <c r="E942" s="2" t="s">
        <v>39</v>
      </c>
      <c r="F942" s="2" t="s">
        <v>936</v>
      </c>
      <c r="G942" s="2" t="s">
        <v>41</v>
      </c>
      <c r="H942" s="2" t="s">
        <v>632</v>
      </c>
      <c r="I942" s="2" t="s">
        <v>937</v>
      </c>
      <c r="K942" s="2" t="s">
        <v>632</v>
      </c>
      <c r="L942" s="2" t="s">
        <v>41</v>
      </c>
      <c r="O942" s="2" t="s">
        <v>43</v>
      </c>
      <c r="P942" s="2" t="s">
        <v>245</v>
      </c>
      <c r="Q942" s="2" t="s">
        <v>246</v>
      </c>
      <c r="R942" s="2">
        <v>1</v>
      </c>
      <c r="S942" s="2">
        <v>16.8</v>
      </c>
      <c r="W942" s="5">
        <f t="shared" si="98"/>
        <v>1</v>
      </c>
      <c r="Y942" s="2" t="s">
        <v>3256</v>
      </c>
      <c r="Z942" s="2" t="s">
        <v>46</v>
      </c>
      <c r="AA942" s="2" t="s">
        <v>57</v>
      </c>
      <c r="AB942" s="2" t="s">
        <v>58</v>
      </c>
      <c r="AE942" s="2">
        <f t="shared" si="93"/>
        <v>0</v>
      </c>
      <c r="AI942" s="2">
        <f t="shared" si="94"/>
        <v>0</v>
      </c>
      <c r="AJ942" s="2">
        <f t="shared" si="95"/>
        <v>16.8</v>
      </c>
      <c r="AK942" s="5">
        <f t="shared" si="97"/>
        <v>1</v>
      </c>
    </row>
    <row r="943" spans="1:37" x14ac:dyDescent="0.2">
      <c r="A943" s="2">
        <v>2025</v>
      </c>
      <c r="B943" s="2">
        <v>4</v>
      </c>
      <c r="C943" s="2" t="s">
        <v>935</v>
      </c>
      <c r="D943" s="2" t="s">
        <v>38</v>
      </c>
      <c r="E943" s="2" t="s">
        <v>39</v>
      </c>
      <c r="F943" s="2" t="s">
        <v>936</v>
      </c>
      <c r="G943" s="2" t="s">
        <v>41</v>
      </c>
      <c r="H943" s="2" t="s">
        <v>632</v>
      </c>
      <c r="I943" s="2" t="s">
        <v>937</v>
      </c>
      <c r="K943" s="2" t="s">
        <v>632</v>
      </c>
      <c r="L943" s="2" t="s">
        <v>41</v>
      </c>
      <c r="O943" s="2" t="s">
        <v>43</v>
      </c>
      <c r="P943" s="2" t="s">
        <v>247</v>
      </c>
      <c r="Q943" s="2" t="s">
        <v>248</v>
      </c>
      <c r="R943" s="2">
        <v>1</v>
      </c>
      <c r="S943" s="2">
        <v>19.2</v>
      </c>
      <c r="W943" s="5">
        <f t="shared" si="98"/>
        <v>1</v>
      </c>
      <c r="Y943" s="2" t="s">
        <v>3256</v>
      </c>
      <c r="Z943" s="2" t="s">
        <v>46</v>
      </c>
      <c r="AA943" s="2" t="s">
        <v>57</v>
      </c>
      <c r="AB943" s="2" t="s">
        <v>58</v>
      </c>
      <c r="AE943" s="2">
        <f t="shared" si="93"/>
        <v>0</v>
      </c>
      <c r="AI943" s="2">
        <f t="shared" si="94"/>
        <v>0</v>
      </c>
      <c r="AJ943" s="2">
        <f t="shared" si="95"/>
        <v>19.2</v>
      </c>
      <c r="AK943" s="5">
        <f t="shared" si="97"/>
        <v>1</v>
      </c>
    </row>
    <row r="944" spans="1:37" x14ac:dyDescent="0.2">
      <c r="A944" s="2">
        <v>2025</v>
      </c>
      <c r="B944" s="2">
        <v>4</v>
      </c>
      <c r="C944" s="2" t="s">
        <v>935</v>
      </c>
      <c r="D944" s="2" t="s">
        <v>38</v>
      </c>
      <c r="E944" s="2" t="s">
        <v>39</v>
      </c>
      <c r="F944" s="2" t="s">
        <v>936</v>
      </c>
      <c r="G944" s="2" t="s">
        <v>41</v>
      </c>
      <c r="H944" s="2" t="s">
        <v>632</v>
      </c>
      <c r="I944" s="2" t="s">
        <v>937</v>
      </c>
      <c r="K944" s="2" t="s">
        <v>632</v>
      </c>
      <c r="L944" s="2" t="s">
        <v>41</v>
      </c>
      <c r="O944" s="2" t="s">
        <v>43</v>
      </c>
      <c r="P944" s="2" t="s">
        <v>286</v>
      </c>
      <c r="Q944" s="2" t="s">
        <v>287</v>
      </c>
      <c r="R944" s="2">
        <v>1</v>
      </c>
      <c r="S944" s="2">
        <v>22.2</v>
      </c>
      <c r="W944" s="5">
        <f t="shared" si="98"/>
        <v>1</v>
      </c>
      <c r="Y944" s="2" t="s">
        <v>3256</v>
      </c>
      <c r="Z944" s="2" t="s">
        <v>46</v>
      </c>
      <c r="AA944" s="2" t="s">
        <v>57</v>
      </c>
      <c r="AB944" s="2" t="s">
        <v>58</v>
      </c>
      <c r="AE944" s="2">
        <f t="shared" si="93"/>
        <v>0</v>
      </c>
      <c r="AI944" s="2">
        <f t="shared" si="94"/>
        <v>0</v>
      </c>
      <c r="AJ944" s="2">
        <f t="shared" si="95"/>
        <v>22.2</v>
      </c>
      <c r="AK944" s="5">
        <f t="shared" si="97"/>
        <v>1</v>
      </c>
    </row>
    <row r="945" spans="1:37" x14ac:dyDescent="0.2">
      <c r="A945" s="2">
        <v>2025</v>
      </c>
      <c r="B945" s="2">
        <v>4</v>
      </c>
      <c r="C945" s="2" t="s">
        <v>935</v>
      </c>
      <c r="D945" s="2" t="s">
        <v>38</v>
      </c>
      <c r="E945" s="2" t="s">
        <v>39</v>
      </c>
      <c r="F945" s="2" t="s">
        <v>936</v>
      </c>
      <c r="G945" s="2" t="s">
        <v>41</v>
      </c>
      <c r="H945" s="2" t="s">
        <v>632</v>
      </c>
      <c r="I945" s="2" t="s">
        <v>937</v>
      </c>
      <c r="K945" s="2" t="s">
        <v>632</v>
      </c>
      <c r="L945" s="2" t="s">
        <v>41</v>
      </c>
      <c r="O945" s="2" t="s">
        <v>43</v>
      </c>
      <c r="P945" s="2" t="s">
        <v>251</v>
      </c>
      <c r="Q945" s="2" t="s">
        <v>252</v>
      </c>
      <c r="R945" s="2">
        <v>1</v>
      </c>
      <c r="S945" s="2">
        <v>65</v>
      </c>
      <c r="T945" s="2">
        <v>14.95</v>
      </c>
      <c r="U945" s="2">
        <v>79.95</v>
      </c>
      <c r="W945" s="5">
        <f t="shared" si="98"/>
        <v>1</v>
      </c>
      <c r="Y945" s="2" t="s">
        <v>3256</v>
      </c>
      <c r="Z945" s="2" t="s">
        <v>46</v>
      </c>
      <c r="AA945" s="2" t="s">
        <v>91</v>
      </c>
      <c r="AB945" s="2" t="s">
        <v>58</v>
      </c>
      <c r="AE945" s="2">
        <f t="shared" si="93"/>
        <v>0</v>
      </c>
      <c r="AI945" s="2">
        <f t="shared" si="94"/>
        <v>0</v>
      </c>
      <c r="AJ945" s="2">
        <f t="shared" si="95"/>
        <v>65</v>
      </c>
      <c r="AK945" s="5">
        <f t="shared" si="97"/>
        <v>1</v>
      </c>
    </row>
    <row r="946" spans="1:37" x14ac:dyDescent="0.2">
      <c r="A946" s="2">
        <v>2025</v>
      </c>
      <c r="B946" s="2">
        <v>4</v>
      </c>
      <c r="C946" s="2" t="s">
        <v>935</v>
      </c>
      <c r="D946" s="2" t="s">
        <v>38</v>
      </c>
      <c r="E946" s="2" t="s">
        <v>39</v>
      </c>
      <c r="F946" s="2" t="s">
        <v>936</v>
      </c>
      <c r="G946" s="2" t="s">
        <v>41</v>
      </c>
      <c r="H946" s="2" t="s">
        <v>632</v>
      </c>
      <c r="I946" s="2" t="s">
        <v>937</v>
      </c>
      <c r="K946" s="2" t="s">
        <v>632</v>
      </c>
      <c r="L946" s="2" t="s">
        <v>41</v>
      </c>
      <c r="O946" s="2" t="s">
        <v>43</v>
      </c>
      <c r="P946" s="2" t="s">
        <v>1329</v>
      </c>
      <c r="Q946" s="2" t="s">
        <v>1330</v>
      </c>
      <c r="R946" s="2">
        <v>1</v>
      </c>
      <c r="S946" s="2">
        <v>9</v>
      </c>
      <c r="W946" s="5">
        <f t="shared" si="98"/>
        <v>1</v>
      </c>
      <c r="Y946" s="2" t="s">
        <v>3256</v>
      </c>
      <c r="Z946" s="2" t="s">
        <v>46</v>
      </c>
      <c r="AA946" s="2" t="s">
        <v>68</v>
      </c>
      <c r="AB946" s="2" t="s">
        <v>58</v>
      </c>
      <c r="AE946" s="2">
        <f t="shared" si="93"/>
        <v>0</v>
      </c>
      <c r="AI946" s="2">
        <f t="shared" si="94"/>
        <v>0</v>
      </c>
      <c r="AJ946" s="2">
        <f t="shared" si="95"/>
        <v>9</v>
      </c>
      <c r="AK946" s="5">
        <f t="shared" si="97"/>
        <v>1</v>
      </c>
    </row>
    <row r="947" spans="1:37" x14ac:dyDescent="0.2">
      <c r="A947" s="2">
        <v>2025</v>
      </c>
      <c r="B947" s="2">
        <v>5</v>
      </c>
      <c r="C947" s="2" t="s">
        <v>37</v>
      </c>
      <c r="D947" s="2" t="s">
        <v>38</v>
      </c>
      <c r="E947" s="2" t="s">
        <v>39</v>
      </c>
      <c r="G947" s="2" t="s">
        <v>40</v>
      </c>
      <c r="O947" s="2" t="s">
        <v>283</v>
      </c>
      <c r="P947" s="2" t="s">
        <v>1214</v>
      </c>
      <c r="Q947" s="2" t="s">
        <v>1215</v>
      </c>
      <c r="R947" s="2">
        <v>1</v>
      </c>
      <c r="S947" s="2">
        <v>30</v>
      </c>
      <c r="T947" s="2">
        <v>6.9</v>
      </c>
      <c r="U947" s="2">
        <v>36.9</v>
      </c>
      <c r="V947" s="2">
        <v>14.34</v>
      </c>
      <c r="W947" s="5">
        <f t="shared" si="98"/>
        <v>0.52200000000000002</v>
      </c>
      <c r="Y947" s="2" t="s">
        <v>3256</v>
      </c>
      <c r="Z947" s="2" t="s">
        <v>72</v>
      </c>
      <c r="AA947" s="2" t="s">
        <v>120</v>
      </c>
      <c r="AB947" s="2" t="s">
        <v>120</v>
      </c>
      <c r="AE947" s="2">
        <f t="shared" si="93"/>
        <v>0</v>
      </c>
      <c r="AF947" s="2">
        <v>14.34</v>
      </c>
      <c r="AI947" s="2">
        <f t="shared" si="94"/>
        <v>0</v>
      </c>
      <c r="AJ947" s="2">
        <f t="shared" si="95"/>
        <v>15.66</v>
      </c>
      <c r="AK947" s="5">
        <f t="shared" si="97"/>
        <v>0.52200000000000002</v>
      </c>
    </row>
    <row r="948" spans="1:37" x14ac:dyDescent="0.2">
      <c r="A948" s="2">
        <v>2025</v>
      </c>
      <c r="B948" s="2">
        <v>5</v>
      </c>
      <c r="C948" s="2" t="s">
        <v>37</v>
      </c>
      <c r="D948" s="2" t="s">
        <v>38</v>
      </c>
      <c r="E948" s="2" t="s">
        <v>39</v>
      </c>
      <c r="G948" s="2" t="s">
        <v>40</v>
      </c>
      <c r="H948" s="2" t="s">
        <v>1331</v>
      </c>
      <c r="K948" s="2" t="s">
        <v>100</v>
      </c>
      <c r="L948" s="2" t="s">
        <v>81</v>
      </c>
      <c r="N948" s="2" t="s">
        <v>1332</v>
      </c>
      <c r="O948" s="2" t="s">
        <v>43</v>
      </c>
      <c r="P948" s="2" t="s">
        <v>159</v>
      </c>
      <c r="Q948" s="2" t="s">
        <v>160</v>
      </c>
      <c r="R948" s="2">
        <v>1</v>
      </c>
      <c r="S948" s="2">
        <v>18</v>
      </c>
      <c r="T948" s="2">
        <v>4.1400000000000006</v>
      </c>
      <c r="U948" s="2">
        <v>22.14</v>
      </c>
      <c r="V948" s="2">
        <f>9.3*R948</f>
        <v>9.3000000000000007</v>
      </c>
      <c r="W948" s="5">
        <f t="shared" si="98"/>
        <v>0.48333333333333328</v>
      </c>
      <c r="Y948" s="2" t="s">
        <v>3256</v>
      </c>
      <c r="Z948" s="2" t="s">
        <v>46</v>
      </c>
      <c r="AA948" s="2" t="s">
        <v>47</v>
      </c>
      <c r="AB948" s="2" t="s">
        <v>48</v>
      </c>
      <c r="AE948" s="2">
        <f t="shared" si="93"/>
        <v>0</v>
      </c>
      <c r="AF948" s="2">
        <v>9.3000000000000007</v>
      </c>
      <c r="AG948" s="2">
        <v>21</v>
      </c>
      <c r="AI948" s="2">
        <f t="shared" si="94"/>
        <v>0</v>
      </c>
      <c r="AJ948" s="2">
        <f t="shared" si="95"/>
        <v>8.6999999999999993</v>
      </c>
      <c r="AK948" s="5">
        <f t="shared" si="97"/>
        <v>0.48333333333333328</v>
      </c>
    </row>
    <row r="949" spans="1:37" x14ac:dyDescent="0.2">
      <c r="A949" s="2">
        <v>2025</v>
      </c>
      <c r="B949" s="2">
        <v>5</v>
      </c>
      <c r="C949" s="2" t="s">
        <v>37</v>
      </c>
      <c r="D949" s="2" t="s">
        <v>38</v>
      </c>
      <c r="E949" s="2" t="s">
        <v>39</v>
      </c>
      <c r="G949" s="2" t="s">
        <v>40</v>
      </c>
      <c r="O949" s="2" t="s">
        <v>43</v>
      </c>
      <c r="P949" s="2" t="s">
        <v>161</v>
      </c>
      <c r="Q949" s="2" t="s">
        <v>162</v>
      </c>
      <c r="R949" s="2">
        <v>1</v>
      </c>
      <c r="S949" s="2">
        <v>7.8</v>
      </c>
      <c r="T949" s="2">
        <v>1.794</v>
      </c>
      <c r="U949" s="2">
        <v>9.5939999999999994</v>
      </c>
      <c r="V949" s="2">
        <f>3.7358*R949</f>
        <v>3.7357999999999998</v>
      </c>
      <c r="W949" s="5">
        <f t="shared" si="98"/>
        <v>0.52105128205128204</v>
      </c>
      <c r="Y949" s="2" t="s">
        <v>3256</v>
      </c>
      <c r="Z949" s="2" t="s">
        <v>46</v>
      </c>
      <c r="AA949" s="2" t="s">
        <v>47</v>
      </c>
      <c r="AB949" s="2" t="s">
        <v>48</v>
      </c>
      <c r="AE949" s="2">
        <f t="shared" si="93"/>
        <v>0</v>
      </c>
      <c r="AF949" s="2">
        <v>3.7357999999999998</v>
      </c>
      <c r="AG949" s="2">
        <v>9</v>
      </c>
      <c r="AI949" s="2">
        <f t="shared" si="94"/>
        <v>0</v>
      </c>
      <c r="AJ949" s="2">
        <f t="shared" si="95"/>
        <v>4.0641999999999996</v>
      </c>
      <c r="AK949" s="5">
        <f t="shared" si="97"/>
        <v>0.52105128205128204</v>
      </c>
    </row>
    <row r="950" spans="1:37" x14ac:dyDescent="0.2">
      <c r="A950" s="2">
        <v>2025</v>
      </c>
      <c r="B950" s="2">
        <v>5</v>
      </c>
      <c r="C950" s="2" t="s">
        <v>37</v>
      </c>
      <c r="D950" s="2" t="s">
        <v>38</v>
      </c>
      <c r="E950" s="2" t="s">
        <v>39</v>
      </c>
      <c r="G950" s="2" t="s">
        <v>40</v>
      </c>
      <c r="O950" s="2" t="s">
        <v>43</v>
      </c>
      <c r="P950" s="2" t="s">
        <v>241</v>
      </c>
      <c r="Q950" s="2" t="s">
        <v>242</v>
      </c>
      <c r="R950" s="2">
        <v>1</v>
      </c>
      <c r="S950" s="2">
        <v>24</v>
      </c>
      <c r="T950" s="2">
        <v>5.52</v>
      </c>
      <c r="U950" s="2">
        <v>29.52</v>
      </c>
      <c r="W950" s="5">
        <f t="shared" si="98"/>
        <v>1</v>
      </c>
      <c r="Y950" s="2" t="s">
        <v>3256</v>
      </c>
      <c r="Z950" s="2" t="s">
        <v>46</v>
      </c>
      <c r="AA950" s="2" t="s">
        <v>57</v>
      </c>
      <c r="AB950" s="2" t="s">
        <v>58</v>
      </c>
      <c r="AE950" s="2">
        <f t="shared" si="93"/>
        <v>0</v>
      </c>
      <c r="AI950" s="2">
        <f t="shared" si="94"/>
        <v>0</v>
      </c>
      <c r="AJ950" s="2">
        <f t="shared" si="95"/>
        <v>24</v>
      </c>
      <c r="AK950" s="5">
        <f t="shared" si="97"/>
        <v>1</v>
      </c>
    </row>
    <row r="951" spans="1:37" x14ac:dyDescent="0.2">
      <c r="A951" s="2">
        <v>2025</v>
      </c>
      <c r="B951" s="2">
        <v>5</v>
      </c>
      <c r="C951" s="2" t="s">
        <v>37</v>
      </c>
      <c r="D951" s="2" t="s">
        <v>38</v>
      </c>
      <c r="E951" s="2" t="s">
        <v>39</v>
      </c>
      <c r="G951" s="2" t="s">
        <v>40</v>
      </c>
      <c r="O951" s="2" t="s">
        <v>43</v>
      </c>
      <c r="P951" s="2" t="s">
        <v>249</v>
      </c>
      <c r="Q951" s="2" t="s">
        <v>250</v>
      </c>
      <c r="R951" s="2">
        <v>1</v>
      </c>
      <c r="S951" s="2">
        <v>23.4</v>
      </c>
      <c r="T951" s="2">
        <v>5.3819999999999997</v>
      </c>
      <c r="U951" s="2">
        <v>28.782</v>
      </c>
      <c r="W951" s="5">
        <f t="shared" si="98"/>
        <v>1</v>
      </c>
      <c r="Y951" s="2" t="s">
        <v>3256</v>
      </c>
      <c r="Z951" s="2" t="s">
        <v>46</v>
      </c>
      <c r="AA951" s="2" t="s">
        <v>57</v>
      </c>
      <c r="AB951" s="2" t="s">
        <v>58</v>
      </c>
      <c r="AE951" s="2">
        <f t="shared" si="93"/>
        <v>0</v>
      </c>
      <c r="AI951" s="2">
        <f t="shared" si="94"/>
        <v>0</v>
      </c>
      <c r="AJ951" s="2">
        <f t="shared" si="95"/>
        <v>23.4</v>
      </c>
      <c r="AK951" s="5">
        <f t="shared" si="97"/>
        <v>1</v>
      </c>
    </row>
    <row r="952" spans="1:37" x14ac:dyDescent="0.2">
      <c r="A952" s="2">
        <v>2025</v>
      </c>
      <c r="B952" s="2">
        <v>5</v>
      </c>
      <c r="C952" s="2" t="s">
        <v>37</v>
      </c>
      <c r="D952" s="2" t="s">
        <v>38</v>
      </c>
      <c r="E952" s="2" t="s">
        <v>39</v>
      </c>
      <c r="G952" s="2" t="s">
        <v>40</v>
      </c>
      <c r="O952" s="2" t="s">
        <v>43</v>
      </c>
      <c r="P952" s="2" t="s">
        <v>55</v>
      </c>
      <c r="Q952" s="2" t="s">
        <v>56</v>
      </c>
      <c r="R952" s="2">
        <v>15</v>
      </c>
      <c r="S952" s="2">
        <v>190</v>
      </c>
      <c r="T952" s="2">
        <v>43.7</v>
      </c>
      <c r="U952" s="2">
        <v>233.7</v>
      </c>
      <c r="V952" s="2">
        <f>10.6*R952</f>
        <v>159</v>
      </c>
      <c r="W952" s="5">
        <f t="shared" si="98"/>
        <v>0.16315789473684211</v>
      </c>
      <c r="Y952" s="2" t="s">
        <v>3256</v>
      </c>
      <c r="Z952" s="2" t="s">
        <v>46</v>
      </c>
      <c r="AA952" s="2" t="s">
        <v>57</v>
      </c>
      <c r="AB952" s="2" t="s">
        <v>58</v>
      </c>
      <c r="AE952" s="2">
        <f t="shared" si="93"/>
        <v>0</v>
      </c>
      <c r="AF952" s="2">
        <v>10.6</v>
      </c>
      <c r="AG952" s="2">
        <v>18</v>
      </c>
      <c r="AI952" s="2">
        <f t="shared" si="94"/>
        <v>0</v>
      </c>
      <c r="AJ952" s="2">
        <f t="shared" si="95"/>
        <v>31</v>
      </c>
      <c r="AK952" s="5">
        <f t="shared" si="97"/>
        <v>0.16315789473684211</v>
      </c>
    </row>
    <row r="953" spans="1:37" x14ac:dyDescent="0.2">
      <c r="A953" s="2">
        <v>2025</v>
      </c>
      <c r="B953" s="2">
        <v>5</v>
      </c>
      <c r="C953" s="2" t="s">
        <v>37</v>
      </c>
      <c r="D953" s="2" t="s">
        <v>38</v>
      </c>
      <c r="E953" s="2" t="s">
        <v>39</v>
      </c>
      <c r="G953" s="2" t="s">
        <v>40</v>
      </c>
      <c r="O953" s="2" t="s">
        <v>43</v>
      </c>
      <c r="P953" s="2" t="s">
        <v>59</v>
      </c>
      <c r="Q953" s="2" t="s">
        <v>60</v>
      </c>
      <c r="R953" s="2">
        <v>900</v>
      </c>
      <c r="S953" s="2">
        <v>108</v>
      </c>
      <c r="T953" s="2">
        <v>24.84</v>
      </c>
      <c r="U953" s="2">
        <v>132.84</v>
      </c>
      <c r="V953" s="2">
        <f>0.0914*R953</f>
        <v>82.259999999999991</v>
      </c>
      <c r="W953" s="5">
        <f t="shared" si="98"/>
        <v>0.23833333333333342</v>
      </c>
      <c r="Y953" s="2" t="s">
        <v>3256</v>
      </c>
      <c r="Z953" s="2" t="s">
        <v>46</v>
      </c>
      <c r="AA953" s="2" t="s">
        <v>61</v>
      </c>
      <c r="AB953" s="2" t="s">
        <v>58</v>
      </c>
      <c r="AE953" s="2">
        <f t="shared" si="93"/>
        <v>0</v>
      </c>
      <c r="AF953" s="2">
        <v>9.14</v>
      </c>
      <c r="AG953" s="2">
        <v>16</v>
      </c>
      <c r="AI953" s="2">
        <f t="shared" si="94"/>
        <v>0</v>
      </c>
      <c r="AJ953" s="2">
        <f t="shared" si="95"/>
        <v>25.740000000000009</v>
      </c>
      <c r="AK953" s="5">
        <f t="shared" si="97"/>
        <v>0.23833333333333342</v>
      </c>
    </row>
    <row r="954" spans="1:37" x14ac:dyDescent="0.2">
      <c r="A954" s="2">
        <v>2025</v>
      </c>
      <c r="B954" s="2">
        <v>5</v>
      </c>
      <c r="C954" s="2" t="s">
        <v>37</v>
      </c>
      <c r="D954" s="2" t="s">
        <v>38</v>
      </c>
      <c r="E954" s="2" t="s">
        <v>39</v>
      </c>
      <c r="G954" s="2" t="s">
        <v>40</v>
      </c>
      <c r="O954" s="2" t="s">
        <v>43</v>
      </c>
      <c r="P954" s="2" t="s">
        <v>62</v>
      </c>
      <c r="Q954" s="2" t="s">
        <v>63</v>
      </c>
      <c r="R954" s="2">
        <v>1800</v>
      </c>
      <c r="S954" s="2">
        <v>185</v>
      </c>
      <c r="T954" s="2">
        <v>42.55</v>
      </c>
      <c r="U954" s="2">
        <v>227.55</v>
      </c>
      <c r="V954" s="2">
        <f>0.082*R954</f>
        <v>147.6</v>
      </c>
      <c r="W954" s="5">
        <f t="shared" si="98"/>
        <v>0.20216216216216221</v>
      </c>
      <c r="Y954" s="2" t="s">
        <v>3256</v>
      </c>
      <c r="Z954" s="2" t="s">
        <v>46</v>
      </c>
      <c r="AA954" s="2" t="s">
        <v>61</v>
      </c>
      <c r="AB954" s="2" t="s">
        <v>58</v>
      </c>
      <c r="AE954" s="2">
        <f t="shared" si="93"/>
        <v>0</v>
      </c>
      <c r="AF954" s="2">
        <v>8.1999999999999993</v>
      </c>
      <c r="AG954" s="2">
        <v>13</v>
      </c>
      <c r="AI954" s="2">
        <f t="shared" si="94"/>
        <v>0</v>
      </c>
      <c r="AJ954" s="2">
        <f t="shared" si="95"/>
        <v>37.400000000000006</v>
      </c>
      <c r="AK954" s="5">
        <f t="shared" si="97"/>
        <v>0.20216216216216221</v>
      </c>
    </row>
    <row r="955" spans="1:37" x14ac:dyDescent="0.2">
      <c r="A955" s="2">
        <v>2025</v>
      </c>
      <c r="B955" s="2">
        <v>5</v>
      </c>
      <c r="C955" s="2" t="s">
        <v>37</v>
      </c>
      <c r="D955" s="2" t="s">
        <v>38</v>
      </c>
      <c r="E955" s="2" t="s">
        <v>39</v>
      </c>
      <c r="G955" s="2" t="s">
        <v>40</v>
      </c>
      <c r="O955" s="2" t="s">
        <v>43</v>
      </c>
      <c r="P955" s="2" t="s">
        <v>66</v>
      </c>
      <c r="Q955" s="2" t="s">
        <v>67</v>
      </c>
      <c r="R955" s="2">
        <v>2</v>
      </c>
      <c r="S955" s="2">
        <v>40.5</v>
      </c>
      <c r="T955" s="2">
        <v>9.3150000000000013</v>
      </c>
      <c r="U955" s="2">
        <v>49.814999999999998</v>
      </c>
      <c r="V955" s="2">
        <f>15.0203*R955</f>
        <v>30.040600000000001</v>
      </c>
      <c r="W955" s="5">
        <f t="shared" si="98"/>
        <v>0.25825679012345676</v>
      </c>
      <c r="Y955" s="2" t="s">
        <v>3256</v>
      </c>
      <c r="Z955" s="2" t="s">
        <v>46</v>
      </c>
      <c r="AA955" s="2" t="s">
        <v>68</v>
      </c>
      <c r="AB955" s="2" t="s">
        <v>58</v>
      </c>
      <c r="AE955" s="2">
        <f t="shared" si="93"/>
        <v>0</v>
      </c>
      <c r="AF955" s="2">
        <v>15.020300000000001</v>
      </c>
      <c r="AG955" s="2">
        <v>27.6</v>
      </c>
      <c r="AI955" s="2">
        <f t="shared" si="94"/>
        <v>0</v>
      </c>
      <c r="AJ955" s="2">
        <f t="shared" si="95"/>
        <v>10.459399999999999</v>
      </c>
      <c r="AK955" s="5">
        <f t="shared" si="97"/>
        <v>0.25825679012345676</v>
      </c>
    </row>
    <row r="956" spans="1:37" x14ac:dyDescent="0.2">
      <c r="A956" s="2">
        <v>2025</v>
      </c>
      <c r="B956" s="2">
        <v>5</v>
      </c>
      <c r="C956" s="2" t="s">
        <v>37</v>
      </c>
      <c r="D956" s="2" t="s">
        <v>38</v>
      </c>
      <c r="E956" s="2" t="s">
        <v>39</v>
      </c>
      <c r="G956" s="2" t="s">
        <v>40</v>
      </c>
      <c r="O956" s="2" t="s">
        <v>73</v>
      </c>
      <c r="P956" s="2" t="s">
        <v>919</v>
      </c>
      <c r="Q956" s="2" t="s">
        <v>75</v>
      </c>
      <c r="R956" s="2">
        <v>1</v>
      </c>
      <c r="S956" s="2">
        <v>222.44</v>
      </c>
      <c r="T956" s="2">
        <v>51.161200000000001</v>
      </c>
      <c r="U956" s="2">
        <v>273.60120000000001</v>
      </c>
      <c r="W956" s="5">
        <f t="shared" si="98"/>
        <v>1</v>
      </c>
      <c r="Y956" s="2" t="s">
        <v>3256</v>
      </c>
      <c r="Z956" s="2" t="s">
        <v>76</v>
      </c>
      <c r="AA956" s="2" t="s">
        <v>77</v>
      </c>
      <c r="AB956" s="2" t="s">
        <v>78</v>
      </c>
      <c r="AE956" s="2">
        <f t="shared" si="93"/>
        <v>0</v>
      </c>
      <c r="AI956" s="2">
        <f t="shared" si="94"/>
        <v>0</v>
      </c>
      <c r="AJ956" s="2">
        <f t="shared" si="95"/>
        <v>222.44</v>
      </c>
      <c r="AK956" s="5">
        <f t="shared" si="97"/>
        <v>1</v>
      </c>
    </row>
    <row r="957" spans="1:37" x14ac:dyDescent="0.2">
      <c r="A957" s="2">
        <v>2025</v>
      </c>
      <c r="B957" s="2">
        <v>5</v>
      </c>
      <c r="C957" s="2" t="s">
        <v>37</v>
      </c>
      <c r="D957" s="2" t="s">
        <v>38</v>
      </c>
      <c r="E957" s="2" t="s">
        <v>39</v>
      </c>
      <c r="G957" s="2" t="s">
        <v>40</v>
      </c>
      <c r="O957" s="2" t="s">
        <v>73</v>
      </c>
      <c r="P957" s="2" t="s">
        <v>326</v>
      </c>
      <c r="Q957" s="2" t="s">
        <v>80</v>
      </c>
      <c r="R957" s="2">
        <v>1</v>
      </c>
      <c r="S957" s="2">
        <v>206.18</v>
      </c>
      <c r="T957" s="2">
        <v>47.421400000000013</v>
      </c>
      <c r="U957" s="2">
        <v>253.60140000000001</v>
      </c>
      <c r="V957" s="2">
        <f>110.68*R957</f>
        <v>110.68</v>
      </c>
      <c r="W957" s="5">
        <f t="shared" si="98"/>
        <v>0.46318750606266368</v>
      </c>
      <c r="Y957" s="2" t="s">
        <v>3256</v>
      </c>
      <c r="Z957" s="2" t="s">
        <v>76</v>
      </c>
      <c r="AA957" s="2" t="s">
        <v>77</v>
      </c>
      <c r="AB957" s="2" t="s">
        <v>78</v>
      </c>
      <c r="AE957" s="2">
        <f t="shared" si="93"/>
        <v>0</v>
      </c>
      <c r="AF957" s="2">
        <v>110.68</v>
      </c>
      <c r="AG957" s="2">
        <v>210</v>
      </c>
      <c r="AI957" s="2">
        <f t="shared" si="94"/>
        <v>0</v>
      </c>
      <c r="AJ957" s="2">
        <f t="shared" si="95"/>
        <v>95.5</v>
      </c>
      <c r="AK957" s="5">
        <f t="shared" si="97"/>
        <v>0.46318750606266368</v>
      </c>
    </row>
    <row r="958" spans="1:37" x14ac:dyDescent="0.2">
      <c r="A958" s="2">
        <v>2025</v>
      </c>
      <c r="B958" s="2">
        <v>5</v>
      </c>
      <c r="C958" s="2" t="s">
        <v>37</v>
      </c>
      <c r="D958" s="2" t="s">
        <v>38</v>
      </c>
      <c r="E958" s="2" t="s">
        <v>39</v>
      </c>
      <c r="G958" s="2" t="s">
        <v>40</v>
      </c>
      <c r="O958" s="2" t="s">
        <v>85</v>
      </c>
      <c r="P958" s="2" t="s">
        <v>271</v>
      </c>
      <c r="Q958" s="2" t="s">
        <v>272</v>
      </c>
      <c r="R958" s="2">
        <v>1</v>
      </c>
      <c r="S958" s="2">
        <v>10.8</v>
      </c>
      <c r="T958" s="2">
        <v>2.484</v>
      </c>
      <c r="U958" s="2">
        <v>13.284000000000001</v>
      </c>
      <c r="V958" s="2">
        <v>6.86</v>
      </c>
      <c r="W958" s="5">
        <f t="shared" si="98"/>
        <v>0.36481481481481481</v>
      </c>
      <c r="Y958" s="2" t="s">
        <v>3256</v>
      </c>
      <c r="Z958" s="2" t="s">
        <v>88</v>
      </c>
      <c r="AA958" s="2" t="s">
        <v>91</v>
      </c>
      <c r="AB958" s="2" t="s">
        <v>85</v>
      </c>
      <c r="AE958" s="2">
        <f t="shared" si="93"/>
        <v>0</v>
      </c>
      <c r="AF958" s="2">
        <v>6.86</v>
      </c>
      <c r="AG958" s="2">
        <v>13.2</v>
      </c>
      <c r="AI958" s="2">
        <f t="shared" si="94"/>
        <v>0</v>
      </c>
      <c r="AJ958" s="2">
        <f t="shared" si="95"/>
        <v>3.9400000000000004</v>
      </c>
      <c r="AK958" s="5">
        <f t="shared" si="97"/>
        <v>0.36481481481481481</v>
      </c>
    </row>
    <row r="959" spans="1:37" x14ac:dyDescent="0.2">
      <c r="A959" s="2">
        <v>2025</v>
      </c>
      <c r="B959" s="2">
        <v>5</v>
      </c>
      <c r="C959" s="2" t="s">
        <v>37</v>
      </c>
      <c r="D959" s="2" t="s">
        <v>38</v>
      </c>
      <c r="E959" s="2" t="s">
        <v>39</v>
      </c>
      <c r="G959" s="2" t="s">
        <v>40</v>
      </c>
      <c r="O959" s="2" t="s">
        <v>94</v>
      </c>
      <c r="P959" s="2" t="s">
        <v>95</v>
      </c>
      <c r="Q959" s="2" t="s">
        <v>96</v>
      </c>
      <c r="R959" s="2">
        <v>2</v>
      </c>
      <c r="S959" s="2">
        <v>2.2799999999999998</v>
      </c>
      <c r="T959" s="2">
        <v>0.52439999999999998</v>
      </c>
      <c r="U959" s="2">
        <v>2.8043999999999998</v>
      </c>
      <c r="V959" s="2">
        <v>2.2799999999999998</v>
      </c>
      <c r="W959" s="5">
        <f t="shared" si="98"/>
        <v>0</v>
      </c>
      <c r="Y959" s="2" t="s">
        <v>3256</v>
      </c>
      <c r="Z959" s="2" t="s">
        <v>97</v>
      </c>
      <c r="AA959" s="2" t="s">
        <v>77</v>
      </c>
      <c r="AB959" s="2" t="s">
        <v>94</v>
      </c>
      <c r="AE959" s="2">
        <f t="shared" si="93"/>
        <v>0</v>
      </c>
      <c r="AF959" s="2">
        <v>1.1399999999999999</v>
      </c>
      <c r="AG959" s="2">
        <v>1.1399999999999999</v>
      </c>
      <c r="AI959" s="2">
        <f t="shared" si="94"/>
        <v>0</v>
      </c>
      <c r="AJ959" s="2">
        <f t="shared" si="95"/>
        <v>0</v>
      </c>
      <c r="AK959" s="5">
        <f t="shared" si="97"/>
        <v>0</v>
      </c>
    </row>
    <row r="960" spans="1:37" x14ac:dyDescent="0.2">
      <c r="A960" s="2">
        <v>2025</v>
      </c>
      <c r="B960" s="2">
        <v>5</v>
      </c>
      <c r="C960" s="2" t="s">
        <v>1333</v>
      </c>
      <c r="O960" s="2" t="s">
        <v>43</v>
      </c>
      <c r="P960" s="2" t="s">
        <v>55</v>
      </c>
      <c r="Q960" s="2" t="s">
        <v>56</v>
      </c>
      <c r="R960" s="2">
        <v>2</v>
      </c>
      <c r="S960" s="2">
        <v>36</v>
      </c>
      <c r="T960" s="2">
        <v>8.2800000000000011</v>
      </c>
      <c r="U960" s="2">
        <v>44.28</v>
      </c>
      <c r="V960" s="2">
        <f>10.6*R960</f>
        <v>21.2</v>
      </c>
      <c r="W960" s="5">
        <f t="shared" si="98"/>
        <v>0.41111111111111115</v>
      </c>
      <c r="Y960" s="2" t="s">
        <v>3256</v>
      </c>
      <c r="Z960" s="2" t="s">
        <v>46</v>
      </c>
      <c r="AA960" s="2" t="s">
        <v>57</v>
      </c>
      <c r="AB960" s="2" t="s">
        <v>58</v>
      </c>
      <c r="AE960" s="2">
        <f t="shared" si="93"/>
        <v>0</v>
      </c>
      <c r="AF960" s="2">
        <v>10.6</v>
      </c>
      <c r="AG960" s="2">
        <v>18</v>
      </c>
      <c r="AI960" s="2">
        <f t="shared" si="94"/>
        <v>0</v>
      </c>
      <c r="AJ960" s="2">
        <f t="shared" si="95"/>
        <v>14.8</v>
      </c>
      <c r="AK960" s="5">
        <f t="shared" si="97"/>
        <v>0.41111111111111115</v>
      </c>
    </row>
    <row r="961" spans="1:37" x14ac:dyDescent="0.2">
      <c r="A961" s="2">
        <v>2025</v>
      </c>
      <c r="B961" s="2">
        <v>5</v>
      </c>
      <c r="C961" s="2" t="s">
        <v>1333</v>
      </c>
      <c r="O961" s="2" t="s">
        <v>43</v>
      </c>
      <c r="P961" s="2" t="s">
        <v>62</v>
      </c>
      <c r="Q961" s="2" t="s">
        <v>63</v>
      </c>
      <c r="R961" s="2">
        <v>100</v>
      </c>
      <c r="S961" s="2">
        <v>13</v>
      </c>
      <c r="T961" s="2">
        <v>2.99</v>
      </c>
      <c r="U961" s="2">
        <v>15.99</v>
      </c>
      <c r="V961" s="2">
        <f>0.082*R961</f>
        <v>8.2000000000000011</v>
      </c>
      <c r="W961" s="5">
        <f t="shared" si="98"/>
        <v>0.36923076923076914</v>
      </c>
      <c r="Y961" s="2" t="s">
        <v>3256</v>
      </c>
      <c r="Z961" s="2" t="s">
        <v>46</v>
      </c>
      <c r="AA961" s="2" t="s">
        <v>61</v>
      </c>
      <c r="AB961" s="2" t="s">
        <v>58</v>
      </c>
      <c r="AE961" s="2">
        <f t="shared" ref="AE961:AE1024" si="99">AI961</f>
        <v>0</v>
      </c>
      <c r="AF961" s="2">
        <v>8.1999999999999993</v>
      </c>
      <c r="AG961" s="2">
        <v>13</v>
      </c>
      <c r="AI961" s="2">
        <f t="shared" ref="AI961:AI1024" si="100">AH961*S961</f>
        <v>0</v>
      </c>
      <c r="AJ961" s="2">
        <f t="shared" ref="AJ961:AJ1024" si="101">S961-V961</f>
        <v>4.7999999999999989</v>
      </c>
      <c r="AK961" s="5">
        <f t="shared" si="97"/>
        <v>0.36923076923076914</v>
      </c>
    </row>
    <row r="962" spans="1:37" x14ac:dyDescent="0.2">
      <c r="A962" s="2">
        <v>2025</v>
      </c>
      <c r="B962" s="2">
        <v>5</v>
      </c>
      <c r="C962" s="2" t="s">
        <v>1334</v>
      </c>
      <c r="O962" s="2" t="s">
        <v>283</v>
      </c>
      <c r="P962" s="2" t="s">
        <v>1335</v>
      </c>
      <c r="Q962" s="2" t="s">
        <v>1336</v>
      </c>
      <c r="R962" s="2">
        <v>1</v>
      </c>
      <c r="S962" s="2">
        <v>0</v>
      </c>
      <c r="T962" s="2">
        <v>0</v>
      </c>
      <c r="U962" s="2">
        <v>0</v>
      </c>
      <c r="W962" s="5">
        <v>0</v>
      </c>
      <c r="Y962" s="2" t="s">
        <v>3256</v>
      </c>
      <c r="Z962" s="2" t="s">
        <v>583</v>
      </c>
      <c r="AA962" s="2" t="s">
        <v>120</v>
      </c>
      <c r="AB962" s="2" t="s">
        <v>1337</v>
      </c>
      <c r="AE962" s="2">
        <f t="shared" si="99"/>
        <v>0</v>
      </c>
      <c r="AI962" s="2">
        <f t="shared" si="100"/>
        <v>0</v>
      </c>
      <c r="AJ962" s="2">
        <f t="shared" si="101"/>
        <v>0</v>
      </c>
      <c r="AK962" s="5" t="e">
        <f t="shared" si="97"/>
        <v>#DIV/0!</v>
      </c>
    </row>
    <row r="963" spans="1:37" x14ac:dyDescent="0.2">
      <c r="A963" s="2">
        <v>2025</v>
      </c>
      <c r="B963" s="2">
        <v>5</v>
      </c>
      <c r="C963" s="2" t="s">
        <v>1334</v>
      </c>
      <c r="O963" s="2" t="s">
        <v>283</v>
      </c>
      <c r="P963" s="2" t="s">
        <v>1338</v>
      </c>
      <c r="Q963" s="2" t="s">
        <v>1339</v>
      </c>
      <c r="R963" s="2">
        <v>1</v>
      </c>
      <c r="S963" s="2">
        <v>2300</v>
      </c>
      <c r="T963" s="2">
        <v>529</v>
      </c>
      <c r="U963" s="2">
        <v>2829</v>
      </c>
      <c r="V963" s="2">
        <f>1658.3+45.26</f>
        <v>1703.56</v>
      </c>
      <c r="W963" s="5">
        <f t="shared" ref="W963:W983" si="102">(S963-V963)/S963</f>
        <v>0.25932173913043483</v>
      </c>
      <c r="Y963" s="2" t="s">
        <v>105</v>
      </c>
      <c r="Z963" s="2" t="s">
        <v>389</v>
      </c>
      <c r="AA963" s="2" t="s">
        <v>1340</v>
      </c>
      <c r="AB963" s="2" t="s">
        <v>1337</v>
      </c>
      <c r="AE963" s="2">
        <f t="shared" si="99"/>
        <v>0</v>
      </c>
      <c r="AF963" s="2">
        <v>1703.56</v>
      </c>
      <c r="AI963" s="2">
        <f t="shared" si="100"/>
        <v>0</v>
      </c>
      <c r="AJ963" s="2">
        <f t="shared" si="101"/>
        <v>596.44000000000005</v>
      </c>
      <c r="AK963" s="5">
        <f t="shared" si="97"/>
        <v>0.25932173913043483</v>
      </c>
    </row>
    <row r="964" spans="1:37" x14ac:dyDescent="0.2">
      <c r="A964" s="2">
        <v>2025</v>
      </c>
      <c r="B964" s="2">
        <v>5</v>
      </c>
      <c r="C964" s="2" t="s">
        <v>1341</v>
      </c>
      <c r="O964" s="2" t="s">
        <v>115</v>
      </c>
      <c r="P964" s="2" t="s">
        <v>375</v>
      </c>
      <c r="Q964" s="2" t="s">
        <v>376</v>
      </c>
      <c r="R964" s="2">
        <v>1</v>
      </c>
      <c r="S964" s="2">
        <v>45.07</v>
      </c>
      <c r="T964" s="2">
        <v>10.366099999999999</v>
      </c>
      <c r="U964" s="2">
        <v>55.436100000000003</v>
      </c>
      <c r="V964" s="2">
        <v>22.2</v>
      </c>
      <c r="W964" s="5">
        <f t="shared" si="102"/>
        <v>0.50743288218327054</v>
      </c>
      <c r="Y964" s="2" t="s">
        <v>118</v>
      </c>
      <c r="Z964" s="2" t="s">
        <v>119</v>
      </c>
      <c r="AA964" s="2" t="s">
        <v>120</v>
      </c>
      <c r="AB964" s="2" t="s">
        <v>115</v>
      </c>
      <c r="AE964" s="2">
        <f t="shared" si="99"/>
        <v>0</v>
      </c>
      <c r="AF964" s="2">
        <v>22.2</v>
      </c>
      <c r="AI964" s="2">
        <f t="shared" si="100"/>
        <v>0</v>
      </c>
      <c r="AJ964" s="2">
        <f t="shared" si="101"/>
        <v>22.87</v>
      </c>
      <c r="AK964" s="5">
        <f t="shared" si="97"/>
        <v>0.50743288218327054</v>
      </c>
    </row>
    <row r="965" spans="1:37" x14ac:dyDescent="0.2">
      <c r="A965" s="2">
        <v>2025</v>
      </c>
      <c r="B965" s="2">
        <v>5</v>
      </c>
      <c r="C965" s="2" t="s">
        <v>1341</v>
      </c>
      <c r="O965" s="2" t="s">
        <v>115</v>
      </c>
      <c r="P965" s="2" t="s">
        <v>1342</v>
      </c>
      <c r="Q965" s="2" t="s">
        <v>1343</v>
      </c>
      <c r="R965" s="2">
        <v>1</v>
      </c>
      <c r="S965" s="2">
        <v>65.510000000000005</v>
      </c>
      <c r="T965" s="2">
        <v>15.067299999999999</v>
      </c>
      <c r="U965" s="2">
        <v>80.577300000000008</v>
      </c>
      <c r="V965" s="2">
        <v>33.728900000000003</v>
      </c>
      <c r="W965" s="5">
        <f t="shared" si="102"/>
        <v>0.48513356739429092</v>
      </c>
      <c r="Y965" s="2" t="s">
        <v>118</v>
      </c>
      <c r="Z965" s="2" t="s">
        <v>119</v>
      </c>
      <c r="AA965" s="2" t="s">
        <v>120</v>
      </c>
      <c r="AB965" s="2" t="s">
        <v>115</v>
      </c>
      <c r="AE965" s="2">
        <f t="shared" si="99"/>
        <v>0</v>
      </c>
      <c r="AF965" s="2">
        <v>33.728900000000003</v>
      </c>
      <c r="AI965" s="2">
        <f t="shared" si="100"/>
        <v>0</v>
      </c>
      <c r="AJ965" s="2">
        <f t="shared" si="101"/>
        <v>31.781100000000002</v>
      </c>
      <c r="AK965" s="5">
        <f t="shared" si="97"/>
        <v>0.48513356739429092</v>
      </c>
    </row>
    <row r="966" spans="1:37" x14ac:dyDescent="0.2">
      <c r="A966" s="2">
        <v>2025</v>
      </c>
      <c r="B966" s="2">
        <v>5</v>
      </c>
      <c r="C966" s="2" t="s">
        <v>695</v>
      </c>
      <c r="D966" s="2" t="s">
        <v>109</v>
      </c>
      <c r="E966" s="2" t="s">
        <v>39</v>
      </c>
      <c r="F966" s="2">
        <v>503589950</v>
      </c>
      <c r="G966" s="2" t="s">
        <v>41</v>
      </c>
      <c r="H966" s="2" t="s">
        <v>615</v>
      </c>
      <c r="I966" s="2" t="s">
        <v>696</v>
      </c>
      <c r="J966" s="2">
        <v>913036545</v>
      </c>
      <c r="K966" s="2" t="s">
        <v>178</v>
      </c>
      <c r="L966" s="2" t="s">
        <v>41</v>
      </c>
      <c r="N966" s="2" t="s">
        <v>1344</v>
      </c>
      <c r="O966" s="2" t="s">
        <v>43</v>
      </c>
      <c r="P966" s="2" t="s">
        <v>1345</v>
      </c>
      <c r="Q966" s="2" t="s">
        <v>1346</v>
      </c>
      <c r="R966" s="2">
        <v>12</v>
      </c>
      <c r="S966" s="2">
        <v>21.6</v>
      </c>
      <c r="T966" s="2">
        <v>4.9680000000000009</v>
      </c>
      <c r="U966" s="2">
        <v>26.568000000000001</v>
      </c>
      <c r="W966" s="5">
        <f t="shared" si="102"/>
        <v>1</v>
      </c>
      <c r="Y966" s="2" t="s">
        <v>3256</v>
      </c>
      <c r="Z966" s="2" t="s">
        <v>46</v>
      </c>
      <c r="AA966" s="2" t="s">
        <v>61</v>
      </c>
      <c r="AB966" s="2" t="s">
        <v>58</v>
      </c>
      <c r="AE966" s="2">
        <f t="shared" si="99"/>
        <v>0</v>
      </c>
      <c r="AI966" s="2">
        <f t="shared" si="100"/>
        <v>0</v>
      </c>
      <c r="AJ966" s="2">
        <f t="shared" si="101"/>
        <v>21.6</v>
      </c>
      <c r="AK966" s="5">
        <f t="shared" si="97"/>
        <v>1</v>
      </c>
    </row>
    <row r="967" spans="1:37" x14ac:dyDescent="0.2">
      <c r="A967" s="2">
        <v>2025</v>
      </c>
      <c r="B967" s="2">
        <v>5</v>
      </c>
      <c r="C967" s="2" t="s">
        <v>193</v>
      </c>
      <c r="D967" s="2" t="s">
        <v>109</v>
      </c>
      <c r="E967" s="2" t="s">
        <v>194</v>
      </c>
      <c r="F967" s="2">
        <v>502044411</v>
      </c>
      <c r="G967" s="2" t="s">
        <v>40</v>
      </c>
      <c r="H967" s="2" t="s">
        <v>157</v>
      </c>
      <c r="I967" s="2" t="s">
        <v>195</v>
      </c>
      <c r="K967" s="2" t="s">
        <v>100</v>
      </c>
      <c r="L967" s="2" t="s">
        <v>40</v>
      </c>
      <c r="N967" s="2" t="s">
        <v>1347</v>
      </c>
      <c r="O967" s="2" t="s">
        <v>115</v>
      </c>
      <c r="P967" s="2" t="s">
        <v>1348</v>
      </c>
      <c r="Q967" s="2" t="s">
        <v>1349</v>
      </c>
      <c r="R967" s="2">
        <v>1</v>
      </c>
      <c r="S967" s="2">
        <v>22.89</v>
      </c>
      <c r="T967" s="2">
        <v>5.2647000000000004</v>
      </c>
      <c r="U967" s="2">
        <v>28.154699999999998</v>
      </c>
      <c r="V967" s="2">
        <v>11.99</v>
      </c>
      <c r="W967" s="5">
        <f t="shared" si="102"/>
        <v>0.47619047619047622</v>
      </c>
      <c r="Y967" s="2" t="s">
        <v>118</v>
      </c>
      <c r="Z967" s="2" t="s">
        <v>119</v>
      </c>
      <c r="AA967" s="2" t="s">
        <v>120</v>
      </c>
      <c r="AB967" s="2" t="s">
        <v>115</v>
      </c>
      <c r="AE967" s="2">
        <f t="shared" si="99"/>
        <v>0</v>
      </c>
      <c r="AF967" s="2">
        <v>11.99</v>
      </c>
      <c r="AI967" s="2">
        <f t="shared" si="100"/>
        <v>0</v>
      </c>
      <c r="AJ967" s="2">
        <f t="shared" si="101"/>
        <v>10.9</v>
      </c>
      <c r="AK967" s="5">
        <f t="shared" si="97"/>
        <v>0.47619047619047622</v>
      </c>
    </row>
    <row r="968" spans="1:37" x14ac:dyDescent="0.2">
      <c r="A968" s="2">
        <v>2025</v>
      </c>
      <c r="B968" s="2">
        <v>5</v>
      </c>
      <c r="C968" s="2" t="s">
        <v>193</v>
      </c>
      <c r="D968" s="2" t="s">
        <v>109</v>
      </c>
      <c r="E968" s="2" t="s">
        <v>194</v>
      </c>
      <c r="F968" s="2">
        <v>502044411</v>
      </c>
      <c r="G968" s="2" t="s">
        <v>40</v>
      </c>
      <c r="H968" s="2" t="s">
        <v>157</v>
      </c>
      <c r="I968" s="2" t="s">
        <v>195</v>
      </c>
      <c r="K968" s="2" t="s">
        <v>100</v>
      </c>
      <c r="L968" s="2" t="s">
        <v>40</v>
      </c>
      <c r="N968" s="2" t="s">
        <v>1350</v>
      </c>
      <c r="O968" s="2" t="s">
        <v>115</v>
      </c>
      <c r="P968" s="2" t="s">
        <v>1351</v>
      </c>
      <c r="Q968" s="2" t="s">
        <v>1352</v>
      </c>
      <c r="R968" s="2">
        <v>1</v>
      </c>
      <c r="S968" s="2">
        <v>34.549999999999997</v>
      </c>
      <c r="T968" s="2">
        <v>7.9464999999999986</v>
      </c>
      <c r="U968" s="2">
        <v>42.496499999999997</v>
      </c>
      <c r="V968" s="7">
        <v>15.902100000000001</v>
      </c>
      <c r="W968" s="5">
        <f t="shared" si="102"/>
        <v>0.53973661360347314</v>
      </c>
      <c r="Y968" s="2" t="s">
        <v>118</v>
      </c>
      <c r="Z968" s="2" t="s">
        <v>119</v>
      </c>
      <c r="AA968" s="2" t="s">
        <v>120</v>
      </c>
      <c r="AB968" s="2" t="s">
        <v>115</v>
      </c>
      <c r="AE968" s="2">
        <f t="shared" si="99"/>
        <v>0</v>
      </c>
      <c r="AF968" s="2">
        <v>15.902100000000001</v>
      </c>
      <c r="AI968" s="2">
        <f t="shared" si="100"/>
        <v>0</v>
      </c>
      <c r="AJ968" s="2">
        <f t="shared" si="101"/>
        <v>18.647899999999996</v>
      </c>
      <c r="AK968" s="5">
        <f t="shared" si="97"/>
        <v>0.53973661360347314</v>
      </c>
    </row>
    <row r="969" spans="1:37" x14ac:dyDescent="0.2">
      <c r="A969" s="2">
        <v>2025</v>
      </c>
      <c r="B969" s="2">
        <v>5</v>
      </c>
      <c r="C969" s="2" t="s">
        <v>193</v>
      </c>
      <c r="D969" s="2" t="s">
        <v>109</v>
      </c>
      <c r="E969" s="2" t="s">
        <v>194</v>
      </c>
      <c r="F969" s="2">
        <v>502044411</v>
      </c>
      <c r="G969" s="2" t="s">
        <v>40</v>
      </c>
      <c r="H969" s="2" t="s">
        <v>157</v>
      </c>
      <c r="I969" s="2" t="s">
        <v>195</v>
      </c>
      <c r="K969" s="2" t="s">
        <v>100</v>
      </c>
      <c r="L969" s="2" t="s">
        <v>40</v>
      </c>
      <c r="N969" s="2" t="s">
        <v>1347</v>
      </c>
      <c r="O969" s="2" t="s">
        <v>115</v>
      </c>
      <c r="P969" s="2" t="s">
        <v>1353</v>
      </c>
      <c r="Q969" s="2" t="s">
        <v>446</v>
      </c>
      <c r="R969" s="2">
        <v>1</v>
      </c>
      <c r="S969" s="2">
        <v>42.8</v>
      </c>
      <c r="T969" s="2">
        <v>9.8439999999999994</v>
      </c>
      <c r="U969" s="2">
        <v>52.643999999999998</v>
      </c>
      <c r="V969" s="2">
        <v>20.49</v>
      </c>
      <c r="W969" s="5">
        <f t="shared" si="102"/>
        <v>0.52126168224299063</v>
      </c>
      <c r="Y969" s="2" t="s">
        <v>118</v>
      </c>
      <c r="Z969" s="2" t="s">
        <v>119</v>
      </c>
      <c r="AA969" s="2" t="s">
        <v>120</v>
      </c>
      <c r="AB969" s="2" t="s">
        <v>115</v>
      </c>
      <c r="AE969" s="2">
        <f t="shared" si="99"/>
        <v>0</v>
      </c>
      <c r="AF969" s="2">
        <v>20.49</v>
      </c>
      <c r="AI969" s="2">
        <f t="shared" si="100"/>
        <v>0</v>
      </c>
      <c r="AJ969" s="2">
        <f t="shared" si="101"/>
        <v>22.31</v>
      </c>
      <c r="AK969" s="5">
        <f t="shared" si="97"/>
        <v>0.52126168224299063</v>
      </c>
    </row>
    <row r="970" spans="1:37" x14ac:dyDescent="0.2">
      <c r="A970" s="2">
        <v>2025</v>
      </c>
      <c r="B970" s="2">
        <v>5</v>
      </c>
      <c r="C970" s="2" t="s">
        <v>1354</v>
      </c>
      <c r="O970" s="2" t="s">
        <v>73</v>
      </c>
      <c r="P970" s="2" t="s">
        <v>1355</v>
      </c>
      <c r="Q970" s="2" t="s">
        <v>80</v>
      </c>
      <c r="R970" s="2">
        <v>1</v>
      </c>
      <c r="S970" s="2">
        <v>210</v>
      </c>
      <c r="T970" s="2">
        <v>48.3</v>
      </c>
      <c r="U970" s="2">
        <v>258.3</v>
      </c>
      <c r="W970" s="5">
        <f t="shared" si="102"/>
        <v>1</v>
      </c>
      <c r="Y970" s="2" t="s">
        <v>3256</v>
      </c>
      <c r="Z970" s="2" t="s">
        <v>76</v>
      </c>
      <c r="AA970" s="2" t="s">
        <v>77</v>
      </c>
      <c r="AB970" s="2" t="s">
        <v>78</v>
      </c>
      <c r="AE970" s="2">
        <f t="shared" si="99"/>
        <v>0</v>
      </c>
      <c r="AI970" s="2">
        <f t="shared" si="100"/>
        <v>0</v>
      </c>
      <c r="AJ970" s="2">
        <f t="shared" si="101"/>
        <v>210</v>
      </c>
      <c r="AK970" s="5">
        <f t="shared" si="97"/>
        <v>1</v>
      </c>
    </row>
    <row r="971" spans="1:37" x14ac:dyDescent="0.2">
      <c r="A971" s="2">
        <v>2025</v>
      </c>
      <c r="B971" s="2">
        <v>5</v>
      </c>
      <c r="C971" s="2" t="s">
        <v>1354</v>
      </c>
      <c r="O971" s="2" t="s">
        <v>94</v>
      </c>
      <c r="P971" s="2" t="s">
        <v>95</v>
      </c>
      <c r="Q971" s="2" t="s">
        <v>96</v>
      </c>
      <c r="R971" s="2">
        <v>1</v>
      </c>
      <c r="S971" s="2">
        <v>1.1399999999999999</v>
      </c>
      <c r="T971" s="2">
        <v>0.26219999999999999</v>
      </c>
      <c r="U971" s="2">
        <v>1.4021999999999999</v>
      </c>
      <c r="V971" s="2">
        <v>1.1399999999999999</v>
      </c>
      <c r="W971" s="5">
        <f t="shared" si="102"/>
        <v>0</v>
      </c>
      <c r="Y971" s="2" t="s">
        <v>3256</v>
      </c>
      <c r="Z971" s="2" t="s">
        <v>97</v>
      </c>
      <c r="AA971" s="2" t="s">
        <v>77</v>
      </c>
      <c r="AB971" s="2" t="s">
        <v>94</v>
      </c>
      <c r="AE971" s="2">
        <f t="shared" si="99"/>
        <v>0</v>
      </c>
      <c r="AI971" s="2">
        <f t="shared" si="100"/>
        <v>0</v>
      </c>
      <c r="AJ971" s="2">
        <f t="shared" si="101"/>
        <v>0</v>
      </c>
      <c r="AK971" s="5">
        <f t="shared" si="97"/>
        <v>0</v>
      </c>
    </row>
    <row r="972" spans="1:37" x14ac:dyDescent="0.2">
      <c r="A972" s="2">
        <v>2025</v>
      </c>
      <c r="B972" s="2">
        <v>5</v>
      </c>
      <c r="C972" s="2" t="s">
        <v>1177</v>
      </c>
      <c r="D972" s="2" t="s">
        <v>758</v>
      </c>
      <c r="E972" s="2" t="s">
        <v>1178</v>
      </c>
      <c r="F972" s="2">
        <v>505760088</v>
      </c>
      <c r="G972" s="2" t="s">
        <v>291</v>
      </c>
      <c r="H972" s="2" t="s">
        <v>1179</v>
      </c>
      <c r="I972" s="2" t="s">
        <v>1180</v>
      </c>
      <c r="K972" s="2" t="s">
        <v>340</v>
      </c>
      <c r="L972" s="2" t="s">
        <v>40</v>
      </c>
      <c r="N972" s="2" t="s">
        <v>1356</v>
      </c>
      <c r="O972" s="2" t="s">
        <v>115</v>
      </c>
      <c r="P972" s="2" t="s">
        <v>543</v>
      </c>
      <c r="Q972" s="2" t="s">
        <v>544</v>
      </c>
      <c r="R972" s="2">
        <v>2</v>
      </c>
      <c r="S972" s="2">
        <v>99.62</v>
      </c>
      <c r="T972" s="2">
        <v>22.912600000000001</v>
      </c>
      <c r="U972" s="2">
        <v>122.5326</v>
      </c>
      <c r="V972" s="2">
        <f>24.454*R972</f>
        <v>48.908000000000001</v>
      </c>
      <c r="W972" s="5">
        <f t="shared" si="102"/>
        <v>0.5090544067456334</v>
      </c>
      <c r="Y972" s="2" t="s">
        <v>118</v>
      </c>
      <c r="Z972" s="2" t="s">
        <v>119</v>
      </c>
      <c r="AA972" s="2" t="s">
        <v>120</v>
      </c>
      <c r="AB972" s="2" t="s">
        <v>115</v>
      </c>
      <c r="AE972" s="2">
        <f t="shared" si="99"/>
        <v>0</v>
      </c>
      <c r="AF972" s="2">
        <v>24.454000000000001</v>
      </c>
      <c r="AI972" s="2">
        <f t="shared" si="100"/>
        <v>0</v>
      </c>
      <c r="AJ972" s="2">
        <f t="shared" si="101"/>
        <v>50.712000000000003</v>
      </c>
      <c r="AK972" s="5">
        <f t="shared" si="97"/>
        <v>0.5090544067456334</v>
      </c>
    </row>
    <row r="973" spans="1:37" x14ac:dyDescent="0.2">
      <c r="A973" s="2">
        <v>2025</v>
      </c>
      <c r="B973" s="2">
        <v>5</v>
      </c>
      <c r="C973" s="2" t="s">
        <v>699</v>
      </c>
      <c r="D973" s="2" t="s">
        <v>38</v>
      </c>
      <c r="E973" s="2" t="s">
        <v>39</v>
      </c>
      <c r="F973" s="2">
        <v>508574358</v>
      </c>
      <c r="G973" s="2" t="s">
        <v>41</v>
      </c>
      <c r="H973" s="2" t="s">
        <v>700</v>
      </c>
      <c r="I973" s="2" t="s">
        <v>701</v>
      </c>
      <c r="J973" s="2">
        <v>917295518</v>
      </c>
      <c r="K973" s="2" t="s">
        <v>178</v>
      </c>
      <c r="L973" s="2" t="s">
        <v>41</v>
      </c>
      <c r="O973" s="2" t="s">
        <v>43</v>
      </c>
      <c r="P973" s="2" t="s">
        <v>424</v>
      </c>
      <c r="Q973" s="2" t="s">
        <v>425</v>
      </c>
      <c r="R973" s="2">
        <v>10</v>
      </c>
      <c r="S973" s="2">
        <v>66</v>
      </c>
      <c r="T973" s="2">
        <v>15.18</v>
      </c>
      <c r="U973" s="2">
        <v>81.180000000000007</v>
      </c>
      <c r="V973" s="2">
        <f>3.7556*R973</f>
        <v>37.555999999999997</v>
      </c>
      <c r="W973" s="5">
        <f t="shared" si="102"/>
        <v>0.430969696969697</v>
      </c>
      <c r="Y973" s="2" t="s">
        <v>3256</v>
      </c>
      <c r="Z973" s="2" t="s">
        <v>46</v>
      </c>
      <c r="AA973" s="2" t="s">
        <v>61</v>
      </c>
      <c r="AB973" s="2" t="s">
        <v>58</v>
      </c>
      <c r="AE973" s="2">
        <f t="shared" si="99"/>
        <v>0</v>
      </c>
      <c r="AF973" s="2">
        <v>3.7555999999999998</v>
      </c>
      <c r="AG973" s="2">
        <v>7.2</v>
      </c>
      <c r="AI973" s="2">
        <f t="shared" si="100"/>
        <v>0</v>
      </c>
      <c r="AJ973" s="2">
        <f t="shared" si="101"/>
        <v>28.444000000000003</v>
      </c>
      <c r="AK973" s="5">
        <f t="shared" si="97"/>
        <v>0.430969696969697</v>
      </c>
    </row>
    <row r="974" spans="1:37" x14ac:dyDescent="0.2">
      <c r="A974" s="2">
        <v>2025</v>
      </c>
      <c r="B974" s="2">
        <v>5</v>
      </c>
      <c r="C974" s="2" t="s">
        <v>1357</v>
      </c>
      <c r="O974" s="2" t="s">
        <v>1047</v>
      </c>
      <c r="P974" s="2" t="s">
        <v>1358</v>
      </c>
      <c r="Q974" s="2" t="s">
        <v>1359</v>
      </c>
      <c r="R974" s="2">
        <v>4</v>
      </c>
      <c r="S974" s="2">
        <v>612</v>
      </c>
      <c r="T974" s="2">
        <v>140.76</v>
      </c>
      <c r="U974" s="2">
        <v>752.76</v>
      </c>
      <c r="W974" s="5">
        <f t="shared" si="102"/>
        <v>1</v>
      </c>
      <c r="Y974" s="2" t="s">
        <v>3256</v>
      </c>
      <c r="Z974" s="2" t="s">
        <v>1050</v>
      </c>
      <c r="AA974" s="2" t="s">
        <v>1328</v>
      </c>
      <c r="AB974" s="2" t="s">
        <v>1047</v>
      </c>
      <c r="AE974" s="2">
        <f t="shared" si="99"/>
        <v>0</v>
      </c>
      <c r="AI974" s="2">
        <f t="shared" si="100"/>
        <v>0</v>
      </c>
      <c r="AJ974" s="2">
        <f t="shared" si="101"/>
        <v>612</v>
      </c>
      <c r="AK974" s="5">
        <f t="shared" si="97"/>
        <v>1</v>
      </c>
    </row>
    <row r="975" spans="1:37" x14ac:dyDescent="0.2">
      <c r="A975" s="2">
        <v>2025</v>
      </c>
      <c r="B975" s="2">
        <v>5</v>
      </c>
      <c r="C975" s="2" t="s">
        <v>333</v>
      </c>
      <c r="D975" s="2" t="s">
        <v>109</v>
      </c>
      <c r="E975" s="2" t="s">
        <v>39</v>
      </c>
      <c r="F975" s="2">
        <v>513493557</v>
      </c>
      <c r="G975" s="2" t="s">
        <v>41</v>
      </c>
      <c r="H975" s="2" t="s">
        <v>280</v>
      </c>
      <c r="I975" s="2" t="s">
        <v>334</v>
      </c>
      <c r="K975" s="2" t="s">
        <v>178</v>
      </c>
      <c r="L975" s="2" t="s">
        <v>41</v>
      </c>
      <c r="O975" s="2" t="s">
        <v>43</v>
      </c>
      <c r="P975" s="2" t="s">
        <v>64</v>
      </c>
      <c r="Q975" s="2" t="s">
        <v>65</v>
      </c>
      <c r="R975" s="2">
        <v>20</v>
      </c>
      <c r="S975" s="2">
        <v>36</v>
      </c>
      <c r="T975" s="2">
        <v>8.2800000000000011</v>
      </c>
      <c r="U975" s="2">
        <v>44.28</v>
      </c>
      <c r="V975" s="2">
        <f>0.8561*R975</f>
        <v>17.122</v>
      </c>
      <c r="W975" s="5">
        <f t="shared" si="102"/>
        <v>0.5243888888888889</v>
      </c>
      <c r="Y975" s="2" t="s">
        <v>3256</v>
      </c>
      <c r="Z975" s="2" t="s">
        <v>46</v>
      </c>
      <c r="AA975" s="2" t="s">
        <v>61</v>
      </c>
      <c r="AB975" s="2" t="s">
        <v>58</v>
      </c>
      <c r="AE975" s="2">
        <f t="shared" si="99"/>
        <v>0</v>
      </c>
      <c r="AF975" s="2">
        <v>0.85609999999999997</v>
      </c>
      <c r="AG975" s="2">
        <v>1.8</v>
      </c>
      <c r="AI975" s="2">
        <f t="shared" si="100"/>
        <v>0</v>
      </c>
      <c r="AJ975" s="2">
        <f t="shared" si="101"/>
        <v>18.878</v>
      </c>
      <c r="AK975" s="5">
        <f t="shared" si="97"/>
        <v>0.5243888888888889</v>
      </c>
    </row>
    <row r="976" spans="1:37" x14ac:dyDescent="0.2">
      <c r="A976" s="2">
        <v>2025</v>
      </c>
      <c r="B976" s="2">
        <v>5</v>
      </c>
      <c r="C976" s="2" t="s">
        <v>333</v>
      </c>
      <c r="D976" s="2" t="s">
        <v>109</v>
      </c>
      <c r="E976" s="2" t="s">
        <v>39</v>
      </c>
      <c r="F976" s="2">
        <v>513493557</v>
      </c>
      <c r="G976" s="2" t="s">
        <v>41</v>
      </c>
      <c r="H976" s="2" t="s">
        <v>280</v>
      </c>
      <c r="I976" s="2" t="s">
        <v>334</v>
      </c>
      <c r="K976" s="2" t="s">
        <v>178</v>
      </c>
      <c r="L976" s="2" t="s">
        <v>41</v>
      </c>
      <c r="O976" s="2" t="s">
        <v>43</v>
      </c>
      <c r="P976" s="2" t="s">
        <v>66</v>
      </c>
      <c r="Q976" s="2" t="s">
        <v>67</v>
      </c>
      <c r="R976" s="2">
        <v>3</v>
      </c>
      <c r="S976" s="2">
        <v>63</v>
      </c>
      <c r="T976" s="2">
        <v>14.49</v>
      </c>
      <c r="U976" s="2">
        <v>77.489999999999995</v>
      </c>
      <c r="V976" s="2">
        <f>15.0203*R976</f>
        <v>45.060900000000004</v>
      </c>
      <c r="W976" s="5">
        <f t="shared" si="102"/>
        <v>0.28474761904761897</v>
      </c>
      <c r="Y976" s="2" t="s">
        <v>3256</v>
      </c>
      <c r="Z976" s="2" t="s">
        <v>46</v>
      </c>
      <c r="AA976" s="2" t="s">
        <v>68</v>
      </c>
      <c r="AB976" s="2" t="s">
        <v>58</v>
      </c>
      <c r="AE976" s="2">
        <f t="shared" si="99"/>
        <v>0</v>
      </c>
      <c r="AF976" s="2">
        <v>15.020300000000001</v>
      </c>
      <c r="AG976" s="2">
        <v>27.6</v>
      </c>
      <c r="AI976" s="2">
        <f t="shared" si="100"/>
        <v>0</v>
      </c>
      <c r="AJ976" s="2">
        <f t="shared" si="101"/>
        <v>17.939099999999996</v>
      </c>
      <c r="AK976" s="5">
        <f t="shared" si="97"/>
        <v>0.28474761904761897</v>
      </c>
    </row>
    <row r="977" spans="1:37" x14ac:dyDescent="0.2">
      <c r="A977" s="2">
        <v>2025</v>
      </c>
      <c r="B977" s="2">
        <v>5</v>
      </c>
      <c r="C977" s="2" t="s">
        <v>737</v>
      </c>
      <c r="D977" s="2" t="s">
        <v>109</v>
      </c>
      <c r="F977" s="2">
        <v>502757396</v>
      </c>
      <c r="G977" s="2" t="s">
        <v>40</v>
      </c>
      <c r="H977" s="2" t="s">
        <v>100</v>
      </c>
      <c r="I977" s="2" t="s">
        <v>738</v>
      </c>
      <c r="K977" s="2" t="s">
        <v>100</v>
      </c>
      <c r="L977" s="2" t="s">
        <v>81</v>
      </c>
      <c r="O977" s="2" t="s">
        <v>73</v>
      </c>
      <c r="P977" s="2" t="s">
        <v>74</v>
      </c>
      <c r="Q977" s="2" t="s">
        <v>75</v>
      </c>
      <c r="R977" s="2">
        <v>1</v>
      </c>
      <c r="S977" s="2">
        <v>210</v>
      </c>
      <c r="T977" s="2">
        <v>48.3</v>
      </c>
      <c r="U977" s="2">
        <v>258.3</v>
      </c>
      <c r="V977" s="2">
        <v>117.453</v>
      </c>
      <c r="W977" s="5">
        <f t="shared" si="102"/>
        <v>0.44069999999999998</v>
      </c>
      <c r="Y977" s="2" t="s">
        <v>3256</v>
      </c>
      <c r="Z977" s="2" t="s">
        <v>76</v>
      </c>
      <c r="AA977" s="2" t="s">
        <v>77</v>
      </c>
      <c r="AB977" s="2" t="s">
        <v>78</v>
      </c>
      <c r="AE977" s="2">
        <f t="shared" si="99"/>
        <v>0</v>
      </c>
      <c r="AF977" s="2">
        <v>117.453</v>
      </c>
      <c r="AG977" s="2">
        <v>220</v>
      </c>
      <c r="AI977" s="2">
        <f t="shared" si="100"/>
        <v>0</v>
      </c>
      <c r="AJ977" s="2">
        <f t="shared" si="101"/>
        <v>92.546999999999997</v>
      </c>
      <c r="AK977" s="5">
        <f t="shared" ref="AK977:AK1040" si="103">(S977-V977)/S977</f>
        <v>0.44069999999999998</v>
      </c>
    </row>
    <row r="978" spans="1:37" x14ac:dyDescent="0.2">
      <c r="A978" s="2">
        <v>2025</v>
      </c>
      <c r="B978" s="2">
        <v>5</v>
      </c>
      <c r="C978" s="2" t="s">
        <v>737</v>
      </c>
      <c r="D978" s="2" t="s">
        <v>109</v>
      </c>
      <c r="F978" s="2">
        <v>502757396</v>
      </c>
      <c r="G978" s="2" t="s">
        <v>40</v>
      </c>
      <c r="H978" s="2" t="s">
        <v>100</v>
      </c>
      <c r="I978" s="2" t="s">
        <v>738</v>
      </c>
      <c r="K978" s="2" t="s">
        <v>100</v>
      </c>
      <c r="L978" s="2" t="s">
        <v>81</v>
      </c>
      <c r="O978" s="2" t="s">
        <v>94</v>
      </c>
      <c r="P978" s="2" t="s">
        <v>95</v>
      </c>
      <c r="Q978" s="2" t="s">
        <v>96</v>
      </c>
      <c r="R978" s="2">
        <v>1</v>
      </c>
      <c r="S978" s="2">
        <v>1.1399999999999999</v>
      </c>
      <c r="T978" s="2">
        <v>0.26219999999999999</v>
      </c>
      <c r="U978" s="2">
        <v>1.4021999999999999</v>
      </c>
      <c r="V978" s="2">
        <v>1.1399999999999999</v>
      </c>
      <c r="W978" s="5">
        <f t="shared" si="102"/>
        <v>0</v>
      </c>
      <c r="Y978" s="2" t="s">
        <v>3256</v>
      </c>
      <c r="Z978" s="2" t="s">
        <v>97</v>
      </c>
      <c r="AA978" s="2" t="s">
        <v>77</v>
      </c>
      <c r="AB978" s="2" t="s">
        <v>94</v>
      </c>
      <c r="AE978" s="2">
        <f t="shared" si="99"/>
        <v>0</v>
      </c>
      <c r="AF978" s="2">
        <v>1.1399999999999999</v>
      </c>
      <c r="AG978" s="2">
        <v>1.1399999999999999</v>
      </c>
      <c r="AI978" s="2">
        <f t="shared" si="100"/>
        <v>0</v>
      </c>
      <c r="AJ978" s="2">
        <f t="shared" si="101"/>
        <v>0</v>
      </c>
      <c r="AK978" s="5">
        <f t="shared" si="103"/>
        <v>0</v>
      </c>
    </row>
    <row r="979" spans="1:37" x14ac:dyDescent="0.2">
      <c r="A979" s="2">
        <v>2025</v>
      </c>
      <c r="B979" s="2">
        <v>5</v>
      </c>
      <c r="C979" s="2" t="s">
        <v>1360</v>
      </c>
      <c r="O979" s="2" t="s">
        <v>283</v>
      </c>
      <c r="P979" s="2" t="s">
        <v>500</v>
      </c>
      <c r="Q979" s="2" t="s">
        <v>501</v>
      </c>
      <c r="R979" s="2">
        <v>1</v>
      </c>
      <c r="S979" s="2">
        <v>89</v>
      </c>
      <c r="T979" s="2">
        <v>20.47</v>
      </c>
      <c r="U979" s="2">
        <v>109.47</v>
      </c>
      <c r="W979" s="5">
        <f t="shared" si="102"/>
        <v>1</v>
      </c>
      <c r="Y979" s="2" t="s">
        <v>3256</v>
      </c>
      <c r="AE979" s="2">
        <f t="shared" si="99"/>
        <v>0</v>
      </c>
      <c r="AI979" s="2">
        <f t="shared" si="100"/>
        <v>0</v>
      </c>
      <c r="AJ979" s="2">
        <f t="shared" si="101"/>
        <v>89</v>
      </c>
      <c r="AK979" s="5">
        <f t="shared" si="103"/>
        <v>1</v>
      </c>
    </row>
    <row r="980" spans="1:37" x14ac:dyDescent="0.2">
      <c r="A980" s="2">
        <v>2025</v>
      </c>
      <c r="B980" s="2">
        <v>5</v>
      </c>
      <c r="C980" s="2" t="s">
        <v>1360</v>
      </c>
      <c r="O980" s="2" t="s">
        <v>283</v>
      </c>
      <c r="P980" s="2" t="s">
        <v>1361</v>
      </c>
      <c r="Q980" s="2" t="s">
        <v>1362</v>
      </c>
      <c r="R980" s="2">
        <v>1</v>
      </c>
      <c r="S980" s="2">
        <v>699</v>
      </c>
      <c r="T980" s="2">
        <v>160.77000000000001</v>
      </c>
      <c r="U980" s="2">
        <v>859.77</v>
      </c>
      <c r="W980" s="5">
        <f t="shared" si="102"/>
        <v>1</v>
      </c>
      <c r="Y980" s="2" t="s">
        <v>3256</v>
      </c>
      <c r="Z980" s="2" t="s">
        <v>72</v>
      </c>
      <c r="AA980" s="2" t="s">
        <v>120</v>
      </c>
      <c r="AB980" s="2" t="s">
        <v>120</v>
      </c>
      <c r="AE980" s="2">
        <f t="shared" si="99"/>
        <v>0</v>
      </c>
      <c r="AF980" s="2">
        <v>489.3</v>
      </c>
      <c r="AI980" s="2">
        <f t="shared" si="100"/>
        <v>0</v>
      </c>
      <c r="AJ980" s="2">
        <f t="shared" si="101"/>
        <v>699</v>
      </c>
      <c r="AK980" s="5">
        <f t="shared" si="103"/>
        <v>1</v>
      </c>
    </row>
    <row r="981" spans="1:37" x14ac:dyDescent="0.2">
      <c r="A981" s="2">
        <v>2025</v>
      </c>
      <c r="B981" s="2">
        <v>5</v>
      </c>
      <c r="C981" s="2" t="s">
        <v>989</v>
      </c>
      <c r="D981" s="2" t="s">
        <v>109</v>
      </c>
      <c r="E981" s="2" t="s">
        <v>723</v>
      </c>
      <c r="F981" s="2">
        <v>500594309</v>
      </c>
      <c r="G981" s="2" t="s">
        <v>291</v>
      </c>
      <c r="H981" s="2" t="s">
        <v>990</v>
      </c>
      <c r="I981" s="2" t="s">
        <v>991</v>
      </c>
      <c r="K981" s="2" t="s">
        <v>294</v>
      </c>
      <c r="L981" s="2" t="s">
        <v>81</v>
      </c>
      <c r="N981" s="2" t="s">
        <v>1363</v>
      </c>
      <c r="O981" s="2" t="s">
        <v>73</v>
      </c>
      <c r="P981" s="2" t="s">
        <v>307</v>
      </c>
      <c r="Q981" s="2" t="s">
        <v>308</v>
      </c>
      <c r="R981" s="2">
        <v>1</v>
      </c>
      <c r="S981" s="2">
        <v>220</v>
      </c>
      <c r="T981" s="2">
        <v>50.6</v>
      </c>
      <c r="U981" s="2">
        <v>270.60000000000002</v>
      </c>
      <c r="V981" s="2">
        <v>119.33</v>
      </c>
      <c r="W981" s="5">
        <f t="shared" si="102"/>
        <v>0.4575909090909091</v>
      </c>
      <c r="Y981" s="2" t="s">
        <v>3256</v>
      </c>
      <c r="Z981" s="2" t="s">
        <v>76</v>
      </c>
      <c r="AA981" s="2" t="s">
        <v>77</v>
      </c>
      <c r="AB981" s="2" t="s">
        <v>78</v>
      </c>
      <c r="AE981" s="2">
        <f t="shared" si="99"/>
        <v>0</v>
      </c>
      <c r="AF981" s="2">
        <v>119.33</v>
      </c>
      <c r="AG981" s="2">
        <v>220</v>
      </c>
      <c r="AI981" s="2">
        <f t="shared" si="100"/>
        <v>0</v>
      </c>
      <c r="AJ981" s="2">
        <f t="shared" si="101"/>
        <v>100.67</v>
      </c>
      <c r="AK981" s="5">
        <f t="shared" si="103"/>
        <v>0.4575909090909091</v>
      </c>
    </row>
    <row r="982" spans="1:37" x14ac:dyDescent="0.2">
      <c r="A982" s="2">
        <v>2025</v>
      </c>
      <c r="B982" s="2">
        <v>5</v>
      </c>
      <c r="C982" s="2" t="s">
        <v>989</v>
      </c>
      <c r="D982" s="2" t="s">
        <v>109</v>
      </c>
      <c r="E982" s="2" t="s">
        <v>723</v>
      </c>
      <c r="F982" s="2">
        <v>500594309</v>
      </c>
      <c r="G982" s="2" t="s">
        <v>291</v>
      </c>
      <c r="H982" s="2" t="s">
        <v>990</v>
      </c>
      <c r="I982" s="2" t="s">
        <v>991</v>
      </c>
      <c r="K982" s="2" t="s">
        <v>294</v>
      </c>
      <c r="L982" s="2" t="s">
        <v>81</v>
      </c>
      <c r="N982" s="2" t="s">
        <v>1363</v>
      </c>
      <c r="O982" s="2" t="s">
        <v>94</v>
      </c>
      <c r="P982" s="2" t="s">
        <v>95</v>
      </c>
      <c r="Q982" s="2" t="s">
        <v>96</v>
      </c>
      <c r="R982" s="2">
        <v>1</v>
      </c>
      <c r="S982" s="2">
        <v>1.1399999999999999</v>
      </c>
      <c r="T982" s="2">
        <v>0.26219999999999999</v>
      </c>
      <c r="U982" s="2">
        <v>1.4021999999999999</v>
      </c>
      <c r="V982" s="2">
        <v>1.1399999999999999</v>
      </c>
      <c r="W982" s="5">
        <f t="shared" si="102"/>
        <v>0</v>
      </c>
      <c r="Y982" s="2" t="s">
        <v>3256</v>
      </c>
      <c r="Z982" s="2" t="s">
        <v>97</v>
      </c>
      <c r="AA982" s="2" t="s">
        <v>77</v>
      </c>
      <c r="AB982" s="2" t="s">
        <v>94</v>
      </c>
      <c r="AE982" s="2">
        <f t="shared" si="99"/>
        <v>0</v>
      </c>
      <c r="AF982" s="2">
        <v>1.1399999999999999</v>
      </c>
      <c r="AG982" s="2">
        <v>1.1399999999999999</v>
      </c>
      <c r="AI982" s="2">
        <f t="shared" si="100"/>
        <v>0</v>
      </c>
      <c r="AJ982" s="2">
        <f t="shared" si="101"/>
        <v>0</v>
      </c>
      <c r="AK982" s="5">
        <f t="shared" si="103"/>
        <v>0</v>
      </c>
    </row>
    <row r="983" spans="1:37" x14ac:dyDescent="0.2">
      <c r="A983" s="2">
        <v>2025</v>
      </c>
      <c r="B983" s="2">
        <v>5</v>
      </c>
      <c r="C983" s="2" t="s">
        <v>1364</v>
      </c>
      <c r="O983" s="2" t="s">
        <v>115</v>
      </c>
      <c r="P983" s="2" t="s">
        <v>741</v>
      </c>
      <c r="Q983" s="2" t="s">
        <v>742</v>
      </c>
      <c r="R983" s="2">
        <v>2</v>
      </c>
      <c r="S983" s="2">
        <v>40.53</v>
      </c>
      <c r="T983" s="2">
        <v>9.3219000000000012</v>
      </c>
      <c r="U983" s="2">
        <v>49.851900000000001</v>
      </c>
      <c r="W983" s="5">
        <f t="shared" si="102"/>
        <v>1</v>
      </c>
      <c r="Y983" s="2" t="s">
        <v>118</v>
      </c>
      <c r="Z983" s="2" t="s">
        <v>119</v>
      </c>
      <c r="AA983" s="2" t="s">
        <v>120</v>
      </c>
      <c r="AB983" s="2" t="s">
        <v>115</v>
      </c>
      <c r="AE983" s="2">
        <f t="shared" si="99"/>
        <v>0</v>
      </c>
      <c r="AI983" s="2">
        <f t="shared" si="100"/>
        <v>0</v>
      </c>
      <c r="AJ983" s="2">
        <f t="shared" si="101"/>
        <v>40.53</v>
      </c>
      <c r="AK983" s="5">
        <f t="shared" si="103"/>
        <v>1</v>
      </c>
    </row>
    <row r="984" spans="1:37" x14ac:dyDescent="0.2">
      <c r="A984" s="2">
        <v>2025</v>
      </c>
      <c r="B984" s="2">
        <v>5</v>
      </c>
      <c r="C984" s="2" t="s">
        <v>993</v>
      </c>
      <c r="P984" s="2" t="s">
        <v>994</v>
      </c>
      <c r="Q984" s="2" t="s">
        <v>995</v>
      </c>
      <c r="R984" s="2">
        <v>0</v>
      </c>
      <c r="S984" s="2">
        <v>0</v>
      </c>
      <c r="T984" s="2">
        <v>0</v>
      </c>
      <c r="U984" s="2">
        <v>0</v>
      </c>
      <c r="W984" s="5">
        <v>0</v>
      </c>
      <c r="Y984" s="2" t="s">
        <v>105</v>
      </c>
      <c r="Z984" s="2" t="s">
        <v>996</v>
      </c>
      <c r="AA984" s="2" t="s">
        <v>479</v>
      </c>
      <c r="AE984" s="2">
        <f t="shared" si="99"/>
        <v>0</v>
      </c>
      <c r="AI984" s="2">
        <f t="shared" si="100"/>
        <v>0</v>
      </c>
      <c r="AJ984" s="2">
        <f t="shared" si="101"/>
        <v>0</v>
      </c>
      <c r="AK984" s="5" t="e">
        <f t="shared" si="103"/>
        <v>#DIV/0!</v>
      </c>
    </row>
    <row r="985" spans="1:37" x14ac:dyDescent="0.2">
      <c r="A985" s="2">
        <v>2025</v>
      </c>
      <c r="B985" s="2">
        <v>5</v>
      </c>
      <c r="C985" s="2" t="s">
        <v>1365</v>
      </c>
      <c r="D985" s="2" t="s">
        <v>758</v>
      </c>
      <c r="E985" s="2" t="s">
        <v>39</v>
      </c>
      <c r="F985" s="2">
        <v>518238334</v>
      </c>
      <c r="G985" s="2" t="s">
        <v>41</v>
      </c>
      <c r="H985" s="2" t="s">
        <v>768</v>
      </c>
      <c r="I985" s="2" t="s">
        <v>1366</v>
      </c>
      <c r="K985" s="2" t="s">
        <v>422</v>
      </c>
      <c r="O985" s="2" t="s">
        <v>283</v>
      </c>
      <c r="P985" s="2" t="s">
        <v>1244</v>
      </c>
      <c r="Q985" s="2" t="s">
        <v>1245</v>
      </c>
      <c r="R985" s="2">
        <v>1</v>
      </c>
      <c r="S985" s="2">
        <v>3950</v>
      </c>
      <c r="T985" s="2">
        <v>908.5</v>
      </c>
      <c r="U985" s="2">
        <v>4858.5</v>
      </c>
      <c r="W985" s="5">
        <f>(S985-V985)/S985</f>
        <v>1</v>
      </c>
      <c r="Y985" s="2" t="s">
        <v>105</v>
      </c>
      <c r="AE985" s="2">
        <f t="shared" si="99"/>
        <v>0</v>
      </c>
      <c r="AI985" s="2">
        <f t="shared" si="100"/>
        <v>0</v>
      </c>
      <c r="AJ985" s="2">
        <f t="shared" si="101"/>
        <v>3950</v>
      </c>
      <c r="AK985" s="5">
        <f t="shared" si="103"/>
        <v>1</v>
      </c>
    </row>
    <row r="986" spans="1:37" x14ac:dyDescent="0.2">
      <c r="A986" s="2">
        <v>2025</v>
      </c>
      <c r="B986" s="2">
        <v>5</v>
      </c>
      <c r="C986" s="2" t="s">
        <v>1365</v>
      </c>
      <c r="D986" s="2" t="s">
        <v>758</v>
      </c>
      <c r="E986" s="2" t="s">
        <v>39</v>
      </c>
      <c r="F986" s="2">
        <v>518238334</v>
      </c>
      <c r="G986" s="2" t="s">
        <v>41</v>
      </c>
      <c r="H986" s="2" t="s">
        <v>768</v>
      </c>
      <c r="I986" s="2" t="s">
        <v>1366</v>
      </c>
      <c r="K986" s="2" t="s">
        <v>422</v>
      </c>
      <c r="O986" s="2" t="s">
        <v>283</v>
      </c>
      <c r="P986" s="2" t="s">
        <v>1163</v>
      </c>
      <c r="Q986" s="2" t="s">
        <v>1164</v>
      </c>
      <c r="R986" s="2">
        <v>1</v>
      </c>
      <c r="S986" s="2">
        <v>3335</v>
      </c>
      <c r="T986" s="2">
        <v>767.05000000000007</v>
      </c>
      <c r="U986" s="2">
        <v>4102.05</v>
      </c>
      <c r="W986" s="5">
        <f>(S986-V986)/S986</f>
        <v>1</v>
      </c>
      <c r="AE986" s="2">
        <f t="shared" si="99"/>
        <v>0</v>
      </c>
      <c r="AI986" s="2">
        <f t="shared" si="100"/>
        <v>0</v>
      </c>
      <c r="AJ986" s="2">
        <f t="shared" si="101"/>
        <v>3335</v>
      </c>
      <c r="AK986" s="5">
        <f t="shared" si="103"/>
        <v>1</v>
      </c>
    </row>
    <row r="987" spans="1:37" x14ac:dyDescent="0.2">
      <c r="A987" s="2">
        <v>2025</v>
      </c>
      <c r="B987" s="2">
        <v>5</v>
      </c>
      <c r="C987" s="2" t="s">
        <v>1365</v>
      </c>
      <c r="D987" s="2" t="s">
        <v>758</v>
      </c>
      <c r="E987" s="2" t="s">
        <v>39</v>
      </c>
      <c r="F987" s="2">
        <v>518238334</v>
      </c>
      <c r="G987" s="2" t="s">
        <v>41</v>
      </c>
      <c r="H987" s="2" t="s">
        <v>768</v>
      </c>
      <c r="I987" s="2" t="s">
        <v>1366</v>
      </c>
      <c r="K987" s="2" t="s">
        <v>422</v>
      </c>
      <c r="O987" s="2" t="s">
        <v>283</v>
      </c>
      <c r="P987" s="2" t="s">
        <v>1165</v>
      </c>
      <c r="Q987" s="2" t="s">
        <v>1166</v>
      </c>
      <c r="R987" s="2">
        <v>1</v>
      </c>
      <c r="S987" s="2">
        <v>0</v>
      </c>
      <c r="T987" s="2">
        <v>0</v>
      </c>
      <c r="U987" s="2">
        <v>0</v>
      </c>
      <c r="W987" s="5">
        <v>0</v>
      </c>
      <c r="AE987" s="2">
        <f t="shared" si="99"/>
        <v>0</v>
      </c>
      <c r="AI987" s="2">
        <f t="shared" si="100"/>
        <v>0</v>
      </c>
      <c r="AJ987" s="2">
        <f t="shared" si="101"/>
        <v>0</v>
      </c>
      <c r="AK987" s="5" t="e">
        <f t="shared" si="103"/>
        <v>#DIV/0!</v>
      </c>
    </row>
    <row r="988" spans="1:37" x14ac:dyDescent="0.2">
      <c r="A988" s="2">
        <v>2025</v>
      </c>
      <c r="B988" s="2">
        <v>5</v>
      </c>
      <c r="C988" s="2" t="s">
        <v>755</v>
      </c>
      <c r="D988" s="2" t="s">
        <v>109</v>
      </c>
      <c r="E988" s="2" t="s">
        <v>39</v>
      </c>
      <c r="F988" s="2">
        <v>510039537</v>
      </c>
      <c r="G988" s="2" t="s">
        <v>40</v>
      </c>
      <c r="H988" s="2" t="s">
        <v>576</v>
      </c>
      <c r="I988" s="2" t="s">
        <v>756</v>
      </c>
      <c r="J988" s="2">
        <v>969042927</v>
      </c>
      <c r="K988" s="2" t="s">
        <v>576</v>
      </c>
      <c r="O988" s="2" t="s">
        <v>115</v>
      </c>
      <c r="P988" s="2" t="s">
        <v>1160</v>
      </c>
      <c r="Q988" s="2" t="s">
        <v>1161</v>
      </c>
      <c r="R988" s="2">
        <v>1</v>
      </c>
      <c r="S988" s="2">
        <v>252.67</v>
      </c>
      <c r="T988" s="2">
        <v>58.114100000000001</v>
      </c>
      <c r="U988" s="2">
        <v>310.78410000000002</v>
      </c>
      <c r="W988" s="5">
        <f t="shared" ref="W988:W1019" si="104">(S988-V988)/S988</f>
        <v>1</v>
      </c>
      <c r="AE988" s="2">
        <f t="shared" si="99"/>
        <v>0</v>
      </c>
      <c r="AI988" s="2">
        <f t="shared" si="100"/>
        <v>0</v>
      </c>
      <c r="AJ988" s="2">
        <f t="shared" si="101"/>
        <v>252.67</v>
      </c>
      <c r="AK988" s="5">
        <f t="shared" si="103"/>
        <v>1</v>
      </c>
    </row>
    <row r="989" spans="1:37" x14ac:dyDescent="0.2">
      <c r="A989" s="2">
        <v>2025</v>
      </c>
      <c r="B989" s="2">
        <v>5</v>
      </c>
      <c r="C989" s="2" t="s">
        <v>367</v>
      </c>
      <c r="D989" s="2" t="s">
        <v>184</v>
      </c>
      <c r="E989" s="2" t="s">
        <v>368</v>
      </c>
      <c r="F989" s="2">
        <v>501423192</v>
      </c>
      <c r="G989" s="2" t="s">
        <v>40</v>
      </c>
      <c r="H989" s="2" t="s">
        <v>369</v>
      </c>
      <c r="I989" s="2" t="s">
        <v>370</v>
      </c>
      <c r="K989" s="2" t="s">
        <v>100</v>
      </c>
      <c r="L989" s="2" t="s">
        <v>81</v>
      </c>
      <c r="N989" s="2" t="s">
        <v>1367</v>
      </c>
      <c r="O989" s="2" t="s">
        <v>1368</v>
      </c>
      <c r="P989" s="2" t="s">
        <v>1369</v>
      </c>
      <c r="Q989" s="2" t="s">
        <v>1370</v>
      </c>
      <c r="R989" s="2">
        <v>5</v>
      </c>
      <c r="S989" s="2">
        <v>250</v>
      </c>
      <c r="T989" s="2">
        <v>57.5</v>
      </c>
      <c r="U989" s="2">
        <v>307.5</v>
      </c>
      <c r="W989" s="5">
        <f t="shared" si="104"/>
        <v>1</v>
      </c>
      <c r="Y989" s="2" t="s">
        <v>3256</v>
      </c>
      <c r="AE989" s="2">
        <f t="shared" si="99"/>
        <v>0</v>
      </c>
      <c r="AI989" s="2">
        <f t="shared" si="100"/>
        <v>0</v>
      </c>
      <c r="AJ989" s="2">
        <f t="shared" si="101"/>
        <v>250</v>
      </c>
      <c r="AK989" s="5">
        <f t="shared" si="103"/>
        <v>1</v>
      </c>
    </row>
    <row r="990" spans="1:37" x14ac:dyDescent="0.2">
      <c r="A990" s="2">
        <v>2025</v>
      </c>
      <c r="B990" s="2">
        <v>5</v>
      </c>
      <c r="C990" s="2" t="s">
        <v>377</v>
      </c>
      <c r="D990" s="2" t="s">
        <v>109</v>
      </c>
      <c r="E990" s="2" t="s">
        <v>378</v>
      </c>
      <c r="F990" s="2">
        <v>503552542</v>
      </c>
      <c r="G990" s="2" t="s">
        <v>291</v>
      </c>
      <c r="H990" s="2" t="s">
        <v>379</v>
      </c>
      <c r="I990" s="2" t="s">
        <v>380</v>
      </c>
      <c r="K990" s="2" t="s">
        <v>340</v>
      </c>
      <c r="L990" s="2" t="s">
        <v>40</v>
      </c>
      <c r="N990" s="2" t="s">
        <v>1371</v>
      </c>
      <c r="O990" s="2" t="s">
        <v>115</v>
      </c>
      <c r="P990" s="2" t="s">
        <v>180</v>
      </c>
      <c r="Q990" s="2" t="s">
        <v>181</v>
      </c>
      <c r="R990" s="2">
        <v>1</v>
      </c>
      <c r="S990" s="2">
        <v>699.3</v>
      </c>
      <c r="T990" s="2">
        <v>160.839</v>
      </c>
      <c r="U990" s="2">
        <v>860.1389999999999</v>
      </c>
      <c r="V990" s="2">
        <v>346.57</v>
      </c>
      <c r="W990" s="5">
        <f t="shared" si="104"/>
        <v>0.50440440440440437</v>
      </c>
      <c r="Y990" s="2" t="s">
        <v>118</v>
      </c>
      <c r="Z990" s="2" t="s">
        <v>182</v>
      </c>
      <c r="AE990" s="2">
        <f t="shared" si="99"/>
        <v>0</v>
      </c>
      <c r="AI990" s="2">
        <f t="shared" si="100"/>
        <v>0</v>
      </c>
      <c r="AJ990" s="2">
        <f t="shared" si="101"/>
        <v>352.72999999999996</v>
      </c>
      <c r="AK990" s="5">
        <f t="shared" si="103"/>
        <v>0.50440440440440437</v>
      </c>
    </row>
    <row r="991" spans="1:37" x14ac:dyDescent="0.2">
      <c r="A991" s="2">
        <v>2025</v>
      </c>
      <c r="B991" s="2">
        <v>5</v>
      </c>
      <c r="C991" s="2" t="s">
        <v>377</v>
      </c>
      <c r="D991" s="2" t="s">
        <v>109</v>
      </c>
      <c r="E991" s="2" t="s">
        <v>378</v>
      </c>
      <c r="F991" s="2">
        <v>503552542</v>
      </c>
      <c r="G991" s="2" t="s">
        <v>291</v>
      </c>
      <c r="H991" s="2" t="s">
        <v>379</v>
      </c>
      <c r="I991" s="2" t="s">
        <v>380</v>
      </c>
      <c r="K991" s="2" t="s">
        <v>340</v>
      </c>
      <c r="L991" s="2" t="s">
        <v>40</v>
      </c>
      <c r="N991" s="2" t="s">
        <v>1371</v>
      </c>
      <c r="O991" s="2" t="s">
        <v>188</v>
      </c>
      <c r="P991" s="2" t="s">
        <v>189</v>
      </c>
      <c r="Q991" s="2" t="s">
        <v>190</v>
      </c>
      <c r="R991" s="2">
        <v>1</v>
      </c>
      <c r="S991" s="2">
        <v>50</v>
      </c>
      <c r="T991" s="2">
        <v>11.5</v>
      </c>
      <c r="U991" s="2">
        <v>61.5</v>
      </c>
      <c r="W991" s="5">
        <f t="shared" si="104"/>
        <v>1</v>
      </c>
      <c r="Y991" s="2" t="s">
        <v>118</v>
      </c>
      <c r="Z991" s="2" t="s">
        <v>191</v>
      </c>
      <c r="AE991" s="2">
        <f t="shared" si="99"/>
        <v>0</v>
      </c>
      <c r="AI991" s="2">
        <f t="shared" si="100"/>
        <v>0</v>
      </c>
      <c r="AJ991" s="2">
        <f t="shared" si="101"/>
        <v>50</v>
      </c>
      <c r="AK991" s="5">
        <f t="shared" si="103"/>
        <v>1</v>
      </c>
    </row>
    <row r="992" spans="1:37" x14ac:dyDescent="0.2">
      <c r="A992" s="2">
        <v>2025</v>
      </c>
      <c r="B992" s="2">
        <v>5</v>
      </c>
      <c r="C992" s="2" t="s">
        <v>377</v>
      </c>
      <c r="D992" s="2" t="s">
        <v>109</v>
      </c>
      <c r="E992" s="2" t="s">
        <v>378</v>
      </c>
      <c r="F992" s="2">
        <v>503552542</v>
      </c>
      <c r="G992" s="2" t="s">
        <v>291</v>
      </c>
      <c r="H992" s="2" t="s">
        <v>379</v>
      </c>
      <c r="I992" s="2" t="s">
        <v>380</v>
      </c>
      <c r="K992" s="2" t="s">
        <v>340</v>
      </c>
      <c r="L992" s="2" t="s">
        <v>40</v>
      </c>
      <c r="N992" s="2" t="s">
        <v>1371</v>
      </c>
      <c r="O992" s="2" t="s">
        <v>188</v>
      </c>
      <c r="P992" s="2" t="s">
        <v>192</v>
      </c>
      <c r="Q992" s="2" t="s">
        <v>191</v>
      </c>
      <c r="R992" s="2">
        <v>1</v>
      </c>
      <c r="S992" s="2">
        <v>50</v>
      </c>
      <c r="T992" s="2">
        <v>11.5</v>
      </c>
      <c r="U992" s="2">
        <v>61.5</v>
      </c>
      <c r="V992" s="2">
        <f>S992*50%</f>
        <v>25</v>
      </c>
      <c r="W992" s="5">
        <f t="shared" si="104"/>
        <v>0.5</v>
      </c>
      <c r="Y992" s="2" t="s">
        <v>118</v>
      </c>
      <c r="Z992" s="2" t="s">
        <v>191</v>
      </c>
      <c r="AE992" s="2">
        <f t="shared" si="99"/>
        <v>0</v>
      </c>
      <c r="AI992" s="2">
        <f t="shared" si="100"/>
        <v>0</v>
      </c>
      <c r="AJ992" s="2">
        <f t="shared" si="101"/>
        <v>25</v>
      </c>
      <c r="AK992" s="5">
        <f t="shared" si="103"/>
        <v>0.5</v>
      </c>
    </row>
    <row r="993" spans="1:37" x14ac:dyDescent="0.2">
      <c r="A993" s="2">
        <v>2025</v>
      </c>
      <c r="B993" s="2">
        <v>5</v>
      </c>
      <c r="C993" s="2" t="s">
        <v>1015</v>
      </c>
      <c r="O993" s="2" t="s">
        <v>283</v>
      </c>
      <c r="P993" s="2" t="s">
        <v>404</v>
      </c>
      <c r="Q993" s="2" t="s">
        <v>405</v>
      </c>
      <c r="R993" s="2">
        <v>5</v>
      </c>
      <c r="S993" s="2">
        <v>145</v>
      </c>
      <c r="T993" s="2">
        <v>33.35</v>
      </c>
      <c r="U993" s="2">
        <v>178.35</v>
      </c>
      <c r="W993" s="5">
        <f t="shared" si="104"/>
        <v>1</v>
      </c>
      <c r="Y993" s="2" t="s">
        <v>3256</v>
      </c>
      <c r="AE993" s="2">
        <f t="shared" si="99"/>
        <v>0</v>
      </c>
      <c r="AI993" s="2">
        <f t="shared" si="100"/>
        <v>0</v>
      </c>
      <c r="AJ993" s="2">
        <f t="shared" si="101"/>
        <v>145</v>
      </c>
      <c r="AK993" s="5">
        <f t="shared" si="103"/>
        <v>1</v>
      </c>
    </row>
    <row r="994" spans="1:37" x14ac:dyDescent="0.2">
      <c r="A994" s="2">
        <v>2025</v>
      </c>
      <c r="B994" s="2">
        <v>5</v>
      </c>
      <c r="C994" s="2" t="s">
        <v>1372</v>
      </c>
      <c r="O994" s="2" t="s">
        <v>43</v>
      </c>
      <c r="P994" s="2" t="s">
        <v>1373</v>
      </c>
      <c r="Q994" s="2" t="s">
        <v>1374</v>
      </c>
      <c r="R994" s="2">
        <v>2</v>
      </c>
      <c r="S994" s="2">
        <v>46</v>
      </c>
      <c r="T994" s="2">
        <v>10.58</v>
      </c>
      <c r="U994" s="2">
        <v>56.58</v>
      </c>
      <c r="W994" s="5">
        <f t="shared" si="104"/>
        <v>1</v>
      </c>
      <c r="Y994" s="2" t="s">
        <v>3256</v>
      </c>
      <c r="Z994" s="2" t="s">
        <v>46</v>
      </c>
      <c r="AA994" s="2" t="s">
        <v>47</v>
      </c>
      <c r="AB994" s="2" t="s">
        <v>48</v>
      </c>
      <c r="AE994" s="2">
        <f t="shared" si="99"/>
        <v>0</v>
      </c>
      <c r="AI994" s="2">
        <f t="shared" si="100"/>
        <v>0</v>
      </c>
      <c r="AJ994" s="2">
        <f t="shared" si="101"/>
        <v>46</v>
      </c>
      <c r="AK994" s="5">
        <f t="shared" si="103"/>
        <v>1</v>
      </c>
    </row>
    <row r="995" spans="1:37" x14ac:dyDescent="0.2">
      <c r="A995" s="2">
        <v>2025</v>
      </c>
      <c r="B995" s="2">
        <v>5</v>
      </c>
      <c r="C995" s="2" t="s">
        <v>1372</v>
      </c>
      <c r="O995" s="2" t="s">
        <v>43</v>
      </c>
      <c r="P995" s="2" t="s">
        <v>161</v>
      </c>
      <c r="Q995" s="2" t="s">
        <v>162</v>
      </c>
      <c r="R995" s="2">
        <v>1</v>
      </c>
      <c r="S995" s="2">
        <v>7</v>
      </c>
      <c r="T995" s="2">
        <v>1.61</v>
      </c>
      <c r="U995" s="2">
        <v>8.61</v>
      </c>
      <c r="V995" s="2">
        <f>3.7358*R995</f>
        <v>3.7357999999999998</v>
      </c>
      <c r="W995" s="5">
        <f t="shared" si="104"/>
        <v>0.46631428571428574</v>
      </c>
      <c r="Y995" s="2" t="s">
        <v>3256</v>
      </c>
      <c r="Z995" s="2" t="s">
        <v>46</v>
      </c>
      <c r="AA995" s="2" t="s">
        <v>47</v>
      </c>
      <c r="AB995" s="2" t="s">
        <v>48</v>
      </c>
      <c r="AE995" s="2">
        <f t="shared" si="99"/>
        <v>0</v>
      </c>
      <c r="AF995" s="2">
        <v>3.7357999999999998</v>
      </c>
      <c r="AG995" s="2">
        <v>9</v>
      </c>
      <c r="AI995" s="2">
        <f t="shared" si="100"/>
        <v>0</v>
      </c>
      <c r="AJ995" s="2">
        <f t="shared" si="101"/>
        <v>3.2642000000000002</v>
      </c>
      <c r="AK995" s="5">
        <f t="shared" si="103"/>
        <v>0.46631428571428574</v>
      </c>
    </row>
    <row r="996" spans="1:37" x14ac:dyDescent="0.2">
      <c r="A996" s="2">
        <v>2025</v>
      </c>
      <c r="B996" s="2">
        <v>5</v>
      </c>
      <c r="C996" s="2" t="s">
        <v>1372</v>
      </c>
      <c r="O996" s="2" t="s">
        <v>43</v>
      </c>
      <c r="P996" s="2" t="s">
        <v>62</v>
      </c>
      <c r="Q996" s="2" t="s">
        <v>63</v>
      </c>
      <c r="R996" s="2">
        <v>1000</v>
      </c>
      <c r="S996" s="2">
        <v>110</v>
      </c>
      <c r="T996" s="2">
        <v>25.3</v>
      </c>
      <c r="U996" s="2">
        <v>135.30000000000001</v>
      </c>
      <c r="V996" s="2">
        <f>0.082*R996</f>
        <v>82</v>
      </c>
      <c r="W996" s="5">
        <f t="shared" si="104"/>
        <v>0.25454545454545452</v>
      </c>
      <c r="Y996" s="2" t="s">
        <v>3256</v>
      </c>
      <c r="Z996" s="2" t="s">
        <v>46</v>
      </c>
      <c r="AA996" s="2" t="s">
        <v>61</v>
      </c>
      <c r="AB996" s="2" t="s">
        <v>58</v>
      </c>
      <c r="AE996" s="2">
        <f t="shared" si="99"/>
        <v>0</v>
      </c>
      <c r="AF996" s="2">
        <v>8.1999999999999993</v>
      </c>
      <c r="AG996" s="2">
        <v>13</v>
      </c>
      <c r="AI996" s="2">
        <f t="shared" si="100"/>
        <v>0</v>
      </c>
      <c r="AJ996" s="2">
        <f t="shared" si="101"/>
        <v>28</v>
      </c>
      <c r="AK996" s="5">
        <f t="shared" si="103"/>
        <v>0.25454545454545452</v>
      </c>
    </row>
    <row r="997" spans="1:37" x14ac:dyDescent="0.2">
      <c r="A997" s="2">
        <v>2025</v>
      </c>
      <c r="B997" s="2">
        <v>5</v>
      </c>
      <c r="C997" s="2" t="s">
        <v>384</v>
      </c>
      <c r="D997" s="2" t="s">
        <v>38</v>
      </c>
      <c r="E997" s="2" t="s">
        <v>39</v>
      </c>
      <c r="F997" s="2">
        <v>212196260</v>
      </c>
      <c r="G997" s="2" t="s">
        <v>110</v>
      </c>
      <c r="H997" s="2" t="s">
        <v>385</v>
      </c>
      <c r="I997" s="2" t="s">
        <v>386</v>
      </c>
      <c r="J997" s="2">
        <v>926769894</v>
      </c>
      <c r="K997" s="2" t="s">
        <v>113</v>
      </c>
      <c r="L997" s="2" t="s">
        <v>40</v>
      </c>
      <c r="N997" s="2" t="s">
        <v>1375</v>
      </c>
      <c r="O997" s="2" t="s">
        <v>85</v>
      </c>
      <c r="P997" s="2" t="s">
        <v>1376</v>
      </c>
      <c r="Q997" s="2" t="s">
        <v>1377</v>
      </c>
      <c r="R997" s="2">
        <v>1</v>
      </c>
      <c r="S997" s="2">
        <v>66</v>
      </c>
      <c r="T997" s="2">
        <v>15.18</v>
      </c>
      <c r="U997" s="2">
        <v>81.180000000000007</v>
      </c>
      <c r="V997" s="2">
        <v>46.2</v>
      </c>
      <c r="W997" s="5">
        <f t="shared" si="104"/>
        <v>0.29999999999999993</v>
      </c>
      <c r="Y997" s="2" t="s">
        <v>3256</v>
      </c>
      <c r="Z997" s="2" t="s">
        <v>72</v>
      </c>
      <c r="AA997" s="2" t="s">
        <v>85</v>
      </c>
      <c r="AB997" s="2" t="s">
        <v>85</v>
      </c>
      <c r="AE997" s="2">
        <f t="shared" si="99"/>
        <v>0</v>
      </c>
      <c r="AF997" s="2">
        <v>46.2</v>
      </c>
      <c r="AI997" s="2">
        <f t="shared" si="100"/>
        <v>0</v>
      </c>
      <c r="AJ997" s="2">
        <f t="shared" si="101"/>
        <v>19.799999999999997</v>
      </c>
      <c r="AK997" s="5">
        <f t="shared" si="103"/>
        <v>0.29999999999999993</v>
      </c>
    </row>
    <row r="998" spans="1:37" x14ac:dyDescent="0.2">
      <c r="A998" s="2">
        <v>2025</v>
      </c>
      <c r="B998" s="2">
        <v>5</v>
      </c>
      <c r="C998" s="2" t="s">
        <v>384</v>
      </c>
      <c r="D998" s="2" t="s">
        <v>38</v>
      </c>
      <c r="E998" s="2" t="s">
        <v>39</v>
      </c>
      <c r="F998" s="2">
        <v>212196260</v>
      </c>
      <c r="G998" s="2" t="s">
        <v>110</v>
      </c>
      <c r="H998" s="2" t="s">
        <v>385</v>
      </c>
      <c r="I998" s="2" t="s">
        <v>386</v>
      </c>
      <c r="J998" s="2">
        <v>926769894</v>
      </c>
      <c r="K998" s="2" t="s">
        <v>113</v>
      </c>
      <c r="L998" s="2" t="s">
        <v>40</v>
      </c>
      <c r="N998" s="2" t="s">
        <v>1375</v>
      </c>
      <c r="O998" s="2" t="s">
        <v>170</v>
      </c>
      <c r="P998" s="2" t="s">
        <v>171</v>
      </c>
      <c r="Q998" s="2" t="s">
        <v>171</v>
      </c>
      <c r="R998" s="2">
        <v>1</v>
      </c>
      <c r="S998" s="2">
        <v>5</v>
      </c>
      <c r="T998" s="2">
        <v>1.1499999999999999</v>
      </c>
      <c r="U998" s="2">
        <v>6.15</v>
      </c>
      <c r="W998" s="5">
        <f t="shared" si="104"/>
        <v>1</v>
      </c>
      <c r="Y998" s="2" t="s">
        <v>170</v>
      </c>
      <c r="Z998" s="2" t="s">
        <v>170</v>
      </c>
      <c r="AE998" s="2">
        <f t="shared" si="99"/>
        <v>0</v>
      </c>
      <c r="AI998" s="2">
        <f t="shared" si="100"/>
        <v>0</v>
      </c>
      <c r="AJ998" s="2">
        <f t="shared" si="101"/>
        <v>5</v>
      </c>
      <c r="AK998" s="5">
        <f t="shared" si="103"/>
        <v>1</v>
      </c>
    </row>
    <row r="999" spans="1:37" x14ac:dyDescent="0.2">
      <c r="A999" s="2">
        <v>2025</v>
      </c>
      <c r="B999" s="2">
        <v>5</v>
      </c>
      <c r="C999" s="2" t="s">
        <v>781</v>
      </c>
      <c r="D999" s="2" t="s">
        <v>38</v>
      </c>
      <c r="E999" s="2" t="s">
        <v>39</v>
      </c>
      <c r="F999" s="2">
        <v>507324560</v>
      </c>
      <c r="G999" s="2" t="s">
        <v>40</v>
      </c>
      <c r="H999" s="2" t="s">
        <v>782</v>
      </c>
      <c r="I999" s="2" t="s">
        <v>783</v>
      </c>
      <c r="K999" s="2" t="s">
        <v>340</v>
      </c>
      <c r="L999" s="2" t="s">
        <v>40</v>
      </c>
      <c r="N999" s="2" t="s">
        <v>1378</v>
      </c>
      <c r="O999" s="2" t="s">
        <v>115</v>
      </c>
      <c r="P999" s="2" t="s">
        <v>1160</v>
      </c>
      <c r="Q999" s="2" t="s">
        <v>1161</v>
      </c>
      <c r="R999" s="2">
        <v>1</v>
      </c>
      <c r="S999" s="2">
        <v>252.67</v>
      </c>
      <c r="T999" s="2">
        <v>58.114100000000001</v>
      </c>
      <c r="U999" s="2">
        <v>310.78410000000002</v>
      </c>
      <c r="W999" s="5">
        <f t="shared" si="104"/>
        <v>1</v>
      </c>
      <c r="Y999" s="2" t="s">
        <v>118</v>
      </c>
      <c r="AE999" s="2">
        <f t="shared" si="99"/>
        <v>0</v>
      </c>
      <c r="AI999" s="2">
        <f t="shared" si="100"/>
        <v>0</v>
      </c>
      <c r="AJ999" s="2">
        <f t="shared" si="101"/>
        <v>252.67</v>
      </c>
      <c r="AK999" s="5">
        <f t="shared" si="103"/>
        <v>1</v>
      </c>
    </row>
    <row r="1000" spans="1:37" x14ac:dyDescent="0.2">
      <c r="A1000" s="2">
        <v>2025</v>
      </c>
      <c r="B1000" s="2">
        <v>5</v>
      </c>
      <c r="C1000" s="2" t="s">
        <v>1379</v>
      </c>
      <c r="O1000" s="2" t="s">
        <v>73</v>
      </c>
      <c r="P1000" s="2" t="s">
        <v>326</v>
      </c>
      <c r="Q1000" s="2" t="s">
        <v>80</v>
      </c>
      <c r="R1000" s="2">
        <v>1</v>
      </c>
      <c r="S1000" s="2">
        <v>220</v>
      </c>
      <c r="T1000" s="2">
        <v>50.6</v>
      </c>
      <c r="U1000" s="2">
        <v>270.60000000000002</v>
      </c>
      <c r="V1000" s="2">
        <f>110.68*R1000</f>
        <v>110.68</v>
      </c>
      <c r="W1000" s="5">
        <f t="shared" si="104"/>
        <v>0.49690909090909086</v>
      </c>
      <c r="Y1000" s="2" t="s">
        <v>3256</v>
      </c>
      <c r="Z1000" s="2" t="s">
        <v>76</v>
      </c>
      <c r="AA1000" s="2" t="s">
        <v>77</v>
      </c>
      <c r="AB1000" s="2" t="s">
        <v>78</v>
      </c>
      <c r="AE1000" s="2">
        <f t="shared" si="99"/>
        <v>0</v>
      </c>
      <c r="AF1000" s="2">
        <v>110.68</v>
      </c>
      <c r="AG1000" s="2">
        <v>210</v>
      </c>
      <c r="AI1000" s="2">
        <f t="shared" si="100"/>
        <v>0</v>
      </c>
      <c r="AJ1000" s="2">
        <f t="shared" si="101"/>
        <v>109.32</v>
      </c>
      <c r="AK1000" s="5">
        <f t="shared" si="103"/>
        <v>0.49690909090909086</v>
      </c>
    </row>
    <row r="1001" spans="1:37" x14ac:dyDescent="0.2">
      <c r="A1001" s="2">
        <v>2025</v>
      </c>
      <c r="B1001" s="2">
        <v>5</v>
      </c>
      <c r="C1001" s="2" t="s">
        <v>1379</v>
      </c>
      <c r="O1001" s="2" t="s">
        <v>94</v>
      </c>
      <c r="P1001" s="2" t="s">
        <v>95</v>
      </c>
      <c r="Q1001" s="2" t="s">
        <v>96</v>
      </c>
      <c r="R1001" s="2">
        <v>1</v>
      </c>
      <c r="S1001" s="2">
        <v>1.1399999999999999</v>
      </c>
      <c r="T1001" s="2">
        <v>0.26219999999999999</v>
      </c>
      <c r="U1001" s="2">
        <v>1.4021999999999999</v>
      </c>
      <c r="V1001" s="2">
        <v>1.1399999999999999</v>
      </c>
      <c r="W1001" s="5">
        <f t="shared" si="104"/>
        <v>0</v>
      </c>
      <c r="Y1001" s="2" t="s">
        <v>3256</v>
      </c>
      <c r="Z1001" s="2" t="s">
        <v>97</v>
      </c>
      <c r="AA1001" s="2" t="s">
        <v>77</v>
      </c>
      <c r="AB1001" s="2" t="s">
        <v>94</v>
      </c>
      <c r="AE1001" s="2">
        <f t="shared" si="99"/>
        <v>0</v>
      </c>
      <c r="AI1001" s="2">
        <f t="shared" si="100"/>
        <v>0</v>
      </c>
      <c r="AJ1001" s="2">
        <f t="shared" si="101"/>
        <v>0</v>
      </c>
      <c r="AK1001" s="5">
        <f t="shared" si="103"/>
        <v>0</v>
      </c>
    </row>
    <row r="1002" spans="1:37" x14ac:dyDescent="0.2">
      <c r="A1002" s="2">
        <v>2025</v>
      </c>
      <c r="B1002" s="2">
        <v>5</v>
      </c>
      <c r="C1002" s="2" t="s">
        <v>1017</v>
      </c>
      <c r="O1002" s="2" t="s">
        <v>283</v>
      </c>
      <c r="P1002" s="2" t="s">
        <v>1380</v>
      </c>
      <c r="Q1002" s="2" t="s">
        <v>1381</v>
      </c>
      <c r="R1002" s="2">
        <v>1</v>
      </c>
      <c r="S1002" s="2">
        <v>125</v>
      </c>
      <c r="T1002" s="2">
        <v>28.75</v>
      </c>
      <c r="U1002" s="2">
        <v>153.75</v>
      </c>
      <c r="W1002" s="5">
        <f t="shared" si="104"/>
        <v>1</v>
      </c>
      <c r="Y1002" s="2" t="s">
        <v>3256</v>
      </c>
      <c r="AE1002" s="2">
        <f t="shared" si="99"/>
        <v>0</v>
      </c>
      <c r="AI1002" s="2">
        <f t="shared" si="100"/>
        <v>0</v>
      </c>
      <c r="AJ1002" s="2">
        <f t="shared" si="101"/>
        <v>125</v>
      </c>
      <c r="AK1002" s="5">
        <f t="shared" si="103"/>
        <v>1</v>
      </c>
    </row>
    <row r="1003" spans="1:37" x14ac:dyDescent="0.2">
      <c r="A1003" s="2">
        <v>2025</v>
      </c>
      <c r="B1003" s="2">
        <v>5</v>
      </c>
      <c r="C1003" s="2" t="s">
        <v>787</v>
      </c>
      <c r="D1003" s="2" t="s">
        <v>38</v>
      </c>
      <c r="E1003" s="2" t="s">
        <v>39</v>
      </c>
      <c r="F1003" s="2">
        <v>510219675</v>
      </c>
      <c r="G1003" s="2" t="s">
        <v>40</v>
      </c>
      <c r="H1003" s="2" t="s">
        <v>788</v>
      </c>
      <c r="I1003" s="2" t="s">
        <v>789</v>
      </c>
      <c r="J1003" s="2">
        <v>917341136</v>
      </c>
      <c r="K1003" s="2" t="s">
        <v>100</v>
      </c>
      <c r="O1003" s="2" t="s">
        <v>43</v>
      </c>
      <c r="P1003" s="2" t="s">
        <v>251</v>
      </c>
      <c r="Q1003" s="2" t="s">
        <v>252</v>
      </c>
      <c r="R1003" s="2">
        <v>1</v>
      </c>
      <c r="S1003" s="2">
        <v>60</v>
      </c>
      <c r="T1003" s="2">
        <v>13.8</v>
      </c>
      <c r="U1003" s="2">
        <v>73.8</v>
      </c>
      <c r="W1003" s="5">
        <f t="shared" si="104"/>
        <v>1</v>
      </c>
      <c r="Y1003" s="2" t="s">
        <v>3256</v>
      </c>
      <c r="Z1003" s="2" t="s">
        <v>46</v>
      </c>
      <c r="AA1003" s="2" t="s">
        <v>91</v>
      </c>
      <c r="AB1003" s="2" t="s">
        <v>58</v>
      </c>
      <c r="AE1003" s="2">
        <f t="shared" si="99"/>
        <v>0</v>
      </c>
      <c r="AI1003" s="2">
        <f t="shared" si="100"/>
        <v>0</v>
      </c>
      <c r="AJ1003" s="2">
        <f t="shared" si="101"/>
        <v>60</v>
      </c>
      <c r="AK1003" s="5">
        <f t="shared" si="103"/>
        <v>1</v>
      </c>
    </row>
    <row r="1004" spans="1:37" x14ac:dyDescent="0.2">
      <c r="A1004" s="2">
        <v>2025</v>
      </c>
      <c r="B1004" s="2">
        <v>5</v>
      </c>
      <c r="C1004" s="2" t="s">
        <v>419</v>
      </c>
      <c r="D1004" s="2" t="s">
        <v>38</v>
      </c>
      <c r="E1004" s="2" t="s">
        <v>39</v>
      </c>
      <c r="F1004" s="2">
        <v>219908800</v>
      </c>
      <c r="G1004" s="2" t="s">
        <v>41</v>
      </c>
      <c r="H1004" s="2" t="s">
        <v>420</v>
      </c>
      <c r="I1004" s="2" t="s">
        <v>421</v>
      </c>
      <c r="K1004" s="2" t="s">
        <v>422</v>
      </c>
      <c r="L1004" s="2" t="s">
        <v>41</v>
      </c>
      <c r="O1004" s="2" t="s">
        <v>43</v>
      </c>
      <c r="P1004" s="2" t="s">
        <v>53</v>
      </c>
      <c r="Q1004" s="2" t="s">
        <v>54</v>
      </c>
      <c r="R1004" s="2">
        <v>2</v>
      </c>
      <c r="S1004" s="2">
        <v>19.2</v>
      </c>
      <c r="T1004" s="2">
        <v>4.4160000000000004</v>
      </c>
      <c r="U1004" s="2">
        <v>23.616</v>
      </c>
      <c r="V1004" s="2">
        <f>5.2973*R1004</f>
        <v>10.5946</v>
      </c>
      <c r="W1004" s="5">
        <f t="shared" si="104"/>
        <v>0.44819791666666664</v>
      </c>
      <c r="Y1004" s="2" t="s">
        <v>3256</v>
      </c>
      <c r="Z1004" s="2" t="s">
        <v>46</v>
      </c>
      <c r="AA1004" s="2" t="s">
        <v>47</v>
      </c>
      <c r="AB1004" s="2" t="s">
        <v>48</v>
      </c>
      <c r="AE1004" s="2">
        <f t="shared" si="99"/>
        <v>0</v>
      </c>
      <c r="AF1004" s="2">
        <v>5.2972999999999999</v>
      </c>
      <c r="AG1004" s="2">
        <v>10.8</v>
      </c>
      <c r="AI1004" s="2">
        <f t="shared" si="100"/>
        <v>0</v>
      </c>
      <c r="AJ1004" s="2">
        <f t="shared" si="101"/>
        <v>8.6053999999999995</v>
      </c>
      <c r="AK1004" s="5">
        <f t="shared" si="103"/>
        <v>0.44819791666666664</v>
      </c>
    </row>
    <row r="1005" spans="1:37" x14ac:dyDescent="0.2">
      <c r="A1005" s="2">
        <v>2025</v>
      </c>
      <c r="B1005" s="2">
        <v>5</v>
      </c>
      <c r="C1005" s="2" t="s">
        <v>1382</v>
      </c>
      <c r="O1005" s="2" t="s">
        <v>43</v>
      </c>
      <c r="P1005" s="2" t="s">
        <v>66</v>
      </c>
      <c r="Q1005" s="2" t="s">
        <v>67</v>
      </c>
      <c r="R1005" s="2">
        <v>2</v>
      </c>
      <c r="S1005" s="2">
        <v>50.4</v>
      </c>
      <c r="T1005" s="2">
        <v>11.592000000000001</v>
      </c>
      <c r="U1005" s="2">
        <v>61.991999999999997</v>
      </c>
      <c r="V1005" s="2">
        <f>15.0203*R1005</f>
        <v>30.040600000000001</v>
      </c>
      <c r="W1005" s="5">
        <f t="shared" si="104"/>
        <v>0.40395634920634915</v>
      </c>
      <c r="Y1005" s="2" t="s">
        <v>3256</v>
      </c>
      <c r="Z1005" s="2" t="s">
        <v>46</v>
      </c>
      <c r="AA1005" s="2" t="s">
        <v>68</v>
      </c>
      <c r="AB1005" s="2" t="s">
        <v>58</v>
      </c>
      <c r="AE1005" s="2">
        <f t="shared" si="99"/>
        <v>0</v>
      </c>
      <c r="AF1005" s="2">
        <v>15.020300000000001</v>
      </c>
      <c r="AG1005" s="2">
        <v>27.6</v>
      </c>
      <c r="AI1005" s="2">
        <f t="shared" si="100"/>
        <v>0</v>
      </c>
      <c r="AJ1005" s="2">
        <f t="shared" si="101"/>
        <v>20.359399999999997</v>
      </c>
      <c r="AK1005" s="5">
        <f t="shared" si="103"/>
        <v>0.40395634920634915</v>
      </c>
    </row>
    <row r="1006" spans="1:37" x14ac:dyDescent="0.2">
      <c r="A1006" s="2">
        <v>2025</v>
      </c>
      <c r="B1006" s="2">
        <v>5</v>
      </c>
      <c r="C1006" s="2" t="s">
        <v>1382</v>
      </c>
      <c r="O1006" s="2" t="s">
        <v>40</v>
      </c>
      <c r="P1006" s="2" t="s">
        <v>364</v>
      </c>
      <c r="Q1006" s="2" t="s">
        <v>365</v>
      </c>
      <c r="R1006" s="2">
        <v>1</v>
      </c>
      <c r="S1006" s="2">
        <v>32.49</v>
      </c>
      <c r="T1006" s="2">
        <v>7.4727000000000006</v>
      </c>
      <c r="U1006" s="2">
        <v>39.962700000000012</v>
      </c>
      <c r="W1006" s="5">
        <f t="shared" si="104"/>
        <v>1</v>
      </c>
      <c r="Y1006" s="2" t="s">
        <v>120</v>
      </c>
      <c r="AE1006" s="2">
        <f t="shared" si="99"/>
        <v>0</v>
      </c>
      <c r="AI1006" s="2">
        <f t="shared" si="100"/>
        <v>0</v>
      </c>
      <c r="AJ1006" s="2">
        <f t="shared" si="101"/>
        <v>32.49</v>
      </c>
      <c r="AK1006" s="5">
        <f t="shared" si="103"/>
        <v>1</v>
      </c>
    </row>
    <row r="1007" spans="1:37" x14ac:dyDescent="0.2">
      <c r="A1007" s="2">
        <v>2025</v>
      </c>
      <c r="B1007" s="2">
        <v>5</v>
      </c>
      <c r="C1007" s="2" t="s">
        <v>426</v>
      </c>
      <c r="D1007" s="2" t="s">
        <v>99</v>
      </c>
      <c r="E1007" s="2" t="s">
        <v>39</v>
      </c>
      <c r="F1007" s="2">
        <v>503523470</v>
      </c>
      <c r="G1007" s="2" t="s">
        <v>40</v>
      </c>
      <c r="H1007" s="2" t="s">
        <v>427</v>
      </c>
      <c r="I1007" s="2" t="s">
        <v>428</v>
      </c>
      <c r="K1007" s="2" t="s">
        <v>202</v>
      </c>
      <c r="L1007" s="2" t="s">
        <v>81</v>
      </c>
      <c r="O1007" s="2" t="s">
        <v>43</v>
      </c>
      <c r="P1007" s="2" t="s">
        <v>66</v>
      </c>
      <c r="Q1007" s="2" t="s">
        <v>67</v>
      </c>
      <c r="R1007" s="2">
        <v>1</v>
      </c>
      <c r="S1007" s="2">
        <v>25.2</v>
      </c>
      <c r="T1007" s="2">
        <v>5.7960000000000003</v>
      </c>
      <c r="U1007" s="2">
        <v>30.995999999999999</v>
      </c>
      <c r="V1007" s="2">
        <f>15.0203*R1007</f>
        <v>15.020300000000001</v>
      </c>
      <c r="W1007" s="5">
        <f t="shared" si="104"/>
        <v>0.40395634920634915</v>
      </c>
      <c r="Y1007" s="2" t="s">
        <v>3256</v>
      </c>
      <c r="Z1007" s="2" t="s">
        <v>46</v>
      </c>
      <c r="AA1007" s="2" t="s">
        <v>68</v>
      </c>
      <c r="AB1007" s="2" t="s">
        <v>58</v>
      </c>
      <c r="AE1007" s="2">
        <f t="shared" si="99"/>
        <v>0</v>
      </c>
      <c r="AF1007" s="2">
        <v>15.020300000000001</v>
      </c>
      <c r="AG1007" s="2">
        <v>27.6</v>
      </c>
      <c r="AI1007" s="2">
        <f t="shared" si="100"/>
        <v>0</v>
      </c>
      <c r="AJ1007" s="2">
        <f t="shared" si="101"/>
        <v>10.179699999999999</v>
      </c>
      <c r="AK1007" s="5">
        <f t="shared" si="103"/>
        <v>0.40395634920634915</v>
      </c>
    </row>
    <row r="1008" spans="1:37" x14ac:dyDescent="0.2">
      <c r="A1008" s="2">
        <v>2025</v>
      </c>
      <c r="B1008" s="2">
        <v>5</v>
      </c>
      <c r="C1008" s="2" t="s">
        <v>429</v>
      </c>
      <c r="D1008" s="2" t="s">
        <v>99</v>
      </c>
      <c r="E1008" s="2" t="s">
        <v>39</v>
      </c>
      <c r="F1008" s="2">
        <v>510613888</v>
      </c>
      <c r="G1008" s="2" t="s">
        <v>40</v>
      </c>
      <c r="H1008" s="2" t="s">
        <v>430</v>
      </c>
      <c r="I1008" s="2" t="s">
        <v>431</v>
      </c>
      <c r="K1008" s="2" t="s">
        <v>100</v>
      </c>
      <c r="L1008" s="2" t="s">
        <v>81</v>
      </c>
      <c r="O1008" s="2" t="s">
        <v>43</v>
      </c>
      <c r="P1008" s="2" t="s">
        <v>49</v>
      </c>
      <c r="Q1008" s="2" t="s">
        <v>50</v>
      </c>
      <c r="R1008" s="2">
        <v>1</v>
      </c>
      <c r="S1008" s="2">
        <v>12</v>
      </c>
      <c r="T1008" s="2">
        <v>2.76</v>
      </c>
      <c r="U1008" s="2">
        <v>14.76</v>
      </c>
      <c r="V1008" s="2">
        <f>6.6267*R1008</f>
        <v>6.6266999999999996</v>
      </c>
      <c r="W1008" s="5">
        <f t="shared" si="104"/>
        <v>0.44777500000000003</v>
      </c>
      <c r="Y1008" s="2" t="s">
        <v>3256</v>
      </c>
      <c r="Z1008" s="2" t="s">
        <v>46</v>
      </c>
      <c r="AA1008" s="2" t="s">
        <v>47</v>
      </c>
      <c r="AB1008" s="2" t="s">
        <v>48</v>
      </c>
      <c r="AE1008" s="2">
        <f t="shared" si="99"/>
        <v>0</v>
      </c>
      <c r="AF1008" s="2">
        <v>6.6266999999999996</v>
      </c>
      <c r="AG1008" s="2">
        <v>12</v>
      </c>
      <c r="AI1008" s="2">
        <f t="shared" si="100"/>
        <v>0</v>
      </c>
      <c r="AJ1008" s="2">
        <f t="shared" si="101"/>
        <v>5.3733000000000004</v>
      </c>
      <c r="AK1008" s="5">
        <f t="shared" si="103"/>
        <v>0.44777500000000003</v>
      </c>
    </row>
    <row r="1009" spans="1:37" x14ac:dyDescent="0.2">
      <c r="A1009" s="2">
        <v>2025</v>
      </c>
      <c r="B1009" s="2">
        <v>5</v>
      </c>
      <c r="C1009" s="2" t="s">
        <v>1383</v>
      </c>
      <c r="O1009" s="2" t="s">
        <v>115</v>
      </c>
      <c r="P1009" s="2" t="s">
        <v>1384</v>
      </c>
      <c r="Q1009" s="2" t="s">
        <v>1385</v>
      </c>
      <c r="R1009" s="2">
        <v>1</v>
      </c>
      <c r="S1009" s="2">
        <v>50.35</v>
      </c>
      <c r="T1009" s="2">
        <v>11.580500000000001</v>
      </c>
      <c r="U1009" s="2">
        <v>61.930500000000002</v>
      </c>
      <c r="W1009" s="5">
        <f t="shared" si="104"/>
        <v>1</v>
      </c>
      <c r="Y1009" s="2" t="s">
        <v>118</v>
      </c>
      <c r="AE1009" s="2">
        <f t="shared" si="99"/>
        <v>0</v>
      </c>
      <c r="AI1009" s="2">
        <f t="shared" si="100"/>
        <v>0</v>
      </c>
      <c r="AJ1009" s="2">
        <f t="shared" si="101"/>
        <v>50.35</v>
      </c>
      <c r="AK1009" s="5">
        <f t="shared" si="103"/>
        <v>1</v>
      </c>
    </row>
    <row r="1010" spans="1:37" x14ac:dyDescent="0.2">
      <c r="A1010" s="2">
        <v>2025</v>
      </c>
      <c r="B1010" s="2">
        <v>5</v>
      </c>
      <c r="C1010" s="2" t="s">
        <v>1383</v>
      </c>
      <c r="L1010" s="2" t="s">
        <v>40</v>
      </c>
      <c r="O1010" s="2" t="s">
        <v>188</v>
      </c>
      <c r="P1010" s="2" t="s">
        <v>189</v>
      </c>
      <c r="Q1010" s="2" t="s">
        <v>190</v>
      </c>
      <c r="R1010" s="2">
        <v>1</v>
      </c>
      <c r="S1010" s="2">
        <v>54</v>
      </c>
      <c r="T1010" s="2">
        <v>12.42</v>
      </c>
      <c r="U1010" s="2">
        <v>66.42</v>
      </c>
      <c r="W1010" s="5">
        <f t="shared" si="104"/>
        <v>1</v>
      </c>
      <c r="Y1010" s="2" t="s">
        <v>118</v>
      </c>
      <c r="Z1010" s="2" t="s">
        <v>191</v>
      </c>
      <c r="AE1010" s="2">
        <f t="shared" si="99"/>
        <v>0</v>
      </c>
      <c r="AI1010" s="2">
        <f t="shared" si="100"/>
        <v>0</v>
      </c>
      <c r="AJ1010" s="2">
        <f t="shared" si="101"/>
        <v>54</v>
      </c>
      <c r="AK1010" s="5">
        <f t="shared" si="103"/>
        <v>1</v>
      </c>
    </row>
    <row r="1011" spans="1:37" x14ac:dyDescent="0.2">
      <c r="A1011" s="2">
        <v>2025</v>
      </c>
      <c r="B1011" s="2">
        <v>5</v>
      </c>
      <c r="C1011" s="2" t="s">
        <v>1383</v>
      </c>
      <c r="L1011" s="2" t="s">
        <v>40</v>
      </c>
      <c r="O1011" s="2" t="s">
        <v>188</v>
      </c>
      <c r="P1011" s="2" t="s">
        <v>192</v>
      </c>
      <c r="Q1011" s="2" t="s">
        <v>191</v>
      </c>
      <c r="R1011" s="2">
        <v>0.5</v>
      </c>
      <c r="S1011" s="2">
        <v>22.5</v>
      </c>
      <c r="T1011" s="2">
        <v>5.1749999999999998</v>
      </c>
      <c r="U1011" s="2">
        <v>27.675000000000001</v>
      </c>
      <c r="V1011" s="2">
        <f>S1011*50%</f>
        <v>11.25</v>
      </c>
      <c r="W1011" s="5">
        <f t="shared" si="104"/>
        <v>0.5</v>
      </c>
      <c r="Y1011" s="2" t="s">
        <v>118</v>
      </c>
      <c r="Z1011" s="2" t="s">
        <v>191</v>
      </c>
      <c r="AE1011" s="2">
        <f t="shared" si="99"/>
        <v>0</v>
      </c>
      <c r="AI1011" s="2">
        <f t="shared" si="100"/>
        <v>0</v>
      </c>
      <c r="AJ1011" s="2">
        <f t="shared" si="101"/>
        <v>11.25</v>
      </c>
      <c r="AK1011" s="5">
        <f t="shared" si="103"/>
        <v>0.5</v>
      </c>
    </row>
    <row r="1012" spans="1:37" x14ac:dyDescent="0.2">
      <c r="A1012" s="2">
        <v>2025</v>
      </c>
      <c r="B1012" s="2">
        <v>5</v>
      </c>
      <c r="C1012" s="2" t="s">
        <v>1386</v>
      </c>
      <c r="D1012" s="2" t="s">
        <v>38</v>
      </c>
      <c r="E1012" s="2" t="s">
        <v>39</v>
      </c>
      <c r="F1012" s="2">
        <v>503116670</v>
      </c>
      <c r="G1012" s="2" t="s">
        <v>41</v>
      </c>
      <c r="H1012" s="2" t="s">
        <v>1387</v>
      </c>
      <c r="I1012" s="2" t="s">
        <v>1388</v>
      </c>
      <c r="J1012" s="2">
        <v>962004640</v>
      </c>
      <c r="K1012" s="2" t="s">
        <v>422</v>
      </c>
      <c r="L1012" s="2" t="s">
        <v>81</v>
      </c>
      <c r="O1012" s="2" t="s">
        <v>73</v>
      </c>
      <c r="P1012" s="2" t="s">
        <v>74</v>
      </c>
      <c r="Q1012" s="2" t="s">
        <v>75</v>
      </c>
      <c r="R1012" s="2">
        <v>1</v>
      </c>
      <c r="S1012" s="2">
        <v>210</v>
      </c>
      <c r="T1012" s="2">
        <v>48.3</v>
      </c>
      <c r="U1012" s="2">
        <v>258.3</v>
      </c>
      <c r="V1012" s="2">
        <v>117.453</v>
      </c>
      <c r="W1012" s="5">
        <f t="shared" si="104"/>
        <v>0.44069999999999998</v>
      </c>
      <c r="Y1012" s="2" t="s">
        <v>3256</v>
      </c>
      <c r="Z1012" s="2" t="s">
        <v>76</v>
      </c>
      <c r="AA1012" s="2" t="s">
        <v>77</v>
      </c>
      <c r="AB1012" s="2" t="s">
        <v>78</v>
      </c>
      <c r="AE1012" s="2">
        <f t="shared" si="99"/>
        <v>0</v>
      </c>
      <c r="AF1012" s="2">
        <v>117.453</v>
      </c>
      <c r="AG1012" s="2">
        <v>220</v>
      </c>
      <c r="AI1012" s="2">
        <f t="shared" si="100"/>
        <v>0</v>
      </c>
      <c r="AJ1012" s="2">
        <f t="shared" si="101"/>
        <v>92.546999999999997</v>
      </c>
      <c r="AK1012" s="5">
        <f t="shared" si="103"/>
        <v>0.44069999999999998</v>
      </c>
    </row>
    <row r="1013" spans="1:37" x14ac:dyDescent="0.2">
      <c r="A1013" s="2">
        <v>2025</v>
      </c>
      <c r="B1013" s="2">
        <v>5</v>
      </c>
      <c r="C1013" s="2" t="s">
        <v>1386</v>
      </c>
      <c r="D1013" s="2" t="s">
        <v>38</v>
      </c>
      <c r="E1013" s="2" t="s">
        <v>39</v>
      </c>
      <c r="F1013" s="2">
        <v>503116670</v>
      </c>
      <c r="G1013" s="2" t="s">
        <v>41</v>
      </c>
      <c r="H1013" s="2" t="s">
        <v>1387</v>
      </c>
      <c r="I1013" s="2" t="s">
        <v>1388</v>
      </c>
      <c r="J1013" s="2">
        <v>962004640</v>
      </c>
      <c r="K1013" s="2" t="s">
        <v>422</v>
      </c>
      <c r="L1013" s="2" t="s">
        <v>81</v>
      </c>
      <c r="O1013" s="2" t="s">
        <v>94</v>
      </c>
      <c r="P1013" s="2" t="s">
        <v>95</v>
      </c>
      <c r="Q1013" s="2" t="s">
        <v>96</v>
      </c>
      <c r="R1013" s="2">
        <v>1</v>
      </c>
      <c r="S1013" s="2">
        <v>1.1399999999999999</v>
      </c>
      <c r="T1013" s="2">
        <v>0.26219999999999999</v>
      </c>
      <c r="U1013" s="2">
        <v>1.4021999999999999</v>
      </c>
      <c r="V1013" s="2">
        <v>1.1399999999999999</v>
      </c>
      <c r="W1013" s="5">
        <f t="shared" si="104"/>
        <v>0</v>
      </c>
      <c r="Y1013" s="2" t="s">
        <v>3256</v>
      </c>
      <c r="Z1013" s="2" t="s">
        <v>97</v>
      </c>
      <c r="AA1013" s="2" t="s">
        <v>77</v>
      </c>
      <c r="AB1013" s="2" t="s">
        <v>94</v>
      </c>
      <c r="AE1013" s="2">
        <f t="shared" si="99"/>
        <v>0</v>
      </c>
      <c r="AI1013" s="2">
        <f t="shared" si="100"/>
        <v>0</v>
      </c>
      <c r="AJ1013" s="2">
        <f t="shared" si="101"/>
        <v>0</v>
      </c>
      <c r="AK1013" s="5">
        <f t="shared" si="103"/>
        <v>0</v>
      </c>
    </row>
    <row r="1014" spans="1:37" x14ac:dyDescent="0.2">
      <c r="A1014" s="2">
        <v>2025</v>
      </c>
      <c r="B1014" s="2">
        <v>5</v>
      </c>
      <c r="C1014" s="2" t="s">
        <v>1389</v>
      </c>
      <c r="O1014" s="2" t="s">
        <v>73</v>
      </c>
      <c r="P1014" s="2" t="s">
        <v>1084</v>
      </c>
      <c r="Q1014" s="2" t="s">
        <v>84</v>
      </c>
      <c r="R1014" s="2">
        <v>1</v>
      </c>
      <c r="S1014" s="2">
        <v>260</v>
      </c>
      <c r="T1014" s="2">
        <v>59.8</v>
      </c>
      <c r="U1014" s="2">
        <v>319.8</v>
      </c>
      <c r="V1014" s="2">
        <v>159.54</v>
      </c>
      <c r="W1014" s="5">
        <f t="shared" si="104"/>
        <v>0.38638461538461544</v>
      </c>
      <c r="Y1014" s="2" t="s">
        <v>3256</v>
      </c>
      <c r="Z1014" s="2" t="s">
        <v>76</v>
      </c>
      <c r="AA1014" s="2" t="s">
        <v>77</v>
      </c>
      <c r="AB1014" s="2" t="s">
        <v>78</v>
      </c>
      <c r="AE1014" s="2">
        <f t="shared" si="99"/>
        <v>0</v>
      </c>
      <c r="AF1014" s="2">
        <f>144.14+15.4</f>
        <v>159.54</v>
      </c>
      <c r="AG1014" s="2">
        <v>280</v>
      </c>
      <c r="AI1014" s="2">
        <f t="shared" si="100"/>
        <v>0</v>
      </c>
      <c r="AJ1014" s="2">
        <f t="shared" si="101"/>
        <v>100.46000000000001</v>
      </c>
      <c r="AK1014" s="5">
        <f t="shared" si="103"/>
        <v>0.38638461538461544</v>
      </c>
    </row>
    <row r="1015" spans="1:37" x14ac:dyDescent="0.2">
      <c r="A1015" s="2">
        <v>2025</v>
      </c>
      <c r="B1015" s="2">
        <v>5</v>
      </c>
      <c r="C1015" s="2" t="s">
        <v>1389</v>
      </c>
      <c r="O1015" s="2" t="s">
        <v>94</v>
      </c>
      <c r="P1015" s="2" t="s">
        <v>95</v>
      </c>
      <c r="Q1015" s="2" t="s">
        <v>96</v>
      </c>
      <c r="R1015" s="2">
        <v>1</v>
      </c>
      <c r="S1015" s="2">
        <v>1.1399999999999999</v>
      </c>
      <c r="T1015" s="2">
        <v>0.26219999999999999</v>
      </c>
      <c r="U1015" s="2">
        <v>1.4021999999999999</v>
      </c>
      <c r="V1015" s="2">
        <v>1.1399999999999999</v>
      </c>
      <c r="W1015" s="5">
        <f t="shared" si="104"/>
        <v>0</v>
      </c>
      <c r="Y1015" s="2" t="s">
        <v>3256</v>
      </c>
      <c r="Z1015" s="2" t="s">
        <v>97</v>
      </c>
      <c r="AA1015" s="2" t="s">
        <v>77</v>
      </c>
      <c r="AB1015" s="2" t="s">
        <v>94</v>
      </c>
      <c r="AE1015" s="2">
        <f t="shared" si="99"/>
        <v>0</v>
      </c>
      <c r="AI1015" s="2">
        <f t="shared" si="100"/>
        <v>0</v>
      </c>
      <c r="AJ1015" s="2">
        <f t="shared" si="101"/>
        <v>0</v>
      </c>
      <c r="AK1015" s="5">
        <f t="shared" si="103"/>
        <v>0</v>
      </c>
    </row>
    <row r="1016" spans="1:37" x14ac:dyDescent="0.2">
      <c r="A1016" s="2">
        <v>2025</v>
      </c>
      <c r="B1016" s="2">
        <v>5</v>
      </c>
      <c r="C1016" s="2" t="s">
        <v>1251</v>
      </c>
      <c r="O1016" s="2" t="s">
        <v>1390</v>
      </c>
      <c r="P1016" s="2" t="s">
        <v>1391</v>
      </c>
      <c r="Q1016" s="2" t="s">
        <v>1392</v>
      </c>
      <c r="R1016" s="2">
        <v>4</v>
      </c>
      <c r="S1016" s="2">
        <v>340</v>
      </c>
      <c r="T1016" s="2">
        <v>78.2</v>
      </c>
      <c r="U1016" s="2">
        <v>418.2</v>
      </c>
      <c r="W1016" s="5">
        <f t="shared" si="104"/>
        <v>1</v>
      </c>
      <c r="Y1016" s="2" t="s">
        <v>3256</v>
      </c>
      <c r="Z1016" s="2" t="s">
        <v>1050</v>
      </c>
      <c r="AA1016" s="2" t="s">
        <v>1328</v>
      </c>
      <c r="AB1016" s="2" t="s">
        <v>1390</v>
      </c>
      <c r="AE1016" s="2">
        <f t="shared" si="99"/>
        <v>0</v>
      </c>
      <c r="AI1016" s="2">
        <f t="shared" si="100"/>
        <v>0</v>
      </c>
      <c r="AJ1016" s="2">
        <f t="shared" si="101"/>
        <v>340</v>
      </c>
      <c r="AK1016" s="5">
        <f t="shared" si="103"/>
        <v>1</v>
      </c>
    </row>
    <row r="1017" spans="1:37" x14ac:dyDescent="0.2">
      <c r="A1017" s="2">
        <v>2025</v>
      </c>
      <c r="B1017" s="2">
        <v>5</v>
      </c>
      <c r="C1017" s="2" t="s">
        <v>819</v>
      </c>
      <c r="D1017" s="2" t="s">
        <v>38</v>
      </c>
      <c r="E1017" s="2" t="s">
        <v>39</v>
      </c>
      <c r="F1017" s="2" t="s">
        <v>820</v>
      </c>
      <c r="G1017" s="2" t="s">
        <v>41</v>
      </c>
      <c r="H1017" s="2" t="s">
        <v>632</v>
      </c>
      <c r="K1017" s="2" t="s">
        <v>632</v>
      </c>
      <c r="L1017" s="2" t="s">
        <v>41</v>
      </c>
      <c r="N1017" s="2" t="s">
        <v>1393</v>
      </c>
      <c r="O1017" s="2" t="s">
        <v>43</v>
      </c>
      <c r="P1017" s="2" t="s">
        <v>211</v>
      </c>
      <c r="Q1017" s="2" t="s">
        <v>212</v>
      </c>
      <c r="R1017" s="2">
        <v>1</v>
      </c>
      <c r="S1017" s="2">
        <v>22.2</v>
      </c>
      <c r="T1017" s="2">
        <v>5.1059999999999999</v>
      </c>
      <c r="U1017" s="2">
        <v>27.306000000000001</v>
      </c>
      <c r="W1017" s="5">
        <f t="shared" si="104"/>
        <v>1</v>
      </c>
      <c r="Y1017" s="2" t="s">
        <v>3256</v>
      </c>
      <c r="Z1017" s="2" t="s">
        <v>46</v>
      </c>
      <c r="AA1017" s="2" t="s">
        <v>47</v>
      </c>
      <c r="AB1017" s="2" t="s">
        <v>48</v>
      </c>
      <c r="AE1017" s="2">
        <f t="shared" si="99"/>
        <v>0</v>
      </c>
      <c r="AI1017" s="2">
        <f t="shared" si="100"/>
        <v>0</v>
      </c>
      <c r="AJ1017" s="2">
        <f t="shared" si="101"/>
        <v>22.2</v>
      </c>
      <c r="AK1017" s="5">
        <f t="shared" si="103"/>
        <v>1</v>
      </c>
    </row>
    <row r="1018" spans="1:37" x14ac:dyDescent="0.2">
      <c r="A1018" s="2">
        <v>2025</v>
      </c>
      <c r="B1018" s="2">
        <v>5</v>
      </c>
      <c r="C1018" s="2" t="s">
        <v>819</v>
      </c>
      <c r="D1018" s="2" t="s">
        <v>38</v>
      </c>
      <c r="E1018" s="2" t="s">
        <v>39</v>
      </c>
      <c r="F1018" s="2" t="s">
        <v>820</v>
      </c>
      <c r="G1018" s="2" t="s">
        <v>41</v>
      </c>
      <c r="H1018" s="2" t="s">
        <v>632</v>
      </c>
      <c r="K1018" s="2" t="s">
        <v>632</v>
      </c>
      <c r="L1018" s="2" t="s">
        <v>41</v>
      </c>
      <c r="N1018" s="2" t="s">
        <v>1393</v>
      </c>
      <c r="O1018" s="2" t="s">
        <v>43</v>
      </c>
      <c r="P1018" s="2" t="s">
        <v>223</v>
      </c>
      <c r="Q1018" s="2" t="s">
        <v>224</v>
      </c>
      <c r="R1018" s="2">
        <v>1</v>
      </c>
      <c r="S1018" s="2">
        <v>27</v>
      </c>
      <c r="T1018" s="2">
        <v>6.21</v>
      </c>
      <c r="U1018" s="2">
        <v>33.21</v>
      </c>
      <c r="W1018" s="5">
        <f t="shared" si="104"/>
        <v>1</v>
      </c>
      <c r="Y1018" s="2" t="s">
        <v>3256</v>
      </c>
      <c r="Z1018" s="2" t="s">
        <v>46</v>
      </c>
      <c r="AA1018" s="2" t="s">
        <v>57</v>
      </c>
      <c r="AB1018" s="2" t="s">
        <v>58</v>
      </c>
      <c r="AE1018" s="2">
        <f t="shared" si="99"/>
        <v>0</v>
      </c>
      <c r="AI1018" s="2">
        <f t="shared" si="100"/>
        <v>0</v>
      </c>
      <c r="AJ1018" s="2">
        <f t="shared" si="101"/>
        <v>27</v>
      </c>
      <c r="AK1018" s="5">
        <f t="shared" si="103"/>
        <v>1</v>
      </c>
    </row>
    <row r="1019" spans="1:37" x14ac:dyDescent="0.2">
      <c r="A1019" s="2">
        <v>2025</v>
      </c>
      <c r="B1019" s="2">
        <v>5</v>
      </c>
      <c r="C1019" s="2" t="s">
        <v>819</v>
      </c>
      <c r="D1019" s="2" t="s">
        <v>38</v>
      </c>
      <c r="E1019" s="2" t="s">
        <v>39</v>
      </c>
      <c r="F1019" s="2" t="s">
        <v>820</v>
      </c>
      <c r="G1019" s="2" t="s">
        <v>41</v>
      </c>
      <c r="H1019" s="2" t="s">
        <v>632</v>
      </c>
      <c r="K1019" s="2" t="s">
        <v>632</v>
      </c>
      <c r="L1019" s="2" t="s">
        <v>41</v>
      </c>
      <c r="N1019" s="2" t="s">
        <v>1393</v>
      </c>
      <c r="O1019" s="2" t="s">
        <v>43</v>
      </c>
      <c r="P1019" s="2" t="s">
        <v>66</v>
      </c>
      <c r="Q1019" s="2" t="s">
        <v>67</v>
      </c>
      <c r="R1019" s="2">
        <v>1</v>
      </c>
      <c r="S1019" s="2">
        <v>21.5</v>
      </c>
      <c r="T1019" s="2">
        <v>4.9450000000000003</v>
      </c>
      <c r="U1019" s="2">
        <v>26.445</v>
      </c>
      <c r="V1019" s="2">
        <f>15.0203*R1019</f>
        <v>15.020300000000001</v>
      </c>
      <c r="W1019" s="5">
        <f t="shared" si="104"/>
        <v>0.30138139534883718</v>
      </c>
      <c r="Y1019" s="2" t="s">
        <v>3256</v>
      </c>
      <c r="Z1019" s="2" t="s">
        <v>46</v>
      </c>
      <c r="AA1019" s="2" t="s">
        <v>68</v>
      </c>
      <c r="AB1019" s="2" t="s">
        <v>58</v>
      </c>
      <c r="AE1019" s="2">
        <f t="shared" si="99"/>
        <v>0</v>
      </c>
      <c r="AF1019" s="2">
        <v>15.020300000000001</v>
      </c>
      <c r="AG1019" s="2">
        <v>27.6</v>
      </c>
      <c r="AI1019" s="2">
        <f t="shared" si="100"/>
        <v>0</v>
      </c>
      <c r="AJ1019" s="2">
        <f t="shared" si="101"/>
        <v>6.4796999999999993</v>
      </c>
      <c r="AK1019" s="5">
        <f t="shared" si="103"/>
        <v>0.30138139534883718</v>
      </c>
    </row>
    <row r="1020" spans="1:37" x14ac:dyDescent="0.2">
      <c r="A1020" s="2">
        <v>2025</v>
      </c>
      <c r="B1020" s="2">
        <v>5</v>
      </c>
      <c r="C1020" s="2" t="s">
        <v>1030</v>
      </c>
      <c r="O1020" s="2" t="s">
        <v>43</v>
      </c>
      <c r="P1020" s="2" t="s">
        <v>237</v>
      </c>
      <c r="Q1020" s="2" t="s">
        <v>238</v>
      </c>
      <c r="R1020" s="2">
        <v>1</v>
      </c>
      <c r="S1020" s="2">
        <v>16.2</v>
      </c>
      <c r="T1020" s="2">
        <v>3.726</v>
      </c>
      <c r="U1020" s="2">
        <v>19.925999999999998</v>
      </c>
      <c r="W1020" s="5">
        <f t="shared" ref="W1020:W1051" si="105">(S1020-V1020)/S1020</f>
        <v>1</v>
      </c>
      <c r="Y1020" s="2" t="s">
        <v>3256</v>
      </c>
      <c r="Z1020" s="2" t="s">
        <v>46</v>
      </c>
      <c r="AA1020" s="2" t="s">
        <v>57</v>
      </c>
      <c r="AB1020" s="2" t="s">
        <v>58</v>
      </c>
      <c r="AE1020" s="2">
        <f t="shared" si="99"/>
        <v>0</v>
      </c>
      <c r="AI1020" s="2">
        <f t="shared" si="100"/>
        <v>0</v>
      </c>
      <c r="AJ1020" s="2">
        <f t="shared" si="101"/>
        <v>16.2</v>
      </c>
      <c r="AK1020" s="5">
        <f t="shared" si="103"/>
        <v>1</v>
      </c>
    </row>
    <row r="1021" spans="1:37" x14ac:dyDescent="0.2">
      <c r="A1021" s="2">
        <v>2025</v>
      </c>
      <c r="B1021" s="2">
        <v>5</v>
      </c>
      <c r="C1021" s="2" t="s">
        <v>1030</v>
      </c>
      <c r="O1021" s="2" t="s">
        <v>43</v>
      </c>
      <c r="P1021" s="2" t="s">
        <v>239</v>
      </c>
      <c r="Q1021" s="2" t="s">
        <v>240</v>
      </c>
      <c r="R1021" s="2">
        <v>1</v>
      </c>
      <c r="S1021" s="2">
        <v>19.8</v>
      </c>
      <c r="T1021" s="2">
        <v>4.5540000000000003</v>
      </c>
      <c r="U1021" s="2">
        <v>24.353999999999999</v>
      </c>
      <c r="W1021" s="5">
        <f t="shared" si="105"/>
        <v>1</v>
      </c>
      <c r="Y1021" s="2" t="s">
        <v>3256</v>
      </c>
      <c r="Z1021" s="2" t="s">
        <v>46</v>
      </c>
      <c r="AA1021" s="2" t="s">
        <v>57</v>
      </c>
      <c r="AB1021" s="2" t="s">
        <v>58</v>
      </c>
      <c r="AE1021" s="2">
        <f t="shared" si="99"/>
        <v>0</v>
      </c>
      <c r="AI1021" s="2">
        <f t="shared" si="100"/>
        <v>0</v>
      </c>
      <c r="AJ1021" s="2">
        <f t="shared" si="101"/>
        <v>19.8</v>
      </c>
      <c r="AK1021" s="5">
        <f t="shared" si="103"/>
        <v>1</v>
      </c>
    </row>
    <row r="1022" spans="1:37" x14ac:dyDescent="0.2">
      <c r="A1022" s="2">
        <v>2025</v>
      </c>
      <c r="B1022" s="2">
        <v>5</v>
      </c>
      <c r="C1022" s="2" t="s">
        <v>1030</v>
      </c>
      <c r="O1022" s="2" t="s">
        <v>43</v>
      </c>
      <c r="P1022" s="2" t="s">
        <v>62</v>
      </c>
      <c r="Q1022" s="2" t="s">
        <v>63</v>
      </c>
      <c r="R1022" s="2">
        <v>100</v>
      </c>
      <c r="S1022" s="2">
        <v>13</v>
      </c>
      <c r="T1022" s="2">
        <v>2.99</v>
      </c>
      <c r="U1022" s="2">
        <v>15.99</v>
      </c>
      <c r="V1022" s="2">
        <f>0.082*R1022</f>
        <v>8.2000000000000011</v>
      </c>
      <c r="W1022" s="5">
        <f t="shared" si="105"/>
        <v>0.36923076923076914</v>
      </c>
      <c r="Y1022" s="2" t="s">
        <v>3256</v>
      </c>
      <c r="Z1022" s="2" t="s">
        <v>46</v>
      </c>
      <c r="AA1022" s="2" t="s">
        <v>61</v>
      </c>
      <c r="AB1022" s="2" t="s">
        <v>58</v>
      </c>
      <c r="AE1022" s="2">
        <f t="shared" si="99"/>
        <v>0</v>
      </c>
      <c r="AF1022" s="2">
        <v>8.1999999999999993</v>
      </c>
      <c r="AG1022" s="2">
        <v>13</v>
      </c>
      <c r="AI1022" s="2">
        <f t="shared" si="100"/>
        <v>0</v>
      </c>
      <c r="AJ1022" s="2">
        <f t="shared" si="101"/>
        <v>4.7999999999999989</v>
      </c>
      <c r="AK1022" s="5">
        <f t="shared" si="103"/>
        <v>0.36923076923076914</v>
      </c>
    </row>
    <row r="1023" spans="1:37" x14ac:dyDescent="0.2">
      <c r="A1023" s="2">
        <v>2025</v>
      </c>
      <c r="B1023" s="2">
        <v>5</v>
      </c>
      <c r="C1023" s="2" t="s">
        <v>440</v>
      </c>
      <c r="D1023" s="2" t="s">
        <v>109</v>
      </c>
      <c r="E1023" s="2" t="s">
        <v>378</v>
      </c>
      <c r="F1023" s="2">
        <v>509350631</v>
      </c>
      <c r="G1023" s="2" t="s">
        <v>291</v>
      </c>
      <c r="H1023" s="2" t="s">
        <v>441</v>
      </c>
      <c r="I1023" s="2" t="s">
        <v>442</v>
      </c>
      <c r="K1023" s="2" t="s">
        <v>340</v>
      </c>
      <c r="L1023" s="2" t="s">
        <v>81</v>
      </c>
      <c r="N1023" s="2" t="s">
        <v>1394</v>
      </c>
      <c r="O1023" s="2" t="s">
        <v>73</v>
      </c>
      <c r="P1023" s="2" t="s">
        <v>687</v>
      </c>
      <c r="Q1023" s="2" t="s">
        <v>75</v>
      </c>
      <c r="R1023" s="2">
        <v>1</v>
      </c>
      <c r="S1023" s="2">
        <v>210</v>
      </c>
      <c r="T1023" s="2">
        <v>48.3</v>
      </c>
      <c r="U1023" s="2">
        <v>258.3</v>
      </c>
      <c r="V1023" s="2">
        <v>104.49</v>
      </c>
      <c r="W1023" s="5">
        <f t="shared" si="105"/>
        <v>0.50242857142857145</v>
      </c>
      <c r="Y1023" s="2" t="s">
        <v>3256</v>
      </c>
      <c r="Z1023" s="2" t="s">
        <v>76</v>
      </c>
      <c r="AA1023" s="2" t="s">
        <v>77</v>
      </c>
      <c r="AB1023" s="2" t="s">
        <v>78</v>
      </c>
      <c r="AE1023" s="2">
        <f t="shared" si="99"/>
        <v>0</v>
      </c>
      <c r="AF1023" s="2">
        <v>104.49</v>
      </c>
      <c r="AG1023" s="2">
        <v>220</v>
      </c>
      <c r="AI1023" s="2">
        <f t="shared" si="100"/>
        <v>0</v>
      </c>
      <c r="AJ1023" s="2">
        <f t="shared" si="101"/>
        <v>105.51</v>
      </c>
      <c r="AK1023" s="5">
        <f t="shared" si="103"/>
        <v>0.50242857142857145</v>
      </c>
    </row>
    <row r="1024" spans="1:37" x14ac:dyDescent="0.2">
      <c r="A1024" s="2">
        <v>2025</v>
      </c>
      <c r="B1024" s="2">
        <v>5</v>
      </c>
      <c r="C1024" s="2" t="s">
        <v>440</v>
      </c>
      <c r="D1024" s="2" t="s">
        <v>109</v>
      </c>
      <c r="E1024" s="2" t="s">
        <v>378</v>
      </c>
      <c r="F1024" s="2">
        <v>509350631</v>
      </c>
      <c r="G1024" s="2" t="s">
        <v>291</v>
      </c>
      <c r="H1024" s="2" t="s">
        <v>441</v>
      </c>
      <c r="I1024" s="2" t="s">
        <v>442</v>
      </c>
      <c r="K1024" s="2" t="s">
        <v>340</v>
      </c>
      <c r="L1024" s="2" t="s">
        <v>81</v>
      </c>
      <c r="O1024" s="2" t="s">
        <v>94</v>
      </c>
      <c r="P1024" s="2" t="s">
        <v>95</v>
      </c>
      <c r="Q1024" s="2" t="s">
        <v>96</v>
      </c>
      <c r="R1024" s="2">
        <v>1</v>
      </c>
      <c r="S1024" s="2">
        <v>1.1399999999999999</v>
      </c>
      <c r="T1024" s="2">
        <v>0.26219999999999999</v>
      </c>
      <c r="U1024" s="2">
        <v>1.4021999999999999</v>
      </c>
      <c r="V1024" s="2">
        <v>1.1399999999999999</v>
      </c>
      <c r="W1024" s="5">
        <f t="shared" si="105"/>
        <v>0</v>
      </c>
      <c r="Y1024" s="2" t="s">
        <v>3256</v>
      </c>
      <c r="Z1024" s="2" t="s">
        <v>97</v>
      </c>
      <c r="AA1024" s="2" t="s">
        <v>77</v>
      </c>
      <c r="AB1024" s="2" t="s">
        <v>94</v>
      </c>
      <c r="AE1024" s="2">
        <f t="shared" si="99"/>
        <v>0</v>
      </c>
      <c r="AF1024" s="2">
        <v>1.1399999999999999</v>
      </c>
      <c r="AG1024" s="2">
        <v>1.1399999999999999</v>
      </c>
      <c r="AI1024" s="2">
        <f t="shared" si="100"/>
        <v>0</v>
      </c>
      <c r="AJ1024" s="2">
        <f t="shared" si="101"/>
        <v>0</v>
      </c>
      <c r="AK1024" s="5">
        <f t="shared" si="103"/>
        <v>0</v>
      </c>
    </row>
    <row r="1025" spans="1:37" x14ac:dyDescent="0.2">
      <c r="A1025" s="2">
        <v>2025</v>
      </c>
      <c r="B1025" s="2">
        <v>5</v>
      </c>
      <c r="C1025" s="2" t="s">
        <v>443</v>
      </c>
      <c r="D1025" s="2" t="s">
        <v>38</v>
      </c>
      <c r="E1025" s="2" t="s">
        <v>39</v>
      </c>
      <c r="F1025" s="2">
        <v>205800831</v>
      </c>
      <c r="G1025" s="2" t="s">
        <v>41</v>
      </c>
      <c r="H1025" s="2" t="s">
        <v>178</v>
      </c>
      <c r="I1025" s="2" t="s">
        <v>3205</v>
      </c>
      <c r="J1025" s="2">
        <v>911577458</v>
      </c>
      <c r="K1025" s="2" t="s">
        <v>178</v>
      </c>
      <c r="L1025" s="2" t="s">
        <v>41</v>
      </c>
      <c r="N1025" s="2" t="s">
        <v>3207</v>
      </c>
      <c r="O1025" s="2" t="s">
        <v>43</v>
      </c>
      <c r="P1025" s="2" t="s">
        <v>49</v>
      </c>
      <c r="Q1025" s="2" t="s">
        <v>50</v>
      </c>
      <c r="R1025" s="2">
        <v>3</v>
      </c>
      <c r="S1025" s="2">
        <v>36</v>
      </c>
      <c r="T1025" s="2">
        <v>8.2800000000000011</v>
      </c>
      <c r="U1025" s="2">
        <v>44.28</v>
      </c>
      <c r="V1025" s="2">
        <f>6.6267*R1025</f>
        <v>19.880099999999999</v>
      </c>
      <c r="W1025" s="5">
        <f t="shared" si="105"/>
        <v>0.44777500000000003</v>
      </c>
      <c r="Y1025" s="2" t="s">
        <v>3256</v>
      </c>
      <c r="Z1025" s="2" t="s">
        <v>46</v>
      </c>
      <c r="AA1025" s="2" t="s">
        <v>47</v>
      </c>
      <c r="AB1025" s="2" t="s">
        <v>48</v>
      </c>
      <c r="AE1025" s="2">
        <f t="shared" ref="AE1025:AE1088" si="106">AI1025</f>
        <v>0</v>
      </c>
      <c r="AF1025" s="2">
        <v>6.6266999999999996</v>
      </c>
      <c r="AG1025" s="2">
        <v>12</v>
      </c>
      <c r="AI1025" s="2">
        <f t="shared" ref="AI1025:AI1088" si="107">AH1025*S1025</f>
        <v>0</v>
      </c>
      <c r="AJ1025" s="2">
        <f t="shared" ref="AJ1025:AJ1088" si="108">S1025-V1025</f>
        <v>16.119900000000001</v>
      </c>
      <c r="AK1025" s="5">
        <f t="shared" si="103"/>
        <v>0.44777500000000003</v>
      </c>
    </row>
    <row r="1026" spans="1:37" x14ac:dyDescent="0.2">
      <c r="A1026" s="2">
        <v>2025</v>
      </c>
      <c r="B1026" s="2">
        <v>5</v>
      </c>
      <c r="C1026" s="2" t="s">
        <v>443</v>
      </c>
      <c r="D1026" s="2" t="s">
        <v>38</v>
      </c>
      <c r="E1026" s="2" t="s">
        <v>39</v>
      </c>
      <c r="F1026" s="2">
        <v>205800831</v>
      </c>
      <c r="G1026" s="2" t="s">
        <v>41</v>
      </c>
      <c r="H1026" s="2" t="s">
        <v>178</v>
      </c>
      <c r="I1026" s="2" t="s">
        <v>3205</v>
      </c>
      <c r="J1026" s="2">
        <v>911577458</v>
      </c>
      <c r="K1026" s="2" t="s">
        <v>178</v>
      </c>
      <c r="L1026" s="2" t="s">
        <v>41</v>
      </c>
      <c r="N1026" s="2" t="s">
        <v>3207</v>
      </c>
      <c r="O1026" s="2" t="s">
        <v>43</v>
      </c>
      <c r="P1026" s="2" t="s">
        <v>161</v>
      </c>
      <c r="Q1026" s="2" t="s">
        <v>162</v>
      </c>
      <c r="R1026" s="2">
        <v>1</v>
      </c>
      <c r="S1026" s="2">
        <v>7.8</v>
      </c>
      <c r="T1026" s="2">
        <v>1.794</v>
      </c>
      <c r="U1026" s="2">
        <v>9.5939999999999994</v>
      </c>
      <c r="V1026" s="2">
        <f>3.7358*R1026</f>
        <v>3.7357999999999998</v>
      </c>
      <c r="W1026" s="5">
        <f t="shared" si="105"/>
        <v>0.52105128205128204</v>
      </c>
      <c r="Y1026" s="2" t="s">
        <v>3256</v>
      </c>
      <c r="Z1026" s="2" t="s">
        <v>46</v>
      </c>
      <c r="AA1026" s="2" t="s">
        <v>47</v>
      </c>
      <c r="AB1026" s="2" t="s">
        <v>48</v>
      </c>
      <c r="AE1026" s="2">
        <f t="shared" si="106"/>
        <v>0</v>
      </c>
      <c r="AF1026" s="2">
        <v>3.7357999999999998</v>
      </c>
      <c r="AG1026" s="2">
        <v>9</v>
      </c>
      <c r="AI1026" s="2">
        <f t="shared" si="107"/>
        <v>0</v>
      </c>
      <c r="AJ1026" s="2">
        <f t="shared" si="108"/>
        <v>4.0641999999999996</v>
      </c>
      <c r="AK1026" s="5">
        <f t="shared" si="103"/>
        <v>0.52105128205128204</v>
      </c>
    </row>
    <row r="1027" spans="1:37" x14ac:dyDescent="0.2">
      <c r="A1027" s="2">
        <v>2025</v>
      </c>
      <c r="B1027" s="2">
        <v>5</v>
      </c>
      <c r="C1027" s="2" t="s">
        <v>443</v>
      </c>
      <c r="D1027" s="2" t="s">
        <v>38</v>
      </c>
      <c r="E1027" s="2" t="s">
        <v>39</v>
      </c>
      <c r="F1027" s="2">
        <v>205800831</v>
      </c>
      <c r="G1027" s="2" t="s">
        <v>41</v>
      </c>
      <c r="H1027" s="2" t="s">
        <v>178</v>
      </c>
      <c r="I1027" s="2" t="s">
        <v>3205</v>
      </c>
      <c r="J1027" s="2">
        <v>911577458</v>
      </c>
      <c r="K1027" s="2" t="s">
        <v>178</v>
      </c>
      <c r="L1027" s="2" t="s">
        <v>41</v>
      </c>
      <c r="N1027" s="2" t="s">
        <v>3207</v>
      </c>
      <c r="O1027" s="2" t="s">
        <v>43</v>
      </c>
      <c r="P1027" s="2" t="s">
        <v>66</v>
      </c>
      <c r="Q1027" s="2" t="s">
        <v>67</v>
      </c>
      <c r="R1027" s="2">
        <v>1</v>
      </c>
      <c r="S1027" s="2">
        <v>21</v>
      </c>
      <c r="T1027" s="2">
        <v>4.83</v>
      </c>
      <c r="U1027" s="2">
        <v>25.83</v>
      </c>
      <c r="V1027" s="2">
        <f>15.0203*R1027</f>
        <v>15.020300000000001</v>
      </c>
      <c r="W1027" s="5">
        <f t="shared" si="105"/>
        <v>0.28474761904761903</v>
      </c>
      <c r="Y1027" s="2" t="s">
        <v>3256</v>
      </c>
      <c r="Z1027" s="2" t="s">
        <v>46</v>
      </c>
      <c r="AA1027" s="2" t="s">
        <v>68</v>
      </c>
      <c r="AB1027" s="2" t="s">
        <v>58</v>
      </c>
      <c r="AE1027" s="2">
        <f t="shared" si="106"/>
        <v>0</v>
      </c>
      <c r="AF1027" s="2">
        <v>15.020300000000001</v>
      </c>
      <c r="AG1027" s="2">
        <v>27.6</v>
      </c>
      <c r="AI1027" s="2">
        <f t="shared" si="107"/>
        <v>0</v>
      </c>
      <c r="AJ1027" s="2">
        <f t="shared" si="108"/>
        <v>5.9796999999999993</v>
      </c>
      <c r="AK1027" s="5">
        <f t="shared" si="103"/>
        <v>0.28474761904761903</v>
      </c>
    </row>
    <row r="1028" spans="1:37" x14ac:dyDescent="0.2">
      <c r="A1028" s="2">
        <v>2025</v>
      </c>
      <c r="B1028" s="2">
        <v>5</v>
      </c>
      <c r="C1028" s="2" t="s">
        <v>822</v>
      </c>
      <c r="O1028" s="2" t="s">
        <v>115</v>
      </c>
      <c r="P1028" s="2" t="s">
        <v>416</v>
      </c>
      <c r="Q1028" s="2" t="s">
        <v>417</v>
      </c>
      <c r="R1028" s="2">
        <v>1</v>
      </c>
      <c r="S1028" s="2">
        <v>15990</v>
      </c>
      <c r="T1028" s="2">
        <v>3677.7</v>
      </c>
      <c r="U1028" s="2">
        <v>19667.7</v>
      </c>
      <c r="V1028" s="2">
        <v>10669.4</v>
      </c>
      <c r="W1028" s="5">
        <f t="shared" si="105"/>
        <v>0.33274546591619764</v>
      </c>
      <c r="Y1028" s="2" t="s">
        <v>105</v>
      </c>
      <c r="Z1028" s="2" t="s">
        <v>418</v>
      </c>
      <c r="AA1028" s="2" t="s">
        <v>152</v>
      </c>
      <c r="AB1028" s="2" t="s">
        <v>115</v>
      </c>
      <c r="AE1028" s="2">
        <f t="shared" si="106"/>
        <v>0</v>
      </c>
      <c r="AI1028" s="2">
        <f t="shared" si="107"/>
        <v>0</v>
      </c>
      <c r="AJ1028" s="2">
        <f t="shared" si="108"/>
        <v>5320.6</v>
      </c>
      <c r="AK1028" s="5">
        <f t="shared" si="103"/>
        <v>0.33274546591619764</v>
      </c>
    </row>
    <row r="1029" spans="1:37" x14ac:dyDescent="0.2">
      <c r="A1029" s="2">
        <v>2025</v>
      </c>
      <c r="B1029" s="2">
        <v>5</v>
      </c>
      <c r="C1029" s="2" t="s">
        <v>444</v>
      </c>
      <c r="D1029" s="2" t="s">
        <v>38</v>
      </c>
      <c r="E1029" s="2" t="s">
        <v>39</v>
      </c>
      <c r="F1029" s="2">
        <v>505173174</v>
      </c>
      <c r="G1029" s="2" t="s">
        <v>110</v>
      </c>
      <c r="H1029" s="2" t="s">
        <v>134</v>
      </c>
      <c r="I1029" s="2" t="s">
        <v>3210</v>
      </c>
      <c r="K1029" s="2" t="s">
        <v>134</v>
      </c>
      <c r="L1029" s="2" t="s">
        <v>40</v>
      </c>
      <c r="N1029" s="2" t="s">
        <v>3212</v>
      </c>
      <c r="O1029" s="2" t="s">
        <v>115</v>
      </c>
      <c r="P1029" s="2" t="s">
        <v>645</v>
      </c>
      <c r="Q1029" s="2" t="s">
        <v>646</v>
      </c>
      <c r="R1029" s="2">
        <v>1</v>
      </c>
      <c r="S1029" s="2">
        <v>1222.1199999999999</v>
      </c>
      <c r="T1029" s="2">
        <v>281.08760000000001</v>
      </c>
      <c r="U1029" s="2">
        <v>1503.2076</v>
      </c>
      <c r="V1029" s="2">
        <v>585.00340000000006</v>
      </c>
      <c r="W1029" s="5">
        <f t="shared" si="105"/>
        <v>0.52132081955945397</v>
      </c>
      <c r="Y1029" s="2" t="s">
        <v>118</v>
      </c>
      <c r="Z1029" s="2" t="s">
        <v>119</v>
      </c>
      <c r="AA1029" s="2" t="s">
        <v>120</v>
      </c>
      <c r="AB1029" s="2" t="s">
        <v>115</v>
      </c>
      <c r="AE1029" s="2">
        <f t="shared" si="106"/>
        <v>0</v>
      </c>
      <c r="AF1029" s="2">
        <f>576.8234+8.18</f>
        <v>585.00339999999994</v>
      </c>
      <c r="AI1029" s="2">
        <f t="shared" si="107"/>
        <v>0</v>
      </c>
      <c r="AJ1029" s="2">
        <f t="shared" si="108"/>
        <v>637.11659999999983</v>
      </c>
      <c r="AK1029" s="5">
        <f t="shared" si="103"/>
        <v>0.52132081955945397</v>
      </c>
    </row>
    <row r="1030" spans="1:37" x14ac:dyDescent="0.2">
      <c r="A1030" s="2">
        <v>2025</v>
      </c>
      <c r="B1030" s="2">
        <v>5</v>
      </c>
      <c r="C1030" s="2" t="s">
        <v>444</v>
      </c>
      <c r="D1030" s="2" t="s">
        <v>38</v>
      </c>
      <c r="E1030" s="2" t="s">
        <v>39</v>
      </c>
      <c r="F1030" s="2">
        <v>505173174</v>
      </c>
      <c r="G1030" s="2" t="s">
        <v>110</v>
      </c>
      <c r="H1030" s="2" t="s">
        <v>134</v>
      </c>
      <c r="I1030" s="2" t="s">
        <v>3210</v>
      </c>
      <c r="K1030" s="2" t="s">
        <v>134</v>
      </c>
      <c r="L1030" s="2" t="s">
        <v>40</v>
      </c>
      <c r="N1030" s="2" t="s">
        <v>3212</v>
      </c>
      <c r="O1030" s="2" t="s">
        <v>188</v>
      </c>
      <c r="P1030" s="2" t="s">
        <v>189</v>
      </c>
      <c r="Q1030" s="2" t="s">
        <v>190</v>
      </c>
      <c r="R1030" s="2">
        <v>1</v>
      </c>
      <c r="S1030" s="2">
        <v>121</v>
      </c>
      <c r="T1030" s="2">
        <v>27.83</v>
      </c>
      <c r="U1030" s="2">
        <v>148.83000000000001</v>
      </c>
      <c r="V1030" s="2">
        <f>S1030*40%</f>
        <v>48.400000000000006</v>
      </c>
      <c r="W1030" s="5">
        <f t="shared" si="105"/>
        <v>0.6</v>
      </c>
      <c r="Y1030" s="2" t="s">
        <v>118</v>
      </c>
      <c r="Z1030" s="2" t="s">
        <v>191</v>
      </c>
      <c r="AE1030" s="2">
        <f t="shared" si="106"/>
        <v>0</v>
      </c>
      <c r="AI1030" s="2">
        <f t="shared" si="107"/>
        <v>0</v>
      </c>
      <c r="AJ1030" s="2">
        <f t="shared" si="108"/>
        <v>72.599999999999994</v>
      </c>
      <c r="AK1030" s="5">
        <f t="shared" si="103"/>
        <v>0.6</v>
      </c>
    </row>
    <row r="1031" spans="1:37" x14ac:dyDescent="0.2">
      <c r="A1031" s="2">
        <v>2025</v>
      </c>
      <c r="B1031" s="2">
        <v>5</v>
      </c>
      <c r="C1031" s="2" t="s">
        <v>444</v>
      </c>
      <c r="D1031" s="2" t="s">
        <v>38</v>
      </c>
      <c r="E1031" s="2" t="s">
        <v>39</v>
      </c>
      <c r="F1031" s="2">
        <v>505173174</v>
      </c>
      <c r="G1031" s="2" t="s">
        <v>110</v>
      </c>
      <c r="H1031" s="2" t="s">
        <v>134</v>
      </c>
      <c r="I1031" s="2" t="s">
        <v>3210</v>
      </c>
      <c r="K1031" s="2" t="s">
        <v>134</v>
      </c>
      <c r="L1031" s="2" t="s">
        <v>40</v>
      </c>
      <c r="N1031" s="2" t="s">
        <v>3212</v>
      </c>
      <c r="O1031" s="2" t="s">
        <v>188</v>
      </c>
      <c r="P1031" s="2" t="s">
        <v>192</v>
      </c>
      <c r="Q1031" s="2" t="s">
        <v>191</v>
      </c>
      <c r="R1031" s="2">
        <v>1</v>
      </c>
      <c r="S1031" s="2">
        <v>50</v>
      </c>
      <c r="T1031" s="2">
        <v>11.5</v>
      </c>
      <c r="U1031" s="2">
        <v>61.5</v>
      </c>
      <c r="V1031" s="2">
        <f>S1031*50%</f>
        <v>25</v>
      </c>
      <c r="W1031" s="5">
        <f t="shared" si="105"/>
        <v>0.5</v>
      </c>
      <c r="Y1031" s="2" t="s">
        <v>118</v>
      </c>
      <c r="Z1031" s="2" t="s">
        <v>191</v>
      </c>
      <c r="AE1031" s="2">
        <f t="shared" si="106"/>
        <v>0</v>
      </c>
      <c r="AI1031" s="2">
        <f t="shared" si="107"/>
        <v>0</v>
      </c>
      <c r="AJ1031" s="2">
        <f t="shared" si="108"/>
        <v>25</v>
      </c>
      <c r="AK1031" s="5">
        <f t="shared" si="103"/>
        <v>0.5</v>
      </c>
    </row>
    <row r="1032" spans="1:37" x14ac:dyDescent="0.2">
      <c r="A1032" s="2">
        <v>2025</v>
      </c>
      <c r="B1032" s="2">
        <v>5</v>
      </c>
      <c r="C1032" s="2" t="s">
        <v>455</v>
      </c>
      <c r="D1032" s="2" t="s">
        <v>109</v>
      </c>
      <c r="E1032" s="2" t="s">
        <v>39</v>
      </c>
      <c r="F1032" s="2">
        <v>506085686</v>
      </c>
      <c r="G1032" s="2" t="s">
        <v>40</v>
      </c>
      <c r="H1032" s="2" t="s">
        <v>456</v>
      </c>
      <c r="I1032" s="2" t="s">
        <v>457</v>
      </c>
      <c r="J1032" s="2">
        <v>917241919</v>
      </c>
      <c r="K1032" s="2" t="s">
        <v>400</v>
      </c>
      <c r="O1032" s="2" t="s">
        <v>115</v>
      </c>
      <c r="P1032" s="2" t="s">
        <v>1395</v>
      </c>
      <c r="Q1032" s="2" t="s">
        <v>1396</v>
      </c>
      <c r="R1032" s="2">
        <v>1</v>
      </c>
      <c r="S1032" s="2">
        <v>128.09</v>
      </c>
      <c r="T1032" s="2">
        <v>29.460699999999999</v>
      </c>
      <c r="U1032" s="2">
        <v>157.55070000000001</v>
      </c>
      <c r="W1032" s="5">
        <f t="shared" si="105"/>
        <v>1</v>
      </c>
      <c r="Y1032" s="2" t="s">
        <v>118</v>
      </c>
      <c r="AE1032" s="2">
        <f t="shared" si="106"/>
        <v>0</v>
      </c>
      <c r="AI1032" s="2">
        <f t="shared" si="107"/>
        <v>0</v>
      </c>
      <c r="AJ1032" s="2">
        <f t="shared" si="108"/>
        <v>128.09</v>
      </c>
      <c r="AK1032" s="5">
        <f t="shared" si="103"/>
        <v>1</v>
      </c>
    </row>
    <row r="1033" spans="1:37" x14ac:dyDescent="0.2">
      <c r="A1033" s="2">
        <v>2025</v>
      </c>
      <c r="B1033" s="2">
        <v>5</v>
      </c>
      <c r="C1033" s="2" t="s">
        <v>455</v>
      </c>
      <c r="D1033" s="2" t="s">
        <v>109</v>
      </c>
      <c r="E1033" s="2" t="s">
        <v>39</v>
      </c>
      <c r="F1033" s="2">
        <v>506085686</v>
      </c>
      <c r="G1033" s="2" t="s">
        <v>40</v>
      </c>
      <c r="H1033" s="2" t="s">
        <v>456</v>
      </c>
      <c r="I1033" s="2" t="s">
        <v>457</v>
      </c>
      <c r="J1033" s="2">
        <v>917241919</v>
      </c>
      <c r="K1033" s="2" t="s">
        <v>400</v>
      </c>
      <c r="O1033" s="2" t="s">
        <v>115</v>
      </c>
      <c r="P1033" s="2" t="s">
        <v>1397</v>
      </c>
      <c r="Q1033" s="2" t="s">
        <v>1089</v>
      </c>
      <c r="R1033" s="2">
        <v>1</v>
      </c>
      <c r="S1033" s="2">
        <v>81.16</v>
      </c>
      <c r="T1033" s="2">
        <v>18.666799999999999</v>
      </c>
      <c r="U1033" s="2">
        <v>99.826799999999992</v>
      </c>
      <c r="W1033" s="5">
        <f t="shared" si="105"/>
        <v>1</v>
      </c>
      <c r="Y1033" s="2" t="s">
        <v>118</v>
      </c>
      <c r="AE1033" s="2">
        <f t="shared" si="106"/>
        <v>0</v>
      </c>
      <c r="AI1033" s="2">
        <f t="shared" si="107"/>
        <v>0</v>
      </c>
      <c r="AJ1033" s="2">
        <f t="shared" si="108"/>
        <v>81.16</v>
      </c>
      <c r="AK1033" s="5">
        <f t="shared" si="103"/>
        <v>1</v>
      </c>
    </row>
    <row r="1034" spans="1:37" x14ac:dyDescent="0.2">
      <c r="A1034" s="2">
        <v>2025</v>
      </c>
      <c r="B1034" s="2">
        <v>5</v>
      </c>
      <c r="C1034" s="2" t="s">
        <v>455</v>
      </c>
      <c r="D1034" s="2" t="s">
        <v>109</v>
      </c>
      <c r="E1034" s="2" t="s">
        <v>39</v>
      </c>
      <c r="F1034" s="2">
        <v>506085686</v>
      </c>
      <c r="G1034" s="2" t="s">
        <v>40</v>
      </c>
      <c r="H1034" s="2" t="s">
        <v>456</v>
      </c>
      <c r="I1034" s="2" t="s">
        <v>457</v>
      </c>
      <c r="J1034" s="2">
        <v>917241919</v>
      </c>
      <c r="K1034" s="2" t="s">
        <v>400</v>
      </c>
      <c r="O1034" s="2" t="s">
        <v>115</v>
      </c>
      <c r="P1034" s="2" t="s">
        <v>1398</v>
      </c>
      <c r="Q1034" s="2" t="s">
        <v>1399</v>
      </c>
      <c r="R1034" s="2">
        <v>1</v>
      </c>
      <c r="S1034" s="2">
        <v>399.92</v>
      </c>
      <c r="T1034" s="2">
        <v>91.981600000000014</v>
      </c>
      <c r="U1034" s="2">
        <v>491.90159999999997</v>
      </c>
      <c r="W1034" s="5">
        <f t="shared" si="105"/>
        <v>1</v>
      </c>
      <c r="Y1034" s="2" t="s">
        <v>118</v>
      </c>
      <c r="AE1034" s="2">
        <f t="shared" si="106"/>
        <v>0</v>
      </c>
      <c r="AI1034" s="2">
        <f t="shared" si="107"/>
        <v>0</v>
      </c>
      <c r="AJ1034" s="2">
        <f t="shared" si="108"/>
        <v>399.92</v>
      </c>
      <c r="AK1034" s="5">
        <f t="shared" si="103"/>
        <v>1</v>
      </c>
    </row>
    <row r="1035" spans="1:37" x14ac:dyDescent="0.2">
      <c r="A1035" s="2">
        <v>2025</v>
      </c>
      <c r="B1035" s="2">
        <v>5</v>
      </c>
      <c r="C1035" s="2" t="s">
        <v>455</v>
      </c>
      <c r="D1035" s="2" t="s">
        <v>109</v>
      </c>
      <c r="E1035" s="2" t="s">
        <v>39</v>
      </c>
      <c r="F1035" s="2">
        <v>506085686</v>
      </c>
      <c r="G1035" s="2" t="s">
        <v>40</v>
      </c>
      <c r="H1035" s="2" t="s">
        <v>456</v>
      </c>
      <c r="I1035" s="2" t="s">
        <v>457</v>
      </c>
      <c r="J1035" s="2">
        <v>917241919</v>
      </c>
      <c r="K1035" s="2" t="s">
        <v>400</v>
      </c>
      <c r="L1035" s="2" t="s">
        <v>40</v>
      </c>
      <c r="O1035" s="2" t="s">
        <v>188</v>
      </c>
      <c r="P1035" s="2" t="s">
        <v>189</v>
      </c>
      <c r="Q1035" s="2" t="s">
        <v>190</v>
      </c>
      <c r="R1035" s="2">
        <v>1</v>
      </c>
      <c r="S1035" s="2">
        <v>89.25</v>
      </c>
      <c r="T1035" s="2">
        <v>20.5275</v>
      </c>
      <c r="U1035" s="2">
        <v>109.7775</v>
      </c>
      <c r="W1035" s="5">
        <f t="shared" si="105"/>
        <v>1</v>
      </c>
      <c r="Y1035" s="2" t="s">
        <v>118</v>
      </c>
      <c r="Z1035" s="2" t="s">
        <v>191</v>
      </c>
      <c r="AE1035" s="2">
        <f t="shared" si="106"/>
        <v>0</v>
      </c>
      <c r="AI1035" s="2">
        <f t="shared" si="107"/>
        <v>0</v>
      </c>
      <c r="AJ1035" s="2">
        <f t="shared" si="108"/>
        <v>89.25</v>
      </c>
      <c r="AK1035" s="5">
        <f t="shared" si="103"/>
        <v>1</v>
      </c>
    </row>
    <row r="1036" spans="1:37" x14ac:dyDescent="0.2">
      <c r="A1036" s="2">
        <v>2025</v>
      </c>
      <c r="B1036" s="2">
        <v>5</v>
      </c>
      <c r="C1036" s="2" t="s">
        <v>455</v>
      </c>
      <c r="D1036" s="2" t="s">
        <v>109</v>
      </c>
      <c r="E1036" s="2" t="s">
        <v>39</v>
      </c>
      <c r="F1036" s="2">
        <v>506085686</v>
      </c>
      <c r="G1036" s="2" t="s">
        <v>40</v>
      </c>
      <c r="H1036" s="2" t="s">
        <v>456</v>
      </c>
      <c r="I1036" s="2" t="s">
        <v>457</v>
      </c>
      <c r="J1036" s="2">
        <v>917241919</v>
      </c>
      <c r="K1036" s="2" t="s">
        <v>400</v>
      </c>
      <c r="L1036" s="2" t="s">
        <v>40</v>
      </c>
      <c r="O1036" s="2" t="s">
        <v>188</v>
      </c>
      <c r="P1036" s="2" t="s">
        <v>192</v>
      </c>
      <c r="Q1036" s="2" t="s">
        <v>191</v>
      </c>
      <c r="R1036" s="2">
        <v>2</v>
      </c>
      <c r="S1036" s="2">
        <v>90</v>
      </c>
      <c r="T1036" s="2">
        <v>20.7</v>
      </c>
      <c r="U1036" s="2">
        <v>110.7</v>
      </c>
      <c r="V1036" s="2">
        <f>S1036*50%</f>
        <v>45</v>
      </c>
      <c r="W1036" s="5">
        <f t="shared" si="105"/>
        <v>0.5</v>
      </c>
      <c r="Y1036" s="2" t="s">
        <v>118</v>
      </c>
      <c r="Z1036" s="2" t="s">
        <v>191</v>
      </c>
      <c r="AE1036" s="2">
        <f t="shared" si="106"/>
        <v>0</v>
      </c>
      <c r="AI1036" s="2">
        <f t="shared" si="107"/>
        <v>0</v>
      </c>
      <c r="AJ1036" s="2">
        <f t="shared" si="108"/>
        <v>45</v>
      </c>
      <c r="AK1036" s="5">
        <f t="shared" si="103"/>
        <v>0.5</v>
      </c>
    </row>
    <row r="1037" spans="1:37" x14ac:dyDescent="0.2">
      <c r="A1037" s="2">
        <v>2025</v>
      </c>
      <c r="B1037" s="2">
        <v>5</v>
      </c>
      <c r="C1037" s="2" t="s">
        <v>1400</v>
      </c>
      <c r="O1037" s="2" t="s">
        <v>115</v>
      </c>
      <c r="P1037" s="2" t="s">
        <v>652</v>
      </c>
      <c r="Q1037" s="2" t="s">
        <v>653</v>
      </c>
      <c r="R1037" s="2">
        <v>1</v>
      </c>
      <c r="S1037" s="2">
        <v>62.6</v>
      </c>
      <c r="T1037" s="2">
        <v>14.398</v>
      </c>
      <c r="U1037" s="2">
        <v>76.998000000000005</v>
      </c>
      <c r="W1037" s="5">
        <f t="shared" si="105"/>
        <v>1</v>
      </c>
      <c r="Y1037" s="2" t="s">
        <v>118</v>
      </c>
      <c r="AE1037" s="2">
        <f t="shared" si="106"/>
        <v>0</v>
      </c>
      <c r="AI1037" s="2">
        <f t="shared" si="107"/>
        <v>0</v>
      </c>
      <c r="AJ1037" s="2">
        <f t="shared" si="108"/>
        <v>62.6</v>
      </c>
      <c r="AK1037" s="5">
        <f t="shared" si="103"/>
        <v>1</v>
      </c>
    </row>
    <row r="1038" spans="1:37" x14ac:dyDescent="0.2">
      <c r="A1038" s="2">
        <v>2025</v>
      </c>
      <c r="B1038" s="2">
        <v>5</v>
      </c>
      <c r="C1038" s="2" t="s">
        <v>834</v>
      </c>
      <c r="D1038" s="2" t="s">
        <v>109</v>
      </c>
      <c r="E1038" s="2" t="s">
        <v>39</v>
      </c>
      <c r="F1038" s="2">
        <v>506179095</v>
      </c>
      <c r="G1038" s="2" t="s">
        <v>40</v>
      </c>
      <c r="H1038" s="2" t="s">
        <v>835</v>
      </c>
      <c r="I1038" s="2" t="s">
        <v>836</v>
      </c>
      <c r="K1038" s="2" t="s">
        <v>100</v>
      </c>
      <c r="L1038" s="2" t="s">
        <v>81</v>
      </c>
      <c r="N1038" s="2" t="s">
        <v>1401</v>
      </c>
      <c r="O1038" s="2" t="s">
        <v>73</v>
      </c>
      <c r="P1038" s="2" t="s">
        <v>1402</v>
      </c>
      <c r="Q1038" s="2" t="s">
        <v>75</v>
      </c>
      <c r="R1038" s="2">
        <v>1</v>
      </c>
      <c r="S1038" s="2">
        <v>210</v>
      </c>
      <c r="T1038" s="2">
        <v>48.3</v>
      </c>
      <c r="U1038" s="2">
        <v>258.3</v>
      </c>
      <c r="W1038" s="5">
        <f t="shared" si="105"/>
        <v>1</v>
      </c>
      <c r="Y1038" s="2" t="s">
        <v>3256</v>
      </c>
      <c r="Z1038" s="2" t="s">
        <v>76</v>
      </c>
      <c r="AA1038" s="2" t="s">
        <v>77</v>
      </c>
      <c r="AB1038" s="2" t="s">
        <v>78</v>
      </c>
      <c r="AE1038" s="2">
        <f t="shared" si="106"/>
        <v>0</v>
      </c>
      <c r="AI1038" s="2">
        <f t="shared" si="107"/>
        <v>0</v>
      </c>
      <c r="AJ1038" s="2">
        <f t="shared" si="108"/>
        <v>210</v>
      </c>
      <c r="AK1038" s="5">
        <f t="shared" si="103"/>
        <v>1</v>
      </c>
    </row>
    <row r="1039" spans="1:37" x14ac:dyDescent="0.2">
      <c r="A1039" s="2">
        <v>2025</v>
      </c>
      <c r="B1039" s="2">
        <v>5</v>
      </c>
      <c r="C1039" s="2" t="s">
        <v>834</v>
      </c>
      <c r="D1039" s="2" t="s">
        <v>109</v>
      </c>
      <c r="E1039" s="2" t="s">
        <v>39</v>
      </c>
      <c r="F1039" s="2">
        <v>506179095</v>
      </c>
      <c r="G1039" s="2" t="s">
        <v>40</v>
      </c>
      <c r="H1039" s="2" t="s">
        <v>835</v>
      </c>
      <c r="I1039" s="2" t="s">
        <v>836</v>
      </c>
      <c r="K1039" s="2" t="s">
        <v>100</v>
      </c>
      <c r="L1039" s="2" t="s">
        <v>81</v>
      </c>
      <c r="N1039" s="2" t="s">
        <v>1401</v>
      </c>
      <c r="O1039" s="2" t="s">
        <v>94</v>
      </c>
      <c r="P1039" s="2" t="s">
        <v>95</v>
      </c>
      <c r="Q1039" s="2" t="s">
        <v>96</v>
      </c>
      <c r="R1039" s="2">
        <v>1</v>
      </c>
      <c r="S1039" s="2">
        <v>1.1399999999999999</v>
      </c>
      <c r="T1039" s="2">
        <v>0.26219999999999999</v>
      </c>
      <c r="U1039" s="2">
        <v>1.4021999999999999</v>
      </c>
      <c r="V1039" s="2">
        <v>1.1399999999999999</v>
      </c>
      <c r="W1039" s="5">
        <f t="shared" si="105"/>
        <v>0</v>
      </c>
      <c r="Y1039" s="2" t="s">
        <v>3256</v>
      </c>
      <c r="Z1039" s="2" t="s">
        <v>97</v>
      </c>
      <c r="AA1039" s="2" t="s">
        <v>77</v>
      </c>
      <c r="AB1039" s="2" t="s">
        <v>94</v>
      </c>
      <c r="AE1039" s="2">
        <f t="shared" si="106"/>
        <v>0</v>
      </c>
      <c r="AF1039" s="2">
        <v>1.1399999999999999</v>
      </c>
      <c r="AG1039" s="2">
        <v>1.1399999999999999</v>
      </c>
      <c r="AI1039" s="2">
        <f t="shared" si="107"/>
        <v>0</v>
      </c>
      <c r="AJ1039" s="2">
        <f t="shared" si="108"/>
        <v>0</v>
      </c>
      <c r="AK1039" s="5">
        <f t="shared" si="103"/>
        <v>0</v>
      </c>
    </row>
    <row r="1040" spans="1:37" x14ac:dyDescent="0.2">
      <c r="A1040" s="2">
        <v>2025</v>
      </c>
      <c r="B1040" s="2">
        <v>5</v>
      </c>
      <c r="C1040" s="2" t="s">
        <v>462</v>
      </c>
      <c r="D1040" s="2" t="s">
        <v>109</v>
      </c>
      <c r="E1040" s="2" t="s">
        <v>39</v>
      </c>
      <c r="F1040" s="2">
        <v>507016173</v>
      </c>
      <c r="G1040" s="2" t="s">
        <v>110</v>
      </c>
      <c r="H1040" s="2" t="s">
        <v>463</v>
      </c>
      <c r="I1040" s="2" t="s">
        <v>464</v>
      </c>
      <c r="K1040" s="2" t="s">
        <v>465</v>
      </c>
      <c r="O1040" s="2" t="s">
        <v>43</v>
      </c>
      <c r="P1040" s="2" t="s">
        <v>237</v>
      </c>
      <c r="Q1040" s="2" t="s">
        <v>238</v>
      </c>
      <c r="R1040" s="2">
        <v>1</v>
      </c>
      <c r="S1040" s="2">
        <v>16.2</v>
      </c>
      <c r="T1040" s="2">
        <v>3.726</v>
      </c>
      <c r="U1040" s="2">
        <v>19.925999999999998</v>
      </c>
      <c r="W1040" s="5">
        <f t="shared" si="105"/>
        <v>1</v>
      </c>
      <c r="Y1040" s="2" t="s">
        <v>3256</v>
      </c>
      <c r="Z1040" s="2" t="s">
        <v>46</v>
      </c>
      <c r="AA1040" s="2" t="s">
        <v>57</v>
      </c>
      <c r="AB1040" s="2" t="s">
        <v>58</v>
      </c>
      <c r="AE1040" s="2">
        <f t="shared" si="106"/>
        <v>0</v>
      </c>
      <c r="AI1040" s="2">
        <f t="shared" si="107"/>
        <v>0</v>
      </c>
      <c r="AJ1040" s="2">
        <f t="shared" si="108"/>
        <v>16.2</v>
      </c>
      <c r="AK1040" s="5">
        <f t="shared" si="103"/>
        <v>1</v>
      </c>
    </row>
    <row r="1041" spans="1:37" x14ac:dyDescent="0.2">
      <c r="A1041" s="2">
        <v>2025</v>
      </c>
      <c r="B1041" s="2">
        <v>5</v>
      </c>
      <c r="C1041" s="2" t="s">
        <v>462</v>
      </c>
      <c r="D1041" s="2" t="s">
        <v>109</v>
      </c>
      <c r="E1041" s="2" t="s">
        <v>39</v>
      </c>
      <c r="F1041" s="2">
        <v>507016173</v>
      </c>
      <c r="G1041" s="2" t="s">
        <v>110</v>
      </c>
      <c r="H1041" s="2" t="s">
        <v>463</v>
      </c>
      <c r="I1041" s="2" t="s">
        <v>464</v>
      </c>
      <c r="K1041" s="2" t="s">
        <v>465</v>
      </c>
      <c r="O1041" s="2" t="s">
        <v>43</v>
      </c>
      <c r="P1041" s="2" t="s">
        <v>245</v>
      </c>
      <c r="Q1041" s="2" t="s">
        <v>246</v>
      </c>
      <c r="R1041" s="2">
        <v>1</v>
      </c>
      <c r="S1041" s="2">
        <v>16.8</v>
      </c>
      <c r="T1041" s="2">
        <v>3.8639999999999999</v>
      </c>
      <c r="U1041" s="2">
        <v>20.664000000000001</v>
      </c>
      <c r="W1041" s="5">
        <f t="shared" si="105"/>
        <v>1</v>
      </c>
      <c r="Y1041" s="2" t="s">
        <v>3256</v>
      </c>
      <c r="Z1041" s="2" t="s">
        <v>46</v>
      </c>
      <c r="AA1041" s="2" t="s">
        <v>57</v>
      </c>
      <c r="AB1041" s="2" t="s">
        <v>58</v>
      </c>
      <c r="AE1041" s="2">
        <f t="shared" si="106"/>
        <v>0</v>
      </c>
      <c r="AI1041" s="2">
        <f t="shared" si="107"/>
        <v>0</v>
      </c>
      <c r="AJ1041" s="2">
        <f t="shared" si="108"/>
        <v>16.8</v>
      </c>
      <c r="AK1041" s="5">
        <f t="shared" ref="AK1041:AK1100" si="109">(S1041-V1041)/S1041</f>
        <v>1</v>
      </c>
    </row>
    <row r="1042" spans="1:37" x14ac:dyDescent="0.2">
      <c r="A1042" s="2">
        <v>2025</v>
      </c>
      <c r="B1042" s="2">
        <v>5</v>
      </c>
      <c r="C1042" s="2" t="s">
        <v>462</v>
      </c>
      <c r="D1042" s="2" t="s">
        <v>109</v>
      </c>
      <c r="E1042" s="2" t="s">
        <v>39</v>
      </c>
      <c r="F1042" s="2">
        <v>507016173</v>
      </c>
      <c r="G1042" s="2" t="s">
        <v>110</v>
      </c>
      <c r="H1042" s="2" t="s">
        <v>463</v>
      </c>
      <c r="I1042" s="2" t="s">
        <v>464</v>
      </c>
      <c r="K1042" s="2" t="s">
        <v>465</v>
      </c>
      <c r="O1042" s="2" t="s">
        <v>43</v>
      </c>
      <c r="P1042" s="2" t="s">
        <v>62</v>
      </c>
      <c r="Q1042" s="2" t="s">
        <v>63</v>
      </c>
      <c r="R1042" s="2">
        <v>1000</v>
      </c>
      <c r="S1042" s="2">
        <v>105</v>
      </c>
      <c r="T1042" s="2">
        <v>24.15</v>
      </c>
      <c r="U1042" s="2">
        <v>129.15</v>
      </c>
      <c r="V1042" s="2">
        <f>0.082*R1042</f>
        <v>82</v>
      </c>
      <c r="W1042" s="5">
        <f t="shared" si="105"/>
        <v>0.21904761904761905</v>
      </c>
      <c r="Y1042" s="2" t="s">
        <v>3256</v>
      </c>
      <c r="Z1042" s="2" t="s">
        <v>46</v>
      </c>
      <c r="AA1042" s="2" t="s">
        <v>61</v>
      </c>
      <c r="AB1042" s="2" t="s">
        <v>58</v>
      </c>
      <c r="AE1042" s="2">
        <f t="shared" si="106"/>
        <v>0</v>
      </c>
      <c r="AF1042" s="2">
        <v>8.1999999999999993</v>
      </c>
      <c r="AG1042" s="2">
        <v>13</v>
      </c>
      <c r="AI1042" s="2">
        <f t="shared" si="107"/>
        <v>0</v>
      </c>
      <c r="AJ1042" s="2">
        <f t="shared" si="108"/>
        <v>23</v>
      </c>
      <c r="AK1042" s="5">
        <f t="shared" si="109"/>
        <v>0.21904761904761905</v>
      </c>
    </row>
    <row r="1043" spans="1:37" x14ac:dyDescent="0.2">
      <c r="A1043" s="2">
        <v>2025</v>
      </c>
      <c r="B1043" s="2">
        <v>5</v>
      </c>
      <c r="C1043" s="2" t="s">
        <v>462</v>
      </c>
      <c r="D1043" s="2" t="s">
        <v>109</v>
      </c>
      <c r="E1043" s="2" t="s">
        <v>39</v>
      </c>
      <c r="F1043" s="2">
        <v>507016173</v>
      </c>
      <c r="G1043" s="2" t="s">
        <v>110</v>
      </c>
      <c r="H1043" s="2" t="s">
        <v>463</v>
      </c>
      <c r="I1043" s="2" t="s">
        <v>464</v>
      </c>
      <c r="K1043" s="2" t="s">
        <v>465</v>
      </c>
      <c r="O1043" s="2" t="s">
        <v>43</v>
      </c>
      <c r="P1043" s="2" t="s">
        <v>255</v>
      </c>
      <c r="Q1043" s="2" t="s">
        <v>256</v>
      </c>
      <c r="R1043" s="2">
        <v>200</v>
      </c>
      <c r="S1043" s="2">
        <v>26</v>
      </c>
      <c r="T1043" s="2">
        <v>5.98</v>
      </c>
      <c r="U1043" s="2">
        <v>31.98</v>
      </c>
      <c r="W1043" s="5">
        <f t="shared" si="105"/>
        <v>1</v>
      </c>
      <c r="Y1043" s="2" t="s">
        <v>3256</v>
      </c>
      <c r="Z1043" s="2" t="s">
        <v>46</v>
      </c>
      <c r="AA1043" s="2" t="s">
        <v>61</v>
      </c>
      <c r="AB1043" s="2" t="s">
        <v>58</v>
      </c>
      <c r="AE1043" s="2">
        <f t="shared" si="106"/>
        <v>0</v>
      </c>
      <c r="AI1043" s="2">
        <f t="shared" si="107"/>
        <v>0</v>
      </c>
      <c r="AJ1043" s="2">
        <f t="shared" si="108"/>
        <v>26</v>
      </c>
      <c r="AK1043" s="5">
        <f t="shared" si="109"/>
        <v>1</v>
      </c>
    </row>
    <row r="1044" spans="1:37" x14ac:dyDescent="0.2">
      <c r="A1044" s="2">
        <v>2025</v>
      </c>
      <c r="B1044" s="2">
        <v>5</v>
      </c>
      <c r="C1044" s="2" t="s">
        <v>1257</v>
      </c>
      <c r="O1044" s="2" t="s">
        <v>73</v>
      </c>
      <c r="P1044" s="2" t="s">
        <v>1402</v>
      </c>
      <c r="Q1044" s="2" t="s">
        <v>75</v>
      </c>
      <c r="R1044" s="2">
        <v>1</v>
      </c>
      <c r="S1044" s="2">
        <v>220</v>
      </c>
      <c r="T1044" s="2">
        <v>50.6</v>
      </c>
      <c r="U1044" s="2">
        <v>270.60000000000002</v>
      </c>
      <c r="W1044" s="5">
        <f t="shared" si="105"/>
        <v>1</v>
      </c>
      <c r="Y1044" s="2" t="s">
        <v>3256</v>
      </c>
      <c r="Z1044" s="2" t="s">
        <v>76</v>
      </c>
      <c r="AA1044" s="2" t="s">
        <v>77</v>
      </c>
      <c r="AB1044" s="2" t="s">
        <v>78</v>
      </c>
      <c r="AE1044" s="2">
        <f t="shared" si="106"/>
        <v>0</v>
      </c>
      <c r="AI1044" s="2">
        <f t="shared" si="107"/>
        <v>0</v>
      </c>
      <c r="AJ1044" s="2">
        <f t="shared" si="108"/>
        <v>220</v>
      </c>
      <c r="AK1044" s="5">
        <f t="shared" si="109"/>
        <v>1</v>
      </c>
    </row>
    <row r="1045" spans="1:37" x14ac:dyDescent="0.2">
      <c r="A1045" s="2">
        <v>2025</v>
      </c>
      <c r="B1045" s="2">
        <v>5</v>
      </c>
      <c r="C1045" s="2" t="s">
        <v>1257</v>
      </c>
      <c r="O1045" s="2" t="s">
        <v>94</v>
      </c>
      <c r="P1045" s="2" t="s">
        <v>95</v>
      </c>
      <c r="Q1045" s="2" t="s">
        <v>96</v>
      </c>
      <c r="R1045" s="2">
        <v>1</v>
      </c>
      <c r="S1045" s="2">
        <v>1.1399999999999999</v>
      </c>
      <c r="T1045" s="2">
        <v>0.26219999999999999</v>
      </c>
      <c r="U1045" s="2">
        <v>1.4021999999999999</v>
      </c>
      <c r="V1045" s="2">
        <v>1.1399999999999999</v>
      </c>
      <c r="W1045" s="5">
        <f t="shared" si="105"/>
        <v>0</v>
      </c>
      <c r="Y1045" s="2" t="s">
        <v>3256</v>
      </c>
      <c r="Z1045" s="2" t="s">
        <v>97</v>
      </c>
      <c r="AA1045" s="2" t="s">
        <v>77</v>
      </c>
      <c r="AB1045" s="2" t="s">
        <v>94</v>
      </c>
      <c r="AE1045" s="2">
        <f t="shared" si="106"/>
        <v>0</v>
      </c>
      <c r="AI1045" s="2">
        <f t="shared" si="107"/>
        <v>0</v>
      </c>
      <c r="AJ1045" s="2">
        <f t="shared" si="108"/>
        <v>0</v>
      </c>
      <c r="AK1045" s="5">
        <f t="shared" si="109"/>
        <v>0</v>
      </c>
    </row>
    <row r="1046" spans="1:37" x14ac:dyDescent="0.2">
      <c r="A1046" s="2">
        <v>2025</v>
      </c>
      <c r="B1046" s="2">
        <v>5</v>
      </c>
      <c r="C1046" s="2" t="s">
        <v>473</v>
      </c>
      <c r="D1046" s="2" t="s">
        <v>38</v>
      </c>
      <c r="E1046" s="2" t="s">
        <v>474</v>
      </c>
      <c r="F1046" s="2">
        <v>513626930</v>
      </c>
      <c r="G1046" s="2" t="s">
        <v>40</v>
      </c>
      <c r="H1046" s="2" t="s">
        <v>340</v>
      </c>
      <c r="I1046" s="2" t="s">
        <v>475</v>
      </c>
      <c r="K1046" s="2" t="s">
        <v>340</v>
      </c>
      <c r="L1046" s="2" t="s">
        <v>40</v>
      </c>
      <c r="O1046" s="2" t="s">
        <v>115</v>
      </c>
      <c r="P1046" s="2" t="s">
        <v>963</v>
      </c>
      <c r="Q1046" s="2" t="s">
        <v>964</v>
      </c>
      <c r="R1046" s="2">
        <v>1</v>
      </c>
      <c r="S1046" s="2">
        <v>10720</v>
      </c>
      <c r="T1046" s="2">
        <v>2465.6</v>
      </c>
      <c r="U1046" s="2">
        <v>13185.6</v>
      </c>
      <c r="V1046" s="2">
        <v>6468.73</v>
      </c>
      <c r="W1046" s="5">
        <f t="shared" si="105"/>
        <v>0.39657369402985077</v>
      </c>
      <c r="Y1046" s="2" t="s">
        <v>105</v>
      </c>
      <c r="Z1046" s="2" t="s">
        <v>621</v>
      </c>
      <c r="AA1046" s="2" t="s">
        <v>965</v>
      </c>
      <c r="AB1046" s="2" t="s">
        <v>115</v>
      </c>
      <c r="AE1046" s="2">
        <f t="shared" si="106"/>
        <v>0</v>
      </c>
      <c r="AF1046" s="2">
        <v>6468.73</v>
      </c>
      <c r="AI1046" s="2">
        <f t="shared" si="107"/>
        <v>0</v>
      </c>
      <c r="AJ1046" s="2">
        <f t="shared" si="108"/>
        <v>4251.2700000000004</v>
      </c>
      <c r="AK1046" s="5">
        <f t="shared" si="109"/>
        <v>0.39657369402985077</v>
      </c>
    </row>
    <row r="1047" spans="1:37" x14ac:dyDescent="0.2">
      <c r="A1047" s="2">
        <v>2025</v>
      </c>
      <c r="B1047" s="2">
        <v>5</v>
      </c>
      <c r="C1047" s="2" t="s">
        <v>473</v>
      </c>
      <c r="D1047" s="2" t="s">
        <v>38</v>
      </c>
      <c r="E1047" s="2" t="s">
        <v>474</v>
      </c>
      <c r="F1047" s="2">
        <v>513626930</v>
      </c>
      <c r="G1047" s="2" t="s">
        <v>40</v>
      </c>
      <c r="H1047" s="2" t="s">
        <v>340</v>
      </c>
      <c r="I1047" s="2" t="s">
        <v>475</v>
      </c>
      <c r="K1047" s="2" t="s">
        <v>340</v>
      </c>
      <c r="L1047" s="2" t="s">
        <v>40</v>
      </c>
      <c r="O1047" s="2" t="s">
        <v>283</v>
      </c>
      <c r="P1047" s="2" t="s">
        <v>532</v>
      </c>
      <c r="Q1047" s="2" t="s">
        <v>533</v>
      </c>
      <c r="R1047" s="2">
        <v>1</v>
      </c>
      <c r="S1047" s="2">
        <v>303</v>
      </c>
      <c r="T1047" s="2">
        <v>69.69</v>
      </c>
      <c r="U1047" s="2">
        <v>372.69</v>
      </c>
      <c r="W1047" s="5">
        <f t="shared" si="105"/>
        <v>1</v>
      </c>
      <c r="Y1047" s="2" t="s">
        <v>3256</v>
      </c>
      <c r="AE1047" s="2">
        <f t="shared" si="106"/>
        <v>0</v>
      </c>
      <c r="AI1047" s="2">
        <f t="shared" si="107"/>
        <v>0</v>
      </c>
      <c r="AJ1047" s="2">
        <f t="shared" si="108"/>
        <v>303</v>
      </c>
      <c r="AK1047" s="5">
        <f t="shared" si="109"/>
        <v>1</v>
      </c>
    </row>
    <row r="1048" spans="1:37" x14ac:dyDescent="0.2">
      <c r="A1048" s="2">
        <v>2025</v>
      </c>
      <c r="B1048" s="2">
        <v>5</v>
      </c>
      <c r="C1048" s="2" t="s">
        <v>473</v>
      </c>
      <c r="D1048" s="2" t="s">
        <v>38</v>
      </c>
      <c r="E1048" s="2" t="s">
        <v>474</v>
      </c>
      <c r="F1048" s="2">
        <v>513626930</v>
      </c>
      <c r="G1048" s="2" t="s">
        <v>40</v>
      </c>
      <c r="H1048" s="2" t="s">
        <v>340</v>
      </c>
      <c r="I1048" s="2" t="s">
        <v>475</v>
      </c>
      <c r="K1048" s="2" t="s">
        <v>340</v>
      </c>
      <c r="L1048" s="2" t="s">
        <v>40</v>
      </c>
      <c r="O1048" s="2" t="s">
        <v>283</v>
      </c>
      <c r="P1048" s="2" t="s">
        <v>1403</v>
      </c>
      <c r="Q1048" s="2" t="s">
        <v>1404</v>
      </c>
      <c r="R1048" s="2">
        <v>1</v>
      </c>
      <c r="S1048" s="2">
        <v>2399</v>
      </c>
      <c r="T1048" s="2">
        <v>551.77</v>
      </c>
      <c r="U1048" s="2">
        <v>2950.77</v>
      </c>
      <c r="W1048" s="5">
        <f t="shared" si="105"/>
        <v>1</v>
      </c>
      <c r="Y1048" s="2" t="s">
        <v>3256</v>
      </c>
      <c r="AE1048" s="2">
        <f t="shared" si="106"/>
        <v>0</v>
      </c>
      <c r="AI1048" s="2">
        <f t="shared" si="107"/>
        <v>0</v>
      </c>
      <c r="AJ1048" s="2">
        <f t="shared" si="108"/>
        <v>2399</v>
      </c>
      <c r="AK1048" s="5">
        <f t="shared" si="109"/>
        <v>1</v>
      </c>
    </row>
    <row r="1049" spans="1:37" x14ac:dyDescent="0.2">
      <c r="A1049" s="2">
        <v>2025</v>
      </c>
      <c r="B1049" s="2">
        <v>5</v>
      </c>
      <c r="C1049" s="2" t="s">
        <v>473</v>
      </c>
      <c r="D1049" s="2" t="s">
        <v>38</v>
      </c>
      <c r="E1049" s="2" t="s">
        <v>474</v>
      </c>
      <c r="F1049" s="2">
        <v>513626930</v>
      </c>
      <c r="G1049" s="2" t="s">
        <v>40</v>
      </c>
      <c r="H1049" s="2" t="s">
        <v>340</v>
      </c>
      <c r="I1049" s="2" t="s">
        <v>475</v>
      </c>
      <c r="K1049" s="2" t="s">
        <v>340</v>
      </c>
      <c r="L1049" s="2" t="s">
        <v>40</v>
      </c>
      <c r="O1049" s="2" t="s">
        <v>283</v>
      </c>
      <c r="P1049" s="2" t="s">
        <v>438</v>
      </c>
      <c r="Q1049" s="2" t="s">
        <v>439</v>
      </c>
      <c r="R1049" s="2">
        <v>1</v>
      </c>
      <c r="S1049" s="2">
        <v>562.75</v>
      </c>
      <c r="T1049" s="2">
        <v>129.4325</v>
      </c>
      <c r="U1049" s="2">
        <v>692.1825</v>
      </c>
      <c r="W1049" s="5">
        <f t="shared" si="105"/>
        <v>1</v>
      </c>
      <c r="Y1049" s="2" t="s">
        <v>105</v>
      </c>
      <c r="AE1049" s="2">
        <f t="shared" si="106"/>
        <v>0</v>
      </c>
      <c r="AI1049" s="2">
        <f t="shared" si="107"/>
        <v>0</v>
      </c>
      <c r="AJ1049" s="2">
        <f t="shared" si="108"/>
        <v>562.75</v>
      </c>
      <c r="AK1049" s="5">
        <f t="shared" si="109"/>
        <v>1</v>
      </c>
    </row>
    <row r="1050" spans="1:37" x14ac:dyDescent="0.2">
      <c r="A1050" s="2">
        <v>2025</v>
      </c>
      <c r="B1050" s="2">
        <v>5</v>
      </c>
      <c r="C1050" s="2" t="s">
        <v>850</v>
      </c>
      <c r="D1050" s="2" t="s">
        <v>38</v>
      </c>
      <c r="E1050" s="2" t="s">
        <v>39</v>
      </c>
      <c r="F1050" s="2">
        <v>161685080</v>
      </c>
      <c r="G1050" s="2" t="s">
        <v>41</v>
      </c>
      <c r="H1050" s="2" t="s">
        <v>422</v>
      </c>
      <c r="J1050" s="2" t="s">
        <v>851</v>
      </c>
      <c r="K1050" s="2" t="s">
        <v>422</v>
      </c>
      <c r="L1050" s="2" t="s">
        <v>41</v>
      </c>
      <c r="N1050" s="2" t="s">
        <v>1405</v>
      </c>
      <c r="O1050" s="2" t="s">
        <v>43</v>
      </c>
      <c r="P1050" s="2" t="s">
        <v>597</v>
      </c>
      <c r="Q1050" s="2" t="s">
        <v>598</v>
      </c>
      <c r="R1050" s="2">
        <v>1</v>
      </c>
      <c r="S1050" s="2">
        <v>28.8</v>
      </c>
      <c r="T1050" s="2">
        <v>6.6240000000000014</v>
      </c>
      <c r="U1050" s="2">
        <v>35.423999999999999</v>
      </c>
      <c r="W1050" s="5">
        <f t="shared" si="105"/>
        <v>1</v>
      </c>
      <c r="Y1050" s="2" t="s">
        <v>3256</v>
      </c>
      <c r="Z1050" s="2" t="s">
        <v>46</v>
      </c>
      <c r="AA1050" s="2" t="s">
        <v>47</v>
      </c>
      <c r="AB1050" s="2" t="s">
        <v>48</v>
      </c>
      <c r="AE1050" s="2">
        <f t="shared" si="106"/>
        <v>0</v>
      </c>
      <c r="AI1050" s="2">
        <f t="shared" si="107"/>
        <v>0</v>
      </c>
      <c r="AJ1050" s="2">
        <f t="shared" si="108"/>
        <v>28.8</v>
      </c>
      <c r="AK1050" s="5">
        <f t="shared" si="109"/>
        <v>1</v>
      </c>
    </row>
    <row r="1051" spans="1:37" x14ac:dyDescent="0.2">
      <c r="A1051" s="2">
        <v>2025</v>
      </c>
      <c r="B1051" s="2">
        <v>5</v>
      </c>
      <c r="C1051" s="2" t="s">
        <v>1265</v>
      </c>
      <c r="L1051" s="2" t="s">
        <v>81</v>
      </c>
      <c r="O1051" s="2" t="s">
        <v>73</v>
      </c>
      <c r="P1051" s="2" t="s">
        <v>74</v>
      </c>
      <c r="Q1051" s="2" t="s">
        <v>75</v>
      </c>
      <c r="R1051" s="2">
        <v>1</v>
      </c>
      <c r="S1051" s="2">
        <v>200</v>
      </c>
      <c r="T1051" s="2">
        <v>46</v>
      </c>
      <c r="U1051" s="2">
        <v>246</v>
      </c>
      <c r="V1051" s="2">
        <v>117.453</v>
      </c>
      <c r="W1051" s="5">
        <f t="shared" si="105"/>
        <v>0.41273499999999996</v>
      </c>
      <c r="Y1051" s="2" t="s">
        <v>3256</v>
      </c>
      <c r="Z1051" s="2" t="s">
        <v>76</v>
      </c>
      <c r="AA1051" s="2" t="s">
        <v>77</v>
      </c>
      <c r="AB1051" s="2" t="s">
        <v>78</v>
      </c>
      <c r="AE1051" s="2">
        <f t="shared" si="106"/>
        <v>0</v>
      </c>
      <c r="AF1051" s="2">
        <v>117.453</v>
      </c>
      <c r="AG1051" s="2">
        <v>220</v>
      </c>
      <c r="AI1051" s="2">
        <f t="shared" si="107"/>
        <v>0</v>
      </c>
      <c r="AJ1051" s="2">
        <f t="shared" si="108"/>
        <v>82.546999999999997</v>
      </c>
      <c r="AK1051" s="5">
        <f t="shared" si="109"/>
        <v>0.41273499999999996</v>
      </c>
    </row>
    <row r="1052" spans="1:37" x14ac:dyDescent="0.2">
      <c r="A1052" s="2">
        <v>2025</v>
      </c>
      <c r="B1052" s="2">
        <v>5</v>
      </c>
      <c r="C1052" s="2" t="s">
        <v>1265</v>
      </c>
      <c r="O1052" s="2" t="s">
        <v>94</v>
      </c>
      <c r="P1052" s="2" t="s">
        <v>95</v>
      </c>
      <c r="Q1052" s="2" t="s">
        <v>96</v>
      </c>
      <c r="R1052" s="2">
        <v>1</v>
      </c>
      <c r="S1052" s="2">
        <v>1.1399999999999999</v>
      </c>
      <c r="T1052" s="2">
        <v>0.26219999999999999</v>
      </c>
      <c r="U1052" s="2">
        <v>1.4021999999999999</v>
      </c>
      <c r="V1052" s="2">
        <v>1.1399999999999999</v>
      </c>
      <c r="W1052" s="5">
        <f>(S1052-V1052)/S1052</f>
        <v>0</v>
      </c>
      <c r="Y1052" s="2" t="s">
        <v>3256</v>
      </c>
      <c r="Z1052" s="2" t="s">
        <v>97</v>
      </c>
      <c r="AA1052" s="2" t="s">
        <v>77</v>
      </c>
      <c r="AB1052" s="2" t="s">
        <v>94</v>
      </c>
      <c r="AE1052" s="2">
        <f t="shared" si="106"/>
        <v>0</v>
      </c>
      <c r="AI1052" s="2">
        <f t="shared" si="107"/>
        <v>0</v>
      </c>
      <c r="AJ1052" s="2">
        <f t="shared" si="108"/>
        <v>0</v>
      </c>
      <c r="AK1052" s="5">
        <f t="shared" si="109"/>
        <v>0</v>
      </c>
    </row>
    <row r="1053" spans="1:37" x14ac:dyDescent="0.2">
      <c r="A1053" s="2">
        <v>2025</v>
      </c>
      <c r="B1053" s="2">
        <v>5</v>
      </c>
      <c r="C1053" s="2" t="s">
        <v>492</v>
      </c>
      <c r="D1053" s="2" t="s">
        <v>38</v>
      </c>
      <c r="E1053" s="2" t="s">
        <v>39</v>
      </c>
      <c r="F1053" s="2">
        <v>507380312</v>
      </c>
      <c r="G1053" s="2" t="s">
        <v>40</v>
      </c>
      <c r="H1053" s="2" t="s">
        <v>493</v>
      </c>
      <c r="I1053" s="2" t="s">
        <v>494</v>
      </c>
      <c r="J1053" s="2">
        <v>912293443</v>
      </c>
      <c r="K1053" s="2" t="s">
        <v>100</v>
      </c>
      <c r="L1053" s="2" t="s">
        <v>40</v>
      </c>
      <c r="O1053" s="2" t="s">
        <v>40</v>
      </c>
      <c r="P1053" s="2" t="s">
        <v>495</v>
      </c>
      <c r="Q1053" s="2" t="s">
        <v>496</v>
      </c>
      <c r="R1053" s="2">
        <v>1</v>
      </c>
      <c r="S1053" s="2">
        <v>664.04</v>
      </c>
      <c r="T1053" s="2">
        <v>152.72919999999999</v>
      </c>
      <c r="U1053" s="2">
        <v>816.76919999999996</v>
      </c>
      <c r="W1053" s="5">
        <f>(S1053-V1053)/S1053</f>
        <v>1</v>
      </c>
      <c r="Y1053" s="2" t="s">
        <v>120</v>
      </c>
      <c r="AE1053" s="2">
        <f t="shared" si="106"/>
        <v>0</v>
      </c>
      <c r="AI1053" s="2">
        <f t="shared" si="107"/>
        <v>0</v>
      </c>
      <c r="AJ1053" s="2">
        <f t="shared" si="108"/>
        <v>664.04</v>
      </c>
      <c r="AK1053" s="5">
        <f t="shared" si="109"/>
        <v>1</v>
      </c>
    </row>
    <row r="1054" spans="1:37" x14ac:dyDescent="0.2">
      <c r="A1054" s="2">
        <v>2025</v>
      </c>
      <c r="B1054" s="2">
        <v>5</v>
      </c>
      <c r="C1054" s="2" t="s">
        <v>1406</v>
      </c>
      <c r="O1054" s="2" t="s">
        <v>69</v>
      </c>
      <c r="P1054" s="2" t="s">
        <v>1407</v>
      </c>
      <c r="Q1054" s="2" t="s">
        <v>1408</v>
      </c>
      <c r="R1054" s="2">
        <v>1</v>
      </c>
      <c r="S1054" s="2">
        <v>2190</v>
      </c>
      <c r="T1054" s="2">
        <v>503.7</v>
      </c>
      <c r="U1054" s="2">
        <v>2693.7</v>
      </c>
      <c r="W1054" s="5">
        <f>(S1054-V1054)/S1054</f>
        <v>1</v>
      </c>
      <c r="Y1054" s="2" t="s">
        <v>105</v>
      </c>
      <c r="Z1054" s="2" t="s">
        <v>306</v>
      </c>
      <c r="AB1054" s="2" t="s">
        <v>3261</v>
      </c>
      <c r="AE1054" s="2">
        <f t="shared" si="106"/>
        <v>0</v>
      </c>
      <c r="AI1054" s="2">
        <f t="shared" si="107"/>
        <v>0</v>
      </c>
      <c r="AJ1054" s="2">
        <f t="shared" si="108"/>
        <v>2190</v>
      </c>
      <c r="AK1054" s="5">
        <f t="shared" si="109"/>
        <v>1</v>
      </c>
    </row>
    <row r="1055" spans="1:37" x14ac:dyDescent="0.2">
      <c r="A1055" s="2">
        <v>2025</v>
      </c>
      <c r="B1055" s="2">
        <v>5</v>
      </c>
      <c r="C1055" s="2" t="s">
        <v>1409</v>
      </c>
      <c r="D1055" s="2" t="s">
        <v>38</v>
      </c>
      <c r="E1055" s="2" t="s">
        <v>39</v>
      </c>
      <c r="F1055" s="2">
        <v>509014313</v>
      </c>
      <c r="G1055" s="2" t="s">
        <v>40</v>
      </c>
      <c r="H1055" s="2" t="s">
        <v>3246</v>
      </c>
      <c r="I1055" s="2" t="s">
        <v>3245</v>
      </c>
      <c r="J1055" s="2">
        <v>913814877</v>
      </c>
      <c r="K1055" s="2" t="s">
        <v>202</v>
      </c>
      <c r="L1055" s="2" t="s">
        <v>81</v>
      </c>
      <c r="N1055" s="2" t="s">
        <v>3237</v>
      </c>
      <c r="O1055" s="2" t="s">
        <v>43</v>
      </c>
      <c r="P1055" s="2" t="s">
        <v>55</v>
      </c>
      <c r="Q1055" s="2" t="s">
        <v>56</v>
      </c>
      <c r="R1055" s="2">
        <v>3</v>
      </c>
      <c r="S1055" s="2">
        <v>54</v>
      </c>
      <c r="T1055" s="2">
        <v>12.42</v>
      </c>
      <c r="U1055" s="2">
        <v>66.42</v>
      </c>
      <c r="V1055" s="2">
        <f>10.6*R1055</f>
        <v>31.799999999999997</v>
      </c>
      <c r="W1055" s="5">
        <f>(S1055-V1055)/S1055</f>
        <v>0.41111111111111115</v>
      </c>
      <c r="Y1055" s="2" t="s">
        <v>3256</v>
      </c>
      <c r="Z1055" s="2" t="s">
        <v>46</v>
      </c>
      <c r="AA1055" s="2" t="s">
        <v>57</v>
      </c>
      <c r="AB1055" s="2" t="s">
        <v>58</v>
      </c>
      <c r="AE1055" s="2">
        <f t="shared" si="106"/>
        <v>0</v>
      </c>
      <c r="AF1055" s="2">
        <v>10.6</v>
      </c>
      <c r="AG1055" s="2">
        <v>18</v>
      </c>
      <c r="AI1055" s="2">
        <f t="shared" si="107"/>
        <v>0</v>
      </c>
      <c r="AJ1055" s="2">
        <f t="shared" si="108"/>
        <v>22.200000000000003</v>
      </c>
      <c r="AK1055" s="5">
        <f t="shared" si="109"/>
        <v>0.41111111111111115</v>
      </c>
    </row>
    <row r="1056" spans="1:37" x14ac:dyDescent="0.2">
      <c r="A1056" s="2">
        <v>2025</v>
      </c>
      <c r="B1056" s="2">
        <v>5</v>
      </c>
      <c r="C1056" s="2" t="s">
        <v>1409</v>
      </c>
      <c r="D1056" s="2" t="s">
        <v>38</v>
      </c>
      <c r="E1056" s="2" t="s">
        <v>39</v>
      </c>
      <c r="F1056" s="2">
        <v>509014313</v>
      </c>
      <c r="G1056" s="2" t="s">
        <v>40</v>
      </c>
      <c r="H1056" s="2" t="s">
        <v>3246</v>
      </c>
      <c r="I1056" s="2" t="s">
        <v>3245</v>
      </c>
      <c r="J1056" s="2">
        <v>913814877</v>
      </c>
      <c r="K1056" s="2" t="s">
        <v>202</v>
      </c>
      <c r="L1056" s="2" t="s">
        <v>81</v>
      </c>
      <c r="N1056" s="2" t="s">
        <v>3237</v>
      </c>
      <c r="O1056" s="2" t="s">
        <v>43</v>
      </c>
      <c r="P1056" s="2" t="s">
        <v>66</v>
      </c>
      <c r="Q1056" s="2" t="s">
        <v>67</v>
      </c>
      <c r="R1056" s="2">
        <v>1</v>
      </c>
      <c r="S1056" s="2">
        <v>25.2</v>
      </c>
      <c r="T1056" s="2">
        <v>5.7960000000000003</v>
      </c>
      <c r="U1056" s="2">
        <v>30.995999999999999</v>
      </c>
      <c r="V1056" s="2">
        <f>15.0203*R1056</f>
        <v>15.020300000000001</v>
      </c>
      <c r="W1056" s="5">
        <f>(S1056-V1056)/S1056</f>
        <v>0.40395634920634915</v>
      </c>
      <c r="Y1056" s="2" t="s">
        <v>3256</v>
      </c>
      <c r="Z1056" s="2" t="s">
        <v>46</v>
      </c>
      <c r="AA1056" s="2" t="s">
        <v>68</v>
      </c>
      <c r="AB1056" s="2" t="s">
        <v>58</v>
      </c>
      <c r="AE1056" s="2">
        <f t="shared" si="106"/>
        <v>0</v>
      </c>
      <c r="AF1056" s="2">
        <v>15.020300000000001</v>
      </c>
      <c r="AG1056" s="2">
        <v>27.6</v>
      </c>
      <c r="AI1056" s="2">
        <f t="shared" si="107"/>
        <v>0</v>
      </c>
      <c r="AJ1056" s="2">
        <f t="shared" si="108"/>
        <v>10.179699999999999</v>
      </c>
      <c r="AK1056" s="5">
        <f t="shared" si="109"/>
        <v>0.40395634920634915</v>
      </c>
    </row>
    <row r="1057" spans="1:37" x14ac:dyDescent="0.2">
      <c r="A1057" s="2">
        <v>2025</v>
      </c>
      <c r="B1057" s="2">
        <v>5</v>
      </c>
      <c r="C1057" s="2" t="s">
        <v>1409</v>
      </c>
      <c r="D1057" s="2" t="s">
        <v>38</v>
      </c>
      <c r="E1057" s="2" t="s">
        <v>39</v>
      </c>
      <c r="F1057" s="2">
        <v>509014313</v>
      </c>
      <c r="G1057" s="2" t="s">
        <v>40</v>
      </c>
      <c r="H1057" s="2" t="s">
        <v>3246</v>
      </c>
      <c r="I1057" s="2" t="s">
        <v>3245</v>
      </c>
      <c r="J1057" s="2">
        <v>913814877</v>
      </c>
      <c r="K1057" s="2" t="s">
        <v>202</v>
      </c>
      <c r="L1057" s="2" t="s">
        <v>40</v>
      </c>
      <c r="N1057" s="2" t="s">
        <v>3238</v>
      </c>
      <c r="O1057" s="2" t="s">
        <v>188</v>
      </c>
      <c r="P1057" s="2" t="s">
        <v>189</v>
      </c>
      <c r="Q1057" s="2" t="s">
        <v>190</v>
      </c>
      <c r="R1057" s="2">
        <v>1</v>
      </c>
      <c r="S1057" s="2">
        <v>0</v>
      </c>
      <c r="T1057" s="2">
        <v>0</v>
      </c>
      <c r="U1057" s="2">
        <v>0</v>
      </c>
      <c r="W1057" s="5">
        <v>0</v>
      </c>
      <c r="Y1057" s="2" t="s">
        <v>118</v>
      </c>
      <c r="Z1057" s="2" t="s">
        <v>191</v>
      </c>
      <c r="AE1057" s="2">
        <f t="shared" si="106"/>
        <v>0</v>
      </c>
      <c r="AI1057" s="2">
        <f t="shared" si="107"/>
        <v>0</v>
      </c>
      <c r="AJ1057" s="2">
        <f t="shared" si="108"/>
        <v>0</v>
      </c>
      <c r="AK1057" s="5" t="e">
        <f t="shared" si="109"/>
        <v>#DIV/0!</v>
      </c>
    </row>
    <row r="1058" spans="1:37" x14ac:dyDescent="0.2">
      <c r="A1058" s="2">
        <v>2025</v>
      </c>
      <c r="B1058" s="2">
        <v>5</v>
      </c>
      <c r="C1058" s="2" t="s">
        <v>1409</v>
      </c>
      <c r="D1058" s="2" t="s">
        <v>38</v>
      </c>
      <c r="E1058" s="2" t="s">
        <v>39</v>
      </c>
      <c r="F1058" s="2">
        <v>509014313</v>
      </c>
      <c r="G1058" s="2" t="s">
        <v>40</v>
      </c>
      <c r="H1058" s="2" t="s">
        <v>3246</v>
      </c>
      <c r="I1058" s="2" t="s">
        <v>3245</v>
      </c>
      <c r="J1058" s="2">
        <v>913814877</v>
      </c>
      <c r="K1058" s="2" t="s">
        <v>202</v>
      </c>
      <c r="L1058" s="2" t="s">
        <v>40</v>
      </c>
      <c r="N1058" s="2" t="s">
        <v>3238</v>
      </c>
      <c r="O1058" s="2" t="s">
        <v>188</v>
      </c>
      <c r="P1058" s="2" t="s">
        <v>192</v>
      </c>
      <c r="Q1058" s="2" t="s">
        <v>191</v>
      </c>
      <c r="R1058" s="2">
        <v>0.75</v>
      </c>
      <c r="S1058" s="2">
        <v>0</v>
      </c>
      <c r="T1058" s="2">
        <v>0</v>
      </c>
      <c r="U1058" s="2">
        <v>0</v>
      </c>
      <c r="V1058" s="2">
        <f>S1058*50%</f>
        <v>0</v>
      </c>
      <c r="W1058" s="5">
        <v>0</v>
      </c>
      <c r="Y1058" s="2" t="s">
        <v>118</v>
      </c>
      <c r="Z1058" s="2" t="s">
        <v>191</v>
      </c>
      <c r="AE1058" s="2">
        <f t="shared" si="106"/>
        <v>0</v>
      </c>
      <c r="AI1058" s="2">
        <f t="shared" si="107"/>
        <v>0</v>
      </c>
      <c r="AJ1058" s="2">
        <f t="shared" si="108"/>
        <v>0</v>
      </c>
      <c r="AK1058" s="5" t="e">
        <f t="shared" si="109"/>
        <v>#DIV/0!</v>
      </c>
    </row>
    <row r="1059" spans="1:37" x14ac:dyDescent="0.2">
      <c r="A1059" s="2">
        <v>2025</v>
      </c>
      <c r="B1059" s="2">
        <v>5</v>
      </c>
      <c r="C1059" s="2" t="s">
        <v>1409</v>
      </c>
      <c r="D1059" s="2" t="s">
        <v>38</v>
      </c>
      <c r="E1059" s="2" t="s">
        <v>39</v>
      </c>
      <c r="F1059" s="2">
        <v>509014313</v>
      </c>
      <c r="G1059" s="2" t="s">
        <v>40</v>
      </c>
      <c r="H1059" s="2" t="s">
        <v>3246</v>
      </c>
      <c r="I1059" s="2" t="s">
        <v>3245</v>
      </c>
      <c r="J1059" s="2">
        <v>913814877</v>
      </c>
      <c r="K1059" s="2" t="s">
        <v>202</v>
      </c>
      <c r="L1059" s="2" t="s">
        <v>40</v>
      </c>
      <c r="N1059" s="2" t="s">
        <v>3238</v>
      </c>
      <c r="O1059" s="2" t="s">
        <v>40</v>
      </c>
      <c r="P1059" s="2" t="s">
        <v>364</v>
      </c>
      <c r="Q1059" s="2" t="s">
        <v>365</v>
      </c>
      <c r="R1059" s="2">
        <v>1</v>
      </c>
      <c r="S1059" s="2">
        <v>142.51</v>
      </c>
      <c r="T1059" s="2">
        <v>32.777299999999997</v>
      </c>
      <c r="U1059" s="2">
        <v>175.28729999999999</v>
      </c>
      <c r="W1059" s="5">
        <f t="shared" ref="W1059:W1100" si="110">(S1059-V1059)/S1059</f>
        <v>1</v>
      </c>
      <c r="Y1059" s="2" t="s">
        <v>120</v>
      </c>
      <c r="AE1059" s="2">
        <f t="shared" si="106"/>
        <v>0</v>
      </c>
      <c r="AI1059" s="2">
        <f t="shared" si="107"/>
        <v>0</v>
      </c>
      <c r="AJ1059" s="2">
        <f t="shared" si="108"/>
        <v>142.51</v>
      </c>
      <c r="AK1059" s="5">
        <f t="shared" si="109"/>
        <v>1</v>
      </c>
    </row>
    <row r="1060" spans="1:37" x14ac:dyDescent="0.2">
      <c r="A1060" s="2">
        <v>2025</v>
      </c>
      <c r="B1060" s="2">
        <v>5</v>
      </c>
      <c r="C1060" s="2" t="s">
        <v>1410</v>
      </c>
      <c r="O1060" s="2" t="s">
        <v>73</v>
      </c>
      <c r="P1060" s="2" t="s">
        <v>74</v>
      </c>
      <c r="Q1060" s="2" t="s">
        <v>75</v>
      </c>
      <c r="R1060" s="2">
        <v>2</v>
      </c>
      <c r="S1060" s="2">
        <v>420</v>
      </c>
      <c r="T1060" s="2">
        <v>96.600000000000009</v>
      </c>
      <c r="U1060" s="2">
        <v>516.6</v>
      </c>
      <c r="V1060" s="2">
        <v>234.90600000000001</v>
      </c>
      <c r="W1060" s="5">
        <f t="shared" si="110"/>
        <v>0.44069999999999998</v>
      </c>
      <c r="Y1060" s="2" t="s">
        <v>3256</v>
      </c>
      <c r="Z1060" s="2" t="s">
        <v>76</v>
      </c>
      <c r="AA1060" s="2" t="s">
        <v>77</v>
      </c>
      <c r="AB1060" s="2" t="s">
        <v>78</v>
      </c>
      <c r="AE1060" s="2">
        <f t="shared" si="106"/>
        <v>0</v>
      </c>
      <c r="AF1060" s="2">
        <v>117.453</v>
      </c>
      <c r="AG1060" s="2">
        <v>220</v>
      </c>
      <c r="AI1060" s="2">
        <f t="shared" si="107"/>
        <v>0</v>
      </c>
      <c r="AJ1060" s="2">
        <f t="shared" si="108"/>
        <v>185.09399999999999</v>
      </c>
      <c r="AK1060" s="5">
        <f t="shared" si="109"/>
        <v>0.44069999999999998</v>
      </c>
    </row>
    <row r="1061" spans="1:37" x14ac:dyDescent="0.2">
      <c r="A1061" s="2">
        <v>2025</v>
      </c>
      <c r="B1061" s="2">
        <v>5</v>
      </c>
      <c r="C1061" s="2" t="s">
        <v>1410</v>
      </c>
      <c r="O1061" s="2" t="s">
        <v>94</v>
      </c>
      <c r="P1061" s="2" t="s">
        <v>95</v>
      </c>
      <c r="Q1061" s="2" t="s">
        <v>96</v>
      </c>
      <c r="R1061" s="2">
        <v>2</v>
      </c>
      <c r="S1061" s="2">
        <v>2.2799999999999998</v>
      </c>
      <c r="T1061" s="2">
        <v>0.52439999999999998</v>
      </c>
      <c r="U1061" s="2">
        <v>2.8043999999999998</v>
      </c>
      <c r="V1061" s="2">
        <v>2.2799999999999998</v>
      </c>
      <c r="W1061" s="5">
        <f t="shared" si="110"/>
        <v>0</v>
      </c>
      <c r="Y1061" s="2" t="s">
        <v>3256</v>
      </c>
      <c r="Z1061" s="2" t="s">
        <v>97</v>
      </c>
      <c r="AA1061" s="2" t="s">
        <v>77</v>
      </c>
      <c r="AB1061" s="2" t="s">
        <v>94</v>
      </c>
      <c r="AE1061" s="2">
        <f t="shared" si="106"/>
        <v>0</v>
      </c>
      <c r="AI1061" s="2">
        <f t="shared" si="107"/>
        <v>0</v>
      </c>
      <c r="AJ1061" s="2">
        <f t="shared" si="108"/>
        <v>0</v>
      </c>
      <c r="AK1061" s="5">
        <f t="shared" si="109"/>
        <v>0</v>
      </c>
    </row>
    <row r="1062" spans="1:37" x14ac:dyDescent="0.2">
      <c r="A1062" s="2">
        <v>2025</v>
      </c>
      <c r="B1062" s="2">
        <v>5</v>
      </c>
      <c r="C1062" s="2" t="s">
        <v>1411</v>
      </c>
      <c r="D1062" s="2" t="s">
        <v>38</v>
      </c>
      <c r="E1062" s="2" t="s">
        <v>39</v>
      </c>
      <c r="F1062" s="2">
        <v>507860098</v>
      </c>
      <c r="G1062" s="2" t="s">
        <v>41</v>
      </c>
      <c r="H1062" s="2" t="s">
        <v>1412</v>
      </c>
      <c r="I1062" s="2" t="s">
        <v>1413</v>
      </c>
      <c r="K1062" s="2" t="s">
        <v>178</v>
      </c>
      <c r="L1062" s="2" t="s">
        <v>40</v>
      </c>
      <c r="N1062" s="2" t="s">
        <v>1414</v>
      </c>
      <c r="O1062" s="2" t="s">
        <v>115</v>
      </c>
      <c r="P1062" s="6" t="s">
        <v>127</v>
      </c>
      <c r="Q1062" s="2" t="s">
        <v>128</v>
      </c>
      <c r="R1062" s="2">
        <v>2</v>
      </c>
      <c r="S1062" s="2">
        <v>14.21</v>
      </c>
      <c r="T1062" s="2">
        <v>3.2683</v>
      </c>
      <c r="U1062" s="2">
        <v>17.478300000000001</v>
      </c>
      <c r="V1062" s="2">
        <f>3.3596*R1062</f>
        <v>6.7191999999999998</v>
      </c>
      <c r="W1062" s="5">
        <f t="shared" si="110"/>
        <v>0.52714989444053484</v>
      </c>
      <c r="Y1062" s="2" t="s">
        <v>118</v>
      </c>
      <c r="Z1062" s="2" t="s">
        <v>119</v>
      </c>
      <c r="AA1062" s="2" t="s">
        <v>120</v>
      </c>
      <c r="AB1062" s="2" t="s">
        <v>115</v>
      </c>
      <c r="AE1062" s="2">
        <f t="shared" si="106"/>
        <v>0</v>
      </c>
      <c r="AF1062" s="2">
        <v>3.3595999999999999</v>
      </c>
      <c r="AI1062" s="2">
        <f t="shared" si="107"/>
        <v>0</v>
      </c>
      <c r="AJ1062" s="2">
        <f t="shared" si="108"/>
        <v>7.490800000000001</v>
      </c>
      <c r="AK1062" s="5">
        <f t="shared" si="109"/>
        <v>0.52714989444053484</v>
      </c>
    </row>
    <row r="1063" spans="1:37" x14ac:dyDescent="0.2">
      <c r="A1063" s="2">
        <v>2025</v>
      </c>
      <c r="B1063" s="2">
        <v>5</v>
      </c>
      <c r="C1063" s="2" t="s">
        <v>1411</v>
      </c>
      <c r="O1063" s="2" t="s">
        <v>115</v>
      </c>
      <c r="P1063" s="2" t="s">
        <v>1415</v>
      </c>
      <c r="Q1063" s="2" t="s">
        <v>1416</v>
      </c>
      <c r="R1063" s="2">
        <v>4</v>
      </c>
      <c r="S1063" s="2">
        <v>28.14</v>
      </c>
      <c r="T1063" s="2">
        <v>6.4722000000000008</v>
      </c>
      <c r="U1063" s="2">
        <v>34.612200000000001</v>
      </c>
      <c r="W1063" s="5">
        <f t="shared" si="110"/>
        <v>1</v>
      </c>
      <c r="Y1063" s="2" t="s">
        <v>118</v>
      </c>
      <c r="AE1063" s="2">
        <f t="shared" si="106"/>
        <v>0</v>
      </c>
      <c r="AI1063" s="2">
        <f t="shared" si="107"/>
        <v>0</v>
      </c>
      <c r="AJ1063" s="2">
        <f t="shared" si="108"/>
        <v>28.14</v>
      </c>
      <c r="AK1063" s="5">
        <f t="shared" si="109"/>
        <v>1</v>
      </c>
    </row>
    <row r="1064" spans="1:37" x14ac:dyDescent="0.2">
      <c r="A1064" s="2">
        <v>2025</v>
      </c>
      <c r="B1064" s="2">
        <v>5</v>
      </c>
      <c r="C1064" s="2" t="s">
        <v>1411</v>
      </c>
      <c r="O1064" s="2" t="s">
        <v>115</v>
      </c>
      <c r="P1064" s="2" t="s">
        <v>652</v>
      </c>
      <c r="Q1064" s="2" t="s">
        <v>653</v>
      </c>
      <c r="R1064" s="2">
        <v>1</v>
      </c>
      <c r="S1064" s="2">
        <v>62.6</v>
      </c>
      <c r="T1064" s="2">
        <v>14.398</v>
      </c>
      <c r="U1064" s="2">
        <v>76.998000000000005</v>
      </c>
      <c r="W1064" s="5">
        <f t="shared" si="110"/>
        <v>1</v>
      </c>
      <c r="Y1064" s="2" t="s">
        <v>118</v>
      </c>
      <c r="AE1064" s="2">
        <f t="shared" si="106"/>
        <v>0</v>
      </c>
      <c r="AI1064" s="2">
        <f t="shared" si="107"/>
        <v>0</v>
      </c>
      <c r="AJ1064" s="2">
        <f t="shared" si="108"/>
        <v>62.6</v>
      </c>
      <c r="AK1064" s="5">
        <f t="shared" si="109"/>
        <v>1</v>
      </c>
    </row>
    <row r="1065" spans="1:37" x14ac:dyDescent="0.2">
      <c r="A1065" s="2">
        <v>2025</v>
      </c>
      <c r="B1065" s="2">
        <v>5</v>
      </c>
      <c r="C1065" s="2" t="s">
        <v>1411</v>
      </c>
      <c r="O1065" s="2" t="s">
        <v>115</v>
      </c>
      <c r="P1065" s="2" t="s">
        <v>1417</v>
      </c>
      <c r="Q1065" s="2" t="s">
        <v>1418</v>
      </c>
      <c r="R1065" s="2">
        <v>1</v>
      </c>
      <c r="S1065" s="2">
        <v>65.209999999999994</v>
      </c>
      <c r="T1065" s="2">
        <v>14.9983</v>
      </c>
      <c r="U1065" s="2">
        <v>80.208299999999994</v>
      </c>
      <c r="W1065" s="5">
        <f t="shared" si="110"/>
        <v>1</v>
      </c>
      <c r="Y1065" s="2" t="s">
        <v>118</v>
      </c>
      <c r="AE1065" s="2">
        <f t="shared" si="106"/>
        <v>0</v>
      </c>
      <c r="AI1065" s="2">
        <f t="shared" si="107"/>
        <v>0</v>
      </c>
      <c r="AJ1065" s="2">
        <f t="shared" si="108"/>
        <v>65.209999999999994</v>
      </c>
      <c r="AK1065" s="5">
        <f t="shared" si="109"/>
        <v>1</v>
      </c>
    </row>
    <row r="1066" spans="1:37" x14ac:dyDescent="0.2">
      <c r="A1066" s="2">
        <v>2025</v>
      </c>
      <c r="B1066" s="2">
        <v>5</v>
      </c>
      <c r="C1066" s="2" t="s">
        <v>1411</v>
      </c>
      <c r="O1066" s="2" t="s">
        <v>115</v>
      </c>
      <c r="P1066" s="2" t="s">
        <v>1419</v>
      </c>
      <c r="Q1066" s="2" t="s">
        <v>1420</v>
      </c>
      <c r="R1066" s="2">
        <v>1</v>
      </c>
      <c r="S1066" s="2">
        <v>41.56</v>
      </c>
      <c r="T1066" s="2">
        <v>9.5588000000000015</v>
      </c>
      <c r="U1066" s="2">
        <v>51.118800000000007</v>
      </c>
      <c r="W1066" s="5">
        <f t="shared" si="110"/>
        <v>1</v>
      </c>
      <c r="Y1066" s="2" t="s">
        <v>118</v>
      </c>
      <c r="AE1066" s="2">
        <f t="shared" si="106"/>
        <v>0</v>
      </c>
      <c r="AI1066" s="2">
        <f t="shared" si="107"/>
        <v>0</v>
      </c>
      <c r="AJ1066" s="2">
        <f t="shared" si="108"/>
        <v>41.56</v>
      </c>
      <c r="AK1066" s="5">
        <f t="shared" si="109"/>
        <v>1</v>
      </c>
    </row>
    <row r="1067" spans="1:37" x14ac:dyDescent="0.2">
      <c r="A1067" s="2">
        <v>2025</v>
      </c>
      <c r="B1067" s="2">
        <v>5</v>
      </c>
      <c r="C1067" s="2" t="s">
        <v>1411</v>
      </c>
      <c r="O1067" s="2" t="s">
        <v>115</v>
      </c>
      <c r="P1067" s="2" t="s">
        <v>1421</v>
      </c>
      <c r="Q1067" s="2" t="s">
        <v>1422</v>
      </c>
      <c r="R1067" s="2">
        <v>2</v>
      </c>
      <c r="S1067" s="2">
        <v>172.63</v>
      </c>
      <c r="T1067" s="2">
        <v>39.704900000000002</v>
      </c>
      <c r="U1067" s="2">
        <v>212.3349</v>
      </c>
      <c r="W1067" s="5">
        <f t="shared" si="110"/>
        <v>1</v>
      </c>
      <c r="Y1067" s="2" t="s">
        <v>118</v>
      </c>
      <c r="AE1067" s="2">
        <f t="shared" si="106"/>
        <v>0</v>
      </c>
      <c r="AI1067" s="2">
        <f t="shared" si="107"/>
        <v>0</v>
      </c>
      <c r="AJ1067" s="2">
        <f t="shared" si="108"/>
        <v>172.63</v>
      </c>
      <c r="AK1067" s="5">
        <f t="shared" si="109"/>
        <v>1</v>
      </c>
    </row>
    <row r="1068" spans="1:37" x14ac:dyDescent="0.2">
      <c r="A1068" s="2">
        <v>2025</v>
      </c>
      <c r="B1068" s="2">
        <v>5</v>
      </c>
      <c r="C1068" s="2" t="s">
        <v>1411</v>
      </c>
      <c r="O1068" s="2" t="s">
        <v>115</v>
      </c>
      <c r="P1068" s="2" t="s">
        <v>986</v>
      </c>
      <c r="Q1068" s="2" t="s">
        <v>987</v>
      </c>
      <c r="R1068" s="2">
        <v>1</v>
      </c>
      <c r="S1068" s="2">
        <v>76.930000000000007</v>
      </c>
      <c r="T1068" s="2">
        <v>17.693899999999999</v>
      </c>
      <c r="U1068" s="2">
        <v>94.623900000000006</v>
      </c>
      <c r="W1068" s="5">
        <f t="shared" si="110"/>
        <v>1</v>
      </c>
      <c r="Y1068" s="2" t="s">
        <v>118</v>
      </c>
      <c r="AE1068" s="2">
        <f t="shared" si="106"/>
        <v>0</v>
      </c>
      <c r="AI1068" s="2">
        <f t="shared" si="107"/>
        <v>0</v>
      </c>
      <c r="AJ1068" s="2">
        <f t="shared" si="108"/>
        <v>76.930000000000007</v>
      </c>
      <c r="AK1068" s="5">
        <f t="shared" si="109"/>
        <v>1</v>
      </c>
    </row>
    <row r="1069" spans="1:37" x14ac:dyDescent="0.2">
      <c r="A1069" s="2">
        <v>2025</v>
      </c>
      <c r="B1069" s="2">
        <v>5</v>
      </c>
      <c r="C1069" s="2" t="s">
        <v>1411</v>
      </c>
      <c r="L1069" s="2" t="s">
        <v>40</v>
      </c>
      <c r="O1069" s="2" t="s">
        <v>188</v>
      </c>
      <c r="P1069" s="2" t="s">
        <v>189</v>
      </c>
      <c r="Q1069" s="2" t="s">
        <v>190</v>
      </c>
      <c r="R1069" s="2">
        <v>1</v>
      </c>
      <c r="S1069" s="2">
        <v>60</v>
      </c>
      <c r="T1069" s="2">
        <v>13.8</v>
      </c>
      <c r="U1069" s="2">
        <v>73.8</v>
      </c>
      <c r="W1069" s="5">
        <f t="shared" si="110"/>
        <v>1</v>
      </c>
      <c r="Y1069" s="2" t="s">
        <v>118</v>
      </c>
      <c r="Z1069" s="2" t="s">
        <v>191</v>
      </c>
      <c r="AE1069" s="2">
        <f t="shared" si="106"/>
        <v>0</v>
      </c>
      <c r="AI1069" s="2">
        <f t="shared" si="107"/>
        <v>0</v>
      </c>
      <c r="AJ1069" s="2">
        <f t="shared" si="108"/>
        <v>60</v>
      </c>
      <c r="AK1069" s="5">
        <f t="shared" si="109"/>
        <v>1</v>
      </c>
    </row>
    <row r="1070" spans="1:37" x14ac:dyDescent="0.2">
      <c r="A1070" s="2">
        <v>2025</v>
      </c>
      <c r="B1070" s="2">
        <v>5</v>
      </c>
      <c r="C1070" s="2" t="s">
        <v>1411</v>
      </c>
      <c r="L1070" s="2" t="s">
        <v>40</v>
      </c>
      <c r="O1070" s="2" t="s">
        <v>188</v>
      </c>
      <c r="P1070" s="2" t="s">
        <v>192</v>
      </c>
      <c r="Q1070" s="2" t="s">
        <v>191</v>
      </c>
      <c r="R1070" s="2">
        <v>2</v>
      </c>
      <c r="S1070" s="2">
        <v>100</v>
      </c>
      <c r="T1070" s="2">
        <v>23</v>
      </c>
      <c r="U1070" s="2">
        <v>123</v>
      </c>
      <c r="V1070" s="2">
        <f>S1070*50%</f>
        <v>50</v>
      </c>
      <c r="W1070" s="5">
        <f t="shared" si="110"/>
        <v>0.5</v>
      </c>
      <c r="Y1070" s="2" t="s">
        <v>118</v>
      </c>
      <c r="Z1070" s="2" t="s">
        <v>191</v>
      </c>
      <c r="AE1070" s="2">
        <f t="shared" si="106"/>
        <v>0</v>
      </c>
      <c r="AI1070" s="2">
        <f t="shared" si="107"/>
        <v>0</v>
      </c>
      <c r="AJ1070" s="2">
        <f t="shared" si="108"/>
        <v>50</v>
      </c>
      <c r="AK1070" s="5">
        <f t="shared" si="109"/>
        <v>0.5</v>
      </c>
    </row>
    <row r="1071" spans="1:37" x14ac:dyDescent="0.2">
      <c r="A1071" s="2">
        <v>2025</v>
      </c>
      <c r="B1071" s="2">
        <v>5</v>
      </c>
      <c r="C1071" s="2" t="s">
        <v>1062</v>
      </c>
      <c r="D1071" s="2" t="s">
        <v>184</v>
      </c>
      <c r="E1071" s="2" t="s">
        <v>1063</v>
      </c>
      <c r="F1071" s="2">
        <v>500199523</v>
      </c>
      <c r="G1071" s="2" t="s">
        <v>291</v>
      </c>
      <c r="H1071" s="2" t="s">
        <v>294</v>
      </c>
      <c r="I1071" s="2" t="s">
        <v>1064</v>
      </c>
      <c r="K1071" s="2" t="s">
        <v>294</v>
      </c>
      <c r="L1071" s="2" t="s">
        <v>81</v>
      </c>
      <c r="N1071" s="2" t="s">
        <v>1423</v>
      </c>
      <c r="O1071" s="2" t="s">
        <v>73</v>
      </c>
      <c r="P1071" s="2" t="s">
        <v>326</v>
      </c>
      <c r="Q1071" s="2" t="s">
        <v>80</v>
      </c>
      <c r="R1071" s="2">
        <v>1</v>
      </c>
      <c r="S1071" s="2">
        <v>210</v>
      </c>
      <c r="T1071" s="2">
        <v>48.3</v>
      </c>
      <c r="U1071" s="2">
        <v>258.3</v>
      </c>
      <c r="V1071" s="2">
        <f>110.68*R1071</f>
        <v>110.68</v>
      </c>
      <c r="W1071" s="5">
        <f t="shared" si="110"/>
        <v>0.4729523809523809</v>
      </c>
      <c r="Y1071" s="2" t="s">
        <v>3256</v>
      </c>
      <c r="Z1071" s="2" t="s">
        <v>76</v>
      </c>
      <c r="AA1071" s="2" t="s">
        <v>77</v>
      </c>
      <c r="AB1071" s="2" t="s">
        <v>78</v>
      </c>
      <c r="AE1071" s="2">
        <f t="shared" si="106"/>
        <v>0</v>
      </c>
      <c r="AF1071" s="2">
        <v>110.68</v>
      </c>
      <c r="AG1071" s="2">
        <v>210</v>
      </c>
      <c r="AI1071" s="2">
        <f t="shared" si="107"/>
        <v>0</v>
      </c>
      <c r="AJ1071" s="2">
        <f t="shared" si="108"/>
        <v>99.32</v>
      </c>
      <c r="AK1071" s="5">
        <f t="shared" si="109"/>
        <v>0.4729523809523809</v>
      </c>
    </row>
    <row r="1072" spans="1:37" x14ac:dyDescent="0.2">
      <c r="A1072" s="2">
        <v>2025</v>
      </c>
      <c r="B1072" s="2">
        <v>5</v>
      </c>
      <c r="C1072" s="2" t="s">
        <v>1062</v>
      </c>
      <c r="D1072" s="2" t="s">
        <v>184</v>
      </c>
      <c r="E1072" s="2" t="s">
        <v>1063</v>
      </c>
      <c r="F1072" s="2">
        <v>500199523</v>
      </c>
      <c r="G1072" s="2" t="s">
        <v>291</v>
      </c>
      <c r="H1072" s="2" t="s">
        <v>294</v>
      </c>
      <c r="I1072" s="2" t="s">
        <v>1064</v>
      </c>
      <c r="K1072" s="2" t="s">
        <v>294</v>
      </c>
      <c r="L1072" s="2" t="s">
        <v>81</v>
      </c>
      <c r="N1072" s="2" t="s">
        <v>1423</v>
      </c>
      <c r="O1072" s="2" t="s">
        <v>94</v>
      </c>
      <c r="P1072" s="2" t="s">
        <v>95</v>
      </c>
      <c r="Q1072" s="2" t="s">
        <v>96</v>
      </c>
      <c r="R1072" s="2">
        <v>1</v>
      </c>
      <c r="S1072" s="2">
        <v>1.1399999999999999</v>
      </c>
      <c r="T1072" s="2">
        <v>0.26219999999999999</v>
      </c>
      <c r="U1072" s="2">
        <v>1.4021999999999999</v>
      </c>
      <c r="V1072" s="2">
        <v>1.1399999999999999</v>
      </c>
      <c r="W1072" s="5">
        <f t="shared" si="110"/>
        <v>0</v>
      </c>
      <c r="Y1072" s="2" t="s">
        <v>3256</v>
      </c>
      <c r="Z1072" s="2" t="s">
        <v>97</v>
      </c>
      <c r="AA1072" s="2" t="s">
        <v>77</v>
      </c>
      <c r="AB1072" s="2" t="s">
        <v>94</v>
      </c>
      <c r="AE1072" s="2">
        <f t="shared" si="106"/>
        <v>0</v>
      </c>
      <c r="AI1072" s="2">
        <f t="shared" si="107"/>
        <v>0</v>
      </c>
      <c r="AJ1072" s="2">
        <f t="shared" si="108"/>
        <v>0</v>
      </c>
      <c r="AK1072" s="5">
        <f t="shared" si="109"/>
        <v>0</v>
      </c>
    </row>
    <row r="1073" spans="1:37" x14ac:dyDescent="0.2">
      <c r="A1073" s="2">
        <v>2025</v>
      </c>
      <c r="B1073" s="2">
        <v>5</v>
      </c>
      <c r="C1073" s="2" t="s">
        <v>504</v>
      </c>
      <c r="D1073" s="2" t="s">
        <v>38</v>
      </c>
      <c r="E1073" s="2" t="s">
        <v>39</v>
      </c>
      <c r="F1073" s="2">
        <v>513244468</v>
      </c>
      <c r="G1073" s="2" t="s">
        <v>41</v>
      </c>
      <c r="H1073" s="2" t="s">
        <v>505</v>
      </c>
      <c r="I1073" s="2" t="s">
        <v>506</v>
      </c>
      <c r="J1073" s="2">
        <v>918010109</v>
      </c>
      <c r="K1073" s="2" t="s">
        <v>100</v>
      </c>
      <c r="O1073" s="2" t="s">
        <v>283</v>
      </c>
      <c r="P1073" s="2" t="s">
        <v>1380</v>
      </c>
      <c r="Q1073" s="2" t="s">
        <v>1381</v>
      </c>
      <c r="R1073" s="2">
        <v>1</v>
      </c>
      <c r="S1073" s="2">
        <v>125</v>
      </c>
      <c r="T1073" s="2">
        <v>28.75</v>
      </c>
      <c r="U1073" s="2">
        <v>153.75</v>
      </c>
      <c r="W1073" s="5">
        <f t="shared" si="110"/>
        <v>1</v>
      </c>
      <c r="Y1073" s="2" t="s">
        <v>3256</v>
      </c>
      <c r="AE1073" s="2">
        <f t="shared" si="106"/>
        <v>0</v>
      </c>
      <c r="AI1073" s="2">
        <f t="shared" si="107"/>
        <v>0</v>
      </c>
      <c r="AJ1073" s="2">
        <f t="shared" si="108"/>
        <v>125</v>
      </c>
      <c r="AK1073" s="5">
        <f t="shared" si="109"/>
        <v>1</v>
      </c>
    </row>
    <row r="1074" spans="1:37" x14ac:dyDescent="0.2">
      <c r="A1074" s="2">
        <v>2025</v>
      </c>
      <c r="B1074" s="2">
        <v>5</v>
      </c>
      <c r="C1074" s="2" t="s">
        <v>504</v>
      </c>
      <c r="D1074" s="2" t="s">
        <v>38</v>
      </c>
      <c r="E1074" s="2" t="s">
        <v>39</v>
      </c>
      <c r="F1074" s="2">
        <v>513244468</v>
      </c>
      <c r="G1074" s="2" t="s">
        <v>41</v>
      </c>
      <c r="H1074" s="2" t="s">
        <v>505</v>
      </c>
      <c r="I1074" s="2" t="s">
        <v>506</v>
      </c>
      <c r="J1074" s="2">
        <v>918010109</v>
      </c>
      <c r="K1074" s="2" t="s">
        <v>100</v>
      </c>
      <c r="O1074" s="2" t="s">
        <v>43</v>
      </c>
      <c r="P1074" s="2" t="s">
        <v>251</v>
      </c>
      <c r="Q1074" s="2" t="s">
        <v>252</v>
      </c>
      <c r="R1074" s="2">
        <v>1</v>
      </c>
      <c r="S1074" s="2">
        <v>60</v>
      </c>
      <c r="T1074" s="2">
        <v>13.8</v>
      </c>
      <c r="U1074" s="2">
        <v>73.8</v>
      </c>
      <c r="W1074" s="5">
        <f t="shared" si="110"/>
        <v>1</v>
      </c>
      <c r="Y1074" s="2" t="s">
        <v>3256</v>
      </c>
      <c r="Z1074" s="2" t="s">
        <v>46</v>
      </c>
      <c r="AA1074" s="2" t="s">
        <v>91</v>
      </c>
      <c r="AB1074" s="2" t="s">
        <v>58</v>
      </c>
      <c r="AE1074" s="2">
        <f t="shared" si="106"/>
        <v>0</v>
      </c>
      <c r="AI1074" s="2">
        <f t="shared" si="107"/>
        <v>0</v>
      </c>
      <c r="AJ1074" s="2">
        <f t="shared" si="108"/>
        <v>60</v>
      </c>
      <c r="AK1074" s="5">
        <f t="shared" si="109"/>
        <v>1</v>
      </c>
    </row>
    <row r="1075" spans="1:37" x14ac:dyDescent="0.2">
      <c r="A1075" s="2">
        <v>2025</v>
      </c>
      <c r="B1075" s="2">
        <v>5</v>
      </c>
      <c r="C1075" s="2" t="s">
        <v>1424</v>
      </c>
      <c r="O1075" s="2" t="s">
        <v>115</v>
      </c>
      <c r="P1075" s="2" t="s">
        <v>1425</v>
      </c>
      <c r="Q1075" s="2" t="s">
        <v>1426</v>
      </c>
      <c r="R1075" s="2">
        <v>1</v>
      </c>
      <c r="S1075" s="2">
        <v>215.94</v>
      </c>
      <c r="T1075" s="2">
        <v>49.666200000000003</v>
      </c>
      <c r="U1075" s="2">
        <v>265.6062</v>
      </c>
      <c r="W1075" s="5">
        <f t="shared" si="110"/>
        <v>1</v>
      </c>
      <c r="Y1075" s="2" t="s">
        <v>118</v>
      </c>
      <c r="AE1075" s="2">
        <f t="shared" si="106"/>
        <v>0</v>
      </c>
      <c r="AI1075" s="2">
        <f t="shared" si="107"/>
        <v>0</v>
      </c>
      <c r="AJ1075" s="2">
        <f t="shared" si="108"/>
        <v>215.94</v>
      </c>
      <c r="AK1075" s="5">
        <f t="shared" si="109"/>
        <v>1</v>
      </c>
    </row>
    <row r="1076" spans="1:37" x14ac:dyDescent="0.2">
      <c r="A1076" s="2">
        <v>2025</v>
      </c>
      <c r="B1076" s="2">
        <v>5</v>
      </c>
      <c r="C1076" s="2" t="s">
        <v>534</v>
      </c>
      <c r="D1076" s="2" t="s">
        <v>109</v>
      </c>
      <c r="E1076" s="2" t="s">
        <v>535</v>
      </c>
      <c r="F1076" s="2">
        <v>502139552</v>
      </c>
      <c r="G1076" s="2" t="s">
        <v>40</v>
      </c>
      <c r="H1076" s="2" t="s">
        <v>340</v>
      </c>
      <c r="I1076" s="2" t="s">
        <v>536</v>
      </c>
      <c r="K1076" s="2" t="s">
        <v>340</v>
      </c>
      <c r="L1076" s="2" t="s">
        <v>81</v>
      </c>
      <c r="O1076" s="2" t="s">
        <v>73</v>
      </c>
      <c r="P1076" s="2" t="s">
        <v>1427</v>
      </c>
      <c r="Q1076" s="2" t="s">
        <v>1428</v>
      </c>
      <c r="R1076" s="2">
        <v>1</v>
      </c>
      <c r="S1076" s="2">
        <v>235</v>
      </c>
      <c r="T1076" s="2">
        <v>54.05</v>
      </c>
      <c r="U1076" s="2">
        <v>289.05</v>
      </c>
      <c r="W1076" s="5">
        <f t="shared" si="110"/>
        <v>1</v>
      </c>
      <c r="Y1076" s="2" t="s">
        <v>3256</v>
      </c>
      <c r="Z1076" s="2" t="s">
        <v>76</v>
      </c>
      <c r="AA1076" s="2" t="s">
        <v>77</v>
      </c>
      <c r="AB1076" s="2" t="s">
        <v>78</v>
      </c>
      <c r="AE1076" s="2">
        <f t="shared" si="106"/>
        <v>0</v>
      </c>
      <c r="AI1076" s="2">
        <f t="shared" si="107"/>
        <v>0</v>
      </c>
      <c r="AJ1076" s="2">
        <f t="shared" si="108"/>
        <v>235</v>
      </c>
      <c r="AK1076" s="5">
        <f t="shared" si="109"/>
        <v>1</v>
      </c>
    </row>
    <row r="1077" spans="1:37" x14ac:dyDescent="0.2">
      <c r="A1077" s="2">
        <v>2025</v>
      </c>
      <c r="B1077" s="2">
        <v>5</v>
      </c>
      <c r="C1077" s="2" t="s">
        <v>534</v>
      </c>
      <c r="D1077" s="2" t="s">
        <v>109</v>
      </c>
      <c r="E1077" s="2" t="s">
        <v>535</v>
      </c>
      <c r="F1077" s="2">
        <v>502139552</v>
      </c>
      <c r="G1077" s="2" t="s">
        <v>40</v>
      </c>
      <c r="H1077" s="2" t="s">
        <v>340</v>
      </c>
      <c r="I1077" s="2" t="s">
        <v>536</v>
      </c>
      <c r="K1077" s="2" t="s">
        <v>340</v>
      </c>
      <c r="L1077" s="2" t="s">
        <v>81</v>
      </c>
      <c r="N1077" s="2" t="s">
        <v>3222</v>
      </c>
      <c r="O1077" s="2" t="s">
        <v>73</v>
      </c>
      <c r="P1077" s="2" t="s">
        <v>537</v>
      </c>
      <c r="Q1077" s="2" t="s">
        <v>538</v>
      </c>
      <c r="R1077" s="2">
        <v>1</v>
      </c>
      <c r="S1077" s="2">
        <v>210</v>
      </c>
      <c r="T1077" s="2">
        <v>48.3</v>
      </c>
      <c r="U1077" s="2">
        <v>258.3</v>
      </c>
      <c r="V1077" s="2">
        <f>110.125+11.77</f>
        <v>121.895</v>
      </c>
      <c r="W1077" s="5">
        <f t="shared" si="110"/>
        <v>0.41954761904761906</v>
      </c>
      <c r="Y1077" s="2" t="s">
        <v>3256</v>
      </c>
      <c r="Z1077" s="2" t="s">
        <v>76</v>
      </c>
      <c r="AA1077" s="2" t="s">
        <v>77</v>
      </c>
      <c r="AB1077" s="2" t="s">
        <v>78</v>
      </c>
      <c r="AE1077" s="2">
        <f t="shared" si="106"/>
        <v>0</v>
      </c>
      <c r="AF1077" s="2">
        <f>110.125+11.77</f>
        <v>121.895</v>
      </c>
      <c r="AI1077" s="2">
        <f t="shared" si="107"/>
        <v>0</v>
      </c>
      <c r="AJ1077" s="2">
        <f t="shared" si="108"/>
        <v>88.105000000000004</v>
      </c>
      <c r="AK1077" s="5">
        <f t="shared" si="109"/>
        <v>0.41954761904761906</v>
      </c>
    </row>
    <row r="1078" spans="1:37" x14ac:dyDescent="0.2">
      <c r="A1078" s="2">
        <v>2025</v>
      </c>
      <c r="B1078" s="2">
        <v>5</v>
      </c>
      <c r="C1078" s="2" t="s">
        <v>534</v>
      </c>
      <c r="D1078" s="2" t="s">
        <v>109</v>
      </c>
      <c r="E1078" s="2" t="s">
        <v>535</v>
      </c>
      <c r="F1078" s="2">
        <v>502139552</v>
      </c>
      <c r="G1078" s="2" t="s">
        <v>40</v>
      </c>
      <c r="H1078" s="2" t="s">
        <v>340</v>
      </c>
      <c r="I1078" s="2" t="s">
        <v>536</v>
      </c>
      <c r="K1078" s="2" t="s">
        <v>340</v>
      </c>
      <c r="L1078" s="2" t="s">
        <v>81</v>
      </c>
      <c r="O1078" s="2" t="s">
        <v>170</v>
      </c>
      <c r="P1078" s="2" t="s">
        <v>171</v>
      </c>
      <c r="Q1078" s="2" t="s">
        <v>171</v>
      </c>
      <c r="R1078" s="2">
        <v>1</v>
      </c>
      <c r="S1078" s="2">
        <v>30</v>
      </c>
      <c r="T1078" s="2">
        <v>6.9</v>
      </c>
      <c r="U1078" s="2">
        <v>36.9</v>
      </c>
      <c r="V1078" s="2">
        <v>23</v>
      </c>
      <c r="W1078" s="5">
        <f t="shared" si="110"/>
        <v>0.23333333333333334</v>
      </c>
      <c r="Y1078" s="2" t="s">
        <v>170</v>
      </c>
      <c r="Z1078" s="2" t="s">
        <v>170</v>
      </c>
      <c r="AE1078" s="2">
        <f t="shared" si="106"/>
        <v>0</v>
      </c>
      <c r="AI1078" s="2">
        <f t="shared" si="107"/>
        <v>0</v>
      </c>
      <c r="AJ1078" s="2">
        <f t="shared" si="108"/>
        <v>7</v>
      </c>
      <c r="AK1078" s="5">
        <f t="shared" si="109"/>
        <v>0.23333333333333334</v>
      </c>
    </row>
    <row r="1079" spans="1:37" x14ac:dyDescent="0.2">
      <c r="A1079" s="2">
        <v>2025</v>
      </c>
      <c r="B1079" s="2">
        <v>5</v>
      </c>
      <c r="C1079" s="2" t="s">
        <v>534</v>
      </c>
      <c r="D1079" s="2" t="s">
        <v>109</v>
      </c>
      <c r="E1079" s="2" t="s">
        <v>535</v>
      </c>
      <c r="F1079" s="2">
        <v>502139552</v>
      </c>
      <c r="G1079" s="2" t="s">
        <v>40</v>
      </c>
      <c r="H1079" s="2" t="s">
        <v>340</v>
      </c>
      <c r="I1079" s="2" t="s">
        <v>536</v>
      </c>
      <c r="K1079" s="2" t="s">
        <v>340</v>
      </c>
      <c r="L1079" s="2" t="s">
        <v>40</v>
      </c>
      <c r="O1079" s="2" t="s">
        <v>40</v>
      </c>
      <c r="P1079" s="2" t="s">
        <v>141</v>
      </c>
      <c r="Q1079" s="2" t="s">
        <v>142</v>
      </c>
      <c r="R1079" s="2">
        <v>-2</v>
      </c>
      <c r="S1079" s="2">
        <v>-75.290000000000006</v>
      </c>
      <c r="T1079" s="2">
        <v>-17.316700000000001</v>
      </c>
      <c r="U1079" s="2">
        <v>-92.606700000000004</v>
      </c>
      <c r="W1079" s="5">
        <f t="shared" si="110"/>
        <v>1</v>
      </c>
      <c r="Y1079" s="2" t="s">
        <v>120</v>
      </c>
      <c r="Z1079" s="2" t="s">
        <v>143</v>
      </c>
      <c r="AE1079" s="2">
        <f t="shared" si="106"/>
        <v>0</v>
      </c>
      <c r="AI1079" s="2">
        <f t="shared" si="107"/>
        <v>0</v>
      </c>
      <c r="AJ1079" s="2">
        <f t="shared" si="108"/>
        <v>-75.290000000000006</v>
      </c>
      <c r="AK1079" s="5">
        <f t="shared" si="109"/>
        <v>1</v>
      </c>
    </row>
    <row r="1080" spans="1:37" x14ac:dyDescent="0.2">
      <c r="A1080" s="2">
        <v>2025</v>
      </c>
      <c r="B1080" s="2">
        <v>5</v>
      </c>
      <c r="C1080" s="2" t="s">
        <v>534</v>
      </c>
      <c r="D1080" s="2" t="s">
        <v>109</v>
      </c>
      <c r="E1080" s="2" t="s">
        <v>535</v>
      </c>
      <c r="F1080" s="2">
        <v>502139552</v>
      </c>
      <c r="G1080" s="2" t="s">
        <v>40</v>
      </c>
      <c r="H1080" s="2" t="s">
        <v>340</v>
      </c>
      <c r="I1080" s="2" t="s">
        <v>536</v>
      </c>
      <c r="K1080" s="2" t="s">
        <v>340</v>
      </c>
      <c r="L1080" s="2" t="s">
        <v>81</v>
      </c>
      <c r="O1080" s="2" t="s">
        <v>94</v>
      </c>
      <c r="P1080" s="2" t="s">
        <v>95</v>
      </c>
      <c r="Q1080" s="2" t="s">
        <v>96</v>
      </c>
      <c r="R1080" s="2">
        <v>2</v>
      </c>
      <c r="S1080" s="2">
        <v>2.2799999999999998</v>
      </c>
      <c r="T1080" s="2">
        <v>0.52439999999999998</v>
      </c>
      <c r="U1080" s="2">
        <v>2.8043999999999998</v>
      </c>
      <c r="V1080" s="2">
        <v>2.2799999999999998</v>
      </c>
      <c r="W1080" s="5">
        <f t="shared" si="110"/>
        <v>0</v>
      </c>
      <c r="Y1080" s="2" t="s">
        <v>3256</v>
      </c>
      <c r="Z1080" s="2" t="s">
        <v>97</v>
      </c>
      <c r="AA1080" s="2" t="s">
        <v>77</v>
      </c>
      <c r="AB1080" s="2" t="s">
        <v>94</v>
      </c>
      <c r="AE1080" s="2">
        <f t="shared" si="106"/>
        <v>0</v>
      </c>
      <c r="AI1080" s="2">
        <f t="shared" si="107"/>
        <v>0</v>
      </c>
      <c r="AJ1080" s="2">
        <f t="shared" si="108"/>
        <v>0</v>
      </c>
      <c r="AK1080" s="5">
        <f t="shared" si="109"/>
        <v>0</v>
      </c>
    </row>
    <row r="1081" spans="1:37" x14ac:dyDescent="0.2">
      <c r="A1081" s="2">
        <v>2025</v>
      </c>
      <c r="B1081" s="2">
        <v>5</v>
      </c>
      <c r="C1081" s="2" t="s">
        <v>546</v>
      </c>
      <c r="D1081" s="2" t="s">
        <v>109</v>
      </c>
      <c r="E1081" s="2" t="s">
        <v>39</v>
      </c>
      <c r="F1081" s="2">
        <v>506411206</v>
      </c>
      <c r="G1081" s="2" t="s">
        <v>41</v>
      </c>
      <c r="H1081" s="2" t="s">
        <v>547</v>
      </c>
      <c r="I1081" s="2" t="s">
        <v>548</v>
      </c>
      <c r="K1081" s="2" t="s">
        <v>202</v>
      </c>
      <c r="L1081" s="2" t="s">
        <v>41</v>
      </c>
      <c r="N1081" s="2" t="s">
        <v>1429</v>
      </c>
      <c r="O1081" s="2" t="s">
        <v>73</v>
      </c>
      <c r="P1081" s="2" t="s">
        <v>561</v>
      </c>
      <c r="Q1081" s="2" t="s">
        <v>308</v>
      </c>
      <c r="R1081" s="2">
        <v>1</v>
      </c>
      <c r="S1081" s="2">
        <v>220</v>
      </c>
      <c r="T1081" s="2">
        <v>50.6</v>
      </c>
      <c r="U1081" s="2">
        <v>270.60000000000002</v>
      </c>
      <c r="V1081" s="2">
        <v>122.446</v>
      </c>
      <c r="W1081" s="5">
        <f t="shared" si="110"/>
        <v>0.44342727272727273</v>
      </c>
      <c r="Y1081" s="2" t="s">
        <v>3256</v>
      </c>
      <c r="Z1081" s="2" t="s">
        <v>76</v>
      </c>
      <c r="AA1081" s="2" t="s">
        <v>77</v>
      </c>
      <c r="AB1081" s="2" t="s">
        <v>78</v>
      </c>
      <c r="AE1081" s="2">
        <f t="shared" si="106"/>
        <v>0</v>
      </c>
      <c r="AF1081" s="2">
        <v>122.446</v>
      </c>
      <c r="AG1081" s="2">
        <v>230</v>
      </c>
      <c r="AI1081" s="2">
        <f t="shared" si="107"/>
        <v>0</v>
      </c>
      <c r="AJ1081" s="2">
        <f t="shared" si="108"/>
        <v>97.554000000000002</v>
      </c>
      <c r="AK1081" s="5">
        <f t="shared" si="109"/>
        <v>0.44342727272727273</v>
      </c>
    </row>
    <row r="1082" spans="1:37" x14ac:dyDescent="0.2">
      <c r="A1082" s="2">
        <v>2025</v>
      </c>
      <c r="B1082" s="2">
        <v>5</v>
      </c>
      <c r="C1082" s="2" t="s">
        <v>546</v>
      </c>
      <c r="D1082" s="2" t="s">
        <v>109</v>
      </c>
      <c r="E1082" s="2" t="s">
        <v>39</v>
      </c>
      <c r="F1082" s="2">
        <v>506411206</v>
      </c>
      <c r="G1082" s="2" t="s">
        <v>41</v>
      </c>
      <c r="H1082" s="2" t="s">
        <v>547</v>
      </c>
      <c r="I1082" s="2" t="s">
        <v>548</v>
      </c>
      <c r="K1082" s="2" t="s">
        <v>202</v>
      </c>
      <c r="L1082" s="2" t="s">
        <v>41</v>
      </c>
      <c r="N1082" s="2" t="s">
        <v>1429</v>
      </c>
      <c r="O1082" s="2" t="s">
        <v>94</v>
      </c>
      <c r="P1082" s="2" t="s">
        <v>95</v>
      </c>
      <c r="Q1082" s="2" t="s">
        <v>96</v>
      </c>
      <c r="R1082" s="2">
        <v>1</v>
      </c>
      <c r="S1082" s="2">
        <v>1.1399999999999999</v>
      </c>
      <c r="T1082" s="2">
        <v>0.26219999999999999</v>
      </c>
      <c r="U1082" s="2">
        <v>1.4021999999999999</v>
      </c>
      <c r="V1082" s="2">
        <v>1.1399999999999999</v>
      </c>
      <c r="W1082" s="5">
        <f t="shared" si="110"/>
        <v>0</v>
      </c>
      <c r="Y1082" s="2" t="s">
        <v>3256</v>
      </c>
      <c r="Z1082" s="2" t="s">
        <v>97</v>
      </c>
      <c r="AA1082" s="2" t="s">
        <v>77</v>
      </c>
      <c r="AB1082" s="2" t="s">
        <v>94</v>
      </c>
      <c r="AE1082" s="2">
        <f t="shared" si="106"/>
        <v>0</v>
      </c>
      <c r="AF1082" s="2">
        <v>1.1399999999999999</v>
      </c>
      <c r="AG1082" s="2">
        <v>1.1399999999999999</v>
      </c>
      <c r="AI1082" s="2">
        <f t="shared" si="107"/>
        <v>0</v>
      </c>
      <c r="AJ1082" s="2">
        <f t="shared" si="108"/>
        <v>0</v>
      </c>
      <c r="AK1082" s="5">
        <f t="shared" si="109"/>
        <v>0</v>
      </c>
    </row>
    <row r="1083" spans="1:37" x14ac:dyDescent="0.2">
      <c r="A1083" s="2">
        <v>2025</v>
      </c>
      <c r="B1083" s="2">
        <v>5</v>
      </c>
      <c r="C1083" s="2" t="s">
        <v>1430</v>
      </c>
      <c r="O1083" s="2" t="s">
        <v>73</v>
      </c>
      <c r="P1083" s="2" t="s">
        <v>670</v>
      </c>
      <c r="Q1083" s="2" t="s">
        <v>80</v>
      </c>
      <c r="R1083" s="2">
        <v>1</v>
      </c>
      <c r="S1083" s="2">
        <v>200</v>
      </c>
      <c r="T1083" s="2">
        <v>46</v>
      </c>
      <c r="U1083" s="2">
        <v>246</v>
      </c>
      <c r="W1083" s="5">
        <f t="shared" si="110"/>
        <v>1</v>
      </c>
      <c r="Y1083" s="2" t="s">
        <v>3256</v>
      </c>
      <c r="Z1083" s="2" t="s">
        <v>76</v>
      </c>
      <c r="AA1083" s="2" t="s">
        <v>77</v>
      </c>
      <c r="AB1083" s="2" t="s">
        <v>78</v>
      </c>
      <c r="AE1083" s="2">
        <f t="shared" si="106"/>
        <v>0</v>
      </c>
      <c r="AI1083" s="2">
        <f t="shared" si="107"/>
        <v>0</v>
      </c>
      <c r="AJ1083" s="2">
        <f t="shared" si="108"/>
        <v>200</v>
      </c>
      <c r="AK1083" s="5">
        <f t="shared" si="109"/>
        <v>1</v>
      </c>
    </row>
    <row r="1084" spans="1:37" x14ac:dyDescent="0.2">
      <c r="A1084" s="2">
        <v>2025</v>
      </c>
      <c r="B1084" s="2">
        <v>5</v>
      </c>
      <c r="C1084" s="2" t="s">
        <v>1430</v>
      </c>
      <c r="O1084" s="2" t="s">
        <v>94</v>
      </c>
      <c r="P1084" s="2" t="s">
        <v>95</v>
      </c>
      <c r="Q1084" s="2" t="s">
        <v>96</v>
      </c>
      <c r="R1084" s="2">
        <v>1</v>
      </c>
      <c r="S1084" s="2">
        <v>1.1399999999999999</v>
      </c>
      <c r="T1084" s="2">
        <v>0.26219999999999999</v>
      </c>
      <c r="U1084" s="2">
        <v>1.4021999999999999</v>
      </c>
      <c r="V1084" s="2">
        <v>1.1399999999999999</v>
      </c>
      <c r="W1084" s="5">
        <f t="shared" si="110"/>
        <v>0</v>
      </c>
      <c r="Y1084" s="2" t="s">
        <v>3256</v>
      </c>
      <c r="Z1084" s="2" t="s">
        <v>97</v>
      </c>
      <c r="AA1084" s="2" t="s">
        <v>77</v>
      </c>
      <c r="AB1084" s="2" t="s">
        <v>94</v>
      </c>
      <c r="AE1084" s="2">
        <f t="shared" si="106"/>
        <v>0</v>
      </c>
      <c r="AI1084" s="2">
        <f t="shared" si="107"/>
        <v>0</v>
      </c>
      <c r="AJ1084" s="2">
        <f t="shared" si="108"/>
        <v>0</v>
      </c>
      <c r="AK1084" s="5">
        <f t="shared" si="109"/>
        <v>0</v>
      </c>
    </row>
    <row r="1085" spans="1:37" x14ac:dyDescent="0.2">
      <c r="A1085" s="2">
        <v>2025</v>
      </c>
      <c r="B1085" s="2">
        <v>5</v>
      </c>
      <c r="C1085" s="2" t="s">
        <v>1431</v>
      </c>
      <c r="L1085" s="2" t="s">
        <v>41</v>
      </c>
      <c r="O1085" s="2" t="s">
        <v>73</v>
      </c>
      <c r="P1085" s="2" t="s">
        <v>74</v>
      </c>
      <c r="Q1085" s="2" t="s">
        <v>75</v>
      </c>
      <c r="R1085" s="2">
        <v>1</v>
      </c>
      <c r="S1085" s="2">
        <v>210</v>
      </c>
      <c r="T1085" s="2">
        <v>48.3</v>
      </c>
      <c r="U1085" s="2">
        <v>258.3</v>
      </c>
      <c r="V1085" s="2">
        <v>117.453</v>
      </c>
      <c r="W1085" s="5">
        <f t="shared" si="110"/>
        <v>0.44069999999999998</v>
      </c>
      <c r="Y1085" s="2" t="s">
        <v>3256</v>
      </c>
      <c r="Z1085" s="2" t="s">
        <v>76</v>
      </c>
      <c r="AA1085" s="2" t="s">
        <v>77</v>
      </c>
      <c r="AB1085" s="2" t="s">
        <v>78</v>
      </c>
      <c r="AE1085" s="2">
        <f t="shared" si="106"/>
        <v>0</v>
      </c>
      <c r="AF1085" s="2">
        <v>117.453</v>
      </c>
      <c r="AG1085" s="2">
        <v>220</v>
      </c>
      <c r="AI1085" s="2">
        <f t="shared" si="107"/>
        <v>0</v>
      </c>
      <c r="AJ1085" s="2">
        <f t="shared" si="108"/>
        <v>92.546999999999997</v>
      </c>
      <c r="AK1085" s="5">
        <f t="shared" si="109"/>
        <v>0.44069999999999998</v>
      </c>
    </row>
    <row r="1086" spans="1:37" x14ac:dyDescent="0.2">
      <c r="A1086" s="2">
        <v>2025</v>
      </c>
      <c r="B1086" s="2">
        <v>5</v>
      </c>
      <c r="C1086" s="2" t="s">
        <v>1431</v>
      </c>
      <c r="O1086" s="2" t="s">
        <v>94</v>
      </c>
      <c r="P1086" s="2" t="s">
        <v>95</v>
      </c>
      <c r="Q1086" s="2" t="s">
        <v>96</v>
      </c>
      <c r="R1086" s="2">
        <v>1</v>
      </c>
      <c r="S1086" s="2">
        <v>1.1399999999999999</v>
      </c>
      <c r="T1086" s="2">
        <v>0.26219999999999999</v>
      </c>
      <c r="U1086" s="2">
        <v>1.4021999999999999</v>
      </c>
      <c r="V1086" s="2">
        <v>1.1399999999999999</v>
      </c>
      <c r="W1086" s="5">
        <f t="shared" si="110"/>
        <v>0</v>
      </c>
      <c r="Y1086" s="2" t="s">
        <v>3256</v>
      </c>
      <c r="Z1086" s="2" t="s">
        <v>97</v>
      </c>
      <c r="AA1086" s="2" t="s">
        <v>77</v>
      </c>
      <c r="AB1086" s="2" t="s">
        <v>94</v>
      </c>
      <c r="AE1086" s="2">
        <f t="shared" si="106"/>
        <v>0</v>
      </c>
      <c r="AI1086" s="2">
        <f t="shared" si="107"/>
        <v>0</v>
      </c>
      <c r="AJ1086" s="2">
        <f t="shared" si="108"/>
        <v>0</v>
      </c>
      <c r="AK1086" s="5">
        <f t="shared" si="109"/>
        <v>0</v>
      </c>
    </row>
    <row r="1087" spans="1:37" x14ac:dyDescent="0.2">
      <c r="A1087" s="2">
        <v>2025</v>
      </c>
      <c r="B1087" s="2">
        <v>5</v>
      </c>
      <c r="C1087" s="2" t="s">
        <v>888</v>
      </c>
      <c r="D1087" s="2" t="s">
        <v>109</v>
      </c>
      <c r="E1087" s="2" t="s">
        <v>39</v>
      </c>
      <c r="F1087" s="2">
        <v>510118887</v>
      </c>
      <c r="G1087" s="2" t="s">
        <v>41</v>
      </c>
      <c r="H1087" s="2" t="s">
        <v>889</v>
      </c>
      <c r="I1087" s="2" t="s">
        <v>890</v>
      </c>
      <c r="K1087" s="2" t="s">
        <v>178</v>
      </c>
      <c r="L1087" s="2" t="s">
        <v>41</v>
      </c>
      <c r="N1087" s="2" t="s">
        <v>1432</v>
      </c>
      <c r="O1087" s="2" t="s">
        <v>43</v>
      </c>
      <c r="P1087" s="2" t="s">
        <v>62</v>
      </c>
      <c r="Q1087" s="2" t="s">
        <v>63</v>
      </c>
      <c r="R1087" s="2">
        <v>1000</v>
      </c>
      <c r="S1087" s="2">
        <v>105</v>
      </c>
      <c r="T1087" s="2">
        <v>24.15</v>
      </c>
      <c r="U1087" s="2">
        <v>129.15</v>
      </c>
      <c r="V1087" s="2">
        <f>0.082*R1087</f>
        <v>82</v>
      </c>
      <c r="W1087" s="5">
        <f t="shared" si="110"/>
        <v>0.21904761904761905</v>
      </c>
      <c r="Y1087" s="2" t="s">
        <v>3256</v>
      </c>
      <c r="Z1087" s="2" t="s">
        <v>46</v>
      </c>
      <c r="AA1087" s="2" t="s">
        <v>61</v>
      </c>
      <c r="AB1087" s="2" t="s">
        <v>58</v>
      </c>
      <c r="AE1087" s="2">
        <f t="shared" si="106"/>
        <v>0</v>
      </c>
      <c r="AF1087" s="2">
        <v>8.1999999999999993</v>
      </c>
      <c r="AG1087" s="2">
        <v>13</v>
      </c>
      <c r="AI1087" s="2">
        <f t="shared" si="107"/>
        <v>0</v>
      </c>
      <c r="AJ1087" s="2">
        <f t="shared" si="108"/>
        <v>23</v>
      </c>
      <c r="AK1087" s="5">
        <f t="shared" si="109"/>
        <v>0.21904761904761905</v>
      </c>
    </row>
    <row r="1088" spans="1:37" x14ac:dyDescent="0.2">
      <c r="A1088" s="2">
        <v>2025</v>
      </c>
      <c r="B1088" s="2">
        <v>5</v>
      </c>
      <c r="C1088" s="2" t="s">
        <v>888</v>
      </c>
      <c r="D1088" s="2" t="s">
        <v>109</v>
      </c>
      <c r="E1088" s="2" t="s">
        <v>39</v>
      </c>
      <c r="F1088" s="2">
        <v>510118887</v>
      </c>
      <c r="G1088" s="2" t="s">
        <v>41</v>
      </c>
      <c r="H1088" s="2" t="s">
        <v>889</v>
      </c>
      <c r="I1088" s="2" t="s">
        <v>890</v>
      </c>
      <c r="K1088" s="2" t="s">
        <v>178</v>
      </c>
      <c r="L1088" s="2" t="s">
        <v>41</v>
      </c>
      <c r="N1088" s="2" t="s">
        <v>1432</v>
      </c>
      <c r="O1088" s="2" t="s">
        <v>85</v>
      </c>
      <c r="P1088" s="2" t="s">
        <v>609</v>
      </c>
      <c r="Q1088" s="2" t="s">
        <v>610</v>
      </c>
      <c r="R1088" s="2">
        <v>10</v>
      </c>
      <c r="S1088" s="2">
        <v>27</v>
      </c>
      <c r="T1088" s="2">
        <v>6.21</v>
      </c>
      <c r="U1088" s="2">
        <v>33.21</v>
      </c>
      <c r="W1088" s="5">
        <f t="shared" si="110"/>
        <v>1</v>
      </c>
      <c r="Y1088" s="2" t="s">
        <v>3256</v>
      </c>
      <c r="Z1088" s="2" t="s">
        <v>88</v>
      </c>
      <c r="AA1088" s="2" t="s">
        <v>61</v>
      </c>
      <c r="AB1088" s="2" t="s">
        <v>85</v>
      </c>
      <c r="AE1088" s="2">
        <f t="shared" si="106"/>
        <v>0</v>
      </c>
      <c r="AI1088" s="2">
        <f t="shared" si="107"/>
        <v>0</v>
      </c>
      <c r="AJ1088" s="2">
        <f t="shared" si="108"/>
        <v>27</v>
      </c>
      <c r="AK1088" s="5">
        <f t="shared" si="109"/>
        <v>1</v>
      </c>
    </row>
    <row r="1089" spans="1:37" x14ac:dyDescent="0.2">
      <c r="A1089" s="2">
        <v>2025</v>
      </c>
      <c r="B1089" s="2">
        <v>5</v>
      </c>
      <c r="C1089" s="2" t="s">
        <v>1433</v>
      </c>
      <c r="O1089" s="2" t="s">
        <v>115</v>
      </c>
      <c r="P1089" s="2" t="s">
        <v>1434</v>
      </c>
      <c r="Q1089" s="2" t="s">
        <v>1435</v>
      </c>
      <c r="R1089" s="2">
        <v>1</v>
      </c>
      <c r="S1089" s="2">
        <v>12.12</v>
      </c>
      <c r="T1089" s="2">
        <v>2.7875999999999999</v>
      </c>
      <c r="U1089" s="2">
        <v>14.9076</v>
      </c>
      <c r="W1089" s="5">
        <f t="shared" si="110"/>
        <v>1</v>
      </c>
      <c r="Y1089" s="2" t="s">
        <v>118</v>
      </c>
      <c r="AE1089" s="2">
        <f t="shared" ref="AE1089:AE1154" si="111">AI1089</f>
        <v>0</v>
      </c>
      <c r="AI1089" s="2">
        <f t="shared" ref="AI1089:AI1154" si="112">AH1089*S1089</f>
        <v>0</v>
      </c>
      <c r="AJ1089" s="2">
        <f t="shared" ref="AJ1089:AJ1154" si="113">S1089-V1089</f>
        <v>12.12</v>
      </c>
      <c r="AK1089" s="5">
        <f t="shared" si="109"/>
        <v>1</v>
      </c>
    </row>
    <row r="1090" spans="1:37" x14ac:dyDescent="0.2">
      <c r="A1090" s="2">
        <v>2025</v>
      </c>
      <c r="B1090" s="2">
        <v>5</v>
      </c>
      <c r="C1090" s="2" t="s">
        <v>1433</v>
      </c>
      <c r="O1090" s="2" t="s">
        <v>115</v>
      </c>
      <c r="P1090" s="2" t="s">
        <v>1436</v>
      </c>
      <c r="Q1090" s="2" t="s">
        <v>1437</v>
      </c>
      <c r="R1090" s="2">
        <v>1</v>
      </c>
      <c r="S1090" s="2">
        <v>2515.37</v>
      </c>
      <c r="T1090" s="2">
        <v>578.53510000000006</v>
      </c>
      <c r="U1090" s="2">
        <v>3093.9050999999999</v>
      </c>
      <c r="W1090" s="5">
        <f t="shared" si="110"/>
        <v>1</v>
      </c>
      <c r="Y1090" s="2" t="s">
        <v>118</v>
      </c>
      <c r="AE1090" s="2">
        <f t="shared" si="111"/>
        <v>0</v>
      </c>
      <c r="AI1090" s="2">
        <f t="shared" si="112"/>
        <v>0</v>
      </c>
      <c r="AJ1090" s="2">
        <f t="shared" si="113"/>
        <v>2515.37</v>
      </c>
      <c r="AK1090" s="5">
        <f t="shared" si="109"/>
        <v>1</v>
      </c>
    </row>
    <row r="1091" spans="1:37" x14ac:dyDescent="0.2">
      <c r="A1091" s="2">
        <v>2025</v>
      </c>
      <c r="B1091" s="2">
        <v>5</v>
      </c>
      <c r="C1091" s="2" t="s">
        <v>1433</v>
      </c>
      <c r="O1091" s="2" t="s">
        <v>115</v>
      </c>
      <c r="P1091" s="2" t="s">
        <v>1438</v>
      </c>
      <c r="Q1091" s="2" t="s">
        <v>1439</v>
      </c>
      <c r="R1091" s="2">
        <v>1</v>
      </c>
      <c r="S1091" s="2">
        <v>200.25</v>
      </c>
      <c r="T1091" s="2">
        <v>46.057499999999997</v>
      </c>
      <c r="U1091" s="2">
        <v>246.3075</v>
      </c>
      <c r="W1091" s="5">
        <f t="shared" si="110"/>
        <v>1</v>
      </c>
      <c r="Y1091" s="2" t="s">
        <v>118</v>
      </c>
      <c r="AE1091" s="2">
        <f t="shared" si="111"/>
        <v>0</v>
      </c>
      <c r="AI1091" s="2">
        <f t="shared" si="112"/>
        <v>0</v>
      </c>
      <c r="AJ1091" s="2">
        <f t="shared" si="113"/>
        <v>200.25</v>
      </c>
      <c r="AK1091" s="5">
        <f t="shared" si="109"/>
        <v>1</v>
      </c>
    </row>
    <row r="1092" spans="1:37" x14ac:dyDescent="0.2">
      <c r="A1092" s="2">
        <v>2025</v>
      </c>
      <c r="B1092" s="2">
        <v>5</v>
      </c>
      <c r="C1092" s="2" t="s">
        <v>1433</v>
      </c>
      <c r="L1092" s="2" t="s">
        <v>40</v>
      </c>
      <c r="O1092" s="2" t="s">
        <v>188</v>
      </c>
      <c r="P1092" s="2" t="s">
        <v>189</v>
      </c>
      <c r="Q1092" s="2" t="s">
        <v>190</v>
      </c>
      <c r="R1092" s="2">
        <v>1</v>
      </c>
      <c r="S1092" s="2">
        <v>73</v>
      </c>
      <c r="T1092" s="2">
        <v>16.79</v>
      </c>
      <c r="U1092" s="2">
        <v>89.789999999999992</v>
      </c>
      <c r="W1092" s="5">
        <f t="shared" si="110"/>
        <v>1</v>
      </c>
      <c r="Y1092" s="2" t="s">
        <v>118</v>
      </c>
      <c r="Z1092" s="2" t="s">
        <v>191</v>
      </c>
      <c r="AE1092" s="2">
        <f t="shared" si="111"/>
        <v>0</v>
      </c>
      <c r="AI1092" s="2">
        <f t="shared" si="112"/>
        <v>0</v>
      </c>
      <c r="AJ1092" s="2">
        <f t="shared" si="113"/>
        <v>73</v>
      </c>
      <c r="AK1092" s="5">
        <f t="shared" si="109"/>
        <v>1</v>
      </c>
    </row>
    <row r="1093" spans="1:37" x14ac:dyDescent="0.2">
      <c r="A1093" s="2">
        <v>2025</v>
      </c>
      <c r="B1093" s="2">
        <v>5</v>
      </c>
      <c r="C1093" s="2" t="s">
        <v>1433</v>
      </c>
      <c r="L1093" s="2" t="s">
        <v>40</v>
      </c>
      <c r="O1093" s="2" t="s">
        <v>188</v>
      </c>
      <c r="P1093" s="2" t="s">
        <v>192</v>
      </c>
      <c r="Q1093" s="2" t="s">
        <v>191</v>
      </c>
      <c r="R1093" s="2">
        <v>2</v>
      </c>
      <c r="S1093" s="2">
        <v>100</v>
      </c>
      <c r="T1093" s="2">
        <v>23</v>
      </c>
      <c r="U1093" s="2">
        <v>123</v>
      </c>
      <c r="V1093" s="2">
        <f>S1093*50%</f>
        <v>50</v>
      </c>
      <c r="W1093" s="5">
        <f t="shared" si="110"/>
        <v>0.5</v>
      </c>
      <c r="Y1093" s="2" t="s">
        <v>118</v>
      </c>
      <c r="Z1093" s="2" t="s">
        <v>191</v>
      </c>
      <c r="AE1093" s="2">
        <f t="shared" si="111"/>
        <v>0</v>
      </c>
      <c r="AI1093" s="2">
        <f t="shared" si="112"/>
        <v>0</v>
      </c>
      <c r="AJ1093" s="2">
        <f t="shared" si="113"/>
        <v>50</v>
      </c>
      <c r="AK1093" s="5">
        <f t="shared" si="109"/>
        <v>0.5</v>
      </c>
    </row>
    <row r="1094" spans="1:37" x14ac:dyDescent="0.2">
      <c r="A1094" s="2">
        <v>2025</v>
      </c>
      <c r="B1094" s="2">
        <v>5</v>
      </c>
      <c r="C1094" s="2" t="s">
        <v>1433</v>
      </c>
      <c r="L1094" s="2" t="s">
        <v>40</v>
      </c>
      <c r="O1094" s="2" t="s">
        <v>40</v>
      </c>
      <c r="P1094" s="2" t="s">
        <v>141</v>
      </c>
      <c r="Q1094" s="2" t="s">
        <v>142</v>
      </c>
      <c r="R1094" s="2">
        <v>-3</v>
      </c>
      <c r="S1094" s="2">
        <v>-818.33</v>
      </c>
      <c r="T1094" s="2">
        <v>-188.2159</v>
      </c>
      <c r="U1094" s="2">
        <v>-1006.5459</v>
      </c>
      <c r="W1094" s="5">
        <f t="shared" si="110"/>
        <v>1</v>
      </c>
      <c r="Y1094" s="2" t="s">
        <v>120</v>
      </c>
      <c r="Z1094" s="2" t="s">
        <v>143</v>
      </c>
      <c r="AE1094" s="2">
        <f t="shared" si="111"/>
        <v>0</v>
      </c>
      <c r="AI1094" s="2">
        <f t="shared" si="112"/>
        <v>0</v>
      </c>
      <c r="AJ1094" s="2">
        <f t="shared" si="113"/>
        <v>-818.33</v>
      </c>
      <c r="AK1094" s="5">
        <f t="shared" si="109"/>
        <v>1</v>
      </c>
    </row>
    <row r="1095" spans="1:37" x14ac:dyDescent="0.2">
      <c r="A1095" s="2">
        <v>2025</v>
      </c>
      <c r="B1095" s="2">
        <v>5</v>
      </c>
      <c r="C1095" s="2" t="s">
        <v>896</v>
      </c>
      <c r="D1095" s="2" t="s">
        <v>109</v>
      </c>
      <c r="E1095" s="2" t="s">
        <v>39</v>
      </c>
      <c r="F1095" s="2">
        <v>507216970</v>
      </c>
      <c r="G1095" s="2" t="s">
        <v>41</v>
      </c>
      <c r="H1095" s="2" t="s">
        <v>897</v>
      </c>
      <c r="I1095" s="2" t="s">
        <v>898</v>
      </c>
      <c r="K1095" s="2" t="s">
        <v>100</v>
      </c>
      <c r="O1095" s="2" t="s">
        <v>115</v>
      </c>
      <c r="P1095" s="2" t="s">
        <v>1440</v>
      </c>
      <c r="Q1095" s="2" t="s">
        <v>1441</v>
      </c>
      <c r="R1095" s="2">
        <v>1</v>
      </c>
      <c r="S1095" s="2">
        <v>120.92</v>
      </c>
      <c r="T1095" s="2">
        <v>27.811599999999999</v>
      </c>
      <c r="U1095" s="2">
        <v>148.73159999999999</v>
      </c>
      <c r="W1095" s="5">
        <f t="shared" si="110"/>
        <v>1</v>
      </c>
      <c r="AE1095" s="2">
        <f t="shared" si="111"/>
        <v>0</v>
      </c>
      <c r="AI1095" s="2">
        <f t="shared" si="112"/>
        <v>0</v>
      </c>
      <c r="AJ1095" s="2">
        <f t="shared" si="113"/>
        <v>120.92</v>
      </c>
      <c r="AK1095" s="5">
        <f t="shared" si="109"/>
        <v>1</v>
      </c>
    </row>
    <row r="1096" spans="1:37" x14ac:dyDescent="0.2">
      <c r="A1096" s="2">
        <v>2025</v>
      </c>
      <c r="B1096" s="2">
        <v>5</v>
      </c>
      <c r="C1096" s="2" t="s">
        <v>896</v>
      </c>
      <c r="D1096" s="2" t="s">
        <v>109</v>
      </c>
      <c r="E1096" s="2" t="s">
        <v>39</v>
      </c>
      <c r="F1096" s="2">
        <v>507216970</v>
      </c>
      <c r="G1096" s="2" t="s">
        <v>41</v>
      </c>
      <c r="H1096" s="2" t="s">
        <v>897</v>
      </c>
      <c r="I1096" s="2" t="s">
        <v>898</v>
      </c>
      <c r="K1096" s="2" t="s">
        <v>100</v>
      </c>
      <c r="O1096" s="2" t="s">
        <v>43</v>
      </c>
      <c r="P1096" s="2" t="s">
        <v>49</v>
      </c>
      <c r="Q1096" s="2" t="s">
        <v>50</v>
      </c>
      <c r="R1096" s="2">
        <v>2</v>
      </c>
      <c r="S1096" s="2">
        <v>24</v>
      </c>
      <c r="T1096" s="2">
        <v>5.52</v>
      </c>
      <c r="U1096" s="2">
        <v>29.52</v>
      </c>
      <c r="V1096" s="2">
        <f>6.6267*R1096</f>
        <v>13.253399999999999</v>
      </c>
      <c r="W1096" s="5">
        <f t="shared" si="110"/>
        <v>0.44777500000000003</v>
      </c>
      <c r="Y1096" s="2" t="s">
        <v>3256</v>
      </c>
      <c r="Z1096" s="2" t="s">
        <v>46</v>
      </c>
      <c r="AA1096" s="2" t="s">
        <v>47</v>
      </c>
      <c r="AB1096" s="2" t="s">
        <v>48</v>
      </c>
      <c r="AE1096" s="2">
        <f t="shared" si="111"/>
        <v>0</v>
      </c>
      <c r="AF1096" s="2">
        <v>6.6266999999999996</v>
      </c>
      <c r="AG1096" s="2">
        <v>12</v>
      </c>
      <c r="AI1096" s="2">
        <f t="shared" si="112"/>
        <v>0</v>
      </c>
      <c r="AJ1096" s="2">
        <f t="shared" si="113"/>
        <v>10.746600000000001</v>
      </c>
      <c r="AK1096" s="5">
        <f t="shared" si="109"/>
        <v>0.44777500000000003</v>
      </c>
    </row>
    <row r="1097" spans="1:37" x14ac:dyDescent="0.2">
      <c r="A1097" s="2">
        <v>2025</v>
      </c>
      <c r="B1097" s="2">
        <v>5</v>
      </c>
      <c r="C1097" s="2" t="s">
        <v>896</v>
      </c>
      <c r="D1097" s="2" t="s">
        <v>109</v>
      </c>
      <c r="E1097" s="2" t="s">
        <v>39</v>
      </c>
      <c r="F1097" s="2">
        <v>507216970</v>
      </c>
      <c r="G1097" s="2" t="s">
        <v>41</v>
      </c>
      <c r="H1097" s="2" t="s">
        <v>897</v>
      </c>
      <c r="I1097" s="2" t="s">
        <v>898</v>
      </c>
      <c r="K1097" s="2" t="s">
        <v>100</v>
      </c>
      <c r="O1097" s="2" t="s">
        <v>43</v>
      </c>
      <c r="P1097" s="2" t="s">
        <v>55</v>
      </c>
      <c r="Q1097" s="2" t="s">
        <v>56</v>
      </c>
      <c r="R1097" s="2">
        <v>40</v>
      </c>
      <c r="S1097" s="2">
        <v>560</v>
      </c>
      <c r="T1097" s="2">
        <v>128.80000000000001</v>
      </c>
      <c r="U1097" s="2">
        <v>688.8</v>
      </c>
      <c r="V1097" s="2">
        <f>10.6*R1097</f>
        <v>424</v>
      </c>
      <c r="W1097" s="5">
        <f t="shared" si="110"/>
        <v>0.24285714285714285</v>
      </c>
      <c r="Y1097" s="2" t="s">
        <v>3256</v>
      </c>
      <c r="Z1097" s="2" t="s">
        <v>46</v>
      </c>
      <c r="AA1097" s="2" t="s">
        <v>57</v>
      </c>
      <c r="AB1097" s="2" t="s">
        <v>58</v>
      </c>
      <c r="AE1097" s="2">
        <f t="shared" si="111"/>
        <v>0</v>
      </c>
      <c r="AF1097" s="2">
        <v>10.6</v>
      </c>
      <c r="AG1097" s="2">
        <v>18</v>
      </c>
      <c r="AI1097" s="2">
        <f t="shared" si="112"/>
        <v>0</v>
      </c>
      <c r="AJ1097" s="2">
        <f t="shared" si="113"/>
        <v>136</v>
      </c>
      <c r="AK1097" s="5">
        <f t="shared" si="109"/>
        <v>0.24285714285714285</v>
      </c>
    </row>
    <row r="1098" spans="1:37" x14ac:dyDescent="0.2">
      <c r="A1098" s="2">
        <v>2025</v>
      </c>
      <c r="B1098" s="2">
        <v>5</v>
      </c>
      <c r="C1098" s="2" t="s">
        <v>1442</v>
      </c>
      <c r="L1098" s="2" t="s">
        <v>40</v>
      </c>
      <c r="O1098" s="2" t="s">
        <v>188</v>
      </c>
      <c r="P1098" s="2" t="s">
        <v>189</v>
      </c>
      <c r="Q1098" s="2" t="s">
        <v>190</v>
      </c>
      <c r="R1098" s="2">
        <v>-1</v>
      </c>
      <c r="S1098" s="2">
        <v>-274</v>
      </c>
      <c r="T1098" s="2">
        <v>-63.02</v>
      </c>
      <c r="U1098" s="2">
        <v>-337.02</v>
      </c>
      <c r="W1098" s="5">
        <f t="shared" si="110"/>
        <v>1</v>
      </c>
      <c r="Y1098" s="2" t="s">
        <v>118</v>
      </c>
      <c r="Z1098" s="2" t="s">
        <v>191</v>
      </c>
      <c r="AE1098" s="2">
        <f t="shared" si="111"/>
        <v>0</v>
      </c>
      <c r="AI1098" s="2">
        <f t="shared" si="112"/>
        <v>0</v>
      </c>
      <c r="AJ1098" s="2">
        <f t="shared" si="113"/>
        <v>-274</v>
      </c>
      <c r="AK1098" s="5">
        <f t="shared" si="109"/>
        <v>1</v>
      </c>
    </row>
    <row r="1099" spans="1:37" x14ac:dyDescent="0.2">
      <c r="A1099" s="2">
        <v>2025</v>
      </c>
      <c r="B1099" s="2">
        <v>5</v>
      </c>
      <c r="C1099" s="2" t="s">
        <v>1442</v>
      </c>
      <c r="L1099" s="2" t="s">
        <v>40</v>
      </c>
      <c r="O1099" s="2" t="s">
        <v>188</v>
      </c>
      <c r="P1099" s="2" t="s">
        <v>192</v>
      </c>
      <c r="Q1099" s="2" t="s">
        <v>191</v>
      </c>
      <c r="R1099" s="2">
        <v>-1</v>
      </c>
      <c r="S1099" s="2">
        <v>-50</v>
      </c>
      <c r="T1099" s="2">
        <v>-11.5</v>
      </c>
      <c r="U1099" s="2">
        <v>-61.5</v>
      </c>
      <c r="V1099" s="2">
        <f>S1099*50%</f>
        <v>-25</v>
      </c>
      <c r="W1099" s="5">
        <f t="shared" si="110"/>
        <v>0.5</v>
      </c>
      <c r="Y1099" s="2" t="s">
        <v>118</v>
      </c>
      <c r="Z1099" s="2" t="s">
        <v>191</v>
      </c>
      <c r="AE1099" s="2">
        <f t="shared" si="111"/>
        <v>0</v>
      </c>
      <c r="AI1099" s="2">
        <f t="shared" si="112"/>
        <v>0</v>
      </c>
      <c r="AJ1099" s="2">
        <f t="shared" si="113"/>
        <v>-25</v>
      </c>
      <c r="AK1099" s="5">
        <f t="shared" si="109"/>
        <v>0.5</v>
      </c>
    </row>
    <row r="1100" spans="1:37" x14ac:dyDescent="0.2">
      <c r="A1100" s="2">
        <v>2025</v>
      </c>
      <c r="B1100" s="2">
        <v>5</v>
      </c>
      <c r="C1100" s="2" t="s">
        <v>579</v>
      </c>
      <c r="D1100" s="2" t="s">
        <v>38</v>
      </c>
      <c r="E1100" s="2" t="s">
        <v>39</v>
      </c>
      <c r="F1100" s="2">
        <v>504811029</v>
      </c>
      <c r="G1100" s="2" t="s">
        <v>41</v>
      </c>
      <c r="H1100" s="2" t="s">
        <v>178</v>
      </c>
      <c r="I1100" s="2" t="s">
        <v>580</v>
      </c>
      <c r="K1100" s="2" t="s">
        <v>178</v>
      </c>
      <c r="L1100" s="2" t="s">
        <v>41</v>
      </c>
      <c r="O1100" s="2" t="s">
        <v>43</v>
      </c>
      <c r="P1100" s="2" t="s">
        <v>584</v>
      </c>
      <c r="Q1100" s="2" t="s">
        <v>585</v>
      </c>
      <c r="R1100" s="2">
        <v>20</v>
      </c>
      <c r="S1100" s="2">
        <v>48</v>
      </c>
      <c r="T1100" s="2">
        <v>11.04</v>
      </c>
      <c r="U1100" s="2">
        <v>59.04</v>
      </c>
      <c r="V1100" s="2">
        <f>1.4114*R1100</f>
        <v>28.228000000000002</v>
      </c>
      <c r="W1100" s="5">
        <f t="shared" si="110"/>
        <v>0.41191666666666665</v>
      </c>
      <c r="Y1100" s="2" t="s">
        <v>3256</v>
      </c>
      <c r="Z1100" s="2" t="s">
        <v>46</v>
      </c>
      <c r="AA1100" s="2" t="s">
        <v>61</v>
      </c>
      <c r="AB1100" s="2" t="s">
        <v>58</v>
      </c>
      <c r="AE1100" s="2">
        <f t="shared" si="111"/>
        <v>0</v>
      </c>
      <c r="AF1100" s="2">
        <v>1.4114</v>
      </c>
      <c r="AG1100" s="2">
        <v>3</v>
      </c>
      <c r="AI1100" s="2">
        <f t="shared" si="112"/>
        <v>0</v>
      </c>
      <c r="AJ1100" s="2">
        <f t="shared" si="113"/>
        <v>19.771999999999998</v>
      </c>
      <c r="AK1100" s="5">
        <f t="shared" si="109"/>
        <v>0.41191666666666665</v>
      </c>
    </row>
    <row r="1101" spans="1:37" x14ac:dyDescent="0.2">
      <c r="A1101" s="2">
        <v>2025</v>
      </c>
      <c r="B1101" s="2">
        <v>5</v>
      </c>
      <c r="C1101" s="2" t="s">
        <v>586</v>
      </c>
      <c r="O1101" s="2" t="s">
        <v>43</v>
      </c>
      <c r="P1101" s="2" t="s">
        <v>161</v>
      </c>
      <c r="Q1101" s="2" t="s">
        <v>162</v>
      </c>
      <c r="R1101" s="2">
        <v>-1</v>
      </c>
      <c r="S1101" s="2">
        <v>-7.8</v>
      </c>
      <c r="T1101" s="2">
        <v>-1.794</v>
      </c>
      <c r="U1101" s="2">
        <v>-9.5939999999999994</v>
      </c>
      <c r="W1101" s="5">
        <f>SIGN(S1101)*((ABS(S1101)-V1101)/ABS(S1101))</f>
        <v>-1</v>
      </c>
      <c r="Y1101" s="2" t="s">
        <v>3256</v>
      </c>
      <c r="Z1101" s="2" t="s">
        <v>46</v>
      </c>
      <c r="AA1101" s="2" t="s">
        <v>47</v>
      </c>
      <c r="AB1101" s="2" t="s">
        <v>48</v>
      </c>
      <c r="AE1101" s="2">
        <f t="shared" si="111"/>
        <v>0</v>
      </c>
      <c r="AF1101" s="2">
        <v>3.7357999999999998</v>
      </c>
      <c r="AG1101" s="2">
        <v>9</v>
      </c>
      <c r="AI1101" s="2">
        <f t="shared" si="112"/>
        <v>0</v>
      </c>
      <c r="AJ1101" s="2">
        <f t="shared" si="113"/>
        <v>-7.8</v>
      </c>
      <c r="AK1101" s="5">
        <f>SIGN(S1101)*((ABS(S1101)-V1101)/ABS(S1101))</f>
        <v>-1</v>
      </c>
    </row>
    <row r="1102" spans="1:37" x14ac:dyDescent="0.2">
      <c r="A1102" s="2">
        <v>2025</v>
      </c>
      <c r="B1102" s="2">
        <v>5</v>
      </c>
      <c r="C1102" s="2" t="s">
        <v>586</v>
      </c>
      <c r="O1102" s="2" t="s">
        <v>43</v>
      </c>
      <c r="P1102" s="2" t="s">
        <v>62</v>
      </c>
      <c r="Q1102" s="2" t="s">
        <v>63</v>
      </c>
      <c r="R1102" s="2">
        <v>1000</v>
      </c>
      <c r="S1102" s="2">
        <v>105</v>
      </c>
      <c r="T1102" s="2">
        <v>24.15</v>
      </c>
      <c r="U1102" s="2">
        <v>129.15</v>
      </c>
      <c r="V1102" s="2">
        <f>0.082*R1102</f>
        <v>82</v>
      </c>
      <c r="W1102" s="5">
        <f t="shared" ref="W1102:W1130" si="114">(S1102-V1102)/S1102</f>
        <v>0.21904761904761905</v>
      </c>
      <c r="Y1102" s="2" t="s">
        <v>3256</v>
      </c>
      <c r="Z1102" s="2" t="s">
        <v>46</v>
      </c>
      <c r="AA1102" s="2" t="s">
        <v>61</v>
      </c>
      <c r="AB1102" s="2" t="s">
        <v>58</v>
      </c>
      <c r="AE1102" s="2">
        <f t="shared" si="111"/>
        <v>0</v>
      </c>
      <c r="AF1102" s="2">
        <v>8.1999999999999993</v>
      </c>
      <c r="AG1102" s="2">
        <v>13</v>
      </c>
      <c r="AI1102" s="2">
        <f t="shared" si="112"/>
        <v>0</v>
      </c>
      <c r="AJ1102" s="2">
        <f t="shared" si="113"/>
        <v>23</v>
      </c>
      <c r="AK1102" s="5">
        <f t="shared" ref="AK1102:AK1167" si="115">(S1102-V1102)/S1102</f>
        <v>0.21904761904761905</v>
      </c>
    </row>
    <row r="1103" spans="1:37" x14ac:dyDescent="0.2">
      <c r="A1103" s="2">
        <v>2025</v>
      </c>
      <c r="B1103" s="2">
        <v>5</v>
      </c>
      <c r="C1103" s="2" t="s">
        <v>586</v>
      </c>
      <c r="O1103" s="2" t="s">
        <v>43</v>
      </c>
      <c r="P1103" s="2" t="s">
        <v>1443</v>
      </c>
      <c r="Q1103" s="2" t="s">
        <v>1444</v>
      </c>
      <c r="R1103" s="2">
        <v>10</v>
      </c>
      <c r="S1103" s="2">
        <v>16.8</v>
      </c>
      <c r="T1103" s="2">
        <v>3.8639999999999999</v>
      </c>
      <c r="U1103" s="2">
        <v>20.664000000000001</v>
      </c>
      <c r="W1103" s="5">
        <f t="shared" si="114"/>
        <v>1</v>
      </c>
      <c r="Y1103" s="2" t="s">
        <v>3256</v>
      </c>
      <c r="Z1103" s="2" t="s">
        <v>46</v>
      </c>
      <c r="AA1103" s="2" t="s">
        <v>61</v>
      </c>
      <c r="AB1103" s="2" t="s">
        <v>58</v>
      </c>
      <c r="AE1103" s="2">
        <f t="shared" si="111"/>
        <v>0</v>
      </c>
      <c r="AI1103" s="2">
        <f t="shared" si="112"/>
        <v>0</v>
      </c>
      <c r="AJ1103" s="2">
        <f t="shared" si="113"/>
        <v>16.8</v>
      </c>
      <c r="AK1103" s="5">
        <f t="shared" si="115"/>
        <v>1</v>
      </c>
    </row>
    <row r="1104" spans="1:37" x14ac:dyDescent="0.2">
      <c r="A1104" s="2">
        <v>2025</v>
      </c>
      <c r="B1104" s="2">
        <v>5</v>
      </c>
      <c r="C1104" s="2" t="s">
        <v>593</v>
      </c>
      <c r="D1104" s="2" t="s">
        <v>38</v>
      </c>
      <c r="E1104" s="2" t="s">
        <v>39</v>
      </c>
      <c r="F1104" s="2">
        <v>510339298</v>
      </c>
      <c r="G1104" s="2" t="s">
        <v>41</v>
      </c>
      <c r="H1104" s="2" t="s">
        <v>178</v>
      </c>
      <c r="I1104" s="2" t="s">
        <v>594</v>
      </c>
      <c r="K1104" s="2" t="s">
        <v>178</v>
      </c>
      <c r="O1104" s="2" t="s">
        <v>115</v>
      </c>
      <c r="P1104" s="2" t="s">
        <v>375</v>
      </c>
      <c r="Q1104" s="2" t="s">
        <v>376</v>
      </c>
      <c r="R1104" s="2">
        <v>1</v>
      </c>
      <c r="S1104" s="2">
        <v>45.07</v>
      </c>
      <c r="T1104" s="2">
        <v>10.366099999999999</v>
      </c>
      <c r="U1104" s="2">
        <v>55.436100000000003</v>
      </c>
      <c r="W1104" s="5">
        <f t="shared" si="114"/>
        <v>1</v>
      </c>
      <c r="AE1104" s="2">
        <f t="shared" si="111"/>
        <v>0</v>
      </c>
      <c r="AI1104" s="2">
        <f t="shared" si="112"/>
        <v>0</v>
      </c>
      <c r="AJ1104" s="2">
        <f t="shared" si="113"/>
        <v>45.07</v>
      </c>
      <c r="AK1104" s="5">
        <f t="shared" si="115"/>
        <v>1</v>
      </c>
    </row>
    <row r="1105" spans="1:37" x14ac:dyDescent="0.2">
      <c r="A1105" s="2">
        <v>2025</v>
      </c>
      <c r="B1105" s="2">
        <v>5</v>
      </c>
      <c r="C1105" s="2" t="s">
        <v>593</v>
      </c>
      <c r="D1105" s="2" t="s">
        <v>38</v>
      </c>
      <c r="E1105" s="2" t="s">
        <v>39</v>
      </c>
      <c r="F1105" s="2">
        <v>510339298</v>
      </c>
      <c r="G1105" s="2" t="s">
        <v>41</v>
      </c>
      <c r="H1105" s="2" t="s">
        <v>178</v>
      </c>
      <c r="I1105" s="2" t="s">
        <v>594</v>
      </c>
      <c r="K1105" s="2" t="s">
        <v>178</v>
      </c>
      <c r="L1105" s="2" t="s">
        <v>41</v>
      </c>
      <c r="O1105" s="2" t="s">
        <v>43</v>
      </c>
      <c r="P1105" s="2" t="s">
        <v>49</v>
      </c>
      <c r="Q1105" s="2" t="s">
        <v>50</v>
      </c>
      <c r="R1105" s="2">
        <v>2</v>
      </c>
      <c r="S1105" s="2">
        <v>24</v>
      </c>
      <c r="T1105" s="2">
        <v>5.52</v>
      </c>
      <c r="U1105" s="2">
        <v>29.52</v>
      </c>
      <c r="V1105" s="2">
        <f>6.6267*R1105</f>
        <v>13.253399999999999</v>
      </c>
      <c r="W1105" s="5">
        <f t="shared" si="114"/>
        <v>0.44777500000000003</v>
      </c>
      <c r="Y1105" s="2" t="s">
        <v>3256</v>
      </c>
      <c r="Z1105" s="2" t="s">
        <v>46</v>
      </c>
      <c r="AA1105" s="2" t="s">
        <v>47</v>
      </c>
      <c r="AB1105" s="2" t="s">
        <v>48</v>
      </c>
      <c r="AE1105" s="2">
        <f t="shared" si="111"/>
        <v>0</v>
      </c>
      <c r="AF1105" s="2">
        <v>6.6266999999999996</v>
      </c>
      <c r="AG1105" s="2">
        <v>12</v>
      </c>
      <c r="AI1105" s="2">
        <f t="shared" si="112"/>
        <v>0</v>
      </c>
      <c r="AJ1105" s="2">
        <f t="shared" si="113"/>
        <v>10.746600000000001</v>
      </c>
      <c r="AK1105" s="5">
        <f t="shared" si="115"/>
        <v>0.44777500000000003</v>
      </c>
    </row>
    <row r="1106" spans="1:37" x14ac:dyDescent="0.2">
      <c r="A1106" s="2">
        <v>2025</v>
      </c>
      <c r="B1106" s="2">
        <v>5</v>
      </c>
      <c r="C1106" s="2" t="s">
        <v>618</v>
      </c>
      <c r="O1106" s="2" t="s">
        <v>115</v>
      </c>
      <c r="P1106" s="2" t="s">
        <v>1445</v>
      </c>
      <c r="Q1106" s="2" t="s">
        <v>1446</v>
      </c>
      <c r="R1106" s="2">
        <v>1</v>
      </c>
      <c r="S1106" s="2">
        <v>42.6</v>
      </c>
      <c r="T1106" s="2">
        <v>9.798</v>
      </c>
      <c r="U1106" s="2">
        <v>52.398000000000003</v>
      </c>
      <c r="W1106" s="5">
        <f t="shared" si="114"/>
        <v>1</v>
      </c>
      <c r="AE1106" s="2">
        <f t="shared" si="111"/>
        <v>0</v>
      </c>
      <c r="AI1106" s="2">
        <f t="shared" si="112"/>
        <v>0</v>
      </c>
      <c r="AJ1106" s="2">
        <f t="shared" si="113"/>
        <v>42.6</v>
      </c>
      <c r="AK1106" s="5">
        <f t="shared" si="115"/>
        <v>1</v>
      </c>
    </row>
    <row r="1107" spans="1:37" x14ac:dyDescent="0.2">
      <c r="A1107" s="2">
        <v>2025</v>
      </c>
      <c r="B1107" s="2">
        <v>5</v>
      </c>
      <c r="C1107" s="2" t="s">
        <v>618</v>
      </c>
      <c r="L1107" s="2" t="s">
        <v>40</v>
      </c>
      <c r="O1107" s="2" t="s">
        <v>188</v>
      </c>
      <c r="P1107" s="2" t="s">
        <v>189</v>
      </c>
      <c r="Q1107" s="2" t="s">
        <v>190</v>
      </c>
      <c r="R1107" s="2">
        <v>1</v>
      </c>
      <c r="S1107" s="2">
        <v>50</v>
      </c>
      <c r="T1107" s="2">
        <v>11.5</v>
      </c>
      <c r="U1107" s="2">
        <v>61.5</v>
      </c>
      <c r="W1107" s="5">
        <f t="shared" si="114"/>
        <v>1</v>
      </c>
      <c r="Y1107" s="2" t="s">
        <v>118</v>
      </c>
      <c r="Z1107" s="2" t="s">
        <v>191</v>
      </c>
      <c r="AE1107" s="2">
        <f t="shared" si="111"/>
        <v>0</v>
      </c>
      <c r="AI1107" s="2">
        <f t="shared" si="112"/>
        <v>0</v>
      </c>
      <c r="AJ1107" s="2">
        <f t="shared" si="113"/>
        <v>50</v>
      </c>
      <c r="AK1107" s="5">
        <f t="shared" si="115"/>
        <v>1</v>
      </c>
    </row>
    <row r="1108" spans="1:37" x14ac:dyDescent="0.2">
      <c r="A1108" s="2">
        <v>2025</v>
      </c>
      <c r="B1108" s="2">
        <v>5</v>
      </c>
      <c r="C1108" s="2" t="s">
        <v>618</v>
      </c>
      <c r="L1108" s="2" t="s">
        <v>40</v>
      </c>
      <c r="O1108" s="2" t="s">
        <v>188</v>
      </c>
      <c r="P1108" s="2" t="s">
        <v>192</v>
      </c>
      <c r="Q1108" s="2" t="s">
        <v>191</v>
      </c>
      <c r="R1108" s="2">
        <v>0.75</v>
      </c>
      <c r="S1108" s="2">
        <v>37.5</v>
      </c>
      <c r="T1108" s="2">
        <v>8.625</v>
      </c>
      <c r="U1108" s="2">
        <v>46.125</v>
      </c>
      <c r="V1108" s="2">
        <f>S1108*50%</f>
        <v>18.75</v>
      </c>
      <c r="W1108" s="5">
        <f t="shared" si="114"/>
        <v>0.5</v>
      </c>
      <c r="Y1108" s="2" t="s">
        <v>118</v>
      </c>
      <c r="Z1108" s="2" t="s">
        <v>191</v>
      </c>
      <c r="AE1108" s="2">
        <f t="shared" si="111"/>
        <v>0</v>
      </c>
      <c r="AI1108" s="2">
        <f t="shared" si="112"/>
        <v>0</v>
      </c>
      <c r="AJ1108" s="2">
        <f t="shared" si="113"/>
        <v>18.75</v>
      </c>
      <c r="AK1108" s="5">
        <f t="shared" si="115"/>
        <v>0.5</v>
      </c>
    </row>
    <row r="1109" spans="1:37" x14ac:dyDescent="0.2">
      <c r="A1109" s="2">
        <v>2025</v>
      </c>
      <c r="B1109" s="2">
        <v>5</v>
      </c>
      <c r="C1109" s="2" t="s">
        <v>1305</v>
      </c>
      <c r="D1109" s="2" t="s">
        <v>184</v>
      </c>
      <c r="E1109" s="2" t="s">
        <v>368</v>
      </c>
      <c r="F1109" s="2">
        <v>500625654</v>
      </c>
      <c r="G1109" s="2" t="s">
        <v>291</v>
      </c>
      <c r="H1109" s="2" t="s">
        <v>340</v>
      </c>
      <c r="I1109" s="2" t="s">
        <v>1306</v>
      </c>
      <c r="K1109" s="2" t="s">
        <v>340</v>
      </c>
      <c r="L1109" s="2" t="s">
        <v>81</v>
      </c>
      <c r="O1109" s="2" t="s">
        <v>73</v>
      </c>
      <c r="P1109" s="2" t="s">
        <v>74</v>
      </c>
      <c r="Q1109" s="2" t="s">
        <v>75</v>
      </c>
      <c r="R1109" s="2">
        <v>1</v>
      </c>
      <c r="S1109" s="2">
        <v>203.7</v>
      </c>
      <c r="T1109" s="2">
        <v>46.850999999999999</v>
      </c>
      <c r="U1109" s="2">
        <v>250.55099999999999</v>
      </c>
      <c r="V1109" s="2">
        <v>117.453</v>
      </c>
      <c r="W1109" s="5">
        <f t="shared" si="114"/>
        <v>0.42340206185567003</v>
      </c>
      <c r="Y1109" s="2" t="s">
        <v>3256</v>
      </c>
      <c r="Z1109" s="2" t="s">
        <v>76</v>
      </c>
      <c r="AA1109" s="2" t="s">
        <v>77</v>
      </c>
      <c r="AB1109" s="2" t="s">
        <v>78</v>
      </c>
      <c r="AE1109" s="2">
        <f t="shared" si="111"/>
        <v>0</v>
      </c>
      <c r="AF1109" s="2">
        <v>117.453</v>
      </c>
      <c r="AG1109" s="2">
        <v>220</v>
      </c>
      <c r="AI1109" s="2">
        <f t="shared" si="112"/>
        <v>0</v>
      </c>
      <c r="AJ1109" s="2">
        <f t="shared" si="113"/>
        <v>86.246999999999986</v>
      </c>
      <c r="AK1109" s="5">
        <f t="shared" si="115"/>
        <v>0.42340206185567003</v>
      </c>
    </row>
    <row r="1110" spans="1:37" x14ac:dyDescent="0.2">
      <c r="A1110" s="2">
        <v>2025</v>
      </c>
      <c r="B1110" s="2">
        <v>5</v>
      </c>
      <c r="C1110" s="2" t="s">
        <v>1305</v>
      </c>
      <c r="D1110" s="2" t="s">
        <v>184</v>
      </c>
      <c r="E1110" s="2" t="s">
        <v>368</v>
      </c>
      <c r="F1110" s="2">
        <v>500625654</v>
      </c>
      <c r="G1110" s="2" t="s">
        <v>291</v>
      </c>
      <c r="H1110" s="2" t="s">
        <v>340</v>
      </c>
      <c r="I1110" s="2" t="s">
        <v>1306</v>
      </c>
      <c r="K1110" s="2" t="s">
        <v>340</v>
      </c>
      <c r="L1110" s="2" t="s">
        <v>81</v>
      </c>
      <c r="N1110" s="2" t="s">
        <v>3229</v>
      </c>
      <c r="O1110" s="2" t="s">
        <v>73</v>
      </c>
      <c r="P1110" s="2" t="s">
        <v>79</v>
      </c>
      <c r="Q1110" s="2" t="s">
        <v>80</v>
      </c>
      <c r="R1110" s="2">
        <v>1</v>
      </c>
      <c r="S1110" s="2">
        <v>203.7</v>
      </c>
      <c r="T1110" s="2">
        <v>46.850999999999999</v>
      </c>
      <c r="U1110" s="2">
        <v>250.55099999999999</v>
      </c>
      <c r="V1110" s="2">
        <v>111.98</v>
      </c>
      <c r="W1110" s="5">
        <f t="shared" si="114"/>
        <v>0.45027000490918012</v>
      </c>
      <c r="Y1110" s="2" t="s">
        <v>3256</v>
      </c>
      <c r="Z1110" s="2" t="s">
        <v>76</v>
      </c>
      <c r="AA1110" s="2" t="s">
        <v>77</v>
      </c>
      <c r="AB1110" s="2" t="s">
        <v>78</v>
      </c>
      <c r="AE1110" s="2">
        <f t="shared" si="111"/>
        <v>0</v>
      </c>
      <c r="AF1110" s="2">
        <v>111.98</v>
      </c>
      <c r="AG1110" s="2">
        <v>210</v>
      </c>
      <c r="AI1110" s="2">
        <f t="shared" si="112"/>
        <v>0</v>
      </c>
      <c r="AJ1110" s="2">
        <f t="shared" si="113"/>
        <v>91.719999999999985</v>
      </c>
      <c r="AK1110" s="5">
        <f t="shared" si="115"/>
        <v>0.45027000490918012</v>
      </c>
    </row>
    <row r="1111" spans="1:37" x14ac:dyDescent="0.2">
      <c r="A1111" s="2">
        <v>2025</v>
      </c>
      <c r="B1111" s="2">
        <v>5</v>
      </c>
      <c r="C1111" s="2" t="s">
        <v>1305</v>
      </c>
      <c r="D1111" s="2" t="s">
        <v>184</v>
      </c>
      <c r="E1111" s="2" t="s">
        <v>368</v>
      </c>
      <c r="F1111" s="2">
        <v>500625654</v>
      </c>
      <c r="G1111" s="2" t="s">
        <v>291</v>
      </c>
      <c r="H1111" s="2" t="s">
        <v>340</v>
      </c>
      <c r="I1111" s="2" t="s">
        <v>1306</v>
      </c>
      <c r="K1111" s="2" t="s">
        <v>340</v>
      </c>
      <c r="O1111" s="2" t="s">
        <v>94</v>
      </c>
      <c r="P1111" s="2" t="s">
        <v>95</v>
      </c>
      <c r="Q1111" s="2" t="s">
        <v>96</v>
      </c>
      <c r="R1111" s="2">
        <v>2</v>
      </c>
      <c r="S1111" s="2">
        <v>2.2799999999999998</v>
      </c>
      <c r="T1111" s="2">
        <v>0.52439999999999998</v>
      </c>
      <c r="U1111" s="2">
        <v>2.8043999999999998</v>
      </c>
      <c r="V1111" s="2">
        <v>2.2799999999999998</v>
      </c>
      <c r="W1111" s="5">
        <f t="shared" si="114"/>
        <v>0</v>
      </c>
      <c r="Y1111" s="2" t="s">
        <v>3256</v>
      </c>
      <c r="Z1111" s="2" t="s">
        <v>97</v>
      </c>
      <c r="AA1111" s="2" t="s">
        <v>77</v>
      </c>
      <c r="AB1111" s="2" t="s">
        <v>94</v>
      </c>
      <c r="AE1111" s="2">
        <f t="shared" si="111"/>
        <v>0</v>
      </c>
      <c r="AI1111" s="2">
        <f t="shared" si="112"/>
        <v>0</v>
      </c>
      <c r="AJ1111" s="2">
        <f t="shared" si="113"/>
        <v>0</v>
      </c>
      <c r="AK1111" s="5">
        <f t="shared" si="115"/>
        <v>0</v>
      </c>
    </row>
    <row r="1112" spans="1:37" x14ac:dyDescent="0.2">
      <c r="A1112" s="2">
        <v>2025</v>
      </c>
      <c r="B1112" s="2">
        <v>5</v>
      </c>
      <c r="C1112" s="2" t="s">
        <v>1447</v>
      </c>
      <c r="O1112" s="2" t="s">
        <v>283</v>
      </c>
      <c r="P1112" s="2" t="s">
        <v>1448</v>
      </c>
      <c r="Q1112" s="2" t="s">
        <v>1449</v>
      </c>
      <c r="R1112" s="2">
        <v>10</v>
      </c>
      <c r="S1112" s="2">
        <v>79</v>
      </c>
      <c r="T1112" s="2">
        <v>18.170000000000002</v>
      </c>
      <c r="U1112" s="2">
        <v>97.17</v>
      </c>
      <c r="W1112" s="5">
        <f t="shared" si="114"/>
        <v>1</v>
      </c>
      <c r="Y1112" s="2" t="s">
        <v>3256</v>
      </c>
      <c r="AE1112" s="2">
        <f t="shared" si="111"/>
        <v>0</v>
      </c>
      <c r="AI1112" s="2">
        <f t="shared" si="112"/>
        <v>0</v>
      </c>
      <c r="AJ1112" s="2">
        <f t="shared" si="113"/>
        <v>79</v>
      </c>
      <c r="AK1112" s="5">
        <f t="shared" si="115"/>
        <v>1</v>
      </c>
    </row>
    <row r="1113" spans="1:37" x14ac:dyDescent="0.2">
      <c r="A1113" s="2">
        <v>2025</v>
      </c>
      <c r="B1113" s="2">
        <v>5</v>
      </c>
      <c r="C1113" s="2" t="s">
        <v>623</v>
      </c>
      <c r="D1113" s="2" t="s">
        <v>38</v>
      </c>
      <c r="E1113" s="2" t="s">
        <v>39</v>
      </c>
      <c r="F1113" s="2">
        <v>513759654</v>
      </c>
      <c r="G1113" s="2" t="s">
        <v>41</v>
      </c>
      <c r="H1113" s="2" t="s">
        <v>624</v>
      </c>
      <c r="I1113" s="2" t="s">
        <v>625</v>
      </c>
      <c r="K1113" s="2" t="s">
        <v>422</v>
      </c>
      <c r="O1113" s="2" t="s">
        <v>283</v>
      </c>
      <c r="P1113" s="2" t="s">
        <v>404</v>
      </c>
      <c r="Q1113" s="2" t="s">
        <v>405</v>
      </c>
      <c r="R1113" s="2">
        <v>2</v>
      </c>
      <c r="S1113" s="2">
        <v>58</v>
      </c>
      <c r="T1113" s="2">
        <v>13.34</v>
      </c>
      <c r="U1113" s="2">
        <v>71.34</v>
      </c>
      <c r="W1113" s="5">
        <f t="shared" si="114"/>
        <v>1</v>
      </c>
      <c r="Y1113" s="2" t="s">
        <v>3256</v>
      </c>
      <c r="AE1113" s="2">
        <f t="shared" si="111"/>
        <v>0</v>
      </c>
      <c r="AI1113" s="2">
        <f t="shared" si="112"/>
        <v>0</v>
      </c>
      <c r="AJ1113" s="2">
        <f t="shared" si="113"/>
        <v>58</v>
      </c>
      <c r="AK1113" s="5">
        <f t="shared" si="115"/>
        <v>1</v>
      </c>
    </row>
    <row r="1114" spans="1:37" x14ac:dyDescent="0.2">
      <c r="A1114" s="2">
        <v>2025</v>
      </c>
      <c r="B1114" s="2">
        <v>5</v>
      </c>
      <c r="C1114" s="2" t="s">
        <v>623</v>
      </c>
      <c r="D1114" s="2" t="s">
        <v>38</v>
      </c>
      <c r="E1114" s="2" t="s">
        <v>39</v>
      </c>
      <c r="F1114" s="2">
        <v>513759654</v>
      </c>
      <c r="G1114" s="2" t="s">
        <v>41</v>
      </c>
      <c r="H1114" s="2" t="s">
        <v>624</v>
      </c>
      <c r="I1114" s="2" t="s">
        <v>625</v>
      </c>
      <c r="K1114" s="2" t="s">
        <v>422</v>
      </c>
      <c r="O1114" s="2" t="s">
        <v>43</v>
      </c>
      <c r="P1114" s="2" t="s">
        <v>62</v>
      </c>
      <c r="Q1114" s="2" t="s">
        <v>63</v>
      </c>
      <c r="R1114" s="2">
        <v>300</v>
      </c>
      <c r="S1114" s="2">
        <v>36</v>
      </c>
      <c r="T1114" s="2">
        <v>8.2800000000000011</v>
      </c>
      <c r="U1114" s="2">
        <v>44.28</v>
      </c>
      <c r="V1114" s="2">
        <f>0.082*R1114</f>
        <v>24.6</v>
      </c>
      <c r="W1114" s="5">
        <f t="shared" si="114"/>
        <v>0.31666666666666665</v>
      </c>
      <c r="Y1114" s="2" t="s">
        <v>3256</v>
      </c>
      <c r="Z1114" s="2" t="s">
        <v>46</v>
      </c>
      <c r="AA1114" s="2" t="s">
        <v>61</v>
      </c>
      <c r="AB1114" s="2" t="s">
        <v>58</v>
      </c>
      <c r="AE1114" s="2">
        <f t="shared" si="111"/>
        <v>0</v>
      </c>
      <c r="AF1114" s="2">
        <v>8.1999999999999993</v>
      </c>
      <c r="AG1114" s="2">
        <v>13</v>
      </c>
      <c r="AI1114" s="2">
        <f t="shared" si="112"/>
        <v>0</v>
      </c>
      <c r="AJ1114" s="2">
        <f t="shared" si="113"/>
        <v>11.399999999999999</v>
      </c>
      <c r="AK1114" s="5">
        <f t="shared" si="115"/>
        <v>0.31666666666666665</v>
      </c>
    </row>
    <row r="1115" spans="1:37" x14ac:dyDescent="0.2">
      <c r="A1115" s="2">
        <v>2025</v>
      </c>
      <c r="B1115" s="2">
        <v>5</v>
      </c>
      <c r="C1115" s="2" t="s">
        <v>623</v>
      </c>
      <c r="D1115" s="2" t="s">
        <v>38</v>
      </c>
      <c r="E1115" s="2" t="s">
        <v>39</v>
      </c>
      <c r="F1115" s="2">
        <v>513759654</v>
      </c>
      <c r="G1115" s="2" t="s">
        <v>41</v>
      </c>
      <c r="H1115" s="2" t="s">
        <v>624</v>
      </c>
      <c r="I1115" s="2" t="s">
        <v>625</v>
      </c>
      <c r="K1115" s="2" t="s">
        <v>422</v>
      </c>
      <c r="O1115" s="2" t="s">
        <v>85</v>
      </c>
      <c r="P1115" s="2" t="s">
        <v>271</v>
      </c>
      <c r="Q1115" s="2" t="s">
        <v>272</v>
      </c>
      <c r="R1115" s="2">
        <v>1</v>
      </c>
      <c r="S1115" s="2">
        <v>10.199999999999999</v>
      </c>
      <c r="T1115" s="2">
        <v>2.3460000000000001</v>
      </c>
      <c r="U1115" s="2">
        <v>12.545999999999999</v>
      </c>
      <c r="V1115" s="2">
        <v>6.86</v>
      </c>
      <c r="W1115" s="5">
        <f t="shared" si="114"/>
        <v>0.32745098039215681</v>
      </c>
      <c r="Y1115" s="2" t="s">
        <v>3256</v>
      </c>
      <c r="Z1115" s="2" t="s">
        <v>88</v>
      </c>
      <c r="AA1115" s="2" t="s">
        <v>91</v>
      </c>
      <c r="AB1115" s="2" t="s">
        <v>85</v>
      </c>
      <c r="AE1115" s="2">
        <f t="shared" si="111"/>
        <v>0</v>
      </c>
      <c r="AF1115" s="2">
        <v>6.86</v>
      </c>
      <c r="AI1115" s="2">
        <f t="shared" si="112"/>
        <v>0</v>
      </c>
      <c r="AJ1115" s="2">
        <f t="shared" si="113"/>
        <v>3.339999999999999</v>
      </c>
      <c r="AK1115" s="5">
        <f t="shared" si="115"/>
        <v>0.32745098039215681</v>
      </c>
    </row>
    <row r="1116" spans="1:37" x14ac:dyDescent="0.2">
      <c r="A1116" s="2">
        <v>2025</v>
      </c>
      <c r="B1116" s="2">
        <v>5</v>
      </c>
      <c r="C1116" s="2" t="s">
        <v>630</v>
      </c>
      <c r="D1116" s="2" t="s">
        <v>38</v>
      </c>
      <c r="E1116" s="2" t="s">
        <v>39</v>
      </c>
      <c r="F1116" s="2" t="s">
        <v>631</v>
      </c>
      <c r="G1116" s="2" t="s">
        <v>40</v>
      </c>
      <c r="H1116" s="2" t="s">
        <v>632</v>
      </c>
      <c r="I1116" s="2" t="s">
        <v>633</v>
      </c>
      <c r="K1116" s="2" t="s">
        <v>632</v>
      </c>
      <c r="L1116" s="2" t="s">
        <v>40</v>
      </c>
      <c r="O1116" s="2" t="s">
        <v>115</v>
      </c>
      <c r="P1116" s="2" t="s">
        <v>911</v>
      </c>
      <c r="Q1116" s="2" t="s">
        <v>912</v>
      </c>
      <c r="R1116" s="2">
        <v>1</v>
      </c>
      <c r="S1116" s="2">
        <v>465.7</v>
      </c>
      <c r="T1116" s="2">
        <v>107.111</v>
      </c>
      <c r="U1116" s="2">
        <v>572.81100000000004</v>
      </c>
      <c r="W1116" s="5">
        <f t="shared" si="114"/>
        <v>1</v>
      </c>
      <c r="AE1116" s="2">
        <f t="shared" si="111"/>
        <v>0</v>
      </c>
      <c r="AI1116" s="2">
        <f t="shared" si="112"/>
        <v>0</v>
      </c>
      <c r="AJ1116" s="2">
        <f t="shared" si="113"/>
        <v>465.7</v>
      </c>
      <c r="AK1116" s="5">
        <f t="shared" si="115"/>
        <v>1</v>
      </c>
    </row>
    <row r="1117" spans="1:37" x14ac:dyDescent="0.2">
      <c r="A1117" s="2">
        <v>2025</v>
      </c>
      <c r="B1117" s="2">
        <v>5</v>
      </c>
      <c r="C1117" s="2" t="s">
        <v>1128</v>
      </c>
      <c r="O1117" s="2" t="s">
        <v>115</v>
      </c>
      <c r="P1117" s="2" t="s">
        <v>814</v>
      </c>
      <c r="Q1117" s="2" t="s">
        <v>815</v>
      </c>
      <c r="R1117" s="2">
        <v>1</v>
      </c>
      <c r="S1117" s="2">
        <v>83.79</v>
      </c>
      <c r="T1117" s="2">
        <v>19.271699999999999</v>
      </c>
      <c r="U1117" s="2">
        <v>103.0617</v>
      </c>
      <c r="W1117" s="5">
        <f t="shared" si="114"/>
        <v>1</v>
      </c>
      <c r="AE1117" s="2">
        <f t="shared" si="111"/>
        <v>0</v>
      </c>
      <c r="AI1117" s="2">
        <f t="shared" si="112"/>
        <v>0</v>
      </c>
      <c r="AJ1117" s="2">
        <f t="shared" si="113"/>
        <v>83.79</v>
      </c>
      <c r="AK1117" s="5">
        <f t="shared" si="115"/>
        <v>1</v>
      </c>
    </row>
    <row r="1118" spans="1:37" x14ac:dyDescent="0.2">
      <c r="A1118" s="2">
        <v>2025</v>
      </c>
      <c r="B1118" s="2">
        <v>5</v>
      </c>
      <c r="C1118" s="2" t="s">
        <v>1450</v>
      </c>
      <c r="O1118" s="2" t="s">
        <v>40</v>
      </c>
      <c r="P1118" s="2" t="s">
        <v>364</v>
      </c>
      <c r="Q1118" s="2" t="s">
        <v>365</v>
      </c>
      <c r="R1118" s="2">
        <v>1</v>
      </c>
      <c r="S1118" s="2">
        <v>205</v>
      </c>
      <c r="T1118" s="2">
        <v>47.15</v>
      </c>
      <c r="U1118" s="2">
        <v>252.15</v>
      </c>
      <c r="W1118" s="5">
        <f t="shared" si="114"/>
        <v>1</v>
      </c>
      <c r="Y1118" s="2" t="s">
        <v>120</v>
      </c>
      <c r="AE1118" s="2">
        <f t="shared" si="111"/>
        <v>0</v>
      </c>
      <c r="AI1118" s="2">
        <f t="shared" si="112"/>
        <v>0</v>
      </c>
      <c r="AJ1118" s="2">
        <f t="shared" si="113"/>
        <v>205</v>
      </c>
      <c r="AK1118" s="5">
        <f t="shared" si="115"/>
        <v>1</v>
      </c>
    </row>
    <row r="1119" spans="1:37" x14ac:dyDescent="0.2">
      <c r="A1119" s="2">
        <v>2025</v>
      </c>
      <c r="B1119" s="2">
        <v>5</v>
      </c>
      <c r="C1119" s="2" t="s">
        <v>649</v>
      </c>
      <c r="D1119" s="2" t="s">
        <v>38</v>
      </c>
      <c r="E1119" s="2" t="s">
        <v>39</v>
      </c>
      <c r="F1119" s="2">
        <v>509056946</v>
      </c>
      <c r="G1119" s="2" t="s">
        <v>110</v>
      </c>
      <c r="H1119" s="2" t="s">
        <v>650</v>
      </c>
      <c r="I1119" s="2" t="s">
        <v>651</v>
      </c>
      <c r="J1119" s="2">
        <v>964495536</v>
      </c>
      <c r="K1119" s="2" t="s">
        <v>113</v>
      </c>
      <c r="O1119" s="2" t="s">
        <v>283</v>
      </c>
      <c r="P1119" s="2" t="s">
        <v>1448</v>
      </c>
      <c r="Q1119" s="2" t="s">
        <v>1449</v>
      </c>
      <c r="R1119" s="2">
        <v>10</v>
      </c>
      <c r="S1119" s="2">
        <v>79</v>
      </c>
      <c r="T1119" s="2">
        <v>18.170000000000002</v>
      </c>
      <c r="U1119" s="2">
        <v>97.17</v>
      </c>
      <c r="W1119" s="5">
        <f t="shared" si="114"/>
        <v>1</v>
      </c>
      <c r="Y1119" s="2" t="s">
        <v>3256</v>
      </c>
      <c r="AE1119" s="2">
        <f t="shared" si="111"/>
        <v>0</v>
      </c>
      <c r="AI1119" s="2">
        <f t="shared" si="112"/>
        <v>0</v>
      </c>
      <c r="AJ1119" s="2">
        <f t="shared" si="113"/>
        <v>79</v>
      </c>
      <c r="AK1119" s="5">
        <f t="shared" si="115"/>
        <v>1</v>
      </c>
    </row>
    <row r="1120" spans="1:37" x14ac:dyDescent="0.2">
      <c r="A1120" s="2">
        <v>2025</v>
      </c>
      <c r="B1120" s="2">
        <v>5</v>
      </c>
      <c r="C1120" s="2" t="s">
        <v>654</v>
      </c>
      <c r="O1120" s="2" t="s">
        <v>115</v>
      </c>
      <c r="P1120" s="2" t="s">
        <v>829</v>
      </c>
      <c r="Q1120" s="2" t="s">
        <v>830</v>
      </c>
      <c r="R1120" s="2">
        <v>1</v>
      </c>
      <c r="S1120" s="2">
        <v>255.02</v>
      </c>
      <c r="T1120" s="2">
        <v>58.654600000000002</v>
      </c>
      <c r="U1120" s="2">
        <v>313.6746</v>
      </c>
      <c r="W1120" s="5">
        <f t="shared" si="114"/>
        <v>1</v>
      </c>
      <c r="AE1120" s="2">
        <f t="shared" si="111"/>
        <v>0</v>
      </c>
      <c r="AI1120" s="2">
        <f t="shared" si="112"/>
        <v>0</v>
      </c>
      <c r="AJ1120" s="2">
        <f t="shared" si="113"/>
        <v>255.02</v>
      </c>
      <c r="AK1120" s="5">
        <f t="shared" si="115"/>
        <v>1</v>
      </c>
    </row>
    <row r="1121" spans="1:37" x14ac:dyDescent="0.2">
      <c r="A1121" s="2">
        <v>2025</v>
      </c>
      <c r="B1121" s="2">
        <v>4</v>
      </c>
      <c r="C1121" s="2" t="s">
        <v>1129</v>
      </c>
      <c r="D1121" s="2" t="s">
        <v>109</v>
      </c>
      <c r="E1121" s="2" t="s">
        <v>39</v>
      </c>
      <c r="F1121" s="2">
        <v>504923765</v>
      </c>
      <c r="G1121" s="2" t="s">
        <v>110</v>
      </c>
      <c r="H1121" s="2" t="s">
        <v>3275</v>
      </c>
      <c r="I1121" s="2" t="s">
        <v>3276</v>
      </c>
      <c r="J1121" s="2">
        <v>96179412</v>
      </c>
      <c r="K1121" s="2" t="s">
        <v>465</v>
      </c>
      <c r="L1121" s="2" t="s">
        <v>40</v>
      </c>
      <c r="N1121" s="2" t="s">
        <v>3279</v>
      </c>
      <c r="O1121" s="2" t="s">
        <v>40</v>
      </c>
      <c r="P1121" s="2" t="s">
        <v>1318</v>
      </c>
      <c r="Q1121" s="2" t="s">
        <v>3280</v>
      </c>
      <c r="R1121" s="2">
        <v>1</v>
      </c>
      <c r="S1121" s="2">
        <v>1235</v>
      </c>
      <c r="T1121" s="2">
        <f t="shared" ref="T1121:T1122" si="116">S1121*23%</f>
        <v>284.05</v>
      </c>
      <c r="U1121" s="2">
        <f t="shared" ref="U1121:U1122" si="117">S1121+T1121</f>
        <v>1519.05</v>
      </c>
      <c r="V1121" s="2">
        <v>0</v>
      </c>
      <c r="W1121" s="5">
        <f t="shared" si="114"/>
        <v>1</v>
      </c>
      <c r="Y1121" s="2" t="s">
        <v>105</v>
      </c>
      <c r="Z1121" s="2" t="s">
        <v>583</v>
      </c>
      <c r="AE1121" s="2">
        <f t="shared" si="111"/>
        <v>0</v>
      </c>
      <c r="AI1121" s="2">
        <f t="shared" si="112"/>
        <v>0</v>
      </c>
      <c r="AJ1121" s="2">
        <f t="shared" si="113"/>
        <v>1235</v>
      </c>
      <c r="AK1121" s="5">
        <f t="shared" si="115"/>
        <v>1</v>
      </c>
    </row>
    <row r="1122" spans="1:37" x14ac:dyDescent="0.2">
      <c r="A1122" s="2">
        <v>2025</v>
      </c>
      <c r="B1122" s="2">
        <v>4</v>
      </c>
      <c r="C1122" s="2" t="s">
        <v>1129</v>
      </c>
      <c r="D1122" s="2" t="s">
        <v>109</v>
      </c>
      <c r="E1122" s="2" t="s">
        <v>39</v>
      </c>
      <c r="F1122" s="2">
        <v>504923765</v>
      </c>
      <c r="G1122" s="2" t="s">
        <v>110</v>
      </c>
      <c r="H1122" s="2" t="s">
        <v>3275</v>
      </c>
      <c r="I1122" s="2" t="s">
        <v>3276</v>
      </c>
      <c r="J1122" s="2">
        <v>96179412</v>
      </c>
      <c r="K1122" s="2" t="s">
        <v>465</v>
      </c>
      <c r="L1122" s="2" t="s">
        <v>40</v>
      </c>
      <c r="N1122" s="2" t="s">
        <v>3279</v>
      </c>
      <c r="O1122" s="2" t="s">
        <v>40</v>
      </c>
      <c r="P1122" s="2" t="s">
        <v>1318</v>
      </c>
      <c r="Q1122" s="2" t="s">
        <v>3281</v>
      </c>
      <c r="R1122" s="2">
        <v>1</v>
      </c>
      <c r="S1122" s="2">
        <v>1805</v>
      </c>
      <c r="T1122" s="2">
        <f t="shared" si="116"/>
        <v>415.15000000000003</v>
      </c>
      <c r="U1122" s="2">
        <f t="shared" si="117"/>
        <v>2220.15</v>
      </c>
      <c r="V1122" s="2">
        <v>0</v>
      </c>
      <c r="W1122" s="5">
        <f t="shared" si="114"/>
        <v>1</v>
      </c>
      <c r="Y1122" s="2" t="s">
        <v>105</v>
      </c>
      <c r="Z1122" s="2" t="s">
        <v>583</v>
      </c>
      <c r="AE1122" s="2">
        <f t="shared" si="111"/>
        <v>0</v>
      </c>
      <c r="AI1122" s="2">
        <f t="shared" si="112"/>
        <v>0</v>
      </c>
      <c r="AJ1122" s="2">
        <f t="shared" si="113"/>
        <v>1805</v>
      </c>
      <c r="AK1122" s="5">
        <f t="shared" si="115"/>
        <v>1</v>
      </c>
    </row>
    <row r="1123" spans="1:37" x14ac:dyDescent="0.2">
      <c r="A1123" s="2">
        <v>2025</v>
      </c>
      <c r="B1123" s="2">
        <v>5</v>
      </c>
      <c r="C1123" s="2" t="s">
        <v>1129</v>
      </c>
      <c r="D1123" s="2" t="s">
        <v>109</v>
      </c>
      <c r="E1123" s="2" t="s">
        <v>39</v>
      </c>
      <c r="F1123" s="2">
        <v>504923765</v>
      </c>
      <c r="G1123" s="2" t="s">
        <v>110</v>
      </c>
      <c r="H1123" s="2" t="s">
        <v>3275</v>
      </c>
      <c r="I1123" s="2" t="s">
        <v>3276</v>
      </c>
      <c r="J1123" s="2">
        <v>96179412</v>
      </c>
      <c r="K1123" s="2" t="s">
        <v>465</v>
      </c>
      <c r="L1123" s="2" t="s">
        <v>40</v>
      </c>
      <c r="N1123" s="2" t="s">
        <v>3282</v>
      </c>
      <c r="O1123" s="2" t="s">
        <v>115</v>
      </c>
      <c r="P1123" s="2" t="s">
        <v>829</v>
      </c>
      <c r="Q1123" s="2" t="s">
        <v>830</v>
      </c>
      <c r="R1123" s="2">
        <v>1</v>
      </c>
      <c r="S1123" s="2">
        <v>255.02</v>
      </c>
      <c r="T1123" s="2">
        <v>58.654600000000002</v>
      </c>
      <c r="U1123" s="2">
        <v>313.6746</v>
      </c>
      <c r="V1123" s="2">
        <v>127.5675</v>
      </c>
      <c r="W1123" s="5">
        <f t="shared" si="114"/>
        <v>0.49977452748804019</v>
      </c>
      <c r="Y1123" s="2" t="s">
        <v>118</v>
      </c>
      <c r="Z1123" s="2" t="s">
        <v>119</v>
      </c>
      <c r="AA1123" s="2" t="s">
        <v>120</v>
      </c>
      <c r="AB1123" s="2" t="s">
        <v>115</v>
      </c>
      <c r="AE1123" s="2">
        <f t="shared" si="111"/>
        <v>0</v>
      </c>
      <c r="AI1123" s="2">
        <f t="shared" si="112"/>
        <v>0</v>
      </c>
      <c r="AJ1123" s="2">
        <f t="shared" si="113"/>
        <v>127.45250000000001</v>
      </c>
      <c r="AK1123" s="5">
        <f t="shared" si="115"/>
        <v>0.49977452748804019</v>
      </c>
    </row>
    <row r="1124" spans="1:37" x14ac:dyDescent="0.2">
      <c r="A1124" s="2">
        <v>2025</v>
      </c>
      <c r="B1124" s="2">
        <v>5</v>
      </c>
      <c r="C1124" s="2" t="s">
        <v>661</v>
      </c>
      <c r="D1124" s="2" t="s">
        <v>38</v>
      </c>
      <c r="F1124" s="2">
        <v>509116590</v>
      </c>
      <c r="G1124" s="2" t="s">
        <v>291</v>
      </c>
      <c r="H1124" s="2" t="s">
        <v>662</v>
      </c>
      <c r="I1124" s="2" t="s">
        <v>663</v>
      </c>
      <c r="K1124" s="2" t="s">
        <v>294</v>
      </c>
      <c r="L1124" s="2" t="s">
        <v>81</v>
      </c>
      <c r="O1124" s="2" t="s">
        <v>73</v>
      </c>
      <c r="P1124" s="2" t="s">
        <v>203</v>
      </c>
      <c r="Q1124" s="2" t="s">
        <v>198</v>
      </c>
      <c r="R1124" s="8">
        <v>1</v>
      </c>
      <c r="S1124" s="2">
        <v>260</v>
      </c>
      <c r="T1124" s="2">
        <v>59.8</v>
      </c>
      <c r="U1124" s="2">
        <v>319.8</v>
      </c>
      <c r="V1124" s="2">
        <v>152.85</v>
      </c>
      <c r="W1124" s="5">
        <f t="shared" si="114"/>
        <v>0.41211538461538466</v>
      </c>
      <c r="Y1124" s="2" t="s">
        <v>3256</v>
      </c>
      <c r="Z1124" s="2" t="s">
        <v>76</v>
      </c>
      <c r="AA1124" s="2" t="s">
        <v>77</v>
      </c>
      <c r="AB1124" s="2" t="s">
        <v>78</v>
      </c>
      <c r="AE1124" s="2">
        <f t="shared" si="111"/>
        <v>0</v>
      </c>
      <c r="AF1124" s="2">
        <v>152.85</v>
      </c>
      <c r="AG1124" s="2">
        <v>260</v>
      </c>
      <c r="AI1124" s="2">
        <f t="shared" si="112"/>
        <v>0</v>
      </c>
      <c r="AJ1124" s="2">
        <f t="shared" si="113"/>
        <v>107.15</v>
      </c>
      <c r="AK1124" s="5">
        <f t="shared" si="115"/>
        <v>0.41211538461538466</v>
      </c>
    </row>
    <row r="1125" spans="1:37" x14ac:dyDescent="0.2">
      <c r="A1125" s="2">
        <v>2025</v>
      </c>
      <c r="B1125" s="2">
        <v>5</v>
      </c>
      <c r="C1125" s="2" t="s">
        <v>661</v>
      </c>
      <c r="D1125" s="2" t="s">
        <v>38</v>
      </c>
      <c r="F1125" s="2">
        <v>509116590</v>
      </c>
      <c r="G1125" s="2" t="s">
        <v>291</v>
      </c>
      <c r="H1125" s="2" t="s">
        <v>662</v>
      </c>
      <c r="I1125" s="2" t="s">
        <v>663</v>
      </c>
      <c r="K1125" s="2" t="s">
        <v>294</v>
      </c>
      <c r="L1125" s="2" t="s">
        <v>81</v>
      </c>
      <c r="O1125" s="2" t="s">
        <v>94</v>
      </c>
      <c r="P1125" s="2" t="s">
        <v>95</v>
      </c>
      <c r="Q1125" s="2" t="s">
        <v>96</v>
      </c>
      <c r="R1125" s="2">
        <v>1</v>
      </c>
      <c r="S1125" s="2">
        <v>1.1399999999999999</v>
      </c>
      <c r="T1125" s="2">
        <v>0.26219999999999999</v>
      </c>
      <c r="U1125" s="2">
        <v>1.4021999999999999</v>
      </c>
      <c r="V1125" s="2">
        <v>1.1399999999999999</v>
      </c>
      <c r="W1125" s="5">
        <f t="shared" si="114"/>
        <v>0</v>
      </c>
      <c r="Y1125" s="2" t="s">
        <v>3256</v>
      </c>
      <c r="Z1125" s="2" t="s">
        <v>97</v>
      </c>
      <c r="AA1125" s="2" t="s">
        <v>77</v>
      </c>
      <c r="AB1125" s="2" t="s">
        <v>94</v>
      </c>
      <c r="AE1125" s="2">
        <f t="shared" si="111"/>
        <v>0</v>
      </c>
      <c r="AF1125" s="2">
        <v>1.1399999999999999</v>
      </c>
      <c r="AG1125" s="2">
        <v>1.1399999999999999</v>
      </c>
      <c r="AI1125" s="2">
        <f t="shared" si="112"/>
        <v>0</v>
      </c>
      <c r="AJ1125" s="2">
        <f t="shared" si="113"/>
        <v>0</v>
      </c>
      <c r="AK1125" s="5">
        <f t="shared" si="115"/>
        <v>0</v>
      </c>
    </row>
    <row r="1126" spans="1:37" x14ac:dyDescent="0.2">
      <c r="A1126" s="2">
        <v>2025</v>
      </c>
      <c r="B1126" s="2">
        <v>5</v>
      </c>
      <c r="C1126" s="2" t="s">
        <v>1451</v>
      </c>
      <c r="O1126" s="2" t="s">
        <v>115</v>
      </c>
      <c r="P1126" s="2" t="s">
        <v>1452</v>
      </c>
      <c r="Q1126" s="2" t="s">
        <v>1453</v>
      </c>
      <c r="R1126" s="2">
        <v>1</v>
      </c>
      <c r="S1126" s="2">
        <v>35.74</v>
      </c>
      <c r="T1126" s="2">
        <v>8.2202000000000002</v>
      </c>
      <c r="U1126" s="2">
        <v>43.9602</v>
      </c>
      <c r="W1126" s="5">
        <f t="shared" si="114"/>
        <v>1</v>
      </c>
      <c r="AE1126" s="2">
        <f t="shared" si="111"/>
        <v>0</v>
      </c>
      <c r="AI1126" s="2">
        <f t="shared" si="112"/>
        <v>0</v>
      </c>
      <c r="AJ1126" s="2">
        <f t="shared" si="113"/>
        <v>35.74</v>
      </c>
      <c r="AK1126" s="5">
        <f t="shared" si="115"/>
        <v>1</v>
      </c>
    </row>
    <row r="1127" spans="1:37" x14ac:dyDescent="0.2">
      <c r="A1127" s="2">
        <v>2025</v>
      </c>
      <c r="B1127" s="2">
        <v>5</v>
      </c>
      <c r="C1127" s="2" t="s">
        <v>1451</v>
      </c>
      <c r="O1127" s="2" t="s">
        <v>40</v>
      </c>
      <c r="P1127" s="2" t="s">
        <v>364</v>
      </c>
      <c r="Q1127" s="2" t="s">
        <v>365</v>
      </c>
      <c r="R1127" s="2">
        <v>1</v>
      </c>
      <c r="S1127" s="2">
        <v>99.75</v>
      </c>
      <c r="T1127" s="2">
        <v>22.942499999999999</v>
      </c>
      <c r="U1127" s="2">
        <v>122.6925</v>
      </c>
      <c r="W1127" s="5">
        <f t="shared" si="114"/>
        <v>1</v>
      </c>
      <c r="Y1127" s="2" t="s">
        <v>120</v>
      </c>
      <c r="AE1127" s="2">
        <f t="shared" si="111"/>
        <v>0</v>
      </c>
      <c r="AI1127" s="2">
        <f t="shared" si="112"/>
        <v>0</v>
      </c>
      <c r="AJ1127" s="2">
        <f t="shared" si="113"/>
        <v>99.75</v>
      </c>
      <c r="AK1127" s="5">
        <f t="shared" si="115"/>
        <v>1</v>
      </c>
    </row>
    <row r="1128" spans="1:37" x14ac:dyDescent="0.2">
      <c r="A1128" s="2">
        <v>2025</v>
      </c>
      <c r="B1128" s="2">
        <v>5</v>
      </c>
      <c r="C1128" s="2" t="s">
        <v>1133</v>
      </c>
      <c r="D1128" s="2" t="s">
        <v>109</v>
      </c>
      <c r="E1128" s="2" t="s">
        <v>39</v>
      </c>
      <c r="F1128" s="2">
        <v>515742279</v>
      </c>
      <c r="G1128" s="2" t="s">
        <v>41</v>
      </c>
      <c r="H1128" s="2" t="s">
        <v>2316</v>
      </c>
      <c r="I1128" s="2" t="s">
        <v>2317</v>
      </c>
      <c r="J1128" s="2">
        <v>965790183</v>
      </c>
      <c r="K1128" s="2" t="s">
        <v>178</v>
      </c>
      <c r="L1128" s="2" t="s">
        <v>40</v>
      </c>
      <c r="O1128" s="2" t="s">
        <v>115</v>
      </c>
      <c r="P1128" s="2" t="s">
        <v>799</v>
      </c>
      <c r="Q1128" s="2" t="s">
        <v>800</v>
      </c>
      <c r="R1128" s="2">
        <v>1</v>
      </c>
      <c r="S1128" s="2">
        <v>770.24</v>
      </c>
      <c r="T1128" s="2">
        <v>177.15520000000001</v>
      </c>
      <c r="U1128" s="2">
        <v>947.39520000000005</v>
      </c>
      <c r="V1128" s="2">
        <v>257.3</v>
      </c>
      <c r="W1128" s="5">
        <f t="shared" si="114"/>
        <v>0.66594827586206906</v>
      </c>
      <c r="Y1128" s="2" t="s">
        <v>118</v>
      </c>
      <c r="Z1128" s="2" t="s">
        <v>119</v>
      </c>
      <c r="AA1128" s="2" t="s">
        <v>120</v>
      </c>
      <c r="AB1128" s="2" t="s">
        <v>115</v>
      </c>
      <c r="AE1128" s="2">
        <f t="shared" si="111"/>
        <v>0</v>
      </c>
      <c r="AI1128" s="2">
        <f t="shared" si="112"/>
        <v>0</v>
      </c>
      <c r="AJ1128" s="2">
        <f t="shared" si="113"/>
        <v>512.94000000000005</v>
      </c>
      <c r="AK1128" s="5">
        <f t="shared" si="115"/>
        <v>0.66594827586206906</v>
      </c>
    </row>
    <row r="1129" spans="1:37" x14ac:dyDescent="0.2">
      <c r="A1129" s="2">
        <v>2025</v>
      </c>
      <c r="B1129" s="2">
        <v>5</v>
      </c>
      <c r="C1129" s="2" t="s">
        <v>1133</v>
      </c>
      <c r="D1129" s="2" t="s">
        <v>109</v>
      </c>
      <c r="E1129" s="2" t="s">
        <v>39</v>
      </c>
      <c r="F1129" s="2">
        <v>515742279</v>
      </c>
      <c r="G1129" s="2" t="s">
        <v>41</v>
      </c>
      <c r="H1129" s="2" t="s">
        <v>2316</v>
      </c>
      <c r="I1129" s="2" t="s">
        <v>2317</v>
      </c>
      <c r="J1129" s="2">
        <v>965790183</v>
      </c>
      <c r="K1129" s="2" t="s">
        <v>178</v>
      </c>
      <c r="L1129" s="2" t="s">
        <v>40</v>
      </c>
      <c r="O1129" s="2" t="s">
        <v>188</v>
      </c>
      <c r="P1129" s="2" t="s">
        <v>189</v>
      </c>
      <c r="Q1129" s="2" t="s">
        <v>190</v>
      </c>
      <c r="R1129" s="2">
        <v>1</v>
      </c>
      <c r="S1129" s="2">
        <v>50</v>
      </c>
      <c r="T1129" s="2">
        <v>11.5</v>
      </c>
      <c r="U1129" s="2">
        <v>61.5</v>
      </c>
      <c r="W1129" s="5">
        <f t="shared" si="114"/>
        <v>1</v>
      </c>
      <c r="Y1129" s="2" t="s">
        <v>118</v>
      </c>
      <c r="Z1129" s="2" t="s">
        <v>191</v>
      </c>
      <c r="AE1129" s="2">
        <f t="shared" si="111"/>
        <v>0</v>
      </c>
      <c r="AI1129" s="2">
        <f t="shared" si="112"/>
        <v>0</v>
      </c>
      <c r="AJ1129" s="2">
        <f t="shared" si="113"/>
        <v>50</v>
      </c>
      <c r="AK1129" s="5">
        <f t="shared" si="115"/>
        <v>1</v>
      </c>
    </row>
    <row r="1130" spans="1:37" x14ac:dyDescent="0.2">
      <c r="A1130" s="2">
        <v>2025</v>
      </c>
      <c r="B1130" s="2">
        <v>5</v>
      </c>
      <c r="C1130" s="2" t="s">
        <v>1133</v>
      </c>
      <c r="D1130" s="2" t="s">
        <v>109</v>
      </c>
      <c r="E1130" s="2" t="s">
        <v>39</v>
      </c>
      <c r="F1130" s="2">
        <v>515742279</v>
      </c>
      <c r="G1130" s="2" t="s">
        <v>41</v>
      </c>
      <c r="H1130" s="2" t="s">
        <v>2316</v>
      </c>
      <c r="I1130" s="2" t="s">
        <v>2317</v>
      </c>
      <c r="J1130" s="2">
        <v>965790183</v>
      </c>
      <c r="K1130" s="2" t="s">
        <v>178</v>
      </c>
      <c r="L1130" s="2" t="s">
        <v>40</v>
      </c>
      <c r="O1130" s="2" t="s">
        <v>188</v>
      </c>
      <c r="P1130" s="2" t="s">
        <v>192</v>
      </c>
      <c r="Q1130" s="2" t="s">
        <v>191</v>
      </c>
      <c r="R1130" s="2">
        <v>2</v>
      </c>
      <c r="S1130" s="2">
        <v>100</v>
      </c>
      <c r="T1130" s="2">
        <v>23</v>
      </c>
      <c r="U1130" s="2">
        <v>123</v>
      </c>
      <c r="V1130" s="2">
        <f>S1130*50%</f>
        <v>50</v>
      </c>
      <c r="W1130" s="5">
        <f t="shared" si="114"/>
        <v>0.5</v>
      </c>
      <c r="Y1130" s="2" t="s">
        <v>118</v>
      </c>
      <c r="Z1130" s="2" t="s">
        <v>191</v>
      </c>
      <c r="AE1130" s="2">
        <f t="shared" si="111"/>
        <v>0</v>
      </c>
      <c r="AI1130" s="2">
        <f t="shared" si="112"/>
        <v>0</v>
      </c>
      <c r="AJ1130" s="2">
        <f t="shared" si="113"/>
        <v>50</v>
      </c>
      <c r="AK1130" s="5">
        <f t="shared" si="115"/>
        <v>0.5</v>
      </c>
    </row>
    <row r="1131" spans="1:37" x14ac:dyDescent="0.2">
      <c r="A1131" s="2">
        <v>2025</v>
      </c>
      <c r="B1131" s="2">
        <v>5</v>
      </c>
      <c r="C1131" s="2" t="s">
        <v>1133</v>
      </c>
      <c r="D1131" s="2" t="s">
        <v>109</v>
      </c>
      <c r="E1131" s="2" t="s">
        <v>39</v>
      </c>
      <c r="F1131" s="2">
        <v>515742279</v>
      </c>
      <c r="G1131" s="2" t="s">
        <v>41</v>
      </c>
      <c r="H1131" s="2" t="s">
        <v>2316</v>
      </c>
      <c r="I1131" s="2" t="s">
        <v>2317</v>
      </c>
      <c r="J1131" s="2">
        <v>965790183</v>
      </c>
      <c r="K1131" s="2" t="s">
        <v>178</v>
      </c>
      <c r="L1131" s="2" t="s">
        <v>40</v>
      </c>
      <c r="O1131" s="2" t="s">
        <v>40</v>
      </c>
      <c r="P1131" s="2" t="s">
        <v>141</v>
      </c>
      <c r="Q1131" s="2" t="s">
        <v>142</v>
      </c>
      <c r="R1131" s="2">
        <v>-1</v>
      </c>
      <c r="S1131" s="2">
        <v>-231.07</v>
      </c>
      <c r="T1131" s="2">
        <v>-53.146099999999997</v>
      </c>
      <c r="U1131" s="2">
        <v>-284.21609999999998</v>
      </c>
      <c r="W1131" s="5">
        <v>0</v>
      </c>
      <c r="Y1131" s="2" t="s">
        <v>120</v>
      </c>
      <c r="Z1131" s="2" t="s">
        <v>143</v>
      </c>
      <c r="AE1131" s="2">
        <f t="shared" si="111"/>
        <v>0</v>
      </c>
      <c r="AI1131" s="2">
        <f t="shared" si="112"/>
        <v>0</v>
      </c>
      <c r="AJ1131" s="2">
        <f t="shared" si="113"/>
        <v>-231.07</v>
      </c>
      <c r="AK1131" s="5">
        <f t="shared" si="115"/>
        <v>1</v>
      </c>
    </row>
    <row r="1132" spans="1:37" x14ac:dyDescent="0.2">
      <c r="A1132" s="2">
        <v>2025</v>
      </c>
      <c r="B1132" s="2">
        <v>5</v>
      </c>
      <c r="C1132" s="2" t="s">
        <v>1322</v>
      </c>
      <c r="D1132" s="2" t="s">
        <v>38</v>
      </c>
      <c r="E1132" s="2" t="s">
        <v>39</v>
      </c>
      <c r="F1132" s="2">
        <v>509512739</v>
      </c>
      <c r="G1132" s="2" t="s">
        <v>41</v>
      </c>
      <c r="H1132" s="2" t="s">
        <v>178</v>
      </c>
      <c r="I1132" s="2" t="s">
        <v>1323</v>
      </c>
      <c r="K1132" s="2" t="s">
        <v>178</v>
      </c>
      <c r="L1132" s="2" t="s">
        <v>41</v>
      </c>
      <c r="N1132" s="2" t="s">
        <v>1454</v>
      </c>
      <c r="O1132" s="2" t="s">
        <v>43</v>
      </c>
      <c r="P1132" s="2" t="s">
        <v>55</v>
      </c>
      <c r="Q1132" s="2" t="s">
        <v>56</v>
      </c>
      <c r="R1132" s="2">
        <v>2</v>
      </c>
      <c r="S1132" s="2">
        <v>32</v>
      </c>
      <c r="T1132" s="2">
        <v>7.36</v>
      </c>
      <c r="U1132" s="2">
        <v>39.36</v>
      </c>
      <c r="V1132" s="2">
        <f>10.6*R1132</f>
        <v>21.2</v>
      </c>
      <c r="W1132" s="5">
        <f t="shared" ref="W1132:W1163" si="118">(S1132-V1132)/S1132</f>
        <v>0.33750000000000002</v>
      </c>
      <c r="Y1132" s="2" t="s">
        <v>3256</v>
      </c>
      <c r="Z1132" s="2" t="s">
        <v>46</v>
      </c>
      <c r="AA1132" s="2" t="s">
        <v>57</v>
      </c>
      <c r="AB1132" s="2" t="s">
        <v>58</v>
      </c>
      <c r="AE1132" s="2">
        <f t="shared" si="111"/>
        <v>0</v>
      </c>
      <c r="AF1132" s="2">
        <v>10.6</v>
      </c>
      <c r="AG1132" s="2">
        <v>18</v>
      </c>
      <c r="AI1132" s="2">
        <f t="shared" si="112"/>
        <v>0</v>
      </c>
      <c r="AJ1132" s="2">
        <f t="shared" si="113"/>
        <v>10.8</v>
      </c>
      <c r="AK1132" s="5">
        <f t="shared" si="115"/>
        <v>0.33750000000000002</v>
      </c>
    </row>
    <row r="1133" spans="1:37" x14ac:dyDescent="0.2">
      <c r="A1133" s="2">
        <v>2025</v>
      </c>
      <c r="B1133" s="2">
        <v>5</v>
      </c>
      <c r="C1133" s="2" t="s">
        <v>1322</v>
      </c>
      <c r="D1133" s="2" t="s">
        <v>38</v>
      </c>
      <c r="E1133" s="2" t="s">
        <v>39</v>
      </c>
      <c r="F1133" s="2">
        <v>509512739</v>
      </c>
      <c r="G1133" s="2" t="s">
        <v>41</v>
      </c>
      <c r="H1133" s="2" t="s">
        <v>178</v>
      </c>
      <c r="I1133" s="2" t="s">
        <v>1323</v>
      </c>
      <c r="K1133" s="2" t="s">
        <v>178</v>
      </c>
      <c r="L1133" s="2" t="s">
        <v>41</v>
      </c>
      <c r="N1133" s="2" t="s">
        <v>1454</v>
      </c>
      <c r="O1133" s="2" t="s">
        <v>43</v>
      </c>
      <c r="P1133" s="2" t="s">
        <v>255</v>
      </c>
      <c r="Q1133" s="2" t="s">
        <v>256</v>
      </c>
      <c r="R1133" s="2">
        <v>100</v>
      </c>
      <c r="S1133" s="2">
        <v>14</v>
      </c>
      <c r="T1133" s="2">
        <v>3.22</v>
      </c>
      <c r="U1133" s="2">
        <v>17.22</v>
      </c>
      <c r="V1133" s="2">
        <f>0.0914*R1133</f>
        <v>9.1399999999999988</v>
      </c>
      <c r="W1133" s="5">
        <f t="shared" si="118"/>
        <v>0.34714285714285725</v>
      </c>
      <c r="Y1133" s="2" t="s">
        <v>3256</v>
      </c>
      <c r="Z1133" s="2" t="s">
        <v>46</v>
      </c>
      <c r="AA1133" s="2" t="s">
        <v>61</v>
      </c>
      <c r="AB1133" s="2" t="s">
        <v>58</v>
      </c>
      <c r="AE1133" s="2">
        <f t="shared" si="111"/>
        <v>0</v>
      </c>
      <c r="AF1133" s="2">
        <v>9.1399999999999995E-2</v>
      </c>
      <c r="AI1133" s="2">
        <f t="shared" si="112"/>
        <v>0</v>
      </c>
      <c r="AJ1133" s="2">
        <f t="shared" si="113"/>
        <v>4.8600000000000012</v>
      </c>
      <c r="AK1133" s="5">
        <f t="shared" si="115"/>
        <v>0.34714285714285725</v>
      </c>
    </row>
    <row r="1134" spans="1:37" x14ac:dyDescent="0.2">
      <c r="A1134" s="2">
        <v>2025</v>
      </c>
      <c r="B1134" s="2">
        <v>5</v>
      </c>
      <c r="C1134" s="2" t="s">
        <v>1134</v>
      </c>
      <c r="D1134" s="2" t="s">
        <v>38</v>
      </c>
      <c r="E1134" s="2" t="s">
        <v>39</v>
      </c>
      <c r="F1134" s="2">
        <v>501551298</v>
      </c>
      <c r="G1134" s="2" t="s">
        <v>110</v>
      </c>
      <c r="H1134" s="2" t="s">
        <v>1135</v>
      </c>
      <c r="I1134" s="2" t="s">
        <v>1136</v>
      </c>
      <c r="K1134" s="2" t="s">
        <v>465</v>
      </c>
      <c r="L1134" s="2" t="s">
        <v>40</v>
      </c>
      <c r="N1134" s="2" t="s">
        <v>1455</v>
      </c>
      <c r="O1134" s="2" t="s">
        <v>115</v>
      </c>
      <c r="P1134" s="2" t="s">
        <v>844</v>
      </c>
      <c r="Q1134" s="2" t="s">
        <v>845</v>
      </c>
      <c r="R1134" s="2">
        <v>1</v>
      </c>
      <c r="S1134" s="2">
        <v>4500</v>
      </c>
      <c r="T1134" s="2">
        <v>1035</v>
      </c>
      <c r="U1134" s="2">
        <v>5535</v>
      </c>
      <c r="V1134" s="2">
        <v>3345.125</v>
      </c>
      <c r="W1134" s="5">
        <f t="shared" si="118"/>
        <v>0.25663888888888892</v>
      </c>
      <c r="Y1134" s="2" t="s">
        <v>105</v>
      </c>
      <c r="Z1134" s="2" t="s">
        <v>151</v>
      </c>
      <c r="AA1134" s="2" t="s">
        <v>152</v>
      </c>
      <c r="AB1134" s="2" t="s">
        <v>115</v>
      </c>
      <c r="AE1134" s="2">
        <f t="shared" si="111"/>
        <v>0</v>
      </c>
      <c r="AF1134" s="2">
        <v>3345.125</v>
      </c>
      <c r="AI1134" s="2">
        <f t="shared" si="112"/>
        <v>0</v>
      </c>
      <c r="AJ1134" s="2">
        <f t="shared" si="113"/>
        <v>1154.875</v>
      </c>
      <c r="AK1134" s="5">
        <f t="shared" si="115"/>
        <v>0.25663888888888892</v>
      </c>
    </row>
    <row r="1135" spans="1:37" x14ac:dyDescent="0.2">
      <c r="A1135" s="2">
        <v>2025</v>
      </c>
      <c r="B1135" s="2">
        <v>5</v>
      </c>
      <c r="C1135" s="2" t="s">
        <v>935</v>
      </c>
      <c r="D1135" s="2" t="s">
        <v>38</v>
      </c>
      <c r="E1135" s="2" t="s">
        <v>39</v>
      </c>
      <c r="F1135" s="2" t="s">
        <v>936</v>
      </c>
      <c r="G1135" s="2" t="s">
        <v>41</v>
      </c>
      <c r="H1135" s="2" t="s">
        <v>632</v>
      </c>
      <c r="I1135" s="2" t="s">
        <v>937</v>
      </c>
      <c r="K1135" s="2" t="s">
        <v>632</v>
      </c>
      <c r="L1135" s="2" t="s">
        <v>41</v>
      </c>
      <c r="O1135" s="2" t="s">
        <v>43</v>
      </c>
      <c r="P1135" s="2" t="s">
        <v>49</v>
      </c>
      <c r="Q1135" s="2" t="s">
        <v>50</v>
      </c>
      <c r="R1135" s="2">
        <v>5</v>
      </c>
      <c r="S1135" s="2">
        <v>60</v>
      </c>
      <c r="T1135" s="2">
        <v>13.8</v>
      </c>
      <c r="U1135" s="2">
        <v>73.8</v>
      </c>
      <c r="V1135" s="2">
        <f>6.6267*R1135</f>
        <v>33.133499999999998</v>
      </c>
      <c r="W1135" s="5">
        <f t="shared" si="118"/>
        <v>0.44777500000000003</v>
      </c>
      <c r="Y1135" s="2" t="s">
        <v>3256</v>
      </c>
      <c r="Z1135" s="2" t="s">
        <v>46</v>
      </c>
      <c r="AA1135" s="2" t="s">
        <v>47</v>
      </c>
      <c r="AB1135" s="2" t="s">
        <v>48</v>
      </c>
      <c r="AE1135" s="2">
        <f t="shared" si="111"/>
        <v>0</v>
      </c>
      <c r="AF1135" s="2">
        <v>6.6266999999999996</v>
      </c>
      <c r="AG1135" s="2">
        <v>12</v>
      </c>
      <c r="AI1135" s="2">
        <f t="shared" si="112"/>
        <v>0</v>
      </c>
      <c r="AJ1135" s="2">
        <f t="shared" si="113"/>
        <v>26.866500000000002</v>
      </c>
      <c r="AK1135" s="5">
        <f t="shared" si="115"/>
        <v>0.44777500000000003</v>
      </c>
    </row>
    <row r="1136" spans="1:37" x14ac:dyDescent="0.2">
      <c r="A1136" s="2">
        <v>2025</v>
      </c>
      <c r="B1136" s="2">
        <v>7</v>
      </c>
      <c r="C1136" s="2" t="s">
        <v>37</v>
      </c>
      <c r="D1136" s="2" t="s">
        <v>38</v>
      </c>
      <c r="E1136" s="2" t="s">
        <v>39</v>
      </c>
      <c r="G1136" s="2" t="s">
        <v>40</v>
      </c>
      <c r="O1136" s="2" t="s">
        <v>283</v>
      </c>
      <c r="P1136" s="2" t="s">
        <v>1448</v>
      </c>
      <c r="Q1136" s="2" t="s">
        <v>1449</v>
      </c>
      <c r="R1136" s="2">
        <v>1</v>
      </c>
      <c r="S1136" s="2">
        <v>7.9</v>
      </c>
      <c r="T1136" s="2">
        <v>1.8169999999999999</v>
      </c>
      <c r="U1136" s="2">
        <v>9.7170000000000005</v>
      </c>
      <c r="W1136" s="5">
        <f t="shared" si="118"/>
        <v>1</v>
      </c>
      <c r="Y1136" s="2" t="s">
        <v>3256</v>
      </c>
      <c r="AE1136" s="2">
        <f t="shared" si="111"/>
        <v>0</v>
      </c>
      <c r="AI1136" s="2">
        <f t="shared" si="112"/>
        <v>0</v>
      </c>
      <c r="AJ1136" s="2">
        <f t="shared" si="113"/>
        <v>7.9</v>
      </c>
      <c r="AK1136" s="5">
        <f t="shared" si="115"/>
        <v>1</v>
      </c>
    </row>
    <row r="1137" spans="1:37" x14ac:dyDescent="0.2">
      <c r="A1137" s="2">
        <v>2025</v>
      </c>
      <c r="B1137" s="2">
        <v>7</v>
      </c>
      <c r="C1137" s="2" t="s">
        <v>37</v>
      </c>
      <c r="D1137" s="2" t="s">
        <v>38</v>
      </c>
      <c r="E1137" s="2" t="s">
        <v>39</v>
      </c>
      <c r="G1137" s="2" t="s">
        <v>40</v>
      </c>
      <c r="O1137" s="2" t="s">
        <v>283</v>
      </c>
      <c r="P1137" s="2" t="s">
        <v>1456</v>
      </c>
      <c r="Q1137" s="2" t="s">
        <v>1457</v>
      </c>
      <c r="R1137" s="2">
        <v>1</v>
      </c>
      <c r="S1137" s="2">
        <v>80</v>
      </c>
      <c r="T1137" s="2">
        <v>18.399999999999999</v>
      </c>
      <c r="U1137" s="2">
        <v>98.4</v>
      </c>
      <c r="W1137" s="5">
        <f t="shared" si="118"/>
        <v>1</v>
      </c>
      <c r="Y1137" s="2" t="s">
        <v>3256</v>
      </c>
      <c r="AE1137" s="2">
        <f t="shared" si="111"/>
        <v>0</v>
      </c>
      <c r="AI1137" s="2">
        <f t="shared" si="112"/>
        <v>0</v>
      </c>
      <c r="AJ1137" s="2">
        <f t="shared" si="113"/>
        <v>80</v>
      </c>
      <c r="AK1137" s="5">
        <f t="shared" si="115"/>
        <v>1</v>
      </c>
    </row>
    <row r="1138" spans="1:37" x14ac:dyDescent="0.2">
      <c r="A1138" s="2">
        <v>2025</v>
      </c>
      <c r="B1138" s="2">
        <v>7</v>
      </c>
      <c r="C1138" s="2" t="s">
        <v>37</v>
      </c>
      <c r="D1138" s="2" t="s">
        <v>38</v>
      </c>
      <c r="E1138" s="2" t="s">
        <v>39</v>
      </c>
      <c r="G1138" s="2" t="s">
        <v>40</v>
      </c>
      <c r="O1138" s="2" t="s">
        <v>283</v>
      </c>
      <c r="P1138" s="2" t="s">
        <v>1458</v>
      </c>
      <c r="Q1138" s="2" t="s">
        <v>1459</v>
      </c>
      <c r="R1138" s="2">
        <v>1</v>
      </c>
      <c r="S1138" s="2">
        <v>284.55</v>
      </c>
      <c r="T1138" s="2">
        <v>65.4465</v>
      </c>
      <c r="U1138" s="2">
        <v>349.99650000000003</v>
      </c>
      <c r="W1138" s="5">
        <f t="shared" si="118"/>
        <v>1</v>
      </c>
      <c r="Y1138" s="2" t="s">
        <v>3256</v>
      </c>
      <c r="AE1138" s="2">
        <f t="shared" si="111"/>
        <v>0</v>
      </c>
      <c r="AI1138" s="2">
        <f t="shared" si="112"/>
        <v>0</v>
      </c>
      <c r="AJ1138" s="2">
        <f t="shared" si="113"/>
        <v>284.55</v>
      </c>
      <c r="AK1138" s="5">
        <f t="shared" si="115"/>
        <v>1</v>
      </c>
    </row>
    <row r="1139" spans="1:37" x14ac:dyDescent="0.2">
      <c r="A1139" s="2">
        <v>2025</v>
      </c>
      <c r="B1139" s="2">
        <v>7</v>
      </c>
      <c r="C1139" s="2" t="s">
        <v>37</v>
      </c>
      <c r="D1139" s="2" t="s">
        <v>38</v>
      </c>
      <c r="E1139" s="2" t="s">
        <v>39</v>
      </c>
      <c r="G1139" s="2" t="s">
        <v>40</v>
      </c>
      <c r="P1139" s="2" t="s">
        <v>655</v>
      </c>
      <c r="Q1139" s="2" t="s">
        <v>656</v>
      </c>
      <c r="R1139" s="2">
        <v>2</v>
      </c>
      <c r="S1139" s="2">
        <v>371</v>
      </c>
      <c r="T1139" s="2">
        <v>85.33</v>
      </c>
      <c r="U1139" s="2">
        <v>456.33</v>
      </c>
      <c r="W1139" s="5">
        <f t="shared" si="118"/>
        <v>1</v>
      </c>
      <c r="AE1139" s="2">
        <f t="shared" si="111"/>
        <v>0</v>
      </c>
      <c r="AI1139" s="2">
        <f t="shared" si="112"/>
        <v>0</v>
      </c>
      <c r="AJ1139" s="2">
        <f t="shared" si="113"/>
        <v>371</v>
      </c>
      <c r="AK1139" s="5">
        <f t="shared" si="115"/>
        <v>1</v>
      </c>
    </row>
    <row r="1140" spans="1:37" x14ac:dyDescent="0.2">
      <c r="A1140" s="2">
        <v>2025</v>
      </c>
      <c r="B1140" s="2">
        <v>7</v>
      </c>
      <c r="C1140" s="2" t="s">
        <v>37</v>
      </c>
      <c r="D1140" s="2" t="s">
        <v>38</v>
      </c>
      <c r="E1140" s="2" t="s">
        <v>39</v>
      </c>
      <c r="G1140" s="2" t="s">
        <v>40</v>
      </c>
      <c r="O1140" s="2" t="s">
        <v>43</v>
      </c>
      <c r="P1140" s="2" t="s">
        <v>49</v>
      </c>
      <c r="Q1140" s="2" t="s">
        <v>50</v>
      </c>
      <c r="R1140" s="2">
        <v>5</v>
      </c>
      <c r="S1140" s="2">
        <v>59</v>
      </c>
      <c r="T1140" s="2">
        <v>13.57</v>
      </c>
      <c r="U1140" s="2">
        <v>72.569999999999993</v>
      </c>
      <c r="V1140" s="2">
        <f>6.6267*R1140</f>
        <v>33.133499999999998</v>
      </c>
      <c r="W1140" s="5">
        <f t="shared" si="118"/>
        <v>0.43841525423728817</v>
      </c>
      <c r="Y1140" s="2" t="s">
        <v>3256</v>
      </c>
      <c r="Z1140" s="2" t="s">
        <v>46</v>
      </c>
      <c r="AA1140" s="2" t="s">
        <v>47</v>
      </c>
      <c r="AB1140" s="2" t="s">
        <v>48</v>
      </c>
      <c r="AE1140" s="2">
        <f t="shared" si="111"/>
        <v>0</v>
      </c>
      <c r="AF1140" s="2">
        <v>6.6266999999999996</v>
      </c>
      <c r="AG1140" s="2">
        <v>12</v>
      </c>
      <c r="AI1140" s="2">
        <f t="shared" si="112"/>
        <v>0</v>
      </c>
      <c r="AJ1140" s="2">
        <f t="shared" si="113"/>
        <v>25.866500000000002</v>
      </c>
      <c r="AK1140" s="5">
        <f t="shared" si="115"/>
        <v>0.43841525423728817</v>
      </c>
    </row>
    <row r="1141" spans="1:37" x14ac:dyDescent="0.2">
      <c r="A1141" s="2">
        <v>2025</v>
      </c>
      <c r="B1141" s="2">
        <v>7</v>
      </c>
      <c r="C1141" s="2" t="s">
        <v>37</v>
      </c>
      <c r="D1141" s="2" t="s">
        <v>38</v>
      </c>
      <c r="E1141" s="2" t="s">
        <v>39</v>
      </c>
      <c r="G1141" s="2" t="s">
        <v>40</v>
      </c>
      <c r="O1141" s="2" t="s">
        <v>43</v>
      </c>
      <c r="P1141" s="2" t="s">
        <v>161</v>
      </c>
      <c r="Q1141" s="2" t="s">
        <v>162</v>
      </c>
      <c r="R1141" s="2">
        <v>1</v>
      </c>
      <c r="S1141" s="2">
        <v>7.8</v>
      </c>
      <c r="T1141" s="2">
        <v>1.794</v>
      </c>
      <c r="U1141" s="2">
        <v>9.5939999999999994</v>
      </c>
      <c r="V1141" s="2">
        <f>3.7358*R1141</f>
        <v>3.7357999999999998</v>
      </c>
      <c r="W1141" s="5">
        <f t="shared" si="118"/>
        <v>0.52105128205128204</v>
      </c>
      <c r="Y1141" s="2" t="s">
        <v>3256</v>
      </c>
      <c r="Z1141" s="2" t="s">
        <v>46</v>
      </c>
      <c r="AA1141" s="2" t="s">
        <v>47</v>
      </c>
      <c r="AB1141" s="2" t="s">
        <v>48</v>
      </c>
      <c r="AE1141" s="2">
        <f t="shared" si="111"/>
        <v>0</v>
      </c>
      <c r="AF1141" s="2">
        <v>3.7357999999999998</v>
      </c>
      <c r="AG1141" s="2">
        <v>9</v>
      </c>
      <c r="AI1141" s="2">
        <f t="shared" si="112"/>
        <v>0</v>
      </c>
      <c r="AJ1141" s="2">
        <f t="shared" si="113"/>
        <v>4.0641999999999996</v>
      </c>
      <c r="AK1141" s="5">
        <f t="shared" si="115"/>
        <v>0.52105128205128204</v>
      </c>
    </row>
    <row r="1142" spans="1:37" x14ac:dyDescent="0.2">
      <c r="A1142" s="2">
        <v>2025</v>
      </c>
      <c r="B1142" s="2">
        <v>7</v>
      </c>
      <c r="C1142" s="2" t="s">
        <v>37</v>
      </c>
      <c r="D1142" s="2" t="s">
        <v>38</v>
      </c>
      <c r="E1142" s="2" t="s">
        <v>39</v>
      </c>
      <c r="G1142" s="2" t="s">
        <v>40</v>
      </c>
      <c r="O1142" s="2" t="s">
        <v>43</v>
      </c>
      <c r="P1142" s="2" t="s">
        <v>55</v>
      </c>
      <c r="Q1142" s="2" t="s">
        <v>56</v>
      </c>
      <c r="R1142" s="2">
        <v>3</v>
      </c>
      <c r="S1142" s="2">
        <v>48</v>
      </c>
      <c r="T1142" s="2">
        <v>11.04</v>
      </c>
      <c r="U1142" s="2">
        <v>59.04</v>
      </c>
      <c r="V1142" s="2">
        <f>10.6*R1142</f>
        <v>31.799999999999997</v>
      </c>
      <c r="W1142" s="5">
        <f t="shared" si="118"/>
        <v>0.33750000000000008</v>
      </c>
      <c r="Y1142" s="2" t="s">
        <v>3256</v>
      </c>
      <c r="Z1142" s="2" t="s">
        <v>46</v>
      </c>
      <c r="AA1142" s="2" t="s">
        <v>57</v>
      </c>
      <c r="AB1142" s="2" t="s">
        <v>58</v>
      </c>
      <c r="AE1142" s="2">
        <f t="shared" si="111"/>
        <v>0</v>
      </c>
      <c r="AF1142" s="2">
        <v>10.6</v>
      </c>
      <c r="AG1142" s="2">
        <v>18</v>
      </c>
      <c r="AI1142" s="2">
        <f t="shared" si="112"/>
        <v>0</v>
      </c>
      <c r="AJ1142" s="2">
        <f t="shared" si="113"/>
        <v>16.200000000000003</v>
      </c>
      <c r="AK1142" s="5">
        <f t="shared" si="115"/>
        <v>0.33750000000000008</v>
      </c>
    </row>
    <row r="1143" spans="1:37" x14ac:dyDescent="0.2">
      <c r="A1143" s="2">
        <v>2025</v>
      </c>
      <c r="B1143" s="2">
        <v>7</v>
      </c>
      <c r="C1143" s="2" t="s">
        <v>37</v>
      </c>
      <c r="D1143" s="2" t="s">
        <v>38</v>
      </c>
      <c r="E1143" s="2" t="s">
        <v>39</v>
      </c>
      <c r="G1143" s="2" t="s">
        <v>40</v>
      </c>
      <c r="O1143" s="2" t="s">
        <v>43</v>
      </c>
      <c r="P1143" s="2" t="s">
        <v>59</v>
      </c>
      <c r="Q1143" s="2" t="s">
        <v>60</v>
      </c>
      <c r="R1143" s="2">
        <v>100</v>
      </c>
      <c r="S1143" s="2">
        <v>14</v>
      </c>
      <c r="T1143" s="2">
        <v>3.22</v>
      </c>
      <c r="U1143" s="2">
        <v>17.22</v>
      </c>
      <c r="V1143" s="2">
        <f>0.0914*R1143</f>
        <v>9.1399999999999988</v>
      </c>
      <c r="W1143" s="5">
        <f t="shared" si="118"/>
        <v>0.34714285714285725</v>
      </c>
      <c r="Y1143" s="2" t="s">
        <v>3256</v>
      </c>
      <c r="Z1143" s="2" t="s">
        <v>46</v>
      </c>
      <c r="AA1143" s="2" t="s">
        <v>61</v>
      </c>
      <c r="AB1143" s="2" t="s">
        <v>58</v>
      </c>
      <c r="AE1143" s="2">
        <f t="shared" si="111"/>
        <v>0</v>
      </c>
      <c r="AF1143" s="2">
        <v>9.14</v>
      </c>
      <c r="AG1143" s="2">
        <v>16</v>
      </c>
      <c r="AI1143" s="2">
        <f t="shared" si="112"/>
        <v>0</v>
      </c>
      <c r="AJ1143" s="2">
        <f t="shared" si="113"/>
        <v>4.8600000000000012</v>
      </c>
      <c r="AK1143" s="5">
        <f t="shared" si="115"/>
        <v>0.34714285714285725</v>
      </c>
    </row>
    <row r="1144" spans="1:37" x14ac:dyDescent="0.2">
      <c r="A1144" s="2">
        <v>2025</v>
      </c>
      <c r="B1144" s="2">
        <v>7</v>
      </c>
      <c r="C1144" s="2" t="s">
        <v>37</v>
      </c>
      <c r="D1144" s="2" t="s">
        <v>38</v>
      </c>
      <c r="E1144" s="2" t="s">
        <v>39</v>
      </c>
      <c r="G1144" s="2" t="s">
        <v>40</v>
      </c>
      <c r="O1144" s="2" t="s">
        <v>43</v>
      </c>
      <c r="P1144" s="2" t="s">
        <v>62</v>
      </c>
      <c r="Q1144" s="2" t="s">
        <v>63</v>
      </c>
      <c r="R1144" s="2">
        <v>100</v>
      </c>
      <c r="S1144" s="2">
        <v>13</v>
      </c>
      <c r="T1144" s="2">
        <v>2.99</v>
      </c>
      <c r="U1144" s="2">
        <v>15.99</v>
      </c>
      <c r="V1144" s="2">
        <f>0.082*R1144</f>
        <v>8.2000000000000011</v>
      </c>
      <c r="W1144" s="5">
        <f t="shared" si="118"/>
        <v>0.36923076923076914</v>
      </c>
      <c r="Y1144" s="2" t="s">
        <v>3256</v>
      </c>
      <c r="Z1144" s="2" t="s">
        <v>46</v>
      </c>
      <c r="AA1144" s="2" t="s">
        <v>61</v>
      </c>
      <c r="AB1144" s="2" t="s">
        <v>58</v>
      </c>
      <c r="AE1144" s="2">
        <f t="shared" si="111"/>
        <v>0</v>
      </c>
      <c r="AF1144" s="2">
        <v>8.1999999999999993</v>
      </c>
      <c r="AG1144" s="2">
        <v>13</v>
      </c>
      <c r="AI1144" s="2">
        <f t="shared" si="112"/>
        <v>0</v>
      </c>
      <c r="AJ1144" s="2">
        <f t="shared" si="113"/>
        <v>4.7999999999999989</v>
      </c>
      <c r="AK1144" s="5">
        <f t="shared" si="115"/>
        <v>0.36923076923076914</v>
      </c>
    </row>
    <row r="1145" spans="1:37" x14ac:dyDescent="0.2">
      <c r="A1145" s="2">
        <v>2025</v>
      </c>
      <c r="B1145" s="2">
        <v>7</v>
      </c>
      <c r="C1145" s="2" t="s">
        <v>37</v>
      </c>
      <c r="D1145" s="2" t="s">
        <v>38</v>
      </c>
      <c r="E1145" s="2" t="s">
        <v>39</v>
      </c>
      <c r="G1145" s="2" t="s">
        <v>40</v>
      </c>
      <c r="O1145" s="2" t="s">
        <v>43</v>
      </c>
      <c r="P1145" s="2" t="s">
        <v>66</v>
      </c>
      <c r="Q1145" s="2" t="s">
        <v>67</v>
      </c>
      <c r="R1145" s="2">
        <v>2</v>
      </c>
      <c r="S1145" s="2">
        <v>43</v>
      </c>
      <c r="T1145" s="2">
        <v>9.89</v>
      </c>
      <c r="U1145" s="2">
        <v>52.89</v>
      </c>
      <c r="V1145" s="2">
        <f>15.0203*R1145</f>
        <v>30.040600000000001</v>
      </c>
      <c r="W1145" s="5">
        <f t="shared" si="118"/>
        <v>0.30138139534883718</v>
      </c>
      <c r="Y1145" s="2" t="s">
        <v>3256</v>
      </c>
      <c r="Z1145" s="2" t="s">
        <v>46</v>
      </c>
      <c r="AA1145" s="2" t="s">
        <v>68</v>
      </c>
      <c r="AB1145" s="2" t="s">
        <v>58</v>
      </c>
      <c r="AE1145" s="2">
        <f t="shared" si="111"/>
        <v>0</v>
      </c>
      <c r="AF1145" s="2">
        <v>15.020300000000001</v>
      </c>
      <c r="AG1145" s="2">
        <v>27.6</v>
      </c>
      <c r="AI1145" s="2">
        <f t="shared" si="112"/>
        <v>0</v>
      </c>
      <c r="AJ1145" s="2">
        <f t="shared" si="113"/>
        <v>12.959399999999999</v>
      </c>
      <c r="AK1145" s="5">
        <f t="shared" si="115"/>
        <v>0.30138139534883718</v>
      </c>
    </row>
    <row r="1146" spans="1:37" x14ac:dyDescent="0.2">
      <c r="A1146" s="2">
        <v>2025</v>
      </c>
      <c r="B1146" s="2">
        <v>7</v>
      </c>
      <c r="C1146" s="2" t="s">
        <v>37</v>
      </c>
      <c r="D1146" s="2" t="s">
        <v>38</v>
      </c>
      <c r="E1146" s="2" t="s">
        <v>39</v>
      </c>
      <c r="G1146" s="2" t="s">
        <v>40</v>
      </c>
      <c r="O1146" s="2" t="s">
        <v>73</v>
      </c>
      <c r="P1146" s="2" t="s">
        <v>1460</v>
      </c>
      <c r="Q1146" s="2" t="s">
        <v>383</v>
      </c>
      <c r="R1146" s="2">
        <v>1</v>
      </c>
      <c r="S1146" s="2">
        <v>200</v>
      </c>
      <c r="T1146" s="2">
        <v>46</v>
      </c>
      <c r="U1146" s="2">
        <v>246</v>
      </c>
      <c r="W1146" s="5">
        <f t="shared" si="118"/>
        <v>1</v>
      </c>
      <c r="Y1146" s="2" t="s">
        <v>3256</v>
      </c>
      <c r="Z1146" s="2" t="s">
        <v>76</v>
      </c>
      <c r="AA1146" s="2" t="s">
        <v>77</v>
      </c>
      <c r="AB1146" s="2" t="s">
        <v>78</v>
      </c>
      <c r="AE1146" s="2">
        <f t="shared" si="111"/>
        <v>0</v>
      </c>
      <c r="AI1146" s="2">
        <f t="shared" si="112"/>
        <v>0</v>
      </c>
      <c r="AJ1146" s="2">
        <f t="shared" si="113"/>
        <v>200</v>
      </c>
      <c r="AK1146" s="5">
        <f t="shared" si="115"/>
        <v>1</v>
      </c>
    </row>
    <row r="1147" spans="1:37" x14ac:dyDescent="0.2">
      <c r="A1147" s="2">
        <v>2025</v>
      </c>
      <c r="B1147" s="2">
        <v>7</v>
      </c>
      <c r="C1147" s="2" t="s">
        <v>37</v>
      </c>
      <c r="D1147" s="2" t="s">
        <v>38</v>
      </c>
      <c r="E1147" s="2" t="s">
        <v>39</v>
      </c>
      <c r="G1147" s="2" t="s">
        <v>40</v>
      </c>
      <c r="O1147" s="2" t="s">
        <v>73</v>
      </c>
      <c r="P1147" s="2" t="s">
        <v>1461</v>
      </c>
      <c r="Q1147" s="2" t="s">
        <v>308</v>
      </c>
      <c r="R1147" s="2">
        <v>1</v>
      </c>
      <c r="S1147" s="2">
        <v>291.54000000000002</v>
      </c>
      <c r="T1147" s="2">
        <v>67.054200000000009</v>
      </c>
      <c r="U1147" s="2">
        <v>358.5942</v>
      </c>
      <c r="V1147" s="2">
        <v>122.446</v>
      </c>
      <c r="W1147" s="5">
        <f t="shared" si="118"/>
        <v>0.58000274404884411</v>
      </c>
      <c r="Y1147" s="2" t="s">
        <v>3256</v>
      </c>
      <c r="Z1147" s="2" t="s">
        <v>76</v>
      </c>
      <c r="AA1147" s="2" t="s">
        <v>77</v>
      </c>
      <c r="AB1147" s="2" t="s">
        <v>78</v>
      </c>
      <c r="AE1147" s="2">
        <f t="shared" si="111"/>
        <v>0</v>
      </c>
      <c r="AF1147" s="2">
        <v>122.446</v>
      </c>
      <c r="AG1147" s="2">
        <v>230</v>
      </c>
      <c r="AI1147" s="2">
        <f t="shared" si="112"/>
        <v>0</v>
      </c>
      <c r="AJ1147" s="2">
        <f t="shared" si="113"/>
        <v>169.09400000000002</v>
      </c>
      <c r="AK1147" s="5">
        <f t="shared" si="115"/>
        <v>0.58000274404884411</v>
      </c>
    </row>
    <row r="1148" spans="1:37" x14ac:dyDescent="0.2">
      <c r="A1148" s="2">
        <v>2025</v>
      </c>
      <c r="B1148" s="2">
        <v>7</v>
      </c>
      <c r="C1148" s="2" t="s">
        <v>37</v>
      </c>
      <c r="D1148" s="2" t="s">
        <v>38</v>
      </c>
      <c r="E1148" s="2" t="s">
        <v>39</v>
      </c>
      <c r="G1148" s="2" t="s">
        <v>40</v>
      </c>
      <c r="O1148" s="2" t="s">
        <v>85</v>
      </c>
      <c r="P1148" s="2" t="s">
        <v>1220</v>
      </c>
      <c r="Q1148" s="2" t="s">
        <v>1221</v>
      </c>
      <c r="R1148" s="2">
        <v>1</v>
      </c>
      <c r="S1148" s="2">
        <v>12</v>
      </c>
      <c r="T1148" s="2">
        <v>2.76</v>
      </c>
      <c r="U1148" s="2">
        <v>14.76</v>
      </c>
      <c r="W1148" s="5">
        <f t="shared" si="118"/>
        <v>1</v>
      </c>
      <c r="Y1148" s="2" t="s">
        <v>3256</v>
      </c>
      <c r="Z1148" s="2" t="s">
        <v>88</v>
      </c>
      <c r="AA1148" s="2" t="s">
        <v>91</v>
      </c>
      <c r="AB1148" s="2" t="s">
        <v>85</v>
      </c>
      <c r="AE1148" s="2">
        <f t="shared" si="111"/>
        <v>0</v>
      </c>
      <c r="AI1148" s="2">
        <f t="shared" si="112"/>
        <v>0</v>
      </c>
      <c r="AJ1148" s="2">
        <f t="shared" si="113"/>
        <v>12</v>
      </c>
      <c r="AK1148" s="5">
        <f t="shared" si="115"/>
        <v>1</v>
      </c>
    </row>
    <row r="1149" spans="1:37" x14ac:dyDescent="0.2">
      <c r="A1149" s="2">
        <v>2025</v>
      </c>
      <c r="B1149" s="2">
        <v>7</v>
      </c>
      <c r="C1149" s="2" t="s">
        <v>37</v>
      </c>
      <c r="D1149" s="2" t="s">
        <v>38</v>
      </c>
      <c r="E1149" s="2" t="s">
        <v>39</v>
      </c>
      <c r="G1149" s="2" t="s">
        <v>40</v>
      </c>
      <c r="O1149" s="2" t="s">
        <v>85</v>
      </c>
      <c r="P1149" s="2" t="s">
        <v>275</v>
      </c>
      <c r="Q1149" s="2" t="s">
        <v>276</v>
      </c>
      <c r="R1149" s="2">
        <v>3</v>
      </c>
      <c r="S1149" s="2">
        <v>14.5</v>
      </c>
      <c r="T1149" s="2">
        <v>3.335</v>
      </c>
      <c r="U1149" s="2">
        <v>17.835000000000001</v>
      </c>
      <c r="V1149" s="2">
        <v>2.94</v>
      </c>
      <c r="W1149" s="5">
        <f t="shared" si="118"/>
        <v>0.79724137931034489</v>
      </c>
      <c r="Y1149" s="2" t="s">
        <v>3256</v>
      </c>
      <c r="Z1149" s="2" t="s">
        <v>88</v>
      </c>
      <c r="AA1149" s="2" t="s">
        <v>91</v>
      </c>
      <c r="AB1149" s="2" t="s">
        <v>85</v>
      </c>
      <c r="AE1149" s="2">
        <f t="shared" si="111"/>
        <v>0</v>
      </c>
      <c r="AI1149" s="2">
        <f t="shared" si="112"/>
        <v>0</v>
      </c>
      <c r="AJ1149" s="2">
        <f t="shared" si="113"/>
        <v>11.56</v>
      </c>
      <c r="AK1149" s="5">
        <f t="shared" si="115"/>
        <v>0.79724137931034489</v>
      </c>
    </row>
    <row r="1150" spans="1:37" x14ac:dyDescent="0.2">
      <c r="A1150" s="2">
        <v>2025</v>
      </c>
      <c r="B1150" s="2">
        <v>7</v>
      </c>
      <c r="C1150" s="2" t="s">
        <v>37</v>
      </c>
      <c r="D1150" s="2" t="s">
        <v>38</v>
      </c>
      <c r="E1150" s="2" t="s">
        <v>39</v>
      </c>
      <c r="G1150" s="2" t="s">
        <v>40</v>
      </c>
      <c r="O1150" s="2" t="s">
        <v>85</v>
      </c>
      <c r="P1150" s="2" t="s">
        <v>277</v>
      </c>
      <c r="Q1150" s="2" t="s">
        <v>278</v>
      </c>
      <c r="R1150" s="2">
        <v>1</v>
      </c>
      <c r="S1150" s="2">
        <v>5</v>
      </c>
      <c r="T1150" s="2">
        <v>1.1499999999999999</v>
      </c>
      <c r="U1150" s="2">
        <v>6.15</v>
      </c>
      <c r="W1150" s="5">
        <f t="shared" si="118"/>
        <v>1</v>
      </c>
      <c r="Y1150" s="2" t="s">
        <v>3256</v>
      </c>
      <c r="Z1150" s="2" t="s">
        <v>88</v>
      </c>
      <c r="AA1150" s="2" t="s">
        <v>91</v>
      </c>
      <c r="AB1150" s="2" t="s">
        <v>85</v>
      </c>
      <c r="AE1150" s="2">
        <f t="shared" si="111"/>
        <v>0</v>
      </c>
      <c r="AI1150" s="2">
        <f t="shared" si="112"/>
        <v>0</v>
      </c>
      <c r="AJ1150" s="2">
        <f t="shared" si="113"/>
        <v>5</v>
      </c>
      <c r="AK1150" s="5">
        <f t="shared" si="115"/>
        <v>1</v>
      </c>
    </row>
    <row r="1151" spans="1:37" x14ac:dyDescent="0.2">
      <c r="A1151" s="2">
        <v>2025</v>
      </c>
      <c r="B1151" s="2">
        <v>7</v>
      </c>
      <c r="C1151" s="2" t="s">
        <v>37</v>
      </c>
      <c r="D1151" s="2" t="s">
        <v>38</v>
      </c>
      <c r="E1151" s="2" t="s">
        <v>39</v>
      </c>
      <c r="G1151" s="2" t="s">
        <v>40</v>
      </c>
      <c r="O1151" s="2" t="s">
        <v>94</v>
      </c>
      <c r="P1151" s="2" t="s">
        <v>95</v>
      </c>
      <c r="Q1151" s="2" t="s">
        <v>96</v>
      </c>
      <c r="R1151" s="2">
        <v>2</v>
      </c>
      <c r="S1151" s="2">
        <v>2.2799999999999998</v>
      </c>
      <c r="T1151" s="2">
        <v>0.52439999999999998</v>
      </c>
      <c r="U1151" s="2">
        <v>2.8043999999999998</v>
      </c>
      <c r="V1151" s="2">
        <v>2.2799999999999998</v>
      </c>
      <c r="W1151" s="5">
        <f t="shared" si="118"/>
        <v>0</v>
      </c>
      <c r="Y1151" s="2" t="s">
        <v>3256</v>
      </c>
      <c r="Z1151" s="2" t="s">
        <v>97</v>
      </c>
      <c r="AA1151" s="2" t="s">
        <v>77</v>
      </c>
      <c r="AB1151" s="2" t="s">
        <v>94</v>
      </c>
      <c r="AE1151" s="2">
        <f t="shared" si="111"/>
        <v>0</v>
      </c>
      <c r="AI1151" s="2">
        <f t="shared" si="112"/>
        <v>0</v>
      </c>
      <c r="AJ1151" s="2">
        <f t="shared" si="113"/>
        <v>0</v>
      </c>
      <c r="AK1151" s="5">
        <f t="shared" si="115"/>
        <v>0</v>
      </c>
    </row>
    <row r="1152" spans="1:37" x14ac:dyDescent="0.2">
      <c r="A1152" s="2">
        <v>2025</v>
      </c>
      <c r="B1152" s="2">
        <v>7</v>
      </c>
      <c r="C1152" s="2" t="s">
        <v>37</v>
      </c>
      <c r="D1152" s="2" t="s">
        <v>38</v>
      </c>
      <c r="E1152" s="2" t="s">
        <v>39</v>
      </c>
      <c r="G1152" s="2" t="s">
        <v>40</v>
      </c>
      <c r="O1152" s="2" t="s">
        <v>40</v>
      </c>
      <c r="P1152" s="2" t="s">
        <v>364</v>
      </c>
      <c r="Q1152" s="2" t="s">
        <v>365</v>
      </c>
      <c r="R1152" s="2">
        <v>2</v>
      </c>
      <c r="S1152" s="2">
        <v>28588.61</v>
      </c>
      <c r="T1152" s="2">
        <v>6575.3803000000007</v>
      </c>
      <c r="U1152" s="2">
        <v>35163.990299999998</v>
      </c>
      <c r="W1152" s="5">
        <f t="shared" si="118"/>
        <v>1</v>
      </c>
      <c r="Y1152" s="2" t="s">
        <v>120</v>
      </c>
      <c r="AE1152" s="2">
        <f t="shared" si="111"/>
        <v>0</v>
      </c>
      <c r="AI1152" s="2">
        <f t="shared" si="112"/>
        <v>0</v>
      </c>
      <c r="AJ1152" s="2">
        <f t="shared" si="113"/>
        <v>28588.61</v>
      </c>
      <c r="AK1152" s="5">
        <f t="shared" si="115"/>
        <v>1</v>
      </c>
    </row>
    <row r="1153" spans="1:37" x14ac:dyDescent="0.2">
      <c r="A1153" s="2">
        <v>2025</v>
      </c>
      <c r="B1153" s="2">
        <v>7</v>
      </c>
      <c r="C1153" s="2" t="s">
        <v>1462</v>
      </c>
      <c r="O1153" s="2" t="s">
        <v>115</v>
      </c>
      <c r="P1153" s="2" t="s">
        <v>986</v>
      </c>
      <c r="Q1153" s="2" t="s">
        <v>987</v>
      </c>
      <c r="R1153" s="2">
        <v>1</v>
      </c>
      <c r="S1153" s="2">
        <v>79.819999999999993</v>
      </c>
      <c r="T1153" s="2">
        <v>18.358599999999999</v>
      </c>
      <c r="U1153" s="2">
        <v>98.178599999999989</v>
      </c>
      <c r="W1153" s="5">
        <f t="shared" si="118"/>
        <v>1</v>
      </c>
      <c r="AE1153" s="2">
        <f t="shared" si="111"/>
        <v>0</v>
      </c>
      <c r="AI1153" s="2">
        <f t="shared" si="112"/>
        <v>0</v>
      </c>
      <c r="AJ1153" s="2">
        <f t="shared" si="113"/>
        <v>79.819999999999993</v>
      </c>
      <c r="AK1153" s="5">
        <f t="shared" si="115"/>
        <v>1</v>
      </c>
    </row>
    <row r="1154" spans="1:37" x14ac:dyDescent="0.2">
      <c r="A1154" s="2">
        <v>2025</v>
      </c>
      <c r="B1154" s="2">
        <v>7</v>
      </c>
      <c r="C1154" s="2" t="s">
        <v>1462</v>
      </c>
      <c r="L1154" s="2" t="s">
        <v>40</v>
      </c>
      <c r="O1154" s="2" t="s">
        <v>188</v>
      </c>
      <c r="P1154" s="2" t="s">
        <v>189</v>
      </c>
      <c r="Q1154" s="2" t="s">
        <v>190</v>
      </c>
      <c r="R1154" s="2">
        <v>1</v>
      </c>
      <c r="S1154" s="2">
        <v>101</v>
      </c>
      <c r="T1154" s="2">
        <v>23.23</v>
      </c>
      <c r="U1154" s="2">
        <v>124.23</v>
      </c>
      <c r="W1154" s="5">
        <f t="shared" si="118"/>
        <v>1</v>
      </c>
      <c r="Y1154" s="2" t="s">
        <v>118</v>
      </c>
      <c r="Z1154" s="2" t="s">
        <v>191</v>
      </c>
      <c r="AE1154" s="2">
        <f t="shared" si="111"/>
        <v>0</v>
      </c>
      <c r="AI1154" s="2">
        <f t="shared" si="112"/>
        <v>0</v>
      </c>
      <c r="AJ1154" s="2">
        <f t="shared" si="113"/>
        <v>101</v>
      </c>
      <c r="AK1154" s="5">
        <f t="shared" si="115"/>
        <v>1</v>
      </c>
    </row>
    <row r="1155" spans="1:37" x14ac:dyDescent="0.2">
      <c r="A1155" s="2">
        <v>2025</v>
      </c>
      <c r="B1155" s="2">
        <v>7</v>
      </c>
      <c r="C1155" s="2" t="s">
        <v>1462</v>
      </c>
      <c r="L1155" s="2" t="s">
        <v>40</v>
      </c>
      <c r="O1155" s="2" t="s">
        <v>188</v>
      </c>
      <c r="P1155" s="2" t="s">
        <v>192</v>
      </c>
      <c r="Q1155" s="2" t="s">
        <v>191</v>
      </c>
      <c r="R1155" s="2">
        <v>2</v>
      </c>
      <c r="S1155" s="2">
        <v>100</v>
      </c>
      <c r="T1155" s="2">
        <v>23</v>
      </c>
      <c r="U1155" s="2">
        <v>123</v>
      </c>
      <c r="V1155" s="2">
        <f>S1155*50%</f>
        <v>50</v>
      </c>
      <c r="W1155" s="5">
        <f t="shared" si="118"/>
        <v>0.5</v>
      </c>
      <c r="Y1155" s="2" t="s">
        <v>118</v>
      </c>
      <c r="Z1155" s="2" t="s">
        <v>191</v>
      </c>
      <c r="AE1155" s="2">
        <f t="shared" ref="AE1155:AE1218" si="119">AI1155</f>
        <v>0</v>
      </c>
      <c r="AI1155" s="2">
        <f t="shared" ref="AI1155:AI1218" si="120">AH1155*S1155</f>
        <v>0</v>
      </c>
      <c r="AJ1155" s="2">
        <f t="shared" ref="AJ1155:AJ1218" si="121">S1155-V1155</f>
        <v>50</v>
      </c>
      <c r="AK1155" s="5">
        <f t="shared" si="115"/>
        <v>0.5</v>
      </c>
    </row>
    <row r="1156" spans="1:37" x14ac:dyDescent="0.2">
      <c r="A1156" s="2">
        <v>2025</v>
      </c>
      <c r="B1156" s="2">
        <v>7</v>
      </c>
      <c r="C1156" s="2" t="s">
        <v>1463</v>
      </c>
      <c r="D1156" s="2" t="s">
        <v>38</v>
      </c>
      <c r="E1156" s="2" t="s">
        <v>39</v>
      </c>
      <c r="F1156" s="2">
        <v>507661079</v>
      </c>
      <c r="G1156" s="2" t="s">
        <v>40</v>
      </c>
      <c r="H1156" s="2" t="s">
        <v>1464</v>
      </c>
      <c r="I1156" s="2" t="s">
        <v>1465</v>
      </c>
      <c r="J1156" s="2">
        <v>917563471</v>
      </c>
      <c r="K1156" s="2" t="s">
        <v>100</v>
      </c>
      <c r="L1156" s="2" t="s">
        <v>81</v>
      </c>
      <c r="N1156" s="2" t="s">
        <v>1466</v>
      </c>
      <c r="O1156" s="2" t="s">
        <v>73</v>
      </c>
      <c r="P1156" s="2" t="s">
        <v>302</v>
      </c>
      <c r="Q1156" s="2" t="s">
        <v>75</v>
      </c>
      <c r="R1156" s="2">
        <v>1</v>
      </c>
      <c r="S1156" s="2">
        <v>220</v>
      </c>
      <c r="T1156" s="2">
        <v>50.6</v>
      </c>
      <c r="U1156" s="2">
        <v>270.60000000000002</v>
      </c>
      <c r="V1156" s="2">
        <v>121.46</v>
      </c>
      <c r="W1156" s="5">
        <f t="shared" si="118"/>
        <v>0.44790909090909092</v>
      </c>
      <c r="Y1156" s="2" t="s">
        <v>3256</v>
      </c>
      <c r="Z1156" s="2" t="s">
        <v>76</v>
      </c>
      <c r="AA1156" s="2" t="s">
        <v>77</v>
      </c>
      <c r="AB1156" s="2" t="s">
        <v>78</v>
      </c>
      <c r="AE1156" s="2">
        <f t="shared" si="119"/>
        <v>0</v>
      </c>
      <c r="AF1156" s="2">
        <v>121.46</v>
      </c>
      <c r="AG1156" s="2">
        <v>210</v>
      </c>
      <c r="AI1156" s="2">
        <f t="shared" si="120"/>
        <v>0</v>
      </c>
      <c r="AJ1156" s="2">
        <f t="shared" si="121"/>
        <v>98.54</v>
      </c>
      <c r="AK1156" s="5">
        <f t="shared" si="115"/>
        <v>0.44790909090909092</v>
      </c>
    </row>
    <row r="1157" spans="1:37" x14ac:dyDescent="0.2">
      <c r="A1157" s="2">
        <v>2025</v>
      </c>
      <c r="B1157" s="2">
        <v>7</v>
      </c>
      <c r="C1157" s="2" t="s">
        <v>1463</v>
      </c>
      <c r="D1157" s="2" t="s">
        <v>38</v>
      </c>
      <c r="E1157" s="2" t="s">
        <v>39</v>
      </c>
      <c r="F1157" s="2">
        <v>507661079</v>
      </c>
      <c r="G1157" s="2" t="s">
        <v>40</v>
      </c>
      <c r="H1157" s="2" t="s">
        <v>1464</v>
      </c>
      <c r="I1157" s="2" t="s">
        <v>1465</v>
      </c>
      <c r="J1157" s="2">
        <v>917563471</v>
      </c>
      <c r="K1157" s="2" t="s">
        <v>100</v>
      </c>
      <c r="L1157" s="2" t="s">
        <v>81</v>
      </c>
      <c r="N1157" s="2" t="s">
        <v>1466</v>
      </c>
      <c r="O1157" s="2" t="s">
        <v>94</v>
      </c>
      <c r="P1157" s="2" t="s">
        <v>95</v>
      </c>
      <c r="Q1157" s="2" t="s">
        <v>96</v>
      </c>
      <c r="R1157" s="2">
        <v>1</v>
      </c>
      <c r="S1157" s="2">
        <v>1.1399999999999999</v>
      </c>
      <c r="T1157" s="2">
        <v>0.26219999999999999</v>
      </c>
      <c r="U1157" s="2">
        <v>1.4021999999999999</v>
      </c>
      <c r="V1157" s="2">
        <v>1.1399999999999999</v>
      </c>
      <c r="W1157" s="5">
        <f t="shared" si="118"/>
        <v>0</v>
      </c>
      <c r="Y1157" s="2" t="s">
        <v>3256</v>
      </c>
      <c r="Z1157" s="2" t="s">
        <v>97</v>
      </c>
      <c r="AA1157" s="2" t="s">
        <v>77</v>
      </c>
      <c r="AB1157" s="2" t="s">
        <v>94</v>
      </c>
      <c r="AE1157" s="2">
        <f t="shared" si="119"/>
        <v>0</v>
      </c>
      <c r="AF1157" s="2">
        <v>1.1399999999999999</v>
      </c>
      <c r="AG1157" s="2">
        <v>1.1399999999999999</v>
      </c>
      <c r="AI1157" s="2">
        <f t="shared" si="120"/>
        <v>0</v>
      </c>
      <c r="AJ1157" s="2">
        <f t="shared" si="121"/>
        <v>0</v>
      </c>
      <c r="AK1157" s="5">
        <f t="shared" si="115"/>
        <v>0</v>
      </c>
    </row>
    <row r="1158" spans="1:37" x14ac:dyDescent="0.2">
      <c r="A1158" s="2">
        <v>2025</v>
      </c>
      <c r="B1158" s="2">
        <v>7</v>
      </c>
      <c r="C1158" s="2" t="s">
        <v>1149</v>
      </c>
      <c r="D1158" s="2" t="s">
        <v>109</v>
      </c>
      <c r="F1158" s="2">
        <v>504576658</v>
      </c>
      <c r="G1158" s="2" t="s">
        <v>41</v>
      </c>
      <c r="H1158" s="2" t="s">
        <v>1150</v>
      </c>
      <c r="I1158" s="2" t="s">
        <v>1151</v>
      </c>
      <c r="K1158" s="2" t="s">
        <v>100</v>
      </c>
      <c r="L1158" s="2" t="s">
        <v>41</v>
      </c>
      <c r="N1158" s="2" t="s">
        <v>1467</v>
      </c>
      <c r="O1158" s="2" t="s">
        <v>73</v>
      </c>
      <c r="P1158" s="2" t="s">
        <v>1084</v>
      </c>
      <c r="Q1158" s="2" t="s">
        <v>84</v>
      </c>
      <c r="R1158" s="2">
        <v>1</v>
      </c>
      <c r="S1158" s="2">
        <v>260</v>
      </c>
      <c r="T1158" s="2">
        <v>59.8</v>
      </c>
      <c r="U1158" s="2">
        <v>319.8</v>
      </c>
      <c r="V1158" s="2">
        <v>159.54</v>
      </c>
      <c r="W1158" s="5">
        <f t="shared" si="118"/>
        <v>0.38638461538461544</v>
      </c>
      <c r="Y1158" s="2" t="s">
        <v>3256</v>
      </c>
      <c r="Z1158" s="2" t="s">
        <v>76</v>
      </c>
      <c r="AA1158" s="2" t="s">
        <v>77</v>
      </c>
      <c r="AB1158" s="2" t="s">
        <v>78</v>
      </c>
      <c r="AE1158" s="2">
        <f t="shared" si="119"/>
        <v>0</v>
      </c>
      <c r="AF1158" s="2">
        <f>144.14+15.4</f>
        <v>159.54</v>
      </c>
      <c r="AG1158" s="2">
        <v>280</v>
      </c>
      <c r="AI1158" s="2">
        <f t="shared" si="120"/>
        <v>0</v>
      </c>
      <c r="AJ1158" s="2">
        <f t="shared" si="121"/>
        <v>100.46000000000001</v>
      </c>
      <c r="AK1158" s="5">
        <f t="shared" si="115"/>
        <v>0.38638461538461544</v>
      </c>
    </row>
    <row r="1159" spans="1:37" x14ac:dyDescent="0.2">
      <c r="A1159" s="2">
        <v>2025</v>
      </c>
      <c r="B1159" s="2">
        <v>7</v>
      </c>
      <c r="C1159" s="2" t="s">
        <v>1149</v>
      </c>
      <c r="D1159" s="2" t="s">
        <v>109</v>
      </c>
      <c r="F1159" s="2">
        <v>504576658</v>
      </c>
      <c r="G1159" s="2" t="s">
        <v>41</v>
      </c>
      <c r="H1159" s="2" t="s">
        <v>1150</v>
      </c>
      <c r="I1159" s="2" t="s">
        <v>1151</v>
      </c>
      <c r="K1159" s="2" t="s">
        <v>100</v>
      </c>
      <c r="L1159" s="2" t="s">
        <v>41</v>
      </c>
      <c r="N1159" s="2" t="s">
        <v>1467</v>
      </c>
      <c r="O1159" s="2" t="s">
        <v>94</v>
      </c>
      <c r="P1159" s="2" t="s">
        <v>95</v>
      </c>
      <c r="Q1159" s="2" t="s">
        <v>96</v>
      </c>
      <c r="R1159" s="2">
        <v>1</v>
      </c>
      <c r="S1159" s="2">
        <v>1.1399999999999999</v>
      </c>
      <c r="T1159" s="2">
        <v>0.26219999999999999</v>
      </c>
      <c r="U1159" s="2">
        <v>1.4021999999999999</v>
      </c>
      <c r="V1159" s="2">
        <v>1.1399999999999999</v>
      </c>
      <c r="W1159" s="5">
        <f t="shared" si="118"/>
        <v>0</v>
      </c>
      <c r="Y1159" s="2" t="s">
        <v>3256</v>
      </c>
      <c r="Z1159" s="2" t="s">
        <v>97</v>
      </c>
      <c r="AA1159" s="2" t="s">
        <v>77</v>
      </c>
      <c r="AB1159" s="2" t="s">
        <v>94</v>
      </c>
      <c r="AE1159" s="2">
        <f t="shared" si="119"/>
        <v>0</v>
      </c>
      <c r="AI1159" s="2">
        <f t="shared" si="120"/>
        <v>0</v>
      </c>
      <c r="AJ1159" s="2">
        <f t="shared" si="121"/>
        <v>0</v>
      </c>
      <c r="AK1159" s="5">
        <f t="shared" si="115"/>
        <v>0</v>
      </c>
    </row>
    <row r="1160" spans="1:37" x14ac:dyDescent="0.2">
      <c r="A1160" s="2">
        <v>2025</v>
      </c>
      <c r="B1160" s="2">
        <v>7</v>
      </c>
      <c r="C1160" s="2" t="s">
        <v>1468</v>
      </c>
      <c r="L1160" s="2" t="s">
        <v>40</v>
      </c>
      <c r="O1160" s="2" t="s">
        <v>188</v>
      </c>
      <c r="P1160" s="2" t="s">
        <v>189</v>
      </c>
      <c r="Q1160" s="2" t="s">
        <v>190</v>
      </c>
      <c r="R1160" s="2">
        <v>1</v>
      </c>
      <c r="S1160" s="2">
        <v>157</v>
      </c>
      <c r="T1160" s="2">
        <v>36.11</v>
      </c>
      <c r="U1160" s="2">
        <v>193.11</v>
      </c>
      <c r="W1160" s="5">
        <f t="shared" si="118"/>
        <v>1</v>
      </c>
      <c r="Y1160" s="2" t="s">
        <v>118</v>
      </c>
      <c r="Z1160" s="2" t="s">
        <v>191</v>
      </c>
      <c r="AE1160" s="2">
        <f t="shared" si="119"/>
        <v>0</v>
      </c>
      <c r="AI1160" s="2">
        <f t="shared" si="120"/>
        <v>0</v>
      </c>
      <c r="AJ1160" s="2">
        <f t="shared" si="121"/>
        <v>157</v>
      </c>
      <c r="AK1160" s="5">
        <f t="shared" si="115"/>
        <v>1</v>
      </c>
    </row>
    <row r="1161" spans="1:37" x14ac:dyDescent="0.2">
      <c r="A1161" s="2">
        <v>2025</v>
      </c>
      <c r="B1161" s="2">
        <v>7</v>
      </c>
      <c r="C1161" s="2" t="s">
        <v>1468</v>
      </c>
      <c r="L1161" s="2" t="s">
        <v>40</v>
      </c>
      <c r="O1161" s="2" t="s">
        <v>188</v>
      </c>
      <c r="P1161" s="2" t="s">
        <v>192</v>
      </c>
      <c r="Q1161" s="2" t="s">
        <v>191</v>
      </c>
      <c r="R1161" s="2">
        <v>1</v>
      </c>
      <c r="S1161" s="2">
        <v>50</v>
      </c>
      <c r="T1161" s="2">
        <v>11.5</v>
      </c>
      <c r="U1161" s="2">
        <v>61.5</v>
      </c>
      <c r="V1161" s="2">
        <f>S1161*50%</f>
        <v>25</v>
      </c>
      <c r="W1161" s="5">
        <f t="shared" si="118"/>
        <v>0.5</v>
      </c>
      <c r="Y1161" s="2" t="s">
        <v>118</v>
      </c>
      <c r="Z1161" s="2" t="s">
        <v>191</v>
      </c>
      <c r="AE1161" s="2">
        <f t="shared" si="119"/>
        <v>0</v>
      </c>
      <c r="AI1161" s="2">
        <f t="shared" si="120"/>
        <v>0</v>
      </c>
      <c r="AJ1161" s="2">
        <f t="shared" si="121"/>
        <v>25</v>
      </c>
      <c r="AK1161" s="5">
        <f t="shared" si="115"/>
        <v>0.5</v>
      </c>
    </row>
    <row r="1162" spans="1:37" x14ac:dyDescent="0.2">
      <c r="A1162" s="2">
        <v>2025</v>
      </c>
      <c r="B1162" s="2">
        <v>7</v>
      </c>
      <c r="C1162" s="2" t="s">
        <v>1469</v>
      </c>
      <c r="L1162" s="2" t="s">
        <v>40</v>
      </c>
      <c r="O1162" s="2" t="s">
        <v>188</v>
      </c>
      <c r="P1162" s="2" t="s">
        <v>189</v>
      </c>
      <c r="Q1162" s="2" t="s">
        <v>190</v>
      </c>
      <c r="R1162" s="2">
        <v>0</v>
      </c>
      <c r="S1162" s="2">
        <v>0</v>
      </c>
      <c r="T1162" s="2">
        <v>0</v>
      </c>
      <c r="U1162" s="2">
        <v>0</v>
      </c>
      <c r="W1162" s="5" t="e">
        <f t="shared" si="118"/>
        <v>#DIV/0!</v>
      </c>
      <c r="Y1162" s="2" t="s">
        <v>118</v>
      </c>
      <c r="Z1162" s="2" t="s">
        <v>191</v>
      </c>
      <c r="AE1162" s="2">
        <f t="shared" si="119"/>
        <v>0</v>
      </c>
      <c r="AI1162" s="2">
        <f t="shared" si="120"/>
        <v>0</v>
      </c>
      <c r="AJ1162" s="2">
        <f t="shared" si="121"/>
        <v>0</v>
      </c>
      <c r="AK1162" s="5" t="e">
        <f t="shared" si="115"/>
        <v>#DIV/0!</v>
      </c>
    </row>
    <row r="1163" spans="1:37" x14ac:dyDescent="0.2">
      <c r="A1163" s="2">
        <v>2025</v>
      </c>
      <c r="B1163" s="2">
        <v>7</v>
      </c>
      <c r="C1163" s="2" t="s">
        <v>1469</v>
      </c>
      <c r="L1163" s="2" t="s">
        <v>40</v>
      </c>
      <c r="O1163" s="2" t="s">
        <v>188</v>
      </c>
      <c r="P1163" s="2" t="s">
        <v>192</v>
      </c>
      <c r="Q1163" s="2" t="s">
        <v>191</v>
      </c>
      <c r="R1163" s="2">
        <v>0</v>
      </c>
      <c r="S1163" s="2">
        <v>0</v>
      </c>
      <c r="T1163" s="2">
        <v>0</v>
      </c>
      <c r="U1163" s="2">
        <v>0</v>
      </c>
      <c r="V1163" s="2">
        <f>S1163*50%</f>
        <v>0</v>
      </c>
      <c r="W1163" s="5" t="e">
        <f t="shared" si="118"/>
        <v>#DIV/0!</v>
      </c>
      <c r="Y1163" s="2" t="s">
        <v>118</v>
      </c>
      <c r="Z1163" s="2" t="s">
        <v>191</v>
      </c>
      <c r="AE1163" s="2">
        <f t="shared" si="119"/>
        <v>0</v>
      </c>
      <c r="AI1163" s="2">
        <f t="shared" si="120"/>
        <v>0</v>
      </c>
      <c r="AJ1163" s="2">
        <f t="shared" si="121"/>
        <v>0</v>
      </c>
      <c r="AK1163" s="5" t="e">
        <f t="shared" si="115"/>
        <v>#DIV/0!</v>
      </c>
    </row>
    <row r="1164" spans="1:37" x14ac:dyDescent="0.2">
      <c r="A1164" s="2">
        <v>2025</v>
      </c>
      <c r="B1164" s="2">
        <v>7</v>
      </c>
      <c r="C1164" s="2" t="s">
        <v>1470</v>
      </c>
      <c r="O1164" s="2" t="s">
        <v>43</v>
      </c>
      <c r="P1164" s="2" t="s">
        <v>977</v>
      </c>
      <c r="Q1164" s="2" t="s">
        <v>978</v>
      </c>
      <c r="R1164" s="2">
        <v>6</v>
      </c>
      <c r="S1164" s="2">
        <v>174</v>
      </c>
      <c r="T1164" s="2">
        <v>40.020000000000003</v>
      </c>
      <c r="U1164" s="2">
        <v>214.02</v>
      </c>
      <c r="W1164" s="5">
        <f t="shared" ref="W1164:W1195" si="122">(S1164-V1164)/S1164</f>
        <v>1</v>
      </c>
      <c r="Y1164" s="2" t="s">
        <v>3256</v>
      </c>
      <c r="Z1164" s="2" t="s">
        <v>46</v>
      </c>
      <c r="AA1164" s="2" t="s">
        <v>61</v>
      </c>
      <c r="AB1164" s="2" t="s">
        <v>58</v>
      </c>
      <c r="AE1164" s="2">
        <f t="shared" si="119"/>
        <v>0</v>
      </c>
      <c r="AI1164" s="2">
        <f t="shared" si="120"/>
        <v>0</v>
      </c>
      <c r="AJ1164" s="2">
        <f t="shared" si="121"/>
        <v>174</v>
      </c>
      <c r="AK1164" s="5">
        <f t="shared" si="115"/>
        <v>1</v>
      </c>
    </row>
    <row r="1165" spans="1:37" x14ac:dyDescent="0.2">
      <c r="A1165" s="2">
        <v>2025</v>
      </c>
      <c r="B1165" s="2">
        <v>7</v>
      </c>
      <c r="C1165" s="2" t="s">
        <v>1470</v>
      </c>
      <c r="O1165" s="2" t="s">
        <v>43</v>
      </c>
      <c r="P1165" s="2" t="s">
        <v>979</v>
      </c>
      <c r="Q1165" s="2" t="s">
        <v>980</v>
      </c>
      <c r="R1165" s="2">
        <v>6</v>
      </c>
      <c r="S1165" s="2">
        <v>174</v>
      </c>
      <c r="T1165" s="2">
        <v>40.020000000000003</v>
      </c>
      <c r="U1165" s="2">
        <v>214.02</v>
      </c>
      <c r="W1165" s="5">
        <f t="shared" si="122"/>
        <v>1</v>
      </c>
      <c r="Y1165" s="2" t="s">
        <v>3256</v>
      </c>
      <c r="Z1165" s="2" t="s">
        <v>46</v>
      </c>
      <c r="AA1165" s="2" t="s">
        <v>61</v>
      </c>
      <c r="AB1165" s="2" t="s">
        <v>58</v>
      </c>
      <c r="AE1165" s="2">
        <f t="shared" si="119"/>
        <v>0</v>
      </c>
      <c r="AI1165" s="2">
        <f t="shared" si="120"/>
        <v>0</v>
      </c>
      <c r="AJ1165" s="2">
        <f t="shared" si="121"/>
        <v>174</v>
      </c>
      <c r="AK1165" s="5">
        <f t="shared" si="115"/>
        <v>1</v>
      </c>
    </row>
    <row r="1166" spans="1:37" x14ac:dyDescent="0.2">
      <c r="A1166" s="2">
        <v>2025</v>
      </c>
      <c r="B1166" s="2">
        <v>7</v>
      </c>
      <c r="C1166" s="2" t="s">
        <v>1471</v>
      </c>
      <c r="D1166" s="2" t="s">
        <v>38</v>
      </c>
      <c r="E1166" s="2" t="s">
        <v>39</v>
      </c>
      <c r="F1166" s="2">
        <v>512091528</v>
      </c>
      <c r="G1166" s="2" t="s">
        <v>40</v>
      </c>
      <c r="H1166" s="2" t="s">
        <v>1472</v>
      </c>
      <c r="I1166" s="2" t="s">
        <v>1473</v>
      </c>
      <c r="J1166" s="2">
        <v>925788716</v>
      </c>
      <c r="K1166" s="2" t="s">
        <v>1474</v>
      </c>
      <c r="O1166" s="2" t="s">
        <v>43</v>
      </c>
      <c r="P1166" s="2" t="s">
        <v>49</v>
      </c>
      <c r="Q1166" s="2" t="s">
        <v>50</v>
      </c>
      <c r="R1166" s="2">
        <v>3</v>
      </c>
      <c r="S1166" s="2">
        <v>36</v>
      </c>
      <c r="T1166" s="2">
        <v>8.2800000000000011</v>
      </c>
      <c r="U1166" s="2">
        <v>44.28</v>
      </c>
      <c r="V1166" s="2">
        <f>6.6267*R1166</f>
        <v>19.880099999999999</v>
      </c>
      <c r="W1166" s="5">
        <f t="shared" si="122"/>
        <v>0.44777500000000003</v>
      </c>
      <c r="Y1166" s="2" t="s">
        <v>3256</v>
      </c>
      <c r="Z1166" s="2" t="s">
        <v>46</v>
      </c>
      <c r="AA1166" s="2" t="s">
        <v>47</v>
      </c>
      <c r="AB1166" s="2" t="s">
        <v>48</v>
      </c>
      <c r="AE1166" s="2">
        <f t="shared" si="119"/>
        <v>0</v>
      </c>
      <c r="AF1166" s="2">
        <v>6.6266999999999996</v>
      </c>
      <c r="AG1166" s="2">
        <v>12</v>
      </c>
      <c r="AI1166" s="2">
        <f t="shared" si="120"/>
        <v>0</v>
      </c>
      <c r="AJ1166" s="2">
        <f t="shared" si="121"/>
        <v>16.119900000000001</v>
      </c>
      <c r="AK1166" s="5">
        <f t="shared" si="115"/>
        <v>0.44777500000000003</v>
      </c>
    </row>
    <row r="1167" spans="1:37" x14ac:dyDescent="0.2">
      <c r="A1167" s="2">
        <v>2025</v>
      </c>
      <c r="B1167" s="2">
        <v>7</v>
      </c>
      <c r="C1167" s="2" t="s">
        <v>1471</v>
      </c>
      <c r="D1167" s="2" t="s">
        <v>38</v>
      </c>
      <c r="E1167" s="2" t="s">
        <v>39</v>
      </c>
      <c r="F1167" s="2">
        <v>512091528</v>
      </c>
      <c r="G1167" s="2" t="s">
        <v>40</v>
      </c>
      <c r="H1167" s="2" t="s">
        <v>1472</v>
      </c>
      <c r="I1167" s="2" t="s">
        <v>1473</v>
      </c>
      <c r="J1167" s="2">
        <v>925788716</v>
      </c>
      <c r="K1167" s="2" t="s">
        <v>1474</v>
      </c>
      <c r="O1167" s="2" t="s">
        <v>43</v>
      </c>
      <c r="P1167" s="2" t="s">
        <v>55</v>
      </c>
      <c r="Q1167" s="2" t="s">
        <v>56</v>
      </c>
      <c r="R1167" s="2">
        <v>1</v>
      </c>
      <c r="S1167" s="2">
        <v>18</v>
      </c>
      <c r="T1167" s="2">
        <v>4.1400000000000006</v>
      </c>
      <c r="U1167" s="2">
        <v>22.14</v>
      </c>
      <c r="V1167" s="2">
        <f>10.6*R1167</f>
        <v>10.6</v>
      </c>
      <c r="W1167" s="5">
        <f t="shared" si="122"/>
        <v>0.41111111111111115</v>
      </c>
      <c r="Y1167" s="2" t="s">
        <v>3256</v>
      </c>
      <c r="Z1167" s="2" t="s">
        <v>46</v>
      </c>
      <c r="AA1167" s="2" t="s">
        <v>57</v>
      </c>
      <c r="AB1167" s="2" t="s">
        <v>58</v>
      </c>
      <c r="AE1167" s="2">
        <f t="shared" si="119"/>
        <v>0</v>
      </c>
      <c r="AF1167" s="2">
        <v>10.6</v>
      </c>
      <c r="AG1167" s="2">
        <v>18</v>
      </c>
      <c r="AI1167" s="2">
        <f t="shared" si="120"/>
        <v>0</v>
      </c>
      <c r="AJ1167" s="2">
        <f t="shared" si="121"/>
        <v>7.4</v>
      </c>
      <c r="AK1167" s="5">
        <f t="shared" si="115"/>
        <v>0.41111111111111115</v>
      </c>
    </row>
    <row r="1168" spans="1:37" x14ac:dyDescent="0.2">
      <c r="A1168" s="2">
        <v>2025</v>
      </c>
      <c r="B1168" s="2">
        <v>7</v>
      </c>
      <c r="C1168" s="2" t="s">
        <v>1471</v>
      </c>
      <c r="D1168" s="2" t="s">
        <v>38</v>
      </c>
      <c r="E1168" s="2" t="s">
        <v>39</v>
      </c>
      <c r="F1168" s="2">
        <v>512091528</v>
      </c>
      <c r="G1168" s="2" t="s">
        <v>40</v>
      </c>
      <c r="H1168" s="2" t="s">
        <v>1472</v>
      </c>
      <c r="I1168" s="2" t="s">
        <v>1473</v>
      </c>
      <c r="J1168" s="2">
        <v>925788716</v>
      </c>
      <c r="K1168" s="2" t="s">
        <v>1474</v>
      </c>
      <c r="O1168" s="2" t="s">
        <v>43</v>
      </c>
      <c r="P1168" s="2" t="s">
        <v>59</v>
      </c>
      <c r="Q1168" s="2" t="s">
        <v>60</v>
      </c>
      <c r="R1168" s="2">
        <v>200</v>
      </c>
      <c r="S1168" s="2">
        <v>30</v>
      </c>
      <c r="T1168" s="2">
        <v>6.9</v>
      </c>
      <c r="U1168" s="2">
        <v>36.9</v>
      </c>
      <c r="V1168" s="2">
        <f>0.0914*R1168</f>
        <v>18.279999999999998</v>
      </c>
      <c r="W1168" s="5">
        <f t="shared" si="122"/>
        <v>0.39066666666666677</v>
      </c>
      <c r="Y1168" s="2" t="s">
        <v>3256</v>
      </c>
      <c r="Z1168" s="2" t="s">
        <v>46</v>
      </c>
      <c r="AA1168" s="2" t="s">
        <v>61</v>
      </c>
      <c r="AB1168" s="2" t="s">
        <v>58</v>
      </c>
      <c r="AE1168" s="2">
        <f t="shared" si="119"/>
        <v>0</v>
      </c>
      <c r="AF1168" s="2">
        <v>9.14</v>
      </c>
      <c r="AG1168" s="2">
        <v>16</v>
      </c>
      <c r="AI1168" s="2">
        <f t="shared" si="120"/>
        <v>0</v>
      </c>
      <c r="AJ1168" s="2">
        <f t="shared" si="121"/>
        <v>11.720000000000002</v>
      </c>
      <c r="AK1168" s="5">
        <f t="shared" ref="AK1168:AK1231" si="123">(S1168-V1168)/S1168</f>
        <v>0.39066666666666677</v>
      </c>
    </row>
    <row r="1169" spans="1:37" x14ac:dyDescent="0.2">
      <c r="A1169" s="2">
        <v>2025</v>
      </c>
      <c r="B1169" s="2">
        <v>7</v>
      </c>
      <c r="C1169" s="2" t="s">
        <v>1471</v>
      </c>
      <c r="D1169" s="2" t="s">
        <v>38</v>
      </c>
      <c r="E1169" s="2" t="s">
        <v>39</v>
      </c>
      <c r="F1169" s="2">
        <v>512091528</v>
      </c>
      <c r="G1169" s="2" t="s">
        <v>40</v>
      </c>
      <c r="H1169" s="2" t="s">
        <v>1472</v>
      </c>
      <c r="I1169" s="2" t="s">
        <v>1473</v>
      </c>
      <c r="J1169" s="2">
        <v>925788716</v>
      </c>
      <c r="K1169" s="2" t="s">
        <v>1474</v>
      </c>
      <c r="O1169" s="2" t="s">
        <v>43</v>
      </c>
      <c r="P1169" s="2" t="s">
        <v>62</v>
      </c>
      <c r="Q1169" s="2" t="s">
        <v>63</v>
      </c>
      <c r="R1169" s="2">
        <v>200</v>
      </c>
      <c r="S1169" s="2">
        <v>26</v>
      </c>
      <c r="T1169" s="2">
        <v>5.98</v>
      </c>
      <c r="U1169" s="2">
        <v>31.98</v>
      </c>
      <c r="V1169" s="2">
        <f>0.082*R1169</f>
        <v>16.400000000000002</v>
      </c>
      <c r="W1169" s="5">
        <f t="shared" si="122"/>
        <v>0.36923076923076914</v>
      </c>
      <c r="Y1169" s="2" t="s">
        <v>3256</v>
      </c>
      <c r="Z1169" s="2" t="s">
        <v>46</v>
      </c>
      <c r="AA1169" s="2" t="s">
        <v>61</v>
      </c>
      <c r="AB1169" s="2" t="s">
        <v>58</v>
      </c>
      <c r="AE1169" s="2">
        <f t="shared" si="119"/>
        <v>0</v>
      </c>
      <c r="AF1169" s="2">
        <v>8.1999999999999993</v>
      </c>
      <c r="AG1169" s="2">
        <v>13</v>
      </c>
      <c r="AI1169" s="2">
        <f t="shared" si="120"/>
        <v>0</v>
      </c>
      <c r="AJ1169" s="2">
        <f t="shared" si="121"/>
        <v>9.5999999999999979</v>
      </c>
      <c r="AK1169" s="5">
        <f t="shared" si="123"/>
        <v>0.36923076923076914</v>
      </c>
    </row>
    <row r="1170" spans="1:37" x14ac:dyDescent="0.2">
      <c r="A1170" s="2">
        <v>2025</v>
      </c>
      <c r="B1170" s="2">
        <v>7</v>
      </c>
      <c r="C1170" s="2" t="s">
        <v>1471</v>
      </c>
      <c r="D1170" s="2" t="s">
        <v>38</v>
      </c>
      <c r="E1170" s="2" t="s">
        <v>39</v>
      </c>
      <c r="F1170" s="2">
        <v>512091528</v>
      </c>
      <c r="G1170" s="2" t="s">
        <v>40</v>
      </c>
      <c r="H1170" s="2" t="s">
        <v>1472</v>
      </c>
      <c r="I1170" s="2" t="s">
        <v>1473</v>
      </c>
      <c r="J1170" s="2">
        <v>925788716</v>
      </c>
      <c r="K1170" s="2" t="s">
        <v>1474</v>
      </c>
      <c r="O1170" s="2" t="s">
        <v>43</v>
      </c>
      <c r="P1170" s="2" t="s">
        <v>165</v>
      </c>
      <c r="Q1170" s="2" t="s">
        <v>166</v>
      </c>
      <c r="R1170" s="2">
        <v>2</v>
      </c>
      <c r="S1170" s="2">
        <v>30</v>
      </c>
      <c r="T1170" s="2">
        <v>6.9</v>
      </c>
      <c r="U1170" s="2">
        <v>36.9</v>
      </c>
      <c r="V1170" s="2">
        <f>7.9612*R1170</f>
        <v>15.9224</v>
      </c>
      <c r="W1170" s="5">
        <f t="shared" si="122"/>
        <v>0.46925333333333336</v>
      </c>
      <c r="Y1170" s="2" t="s">
        <v>3256</v>
      </c>
      <c r="Z1170" s="2" t="s">
        <v>46</v>
      </c>
      <c r="AA1170" s="2" t="s">
        <v>68</v>
      </c>
      <c r="AB1170" s="2" t="s">
        <v>58</v>
      </c>
      <c r="AE1170" s="2">
        <f t="shared" si="119"/>
        <v>0</v>
      </c>
      <c r="AF1170" s="2">
        <v>7.9611999999999998</v>
      </c>
      <c r="AG1170" s="2">
        <v>14.4</v>
      </c>
      <c r="AI1170" s="2">
        <f t="shared" si="120"/>
        <v>0</v>
      </c>
      <c r="AJ1170" s="2">
        <f t="shared" si="121"/>
        <v>14.0776</v>
      </c>
      <c r="AK1170" s="5">
        <f t="shared" si="123"/>
        <v>0.46925333333333336</v>
      </c>
    </row>
    <row r="1171" spans="1:37" x14ac:dyDescent="0.2">
      <c r="A1171" s="2">
        <v>2025</v>
      </c>
      <c r="B1171" s="2">
        <v>7</v>
      </c>
      <c r="C1171" s="2" t="s">
        <v>1471</v>
      </c>
      <c r="D1171" s="2" t="s">
        <v>38</v>
      </c>
      <c r="E1171" s="2" t="s">
        <v>39</v>
      </c>
      <c r="F1171" s="2">
        <v>512091528</v>
      </c>
      <c r="G1171" s="2" t="s">
        <v>40</v>
      </c>
      <c r="H1171" s="2" t="s">
        <v>1472</v>
      </c>
      <c r="I1171" s="2" t="s">
        <v>1473</v>
      </c>
      <c r="J1171" s="2">
        <v>925788716</v>
      </c>
      <c r="K1171" s="2" t="s">
        <v>1474</v>
      </c>
      <c r="O1171" s="2" t="s">
        <v>170</v>
      </c>
      <c r="P1171" s="2" t="s">
        <v>171</v>
      </c>
      <c r="Q1171" s="2" t="s">
        <v>171</v>
      </c>
      <c r="R1171" s="2">
        <v>1</v>
      </c>
      <c r="S1171" s="2">
        <v>40</v>
      </c>
      <c r="T1171" s="2">
        <v>9.2000000000000011</v>
      </c>
      <c r="U1171" s="2">
        <v>49.2</v>
      </c>
      <c r="W1171" s="5">
        <f t="shared" si="122"/>
        <v>1</v>
      </c>
      <c r="Y1171" s="2" t="s">
        <v>170</v>
      </c>
      <c r="Z1171" s="2" t="s">
        <v>170</v>
      </c>
      <c r="AE1171" s="2">
        <f t="shared" si="119"/>
        <v>0</v>
      </c>
      <c r="AI1171" s="2">
        <f t="shared" si="120"/>
        <v>0</v>
      </c>
      <c r="AJ1171" s="2">
        <f t="shared" si="121"/>
        <v>40</v>
      </c>
      <c r="AK1171" s="5">
        <f t="shared" si="123"/>
        <v>1</v>
      </c>
    </row>
    <row r="1172" spans="1:37" x14ac:dyDescent="0.2">
      <c r="A1172" s="2">
        <v>2025</v>
      </c>
      <c r="B1172" s="2">
        <v>7</v>
      </c>
      <c r="C1172" s="2" t="s">
        <v>1475</v>
      </c>
      <c r="D1172" s="2" t="s">
        <v>38</v>
      </c>
      <c r="E1172" s="2" t="s">
        <v>39</v>
      </c>
      <c r="F1172" s="2">
        <v>145030954</v>
      </c>
      <c r="G1172" s="2" t="s">
        <v>41</v>
      </c>
      <c r="H1172" s="2" t="s">
        <v>1476</v>
      </c>
      <c r="I1172" s="2" t="s">
        <v>1477</v>
      </c>
      <c r="J1172" s="2">
        <v>962823313</v>
      </c>
      <c r="K1172" s="2" t="s">
        <v>605</v>
      </c>
      <c r="L1172" s="2" t="s">
        <v>41</v>
      </c>
      <c r="N1172" s="2" t="s">
        <v>1478</v>
      </c>
      <c r="O1172" s="2" t="s">
        <v>43</v>
      </c>
      <c r="P1172" s="2" t="s">
        <v>352</v>
      </c>
      <c r="Q1172" s="2" t="s">
        <v>353</v>
      </c>
      <c r="R1172" s="2">
        <v>1</v>
      </c>
      <c r="S1172" s="2">
        <v>18.600000000000001</v>
      </c>
      <c r="T1172" s="2">
        <v>4.2779999999999996</v>
      </c>
      <c r="U1172" s="2">
        <v>22.878</v>
      </c>
      <c r="V1172" s="2">
        <v>10.67</v>
      </c>
      <c r="W1172" s="5">
        <f t="shared" si="122"/>
        <v>0.42634408602150542</v>
      </c>
      <c r="Y1172" s="2" t="s">
        <v>3256</v>
      </c>
      <c r="Z1172" s="2" t="s">
        <v>46</v>
      </c>
      <c r="AA1172" s="2" t="s">
        <v>47</v>
      </c>
      <c r="AB1172" s="2" t="s">
        <v>48</v>
      </c>
      <c r="AE1172" s="2">
        <f t="shared" si="119"/>
        <v>0</v>
      </c>
      <c r="AF1172" s="2">
        <v>10.67</v>
      </c>
      <c r="AG1172" s="2">
        <v>21</v>
      </c>
      <c r="AI1172" s="2">
        <f t="shared" si="120"/>
        <v>0</v>
      </c>
      <c r="AJ1172" s="2">
        <f t="shared" si="121"/>
        <v>7.9300000000000015</v>
      </c>
      <c r="AK1172" s="5">
        <f t="shared" si="123"/>
        <v>0.42634408602150542</v>
      </c>
    </row>
    <row r="1173" spans="1:37" x14ac:dyDescent="0.2">
      <c r="A1173" s="2">
        <v>2025</v>
      </c>
      <c r="B1173" s="2">
        <v>7</v>
      </c>
      <c r="C1173" s="2" t="s">
        <v>1475</v>
      </c>
      <c r="K1173" s="2" t="s">
        <v>605</v>
      </c>
      <c r="L1173" s="2" t="s">
        <v>41</v>
      </c>
      <c r="N1173" s="2" t="s">
        <v>1478</v>
      </c>
      <c r="O1173" s="2" t="s">
        <v>43</v>
      </c>
      <c r="P1173" s="2" t="s">
        <v>159</v>
      </c>
      <c r="Q1173" s="2" t="s">
        <v>160</v>
      </c>
      <c r="R1173" s="2">
        <v>1</v>
      </c>
      <c r="S1173" s="2">
        <v>18.600000000000001</v>
      </c>
      <c r="T1173" s="2">
        <v>4.2779999999999996</v>
      </c>
      <c r="U1173" s="2">
        <v>22.878</v>
      </c>
      <c r="V1173" s="2">
        <f>9.3*R1173</f>
        <v>9.3000000000000007</v>
      </c>
      <c r="W1173" s="5">
        <f t="shared" si="122"/>
        <v>0.5</v>
      </c>
      <c r="Y1173" s="2" t="s">
        <v>3256</v>
      </c>
      <c r="Z1173" s="2" t="s">
        <v>46</v>
      </c>
      <c r="AA1173" s="2" t="s">
        <v>47</v>
      </c>
      <c r="AB1173" s="2" t="s">
        <v>48</v>
      </c>
      <c r="AE1173" s="2">
        <f t="shared" si="119"/>
        <v>0</v>
      </c>
      <c r="AF1173" s="2">
        <v>9.3000000000000007</v>
      </c>
      <c r="AG1173" s="2">
        <v>21</v>
      </c>
      <c r="AI1173" s="2">
        <f t="shared" si="120"/>
        <v>0</v>
      </c>
      <c r="AJ1173" s="2">
        <f t="shared" si="121"/>
        <v>9.3000000000000007</v>
      </c>
      <c r="AK1173" s="5">
        <f t="shared" si="123"/>
        <v>0.5</v>
      </c>
    </row>
    <row r="1174" spans="1:37" x14ac:dyDescent="0.2">
      <c r="A1174" s="2">
        <v>2025</v>
      </c>
      <c r="B1174" s="2">
        <v>7</v>
      </c>
      <c r="C1174" s="2" t="s">
        <v>1475</v>
      </c>
      <c r="O1174" s="2" t="s">
        <v>43</v>
      </c>
      <c r="P1174" s="2" t="s">
        <v>161</v>
      </c>
      <c r="Q1174" s="2" t="s">
        <v>162</v>
      </c>
      <c r="R1174" s="2">
        <v>2</v>
      </c>
      <c r="S1174" s="2">
        <v>15.6</v>
      </c>
      <c r="T1174" s="2">
        <v>3.5880000000000001</v>
      </c>
      <c r="U1174" s="2">
        <v>19.187999999999999</v>
      </c>
      <c r="V1174" s="2">
        <f>3.7358*R1174</f>
        <v>7.4715999999999996</v>
      </c>
      <c r="W1174" s="5">
        <f t="shared" si="122"/>
        <v>0.52105128205128204</v>
      </c>
      <c r="Y1174" s="2" t="s">
        <v>3256</v>
      </c>
      <c r="Z1174" s="2" t="s">
        <v>46</v>
      </c>
      <c r="AA1174" s="2" t="s">
        <v>47</v>
      </c>
      <c r="AB1174" s="2" t="s">
        <v>48</v>
      </c>
      <c r="AE1174" s="2">
        <f t="shared" si="119"/>
        <v>0</v>
      </c>
      <c r="AF1174" s="2">
        <v>3.7357999999999998</v>
      </c>
      <c r="AG1174" s="2">
        <v>9</v>
      </c>
      <c r="AI1174" s="2">
        <f t="shared" si="120"/>
        <v>0</v>
      </c>
      <c r="AJ1174" s="2">
        <f t="shared" si="121"/>
        <v>8.1283999999999992</v>
      </c>
      <c r="AK1174" s="5">
        <f t="shared" si="123"/>
        <v>0.52105128205128204</v>
      </c>
    </row>
    <row r="1175" spans="1:37" x14ac:dyDescent="0.2">
      <c r="A1175" s="2">
        <v>2025</v>
      </c>
      <c r="B1175" s="2">
        <v>7</v>
      </c>
      <c r="C1175" s="2" t="s">
        <v>1475</v>
      </c>
      <c r="O1175" s="2" t="s">
        <v>43</v>
      </c>
      <c r="P1175" s="2" t="s">
        <v>53</v>
      </c>
      <c r="Q1175" s="2" t="s">
        <v>54</v>
      </c>
      <c r="R1175" s="2">
        <v>2</v>
      </c>
      <c r="S1175" s="2">
        <v>19.2</v>
      </c>
      <c r="T1175" s="2">
        <v>4.4160000000000004</v>
      </c>
      <c r="U1175" s="2">
        <v>23.616</v>
      </c>
      <c r="V1175" s="2">
        <f>5.2973*R1175</f>
        <v>10.5946</v>
      </c>
      <c r="W1175" s="5">
        <f t="shared" si="122"/>
        <v>0.44819791666666664</v>
      </c>
      <c r="Y1175" s="2" t="s">
        <v>3256</v>
      </c>
      <c r="Z1175" s="2" t="s">
        <v>46</v>
      </c>
      <c r="AA1175" s="2" t="s">
        <v>47</v>
      </c>
      <c r="AB1175" s="2" t="s">
        <v>48</v>
      </c>
      <c r="AE1175" s="2">
        <f t="shared" si="119"/>
        <v>0</v>
      </c>
      <c r="AF1175" s="2">
        <v>5.2972999999999999</v>
      </c>
      <c r="AG1175" s="2">
        <v>10.8</v>
      </c>
      <c r="AI1175" s="2">
        <f t="shared" si="120"/>
        <v>0</v>
      </c>
      <c r="AJ1175" s="2">
        <f t="shared" si="121"/>
        <v>8.6053999999999995</v>
      </c>
      <c r="AK1175" s="5">
        <f t="shared" si="123"/>
        <v>0.44819791666666664</v>
      </c>
    </row>
    <row r="1176" spans="1:37" x14ac:dyDescent="0.2">
      <c r="A1176" s="2">
        <v>2025</v>
      </c>
      <c r="B1176" s="2">
        <v>7</v>
      </c>
      <c r="C1176" s="2" t="s">
        <v>1475</v>
      </c>
      <c r="O1176" s="2" t="s">
        <v>170</v>
      </c>
      <c r="P1176" s="2" t="s">
        <v>171</v>
      </c>
      <c r="Q1176" s="2" t="s">
        <v>171</v>
      </c>
      <c r="R1176" s="2">
        <v>1</v>
      </c>
      <c r="S1176" s="2">
        <v>8</v>
      </c>
      <c r="T1176" s="2">
        <v>1.84</v>
      </c>
      <c r="U1176" s="2">
        <v>9.84</v>
      </c>
      <c r="W1176" s="5">
        <f t="shared" si="122"/>
        <v>1</v>
      </c>
      <c r="Y1176" s="2" t="s">
        <v>170</v>
      </c>
      <c r="Z1176" s="2" t="s">
        <v>170</v>
      </c>
      <c r="AE1176" s="2">
        <f t="shared" si="119"/>
        <v>0</v>
      </c>
      <c r="AI1176" s="2">
        <f t="shared" si="120"/>
        <v>0</v>
      </c>
      <c r="AJ1176" s="2">
        <f t="shared" si="121"/>
        <v>8</v>
      </c>
      <c r="AK1176" s="5">
        <f t="shared" si="123"/>
        <v>1</v>
      </c>
    </row>
    <row r="1177" spans="1:37" x14ac:dyDescent="0.2">
      <c r="A1177" s="2">
        <v>2025</v>
      </c>
      <c r="B1177" s="2">
        <v>7</v>
      </c>
      <c r="C1177" s="2" t="s">
        <v>279</v>
      </c>
      <c r="O1177" s="2" t="s">
        <v>115</v>
      </c>
      <c r="P1177" s="2" t="s">
        <v>884</v>
      </c>
      <c r="Q1177" s="2" t="s">
        <v>885</v>
      </c>
      <c r="R1177" s="2">
        <v>1</v>
      </c>
      <c r="S1177" s="2">
        <v>800</v>
      </c>
      <c r="T1177" s="2">
        <v>184</v>
      </c>
      <c r="U1177" s="2">
        <v>984</v>
      </c>
      <c r="W1177" s="5">
        <f t="shared" si="122"/>
        <v>1</v>
      </c>
      <c r="AE1177" s="2">
        <f t="shared" si="119"/>
        <v>0</v>
      </c>
      <c r="AI1177" s="2">
        <f t="shared" si="120"/>
        <v>0</v>
      </c>
      <c r="AJ1177" s="2">
        <f t="shared" si="121"/>
        <v>800</v>
      </c>
      <c r="AK1177" s="5">
        <f t="shared" si="123"/>
        <v>1</v>
      </c>
    </row>
    <row r="1178" spans="1:37" x14ac:dyDescent="0.2">
      <c r="A1178" s="2">
        <v>2025</v>
      </c>
      <c r="B1178" s="2">
        <v>7</v>
      </c>
      <c r="C1178" s="2" t="s">
        <v>279</v>
      </c>
      <c r="O1178" s="2" t="s">
        <v>43</v>
      </c>
      <c r="P1178" s="2" t="s">
        <v>55</v>
      </c>
      <c r="Q1178" s="2" t="s">
        <v>56</v>
      </c>
      <c r="R1178" s="2">
        <v>3</v>
      </c>
      <c r="S1178" s="2">
        <v>54</v>
      </c>
      <c r="T1178" s="2">
        <v>12.42</v>
      </c>
      <c r="U1178" s="2">
        <v>66.42</v>
      </c>
      <c r="V1178" s="2">
        <f>10.6*R1178</f>
        <v>31.799999999999997</v>
      </c>
      <c r="W1178" s="5">
        <f t="shared" si="122"/>
        <v>0.41111111111111115</v>
      </c>
      <c r="Y1178" s="2" t="s">
        <v>3256</v>
      </c>
      <c r="Z1178" s="2" t="s">
        <v>46</v>
      </c>
      <c r="AA1178" s="2" t="s">
        <v>57</v>
      </c>
      <c r="AB1178" s="2" t="s">
        <v>58</v>
      </c>
      <c r="AE1178" s="2">
        <f t="shared" si="119"/>
        <v>0</v>
      </c>
      <c r="AF1178" s="2">
        <v>10.6</v>
      </c>
      <c r="AG1178" s="2">
        <v>18</v>
      </c>
      <c r="AI1178" s="2">
        <f t="shared" si="120"/>
        <v>0</v>
      </c>
      <c r="AJ1178" s="2">
        <f t="shared" si="121"/>
        <v>22.200000000000003</v>
      </c>
      <c r="AK1178" s="5">
        <f t="shared" si="123"/>
        <v>0.41111111111111115</v>
      </c>
    </row>
    <row r="1179" spans="1:37" x14ac:dyDescent="0.2">
      <c r="A1179" s="2">
        <v>2025</v>
      </c>
      <c r="B1179" s="2">
        <v>7</v>
      </c>
      <c r="C1179" s="2" t="s">
        <v>279</v>
      </c>
      <c r="O1179" s="2" t="s">
        <v>43</v>
      </c>
      <c r="P1179" s="2" t="s">
        <v>66</v>
      </c>
      <c r="Q1179" s="2" t="s">
        <v>67</v>
      </c>
      <c r="R1179" s="2">
        <v>1</v>
      </c>
      <c r="S1179" s="2">
        <v>25.2</v>
      </c>
      <c r="T1179" s="2">
        <v>5.7960000000000003</v>
      </c>
      <c r="U1179" s="2">
        <v>30.995999999999999</v>
      </c>
      <c r="V1179" s="2">
        <f>15.0203*R1179</f>
        <v>15.020300000000001</v>
      </c>
      <c r="W1179" s="5">
        <f t="shared" si="122"/>
        <v>0.40395634920634915</v>
      </c>
      <c r="Y1179" s="2" t="s">
        <v>3256</v>
      </c>
      <c r="Z1179" s="2" t="s">
        <v>46</v>
      </c>
      <c r="AA1179" s="2" t="s">
        <v>68</v>
      </c>
      <c r="AB1179" s="2" t="s">
        <v>58</v>
      </c>
      <c r="AE1179" s="2">
        <f t="shared" si="119"/>
        <v>0</v>
      </c>
      <c r="AF1179" s="2">
        <v>15.020300000000001</v>
      </c>
      <c r="AG1179" s="2">
        <v>27.6</v>
      </c>
      <c r="AI1179" s="2">
        <f t="shared" si="120"/>
        <v>0</v>
      </c>
      <c r="AJ1179" s="2">
        <f t="shared" si="121"/>
        <v>10.179699999999999</v>
      </c>
      <c r="AK1179" s="5">
        <f t="shared" si="123"/>
        <v>0.40395634920634915</v>
      </c>
    </row>
    <row r="1180" spans="1:37" x14ac:dyDescent="0.2">
      <c r="A1180" s="2">
        <v>2025</v>
      </c>
      <c r="B1180" s="2">
        <v>7</v>
      </c>
      <c r="C1180" s="2" t="s">
        <v>279</v>
      </c>
      <c r="O1180" s="2" t="s">
        <v>40</v>
      </c>
      <c r="P1180" s="2" t="s">
        <v>364</v>
      </c>
      <c r="Q1180" s="2" t="s">
        <v>365</v>
      </c>
      <c r="R1180" s="2">
        <v>1</v>
      </c>
      <c r="S1180" s="2">
        <v>45</v>
      </c>
      <c r="T1180" s="2">
        <v>10.35</v>
      </c>
      <c r="U1180" s="2">
        <v>55.35</v>
      </c>
      <c r="W1180" s="5">
        <f t="shared" si="122"/>
        <v>1</v>
      </c>
      <c r="Y1180" s="2" t="s">
        <v>120</v>
      </c>
      <c r="AE1180" s="2">
        <f t="shared" si="119"/>
        <v>0</v>
      </c>
      <c r="AI1180" s="2">
        <f t="shared" si="120"/>
        <v>0</v>
      </c>
      <c r="AJ1180" s="2">
        <f t="shared" si="121"/>
        <v>45</v>
      </c>
      <c r="AK1180" s="5">
        <f t="shared" si="123"/>
        <v>1</v>
      </c>
    </row>
    <row r="1181" spans="1:37" x14ac:dyDescent="0.2">
      <c r="A1181" s="2">
        <v>2025</v>
      </c>
      <c r="B1181" s="2">
        <v>7</v>
      </c>
      <c r="C1181" s="2" t="s">
        <v>1479</v>
      </c>
      <c r="D1181" s="2" t="s">
        <v>38</v>
      </c>
      <c r="E1181" s="2" t="s">
        <v>39</v>
      </c>
      <c r="F1181" s="2">
        <v>509686133</v>
      </c>
      <c r="G1181" s="2" t="s">
        <v>110</v>
      </c>
      <c r="H1181" s="2" t="s">
        <v>1480</v>
      </c>
      <c r="I1181" s="2" t="s">
        <v>1481</v>
      </c>
      <c r="K1181" s="2" t="s">
        <v>361</v>
      </c>
      <c r="L1181" s="2" t="s">
        <v>40</v>
      </c>
      <c r="N1181" s="2" t="s">
        <v>1482</v>
      </c>
      <c r="O1181" s="2" t="s">
        <v>115</v>
      </c>
      <c r="P1181" s="2" t="s">
        <v>1483</v>
      </c>
      <c r="Q1181" s="2" t="s">
        <v>1484</v>
      </c>
      <c r="R1181" s="2">
        <v>1</v>
      </c>
      <c r="S1181" s="2">
        <v>690.61</v>
      </c>
      <c r="T1181" s="2">
        <v>158.84030000000001</v>
      </c>
      <c r="U1181" s="2">
        <v>849.45029999999997</v>
      </c>
      <c r="V1181" s="2">
        <v>343.38</v>
      </c>
      <c r="W1181" s="5">
        <f t="shared" si="122"/>
        <v>0.50278739085735802</v>
      </c>
      <c r="Y1181" s="2" t="s">
        <v>118</v>
      </c>
      <c r="Z1181" s="2" t="s">
        <v>182</v>
      </c>
      <c r="AE1181" s="2">
        <f t="shared" si="119"/>
        <v>0</v>
      </c>
      <c r="AF1181" s="2">
        <v>343.38</v>
      </c>
      <c r="AI1181" s="2">
        <f t="shared" si="120"/>
        <v>0</v>
      </c>
      <c r="AJ1181" s="2">
        <f t="shared" si="121"/>
        <v>347.23</v>
      </c>
      <c r="AK1181" s="5">
        <f t="shared" si="123"/>
        <v>0.50278739085735802</v>
      </c>
    </row>
    <row r="1182" spans="1:37" x14ac:dyDescent="0.2">
      <c r="A1182" s="2">
        <v>2025</v>
      </c>
      <c r="B1182" s="2">
        <v>7</v>
      </c>
      <c r="C1182" s="2" t="s">
        <v>1479</v>
      </c>
      <c r="D1182" s="2" t="s">
        <v>38</v>
      </c>
      <c r="E1182" s="2" t="s">
        <v>39</v>
      </c>
      <c r="F1182" s="2">
        <v>509686133</v>
      </c>
      <c r="G1182" s="2" t="s">
        <v>110</v>
      </c>
      <c r="H1182" s="2" t="s">
        <v>1480</v>
      </c>
      <c r="I1182" s="2" t="s">
        <v>1481</v>
      </c>
      <c r="K1182" s="2" t="s">
        <v>361</v>
      </c>
      <c r="L1182" s="2" t="s">
        <v>40</v>
      </c>
      <c r="N1182" s="2" t="s">
        <v>1482</v>
      </c>
      <c r="O1182" s="2" t="s">
        <v>188</v>
      </c>
      <c r="P1182" s="2" t="s">
        <v>189</v>
      </c>
      <c r="Q1182" s="2" t="s">
        <v>190</v>
      </c>
      <c r="R1182" s="2">
        <v>1</v>
      </c>
      <c r="S1182" s="2">
        <v>180</v>
      </c>
      <c r="T1182" s="2">
        <v>41.4</v>
      </c>
      <c r="U1182" s="2">
        <v>221.4</v>
      </c>
      <c r="W1182" s="5">
        <f t="shared" si="122"/>
        <v>1</v>
      </c>
      <c r="Y1182" s="2" t="s">
        <v>118</v>
      </c>
      <c r="Z1182" s="2" t="s">
        <v>191</v>
      </c>
      <c r="AE1182" s="2">
        <f t="shared" si="119"/>
        <v>0</v>
      </c>
      <c r="AI1182" s="2">
        <f t="shared" si="120"/>
        <v>0</v>
      </c>
      <c r="AJ1182" s="2">
        <f t="shared" si="121"/>
        <v>180</v>
      </c>
      <c r="AK1182" s="5">
        <f t="shared" si="123"/>
        <v>1</v>
      </c>
    </row>
    <row r="1183" spans="1:37" x14ac:dyDescent="0.2">
      <c r="A1183" s="2">
        <v>2025</v>
      </c>
      <c r="B1183" s="2">
        <v>7</v>
      </c>
      <c r="C1183" s="2" t="s">
        <v>1479</v>
      </c>
      <c r="D1183" s="2" t="s">
        <v>38</v>
      </c>
      <c r="E1183" s="2" t="s">
        <v>39</v>
      </c>
      <c r="F1183" s="2">
        <v>509686133</v>
      </c>
      <c r="G1183" s="2" t="s">
        <v>110</v>
      </c>
      <c r="H1183" s="2" t="s">
        <v>1480</v>
      </c>
      <c r="I1183" s="2" t="s">
        <v>1481</v>
      </c>
      <c r="K1183" s="2" t="s">
        <v>361</v>
      </c>
      <c r="L1183" s="2" t="s">
        <v>40</v>
      </c>
      <c r="N1183" s="2" t="s">
        <v>1482</v>
      </c>
      <c r="O1183" s="2" t="s">
        <v>188</v>
      </c>
      <c r="P1183" s="2" t="s">
        <v>192</v>
      </c>
      <c r="Q1183" s="2" t="s">
        <v>191</v>
      </c>
      <c r="R1183" s="2">
        <v>1</v>
      </c>
      <c r="S1183" s="2">
        <v>50</v>
      </c>
      <c r="T1183" s="2">
        <v>11.5</v>
      </c>
      <c r="U1183" s="2">
        <v>61.5</v>
      </c>
      <c r="V1183" s="2">
        <f>S1183*50%</f>
        <v>25</v>
      </c>
      <c r="W1183" s="5">
        <f t="shared" si="122"/>
        <v>0.5</v>
      </c>
      <c r="Y1183" s="2" t="s">
        <v>118</v>
      </c>
      <c r="Z1183" s="2" t="s">
        <v>191</v>
      </c>
      <c r="AE1183" s="2">
        <f t="shared" si="119"/>
        <v>0</v>
      </c>
      <c r="AI1183" s="2">
        <f t="shared" si="120"/>
        <v>0</v>
      </c>
      <c r="AJ1183" s="2">
        <f t="shared" si="121"/>
        <v>25</v>
      </c>
      <c r="AK1183" s="5">
        <f t="shared" si="123"/>
        <v>0.5</v>
      </c>
    </row>
    <row r="1184" spans="1:37" x14ac:dyDescent="0.2">
      <c r="A1184" s="2">
        <v>2025</v>
      </c>
      <c r="B1184" s="2">
        <v>7</v>
      </c>
      <c r="C1184" s="2" t="s">
        <v>1159</v>
      </c>
      <c r="D1184" s="2" t="s">
        <v>109</v>
      </c>
      <c r="E1184" s="2" t="s">
        <v>39</v>
      </c>
      <c r="F1184" s="2">
        <v>504039733</v>
      </c>
      <c r="G1184" s="2" t="s">
        <v>110</v>
      </c>
      <c r="H1184" s="2" t="s">
        <v>134</v>
      </c>
      <c r="I1184" s="2" t="s">
        <v>1485</v>
      </c>
      <c r="J1184" s="2">
        <v>938183284</v>
      </c>
      <c r="K1184" s="2" t="s">
        <v>134</v>
      </c>
      <c r="L1184" s="2" t="s">
        <v>110</v>
      </c>
      <c r="N1184" s="2" t="s">
        <v>1486</v>
      </c>
      <c r="O1184" s="2" t="s">
        <v>73</v>
      </c>
      <c r="P1184" s="2" t="s">
        <v>561</v>
      </c>
      <c r="Q1184" s="2" t="s">
        <v>308</v>
      </c>
      <c r="R1184" s="2">
        <v>1</v>
      </c>
      <c r="S1184" s="2">
        <v>220</v>
      </c>
      <c r="T1184" s="2">
        <v>50.6</v>
      </c>
      <c r="U1184" s="2">
        <v>270.60000000000002</v>
      </c>
      <c r="V1184" s="2">
        <v>122.446</v>
      </c>
      <c r="W1184" s="5">
        <f t="shared" si="122"/>
        <v>0.44342727272727273</v>
      </c>
      <c r="Y1184" s="2" t="s">
        <v>3256</v>
      </c>
      <c r="Z1184" s="2" t="s">
        <v>76</v>
      </c>
      <c r="AA1184" s="2" t="s">
        <v>77</v>
      </c>
      <c r="AB1184" s="2" t="s">
        <v>78</v>
      </c>
      <c r="AE1184" s="2">
        <f t="shared" si="119"/>
        <v>0</v>
      </c>
      <c r="AF1184" s="2">
        <v>122.446</v>
      </c>
      <c r="AG1184" s="2">
        <v>230</v>
      </c>
      <c r="AI1184" s="2">
        <f t="shared" si="120"/>
        <v>0</v>
      </c>
      <c r="AJ1184" s="2">
        <f t="shared" si="121"/>
        <v>97.554000000000002</v>
      </c>
      <c r="AK1184" s="5">
        <f t="shared" si="123"/>
        <v>0.44342727272727273</v>
      </c>
    </row>
    <row r="1185" spans="1:37" x14ac:dyDescent="0.2">
      <c r="A1185" s="2">
        <v>2025</v>
      </c>
      <c r="B1185" s="2">
        <v>7</v>
      </c>
      <c r="C1185" s="2" t="s">
        <v>1159</v>
      </c>
      <c r="O1185" s="2" t="s">
        <v>94</v>
      </c>
      <c r="P1185" s="2" t="s">
        <v>95</v>
      </c>
      <c r="Q1185" s="2" t="s">
        <v>96</v>
      </c>
      <c r="R1185" s="2">
        <v>1</v>
      </c>
      <c r="S1185" s="2">
        <v>1.1399999999999999</v>
      </c>
      <c r="T1185" s="2">
        <v>0.26219999999999999</v>
      </c>
      <c r="U1185" s="2">
        <v>1.4021999999999999</v>
      </c>
      <c r="V1185" s="2">
        <v>1.1399999999999999</v>
      </c>
      <c r="W1185" s="5">
        <f t="shared" si="122"/>
        <v>0</v>
      </c>
      <c r="Y1185" s="2" t="s">
        <v>3256</v>
      </c>
      <c r="Z1185" s="2" t="s">
        <v>97</v>
      </c>
      <c r="AA1185" s="2" t="s">
        <v>77</v>
      </c>
      <c r="AB1185" s="2" t="s">
        <v>94</v>
      </c>
      <c r="AE1185" s="2">
        <f t="shared" si="119"/>
        <v>0</v>
      </c>
      <c r="AI1185" s="2">
        <f t="shared" si="120"/>
        <v>0</v>
      </c>
      <c r="AJ1185" s="2">
        <f t="shared" si="121"/>
        <v>0</v>
      </c>
      <c r="AK1185" s="5">
        <f t="shared" si="123"/>
        <v>0</v>
      </c>
    </row>
    <row r="1186" spans="1:37" x14ac:dyDescent="0.2">
      <c r="A1186" s="2">
        <v>2025</v>
      </c>
      <c r="B1186" s="2">
        <v>7</v>
      </c>
      <c r="C1186" s="2" t="s">
        <v>1487</v>
      </c>
      <c r="O1186" s="2" t="s">
        <v>43</v>
      </c>
      <c r="P1186" s="2" t="s">
        <v>49</v>
      </c>
      <c r="Q1186" s="2" t="s">
        <v>50</v>
      </c>
      <c r="R1186" s="2">
        <v>6</v>
      </c>
      <c r="S1186" s="2">
        <v>72</v>
      </c>
      <c r="T1186" s="2">
        <v>16.559999999999999</v>
      </c>
      <c r="U1186" s="2">
        <v>88.56</v>
      </c>
      <c r="V1186" s="2">
        <f>6.6267*R1186</f>
        <v>39.760199999999998</v>
      </c>
      <c r="W1186" s="5">
        <f t="shared" si="122"/>
        <v>0.44777500000000003</v>
      </c>
      <c r="Y1186" s="2" t="s">
        <v>3256</v>
      </c>
      <c r="Z1186" s="2" t="s">
        <v>46</v>
      </c>
      <c r="AA1186" s="2" t="s">
        <v>47</v>
      </c>
      <c r="AB1186" s="2" t="s">
        <v>48</v>
      </c>
      <c r="AE1186" s="2">
        <f t="shared" si="119"/>
        <v>0</v>
      </c>
      <c r="AF1186" s="2">
        <v>6.6266999999999996</v>
      </c>
      <c r="AG1186" s="2">
        <v>12</v>
      </c>
      <c r="AI1186" s="2">
        <f t="shared" si="120"/>
        <v>0</v>
      </c>
      <c r="AJ1186" s="2">
        <f t="shared" si="121"/>
        <v>32.239800000000002</v>
      </c>
      <c r="AK1186" s="5">
        <f t="shared" si="123"/>
        <v>0.44777500000000003</v>
      </c>
    </row>
    <row r="1187" spans="1:37" x14ac:dyDescent="0.2">
      <c r="A1187" s="2">
        <v>2025</v>
      </c>
      <c r="B1187" s="2">
        <v>7</v>
      </c>
      <c r="C1187" s="2" t="s">
        <v>1487</v>
      </c>
      <c r="O1187" s="2" t="s">
        <v>43</v>
      </c>
      <c r="P1187" s="2" t="s">
        <v>161</v>
      </c>
      <c r="Q1187" s="2" t="s">
        <v>162</v>
      </c>
      <c r="R1187" s="2">
        <v>1</v>
      </c>
      <c r="S1187" s="2">
        <v>7.8</v>
      </c>
      <c r="T1187" s="2">
        <v>1.794</v>
      </c>
      <c r="U1187" s="2">
        <v>9.5939999999999994</v>
      </c>
      <c r="V1187" s="2">
        <f>3.7358*R1187</f>
        <v>3.7357999999999998</v>
      </c>
      <c r="W1187" s="5">
        <f t="shared" si="122"/>
        <v>0.52105128205128204</v>
      </c>
      <c r="Y1187" s="2" t="s">
        <v>3256</v>
      </c>
      <c r="Z1187" s="2" t="s">
        <v>46</v>
      </c>
      <c r="AA1187" s="2" t="s">
        <v>47</v>
      </c>
      <c r="AB1187" s="2" t="s">
        <v>48</v>
      </c>
      <c r="AE1187" s="2">
        <f t="shared" si="119"/>
        <v>0</v>
      </c>
      <c r="AF1187" s="2">
        <v>3.7357999999999998</v>
      </c>
      <c r="AG1187" s="2">
        <v>9</v>
      </c>
      <c r="AI1187" s="2">
        <f t="shared" si="120"/>
        <v>0</v>
      </c>
      <c r="AJ1187" s="2">
        <f t="shared" si="121"/>
        <v>4.0641999999999996</v>
      </c>
      <c r="AK1187" s="5">
        <f t="shared" si="123"/>
        <v>0.52105128205128204</v>
      </c>
    </row>
    <row r="1188" spans="1:37" x14ac:dyDescent="0.2">
      <c r="A1188" s="2">
        <v>2025</v>
      </c>
      <c r="B1188" s="2">
        <v>7</v>
      </c>
      <c r="C1188" s="2" t="s">
        <v>1488</v>
      </c>
      <c r="D1188" s="2" t="s">
        <v>758</v>
      </c>
      <c r="E1188" s="2" t="s">
        <v>1489</v>
      </c>
      <c r="F1188" s="2">
        <v>506123758</v>
      </c>
      <c r="G1188" s="2" t="s">
        <v>110</v>
      </c>
      <c r="H1188" s="2" t="s">
        <v>1490</v>
      </c>
      <c r="I1188" s="2" t="s">
        <v>1491</v>
      </c>
      <c r="J1188" s="2">
        <v>936406952</v>
      </c>
      <c r="K1188" s="2" t="s">
        <v>465</v>
      </c>
      <c r="L1188" s="2" t="s">
        <v>40</v>
      </c>
      <c r="N1188" s="2" t="s">
        <v>1492</v>
      </c>
      <c r="O1188" s="2" t="s">
        <v>188</v>
      </c>
      <c r="P1188" s="2" t="s">
        <v>189</v>
      </c>
      <c r="Q1188" s="2" t="s">
        <v>190</v>
      </c>
      <c r="R1188" s="2">
        <v>1</v>
      </c>
      <c r="S1188" s="2">
        <v>186</v>
      </c>
      <c r="T1188" s="2">
        <v>42.78</v>
      </c>
      <c r="U1188" s="2">
        <v>228.78</v>
      </c>
      <c r="W1188" s="5">
        <f t="shared" si="122"/>
        <v>1</v>
      </c>
      <c r="Y1188" s="2" t="s">
        <v>118</v>
      </c>
      <c r="Z1188" s="2" t="s">
        <v>191</v>
      </c>
      <c r="AE1188" s="2">
        <f t="shared" si="119"/>
        <v>0</v>
      </c>
      <c r="AI1188" s="2">
        <f t="shared" si="120"/>
        <v>0</v>
      </c>
      <c r="AJ1188" s="2">
        <f t="shared" si="121"/>
        <v>186</v>
      </c>
      <c r="AK1188" s="5">
        <f t="shared" si="123"/>
        <v>1</v>
      </c>
    </row>
    <row r="1189" spans="1:37" x14ac:dyDescent="0.2">
      <c r="A1189" s="2">
        <v>2025</v>
      </c>
      <c r="B1189" s="2">
        <v>7</v>
      </c>
      <c r="C1189" s="2" t="s">
        <v>1488</v>
      </c>
      <c r="D1189" s="2" t="s">
        <v>758</v>
      </c>
      <c r="E1189" s="2" t="s">
        <v>1489</v>
      </c>
      <c r="F1189" s="2">
        <v>506123758</v>
      </c>
      <c r="G1189" s="2" t="s">
        <v>110</v>
      </c>
      <c r="H1189" s="2" t="s">
        <v>1490</v>
      </c>
      <c r="I1189" s="2" t="s">
        <v>1491</v>
      </c>
      <c r="J1189" s="2">
        <v>936406952</v>
      </c>
      <c r="K1189" s="2" t="s">
        <v>465</v>
      </c>
      <c r="L1189" s="2" t="s">
        <v>40</v>
      </c>
      <c r="N1189" s="2" t="s">
        <v>1492</v>
      </c>
      <c r="O1189" s="2" t="s">
        <v>188</v>
      </c>
      <c r="P1189" s="2" t="s">
        <v>192</v>
      </c>
      <c r="Q1189" s="2" t="s">
        <v>191</v>
      </c>
      <c r="R1189" s="2">
        <v>0.75</v>
      </c>
      <c r="S1189" s="2">
        <v>37.5</v>
      </c>
      <c r="T1189" s="2">
        <v>8.625</v>
      </c>
      <c r="U1189" s="2">
        <v>46.125</v>
      </c>
      <c r="V1189" s="2">
        <f>S1189*50%</f>
        <v>18.75</v>
      </c>
      <c r="W1189" s="5">
        <f t="shared" si="122"/>
        <v>0.5</v>
      </c>
      <c r="Y1189" s="2" t="s">
        <v>118</v>
      </c>
      <c r="Z1189" s="2" t="s">
        <v>191</v>
      </c>
      <c r="AE1189" s="2">
        <f t="shared" si="119"/>
        <v>0</v>
      </c>
      <c r="AI1189" s="2">
        <f t="shared" si="120"/>
        <v>0</v>
      </c>
      <c r="AJ1189" s="2">
        <f t="shared" si="121"/>
        <v>18.75</v>
      </c>
      <c r="AK1189" s="5">
        <f t="shared" si="123"/>
        <v>0.5</v>
      </c>
    </row>
    <row r="1190" spans="1:37" x14ac:dyDescent="0.2">
      <c r="A1190" s="2">
        <v>2025</v>
      </c>
      <c r="B1190" s="2">
        <v>7</v>
      </c>
      <c r="C1190" s="2" t="s">
        <v>1493</v>
      </c>
      <c r="O1190" s="2" t="s">
        <v>115</v>
      </c>
      <c r="P1190" s="2" t="s">
        <v>416</v>
      </c>
      <c r="Q1190" s="2" t="s">
        <v>417</v>
      </c>
      <c r="R1190" s="2">
        <v>1</v>
      </c>
      <c r="S1190" s="2">
        <v>16666.669999999998</v>
      </c>
      <c r="T1190" s="2">
        <v>3833.3341</v>
      </c>
      <c r="U1190" s="2">
        <v>20500.004099999998</v>
      </c>
      <c r="V1190" s="2">
        <v>10669.4</v>
      </c>
      <c r="W1190" s="5">
        <f t="shared" si="122"/>
        <v>0.35983612803277437</v>
      </c>
      <c r="Y1190" s="2" t="s">
        <v>105</v>
      </c>
      <c r="Z1190" s="2" t="s">
        <v>418</v>
      </c>
      <c r="AA1190" s="2" t="s">
        <v>152</v>
      </c>
      <c r="AB1190" s="2" t="s">
        <v>115</v>
      </c>
      <c r="AE1190" s="2">
        <f t="shared" si="119"/>
        <v>0</v>
      </c>
      <c r="AI1190" s="2">
        <f t="shared" si="120"/>
        <v>0</v>
      </c>
      <c r="AJ1190" s="2">
        <f t="shared" si="121"/>
        <v>5997.2699999999986</v>
      </c>
      <c r="AK1190" s="5">
        <f t="shared" si="123"/>
        <v>0.35983612803277437</v>
      </c>
    </row>
    <row r="1191" spans="1:37" x14ac:dyDescent="0.2">
      <c r="A1191" s="2">
        <v>2025</v>
      </c>
      <c r="B1191" s="2">
        <v>7</v>
      </c>
      <c r="C1191" s="2" t="s">
        <v>695</v>
      </c>
      <c r="D1191" s="2" t="s">
        <v>109</v>
      </c>
      <c r="E1191" s="2" t="s">
        <v>39</v>
      </c>
      <c r="F1191" s="2">
        <v>503589950</v>
      </c>
      <c r="G1191" s="2" t="s">
        <v>41</v>
      </c>
      <c r="H1191" s="2" t="s">
        <v>615</v>
      </c>
      <c r="I1191" s="2" t="s">
        <v>696</v>
      </c>
      <c r="J1191" s="2">
        <v>913036545</v>
      </c>
      <c r="K1191" s="2" t="s">
        <v>178</v>
      </c>
      <c r="L1191" s="2" t="s">
        <v>41</v>
      </c>
      <c r="N1191" s="2" t="s">
        <v>1494</v>
      </c>
      <c r="O1191" s="2" t="s">
        <v>43</v>
      </c>
      <c r="P1191" s="2" t="s">
        <v>49</v>
      </c>
      <c r="Q1191" s="2" t="s">
        <v>50</v>
      </c>
      <c r="R1191" s="2">
        <v>1</v>
      </c>
      <c r="S1191" s="2">
        <v>12</v>
      </c>
      <c r="T1191" s="2">
        <v>2.76</v>
      </c>
      <c r="U1191" s="2">
        <v>14.76</v>
      </c>
      <c r="V1191" s="2">
        <f>6.6267*R1191</f>
        <v>6.6266999999999996</v>
      </c>
      <c r="W1191" s="5">
        <f t="shared" si="122"/>
        <v>0.44777500000000003</v>
      </c>
      <c r="Y1191" s="2" t="s">
        <v>3256</v>
      </c>
      <c r="Z1191" s="2" t="s">
        <v>46</v>
      </c>
      <c r="AA1191" s="2" t="s">
        <v>47</v>
      </c>
      <c r="AB1191" s="2" t="s">
        <v>48</v>
      </c>
      <c r="AE1191" s="2">
        <f t="shared" si="119"/>
        <v>0</v>
      </c>
      <c r="AF1191" s="2">
        <v>6.6266999999999996</v>
      </c>
      <c r="AG1191" s="2">
        <v>12</v>
      </c>
      <c r="AI1191" s="2">
        <f t="shared" si="120"/>
        <v>0</v>
      </c>
      <c r="AJ1191" s="2">
        <f t="shared" si="121"/>
        <v>5.3733000000000004</v>
      </c>
      <c r="AK1191" s="5">
        <f t="shared" si="123"/>
        <v>0.44777500000000003</v>
      </c>
    </row>
    <row r="1192" spans="1:37" x14ac:dyDescent="0.2">
      <c r="A1192" s="2">
        <v>2025</v>
      </c>
      <c r="B1192" s="2">
        <v>7</v>
      </c>
      <c r="C1192" s="2" t="s">
        <v>695</v>
      </c>
      <c r="D1192" s="2" t="s">
        <v>109</v>
      </c>
      <c r="E1192" s="2" t="s">
        <v>39</v>
      </c>
      <c r="F1192" s="2">
        <v>503589950</v>
      </c>
      <c r="G1192" s="2" t="s">
        <v>41</v>
      </c>
      <c r="H1192" s="2" t="s">
        <v>615</v>
      </c>
      <c r="I1192" s="2" t="s">
        <v>696</v>
      </c>
      <c r="J1192" s="2">
        <v>913036545</v>
      </c>
      <c r="K1192" s="2" t="s">
        <v>178</v>
      </c>
      <c r="L1192" s="2" t="s">
        <v>41</v>
      </c>
      <c r="N1192" s="2" t="s">
        <v>1495</v>
      </c>
      <c r="O1192" s="2" t="s">
        <v>43</v>
      </c>
      <c r="P1192" s="2" t="s">
        <v>62</v>
      </c>
      <c r="Q1192" s="2" t="s">
        <v>63</v>
      </c>
      <c r="R1192" s="2">
        <v>2000</v>
      </c>
      <c r="S1192" s="2">
        <v>210</v>
      </c>
      <c r="T1192" s="2">
        <v>48.3</v>
      </c>
      <c r="U1192" s="2">
        <v>258.3</v>
      </c>
      <c r="V1192" s="2">
        <f>0.082*R1192</f>
        <v>164</v>
      </c>
      <c r="W1192" s="5">
        <f t="shared" si="122"/>
        <v>0.21904761904761905</v>
      </c>
      <c r="Y1192" s="2" t="s">
        <v>3256</v>
      </c>
      <c r="Z1192" s="2" t="s">
        <v>46</v>
      </c>
      <c r="AA1192" s="2" t="s">
        <v>61</v>
      </c>
      <c r="AB1192" s="2" t="s">
        <v>58</v>
      </c>
      <c r="AE1192" s="2">
        <f t="shared" si="119"/>
        <v>0</v>
      </c>
      <c r="AF1192" s="2">
        <v>8.1999999999999993</v>
      </c>
      <c r="AG1192" s="2">
        <v>13</v>
      </c>
      <c r="AI1192" s="2">
        <f t="shared" si="120"/>
        <v>0</v>
      </c>
      <c r="AJ1192" s="2">
        <f t="shared" si="121"/>
        <v>46</v>
      </c>
      <c r="AK1192" s="5">
        <f t="shared" si="123"/>
        <v>0.21904761904761905</v>
      </c>
    </row>
    <row r="1193" spans="1:37" x14ac:dyDescent="0.2">
      <c r="A1193" s="2">
        <v>2025</v>
      </c>
      <c r="B1193" s="2">
        <v>7</v>
      </c>
      <c r="C1193" s="2" t="s">
        <v>695</v>
      </c>
      <c r="D1193" s="2" t="s">
        <v>109</v>
      </c>
      <c r="E1193" s="2" t="s">
        <v>39</v>
      </c>
      <c r="F1193" s="2">
        <v>503589950</v>
      </c>
      <c r="G1193" s="2" t="s">
        <v>41</v>
      </c>
      <c r="H1193" s="2" t="s">
        <v>615</v>
      </c>
      <c r="I1193" s="2" t="s">
        <v>696</v>
      </c>
      <c r="J1193" s="2">
        <v>913036545</v>
      </c>
      <c r="K1193" s="2" t="s">
        <v>178</v>
      </c>
      <c r="L1193" s="2" t="s">
        <v>41</v>
      </c>
      <c r="N1193" s="2" t="s">
        <v>1494</v>
      </c>
      <c r="O1193" s="2" t="s">
        <v>85</v>
      </c>
      <c r="P1193" s="2" t="s">
        <v>275</v>
      </c>
      <c r="Q1193" s="2" t="s">
        <v>276</v>
      </c>
      <c r="R1193" s="2">
        <v>1</v>
      </c>
      <c r="S1193" s="2">
        <v>6</v>
      </c>
      <c r="T1193" s="2">
        <v>1.38</v>
      </c>
      <c r="U1193" s="2">
        <v>7.38</v>
      </c>
      <c r="V1193" s="2">
        <v>2.94</v>
      </c>
      <c r="W1193" s="5">
        <f t="shared" si="122"/>
        <v>0.51</v>
      </c>
      <c r="Y1193" s="2" t="s">
        <v>3256</v>
      </c>
      <c r="Z1193" s="2" t="s">
        <v>88</v>
      </c>
      <c r="AA1193" s="2" t="s">
        <v>91</v>
      </c>
      <c r="AB1193" s="2" t="s">
        <v>85</v>
      </c>
      <c r="AE1193" s="2">
        <f t="shared" si="119"/>
        <v>0</v>
      </c>
      <c r="AI1193" s="2">
        <f t="shared" si="120"/>
        <v>0</v>
      </c>
      <c r="AJ1193" s="2">
        <f t="shared" si="121"/>
        <v>3.06</v>
      </c>
      <c r="AK1193" s="5">
        <f t="shared" si="123"/>
        <v>0.51</v>
      </c>
    </row>
    <row r="1194" spans="1:37" x14ac:dyDescent="0.2">
      <c r="A1194" s="2">
        <v>2025</v>
      </c>
      <c r="B1194" s="2">
        <v>7</v>
      </c>
      <c r="C1194" s="2" t="s">
        <v>695</v>
      </c>
      <c r="D1194" s="2" t="s">
        <v>109</v>
      </c>
      <c r="E1194" s="2" t="s">
        <v>39</v>
      </c>
      <c r="F1194" s="2">
        <v>503589950</v>
      </c>
      <c r="G1194" s="2" t="s">
        <v>41</v>
      </c>
      <c r="H1194" s="2" t="s">
        <v>615</v>
      </c>
      <c r="I1194" s="2" t="s">
        <v>696</v>
      </c>
      <c r="J1194" s="2">
        <v>913036545</v>
      </c>
      <c r="K1194" s="2" t="s">
        <v>178</v>
      </c>
      <c r="L1194" s="2" t="s">
        <v>41</v>
      </c>
      <c r="N1194" s="2" t="s">
        <v>1494</v>
      </c>
      <c r="O1194" s="2" t="s">
        <v>85</v>
      </c>
      <c r="P1194" s="2" t="s">
        <v>277</v>
      </c>
      <c r="Q1194" s="2" t="s">
        <v>278</v>
      </c>
      <c r="R1194" s="2">
        <v>1</v>
      </c>
      <c r="S1194" s="2">
        <v>6</v>
      </c>
      <c r="T1194" s="2">
        <v>1.38</v>
      </c>
      <c r="U1194" s="2">
        <v>7.38</v>
      </c>
      <c r="W1194" s="5">
        <f t="shared" si="122"/>
        <v>1</v>
      </c>
      <c r="Y1194" s="2" t="s">
        <v>3256</v>
      </c>
      <c r="Z1194" s="2" t="s">
        <v>88</v>
      </c>
      <c r="AA1194" s="2" t="s">
        <v>91</v>
      </c>
      <c r="AB1194" s="2" t="s">
        <v>85</v>
      </c>
      <c r="AE1194" s="2">
        <f t="shared" si="119"/>
        <v>0</v>
      </c>
      <c r="AI1194" s="2">
        <f t="shared" si="120"/>
        <v>0</v>
      </c>
      <c r="AJ1194" s="2">
        <f t="shared" si="121"/>
        <v>6</v>
      </c>
      <c r="AK1194" s="5">
        <f t="shared" si="123"/>
        <v>1</v>
      </c>
    </row>
    <row r="1195" spans="1:37" x14ac:dyDescent="0.2">
      <c r="A1195" s="2">
        <v>2025</v>
      </c>
      <c r="B1195" s="2">
        <v>7</v>
      </c>
      <c r="C1195" s="2" t="s">
        <v>1496</v>
      </c>
      <c r="L1195" s="2" t="s">
        <v>40</v>
      </c>
      <c r="O1195" s="2" t="s">
        <v>40</v>
      </c>
      <c r="P1195" s="2" t="s">
        <v>141</v>
      </c>
      <c r="Q1195" s="2" t="s">
        <v>142</v>
      </c>
      <c r="R1195" s="2">
        <v>-1</v>
      </c>
      <c r="S1195" s="2">
        <v>-480</v>
      </c>
      <c r="T1195" s="2">
        <v>-110.4</v>
      </c>
      <c r="U1195" s="2">
        <v>-590.4</v>
      </c>
      <c r="W1195" s="5">
        <f t="shared" si="122"/>
        <v>1</v>
      </c>
      <c r="Y1195" s="2" t="s">
        <v>120</v>
      </c>
      <c r="Z1195" s="2" t="s">
        <v>143</v>
      </c>
      <c r="AE1195" s="2">
        <f t="shared" si="119"/>
        <v>0</v>
      </c>
      <c r="AI1195" s="2">
        <f t="shared" si="120"/>
        <v>0</v>
      </c>
      <c r="AJ1195" s="2">
        <f t="shared" si="121"/>
        <v>-480</v>
      </c>
      <c r="AK1195" s="5">
        <f t="shared" si="123"/>
        <v>1</v>
      </c>
    </row>
    <row r="1196" spans="1:37" x14ac:dyDescent="0.2">
      <c r="A1196" s="2">
        <v>2025</v>
      </c>
      <c r="B1196" s="2">
        <v>7</v>
      </c>
      <c r="C1196" s="2" t="s">
        <v>1497</v>
      </c>
      <c r="O1196" s="2" t="s">
        <v>283</v>
      </c>
      <c r="P1196" s="2" t="s">
        <v>532</v>
      </c>
      <c r="Q1196" s="2" t="s">
        <v>533</v>
      </c>
      <c r="R1196" s="2">
        <v>1</v>
      </c>
      <c r="S1196" s="2">
        <v>399</v>
      </c>
      <c r="T1196" s="2">
        <v>91.77000000000001</v>
      </c>
      <c r="U1196" s="2">
        <v>490.77</v>
      </c>
      <c r="W1196" s="5">
        <f t="shared" ref="W1196:W1216" si="124">(S1196-V1196)/S1196</f>
        <v>1</v>
      </c>
      <c r="AE1196" s="2">
        <f t="shared" si="119"/>
        <v>0</v>
      </c>
      <c r="AI1196" s="2">
        <f t="shared" si="120"/>
        <v>0</v>
      </c>
      <c r="AJ1196" s="2">
        <f t="shared" si="121"/>
        <v>399</v>
      </c>
      <c r="AK1196" s="5">
        <f t="shared" si="123"/>
        <v>1</v>
      </c>
    </row>
    <row r="1197" spans="1:37" x14ac:dyDescent="0.2">
      <c r="A1197" s="2">
        <v>2025</v>
      </c>
      <c r="B1197" s="2">
        <v>7</v>
      </c>
      <c r="C1197" s="2" t="s">
        <v>1354</v>
      </c>
      <c r="O1197" s="2" t="s">
        <v>73</v>
      </c>
      <c r="P1197" s="2" t="s">
        <v>919</v>
      </c>
      <c r="Q1197" s="2" t="s">
        <v>75</v>
      </c>
      <c r="R1197" s="2">
        <v>1</v>
      </c>
      <c r="S1197" s="2">
        <v>220</v>
      </c>
      <c r="T1197" s="2">
        <v>50.6</v>
      </c>
      <c r="U1197" s="2">
        <v>270.60000000000002</v>
      </c>
      <c r="W1197" s="5">
        <f t="shared" si="124"/>
        <v>1</v>
      </c>
      <c r="Y1197" s="2" t="s">
        <v>3256</v>
      </c>
      <c r="Z1197" s="2" t="s">
        <v>76</v>
      </c>
      <c r="AA1197" s="2" t="s">
        <v>77</v>
      </c>
      <c r="AB1197" s="2" t="s">
        <v>78</v>
      </c>
      <c r="AE1197" s="2">
        <f t="shared" si="119"/>
        <v>0</v>
      </c>
      <c r="AI1197" s="2">
        <f t="shared" si="120"/>
        <v>0</v>
      </c>
      <c r="AJ1197" s="2">
        <f t="shared" si="121"/>
        <v>220</v>
      </c>
      <c r="AK1197" s="5">
        <f t="shared" si="123"/>
        <v>1</v>
      </c>
    </row>
    <row r="1198" spans="1:37" x14ac:dyDescent="0.2">
      <c r="A1198" s="2">
        <v>2025</v>
      </c>
      <c r="B1198" s="2">
        <v>7</v>
      </c>
      <c r="C1198" s="2" t="s">
        <v>1354</v>
      </c>
      <c r="O1198" s="2" t="s">
        <v>94</v>
      </c>
      <c r="P1198" s="2" t="s">
        <v>95</v>
      </c>
      <c r="Q1198" s="2" t="s">
        <v>96</v>
      </c>
      <c r="R1198" s="2">
        <v>1</v>
      </c>
      <c r="S1198" s="2">
        <v>1.1399999999999999</v>
      </c>
      <c r="T1198" s="2">
        <v>0.26219999999999999</v>
      </c>
      <c r="U1198" s="2">
        <v>1.4021999999999999</v>
      </c>
      <c r="V1198" s="2">
        <v>1.1399999999999999</v>
      </c>
      <c r="W1198" s="5">
        <f t="shared" si="124"/>
        <v>0</v>
      </c>
      <c r="Y1198" s="2" t="s">
        <v>3256</v>
      </c>
      <c r="Z1198" s="2" t="s">
        <v>97</v>
      </c>
      <c r="AA1198" s="2" t="s">
        <v>77</v>
      </c>
      <c r="AB1198" s="2" t="s">
        <v>94</v>
      </c>
      <c r="AE1198" s="2">
        <f t="shared" si="119"/>
        <v>0</v>
      </c>
      <c r="AI1198" s="2">
        <f t="shared" si="120"/>
        <v>0</v>
      </c>
      <c r="AJ1198" s="2">
        <f t="shared" si="121"/>
        <v>0</v>
      </c>
      <c r="AK1198" s="5">
        <f t="shared" si="123"/>
        <v>0</v>
      </c>
    </row>
    <row r="1199" spans="1:37" x14ac:dyDescent="0.2">
      <c r="A1199" s="2">
        <v>2025</v>
      </c>
      <c r="B1199" s="2">
        <v>7</v>
      </c>
      <c r="C1199" s="2" t="s">
        <v>699</v>
      </c>
      <c r="D1199" s="2" t="s">
        <v>38</v>
      </c>
      <c r="E1199" s="2" t="s">
        <v>39</v>
      </c>
      <c r="F1199" s="2">
        <v>508574358</v>
      </c>
      <c r="G1199" s="2" t="s">
        <v>41</v>
      </c>
      <c r="H1199" s="2" t="s">
        <v>700</v>
      </c>
      <c r="I1199" s="2" t="s">
        <v>701</v>
      </c>
      <c r="J1199" s="2">
        <v>917295518</v>
      </c>
      <c r="K1199" s="2" t="s">
        <v>178</v>
      </c>
      <c r="L1199" s="2" t="s">
        <v>41</v>
      </c>
      <c r="O1199" s="2" t="s">
        <v>43</v>
      </c>
      <c r="P1199" s="2" t="s">
        <v>161</v>
      </c>
      <c r="Q1199" s="2" t="s">
        <v>162</v>
      </c>
      <c r="R1199" s="2">
        <v>1</v>
      </c>
      <c r="S1199" s="2">
        <v>7.8</v>
      </c>
      <c r="T1199" s="2">
        <v>1.794</v>
      </c>
      <c r="U1199" s="2">
        <v>9.5939999999999994</v>
      </c>
      <c r="V1199" s="2">
        <f>3.7358*R1199</f>
        <v>3.7357999999999998</v>
      </c>
      <c r="W1199" s="5">
        <f t="shared" si="124"/>
        <v>0.52105128205128204</v>
      </c>
      <c r="Y1199" s="2" t="s">
        <v>3256</v>
      </c>
      <c r="Z1199" s="2" t="s">
        <v>46</v>
      </c>
      <c r="AA1199" s="2" t="s">
        <v>47</v>
      </c>
      <c r="AB1199" s="2" t="s">
        <v>48</v>
      </c>
      <c r="AE1199" s="2">
        <f t="shared" si="119"/>
        <v>0</v>
      </c>
      <c r="AF1199" s="2">
        <v>3.7357999999999998</v>
      </c>
      <c r="AG1199" s="2">
        <v>9</v>
      </c>
      <c r="AI1199" s="2">
        <f t="shared" si="120"/>
        <v>0</v>
      </c>
      <c r="AJ1199" s="2">
        <f t="shared" si="121"/>
        <v>4.0641999999999996</v>
      </c>
      <c r="AK1199" s="5">
        <f t="shared" si="123"/>
        <v>0.52105128205128204</v>
      </c>
    </row>
    <row r="1200" spans="1:37" x14ac:dyDescent="0.2">
      <c r="A1200" s="2">
        <v>2025</v>
      </c>
      <c r="B1200" s="2">
        <v>7</v>
      </c>
      <c r="C1200" s="2" t="s">
        <v>699</v>
      </c>
      <c r="D1200" s="2" t="s">
        <v>38</v>
      </c>
      <c r="E1200" s="2" t="s">
        <v>39</v>
      </c>
      <c r="F1200" s="2">
        <v>508574358</v>
      </c>
      <c r="G1200" s="2" t="s">
        <v>41</v>
      </c>
      <c r="H1200" s="2" t="s">
        <v>700</v>
      </c>
      <c r="I1200" s="2" t="s">
        <v>701</v>
      </c>
      <c r="J1200" s="2">
        <v>917295518</v>
      </c>
      <c r="K1200" s="2" t="s">
        <v>178</v>
      </c>
      <c r="L1200" s="2" t="s">
        <v>41</v>
      </c>
      <c r="O1200" s="2" t="s">
        <v>43</v>
      </c>
      <c r="P1200" s="2" t="s">
        <v>233</v>
      </c>
      <c r="Q1200" s="2" t="s">
        <v>234</v>
      </c>
      <c r="R1200" s="2">
        <v>1</v>
      </c>
      <c r="S1200" s="2">
        <v>12</v>
      </c>
      <c r="T1200" s="2">
        <v>2.76</v>
      </c>
      <c r="U1200" s="2">
        <v>14.76</v>
      </c>
      <c r="V1200" s="2">
        <v>5.9066999999999998</v>
      </c>
      <c r="W1200" s="5">
        <f t="shared" si="124"/>
        <v>0.50777499999999998</v>
      </c>
      <c r="Y1200" s="2" t="s">
        <v>3256</v>
      </c>
      <c r="Z1200" s="2" t="s">
        <v>46</v>
      </c>
      <c r="AA1200" s="2" t="s">
        <v>57</v>
      </c>
      <c r="AB1200" s="2" t="s">
        <v>58</v>
      </c>
      <c r="AE1200" s="2">
        <f t="shared" si="119"/>
        <v>0</v>
      </c>
      <c r="AF1200" s="2">
        <v>5.9066999999999998</v>
      </c>
      <c r="AG1200" s="2">
        <v>12.6</v>
      </c>
      <c r="AI1200" s="2">
        <f t="shared" si="120"/>
        <v>0</v>
      </c>
      <c r="AJ1200" s="2">
        <f t="shared" si="121"/>
        <v>6.0933000000000002</v>
      </c>
      <c r="AK1200" s="5">
        <f t="shared" si="123"/>
        <v>0.50777499999999998</v>
      </c>
    </row>
    <row r="1201" spans="1:37" x14ac:dyDescent="0.2">
      <c r="A1201" s="2">
        <v>2025</v>
      </c>
      <c r="B1201" s="2">
        <v>7</v>
      </c>
      <c r="C1201" s="2" t="s">
        <v>699</v>
      </c>
      <c r="D1201" s="2" t="s">
        <v>38</v>
      </c>
      <c r="E1201" s="2" t="s">
        <v>39</v>
      </c>
      <c r="F1201" s="2">
        <v>508574358</v>
      </c>
      <c r="G1201" s="2" t="s">
        <v>41</v>
      </c>
      <c r="H1201" s="2" t="s">
        <v>700</v>
      </c>
      <c r="I1201" s="2" t="s">
        <v>701</v>
      </c>
      <c r="J1201" s="2">
        <v>917295518</v>
      </c>
      <c r="K1201" s="2" t="s">
        <v>178</v>
      </c>
      <c r="L1201" s="2" t="s">
        <v>41</v>
      </c>
      <c r="O1201" s="2" t="s">
        <v>43</v>
      </c>
      <c r="P1201" s="2" t="s">
        <v>235</v>
      </c>
      <c r="Q1201" s="2" t="s">
        <v>236</v>
      </c>
      <c r="R1201" s="2">
        <v>1</v>
      </c>
      <c r="S1201" s="2">
        <v>13.2</v>
      </c>
      <c r="T1201" s="2">
        <v>3.036</v>
      </c>
      <c r="U1201" s="2">
        <v>16.236000000000001</v>
      </c>
      <c r="V1201" s="2">
        <v>7.2217000000000002</v>
      </c>
      <c r="W1201" s="5">
        <f t="shared" si="124"/>
        <v>0.45290151515151511</v>
      </c>
      <c r="Y1201" s="2" t="s">
        <v>3256</v>
      </c>
      <c r="Z1201" s="2" t="s">
        <v>46</v>
      </c>
      <c r="AA1201" s="2" t="s">
        <v>57</v>
      </c>
      <c r="AB1201" s="2" t="s">
        <v>58</v>
      </c>
      <c r="AE1201" s="2">
        <f t="shared" si="119"/>
        <v>0</v>
      </c>
      <c r="AF1201" s="2">
        <v>7.2217000000000002</v>
      </c>
      <c r="AG1201" s="2">
        <v>14.4</v>
      </c>
      <c r="AI1201" s="2">
        <f t="shared" si="120"/>
        <v>0</v>
      </c>
      <c r="AJ1201" s="2">
        <f t="shared" si="121"/>
        <v>5.9782999999999991</v>
      </c>
      <c r="AK1201" s="5">
        <f t="shared" si="123"/>
        <v>0.45290151515151511</v>
      </c>
    </row>
    <row r="1202" spans="1:37" x14ac:dyDescent="0.2">
      <c r="A1202" s="2">
        <v>2025</v>
      </c>
      <c r="B1202" s="2">
        <v>7</v>
      </c>
      <c r="C1202" s="2" t="s">
        <v>699</v>
      </c>
      <c r="D1202" s="2" t="s">
        <v>38</v>
      </c>
      <c r="E1202" s="2" t="s">
        <v>39</v>
      </c>
      <c r="F1202" s="2">
        <v>508574358</v>
      </c>
      <c r="G1202" s="2" t="s">
        <v>41</v>
      </c>
      <c r="H1202" s="2" t="s">
        <v>700</v>
      </c>
      <c r="I1202" s="2" t="s">
        <v>701</v>
      </c>
      <c r="J1202" s="2">
        <v>917295518</v>
      </c>
      <c r="K1202" s="2" t="s">
        <v>178</v>
      </c>
      <c r="L1202" s="2" t="s">
        <v>41</v>
      </c>
      <c r="O1202" s="2" t="s">
        <v>43</v>
      </c>
      <c r="P1202" s="2" t="s">
        <v>237</v>
      </c>
      <c r="Q1202" s="2" t="s">
        <v>238</v>
      </c>
      <c r="R1202" s="2">
        <v>1</v>
      </c>
      <c r="S1202" s="2">
        <v>16.2</v>
      </c>
      <c r="T1202" s="2">
        <v>3.726</v>
      </c>
      <c r="U1202" s="2">
        <v>19.925999999999998</v>
      </c>
      <c r="W1202" s="5">
        <f t="shared" si="124"/>
        <v>1</v>
      </c>
      <c r="Y1202" s="2" t="s">
        <v>3256</v>
      </c>
      <c r="Z1202" s="2" t="s">
        <v>46</v>
      </c>
      <c r="AA1202" s="2" t="s">
        <v>57</v>
      </c>
      <c r="AB1202" s="2" t="s">
        <v>58</v>
      </c>
      <c r="AE1202" s="2">
        <f t="shared" si="119"/>
        <v>0</v>
      </c>
      <c r="AI1202" s="2">
        <f t="shared" si="120"/>
        <v>0</v>
      </c>
      <c r="AJ1202" s="2">
        <f t="shared" si="121"/>
        <v>16.2</v>
      </c>
      <c r="AK1202" s="5">
        <f t="shared" si="123"/>
        <v>1</v>
      </c>
    </row>
    <row r="1203" spans="1:37" x14ac:dyDescent="0.2">
      <c r="A1203" s="2">
        <v>2025</v>
      </c>
      <c r="B1203" s="2">
        <v>7</v>
      </c>
      <c r="C1203" s="2" t="s">
        <v>699</v>
      </c>
      <c r="D1203" s="2" t="s">
        <v>38</v>
      </c>
      <c r="E1203" s="2" t="s">
        <v>39</v>
      </c>
      <c r="F1203" s="2">
        <v>508574358</v>
      </c>
      <c r="G1203" s="2" t="s">
        <v>41</v>
      </c>
      <c r="H1203" s="2" t="s">
        <v>700</v>
      </c>
      <c r="I1203" s="2" t="s">
        <v>701</v>
      </c>
      <c r="J1203" s="2">
        <v>917295518</v>
      </c>
      <c r="K1203" s="2" t="s">
        <v>178</v>
      </c>
      <c r="L1203" s="2" t="s">
        <v>41</v>
      </c>
      <c r="O1203" s="2" t="s">
        <v>43</v>
      </c>
      <c r="P1203" s="2" t="s">
        <v>55</v>
      </c>
      <c r="Q1203" s="2" t="s">
        <v>56</v>
      </c>
      <c r="R1203" s="2">
        <v>2</v>
      </c>
      <c r="S1203" s="2">
        <v>36</v>
      </c>
      <c r="T1203" s="2">
        <v>8.2800000000000011</v>
      </c>
      <c r="U1203" s="2">
        <v>44.28</v>
      </c>
      <c r="V1203" s="2">
        <f>10.6*R1203</f>
        <v>21.2</v>
      </c>
      <c r="W1203" s="5">
        <f t="shared" si="124"/>
        <v>0.41111111111111115</v>
      </c>
      <c r="Y1203" s="2" t="s">
        <v>3256</v>
      </c>
      <c r="Z1203" s="2" t="s">
        <v>46</v>
      </c>
      <c r="AA1203" s="2" t="s">
        <v>57</v>
      </c>
      <c r="AB1203" s="2" t="s">
        <v>58</v>
      </c>
      <c r="AE1203" s="2">
        <f t="shared" si="119"/>
        <v>0</v>
      </c>
      <c r="AF1203" s="2">
        <v>10.6</v>
      </c>
      <c r="AG1203" s="2">
        <v>18</v>
      </c>
      <c r="AI1203" s="2">
        <f t="shared" si="120"/>
        <v>0</v>
      </c>
      <c r="AJ1203" s="2">
        <f t="shared" si="121"/>
        <v>14.8</v>
      </c>
      <c r="AK1203" s="5">
        <f t="shared" si="123"/>
        <v>0.41111111111111115</v>
      </c>
    </row>
    <row r="1204" spans="1:37" x14ac:dyDescent="0.2">
      <c r="A1204" s="2">
        <v>2025</v>
      </c>
      <c r="B1204" s="2">
        <v>7</v>
      </c>
      <c r="C1204" s="2" t="s">
        <v>699</v>
      </c>
      <c r="D1204" s="2" t="s">
        <v>38</v>
      </c>
      <c r="E1204" s="2" t="s">
        <v>39</v>
      </c>
      <c r="F1204" s="2">
        <v>508574358</v>
      </c>
      <c r="G1204" s="2" t="s">
        <v>41</v>
      </c>
      <c r="H1204" s="2" t="s">
        <v>700</v>
      </c>
      <c r="I1204" s="2" t="s">
        <v>701</v>
      </c>
      <c r="J1204" s="2">
        <v>917295518</v>
      </c>
      <c r="K1204" s="2" t="s">
        <v>178</v>
      </c>
      <c r="L1204" s="2" t="s">
        <v>41</v>
      </c>
      <c r="O1204" s="2" t="s">
        <v>43</v>
      </c>
      <c r="P1204" s="2" t="s">
        <v>62</v>
      </c>
      <c r="Q1204" s="2" t="s">
        <v>63</v>
      </c>
      <c r="R1204" s="2">
        <v>200</v>
      </c>
      <c r="S1204" s="2">
        <v>26</v>
      </c>
      <c r="T1204" s="2">
        <v>5.98</v>
      </c>
      <c r="U1204" s="2">
        <v>31.98</v>
      </c>
      <c r="V1204" s="2">
        <f>0.082*R1204</f>
        <v>16.400000000000002</v>
      </c>
      <c r="W1204" s="5">
        <f t="shared" si="124"/>
        <v>0.36923076923076914</v>
      </c>
      <c r="Y1204" s="2" t="s">
        <v>3256</v>
      </c>
      <c r="Z1204" s="2" t="s">
        <v>46</v>
      </c>
      <c r="AA1204" s="2" t="s">
        <v>61</v>
      </c>
      <c r="AB1204" s="2" t="s">
        <v>58</v>
      </c>
      <c r="AE1204" s="2">
        <f t="shared" si="119"/>
        <v>0</v>
      </c>
      <c r="AF1204" s="2">
        <v>8.1999999999999993</v>
      </c>
      <c r="AG1204" s="2">
        <v>13</v>
      </c>
      <c r="AI1204" s="2">
        <f t="shared" si="120"/>
        <v>0</v>
      </c>
      <c r="AJ1204" s="2">
        <f t="shared" si="121"/>
        <v>9.5999999999999979</v>
      </c>
      <c r="AK1204" s="5">
        <f t="shared" si="123"/>
        <v>0.36923076923076914</v>
      </c>
    </row>
    <row r="1205" spans="1:37" x14ac:dyDescent="0.2">
      <c r="A1205" s="2">
        <v>2025</v>
      </c>
      <c r="B1205" s="2">
        <v>7</v>
      </c>
      <c r="C1205" s="2" t="s">
        <v>1498</v>
      </c>
      <c r="O1205" s="2" t="s">
        <v>115</v>
      </c>
      <c r="P1205" s="2" t="s">
        <v>375</v>
      </c>
      <c r="Q1205" s="2" t="s">
        <v>376</v>
      </c>
      <c r="R1205" s="2">
        <v>1</v>
      </c>
      <c r="S1205" s="2">
        <v>45.07</v>
      </c>
      <c r="T1205" s="2">
        <v>10.366099999999999</v>
      </c>
      <c r="U1205" s="2">
        <v>55.436100000000003</v>
      </c>
      <c r="W1205" s="5">
        <f t="shared" si="124"/>
        <v>1</v>
      </c>
      <c r="AE1205" s="2">
        <f t="shared" si="119"/>
        <v>0</v>
      </c>
      <c r="AI1205" s="2">
        <f t="shared" si="120"/>
        <v>0</v>
      </c>
      <c r="AJ1205" s="2">
        <f t="shared" si="121"/>
        <v>45.07</v>
      </c>
      <c r="AK1205" s="5">
        <f t="shared" si="123"/>
        <v>1</v>
      </c>
    </row>
    <row r="1206" spans="1:37" x14ac:dyDescent="0.2">
      <c r="A1206" s="2">
        <v>2025</v>
      </c>
      <c r="B1206" s="2">
        <v>7</v>
      </c>
      <c r="C1206" s="2" t="s">
        <v>1498</v>
      </c>
      <c r="O1206" s="2" t="s">
        <v>43</v>
      </c>
      <c r="P1206" s="2" t="s">
        <v>62</v>
      </c>
      <c r="Q1206" s="2" t="s">
        <v>63</v>
      </c>
      <c r="R1206" s="2">
        <v>200</v>
      </c>
      <c r="S1206" s="2">
        <v>26</v>
      </c>
      <c r="T1206" s="2">
        <v>5.98</v>
      </c>
      <c r="U1206" s="2">
        <v>31.98</v>
      </c>
      <c r="V1206" s="2">
        <f>0.082*R1206</f>
        <v>16.400000000000002</v>
      </c>
      <c r="W1206" s="5">
        <f t="shared" si="124"/>
        <v>0.36923076923076914</v>
      </c>
      <c r="Y1206" s="2" t="s">
        <v>3256</v>
      </c>
      <c r="Z1206" s="2" t="s">
        <v>46</v>
      </c>
      <c r="AA1206" s="2" t="s">
        <v>61</v>
      </c>
      <c r="AB1206" s="2" t="s">
        <v>58</v>
      </c>
      <c r="AE1206" s="2">
        <f t="shared" si="119"/>
        <v>0</v>
      </c>
      <c r="AF1206" s="2">
        <v>8.1999999999999993</v>
      </c>
      <c r="AG1206" s="2">
        <v>13</v>
      </c>
      <c r="AI1206" s="2">
        <f t="shared" si="120"/>
        <v>0</v>
      </c>
      <c r="AJ1206" s="2">
        <f t="shared" si="121"/>
        <v>9.5999999999999979</v>
      </c>
      <c r="AK1206" s="5">
        <f t="shared" si="123"/>
        <v>0.36923076923076914</v>
      </c>
    </row>
    <row r="1207" spans="1:37" x14ac:dyDescent="0.2">
      <c r="A1207" s="2">
        <v>2025</v>
      </c>
      <c r="B1207" s="2">
        <v>7</v>
      </c>
      <c r="C1207" s="2" t="s">
        <v>1187</v>
      </c>
      <c r="D1207" s="2" t="s">
        <v>38</v>
      </c>
      <c r="E1207" s="2" t="s">
        <v>39</v>
      </c>
      <c r="F1207" s="2">
        <v>502089075</v>
      </c>
      <c r="G1207" s="2" t="s">
        <v>41</v>
      </c>
      <c r="H1207" s="2" t="s">
        <v>1188</v>
      </c>
      <c r="I1207" s="2" t="s">
        <v>1189</v>
      </c>
      <c r="K1207" s="2" t="s">
        <v>465</v>
      </c>
      <c r="L1207" s="2" t="s">
        <v>41</v>
      </c>
      <c r="N1207" s="2" t="s">
        <v>1499</v>
      </c>
      <c r="O1207" s="2" t="s">
        <v>43</v>
      </c>
      <c r="P1207" s="2" t="s">
        <v>235</v>
      </c>
      <c r="Q1207" s="2" t="s">
        <v>236</v>
      </c>
      <c r="R1207" s="2">
        <v>1</v>
      </c>
      <c r="S1207" s="2">
        <v>13.2</v>
      </c>
      <c r="T1207" s="2">
        <v>3.036</v>
      </c>
      <c r="U1207" s="2">
        <v>16.236000000000001</v>
      </c>
      <c r="V1207" s="2">
        <v>7.2217000000000002</v>
      </c>
      <c r="W1207" s="5">
        <f t="shared" si="124"/>
        <v>0.45290151515151511</v>
      </c>
      <c r="Y1207" s="2" t="s">
        <v>3256</v>
      </c>
      <c r="Z1207" s="2" t="s">
        <v>46</v>
      </c>
      <c r="AA1207" s="2" t="s">
        <v>57</v>
      </c>
      <c r="AB1207" s="2" t="s">
        <v>58</v>
      </c>
      <c r="AE1207" s="2">
        <f t="shared" si="119"/>
        <v>0</v>
      </c>
      <c r="AF1207" s="2">
        <v>7.2217000000000002</v>
      </c>
      <c r="AG1207" s="2">
        <v>14.4</v>
      </c>
      <c r="AI1207" s="2">
        <f t="shared" si="120"/>
        <v>0</v>
      </c>
      <c r="AJ1207" s="2">
        <f t="shared" si="121"/>
        <v>5.9782999999999991</v>
      </c>
      <c r="AK1207" s="5">
        <f t="shared" si="123"/>
        <v>0.45290151515151511</v>
      </c>
    </row>
    <row r="1208" spans="1:37" x14ac:dyDescent="0.2">
      <c r="A1208" s="2">
        <v>2025</v>
      </c>
      <c r="B1208" s="2">
        <v>7</v>
      </c>
      <c r="C1208" s="2" t="s">
        <v>1187</v>
      </c>
      <c r="D1208" s="2" t="s">
        <v>38</v>
      </c>
      <c r="E1208" s="2" t="s">
        <v>39</v>
      </c>
      <c r="F1208" s="2">
        <v>502089075</v>
      </c>
      <c r="G1208" s="2" t="s">
        <v>41</v>
      </c>
      <c r="H1208" s="2" t="s">
        <v>1188</v>
      </c>
      <c r="I1208" s="2" t="s">
        <v>1189</v>
      </c>
      <c r="K1208" s="2" t="s">
        <v>465</v>
      </c>
      <c r="L1208" s="2" t="s">
        <v>41</v>
      </c>
      <c r="N1208" s="2" t="s">
        <v>1499</v>
      </c>
      <c r="O1208" s="2" t="s">
        <v>43</v>
      </c>
      <c r="P1208" s="2" t="s">
        <v>241</v>
      </c>
      <c r="Q1208" s="2" t="s">
        <v>242</v>
      </c>
      <c r="R1208" s="2">
        <v>1</v>
      </c>
      <c r="S1208" s="2">
        <v>24</v>
      </c>
      <c r="T1208" s="2">
        <v>5.52</v>
      </c>
      <c r="U1208" s="2">
        <v>29.52</v>
      </c>
      <c r="W1208" s="5">
        <f t="shared" si="124"/>
        <v>1</v>
      </c>
      <c r="Y1208" s="2" t="s">
        <v>3256</v>
      </c>
      <c r="Z1208" s="2" t="s">
        <v>46</v>
      </c>
      <c r="AA1208" s="2" t="s">
        <v>57</v>
      </c>
      <c r="AB1208" s="2" t="s">
        <v>58</v>
      </c>
      <c r="AE1208" s="2">
        <f t="shared" si="119"/>
        <v>0</v>
      </c>
      <c r="AI1208" s="2">
        <f t="shared" si="120"/>
        <v>0</v>
      </c>
      <c r="AJ1208" s="2">
        <f t="shared" si="121"/>
        <v>24</v>
      </c>
      <c r="AK1208" s="5">
        <f t="shared" si="123"/>
        <v>1</v>
      </c>
    </row>
    <row r="1209" spans="1:37" x14ac:dyDescent="0.2">
      <c r="A1209" s="2">
        <v>2025</v>
      </c>
      <c r="B1209" s="2">
        <v>7</v>
      </c>
      <c r="C1209" s="2" t="s">
        <v>1187</v>
      </c>
      <c r="D1209" s="2" t="s">
        <v>38</v>
      </c>
      <c r="E1209" s="2" t="s">
        <v>39</v>
      </c>
      <c r="F1209" s="2">
        <v>502089075</v>
      </c>
      <c r="G1209" s="2" t="s">
        <v>41</v>
      </c>
      <c r="H1209" s="2" t="s">
        <v>1188</v>
      </c>
      <c r="I1209" s="2" t="s">
        <v>1189</v>
      </c>
      <c r="K1209" s="2" t="s">
        <v>465</v>
      </c>
      <c r="L1209" s="2" t="s">
        <v>41</v>
      </c>
      <c r="N1209" s="2" t="s">
        <v>1499</v>
      </c>
      <c r="O1209" s="2" t="s">
        <v>43</v>
      </c>
      <c r="P1209" s="2" t="s">
        <v>243</v>
      </c>
      <c r="Q1209" s="2" t="s">
        <v>244</v>
      </c>
      <c r="R1209" s="2">
        <v>1</v>
      </c>
      <c r="S1209" s="2">
        <v>28.8</v>
      </c>
      <c r="T1209" s="2">
        <v>6.6240000000000014</v>
      </c>
      <c r="U1209" s="2">
        <v>35.423999999999999</v>
      </c>
      <c r="W1209" s="5">
        <f t="shared" si="124"/>
        <v>1</v>
      </c>
      <c r="Y1209" s="2" t="s">
        <v>3256</v>
      </c>
      <c r="Z1209" s="2" t="s">
        <v>46</v>
      </c>
      <c r="AA1209" s="2" t="s">
        <v>57</v>
      </c>
      <c r="AB1209" s="2" t="s">
        <v>58</v>
      </c>
      <c r="AE1209" s="2">
        <f t="shared" si="119"/>
        <v>0</v>
      </c>
      <c r="AI1209" s="2">
        <f t="shared" si="120"/>
        <v>0</v>
      </c>
      <c r="AJ1209" s="2">
        <f t="shared" si="121"/>
        <v>28.8</v>
      </c>
      <c r="AK1209" s="5">
        <f t="shared" si="123"/>
        <v>1</v>
      </c>
    </row>
    <row r="1210" spans="1:37" x14ac:dyDescent="0.2">
      <c r="A1210" s="2">
        <v>2025</v>
      </c>
      <c r="B1210" s="2">
        <v>7</v>
      </c>
      <c r="C1210" s="2" t="s">
        <v>1187</v>
      </c>
      <c r="D1210" s="2" t="s">
        <v>38</v>
      </c>
      <c r="E1210" s="2" t="s">
        <v>39</v>
      </c>
      <c r="F1210" s="2">
        <v>502089075</v>
      </c>
      <c r="G1210" s="2" t="s">
        <v>41</v>
      </c>
      <c r="H1210" s="2" t="s">
        <v>1188</v>
      </c>
      <c r="I1210" s="2" t="s">
        <v>1189</v>
      </c>
      <c r="K1210" s="2" t="s">
        <v>465</v>
      </c>
      <c r="L1210" s="2" t="s">
        <v>41</v>
      </c>
      <c r="N1210" s="2" t="s">
        <v>1499</v>
      </c>
      <c r="O1210" s="2" t="s">
        <v>43</v>
      </c>
      <c r="P1210" s="2" t="s">
        <v>245</v>
      </c>
      <c r="Q1210" s="2" t="s">
        <v>246</v>
      </c>
      <c r="R1210" s="2">
        <v>1</v>
      </c>
      <c r="S1210" s="2">
        <v>16.8</v>
      </c>
      <c r="T1210" s="2">
        <v>3.8639999999999999</v>
      </c>
      <c r="U1210" s="2">
        <v>20.664000000000001</v>
      </c>
      <c r="W1210" s="5">
        <f t="shared" si="124"/>
        <v>1</v>
      </c>
      <c r="Y1210" s="2" t="s">
        <v>3256</v>
      </c>
      <c r="Z1210" s="2" t="s">
        <v>46</v>
      </c>
      <c r="AA1210" s="2" t="s">
        <v>57</v>
      </c>
      <c r="AB1210" s="2" t="s">
        <v>58</v>
      </c>
      <c r="AE1210" s="2">
        <f t="shared" si="119"/>
        <v>0</v>
      </c>
      <c r="AI1210" s="2">
        <f t="shared" si="120"/>
        <v>0</v>
      </c>
      <c r="AJ1210" s="2">
        <f t="shared" si="121"/>
        <v>16.8</v>
      </c>
      <c r="AK1210" s="5">
        <f t="shared" si="123"/>
        <v>1</v>
      </c>
    </row>
    <row r="1211" spans="1:37" x14ac:dyDescent="0.2">
      <c r="A1211" s="2">
        <v>2025</v>
      </c>
      <c r="B1211" s="2">
        <v>7</v>
      </c>
      <c r="C1211" s="2" t="s">
        <v>1187</v>
      </c>
      <c r="D1211" s="2" t="s">
        <v>38</v>
      </c>
      <c r="E1211" s="2" t="s">
        <v>39</v>
      </c>
      <c r="F1211" s="2">
        <v>502089075</v>
      </c>
      <c r="G1211" s="2" t="s">
        <v>41</v>
      </c>
      <c r="H1211" s="2" t="s">
        <v>1188</v>
      </c>
      <c r="I1211" s="2" t="s">
        <v>1189</v>
      </c>
      <c r="K1211" s="2" t="s">
        <v>465</v>
      </c>
      <c r="L1211" s="2" t="s">
        <v>41</v>
      </c>
      <c r="N1211" s="2" t="s">
        <v>1499</v>
      </c>
      <c r="O1211" s="2" t="s">
        <v>43</v>
      </c>
      <c r="P1211" s="2" t="s">
        <v>247</v>
      </c>
      <c r="Q1211" s="2" t="s">
        <v>248</v>
      </c>
      <c r="R1211" s="2">
        <v>1</v>
      </c>
      <c r="S1211" s="2">
        <v>19.2</v>
      </c>
      <c r="T1211" s="2">
        <v>4.4160000000000004</v>
      </c>
      <c r="U1211" s="2">
        <v>23.616</v>
      </c>
      <c r="W1211" s="5">
        <f t="shared" si="124"/>
        <v>1</v>
      </c>
      <c r="Y1211" s="2" t="s">
        <v>3256</v>
      </c>
      <c r="Z1211" s="2" t="s">
        <v>46</v>
      </c>
      <c r="AA1211" s="2" t="s">
        <v>57</v>
      </c>
      <c r="AB1211" s="2" t="s">
        <v>58</v>
      </c>
      <c r="AE1211" s="2">
        <f t="shared" si="119"/>
        <v>0</v>
      </c>
      <c r="AI1211" s="2">
        <f t="shared" si="120"/>
        <v>0</v>
      </c>
      <c r="AJ1211" s="2">
        <f t="shared" si="121"/>
        <v>19.2</v>
      </c>
      <c r="AK1211" s="5">
        <f t="shared" si="123"/>
        <v>1</v>
      </c>
    </row>
    <row r="1212" spans="1:37" x14ac:dyDescent="0.2">
      <c r="A1212" s="2">
        <v>2025</v>
      </c>
      <c r="B1212" s="2">
        <v>7</v>
      </c>
      <c r="C1212" s="2" t="s">
        <v>1187</v>
      </c>
      <c r="D1212" s="2" t="s">
        <v>38</v>
      </c>
      <c r="E1212" s="2" t="s">
        <v>39</v>
      </c>
      <c r="F1212" s="2">
        <v>502089075</v>
      </c>
      <c r="G1212" s="2" t="s">
        <v>41</v>
      </c>
      <c r="H1212" s="2" t="s">
        <v>1188</v>
      </c>
      <c r="I1212" s="2" t="s">
        <v>1189</v>
      </c>
      <c r="K1212" s="2" t="s">
        <v>465</v>
      </c>
      <c r="L1212" s="2" t="s">
        <v>41</v>
      </c>
      <c r="N1212" s="2" t="s">
        <v>1499</v>
      </c>
      <c r="O1212" s="2" t="s">
        <v>43</v>
      </c>
      <c r="P1212" s="2" t="s">
        <v>286</v>
      </c>
      <c r="Q1212" s="2" t="s">
        <v>287</v>
      </c>
      <c r="R1212" s="2">
        <v>1</v>
      </c>
      <c r="S1212" s="2">
        <v>22.2</v>
      </c>
      <c r="T1212" s="2">
        <v>5.1059999999999999</v>
      </c>
      <c r="U1212" s="2">
        <v>27.306000000000001</v>
      </c>
      <c r="W1212" s="5">
        <f t="shared" si="124"/>
        <v>1</v>
      </c>
      <c r="Y1212" s="2" t="s">
        <v>3256</v>
      </c>
      <c r="Z1212" s="2" t="s">
        <v>46</v>
      </c>
      <c r="AA1212" s="2" t="s">
        <v>57</v>
      </c>
      <c r="AB1212" s="2" t="s">
        <v>58</v>
      </c>
      <c r="AE1212" s="2">
        <f t="shared" si="119"/>
        <v>0</v>
      </c>
      <c r="AI1212" s="2">
        <f t="shared" si="120"/>
        <v>0</v>
      </c>
      <c r="AJ1212" s="2">
        <f t="shared" si="121"/>
        <v>22.2</v>
      </c>
      <c r="AK1212" s="5">
        <f t="shared" si="123"/>
        <v>1</v>
      </c>
    </row>
    <row r="1213" spans="1:37" x14ac:dyDescent="0.2">
      <c r="A1213" s="2">
        <v>2025</v>
      </c>
      <c r="B1213" s="2">
        <v>7</v>
      </c>
      <c r="C1213" s="2" t="s">
        <v>1187</v>
      </c>
      <c r="D1213" s="2" t="s">
        <v>38</v>
      </c>
      <c r="E1213" s="2" t="s">
        <v>39</v>
      </c>
      <c r="F1213" s="2">
        <v>502089075</v>
      </c>
      <c r="G1213" s="2" t="s">
        <v>41</v>
      </c>
      <c r="H1213" s="2" t="s">
        <v>1188</v>
      </c>
      <c r="I1213" s="2" t="s">
        <v>1189</v>
      </c>
      <c r="K1213" s="2" t="s">
        <v>465</v>
      </c>
      <c r="L1213" s="2" t="s">
        <v>41</v>
      </c>
      <c r="N1213" s="2" t="s">
        <v>1499</v>
      </c>
      <c r="O1213" s="2" t="s">
        <v>43</v>
      </c>
      <c r="P1213" s="2" t="s">
        <v>55</v>
      </c>
      <c r="Q1213" s="2" t="s">
        <v>56</v>
      </c>
      <c r="R1213" s="2">
        <v>2</v>
      </c>
      <c r="S1213" s="2">
        <v>36</v>
      </c>
      <c r="T1213" s="2">
        <v>8.2800000000000011</v>
      </c>
      <c r="U1213" s="2">
        <v>44.28</v>
      </c>
      <c r="V1213" s="2">
        <f>10.6*R1213</f>
        <v>21.2</v>
      </c>
      <c r="W1213" s="5">
        <f t="shared" si="124"/>
        <v>0.41111111111111115</v>
      </c>
      <c r="Y1213" s="2" t="s">
        <v>3256</v>
      </c>
      <c r="Z1213" s="2" t="s">
        <v>46</v>
      </c>
      <c r="AA1213" s="2" t="s">
        <v>57</v>
      </c>
      <c r="AB1213" s="2" t="s">
        <v>58</v>
      </c>
      <c r="AE1213" s="2">
        <f t="shared" si="119"/>
        <v>0</v>
      </c>
      <c r="AF1213" s="2">
        <v>10.6</v>
      </c>
      <c r="AG1213" s="2">
        <v>18</v>
      </c>
      <c r="AI1213" s="2">
        <f t="shared" si="120"/>
        <v>0</v>
      </c>
      <c r="AJ1213" s="2">
        <f t="shared" si="121"/>
        <v>14.8</v>
      </c>
      <c r="AK1213" s="5">
        <f t="shared" si="123"/>
        <v>0.41111111111111115</v>
      </c>
    </row>
    <row r="1214" spans="1:37" x14ac:dyDescent="0.2">
      <c r="A1214" s="2">
        <v>2025</v>
      </c>
      <c r="B1214" s="2">
        <v>7</v>
      </c>
      <c r="C1214" s="2" t="s">
        <v>1187</v>
      </c>
      <c r="D1214" s="2" t="s">
        <v>38</v>
      </c>
      <c r="F1214" s="2">
        <v>502089075</v>
      </c>
      <c r="G1214" s="2" t="s">
        <v>41</v>
      </c>
      <c r="H1214" s="2" t="s">
        <v>1188</v>
      </c>
      <c r="I1214" s="2" t="s">
        <v>1189</v>
      </c>
      <c r="K1214" s="2" t="s">
        <v>465</v>
      </c>
      <c r="L1214" s="2" t="s">
        <v>41</v>
      </c>
      <c r="N1214" s="2" t="s">
        <v>1500</v>
      </c>
      <c r="O1214" s="2" t="s">
        <v>73</v>
      </c>
      <c r="P1214" s="2" t="s">
        <v>561</v>
      </c>
      <c r="Q1214" s="2" t="s">
        <v>308</v>
      </c>
      <c r="R1214" s="2">
        <v>1</v>
      </c>
      <c r="S1214" s="2">
        <v>220</v>
      </c>
      <c r="T1214" s="2">
        <v>50.6</v>
      </c>
      <c r="U1214" s="2">
        <v>270.60000000000002</v>
      </c>
      <c r="V1214" s="2">
        <v>122.446</v>
      </c>
      <c r="W1214" s="5">
        <f t="shared" si="124"/>
        <v>0.44342727272727273</v>
      </c>
      <c r="Y1214" s="2" t="s">
        <v>3256</v>
      </c>
      <c r="Z1214" s="2" t="s">
        <v>76</v>
      </c>
      <c r="AA1214" s="2" t="s">
        <v>77</v>
      </c>
      <c r="AB1214" s="2" t="s">
        <v>78</v>
      </c>
      <c r="AE1214" s="2">
        <f t="shared" si="119"/>
        <v>0</v>
      </c>
      <c r="AF1214" s="2">
        <v>122.446</v>
      </c>
      <c r="AG1214" s="2">
        <v>230</v>
      </c>
      <c r="AI1214" s="2">
        <f t="shared" si="120"/>
        <v>0</v>
      </c>
      <c r="AJ1214" s="2">
        <f t="shared" si="121"/>
        <v>97.554000000000002</v>
      </c>
      <c r="AK1214" s="5">
        <f t="shared" si="123"/>
        <v>0.44342727272727273</v>
      </c>
    </row>
    <row r="1215" spans="1:37" x14ac:dyDescent="0.2">
      <c r="A1215" s="2">
        <v>2025</v>
      </c>
      <c r="B1215" s="2">
        <v>7</v>
      </c>
      <c r="C1215" s="2" t="s">
        <v>1187</v>
      </c>
      <c r="D1215" s="2" t="s">
        <v>38</v>
      </c>
      <c r="F1215" s="2">
        <v>502089075</v>
      </c>
      <c r="G1215" s="2" t="s">
        <v>41</v>
      </c>
      <c r="H1215" s="2" t="s">
        <v>1188</v>
      </c>
      <c r="I1215" s="2" t="s">
        <v>1189</v>
      </c>
      <c r="K1215" s="2" t="s">
        <v>465</v>
      </c>
      <c r="L1215" s="2" t="s">
        <v>41</v>
      </c>
      <c r="N1215" s="2" t="s">
        <v>1500</v>
      </c>
      <c r="O1215" s="2" t="s">
        <v>94</v>
      </c>
      <c r="P1215" s="2" t="s">
        <v>95</v>
      </c>
      <c r="Q1215" s="2" t="s">
        <v>96</v>
      </c>
      <c r="R1215" s="2">
        <v>1</v>
      </c>
      <c r="S1215" s="2">
        <v>1.1399999999999999</v>
      </c>
      <c r="T1215" s="2">
        <v>0.26219999999999999</v>
      </c>
      <c r="U1215" s="2">
        <v>1.4021999999999999</v>
      </c>
      <c r="V1215" s="2">
        <v>1.1399999999999999</v>
      </c>
      <c r="W1215" s="5">
        <f t="shared" si="124"/>
        <v>0</v>
      </c>
      <c r="Y1215" s="2" t="s">
        <v>3256</v>
      </c>
      <c r="Z1215" s="2" t="s">
        <v>97</v>
      </c>
      <c r="AA1215" s="2" t="s">
        <v>77</v>
      </c>
      <c r="AB1215" s="2" t="s">
        <v>94</v>
      </c>
      <c r="AE1215" s="2">
        <f t="shared" si="119"/>
        <v>0</v>
      </c>
      <c r="AI1215" s="2">
        <f t="shared" si="120"/>
        <v>0</v>
      </c>
      <c r="AJ1215" s="2">
        <f t="shared" si="121"/>
        <v>0</v>
      </c>
      <c r="AK1215" s="5">
        <f t="shared" si="123"/>
        <v>0</v>
      </c>
    </row>
    <row r="1216" spans="1:37" x14ac:dyDescent="0.2">
      <c r="A1216" s="2">
        <v>2025</v>
      </c>
      <c r="B1216" s="2">
        <v>7</v>
      </c>
      <c r="C1216" s="2" t="s">
        <v>1501</v>
      </c>
      <c r="O1216" s="2" t="s">
        <v>69</v>
      </c>
      <c r="P1216" s="2" t="s">
        <v>1407</v>
      </c>
      <c r="Q1216" s="2" t="s">
        <v>1408</v>
      </c>
      <c r="R1216" s="2">
        <v>1</v>
      </c>
      <c r="S1216" s="2">
        <v>1800</v>
      </c>
      <c r="T1216" s="2">
        <v>414</v>
      </c>
      <c r="U1216" s="2">
        <v>2214</v>
      </c>
      <c r="W1216" s="5">
        <f t="shared" si="124"/>
        <v>1</v>
      </c>
      <c r="Y1216" s="2" t="s">
        <v>105</v>
      </c>
      <c r="Z1216" s="2" t="s">
        <v>306</v>
      </c>
      <c r="AB1216" s="2" t="s">
        <v>3261</v>
      </c>
      <c r="AE1216" s="2">
        <f t="shared" si="119"/>
        <v>0</v>
      </c>
      <c r="AI1216" s="2">
        <f t="shared" si="120"/>
        <v>0</v>
      </c>
      <c r="AJ1216" s="2">
        <f t="shared" si="121"/>
        <v>1800</v>
      </c>
      <c r="AK1216" s="5">
        <f t="shared" si="123"/>
        <v>1</v>
      </c>
    </row>
    <row r="1217" spans="1:37" x14ac:dyDescent="0.2">
      <c r="A1217" s="2">
        <v>2025</v>
      </c>
      <c r="B1217" s="2">
        <v>7</v>
      </c>
      <c r="C1217" s="2" t="s">
        <v>1502</v>
      </c>
      <c r="D1217" s="2" t="s">
        <v>38</v>
      </c>
      <c r="E1217" s="2" t="s">
        <v>39</v>
      </c>
      <c r="F1217" s="2">
        <v>503159093</v>
      </c>
      <c r="G1217" s="2" t="s">
        <v>291</v>
      </c>
      <c r="H1217" s="2" t="s">
        <v>340</v>
      </c>
      <c r="I1217" s="2" t="s">
        <v>1503</v>
      </c>
      <c r="K1217" s="2" t="s">
        <v>340</v>
      </c>
      <c r="L1217" s="2" t="s">
        <v>40</v>
      </c>
      <c r="O1217" s="2" t="s">
        <v>115</v>
      </c>
      <c r="P1217" s="2" t="s">
        <v>962</v>
      </c>
      <c r="Q1217" s="2" t="s">
        <v>716</v>
      </c>
      <c r="R1217" s="2">
        <v>0</v>
      </c>
      <c r="S1217" s="2">
        <v>0</v>
      </c>
      <c r="T1217" s="2">
        <v>0</v>
      </c>
      <c r="U1217" s="2">
        <v>0</v>
      </c>
      <c r="W1217" s="5">
        <v>0</v>
      </c>
      <c r="Y1217" s="2" t="s">
        <v>105</v>
      </c>
      <c r="Z1217" s="2" t="s">
        <v>583</v>
      </c>
      <c r="AA1217" s="2" t="s">
        <v>707</v>
      </c>
      <c r="AB1217" s="2" t="s">
        <v>115</v>
      </c>
      <c r="AE1217" s="2">
        <f t="shared" si="119"/>
        <v>0</v>
      </c>
      <c r="AI1217" s="2">
        <f t="shared" si="120"/>
        <v>0</v>
      </c>
      <c r="AJ1217" s="2">
        <f t="shared" si="121"/>
        <v>0</v>
      </c>
      <c r="AK1217" s="5" t="e">
        <f t="shared" si="123"/>
        <v>#DIV/0!</v>
      </c>
    </row>
    <row r="1218" spans="1:37" x14ac:dyDescent="0.2">
      <c r="A1218" s="2">
        <v>2025</v>
      </c>
      <c r="B1218" s="2">
        <v>7</v>
      </c>
      <c r="C1218" s="2" t="s">
        <v>1502</v>
      </c>
      <c r="O1218" s="2" t="s">
        <v>115</v>
      </c>
      <c r="P1218" s="2" t="s">
        <v>1504</v>
      </c>
      <c r="Q1218" s="2" t="s">
        <v>1505</v>
      </c>
      <c r="R1218" s="2">
        <v>1</v>
      </c>
      <c r="S1218" s="2">
        <v>7240</v>
      </c>
      <c r="T1218" s="2">
        <v>1665.2</v>
      </c>
      <c r="U1218" s="2">
        <v>8905.2000000000007</v>
      </c>
      <c r="W1218" s="5">
        <f t="shared" ref="W1218:W1258" si="125">(S1218-V1218)/S1218</f>
        <v>1</v>
      </c>
      <c r="Y1218" s="2" t="s">
        <v>105</v>
      </c>
      <c r="AE1218" s="2">
        <f t="shared" si="119"/>
        <v>0</v>
      </c>
      <c r="AI1218" s="2">
        <f t="shared" si="120"/>
        <v>0</v>
      </c>
      <c r="AJ1218" s="2">
        <f t="shared" si="121"/>
        <v>7240</v>
      </c>
      <c r="AK1218" s="5">
        <f t="shared" si="123"/>
        <v>1</v>
      </c>
    </row>
    <row r="1219" spans="1:37" x14ac:dyDescent="0.2">
      <c r="A1219" s="2">
        <v>2025</v>
      </c>
      <c r="B1219" s="2">
        <v>7</v>
      </c>
      <c r="C1219" s="2" t="s">
        <v>1502</v>
      </c>
      <c r="O1219" s="2" t="s">
        <v>115</v>
      </c>
      <c r="P1219" s="2" t="s">
        <v>844</v>
      </c>
      <c r="Q1219" s="2" t="s">
        <v>845</v>
      </c>
      <c r="R1219" s="2">
        <v>0</v>
      </c>
      <c r="S1219" s="2">
        <v>0</v>
      </c>
      <c r="T1219" s="2">
        <v>0</v>
      </c>
      <c r="U1219" s="2">
        <v>0</v>
      </c>
      <c r="W1219" s="5" t="e">
        <f t="shared" si="125"/>
        <v>#DIV/0!</v>
      </c>
      <c r="Y1219" s="2" t="s">
        <v>105</v>
      </c>
      <c r="AE1219" s="2">
        <f t="shared" ref="AE1219:AE1282" si="126">AI1219</f>
        <v>0</v>
      </c>
      <c r="AI1219" s="2">
        <f t="shared" ref="AI1219:AI1282" si="127">AH1219*S1219</f>
        <v>0</v>
      </c>
      <c r="AJ1219" s="2">
        <f t="shared" ref="AJ1219:AJ1282" si="128">S1219-V1219</f>
        <v>0</v>
      </c>
      <c r="AK1219" s="5" t="e">
        <f t="shared" si="123"/>
        <v>#DIV/0!</v>
      </c>
    </row>
    <row r="1220" spans="1:37" x14ac:dyDescent="0.2">
      <c r="A1220" s="2">
        <v>2025</v>
      </c>
      <c r="B1220" s="2">
        <v>7</v>
      </c>
      <c r="C1220" s="2" t="s">
        <v>298</v>
      </c>
      <c r="D1220" s="2" t="s">
        <v>38</v>
      </c>
      <c r="E1220" s="2" t="s">
        <v>39</v>
      </c>
      <c r="F1220" s="2">
        <v>510939570</v>
      </c>
      <c r="G1220" s="2" t="s">
        <v>41</v>
      </c>
      <c r="H1220" s="2" t="s">
        <v>299</v>
      </c>
      <c r="I1220" s="2" t="s">
        <v>300</v>
      </c>
      <c r="J1220" s="2">
        <v>962678129</v>
      </c>
      <c r="K1220" s="2" t="s">
        <v>178</v>
      </c>
      <c r="L1220" s="2" t="s">
        <v>40</v>
      </c>
      <c r="N1220" s="2" t="s">
        <v>1506</v>
      </c>
      <c r="O1220" s="2" t="s">
        <v>188</v>
      </c>
      <c r="P1220" s="2" t="s">
        <v>189</v>
      </c>
      <c r="Q1220" s="2" t="s">
        <v>190</v>
      </c>
      <c r="R1220" s="2">
        <v>1</v>
      </c>
      <c r="S1220" s="2">
        <v>79</v>
      </c>
      <c r="T1220" s="2">
        <v>18.170000000000002</v>
      </c>
      <c r="U1220" s="2">
        <v>97.17</v>
      </c>
      <c r="W1220" s="5">
        <f t="shared" si="125"/>
        <v>1</v>
      </c>
      <c r="Y1220" s="2" t="s">
        <v>118</v>
      </c>
      <c r="Z1220" s="2" t="s">
        <v>191</v>
      </c>
      <c r="AE1220" s="2">
        <f t="shared" si="126"/>
        <v>0</v>
      </c>
      <c r="AI1220" s="2">
        <f t="shared" si="127"/>
        <v>0</v>
      </c>
      <c r="AJ1220" s="2">
        <f t="shared" si="128"/>
        <v>79</v>
      </c>
      <c r="AK1220" s="5">
        <f t="shared" si="123"/>
        <v>1</v>
      </c>
    </row>
    <row r="1221" spans="1:37" x14ac:dyDescent="0.2">
      <c r="A1221" s="2">
        <v>2025</v>
      </c>
      <c r="B1221" s="2">
        <v>7</v>
      </c>
      <c r="C1221" s="2" t="s">
        <v>298</v>
      </c>
      <c r="D1221" s="2" t="s">
        <v>38</v>
      </c>
      <c r="E1221" s="2" t="s">
        <v>39</v>
      </c>
      <c r="F1221" s="2">
        <v>510939570</v>
      </c>
      <c r="G1221" s="2" t="s">
        <v>41</v>
      </c>
      <c r="H1221" s="2" t="s">
        <v>299</v>
      </c>
      <c r="I1221" s="2" t="s">
        <v>300</v>
      </c>
      <c r="J1221" s="2">
        <v>962678129</v>
      </c>
      <c r="K1221" s="2" t="s">
        <v>178</v>
      </c>
      <c r="L1221" s="2" t="s">
        <v>40</v>
      </c>
      <c r="N1221" s="2" t="s">
        <v>1506</v>
      </c>
      <c r="O1221" s="2" t="s">
        <v>188</v>
      </c>
      <c r="P1221" s="2" t="s">
        <v>192</v>
      </c>
      <c r="Q1221" s="2" t="s">
        <v>191</v>
      </c>
      <c r="R1221" s="2">
        <v>1</v>
      </c>
      <c r="S1221" s="2">
        <v>50</v>
      </c>
      <c r="T1221" s="2">
        <v>11.5</v>
      </c>
      <c r="U1221" s="2">
        <v>61.5</v>
      </c>
      <c r="V1221" s="2">
        <f>S1221*50%</f>
        <v>25</v>
      </c>
      <c r="W1221" s="5">
        <f t="shared" si="125"/>
        <v>0.5</v>
      </c>
      <c r="Y1221" s="2" t="s">
        <v>118</v>
      </c>
      <c r="Z1221" s="2" t="s">
        <v>191</v>
      </c>
      <c r="AE1221" s="2">
        <f t="shared" si="126"/>
        <v>0</v>
      </c>
      <c r="AI1221" s="2">
        <f t="shared" si="127"/>
        <v>0</v>
      </c>
      <c r="AJ1221" s="2">
        <f t="shared" si="128"/>
        <v>25</v>
      </c>
      <c r="AK1221" s="5">
        <f t="shared" si="123"/>
        <v>0.5</v>
      </c>
    </row>
    <row r="1222" spans="1:37" x14ac:dyDescent="0.2">
      <c r="A1222" s="2">
        <v>2025</v>
      </c>
      <c r="B1222" s="2">
        <v>7</v>
      </c>
      <c r="C1222" s="2" t="s">
        <v>298</v>
      </c>
      <c r="D1222" s="2" t="s">
        <v>38</v>
      </c>
      <c r="E1222" s="2" t="s">
        <v>39</v>
      </c>
      <c r="F1222" s="2">
        <v>510939570</v>
      </c>
      <c r="G1222" s="2" t="s">
        <v>41</v>
      </c>
      <c r="H1222" s="2" t="s">
        <v>299</v>
      </c>
      <c r="I1222" s="2" t="s">
        <v>300</v>
      </c>
      <c r="J1222" s="2">
        <v>962678129</v>
      </c>
      <c r="K1222" s="2" t="s">
        <v>178</v>
      </c>
      <c r="L1222" s="2" t="s">
        <v>40</v>
      </c>
      <c r="N1222" s="2" t="s">
        <v>1507</v>
      </c>
      <c r="O1222" s="2" t="s">
        <v>40</v>
      </c>
      <c r="P1222" s="2" t="s">
        <v>364</v>
      </c>
      <c r="Q1222" s="2" t="s">
        <v>365</v>
      </c>
      <c r="R1222" s="2">
        <v>1</v>
      </c>
      <c r="S1222" s="2">
        <v>176.32</v>
      </c>
      <c r="T1222" s="2">
        <v>40.553600000000003</v>
      </c>
      <c r="U1222" s="2">
        <v>216.87360000000001</v>
      </c>
      <c r="W1222" s="5">
        <f t="shared" si="125"/>
        <v>1</v>
      </c>
      <c r="Y1222" s="2" t="s">
        <v>118</v>
      </c>
      <c r="Z1222" s="2" t="s">
        <v>119</v>
      </c>
      <c r="AA1222" s="2" t="s">
        <v>120</v>
      </c>
      <c r="AB1222" s="2" t="s">
        <v>1117</v>
      </c>
      <c r="AE1222" s="2">
        <f t="shared" si="126"/>
        <v>0</v>
      </c>
      <c r="AI1222" s="2">
        <f t="shared" si="127"/>
        <v>0</v>
      </c>
      <c r="AJ1222" s="2">
        <f t="shared" si="128"/>
        <v>176.32</v>
      </c>
      <c r="AK1222" s="5">
        <f t="shared" si="123"/>
        <v>1</v>
      </c>
    </row>
    <row r="1223" spans="1:37" x14ac:dyDescent="0.2">
      <c r="A1223" s="2">
        <v>2025</v>
      </c>
      <c r="B1223" s="2">
        <v>7</v>
      </c>
      <c r="C1223" s="2" t="s">
        <v>320</v>
      </c>
      <c r="D1223" s="2" t="s">
        <v>38</v>
      </c>
      <c r="E1223" s="2" t="s">
        <v>39</v>
      </c>
      <c r="F1223" s="2">
        <v>500883262</v>
      </c>
      <c r="G1223" s="2" t="s">
        <v>40</v>
      </c>
      <c r="H1223" s="2" t="s">
        <v>100</v>
      </c>
      <c r="I1223" s="2" t="s">
        <v>321</v>
      </c>
      <c r="K1223" s="2" t="s">
        <v>100</v>
      </c>
      <c r="L1223" s="2" t="s">
        <v>81</v>
      </c>
      <c r="N1223" s="2" t="s">
        <v>1508</v>
      </c>
      <c r="O1223" s="2" t="s">
        <v>73</v>
      </c>
      <c r="P1223" s="2" t="s">
        <v>74</v>
      </c>
      <c r="Q1223" s="2" t="s">
        <v>75</v>
      </c>
      <c r="R1223" s="2">
        <v>1</v>
      </c>
      <c r="S1223" s="2">
        <v>220</v>
      </c>
      <c r="T1223" s="2">
        <v>50.6</v>
      </c>
      <c r="U1223" s="2">
        <v>270.60000000000002</v>
      </c>
      <c r="V1223" s="2">
        <v>117.453</v>
      </c>
      <c r="W1223" s="5">
        <f t="shared" si="125"/>
        <v>0.46612272727272724</v>
      </c>
      <c r="Y1223" s="2" t="s">
        <v>3256</v>
      </c>
      <c r="Z1223" s="2" t="s">
        <v>76</v>
      </c>
      <c r="AA1223" s="2" t="s">
        <v>77</v>
      </c>
      <c r="AB1223" s="2" t="s">
        <v>78</v>
      </c>
      <c r="AE1223" s="2">
        <f t="shared" si="126"/>
        <v>0</v>
      </c>
      <c r="AF1223" s="2">
        <v>117.453</v>
      </c>
      <c r="AG1223" s="2">
        <v>220</v>
      </c>
      <c r="AI1223" s="2">
        <f t="shared" si="127"/>
        <v>0</v>
      </c>
      <c r="AJ1223" s="2">
        <f t="shared" si="128"/>
        <v>102.547</v>
      </c>
      <c r="AK1223" s="5">
        <f t="shared" si="123"/>
        <v>0.46612272727272724</v>
      </c>
    </row>
    <row r="1224" spans="1:37" x14ac:dyDescent="0.2">
      <c r="A1224" s="2">
        <v>2025</v>
      </c>
      <c r="B1224" s="2">
        <v>7</v>
      </c>
      <c r="C1224" s="2" t="s">
        <v>320</v>
      </c>
      <c r="D1224" s="2" t="s">
        <v>38</v>
      </c>
      <c r="E1224" s="2" t="s">
        <v>39</v>
      </c>
      <c r="F1224" s="2">
        <v>500883262</v>
      </c>
      <c r="G1224" s="2" t="s">
        <v>40</v>
      </c>
      <c r="H1224" s="2" t="s">
        <v>100</v>
      </c>
      <c r="I1224" s="2" t="s">
        <v>321</v>
      </c>
      <c r="K1224" s="2" t="s">
        <v>100</v>
      </c>
      <c r="L1224" s="2" t="s">
        <v>81</v>
      </c>
      <c r="N1224" s="2" t="s">
        <v>1509</v>
      </c>
      <c r="O1224" s="2" t="s">
        <v>73</v>
      </c>
      <c r="P1224" s="2" t="s">
        <v>838</v>
      </c>
      <c r="Q1224" s="2" t="s">
        <v>75</v>
      </c>
      <c r="R1224" s="2">
        <v>1</v>
      </c>
      <c r="S1224" s="2">
        <v>220</v>
      </c>
      <c r="T1224" s="2">
        <v>50.6</v>
      </c>
      <c r="U1224" s="2">
        <v>270.60000000000002</v>
      </c>
      <c r="V1224" s="2">
        <v>120.636</v>
      </c>
      <c r="W1224" s="5">
        <f t="shared" si="125"/>
        <v>0.45165454545454548</v>
      </c>
      <c r="Y1224" s="2" t="s">
        <v>3256</v>
      </c>
      <c r="Z1224" s="2" t="s">
        <v>76</v>
      </c>
      <c r="AA1224" s="2" t="s">
        <v>77</v>
      </c>
      <c r="AB1224" s="2" t="s">
        <v>78</v>
      </c>
      <c r="AE1224" s="2">
        <f t="shared" si="126"/>
        <v>0</v>
      </c>
      <c r="AF1224" s="2">
        <v>120.636</v>
      </c>
      <c r="AG1224" s="2">
        <v>220</v>
      </c>
      <c r="AI1224" s="2">
        <f t="shared" si="127"/>
        <v>0</v>
      </c>
      <c r="AJ1224" s="2">
        <f t="shared" si="128"/>
        <v>99.364000000000004</v>
      </c>
      <c r="AK1224" s="5">
        <f t="shared" si="123"/>
        <v>0.45165454545454548</v>
      </c>
    </row>
    <row r="1225" spans="1:37" x14ac:dyDescent="0.2">
      <c r="A1225" s="2">
        <v>2025</v>
      </c>
      <c r="B1225" s="2">
        <v>7</v>
      </c>
      <c r="C1225" s="2" t="s">
        <v>320</v>
      </c>
      <c r="D1225" s="2" t="s">
        <v>38</v>
      </c>
      <c r="E1225" s="2" t="s">
        <v>39</v>
      </c>
      <c r="F1225" s="2">
        <v>500883262</v>
      </c>
      <c r="G1225" s="2" t="s">
        <v>40</v>
      </c>
      <c r="H1225" s="2" t="s">
        <v>100</v>
      </c>
      <c r="I1225" s="2" t="s">
        <v>321</v>
      </c>
      <c r="K1225" s="2" t="s">
        <v>100</v>
      </c>
      <c r="L1225" s="2" t="s">
        <v>81</v>
      </c>
      <c r="N1225" s="2" t="s">
        <v>1510</v>
      </c>
      <c r="O1225" s="2" t="s">
        <v>94</v>
      </c>
      <c r="P1225" s="2" t="s">
        <v>95</v>
      </c>
      <c r="Q1225" s="2" t="s">
        <v>96</v>
      </c>
      <c r="R1225" s="2">
        <v>2</v>
      </c>
      <c r="S1225" s="2">
        <v>2.2799999999999998</v>
      </c>
      <c r="T1225" s="2">
        <v>0.52439999999999998</v>
      </c>
      <c r="U1225" s="2">
        <v>2.8043999999999998</v>
      </c>
      <c r="V1225" s="2">
        <v>2.2799999999999998</v>
      </c>
      <c r="W1225" s="5">
        <f t="shared" si="125"/>
        <v>0</v>
      </c>
      <c r="Y1225" s="2" t="s">
        <v>3256</v>
      </c>
      <c r="Z1225" s="2" t="s">
        <v>97</v>
      </c>
      <c r="AA1225" s="2" t="s">
        <v>77</v>
      </c>
      <c r="AB1225" s="2" t="s">
        <v>94</v>
      </c>
      <c r="AE1225" s="2">
        <f t="shared" si="126"/>
        <v>0</v>
      </c>
      <c r="AI1225" s="2">
        <f t="shared" si="127"/>
        <v>0</v>
      </c>
      <c r="AJ1225" s="2">
        <f t="shared" si="128"/>
        <v>0</v>
      </c>
      <c r="AK1225" s="5">
        <f t="shared" si="123"/>
        <v>0</v>
      </c>
    </row>
    <row r="1226" spans="1:37" x14ac:dyDescent="0.2">
      <c r="A1226" s="2">
        <v>2025</v>
      </c>
      <c r="B1226" s="2">
        <v>7</v>
      </c>
      <c r="C1226" s="2" t="s">
        <v>734</v>
      </c>
      <c r="O1226" s="2" t="s">
        <v>73</v>
      </c>
      <c r="P1226" s="2" t="s">
        <v>919</v>
      </c>
      <c r="Q1226" s="2" t="s">
        <v>75</v>
      </c>
      <c r="R1226" s="2">
        <v>1</v>
      </c>
      <c r="S1226" s="2">
        <v>220</v>
      </c>
      <c r="T1226" s="2">
        <v>50.6</v>
      </c>
      <c r="U1226" s="2">
        <v>270.60000000000002</v>
      </c>
      <c r="W1226" s="5">
        <f t="shared" si="125"/>
        <v>1</v>
      </c>
      <c r="Y1226" s="2" t="s">
        <v>3256</v>
      </c>
      <c r="Z1226" s="2" t="s">
        <v>76</v>
      </c>
      <c r="AA1226" s="2" t="s">
        <v>77</v>
      </c>
      <c r="AB1226" s="2" t="s">
        <v>78</v>
      </c>
      <c r="AE1226" s="2">
        <f t="shared" si="126"/>
        <v>0</v>
      </c>
      <c r="AI1226" s="2">
        <f t="shared" si="127"/>
        <v>0</v>
      </c>
      <c r="AJ1226" s="2">
        <f t="shared" si="128"/>
        <v>220</v>
      </c>
      <c r="AK1226" s="5">
        <f t="shared" si="123"/>
        <v>1</v>
      </c>
    </row>
    <row r="1227" spans="1:37" x14ac:dyDescent="0.2">
      <c r="A1227" s="2">
        <v>2025</v>
      </c>
      <c r="B1227" s="2">
        <v>7</v>
      </c>
      <c r="C1227" s="2" t="s">
        <v>734</v>
      </c>
      <c r="O1227" s="2" t="s">
        <v>94</v>
      </c>
      <c r="P1227" s="2" t="s">
        <v>95</v>
      </c>
      <c r="Q1227" s="2" t="s">
        <v>96</v>
      </c>
      <c r="R1227" s="2">
        <v>1</v>
      </c>
      <c r="S1227" s="2">
        <v>1.1399999999999999</v>
      </c>
      <c r="T1227" s="2">
        <v>0.26219999999999999</v>
      </c>
      <c r="U1227" s="2">
        <v>1.4021999999999999</v>
      </c>
      <c r="V1227" s="2">
        <v>1.1399999999999999</v>
      </c>
      <c r="W1227" s="5">
        <f t="shared" si="125"/>
        <v>0</v>
      </c>
      <c r="Y1227" s="2" t="s">
        <v>3256</v>
      </c>
      <c r="Z1227" s="2" t="s">
        <v>97</v>
      </c>
      <c r="AA1227" s="2" t="s">
        <v>77</v>
      </c>
      <c r="AB1227" s="2" t="s">
        <v>94</v>
      </c>
      <c r="AE1227" s="2">
        <f t="shared" si="126"/>
        <v>0</v>
      </c>
      <c r="AI1227" s="2">
        <f t="shared" si="127"/>
        <v>0</v>
      </c>
      <c r="AJ1227" s="2">
        <f t="shared" si="128"/>
        <v>0</v>
      </c>
      <c r="AK1227" s="5">
        <f t="shared" si="123"/>
        <v>0</v>
      </c>
    </row>
    <row r="1228" spans="1:37" x14ac:dyDescent="0.2">
      <c r="A1228" s="2">
        <v>2025</v>
      </c>
      <c r="B1228" s="2">
        <v>7</v>
      </c>
      <c r="C1228" s="2" t="s">
        <v>333</v>
      </c>
      <c r="D1228" s="2" t="s">
        <v>109</v>
      </c>
      <c r="E1228" s="2" t="s">
        <v>39</v>
      </c>
      <c r="F1228" s="2">
        <v>513493557</v>
      </c>
      <c r="G1228" s="2" t="s">
        <v>41</v>
      </c>
      <c r="H1228" s="2" t="s">
        <v>280</v>
      </c>
      <c r="I1228" s="2" t="s">
        <v>334</v>
      </c>
      <c r="K1228" s="2" t="s">
        <v>178</v>
      </c>
      <c r="L1228" s="2" t="s">
        <v>41</v>
      </c>
      <c r="O1228" s="2" t="s">
        <v>43</v>
      </c>
      <c r="P1228" s="2" t="s">
        <v>161</v>
      </c>
      <c r="Q1228" s="2" t="s">
        <v>162</v>
      </c>
      <c r="R1228" s="2">
        <v>1</v>
      </c>
      <c r="S1228" s="2">
        <v>7.8</v>
      </c>
      <c r="T1228" s="2">
        <v>1.794</v>
      </c>
      <c r="U1228" s="2">
        <v>9.5939999999999994</v>
      </c>
      <c r="V1228" s="2">
        <f>3.7358*R1228</f>
        <v>3.7357999999999998</v>
      </c>
      <c r="W1228" s="5">
        <f t="shared" si="125"/>
        <v>0.52105128205128204</v>
      </c>
      <c r="Y1228" s="2" t="s">
        <v>3256</v>
      </c>
      <c r="Z1228" s="2" t="s">
        <v>46</v>
      </c>
      <c r="AA1228" s="2" t="s">
        <v>47</v>
      </c>
      <c r="AB1228" s="2" t="s">
        <v>48</v>
      </c>
      <c r="AE1228" s="2">
        <f t="shared" si="126"/>
        <v>0</v>
      </c>
      <c r="AF1228" s="2">
        <v>3.7357999999999998</v>
      </c>
      <c r="AG1228" s="2">
        <v>9</v>
      </c>
      <c r="AI1228" s="2">
        <f t="shared" si="127"/>
        <v>0</v>
      </c>
      <c r="AJ1228" s="2">
        <f t="shared" si="128"/>
        <v>4.0641999999999996</v>
      </c>
      <c r="AK1228" s="5">
        <f t="shared" si="123"/>
        <v>0.52105128205128204</v>
      </c>
    </row>
    <row r="1229" spans="1:37" x14ac:dyDescent="0.2">
      <c r="A1229" s="2">
        <v>2025</v>
      </c>
      <c r="B1229" s="2">
        <v>7</v>
      </c>
      <c r="C1229" s="2" t="s">
        <v>333</v>
      </c>
      <c r="D1229" s="2" t="s">
        <v>109</v>
      </c>
      <c r="E1229" s="2" t="s">
        <v>39</v>
      </c>
      <c r="F1229" s="2">
        <v>513493557</v>
      </c>
      <c r="G1229" s="2" t="s">
        <v>41</v>
      </c>
      <c r="H1229" s="2" t="s">
        <v>280</v>
      </c>
      <c r="I1229" s="2" t="s">
        <v>334</v>
      </c>
      <c r="K1229" s="2" t="s">
        <v>178</v>
      </c>
      <c r="L1229" s="2" t="s">
        <v>41</v>
      </c>
      <c r="O1229" s="2" t="s">
        <v>43</v>
      </c>
      <c r="P1229" s="2" t="s">
        <v>55</v>
      </c>
      <c r="Q1229" s="2" t="s">
        <v>56</v>
      </c>
      <c r="R1229" s="2">
        <v>10</v>
      </c>
      <c r="S1229" s="2">
        <v>140</v>
      </c>
      <c r="T1229" s="2">
        <v>32.200000000000003</v>
      </c>
      <c r="U1229" s="2">
        <v>172.2</v>
      </c>
      <c r="V1229" s="2">
        <f>10.6*R1229</f>
        <v>106</v>
      </c>
      <c r="W1229" s="5">
        <f t="shared" si="125"/>
        <v>0.24285714285714285</v>
      </c>
      <c r="Y1229" s="2" t="s">
        <v>3256</v>
      </c>
      <c r="Z1229" s="2" t="s">
        <v>46</v>
      </c>
      <c r="AA1229" s="2" t="s">
        <v>57</v>
      </c>
      <c r="AB1229" s="2" t="s">
        <v>58</v>
      </c>
      <c r="AE1229" s="2">
        <f t="shared" si="126"/>
        <v>0</v>
      </c>
      <c r="AF1229" s="2">
        <v>10.6</v>
      </c>
      <c r="AG1229" s="2">
        <v>18</v>
      </c>
      <c r="AI1229" s="2">
        <f t="shared" si="127"/>
        <v>0</v>
      </c>
      <c r="AJ1229" s="2">
        <f t="shared" si="128"/>
        <v>34</v>
      </c>
      <c r="AK1229" s="5">
        <f t="shared" si="123"/>
        <v>0.24285714285714285</v>
      </c>
    </row>
    <row r="1230" spans="1:37" x14ac:dyDescent="0.2">
      <c r="A1230" s="2">
        <v>2025</v>
      </c>
      <c r="B1230" s="2">
        <v>7</v>
      </c>
      <c r="C1230" s="2" t="s">
        <v>333</v>
      </c>
      <c r="D1230" s="2" t="s">
        <v>109</v>
      </c>
      <c r="E1230" s="2" t="s">
        <v>39</v>
      </c>
      <c r="F1230" s="2">
        <v>513493557</v>
      </c>
      <c r="G1230" s="2" t="s">
        <v>41</v>
      </c>
      <c r="H1230" s="2" t="s">
        <v>280</v>
      </c>
      <c r="I1230" s="2" t="s">
        <v>334</v>
      </c>
      <c r="K1230" s="2" t="s">
        <v>178</v>
      </c>
      <c r="L1230" s="2" t="s">
        <v>41</v>
      </c>
      <c r="O1230" s="2" t="s">
        <v>43</v>
      </c>
      <c r="P1230" s="2" t="s">
        <v>253</v>
      </c>
      <c r="Q1230" s="2" t="s">
        <v>254</v>
      </c>
      <c r="R1230" s="2">
        <v>10</v>
      </c>
      <c r="S1230" s="2">
        <v>12</v>
      </c>
      <c r="T1230" s="2">
        <v>2.76</v>
      </c>
      <c r="U1230" s="2">
        <v>14.76</v>
      </c>
      <c r="W1230" s="5">
        <f t="shared" si="125"/>
        <v>1</v>
      </c>
      <c r="Y1230" s="2" t="s">
        <v>3256</v>
      </c>
      <c r="Z1230" s="2" t="s">
        <v>46</v>
      </c>
      <c r="AA1230" s="2" t="s">
        <v>91</v>
      </c>
      <c r="AB1230" s="2" t="s">
        <v>58</v>
      </c>
      <c r="AE1230" s="2">
        <f t="shared" si="126"/>
        <v>0</v>
      </c>
      <c r="AI1230" s="2">
        <f t="shared" si="127"/>
        <v>0</v>
      </c>
      <c r="AJ1230" s="2">
        <f t="shared" si="128"/>
        <v>12</v>
      </c>
      <c r="AK1230" s="5">
        <f t="shared" si="123"/>
        <v>1</v>
      </c>
    </row>
    <row r="1231" spans="1:37" x14ac:dyDescent="0.2">
      <c r="A1231" s="2">
        <v>2025</v>
      </c>
      <c r="B1231" s="2">
        <v>7</v>
      </c>
      <c r="C1231" s="2" t="s">
        <v>333</v>
      </c>
      <c r="D1231" s="2" t="s">
        <v>109</v>
      </c>
      <c r="E1231" s="2" t="s">
        <v>39</v>
      </c>
      <c r="F1231" s="2">
        <v>513493557</v>
      </c>
      <c r="G1231" s="2" t="s">
        <v>41</v>
      </c>
      <c r="H1231" s="2" t="s">
        <v>280</v>
      </c>
      <c r="I1231" s="2" t="s">
        <v>334</v>
      </c>
      <c r="K1231" s="2" t="s">
        <v>178</v>
      </c>
      <c r="L1231" s="2" t="s">
        <v>41</v>
      </c>
      <c r="O1231" s="2" t="s">
        <v>167</v>
      </c>
      <c r="P1231" s="2" t="s">
        <v>1511</v>
      </c>
      <c r="Q1231" s="2" t="s">
        <v>1512</v>
      </c>
      <c r="R1231" s="2">
        <v>6</v>
      </c>
      <c r="S1231" s="2">
        <v>8.2100000000000009</v>
      </c>
      <c r="T1231" s="2">
        <v>1.8883000000000001</v>
      </c>
      <c r="U1231" s="2">
        <v>10.0983</v>
      </c>
      <c r="W1231" s="5">
        <f t="shared" si="125"/>
        <v>1</v>
      </c>
      <c r="Y1231" s="2" t="s">
        <v>3256</v>
      </c>
      <c r="Z1231" s="2" t="s">
        <v>88</v>
      </c>
      <c r="AA1231" s="2" t="s">
        <v>120</v>
      </c>
      <c r="AB1231" s="2" t="s">
        <v>167</v>
      </c>
      <c r="AE1231" s="2">
        <f t="shared" si="126"/>
        <v>0</v>
      </c>
      <c r="AI1231" s="2">
        <f t="shared" si="127"/>
        <v>0</v>
      </c>
      <c r="AJ1231" s="2">
        <f t="shared" si="128"/>
        <v>8.2100000000000009</v>
      </c>
      <c r="AK1231" s="5">
        <f t="shared" si="123"/>
        <v>1</v>
      </c>
    </row>
    <row r="1232" spans="1:37" x14ac:dyDescent="0.2">
      <c r="A1232" s="2">
        <v>2025</v>
      </c>
      <c r="B1232" s="2">
        <v>7</v>
      </c>
      <c r="C1232" s="2" t="s">
        <v>333</v>
      </c>
      <c r="D1232" s="2" t="s">
        <v>109</v>
      </c>
      <c r="E1232" s="2" t="s">
        <v>39</v>
      </c>
      <c r="F1232" s="2">
        <v>513493557</v>
      </c>
      <c r="G1232" s="2" t="s">
        <v>41</v>
      </c>
      <c r="H1232" s="2" t="s">
        <v>280</v>
      </c>
      <c r="I1232" s="2" t="s">
        <v>334</v>
      </c>
      <c r="K1232" s="2" t="s">
        <v>178</v>
      </c>
      <c r="L1232" s="2" t="s">
        <v>41</v>
      </c>
      <c r="O1232" s="2" t="s">
        <v>167</v>
      </c>
      <c r="P1232" s="2" t="s">
        <v>1055</v>
      </c>
      <c r="Q1232" s="2" t="s">
        <v>1056</v>
      </c>
      <c r="R1232" s="2">
        <v>6</v>
      </c>
      <c r="S1232" s="2">
        <v>9</v>
      </c>
      <c r="T1232" s="2">
        <v>2.0699999999999998</v>
      </c>
      <c r="U1232" s="2">
        <v>11.07</v>
      </c>
      <c r="W1232" s="5">
        <f t="shared" si="125"/>
        <v>1</v>
      </c>
      <c r="Y1232" s="2" t="s">
        <v>3256</v>
      </c>
      <c r="Z1232" s="2" t="s">
        <v>88</v>
      </c>
      <c r="AA1232" s="2" t="s">
        <v>120</v>
      </c>
      <c r="AB1232" s="2" t="s">
        <v>167</v>
      </c>
      <c r="AE1232" s="2">
        <f t="shared" si="126"/>
        <v>0</v>
      </c>
      <c r="AI1232" s="2">
        <f t="shared" si="127"/>
        <v>0</v>
      </c>
      <c r="AJ1232" s="2">
        <f t="shared" si="128"/>
        <v>9</v>
      </c>
      <c r="AK1232" s="5">
        <f t="shared" ref="AK1232:AK1295" si="129">(S1232-V1232)/S1232</f>
        <v>1</v>
      </c>
    </row>
    <row r="1233" spans="1:37" x14ac:dyDescent="0.2">
      <c r="A1233" s="2">
        <v>2025</v>
      </c>
      <c r="B1233" s="2">
        <v>7</v>
      </c>
      <c r="C1233" s="2" t="s">
        <v>737</v>
      </c>
      <c r="D1233" s="2" t="s">
        <v>109</v>
      </c>
      <c r="F1233" s="2">
        <v>502757396</v>
      </c>
      <c r="G1233" s="2" t="s">
        <v>40</v>
      </c>
      <c r="H1233" s="2" t="s">
        <v>100</v>
      </c>
      <c r="I1233" s="2" t="s">
        <v>738</v>
      </c>
      <c r="K1233" s="2" t="s">
        <v>100</v>
      </c>
      <c r="L1233" s="2" t="s">
        <v>81</v>
      </c>
      <c r="O1233" s="2" t="s">
        <v>153</v>
      </c>
      <c r="P1233" s="2" t="s">
        <v>154</v>
      </c>
      <c r="Q1233" s="2" t="s">
        <v>155</v>
      </c>
      <c r="R1233" s="2">
        <v>20</v>
      </c>
      <c r="S1233" s="2">
        <v>10</v>
      </c>
      <c r="T1233" s="2">
        <v>2.2999999999999998</v>
      </c>
      <c r="U1233" s="2">
        <v>12.3</v>
      </c>
      <c r="V1233" s="2">
        <f>0.4617*R1233</f>
        <v>9.234</v>
      </c>
      <c r="W1233" s="5">
        <f t="shared" si="125"/>
        <v>7.6600000000000001E-2</v>
      </c>
      <c r="Y1233" s="2" t="s">
        <v>3256</v>
      </c>
      <c r="Z1233" s="2" t="s">
        <v>156</v>
      </c>
      <c r="AA1233" s="2" t="s">
        <v>155</v>
      </c>
      <c r="AB1233" s="2" t="s">
        <v>153</v>
      </c>
      <c r="AE1233" s="2">
        <f t="shared" si="126"/>
        <v>0</v>
      </c>
      <c r="AF1233" s="2">
        <v>0.4617</v>
      </c>
      <c r="AI1233" s="2">
        <f t="shared" si="127"/>
        <v>0</v>
      </c>
      <c r="AJ1233" s="2">
        <f t="shared" si="128"/>
        <v>0.76600000000000001</v>
      </c>
      <c r="AK1233" s="5">
        <f t="shared" si="129"/>
        <v>7.6600000000000001E-2</v>
      </c>
    </row>
    <row r="1234" spans="1:37" x14ac:dyDescent="0.2">
      <c r="A1234" s="2">
        <v>2025</v>
      </c>
      <c r="B1234" s="2">
        <v>7</v>
      </c>
      <c r="C1234" s="2" t="s">
        <v>1360</v>
      </c>
      <c r="O1234" s="2" t="s">
        <v>115</v>
      </c>
      <c r="P1234" s="2" t="s">
        <v>1513</v>
      </c>
      <c r="Q1234" s="2" t="s">
        <v>1514</v>
      </c>
      <c r="R1234" s="2">
        <v>1</v>
      </c>
      <c r="S1234" s="2">
        <v>691.03</v>
      </c>
      <c r="T1234" s="2">
        <v>158.93690000000001</v>
      </c>
      <c r="U1234" s="2">
        <v>849.96690000000001</v>
      </c>
      <c r="W1234" s="5">
        <f t="shared" si="125"/>
        <v>1</v>
      </c>
      <c r="AE1234" s="2">
        <f t="shared" si="126"/>
        <v>0</v>
      </c>
      <c r="AI1234" s="2">
        <f t="shared" si="127"/>
        <v>0</v>
      </c>
      <c r="AJ1234" s="2">
        <f t="shared" si="128"/>
        <v>691.03</v>
      </c>
      <c r="AK1234" s="5">
        <f t="shared" si="129"/>
        <v>1</v>
      </c>
    </row>
    <row r="1235" spans="1:37" x14ac:dyDescent="0.2">
      <c r="A1235" s="2">
        <v>2025</v>
      </c>
      <c r="B1235" s="2">
        <v>7</v>
      </c>
      <c r="C1235" s="2" t="s">
        <v>337</v>
      </c>
      <c r="D1235" s="2" t="s">
        <v>109</v>
      </c>
      <c r="E1235" s="2" t="s">
        <v>39</v>
      </c>
      <c r="F1235" s="2">
        <v>503373494</v>
      </c>
      <c r="G1235" s="2" t="s">
        <v>291</v>
      </c>
      <c r="H1235" s="2" t="s">
        <v>338</v>
      </c>
      <c r="I1235" s="2" t="s">
        <v>339</v>
      </c>
      <c r="J1235" s="2">
        <v>965852001</v>
      </c>
      <c r="K1235" s="2" t="s">
        <v>340</v>
      </c>
      <c r="O1235" s="2" t="s">
        <v>43</v>
      </c>
      <c r="P1235" s="2" t="s">
        <v>49</v>
      </c>
      <c r="Q1235" s="2" t="s">
        <v>50</v>
      </c>
      <c r="R1235" s="2">
        <v>5</v>
      </c>
      <c r="S1235" s="2">
        <v>60</v>
      </c>
      <c r="T1235" s="2">
        <v>13.8</v>
      </c>
      <c r="U1235" s="2">
        <v>73.8</v>
      </c>
      <c r="V1235" s="2">
        <f>6.6267*R1235</f>
        <v>33.133499999999998</v>
      </c>
      <c r="W1235" s="5">
        <f t="shared" si="125"/>
        <v>0.44777500000000003</v>
      </c>
      <c r="Y1235" s="2" t="s">
        <v>3256</v>
      </c>
      <c r="Z1235" s="2" t="s">
        <v>46</v>
      </c>
      <c r="AA1235" s="2" t="s">
        <v>47</v>
      </c>
      <c r="AB1235" s="2" t="s">
        <v>48</v>
      </c>
      <c r="AE1235" s="2">
        <f t="shared" si="126"/>
        <v>0</v>
      </c>
      <c r="AF1235" s="2">
        <v>6.6266999999999996</v>
      </c>
      <c r="AG1235" s="2">
        <v>12</v>
      </c>
      <c r="AI1235" s="2">
        <f t="shared" si="127"/>
        <v>0</v>
      </c>
      <c r="AJ1235" s="2">
        <f t="shared" si="128"/>
        <v>26.866500000000002</v>
      </c>
      <c r="AK1235" s="5">
        <f t="shared" si="129"/>
        <v>0.44777500000000003</v>
      </c>
    </row>
    <row r="1236" spans="1:37" x14ac:dyDescent="0.2">
      <c r="A1236" s="2">
        <v>2025</v>
      </c>
      <c r="B1236" s="2">
        <v>7</v>
      </c>
      <c r="C1236" s="2" t="s">
        <v>337</v>
      </c>
      <c r="D1236" s="2" t="s">
        <v>109</v>
      </c>
      <c r="E1236" s="2" t="s">
        <v>39</v>
      </c>
      <c r="F1236" s="2">
        <v>503373494</v>
      </c>
      <c r="G1236" s="2" t="s">
        <v>291</v>
      </c>
      <c r="H1236" s="2" t="s">
        <v>338</v>
      </c>
      <c r="I1236" s="2" t="s">
        <v>339</v>
      </c>
      <c r="J1236" s="2">
        <v>965852001</v>
      </c>
      <c r="K1236" s="2" t="s">
        <v>340</v>
      </c>
      <c r="O1236" s="2" t="s">
        <v>43</v>
      </c>
      <c r="P1236" s="2" t="s">
        <v>161</v>
      </c>
      <c r="Q1236" s="2" t="s">
        <v>162</v>
      </c>
      <c r="R1236" s="2">
        <v>2</v>
      </c>
      <c r="S1236" s="2">
        <v>15.6</v>
      </c>
      <c r="T1236" s="2">
        <v>3.5880000000000001</v>
      </c>
      <c r="U1236" s="2">
        <v>19.187999999999999</v>
      </c>
      <c r="V1236" s="2">
        <f>3.7358*R1236</f>
        <v>7.4715999999999996</v>
      </c>
      <c r="W1236" s="5">
        <f t="shared" si="125"/>
        <v>0.52105128205128204</v>
      </c>
      <c r="Y1236" s="2" t="s">
        <v>3256</v>
      </c>
      <c r="Z1236" s="2" t="s">
        <v>46</v>
      </c>
      <c r="AA1236" s="2" t="s">
        <v>47</v>
      </c>
      <c r="AB1236" s="2" t="s">
        <v>48</v>
      </c>
      <c r="AE1236" s="2">
        <f t="shared" si="126"/>
        <v>0</v>
      </c>
      <c r="AF1236" s="2">
        <v>3.7357999999999998</v>
      </c>
      <c r="AG1236" s="2">
        <v>9</v>
      </c>
      <c r="AI1236" s="2">
        <f t="shared" si="127"/>
        <v>0</v>
      </c>
      <c r="AJ1236" s="2">
        <f t="shared" si="128"/>
        <v>8.1283999999999992</v>
      </c>
      <c r="AK1236" s="5">
        <f t="shared" si="129"/>
        <v>0.52105128205128204</v>
      </c>
    </row>
    <row r="1237" spans="1:37" x14ac:dyDescent="0.2">
      <c r="A1237" s="2">
        <v>2025</v>
      </c>
      <c r="B1237" s="2">
        <v>7</v>
      </c>
      <c r="C1237" s="2" t="s">
        <v>337</v>
      </c>
      <c r="D1237" s="2" t="s">
        <v>109</v>
      </c>
      <c r="E1237" s="2" t="s">
        <v>39</v>
      </c>
      <c r="F1237" s="2">
        <v>503373494</v>
      </c>
      <c r="G1237" s="2" t="s">
        <v>291</v>
      </c>
      <c r="H1237" s="2" t="s">
        <v>338</v>
      </c>
      <c r="I1237" s="2" t="s">
        <v>339</v>
      </c>
      <c r="J1237" s="2">
        <v>965852001</v>
      </c>
      <c r="K1237" s="2" t="s">
        <v>340</v>
      </c>
      <c r="O1237" s="2" t="s">
        <v>43</v>
      </c>
      <c r="P1237" s="2" t="s">
        <v>53</v>
      </c>
      <c r="Q1237" s="2" t="s">
        <v>54</v>
      </c>
      <c r="R1237" s="2">
        <v>2</v>
      </c>
      <c r="S1237" s="2">
        <v>19.2</v>
      </c>
      <c r="T1237" s="2">
        <v>4.4160000000000004</v>
      </c>
      <c r="U1237" s="2">
        <v>23.616</v>
      </c>
      <c r="V1237" s="2">
        <f>5.2973*R1237</f>
        <v>10.5946</v>
      </c>
      <c r="W1237" s="5">
        <f t="shared" si="125"/>
        <v>0.44819791666666664</v>
      </c>
      <c r="Y1237" s="2" t="s">
        <v>3256</v>
      </c>
      <c r="Z1237" s="2" t="s">
        <v>46</v>
      </c>
      <c r="AA1237" s="2" t="s">
        <v>47</v>
      </c>
      <c r="AB1237" s="2" t="s">
        <v>48</v>
      </c>
      <c r="AE1237" s="2">
        <f t="shared" si="126"/>
        <v>0</v>
      </c>
      <c r="AF1237" s="2">
        <v>5.2972999999999999</v>
      </c>
      <c r="AG1237" s="2">
        <v>10.8</v>
      </c>
      <c r="AI1237" s="2">
        <f t="shared" si="127"/>
        <v>0</v>
      </c>
      <c r="AJ1237" s="2">
        <f t="shared" si="128"/>
        <v>8.6053999999999995</v>
      </c>
      <c r="AK1237" s="5">
        <f t="shared" si="129"/>
        <v>0.44819791666666664</v>
      </c>
    </row>
    <row r="1238" spans="1:37" x14ac:dyDescent="0.2">
      <c r="A1238" s="2">
        <v>2025</v>
      </c>
      <c r="B1238" s="2">
        <v>7</v>
      </c>
      <c r="C1238" s="2" t="s">
        <v>337</v>
      </c>
      <c r="D1238" s="2" t="s">
        <v>109</v>
      </c>
      <c r="E1238" s="2" t="s">
        <v>39</v>
      </c>
      <c r="F1238" s="2">
        <v>503373494</v>
      </c>
      <c r="G1238" s="2" t="s">
        <v>291</v>
      </c>
      <c r="H1238" s="2" t="s">
        <v>338</v>
      </c>
      <c r="I1238" s="2" t="s">
        <v>339</v>
      </c>
      <c r="J1238" s="2">
        <v>965852001</v>
      </c>
      <c r="K1238" s="2" t="s">
        <v>340</v>
      </c>
      <c r="O1238" s="2" t="s">
        <v>43</v>
      </c>
      <c r="P1238" s="2" t="s">
        <v>55</v>
      </c>
      <c r="Q1238" s="2" t="s">
        <v>56</v>
      </c>
      <c r="R1238" s="2">
        <v>5</v>
      </c>
      <c r="S1238" s="2">
        <v>85</v>
      </c>
      <c r="T1238" s="2">
        <v>19.55</v>
      </c>
      <c r="U1238" s="2">
        <v>104.55</v>
      </c>
      <c r="V1238" s="2">
        <f>10.6*R1238</f>
        <v>53</v>
      </c>
      <c r="W1238" s="5">
        <f t="shared" si="125"/>
        <v>0.37647058823529411</v>
      </c>
      <c r="Y1238" s="2" t="s">
        <v>3256</v>
      </c>
      <c r="Z1238" s="2" t="s">
        <v>46</v>
      </c>
      <c r="AA1238" s="2" t="s">
        <v>57</v>
      </c>
      <c r="AB1238" s="2" t="s">
        <v>58</v>
      </c>
      <c r="AE1238" s="2">
        <f t="shared" si="126"/>
        <v>0</v>
      </c>
      <c r="AF1238" s="2">
        <v>10.6</v>
      </c>
      <c r="AG1238" s="2">
        <v>18</v>
      </c>
      <c r="AI1238" s="2">
        <f t="shared" si="127"/>
        <v>0</v>
      </c>
      <c r="AJ1238" s="2">
        <f t="shared" si="128"/>
        <v>32</v>
      </c>
      <c r="AK1238" s="5">
        <f t="shared" si="129"/>
        <v>0.37647058823529411</v>
      </c>
    </row>
    <row r="1239" spans="1:37" x14ac:dyDescent="0.2">
      <c r="A1239" s="2">
        <v>2025</v>
      </c>
      <c r="B1239" s="2">
        <v>7</v>
      </c>
      <c r="C1239" s="2" t="s">
        <v>337</v>
      </c>
      <c r="D1239" s="2" t="s">
        <v>109</v>
      </c>
      <c r="E1239" s="2" t="s">
        <v>39</v>
      </c>
      <c r="F1239" s="2">
        <v>503373494</v>
      </c>
      <c r="G1239" s="2" t="s">
        <v>291</v>
      </c>
      <c r="H1239" s="2" t="s">
        <v>338</v>
      </c>
      <c r="I1239" s="2" t="s">
        <v>339</v>
      </c>
      <c r="J1239" s="2">
        <v>965852001</v>
      </c>
      <c r="K1239" s="2" t="s">
        <v>340</v>
      </c>
      <c r="O1239" s="2" t="s">
        <v>43</v>
      </c>
      <c r="P1239" s="2" t="s">
        <v>62</v>
      </c>
      <c r="Q1239" s="2" t="s">
        <v>63</v>
      </c>
      <c r="R1239" s="2">
        <v>200</v>
      </c>
      <c r="S1239" s="2">
        <v>26</v>
      </c>
      <c r="T1239" s="2">
        <v>5.98</v>
      </c>
      <c r="U1239" s="2">
        <v>31.98</v>
      </c>
      <c r="V1239" s="2">
        <f>0.082*R1239</f>
        <v>16.400000000000002</v>
      </c>
      <c r="W1239" s="5">
        <f t="shared" si="125"/>
        <v>0.36923076923076914</v>
      </c>
      <c r="Y1239" s="2" t="s">
        <v>3256</v>
      </c>
      <c r="Z1239" s="2" t="s">
        <v>46</v>
      </c>
      <c r="AA1239" s="2" t="s">
        <v>61</v>
      </c>
      <c r="AB1239" s="2" t="s">
        <v>58</v>
      </c>
      <c r="AE1239" s="2">
        <f t="shared" si="126"/>
        <v>0</v>
      </c>
      <c r="AF1239" s="2">
        <v>8.1999999999999993</v>
      </c>
      <c r="AG1239" s="2">
        <v>13</v>
      </c>
      <c r="AI1239" s="2">
        <f t="shared" si="127"/>
        <v>0</v>
      </c>
      <c r="AJ1239" s="2">
        <f t="shared" si="128"/>
        <v>9.5999999999999979</v>
      </c>
      <c r="AK1239" s="5">
        <f t="shared" si="129"/>
        <v>0.36923076923076914</v>
      </c>
    </row>
    <row r="1240" spans="1:37" x14ac:dyDescent="0.2">
      <c r="A1240" s="2">
        <v>2025</v>
      </c>
      <c r="B1240" s="2">
        <v>7</v>
      </c>
      <c r="C1240" s="2" t="s">
        <v>337</v>
      </c>
      <c r="D1240" s="2" t="s">
        <v>109</v>
      </c>
      <c r="E1240" s="2" t="s">
        <v>39</v>
      </c>
      <c r="F1240" s="2">
        <v>503373494</v>
      </c>
      <c r="G1240" s="2" t="s">
        <v>291</v>
      </c>
      <c r="H1240" s="2" t="s">
        <v>338</v>
      </c>
      <c r="I1240" s="2" t="s">
        <v>339</v>
      </c>
      <c r="J1240" s="2">
        <v>965852001</v>
      </c>
      <c r="K1240" s="2" t="s">
        <v>340</v>
      </c>
      <c r="O1240" s="2" t="s">
        <v>43</v>
      </c>
      <c r="P1240" s="2" t="s">
        <v>255</v>
      </c>
      <c r="Q1240" s="2" t="s">
        <v>256</v>
      </c>
      <c r="R1240" s="2">
        <v>200</v>
      </c>
      <c r="S1240" s="2">
        <v>28</v>
      </c>
      <c r="T1240" s="2">
        <v>6.44</v>
      </c>
      <c r="U1240" s="2">
        <v>34.44</v>
      </c>
      <c r="W1240" s="5">
        <f t="shared" si="125"/>
        <v>1</v>
      </c>
      <c r="Y1240" s="2" t="s">
        <v>3256</v>
      </c>
      <c r="Z1240" s="2" t="s">
        <v>46</v>
      </c>
      <c r="AA1240" s="2" t="s">
        <v>61</v>
      </c>
      <c r="AB1240" s="2" t="s">
        <v>58</v>
      </c>
      <c r="AE1240" s="2">
        <f t="shared" si="126"/>
        <v>0</v>
      </c>
      <c r="AI1240" s="2">
        <f t="shared" si="127"/>
        <v>0</v>
      </c>
      <c r="AJ1240" s="2">
        <f t="shared" si="128"/>
        <v>28</v>
      </c>
      <c r="AK1240" s="5">
        <f t="shared" si="129"/>
        <v>1</v>
      </c>
    </row>
    <row r="1241" spans="1:37" x14ac:dyDescent="0.2">
      <c r="A1241" s="2">
        <v>2025</v>
      </c>
      <c r="B1241" s="2">
        <v>7</v>
      </c>
      <c r="C1241" s="2" t="s">
        <v>743</v>
      </c>
      <c r="D1241" s="2" t="s">
        <v>109</v>
      </c>
      <c r="E1241" s="2" t="s">
        <v>723</v>
      </c>
      <c r="F1241" s="2">
        <v>500331596</v>
      </c>
      <c r="G1241" s="2" t="s">
        <v>40</v>
      </c>
      <c r="H1241" s="2" t="s">
        <v>744</v>
      </c>
      <c r="I1241" s="2" t="s">
        <v>745</v>
      </c>
      <c r="K1241" s="2" t="s">
        <v>345</v>
      </c>
      <c r="L1241" s="2" t="s">
        <v>40</v>
      </c>
      <c r="N1241" s="2" t="s">
        <v>1515</v>
      </c>
      <c r="O1241" s="2" t="s">
        <v>115</v>
      </c>
      <c r="P1241" s="2" t="s">
        <v>785</v>
      </c>
      <c r="Q1241" s="2" t="s">
        <v>786</v>
      </c>
      <c r="R1241" s="2">
        <v>2</v>
      </c>
      <c r="S1241" s="2">
        <v>153.34</v>
      </c>
      <c r="T1241" s="2">
        <v>35.2682</v>
      </c>
      <c r="U1241" s="2">
        <v>188.60820000000001</v>
      </c>
      <c r="W1241" s="5">
        <f t="shared" si="125"/>
        <v>1</v>
      </c>
      <c r="AE1241" s="2">
        <f t="shared" si="126"/>
        <v>0</v>
      </c>
      <c r="AI1241" s="2">
        <f t="shared" si="127"/>
        <v>0</v>
      </c>
      <c r="AJ1241" s="2">
        <f t="shared" si="128"/>
        <v>153.34</v>
      </c>
      <c r="AK1241" s="5">
        <f t="shared" si="129"/>
        <v>1</v>
      </c>
    </row>
    <row r="1242" spans="1:37" x14ac:dyDescent="0.2">
      <c r="A1242" s="2">
        <v>2025</v>
      </c>
      <c r="B1242" s="2">
        <v>7</v>
      </c>
      <c r="C1242" s="2" t="s">
        <v>747</v>
      </c>
      <c r="O1242" s="2" t="s">
        <v>40</v>
      </c>
      <c r="P1242" s="2" t="s">
        <v>364</v>
      </c>
      <c r="Q1242" s="2" t="s">
        <v>365</v>
      </c>
      <c r="R1242" s="2">
        <v>1</v>
      </c>
      <c r="S1242" s="2">
        <v>70</v>
      </c>
      <c r="T1242" s="2">
        <v>16.100000000000001</v>
      </c>
      <c r="U1242" s="2">
        <v>86.1</v>
      </c>
      <c r="W1242" s="5">
        <f t="shared" si="125"/>
        <v>1</v>
      </c>
      <c r="Y1242" s="2" t="s">
        <v>120</v>
      </c>
      <c r="AE1242" s="2">
        <f t="shared" si="126"/>
        <v>0</v>
      </c>
      <c r="AI1242" s="2">
        <f t="shared" si="127"/>
        <v>0</v>
      </c>
      <c r="AJ1242" s="2">
        <f t="shared" si="128"/>
        <v>70</v>
      </c>
      <c r="AK1242" s="5">
        <f t="shared" si="129"/>
        <v>1</v>
      </c>
    </row>
    <row r="1243" spans="1:37" x14ac:dyDescent="0.2">
      <c r="A1243" s="2">
        <v>2025</v>
      </c>
      <c r="B1243" s="2">
        <v>7</v>
      </c>
      <c r="C1243" s="2" t="s">
        <v>1364</v>
      </c>
      <c r="O1243" s="2" t="s">
        <v>283</v>
      </c>
      <c r="P1243" s="2" t="s">
        <v>1448</v>
      </c>
      <c r="Q1243" s="2" t="s">
        <v>1449</v>
      </c>
      <c r="R1243" s="2">
        <v>20</v>
      </c>
      <c r="S1243" s="2">
        <v>158</v>
      </c>
      <c r="T1243" s="2">
        <v>36.340000000000003</v>
      </c>
      <c r="U1243" s="2">
        <v>194.34</v>
      </c>
      <c r="W1243" s="5">
        <f t="shared" si="125"/>
        <v>1</v>
      </c>
      <c r="Y1243" s="2" t="s">
        <v>3256</v>
      </c>
      <c r="AE1243" s="2">
        <f t="shared" si="126"/>
        <v>0</v>
      </c>
      <c r="AI1243" s="2">
        <f t="shared" si="127"/>
        <v>0</v>
      </c>
      <c r="AJ1243" s="2">
        <f t="shared" si="128"/>
        <v>158</v>
      </c>
      <c r="AK1243" s="5">
        <f t="shared" si="129"/>
        <v>1</v>
      </c>
    </row>
    <row r="1244" spans="1:37" x14ac:dyDescent="0.2">
      <c r="A1244" s="2">
        <v>2025</v>
      </c>
      <c r="B1244" s="2">
        <v>7</v>
      </c>
      <c r="C1244" s="2" t="s">
        <v>1516</v>
      </c>
      <c r="D1244" s="2" t="s">
        <v>38</v>
      </c>
      <c r="E1244" s="2" t="s">
        <v>39</v>
      </c>
      <c r="F1244" s="2">
        <v>505483335</v>
      </c>
      <c r="G1244" s="2" t="s">
        <v>40</v>
      </c>
      <c r="H1244" s="2" t="s">
        <v>1517</v>
      </c>
      <c r="I1244" s="2" t="s">
        <v>1518</v>
      </c>
      <c r="J1244" s="2">
        <v>961386655</v>
      </c>
      <c r="K1244" s="2" t="s">
        <v>134</v>
      </c>
      <c r="L1244" s="2" t="s">
        <v>40</v>
      </c>
      <c r="N1244" s="2" t="s">
        <v>1519</v>
      </c>
      <c r="O1244" s="2" t="s">
        <v>43</v>
      </c>
      <c r="P1244" s="2" t="s">
        <v>55</v>
      </c>
      <c r="Q1244" s="2" t="s">
        <v>56</v>
      </c>
      <c r="R1244" s="2">
        <v>1</v>
      </c>
      <c r="S1244" s="2">
        <v>18</v>
      </c>
      <c r="T1244" s="2">
        <v>4.1400000000000006</v>
      </c>
      <c r="U1244" s="2">
        <v>22.14</v>
      </c>
      <c r="V1244" s="2">
        <f>10.6*R1244</f>
        <v>10.6</v>
      </c>
      <c r="W1244" s="5">
        <f t="shared" si="125"/>
        <v>0.41111111111111115</v>
      </c>
      <c r="Y1244" s="2" t="s">
        <v>3256</v>
      </c>
      <c r="Z1244" s="2" t="s">
        <v>46</v>
      </c>
      <c r="AA1244" s="2" t="s">
        <v>57</v>
      </c>
      <c r="AB1244" s="2" t="s">
        <v>58</v>
      </c>
      <c r="AE1244" s="2">
        <f t="shared" si="126"/>
        <v>0</v>
      </c>
      <c r="AF1244" s="2">
        <v>10.6</v>
      </c>
      <c r="AG1244" s="2">
        <v>18</v>
      </c>
      <c r="AI1244" s="2">
        <f t="shared" si="127"/>
        <v>0</v>
      </c>
      <c r="AJ1244" s="2">
        <f t="shared" si="128"/>
        <v>7.4</v>
      </c>
      <c r="AK1244" s="5">
        <f t="shared" si="129"/>
        <v>0.41111111111111115</v>
      </c>
    </row>
    <row r="1245" spans="1:37" x14ac:dyDescent="0.2">
      <c r="A1245" s="2">
        <v>2025</v>
      </c>
      <c r="B1245" s="2">
        <v>7</v>
      </c>
      <c r="C1245" s="2" t="s">
        <v>1516</v>
      </c>
      <c r="D1245" s="2" t="s">
        <v>38</v>
      </c>
      <c r="E1245" s="2" t="s">
        <v>39</v>
      </c>
      <c r="F1245" s="2">
        <v>505483335</v>
      </c>
      <c r="G1245" s="2" t="s">
        <v>40</v>
      </c>
      <c r="H1245" s="2" t="s">
        <v>1517</v>
      </c>
      <c r="I1245" s="2" t="s">
        <v>1518</v>
      </c>
      <c r="J1245" s="2">
        <v>961386655</v>
      </c>
      <c r="K1245" s="2" t="s">
        <v>134</v>
      </c>
      <c r="L1245" s="2" t="s">
        <v>40</v>
      </c>
      <c r="N1245" s="2" t="s">
        <v>1519</v>
      </c>
      <c r="O1245" s="2" t="s">
        <v>43</v>
      </c>
      <c r="P1245" s="2" t="s">
        <v>62</v>
      </c>
      <c r="Q1245" s="2" t="s">
        <v>63</v>
      </c>
      <c r="R1245" s="2">
        <v>100</v>
      </c>
      <c r="S1245" s="2">
        <v>13</v>
      </c>
      <c r="T1245" s="2">
        <v>2.99</v>
      </c>
      <c r="U1245" s="2">
        <v>15.99</v>
      </c>
      <c r="V1245" s="2">
        <f>0.082*R1245</f>
        <v>8.2000000000000011</v>
      </c>
      <c r="W1245" s="5">
        <f t="shared" si="125"/>
        <v>0.36923076923076914</v>
      </c>
      <c r="Y1245" s="2" t="s">
        <v>3256</v>
      </c>
      <c r="Z1245" s="2" t="s">
        <v>46</v>
      </c>
      <c r="AA1245" s="2" t="s">
        <v>61</v>
      </c>
      <c r="AB1245" s="2" t="s">
        <v>58</v>
      </c>
      <c r="AE1245" s="2">
        <f t="shared" si="126"/>
        <v>0</v>
      </c>
      <c r="AF1245" s="2">
        <v>8.1999999999999993</v>
      </c>
      <c r="AG1245" s="2">
        <v>13</v>
      </c>
      <c r="AI1245" s="2">
        <f t="shared" si="127"/>
        <v>0</v>
      </c>
      <c r="AJ1245" s="2">
        <f t="shared" si="128"/>
        <v>4.7999999999999989</v>
      </c>
      <c r="AK1245" s="5">
        <f t="shared" si="129"/>
        <v>0.36923076923076914</v>
      </c>
    </row>
    <row r="1246" spans="1:37" x14ac:dyDescent="0.2">
      <c r="A1246" s="2">
        <v>2025</v>
      </c>
      <c r="B1246" s="2">
        <v>7</v>
      </c>
      <c r="C1246" s="2" t="s">
        <v>1516</v>
      </c>
      <c r="D1246" s="2" t="s">
        <v>38</v>
      </c>
      <c r="E1246" s="2" t="s">
        <v>39</v>
      </c>
      <c r="F1246" s="2">
        <v>505483335</v>
      </c>
      <c r="G1246" s="2" t="s">
        <v>40</v>
      </c>
      <c r="H1246" s="2" t="s">
        <v>1517</v>
      </c>
      <c r="I1246" s="2" t="s">
        <v>1518</v>
      </c>
      <c r="J1246" s="2">
        <v>961386655</v>
      </c>
      <c r="K1246" s="2" t="s">
        <v>134</v>
      </c>
      <c r="L1246" s="2" t="s">
        <v>40</v>
      </c>
      <c r="N1246" s="2" t="s">
        <v>1519</v>
      </c>
      <c r="O1246" s="2" t="s">
        <v>43</v>
      </c>
      <c r="P1246" s="2" t="s">
        <v>257</v>
      </c>
      <c r="Q1246" s="2" t="s">
        <v>258</v>
      </c>
      <c r="R1246" s="2">
        <v>1</v>
      </c>
      <c r="S1246" s="2">
        <v>3</v>
      </c>
      <c r="T1246" s="2">
        <v>0.69000000000000006</v>
      </c>
      <c r="U1246" s="2">
        <v>3.69</v>
      </c>
      <c r="V1246" s="2">
        <v>0.98</v>
      </c>
      <c r="W1246" s="5">
        <f t="shared" si="125"/>
        <v>0.67333333333333334</v>
      </c>
      <c r="Y1246" s="2" t="s">
        <v>3256</v>
      </c>
      <c r="Z1246" s="2" t="s">
        <v>46</v>
      </c>
      <c r="AA1246" s="2" t="s">
        <v>91</v>
      </c>
      <c r="AB1246" s="2" t="s">
        <v>58</v>
      </c>
      <c r="AE1246" s="2">
        <f t="shared" si="126"/>
        <v>0</v>
      </c>
      <c r="AF1246" s="2">
        <v>0.98</v>
      </c>
      <c r="AG1246" s="2">
        <v>1.8</v>
      </c>
      <c r="AI1246" s="2">
        <f t="shared" si="127"/>
        <v>0</v>
      </c>
      <c r="AJ1246" s="2">
        <f t="shared" si="128"/>
        <v>2.02</v>
      </c>
      <c r="AK1246" s="5">
        <f t="shared" si="129"/>
        <v>0.67333333333333334</v>
      </c>
    </row>
    <row r="1247" spans="1:37" x14ac:dyDescent="0.2">
      <c r="A1247" s="2">
        <v>2025</v>
      </c>
      <c r="B1247" s="2">
        <v>7</v>
      </c>
      <c r="C1247" s="2" t="s">
        <v>1516</v>
      </c>
      <c r="D1247" s="2" t="s">
        <v>38</v>
      </c>
      <c r="E1247" s="2" t="s">
        <v>39</v>
      </c>
      <c r="F1247" s="2">
        <v>505483335</v>
      </c>
      <c r="G1247" s="2" t="s">
        <v>40</v>
      </c>
      <c r="H1247" s="2" t="s">
        <v>1517</v>
      </c>
      <c r="I1247" s="2" t="s">
        <v>1518</v>
      </c>
      <c r="J1247" s="2">
        <v>961386655</v>
      </c>
      <c r="K1247" s="2" t="s">
        <v>134</v>
      </c>
      <c r="L1247" s="2" t="s">
        <v>40</v>
      </c>
      <c r="N1247" s="2" t="s">
        <v>1519</v>
      </c>
      <c r="O1247" s="2" t="s">
        <v>43</v>
      </c>
      <c r="P1247" s="2" t="s">
        <v>165</v>
      </c>
      <c r="Q1247" s="2" t="s">
        <v>166</v>
      </c>
      <c r="R1247" s="2">
        <v>1</v>
      </c>
      <c r="S1247" s="2">
        <v>15</v>
      </c>
      <c r="T1247" s="2">
        <v>3.45</v>
      </c>
      <c r="U1247" s="2">
        <v>18.45</v>
      </c>
      <c r="V1247" s="2">
        <f>7.9612*R1247</f>
        <v>7.9611999999999998</v>
      </c>
      <c r="W1247" s="5">
        <f t="shared" si="125"/>
        <v>0.46925333333333336</v>
      </c>
      <c r="Y1247" s="2" t="s">
        <v>3256</v>
      </c>
      <c r="Z1247" s="2" t="s">
        <v>46</v>
      </c>
      <c r="AA1247" s="2" t="s">
        <v>68</v>
      </c>
      <c r="AB1247" s="2" t="s">
        <v>58</v>
      </c>
      <c r="AE1247" s="2">
        <f t="shared" si="126"/>
        <v>0</v>
      </c>
      <c r="AF1247" s="2">
        <v>7.9611999999999998</v>
      </c>
      <c r="AG1247" s="2">
        <v>14.4</v>
      </c>
      <c r="AI1247" s="2">
        <f t="shared" si="127"/>
        <v>0</v>
      </c>
      <c r="AJ1247" s="2">
        <f t="shared" si="128"/>
        <v>7.0388000000000002</v>
      </c>
      <c r="AK1247" s="5">
        <f t="shared" si="129"/>
        <v>0.46925333333333336</v>
      </c>
    </row>
    <row r="1248" spans="1:37" x14ac:dyDescent="0.2">
      <c r="A1248" s="2">
        <v>2025</v>
      </c>
      <c r="B1248" s="2">
        <v>7</v>
      </c>
      <c r="C1248" s="2" t="s">
        <v>1516</v>
      </c>
      <c r="D1248" s="2" t="s">
        <v>38</v>
      </c>
      <c r="E1248" s="2" t="s">
        <v>39</v>
      </c>
      <c r="F1248" s="2">
        <v>505483335</v>
      </c>
      <c r="G1248" s="2" t="s">
        <v>40</v>
      </c>
      <c r="H1248" s="2" t="s">
        <v>1517</v>
      </c>
      <c r="I1248" s="2" t="s">
        <v>1518</v>
      </c>
      <c r="J1248" s="2">
        <v>961386655</v>
      </c>
      <c r="K1248" s="2" t="s">
        <v>134</v>
      </c>
      <c r="L1248" s="2" t="s">
        <v>40</v>
      </c>
      <c r="N1248" s="2" t="s">
        <v>1519</v>
      </c>
      <c r="O1248" s="2" t="s">
        <v>40</v>
      </c>
      <c r="P1248" s="2" t="s">
        <v>914</v>
      </c>
      <c r="Q1248" s="2" t="s">
        <v>915</v>
      </c>
      <c r="R1248" s="2">
        <v>1</v>
      </c>
      <c r="S1248" s="2">
        <v>1500</v>
      </c>
      <c r="T1248" s="2">
        <v>345</v>
      </c>
      <c r="U1248" s="2">
        <v>1845</v>
      </c>
      <c r="W1248" s="5">
        <f t="shared" si="125"/>
        <v>1</v>
      </c>
      <c r="Y1248" s="2" t="s">
        <v>105</v>
      </c>
      <c r="Z1248" s="2" t="s">
        <v>1520</v>
      </c>
      <c r="AA1248" s="2" t="s">
        <v>1521</v>
      </c>
      <c r="AB1248" s="2" t="s">
        <v>120</v>
      </c>
      <c r="AE1248" s="2">
        <f t="shared" si="126"/>
        <v>0</v>
      </c>
      <c r="AI1248" s="2">
        <f t="shared" si="127"/>
        <v>0</v>
      </c>
      <c r="AJ1248" s="2">
        <f t="shared" si="128"/>
        <v>1500</v>
      </c>
      <c r="AK1248" s="5">
        <f t="shared" si="129"/>
        <v>1</v>
      </c>
    </row>
    <row r="1249" spans="1:37" x14ac:dyDescent="0.2">
      <c r="A1249" s="2">
        <v>2025</v>
      </c>
      <c r="B1249" s="2">
        <v>7</v>
      </c>
      <c r="C1249" s="2" t="s">
        <v>1516</v>
      </c>
      <c r="D1249" s="2" t="s">
        <v>38</v>
      </c>
      <c r="E1249" s="2" t="s">
        <v>39</v>
      </c>
      <c r="F1249" s="2">
        <v>505483335</v>
      </c>
      <c r="G1249" s="2" t="s">
        <v>40</v>
      </c>
      <c r="H1249" s="2" t="s">
        <v>1517</v>
      </c>
      <c r="I1249" s="2" t="s">
        <v>1518</v>
      </c>
      <c r="J1249" s="2">
        <v>961386655</v>
      </c>
      <c r="K1249" s="2" t="s">
        <v>134</v>
      </c>
      <c r="L1249" s="2" t="s">
        <v>40</v>
      </c>
      <c r="N1249" s="2" t="s">
        <v>1519</v>
      </c>
      <c r="O1249" s="2" t="s">
        <v>40</v>
      </c>
      <c r="P1249" s="2" t="s">
        <v>1522</v>
      </c>
      <c r="Q1249" s="2" t="s">
        <v>1523</v>
      </c>
      <c r="R1249" s="2">
        <v>1</v>
      </c>
      <c r="S1249" s="2">
        <v>1500</v>
      </c>
      <c r="T1249" s="2">
        <v>345</v>
      </c>
      <c r="U1249" s="2">
        <v>1845</v>
      </c>
      <c r="V1249" s="2">
        <v>1000</v>
      </c>
      <c r="W1249" s="5">
        <f t="shared" si="125"/>
        <v>0.33333333333333331</v>
      </c>
      <c r="Y1249" s="2" t="s">
        <v>105</v>
      </c>
      <c r="Z1249" s="2" t="s">
        <v>1520</v>
      </c>
      <c r="AA1249" s="2" t="s">
        <v>1524</v>
      </c>
      <c r="AB1249" s="2" t="s">
        <v>120</v>
      </c>
      <c r="AE1249" s="2">
        <f t="shared" si="126"/>
        <v>0</v>
      </c>
      <c r="AF1249" s="2">
        <v>1000</v>
      </c>
      <c r="AI1249" s="2">
        <f t="shared" si="127"/>
        <v>0</v>
      </c>
      <c r="AJ1249" s="2">
        <f t="shared" si="128"/>
        <v>500</v>
      </c>
      <c r="AK1249" s="5">
        <f t="shared" si="129"/>
        <v>0.33333333333333331</v>
      </c>
    </row>
    <row r="1250" spans="1:37" x14ac:dyDescent="0.2">
      <c r="A1250" s="2">
        <v>2025</v>
      </c>
      <c r="B1250" s="2">
        <v>7</v>
      </c>
      <c r="C1250" s="2" t="s">
        <v>1365</v>
      </c>
      <c r="D1250" s="2" t="s">
        <v>758</v>
      </c>
      <c r="E1250" s="2" t="s">
        <v>39</v>
      </c>
      <c r="F1250" s="2">
        <v>518238334</v>
      </c>
      <c r="G1250" s="2" t="s">
        <v>41</v>
      </c>
      <c r="H1250" s="2" t="s">
        <v>768</v>
      </c>
      <c r="I1250" s="2" t="s">
        <v>1366</v>
      </c>
      <c r="K1250" s="2" t="s">
        <v>422</v>
      </c>
      <c r="O1250" s="2" t="s">
        <v>283</v>
      </c>
      <c r="P1250" s="2" t="s">
        <v>1525</v>
      </c>
      <c r="Q1250" s="2" t="s">
        <v>1526</v>
      </c>
      <c r="R1250" s="2">
        <v>1</v>
      </c>
      <c r="S1250" s="2">
        <v>45</v>
      </c>
      <c r="T1250" s="2">
        <v>10.35</v>
      </c>
      <c r="U1250" s="2">
        <v>55.35</v>
      </c>
      <c r="W1250" s="5">
        <f t="shared" si="125"/>
        <v>1</v>
      </c>
      <c r="Y1250" s="2" t="s">
        <v>3256</v>
      </c>
      <c r="AE1250" s="2">
        <f t="shared" si="126"/>
        <v>0</v>
      </c>
      <c r="AI1250" s="2">
        <f t="shared" si="127"/>
        <v>0</v>
      </c>
      <c r="AJ1250" s="2">
        <f t="shared" si="128"/>
        <v>45</v>
      </c>
      <c r="AK1250" s="5">
        <f t="shared" si="129"/>
        <v>1</v>
      </c>
    </row>
    <row r="1251" spans="1:37" x14ac:dyDescent="0.2">
      <c r="A1251" s="2">
        <v>2025</v>
      </c>
      <c r="B1251" s="2">
        <v>7</v>
      </c>
      <c r="C1251" s="2" t="s">
        <v>1365</v>
      </c>
      <c r="D1251" s="2" t="s">
        <v>758</v>
      </c>
      <c r="E1251" s="2" t="s">
        <v>39</v>
      </c>
      <c r="F1251" s="2">
        <v>518238334</v>
      </c>
      <c r="G1251" s="2" t="s">
        <v>41</v>
      </c>
      <c r="H1251" s="2" t="s">
        <v>768</v>
      </c>
      <c r="I1251" s="2" t="s">
        <v>1366</v>
      </c>
      <c r="K1251" s="2" t="s">
        <v>422</v>
      </c>
      <c r="O1251" s="2" t="s">
        <v>283</v>
      </c>
      <c r="P1251" s="2" t="s">
        <v>1527</v>
      </c>
      <c r="Q1251" s="2" t="s">
        <v>1528</v>
      </c>
      <c r="R1251" s="2">
        <v>1</v>
      </c>
      <c r="S1251" s="2">
        <v>99.9</v>
      </c>
      <c r="T1251" s="2">
        <v>22.977</v>
      </c>
      <c r="U1251" s="2">
        <v>122.877</v>
      </c>
      <c r="W1251" s="5">
        <f t="shared" si="125"/>
        <v>1</v>
      </c>
      <c r="AE1251" s="2">
        <f t="shared" si="126"/>
        <v>0</v>
      </c>
      <c r="AI1251" s="2">
        <f t="shared" si="127"/>
        <v>0</v>
      </c>
      <c r="AJ1251" s="2">
        <f t="shared" si="128"/>
        <v>99.9</v>
      </c>
      <c r="AK1251" s="5">
        <f t="shared" si="129"/>
        <v>1</v>
      </c>
    </row>
    <row r="1252" spans="1:37" x14ac:dyDescent="0.2">
      <c r="A1252" s="2">
        <v>2025</v>
      </c>
      <c r="B1252" s="2">
        <v>7</v>
      </c>
      <c r="C1252" s="2" t="s">
        <v>750</v>
      </c>
      <c r="D1252" s="2" t="s">
        <v>109</v>
      </c>
      <c r="E1252" s="2" t="s">
        <v>39</v>
      </c>
      <c r="F1252" s="2">
        <v>509181163</v>
      </c>
      <c r="G1252" s="2" t="s">
        <v>40</v>
      </c>
      <c r="H1252" s="2" t="s">
        <v>751</v>
      </c>
      <c r="I1252" s="2" t="s">
        <v>752</v>
      </c>
      <c r="J1252" s="2">
        <v>962372760</v>
      </c>
      <c r="K1252" s="2" t="s">
        <v>202</v>
      </c>
      <c r="O1252" s="2" t="s">
        <v>115</v>
      </c>
      <c r="P1252" s="2" t="s">
        <v>1529</v>
      </c>
      <c r="Q1252" s="2" t="s">
        <v>1530</v>
      </c>
      <c r="R1252" s="2">
        <v>1</v>
      </c>
      <c r="S1252" s="2">
        <v>23.33</v>
      </c>
      <c r="T1252" s="2">
        <v>5.3658999999999999</v>
      </c>
      <c r="U1252" s="2">
        <v>28.695900000000002</v>
      </c>
      <c r="W1252" s="5">
        <f t="shared" si="125"/>
        <v>1</v>
      </c>
      <c r="AE1252" s="2">
        <f t="shared" si="126"/>
        <v>0</v>
      </c>
      <c r="AI1252" s="2">
        <f t="shared" si="127"/>
        <v>0</v>
      </c>
      <c r="AJ1252" s="2">
        <f t="shared" si="128"/>
        <v>23.33</v>
      </c>
      <c r="AK1252" s="5">
        <f t="shared" si="129"/>
        <v>1</v>
      </c>
    </row>
    <row r="1253" spans="1:37" x14ac:dyDescent="0.2">
      <c r="A1253" s="2">
        <v>2025</v>
      </c>
      <c r="B1253" s="2">
        <v>7</v>
      </c>
      <c r="C1253" s="2" t="s">
        <v>750</v>
      </c>
      <c r="D1253" s="2" t="s">
        <v>109</v>
      </c>
      <c r="E1253" s="2" t="s">
        <v>39</v>
      </c>
      <c r="F1253" s="2">
        <v>509181163</v>
      </c>
      <c r="G1253" s="2" t="s">
        <v>40</v>
      </c>
      <c r="H1253" s="2" t="s">
        <v>751</v>
      </c>
      <c r="I1253" s="2" t="s">
        <v>752</v>
      </c>
      <c r="J1253" s="2">
        <v>962372760</v>
      </c>
      <c r="K1253" s="2" t="s">
        <v>202</v>
      </c>
      <c r="L1253" s="2" t="s">
        <v>40</v>
      </c>
      <c r="O1253" s="2" t="s">
        <v>188</v>
      </c>
      <c r="P1253" s="2" t="s">
        <v>189</v>
      </c>
      <c r="Q1253" s="2" t="s">
        <v>190</v>
      </c>
      <c r="R1253" s="2">
        <v>1</v>
      </c>
      <c r="S1253" s="2">
        <v>50</v>
      </c>
      <c r="T1253" s="2">
        <v>11.5</v>
      </c>
      <c r="U1253" s="2">
        <v>61.5</v>
      </c>
      <c r="W1253" s="5">
        <f t="shared" si="125"/>
        <v>1</v>
      </c>
      <c r="Y1253" s="2" t="s">
        <v>118</v>
      </c>
      <c r="Z1253" s="2" t="s">
        <v>191</v>
      </c>
      <c r="AE1253" s="2">
        <f t="shared" si="126"/>
        <v>0</v>
      </c>
      <c r="AI1253" s="2">
        <f t="shared" si="127"/>
        <v>0</v>
      </c>
      <c r="AJ1253" s="2">
        <f t="shared" si="128"/>
        <v>50</v>
      </c>
      <c r="AK1253" s="5">
        <f t="shared" si="129"/>
        <v>1</v>
      </c>
    </row>
    <row r="1254" spans="1:37" x14ac:dyDescent="0.2">
      <c r="A1254" s="2">
        <v>2025</v>
      </c>
      <c r="B1254" s="2">
        <v>7</v>
      </c>
      <c r="C1254" s="2" t="s">
        <v>750</v>
      </c>
      <c r="D1254" s="2" t="s">
        <v>109</v>
      </c>
      <c r="E1254" s="2" t="s">
        <v>39</v>
      </c>
      <c r="F1254" s="2">
        <v>509181163</v>
      </c>
      <c r="G1254" s="2" t="s">
        <v>40</v>
      </c>
      <c r="H1254" s="2" t="s">
        <v>751</v>
      </c>
      <c r="I1254" s="2" t="s">
        <v>752</v>
      </c>
      <c r="J1254" s="2">
        <v>962372760</v>
      </c>
      <c r="K1254" s="2" t="s">
        <v>202</v>
      </c>
      <c r="L1254" s="2" t="s">
        <v>40</v>
      </c>
      <c r="O1254" s="2" t="s">
        <v>188</v>
      </c>
      <c r="P1254" s="2" t="s">
        <v>192</v>
      </c>
      <c r="Q1254" s="2" t="s">
        <v>191</v>
      </c>
      <c r="R1254" s="2">
        <v>2</v>
      </c>
      <c r="S1254" s="2">
        <v>100</v>
      </c>
      <c r="T1254" s="2">
        <v>23</v>
      </c>
      <c r="U1254" s="2">
        <v>123</v>
      </c>
      <c r="V1254" s="2">
        <f>S1254*50%</f>
        <v>50</v>
      </c>
      <c r="W1254" s="5">
        <f t="shared" si="125"/>
        <v>0.5</v>
      </c>
      <c r="Y1254" s="2" t="s">
        <v>118</v>
      </c>
      <c r="Z1254" s="2" t="s">
        <v>191</v>
      </c>
      <c r="AE1254" s="2">
        <f t="shared" si="126"/>
        <v>0</v>
      </c>
      <c r="AI1254" s="2">
        <f t="shared" si="127"/>
        <v>0</v>
      </c>
      <c r="AJ1254" s="2">
        <f t="shared" si="128"/>
        <v>50</v>
      </c>
      <c r="AK1254" s="5">
        <f t="shared" si="129"/>
        <v>0.5</v>
      </c>
    </row>
    <row r="1255" spans="1:37" x14ac:dyDescent="0.2">
      <c r="A1255" s="2">
        <v>2025</v>
      </c>
      <c r="B1255" s="2">
        <v>7</v>
      </c>
      <c r="C1255" s="2" t="s">
        <v>1531</v>
      </c>
      <c r="O1255" s="2" t="s">
        <v>283</v>
      </c>
      <c r="P1255" s="2" t="s">
        <v>1458</v>
      </c>
      <c r="Q1255" s="2" t="s">
        <v>1459</v>
      </c>
      <c r="R1255" s="2">
        <v>1</v>
      </c>
      <c r="S1255" s="2">
        <v>370</v>
      </c>
      <c r="T1255" s="2">
        <v>85.100000000000009</v>
      </c>
      <c r="U1255" s="2">
        <v>455.1</v>
      </c>
      <c r="W1255" s="5">
        <f t="shared" si="125"/>
        <v>1</v>
      </c>
      <c r="Y1255" s="2" t="s">
        <v>3256</v>
      </c>
      <c r="AE1255" s="2">
        <f t="shared" si="126"/>
        <v>0</v>
      </c>
      <c r="AI1255" s="2">
        <f t="shared" si="127"/>
        <v>0</v>
      </c>
      <c r="AJ1255" s="2">
        <f t="shared" si="128"/>
        <v>370</v>
      </c>
      <c r="AK1255" s="5">
        <f t="shared" si="129"/>
        <v>1</v>
      </c>
    </row>
    <row r="1256" spans="1:37" x14ac:dyDescent="0.2">
      <c r="A1256" s="2">
        <v>2025</v>
      </c>
      <c r="B1256" s="2">
        <v>7</v>
      </c>
      <c r="C1256" s="2" t="s">
        <v>1531</v>
      </c>
      <c r="O1256" s="2" t="s">
        <v>69</v>
      </c>
      <c r="P1256" s="2" t="s">
        <v>1532</v>
      </c>
      <c r="Q1256" s="2" t="s">
        <v>1533</v>
      </c>
      <c r="R1256" s="2">
        <v>2</v>
      </c>
      <c r="S1256" s="2">
        <v>6200</v>
      </c>
      <c r="T1256" s="2">
        <v>1426</v>
      </c>
      <c r="U1256" s="2">
        <v>7626</v>
      </c>
      <c r="V1256" s="2">
        <v>2410.69</v>
      </c>
      <c r="W1256" s="5">
        <f t="shared" si="125"/>
        <v>0.61117903225806447</v>
      </c>
      <c r="Y1256" s="2" t="s">
        <v>105</v>
      </c>
      <c r="Z1256" s="2" t="s">
        <v>265</v>
      </c>
      <c r="AA1256" s="2" t="s">
        <v>1534</v>
      </c>
      <c r="AB1256" s="2" t="s">
        <v>3261</v>
      </c>
      <c r="AE1256" s="2">
        <f t="shared" si="126"/>
        <v>0</v>
      </c>
      <c r="AF1256" s="2">
        <v>2410.69</v>
      </c>
      <c r="AI1256" s="2">
        <f t="shared" si="127"/>
        <v>0</v>
      </c>
      <c r="AJ1256" s="2">
        <f t="shared" si="128"/>
        <v>3789.31</v>
      </c>
      <c r="AK1256" s="5">
        <f t="shared" si="129"/>
        <v>0.61117903225806447</v>
      </c>
    </row>
    <row r="1257" spans="1:37" x14ac:dyDescent="0.2">
      <c r="A1257" s="2">
        <v>2025</v>
      </c>
      <c r="B1257" s="2">
        <v>7</v>
      </c>
      <c r="C1257" s="2" t="s">
        <v>755</v>
      </c>
      <c r="D1257" s="2" t="s">
        <v>109</v>
      </c>
      <c r="E1257" s="2" t="s">
        <v>39</v>
      </c>
      <c r="F1257" s="2">
        <v>510039537</v>
      </c>
      <c r="G1257" s="2" t="s">
        <v>40</v>
      </c>
      <c r="H1257" s="2" t="s">
        <v>576</v>
      </c>
      <c r="I1257" s="2" t="s">
        <v>756</v>
      </c>
      <c r="J1257" s="2">
        <v>969042927</v>
      </c>
      <c r="K1257" s="2" t="s">
        <v>576</v>
      </c>
      <c r="L1257" s="2" t="s">
        <v>40</v>
      </c>
      <c r="O1257" s="2" t="s">
        <v>188</v>
      </c>
      <c r="P1257" s="2" t="s">
        <v>189</v>
      </c>
      <c r="Q1257" s="2" t="s">
        <v>190</v>
      </c>
      <c r="R1257" s="2">
        <v>1</v>
      </c>
      <c r="S1257" s="2">
        <v>184</v>
      </c>
      <c r="T1257" s="2">
        <v>42.32</v>
      </c>
      <c r="U1257" s="2">
        <v>226.32</v>
      </c>
      <c r="W1257" s="5">
        <f t="shared" si="125"/>
        <v>1</v>
      </c>
      <c r="Y1257" s="2" t="s">
        <v>118</v>
      </c>
      <c r="Z1257" s="2" t="s">
        <v>191</v>
      </c>
      <c r="AE1257" s="2">
        <f t="shared" si="126"/>
        <v>0</v>
      </c>
      <c r="AI1257" s="2">
        <f t="shared" si="127"/>
        <v>0</v>
      </c>
      <c r="AJ1257" s="2">
        <f t="shared" si="128"/>
        <v>184</v>
      </c>
      <c r="AK1257" s="5">
        <f t="shared" si="129"/>
        <v>1</v>
      </c>
    </row>
    <row r="1258" spans="1:37" x14ac:dyDescent="0.2">
      <c r="A1258" s="2">
        <v>2025</v>
      </c>
      <c r="B1258" s="2">
        <v>7</v>
      </c>
      <c r="C1258" s="2" t="s">
        <v>755</v>
      </c>
      <c r="D1258" s="2" t="s">
        <v>109</v>
      </c>
      <c r="E1258" s="2" t="s">
        <v>39</v>
      </c>
      <c r="F1258" s="2">
        <v>510039537</v>
      </c>
      <c r="G1258" s="2" t="s">
        <v>40</v>
      </c>
      <c r="H1258" s="2" t="s">
        <v>576</v>
      </c>
      <c r="I1258" s="2" t="s">
        <v>756</v>
      </c>
      <c r="J1258" s="2">
        <v>969042927</v>
      </c>
      <c r="K1258" s="2" t="s">
        <v>576</v>
      </c>
      <c r="L1258" s="2" t="s">
        <v>40</v>
      </c>
      <c r="O1258" s="2" t="s">
        <v>188</v>
      </c>
      <c r="P1258" s="2" t="s">
        <v>192</v>
      </c>
      <c r="Q1258" s="2" t="s">
        <v>191</v>
      </c>
      <c r="R1258" s="2">
        <v>2</v>
      </c>
      <c r="S1258" s="2">
        <v>100</v>
      </c>
      <c r="T1258" s="2">
        <v>23</v>
      </c>
      <c r="U1258" s="2">
        <v>123</v>
      </c>
      <c r="V1258" s="2">
        <f>S1258*50%</f>
        <v>50</v>
      </c>
      <c r="W1258" s="5">
        <f t="shared" si="125"/>
        <v>0.5</v>
      </c>
      <c r="Y1258" s="2" t="s">
        <v>118</v>
      </c>
      <c r="Z1258" s="2" t="s">
        <v>191</v>
      </c>
      <c r="AE1258" s="2">
        <f t="shared" si="126"/>
        <v>0</v>
      </c>
      <c r="AI1258" s="2">
        <f t="shared" si="127"/>
        <v>0</v>
      </c>
      <c r="AJ1258" s="2">
        <f t="shared" si="128"/>
        <v>50</v>
      </c>
      <c r="AK1258" s="5">
        <f t="shared" si="129"/>
        <v>0.5</v>
      </c>
    </row>
    <row r="1259" spans="1:37" x14ac:dyDescent="0.2">
      <c r="A1259" s="2">
        <v>2025</v>
      </c>
      <c r="B1259" s="2">
        <v>7</v>
      </c>
      <c r="C1259" s="2" t="s">
        <v>1535</v>
      </c>
      <c r="D1259" s="2" t="s">
        <v>38</v>
      </c>
      <c r="E1259" s="2" t="s">
        <v>39</v>
      </c>
      <c r="F1259" s="2">
        <v>514277254</v>
      </c>
      <c r="G1259" s="2" t="s">
        <v>40</v>
      </c>
      <c r="H1259" s="2" t="s">
        <v>1536</v>
      </c>
      <c r="I1259" s="2" t="s">
        <v>1537</v>
      </c>
      <c r="J1259" s="2">
        <v>962461409</v>
      </c>
      <c r="K1259" s="2" t="s">
        <v>345</v>
      </c>
      <c r="O1259" s="2" t="s">
        <v>115</v>
      </c>
      <c r="P1259" s="2" t="s">
        <v>962</v>
      </c>
      <c r="Q1259" s="2" t="s">
        <v>716</v>
      </c>
      <c r="R1259" s="2">
        <v>1</v>
      </c>
      <c r="S1259" s="2">
        <v>0</v>
      </c>
      <c r="T1259" s="2">
        <v>0</v>
      </c>
      <c r="U1259" s="2">
        <v>0</v>
      </c>
      <c r="W1259" s="5">
        <v>0</v>
      </c>
      <c r="Y1259" s="2" t="s">
        <v>105</v>
      </c>
      <c r="Z1259" s="2" t="s">
        <v>583</v>
      </c>
      <c r="AA1259" s="2" t="s">
        <v>707</v>
      </c>
      <c r="AB1259" s="2" t="s">
        <v>115</v>
      </c>
      <c r="AE1259" s="2">
        <f t="shared" si="126"/>
        <v>0</v>
      </c>
      <c r="AI1259" s="2">
        <f t="shared" si="127"/>
        <v>0</v>
      </c>
      <c r="AJ1259" s="2">
        <f t="shared" si="128"/>
        <v>0</v>
      </c>
      <c r="AK1259" s="5" t="e">
        <f t="shared" si="129"/>
        <v>#DIV/0!</v>
      </c>
    </row>
    <row r="1260" spans="1:37" x14ac:dyDescent="0.2">
      <c r="A1260" s="2">
        <v>2025</v>
      </c>
      <c r="B1260" s="2">
        <v>7</v>
      </c>
      <c r="C1260" s="2" t="s">
        <v>1535</v>
      </c>
      <c r="O1260" s="2" t="s">
        <v>115</v>
      </c>
      <c r="P1260" s="2" t="s">
        <v>1538</v>
      </c>
      <c r="Q1260" s="2" t="s">
        <v>1539</v>
      </c>
      <c r="R1260" s="2">
        <v>1</v>
      </c>
      <c r="S1260" s="2">
        <v>0</v>
      </c>
      <c r="T1260" s="2">
        <v>0</v>
      </c>
      <c r="U1260" s="2">
        <v>0</v>
      </c>
      <c r="W1260" s="5" t="e">
        <f t="shared" ref="W1260:W1278" si="130">(S1260-V1260)/S1260</f>
        <v>#DIV/0!</v>
      </c>
      <c r="AE1260" s="2">
        <f t="shared" si="126"/>
        <v>0</v>
      </c>
      <c r="AI1260" s="2">
        <f t="shared" si="127"/>
        <v>0</v>
      </c>
      <c r="AJ1260" s="2">
        <f t="shared" si="128"/>
        <v>0</v>
      </c>
      <c r="AK1260" s="5" t="e">
        <f t="shared" si="129"/>
        <v>#DIV/0!</v>
      </c>
    </row>
    <row r="1261" spans="1:37" x14ac:dyDescent="0.2">
      <c r="A1261" s="2">
        <v>2025</v>
      </c>
      <c r="B1261" s="2">
        <v>7</v>
      </c>
      <c r="C1261" s="2" t="s">
        <v>1535</v>
      </c>
      <c r="O1261" s="2" t="s">
        <v>115</v>
      </c>
      <c r="P1261" s="2" t="s">
        <v>844</v>
      </c>
      <c r="Q1261" s="2" t="s">
        <v>845</v>
      </c>
      <c r="R1261" s="2">
        <v>1</v>
      </c>
      <c r="S1261" s="2">
        <v>6580</v>
      </c>
      <c r="T1261" s="2">
        <v>1513.4</v>
      </c>
      <c r="U1261" s="2">
        <v>8093.4</v>
      </c>
      <c r="W1261" s="5">
        <f t="shared" si="130"/>
        <v>1</v>
      </c>
      <c r="Y1261" s="2" t="s">
        <v>105</v>
      </c>
      <c r="AE1261" s="2">
        <f t="shared" si="126"/>
        <v>0</v>
      </c>
      <c r="AI1261" s="2">
        <f t="shared" si="127"/>
        <v>0</v>
      </c>
      <c r="AJ1261" s="2">
        <f t="shared" si="128"/>
        <v>6580</v>
      </c>
      <c r="AK1261" s="5">
        <f t="shared" si="129"/>
        <v>1</v>
      </c>
    </row>
    <row r="1262" spans="1:37" x14ac:dyDescent="0.2">
      <c r="A1262" s="2">
        <v>2025</v>
      </c>
      <c r="B1262" s="2">
        <v>7</v>
      </c>
      <c r="C1262" s="2" t="s">
        <v>1540</v>
      </c>
      <c r="D1262" s="2" t="s">
        <v>109</v>
      </c>
      <c r="E1262" s="2" t="s">
        <v>39</v>
      </c>
      <c r="F1262" s="2">
        <v>513338888</v>
      </c>
      <c r="G1262" s="2" t="s">
        <v>40</v>
      </c>
      <c r="H1262" s="2" t="s">
        <v>1541</v>
      </c>
      <c r="I1262" s="2" t="s">
        <v>1542</v>
      </c>
      <c r="J1262" s="2">
        <v>962461409</v>
      </c>
      <c r="K1262" s="2" t="s">
        <v>345</v>
      </c>
      <c r="L1262" s="2" t="s">
        <v>40</v>
      </c>
      <c r="N1262" s="2" t="s">
        <v>1543</v>
      </c>
      <c r="O1262" s="2" t="s">
        <v>283</v>
      </c>
      <c r="P1262" s="2" t="s">
        <v>1544</v>
      </c>
      <c r="Q1262" s="2" t="s">
        <v>1545</v>
      </c>
      <c r="R1262" s="2">
        <v>1</v>
      </c>
      <c r="S1262" s="2">
        <v>242</v>
      </c>
      <c r="T1262" s="2">
        <v>55.66</v>
      </c>
      <c r="U1262" s="2">
        <v>297.66000000000003</v>
      </c>
      <c r="W1262" s="5">
        <f t="shared" si="130"/>
        <v>1</v>
      </c>
      <c r="Y1262" s="2" t="s">
        <v>3256</v>
      </c>
      <c r="Z1262" s="2" t="s">
        <v>583</v>
      </c>
      <c r="AA1262" s="2" t="s">
        <v>120</v>
      </c>
      <c r="AB1262" s="2" t="s">
        <v>1337</v>
      </c>
      <c r="AE1262" s="2">
        <f t="shared" si="126"/>
        <v>0</v>
      </c>
      <c r="AI1262" s="2">
        <f t="shared" si="127"/>
        <v>0</v>
      </c>
      <c r="AJ1262" s="2">
        <f t="shared" si="128"/>
        <v>242</v>
      </c>
      <c r="AK1262" s="5">
        <f t="shared" si="129"/>
        <v>1</v>
      </c>
    </row>
    <row r="1263" spans="1:37" x14ac:dyDescent="0.2">
      <c r="A1263" s="2">
        <v>2025</v>
      </c>
      <c r="B1263" s="2">
        <v>7</v>
      </c>
      <c r="C1263" s="2" t="s">
        <v>1540</v>
      </c>
      <c r="D1263" s="2" t="s">
        <v>109</v>
      </c>
      <c r="E1263" s="2" t="s">
        <v>39</v>
      </c>
      <c r="F1263" s="2">
        <v>513338888</v>
      </c>
      <c r="G1263" s="2" t="s">
        <v>40</v>
      </c>
      <c r="H1263" s="2" t="s">
        <v>1541</v>
      </c>
      <c r="I1263" s="2" t="s">
        <v>1542</v>
      </c>
      <c r="J1263" s="2">
        <v>962461409</v>
      </c>
      <c r="K1263" s="2" t="s">
        <v>345</v>
      </c>
      <c r="L1263" s="2" t="s">
        <v>40</v>
      </c>
      <c r="N1263" s="2" t="s">
        <v>1543</v>
      </c>
      <c r="O1263" s="2" t="s">
        <v>283</v>
      </c>
      <c r="P1263" s="2" t="s">
        <v>1546</v>
      </c>
      <c r="Q1263" s="2" t="s">
        <v>1547</v>
      </c>
      <c r="R1263" s="2">
        <v>1</v>
      </c>
      <c r="S1263" s="2">
        <v>53</v>
      </c>
      <c r="T1263" s="2">
        <v>12.19</v>
      </c>
      <c r="U1263" s="2">
        <v>65.19</v>
      </c>
      <c r="W1263" s="5">
        <f t="shared" si="130"/>
        <v>1</v>
      </c>
      <c r="Y1263" s="2" t="s">
        <v>3256</v>
      </c>
      <c r="Z1263" s="2" t="s">
        <v>583</v>
      </c>
      <c r="AA1263" s="2" t="s">
        <v>120</v>
      </c>
      <c r="AB1263" s="2" t="s">
        <v>1337</v>
      </c>
      <c r="AE1263" s="2">
        <f t="shared" si="126"/>
        <v>0</v>
      </c>
      <c r="AI1263" s="2">
        <f t="shared" si="127"/>
        <v>0</v>
      </c>
      <c r="AJ1263" s="2">
        <f t="shared" si="128"/>
        <v>53</v>
      </c>
      <c r="AK1263" s="5">
        <f t="shared" si="129"/>
        <v>1</v>
      </c>
    </row>
    <row r="1264" spans="1:37" x14ac:dyDescent="0.2">
      <c r="A1264" s="2">
        <v>2025</v>
      </c>
      <c r="B1264" s="2">
        <v>7</v>
      </c>
      <c r="C1264" s="2" t="s">
        <v>1540</v>
      </c>
      <c r="D1264" s="2" t="s">
        <v>109</v>
      </c>
      <c r="E1264" s="2" t="s">
        <v>39</v>
      </c>
      <c r="F1264" s="2">
        <v>513338888</v>
      </c>
      <c r="G1264" s="2" t="s">
        <v>40</v>
      </c>
      <c r="H1264" s="2" t="s">
        <v>1541</v>
      </c>
      <c r="I1264" s="2" t="s">
        <v>1542</v>
      </c>
      <c r="J1264" s="2">
        <v>962461409</v>
      </c>
      <c r="K1264" s="2" t="s">
        <v>345</v>
      </c>
      <c r="L1264" s="2" t="s">
        <v>40</v>
      </c>
      <c r="N1264" s="2" t="s">
        <v>1543</v>
      </c>
      <c r="O1264" s="2" t="s">
        <v>283</v>
      </c>
      <c r="P1264" s="2" t="s">
        <v>1548</v>
      </c>
      <c r="Q1264" s="2" t="s">
        <v>1549</v>
      </c>
      <c r="R1264" s="2">
        <v>1</v>
      </c>
      <c r="S1264" s="2">
        <v>27</v>
      </c>
      <c r="T1264" s="2">
        <v>6.21</v>
      </c>
      <c r="U1264" s="2">
        <v>33.21</v>
      </c>
      <c r="W1264" s="5">
        <f t="shared" si="130"/>
        <v>1</v>
      </c>
      <c r="Y1264" s="2" t="s">
        <v>3256</v>
      </c>
      <c r="Z1264" s="2" t="s">
        <v>583</v>
      </c>
      <c r="AA1264" s="2" t="s">
        <v>120</v>
      </c>
      <c r="AB1264" s="2" t="s">
        <v>1337</v>
      </c>
      <c r="AE1264" s="2">
        <f t="shared" si="126"/>
        <v>0</v>
      </c>
      <c r="AI1264" s="2">
        <f t="shared" si="127"/>
        <v>0</v>
      </c>
      <c r="AJ1264" s="2">
        <f t="shared" si="128"/>
        <v>27</v>
      </c>
      <c r="AK1264" s="5">
        <f t="shared" si="129"/>
        <v>1</v>
      </c>
    </row>
    <row r="1265" spans="1:37" x14ac:dyDescent="0.2">
      <c r="A1265" s="2">
        <v>2025</v>
      </c>
      <c r="B1265" s="2">
        <v>7</v>
      </c>
      <c r="C1265" s="2" t="s">
        <v>1540</v>
      </c>
      <c r="D1265" s="2" t="s">
        <v>109</v>
      </c>
      <c r="E1265" s="2" t="s">
        <v>39</v>
      </c>
      <c r="F1265" s="2">
        <v>513338888</v>
      </c>
      <c r="G1265" s="2" t="s">
        <v>40</v>
      </c>
      <c r="H1265" s="2" t="s">
        <v>1541</v>
      </c>
      <c r="I1265" s="2" t="s">
        <v>1542</v>
      </c>
      <c r="J1265" s="2">
        <v>962461409</v>
      </c>
      <c r="K1265" s="2" t="s">
        <v>345</v>
      </c>
      <c r="L1265" s="2" t="s">
        <v>40</v>
      </c>
      <c r="N1265" s="2" t="s">
        <v>1543</v>
      </c>
      <c r="O1265" s="2" t="s">
        <v>283</v>
      </c>
      <c r="P1265" s="2" t="s">
        <v>1550</v>
      </c>
      <c r="Q1265" s="2" t="s">
        <v>1551</v>
      </c>
      <c r="R1265" s="2">
        <v>1</v>
      </c>
      <c r="S1265" s="2">
        <v>27</v>
      </c>
      <c r="T1265" s="2">
        <v>6.21</v>
      </c>
      <c r="U1265" s="2">
        <v>33.21</v>
      </c>
      <c r="W1265" s="5">
        <f t="shared" si="130"/>
        <v>1</v>
      </c>
      <c r="Y1265" s="2" t="s">
        <v>3256</v>
      </c>
      <c r="Z1265" s="2" t="s">
        <v>583</v>
      </c>
      <c r="AA1265" s="2" t="s">
        <v>120</v>
      </c>
      <c r="AB1265" s="2" t="s">
        <v>1337</v>
      </c>
      <c r="AE1265" s="2">
        <f t="shared" si="126"/>
        <v>0</v>
      </c>
      <c r="AI1265" s="2">
        <f t="shared" si="127"/>
        <v>0</v>
      </c>
      <c r="AJ1265" s="2">
        <f t="shared" si="128"/>
        <v>27</v>
      </c>
      <c r="AK1265" s="5">
        <f t="shared" si="129"/>
        <v>1</v>
      </c>
    </row>
    <row r="1266" spans="1:37" x14ac:dyDescent="0.2">
      <c r="A1266" s="2">
        <v>2025</v>
      </c>
      <c r="B1266" s="2">
        <v>7</v>
      </c>
      <c r="C1266" s="2" t="s">
        <v>1540</v>
      </c>
      <c r="D1266" s="2" t="s">
        <v>109</v>
      </c>
      <c r="E1266" s="2" t="s">
        <v>39</v>
      </c>
      <c r="F1266" s="2">
        <v>513338888</v>
      </c>
      <c r="G1266" s="2" t="s">
        <v>40</v>
      </c>
      <c r="H1266" s="2" t="s">
        <v>1541</v>
      </c>
      <c r="I1266" s="2" t="s">
        <v>1542</v>
      </c>
      <c r="J1266" s="2">
        <v>962461409</v>
      </c>
      <c r="K1266" s="2" t="s">
        <v>345</v>
      </c>
      <c r="L1266" s="2" t="s">
        <v>40</v>
      </c>
      <c r="N1266" s="2" t="s">
        <v>1543</v>
      </c>
      <c r="O1266" s="2" t="s">
        <v>283</v>
      </c>
      <c r="P1266" s="2" t="s">
        <v>1552</v>
      </c>
      <c r="Q1266" s="2" t="s">
        <v>1553</v>
      </c>
      <c r="R1266" s="2">
        <v>1</v>
      </c>
      <c r="S1266" s="2">
        <v>53</v>
      </c>
      <c r="T1266" s="2">
        <v>12.19</v>
      </c>
      <c r="U1266" s="2">
        <v>65.19</v>
      </c>
      <c r="W1266" s="5">
        <f t="shared" si="130"/>
        <v>1</v>
      </c>
      <c r="Y1266" s="2" t="s">
        <v>3256</v>
      </c>
      <c r="Z1266" s="2" t="s">
        <v>583</v>
      </c>
      <c r="AA1266" s="2" t="s">
        <v>120</v>
      </c>
      <c r="AB1266" s="2" t="s">
        <v>1337</v>
      </c>
      <c r="AE1266" s="2">
        <f t="shared" si="126"/>
        <v>0</v>
      </c>
      <c r="AI1266" s="2">
        <f t="shared" si="127"/>
        <v>0</v>
      </c>
      <c r="AJ1266" s="2">
        <f t="shared" si="128"/>
        <v>53</v>
      </c>
      <c r="AK1266" s="5">
        <f t="shared" si="129"/>
        <v>1</v>
      </c>
    </row>
    <row r="1267" spans="1:37" x14ac:dyDescent="0.2">
      <c r="A1267" s="2">
        <v>2025</v>
      </c>
      <c r="B1267" s="2">
        <v>7</v>
      </c>
      <c r="C1267" s="2" t="s">
        <v>1540</v>
      </c>
      <c r="D1267" s="2" t="s">
        <v>109</v>
      </c>
      <c r="E1267" s="2" t="s">
        <v>39</v>
      </c>
      <c r="F1267" s="2">
        <v>513338888</v>
      </c>
      <c r="G1267" s="2" t="s">
        <v>40</v>
      </c>
      <c r="H1267" s="2" t="s">
        <v>1541</v>
      </c>
      <c r="I1267" s="2" t="s">
        <v>1542</v>
      </c>
      <c r="J1267" s="2">
        <v>962461409</v>
      </c>
      <c r="K1267" s="2" t="s">
        <v>345</v>
      </c>
      <c r="L1267" s="2" t="s">
        <v>40</v>
      </c>
      <c r="N1267" s="2" t="s">
        <v>1543</v>
      </c>
      <c r="O1267" s="2" t="s">
        <v>283</v>
      </c>
      <c r="P1267" s="2" t="s">
        <v>1554</v>
      </c>
      <c r="Q1267" s="2" t="s">
        <v>1555</v>
      </c>
      <c r="R1267" s="2">
        <v>1</v>
      </c>
      <c r="S1267" s="2">
        <v>3590</v>
      </c>
      <c r="T1267" s="2">
        <v>825.7</v>
      </c>
      <c r="U1267" s="2">
        <v>4415.7</v>
      </c>
      <c r="V1267" s="2">
        <v>2481</v>
      </c>
      <c r="W1267" s="5">
        <f t="shared" si="130"/>
        <v>0.30891364902506963</v>
      </c>
      <c r="Y1267" s="2" t="s">
        <v>105</v>
      </c>
      <c r="Z1267" s="2" t="s">
        <v>389</v>
      </c>
      <c r="AA1267" s="2" t="s">
        <v>1340</v>
      </c>
      <c r="AB1267" s="2" t="s">
        <v>1337</v>
      </c>
      <c r="AE1267" s="2">
        <f t="shared" si="126"/>
        <v>0</v>
      </c>
      <c r="AF1267" s="2">
        <v>2481</v>
      </c>
      <c r="AI1267" s="2">
        <f t="shared" si="127"/>
        <v>0</v>
      </c>
      <c r="AJ1267" s="2">
        <f t="shared" si="128"/>
        <v>1109</v>
      </c>
      <c r="AK1267" s="5">
        <f t="shared" si="129"/>
        <v>0.30891364902506963</v>
      </c>
    </row>
    <row r="1268" spans="1:37" x14ac:dyDescent="0.2">
      <c r="A1268" s="2">
        <v>2025</v>
      </c>
      <c r="B1268" s="2">
        <v>7</v>
      </c>
      <c r="C1268" s="2" t="s">
        <v>1540</v>
      </c>
      <c r="D1268" s="2" t="s">
        <v>109</v>
      </c>
      <c r="E1268" s="2" t="s">
        <v>39</v>
      </c>
      <c r="F1268" s="2">
        <v>513338888</v>
      </c>
      <c r="G1268" s="2" t="s">
        <v>40</v>
      </c>
      <c r="H1268" s="2" t="s">
        <v>1541</v>
      </c>
      <c r="I1268" s="2" t="s">
        <v>1542</v>
      </c>
      <c r="J1268" s="2">
        <v>962461409</v>
      </c>
      <c r="K1268" s="2" t="s">
        <v>345</v>
      </c>
      <c r="L1268" s="2" t="s">
        <v>40</v>
      </c>
      <c r="N1268" s="2" t="s">
        <v>1543</v>
      </c>
      <c r="O1268" s="2" t="s">
        <v>283</v>
      </c>
      <c r="P1268" s="2" t="s">
        <v>1556</v>
      </c>
      <c r="Q1268" s="2" t="s">
        <v>1557</v>
      </c>
      <c r="R1268" s="2">
        <v>1</v>
      </c>
      <c r="S1268" s="2">
        <v>3590</v>
      </c>
      <c r="T1268" s="2">
        <v>825.7</v>
      </c>
      <c r="U1268" s="2">
        <v>4415.7</v>
      </c>
      <c r="V1268" s="2">
        <v>2481</v>
      </c>
      <c r="W1268" s="5">
        <f t="shared" si="130"/>
        <v>0.30891364902506963</v>
      </c>
      <c r="Y1268" s="2" t="s">
        <v>105</v>
      </c>
      <c r="Z1268" s="2" t="s">
        <v>389</v>
      </c>
      <c r="AA1268" s="2" t="s">
        <v>1340</v>
      </c>
      <c r="AB1268" s="2" t="s">
        <v>1337</v>
      </c>
      <c r="AE1268" s="2">
        <f t="shared" si="126"/>
        <v>0</v>
      </c>
      <c r="AF1268" s="2">
        <v>2481</v>
      </c>
      <c r="AI1268" s="2">
        <f t="shared" si="127"/>
        <v>0</v>
      </c>
      <c r="AJ1268" s="2">
        <f t="shared" si="128"/>
        <v>1109</v>
      </c>
      <c r="AK1268" s="5">
        <f t="shared" si="129"/>
        <v>0.30891364902506963</v>
      </c>
    </row>
    <row r="1269" spans="1:37" x14ac:dyDescent="0.2">
      <c r="A1269" s="2">
        <v>2025</v>
      </c>
      <c r="B1269" s="2">
        <v>7</v>
      </c>
      <c r="C1269" s="2" t="s">
        <v>360</v>
      </c>
      <c r="D1269" s="2" t="s">
        <v>109</v>
      </c>
      <c r="E1269" s="2" t="s">
        <v>39</v>
      </c>
      <c r="F1269" s="2">
        <v>503413909</v>
      </c>
      <c r="G1269" s="2" t="s">
        <v>110</v>
      </c>
      <c r="H1269" s="2" t="s">
        <v>361</v>
      </c>
      <c r="I1269" s="2" t="s">
        <v>362</v>
      </c>
      <c r="K1269" s="2" t="s">
        <v>361</v>
      </c>
      <c r="L1269" s="2" t="s">
        <v>40</v>
      </c>
      <c r="N1269" s="2" t="s">
        <v>1558</v>
      </c>
      <c r="O1269" s="2" t="s">
        <v>115</v>
      </c>
      <c r="P1269" s="2" t="s">
        <v>296</v>
      </c>
      <c r="Q1269" s="2" t="s">
        <v>297</v>
      </c>
      <c r="R1269" s="2">
        <v>1</v>
      </c>
      <c r="S1269" s="2">
        <v>801.61</v>
      </c>
      <c r="T1269" s="2">
        <v>184.37029999999999</v>
      </c>
      <c r="U1269" s="2">
        <v>985.98030000000006</v>
      </c>
      <c r="V1269" s="2">
        <v>386</v>
      </c>
      <c r="W1269" s="5">
        <f t="shared" si="130"/>
        <v>0.5184690809745387</v>
      </c>
      <c r="Y1269" s="2" t="s">
        <v>118</v>
      </c>
      <c r="Z1269" s="2" t="s">
        <v>119</v>
      </c>
      <c r="AA1269" s="2" t="s">
        <v>120</v>
      </c>
      <c r="AB1269" s="2" t="s">
        <v>115</v>
      </c>
      <c r="AE1269" s="2">
        <f t="shared" si="126"/>
        <v>0</v>
      </c>
      <c r="AF1269" s="2">
        <v>386</v>
      </c>
      <c r="AI1269" s="2">
        <f t="shared" si="127"/>
        <v>0</v>
      </c>
      <c r="AJ1269" s="2">
        <f t="shared" si="128"/>
        <v>415.61</v>
      </c>
      <c r="AK1269" s="5">
        <f t="shared" si="129"/>
        <v>0.5184690809745387</v>
      </c>
    </row>
    <row r="1270" spans="1:37" x14ac:dyDescent="0.2">
      <c r="A1270" s="2">
        <v>2025</v>
      </c>
      <c r="B1270" s="2">
        <v>7</v>
      </c>
      <c r="C1270" s="2" t="s">
        <v>1005</v>
      </c>
      <c r="L1270" s="2" t="s">
        <v>40</v>
      </c>
      <c r="O1270" s="2" t="s">
        <v>188</v>
      </c>
      <c r="P1270" s="2" t="s">
        <v>189</v>
      </c>
      <c r="Q1270" s="2" t="s">
        <v>190</v>
      </c>
      <c r="R1270" s="2">
        <v>1</v>
      </c>
      <c r="S1270" s="2">
        <v>181</v>
      </c>
      <c r="T1270" s="2">
        <v>41.63</v>
      </c>
      <c r="U1270" s="2">
        <v>222.63</v>
      </c>
      <c r="W1270" s="5">
        <f t="shared" si="130"/>
        <v>1</v>
      </c>
      <c r="Y1270" s="2" t="s">
        <v>118</v>
      </c>
      <c r="Z1270" s="2" t="s">
        <v>191</v>
      </c>
      <c r="AE1270" s="2">
        <f t="shared" si="126"/>
        <v>0</v>
      </c>
      <c r="AI1270" s="2">
        <f t="shared" si="127"/>
        <v>0</v>
      </c>
      <c r="AJ1270" s="2">
        <f t="shared" si="128"/>
        <v>181</v>
      </c>
      <c r="AK1270" s="5">
        <f t="shared" si="129"/>
        <v>1</v>
      </c>
    </row>
    <row r="1271" spans="1:37" x14ac:dyDescent="0.2">
      <c r="A1271" s="2">
        <v>2025</v>
      </c>
      <c r="B1271" s="2">
        <v>7</v>
      </c>
      <c r="C1271" s="2" t="s">
        <v>1005</v>
      </c>
      <c r="L1271" s="2" t="s">
        <v>40</v>
      </c>
      <c r="O1271" s="2" t="s">
        <v>188</v>
      </c>
      <c r="P1271" s="2" t="s">
        <v>192</v>
      </c>
      <c r="Q1271" s="2" t="s">
        <v>191</v>
      </c>
      <c r="R1271" s="2">
        <v>2</v>
      </c>
      <c r="S1271" s="2">
        <v>100</v>
      </c>
      <c r="T1271" s="2">
        <v>23</v>
      </c>
      <c r="U1271" s="2">
        <v>123</v>
      </c>
      <c r="V1271" s="2">
        <f>S1271*50%</f>
        <v>50</v>
      </c>
      <c r="W1271" s="5">
        <f t="shared" si="130"/>
        <v>0.5</v>
      </c>
      <c r="Y1271" s="2" t="s">
        <v>118</v>
      </c>
      <c r="Z1271" s="2" t="s">
        <v>191</v>
      </c>
      <c r="AE1271" s="2">
        <f t="shared" si="126"/>
        <v>0</v>
      </c>
      <c r="AI1271" s="2">
        <f t="shared" si="127"/>
        <v>0</v>
      </c>
      <c r="AJ1271" s="2">
        <f t="shared" si="128"/>
        <v>50</v>
      </c>
      <c r="AK1271" s="5">
        <f t="shared" si="129"/>
        <v>0.5</v>
      </c>
    </row>
    <row r="1272" spans="1:37" x14ac:dyDescent="0.2">
      <c r="A1272" s="2">
        <v>2025</v>
      </c>
      <c r="B1272" s="2">
        <v>7</v>
      </c>
      <c r="C1272" s="2" t="s">
        <v>1559</v>
      </c>
      <c r="O1272" s="2" t="s">
        <v>115</v>
      </c>
      <c r="P1272" s="2" t="s">
        <v>678</v>
      </c>
      <c r="Q1272" s="2" t="s">
        <v>679</v>
      </c>
      <c r="R1272" s="2">
        <v>1</v>
      </c>
      <c r="S1272" s="2">
        <v>14.95</v>
      </c>
      <c r="T1272" s="2">
        <v>3.4384999999999999</v>
      </c>
      <c r="U1272" s="2">
        <v>18.388500000000001</v>
      </c>
      <c r="W1272" s="5">
        <f t="shared" si="130"/>
        <v>1</v>
      </c>
      <c r="AE1272" s="2">
        <f t="shared" si="126"/>
        <v>0</v>
      </c>
      <c r="AI1272" s="2">
        <f t="shared" si="127"/>
        <v>0</v>
      </c>
      <c r="AJ1272" s="2">
        <f t="shared" si="128"/>
        <v>14.95</v>
      </c>
      <c r="AK1272" s="5">
        <f t="shared" si="129"/>
        <v>1</v>
      </c>
    </row>
    <row r="1273" spans="1:37" x14ac:dyDescent="0.2">
      <c r="A1273" s="2">
        <v>2025</v>
      </c>
      <c r="B1273" s="2">
        <v>7</v>
      </c>
      <c r="C1273" s="2" t="s">
        <v>372</v>
      </c>
      <c r="D1273" s="2" t="s">
        <v>38</v>
      </c>
      <c r="F1273" s="2">
        <v>504498886</v>
      </c>
      <c r="G1273" s="2" t="s">
        <v>41</v>
      </c>
      <c r="H1273" s="2" t="s">
        <v>373</v>
      </c>
      <c r="I1273" s="2" t="s">
        <v>374</v>
      </c>
      <c r="J1273" s="2">
        <v>966932738</v>
      </c>
      <c r="K1273" s="2" t="s">
        <v>178</v>
      </c>
      <c r="L1273" s="2" t="s">
        <v>41</v>
      </c>
      <c r="O1273" s="2" t="s">
        <v>704</v>
      </c>
      <c r="P1273" s="2" t="s">
        <v>1560</v>
      </c>
      <c r="Q1273" s="2" t="s">
        <v>1561</v>
      </c>
      <c r="R1273" s="2">
        <v>1</v>
      </c>
      <c r="S1273" s="2">
        <v>525.22</v>
      </c>
      <c r="T1273" s="2">
        <v>120.8006</v>
      </c>
      <c r="U1273" s="2">
        <v>646.02060000000006</v>
      </c>
      <c r="W1273" s="5">
        <f t="shared" si="130"/>
        <v>1</v>
      </c>
      <c r="Y1273" s="2" t="s">
        <v>118</v>
      </c>
      <c r="Z1273" s="2" t="s">
        <v>119</v>
      </c>
      <c r="AA1273" s="2" t="s">
        <v>120</v>
      </c>
      <c r="AB1273" s="2" t="s">
        <v>704</v>
      </c>
      <c r="AE1273" s="2">
        <f t="shared" si="126"/>
        <v>0</v>
      </c>
      <c r="AI1273" s="2">
        <f t="shared" si="127"/>
        <v>0</v>
      </c>
      <c r="AJ1273" s="2">
        <f t="shared" si="128"/>
        <v>525.22</v>
      </c>
      <c r="AK1273" s="5">
        <f t="shared" si="129"/>
        <v>1</v>
      </c>
    </row>
    <row r="1274" spans="1:37" x14ac:dyDescent="0.2">
      <c r="A1274" s="2">
        <v>2025</v>
      </c>
      <c r="B1274" s="2">
        <v>7</v>
      </c>
      <c r="C1274" s="2" t="s">
        <v>372</v>
      </c>
      <c r="D1274" s="2" t="s">
        <v>38</v>
      </c>
      <c r="F1274" s="2">
        <v>504498886</v>
      </c>
      <c r="G1274" s="2" t="s">
        <v>41</v>
      </c>
      <c r="H1274" s="2" t="s">
        <v>373</v>
      </c>
      <c r="I1274" s="2" t="s">
        <v>374</v>
      </c>
      <c r="J1274" s="2">
        <v>966932738</v>
      </c>
      <c r="K1274" s="2" t="s">
        <v>178</v>
      </c>
      <c r="L1274" s="2" t="s">
        <v>40</v>
      </c>
      <c r="O1274" s="2" t="s">
        <v>188</v>
      </c>
      <c r="P1274" s="2" t="s">
        <v>189</v>
      </c>
      <c r="Q1274" s="2" t="s">
        <v>190</v>
      </c>
      <c r="R1274" s="2">
        <v>1</v>
      </c>
      <c r="S1274" s="2">
        <v>50</v>
      </c>
      <c r="T1274" s="2">
        <v>11.5</v>
      </c>
      <c r="U1274" s="2">
        <v>61.5</v>
      </c>
      <c r="W1274" s="5">
        <f t="shared" si="130"/>
        <v>1</v>
      </c>
      <c r="Y1274" s="2" t="s">
        <v>118</v>
      </c>
      <c r="Z1274" s="2" t="s">
        <v>191</v>
      </c>
      <c r="AE1274" s="2">
        <f t="shared" si="126"/>
        <v>0</v>
      </c>
      <c r="AI1274" s="2">
        <f t="shared" si="127"/>
        <v>0</v>
      </c>
      <c r="AJ1274" s="2">
        <f t="shared" si="128"/>
        <v>50</v>
      </c>
      <c r="AK1274" s="5">
        <f t="shared" si="129"/>
        <v>1</v>
      </c>
    </row>
    <row r="1275" spans="1:37" x14ac:dyDescent="0.2">
      <c r="A1275" s="2">
        <v>2025</v>
      </c>
      <c r="B1275" s="2">
        <v>7</v>
      </c>
      <c r="C1275" s="2" t="s">
        <v>372</v>
      </c>
      <c r="D1275" s="2" t="s">
        <v>38</v>
      </c>
      <c r="F1275" s="2">
        <v>504498886</v>
      </c>
      <c r="G1275" s="2" t="s">
        <v>41</v>
      </c>
      <c r="H1275" s="2" t="s">
        <v>373</v>
      </c>
      <c r="I1275" s="2" t="s">
        <v>374</v>
      </c>
      <c r="J1275" s="2">
        <v>966932738</v>
      </c>
      <c r="K1275" s="2" t="s">
        <v>178</v>
      </c>
      <c r="L1275" s="2" t="s">
        <v>40</v>
      </c>
      <c r="O1275" s="2" t="s">
        <v>188</v>
      </c>
      <c r="P1275" s="2" t="s">
        <v>192</v>
      </c>
      <c r="Q1275" s="2" t="s">
        <v>191</v>
      </c>
      <c r="R1275" s="2">
        <v>1</v>
      </c>
      <c r="S1275" s="2">
        <v>50</v>
      </c>
      <c r="T1275" s="2">
        <v>11.5</v>
      </c>
      <c r="U1275" s="2">
        <v>61.5</v>
      </c>
      <c r="V1275" s="2">
        <f>S1275*50%</f>
        <v>25</v>
      </c>
      <c r="W1275" s="5">
        <f t="shared" si="130"/>
        <v>0.5</v>
      </c>
      <c r="Y1275" s="2" t="s">
        <v>118</v>
      </c>
      <c r="Z1275" s="2" t="s">
        <v>191</v>
      </c>
      <c r="AE1275" s="2">
        <f t="shared" si="126"/>
        <v>0</v>
      </c>
      <c r="AI1275" s="2">
        <f t="shared" si="127"/>
        <v>0</v>
      </c>
      <c r="AJ1275" s="2">
        <f t="shared" si="128"/>
        <v>25</v>
      </c>
      <c r="AK1275" s="5">
        <f t="shared" si="129"/>
        <v>0.5</v>
      </c>
    </row>
    <row r="1276" spans="1:37" x14ac:dyDescent="0.2">
      <c r="A1276" s="2">
        <v>2025</v>
      </c>
      <c r="B1276" s="2">
        <v>7</v>
      </c>
      <c r="C1276" s="2" t="s">
        <v>372</v>
      </c>
      <c r="D1276" s="2" t="s">
        <v>38</v>
      </c>
      <c r="F1276" s="2">
        <v>504498886</v>
      </c>
      <c r="G1276" s="2" t="s">
        <v>41</v>
      </c>
      <c r="H1276" s="2" t="s">
        <v>373</v>
      </c>
      <c r="I1276" s="2" t="s">
        <v>374</v>
      </c>
      <c r="J1276" s="2">
        <v>966932738</v>
      </c>
      <c r="K1276" s="2" t="s">
        <v>178</v>
      </c>
      <c r="L1276" s="2" t="s">
        <v>41</v>
      </c>
      <c r="O1276" s="2" t="s">
        <v>40</v>
      </c>
      <c r="P1276" s="2" t="s">
        <v>364</v>
      </c>
      <c r="Q1276" s="2" t="s">
        <v>365</v>
      </c>
      <c r="R1276" s="2">
        <v>1</v>
      </c>
      <c r="S1276" s="2">
        <v>525.28</v>
      </c>
      <c r="T1276" s="2">
        <v>120.81440000000001</v>
      </c>
      <c r="U1276" s="2">
        <v>646.09439999999995</v>
      </c>
      <c r="W1276" s="5">
        <f t="shared" si="130"/>
        <v>1</v>
      </c>
      <c r="Y1276" s="2" t="s">
        <v>120</v>
      </c>
      <c r="AE1276" s="2">
        <f t="shared" si="126"/>
        <v>0</v>
      </c>
      <c r="AI1276" s="2">
        <f t="shared" si="127"/>
        <v>0</v>
      </c>
      <c r="AJ1276" s="2">
        <f t="shared" si="128"/>
        <v>525.28</v>
      </c>
      <c r="AK1276" s="5">
        <f t="shared" si="129"/>
        <v>1</v>
      </c>
    </row>
    <row r="1277" spans="1:37" x14ac:dyDescent="0.2">
      <c r="A1277" s="2">
        <v>2025</v>
      </c>
      <c r="B1277" s="2">
        <v>7</v>
      </c>
      <c r="C1277" s="2" t="s">
        <v>1015</v>
      </c>
      <c r="O1277" s="2" t="s">
        <v>283</v>
      </c>
      <c r="P1277" s="2" t="s">
        <v>401</v>
      </c>
      <c r="Q1277" s="2" t="s">
        <v>402</v>
      </c>
      <c r="R1277" s="2">
        <v>4</v>
      </c>
      <c r="S1277" s="2">
        <v>116</v>
      </c>
      <c r="T1277" s="2">
        <v>26.68</v>
      </c>
      <c r="U1277" s="2">
        <v>142.68</v>
      </c>
      <c r="W1277" s="5">
        <f t="shared" si="130"/>
        <v>1</v>
      </c>
      <c r="Y1277" s="2" t="s">
        <v>3256</v>
      </c>
      <c r="Z1277" s="2" t="s">
        <v>46</v>
      </c>
      <c r="AA1277" s="2" t="s">
        <v>61</v>
      </c>
      <c r="AB1277" s="2" t="s">
        <v>403</v>
      </c>
      <c r="AE1277" s="2">
        <f t="shared" si="126"/>
        <v>0</v>
      </c>
      <c r="AI1277" s="2">
        <f t="shared" si="127"/>
        <v>0</v>
      </c>
      <c r="AJ1277" s="2">
        <f t="shared" si="128"/>
        <v>116</v>
      </c>
      <c r="AK1277" s="5">
        <f t="shared" si="129"/>
        <v>1</v>
      </c>
    </row>
    <row r="1278" spans="1:37" x14ac:dyDescent="0.2">
      <c r="A1278" s="2">
        <v>2025</v>
      </c>
      <c r="B1278" s="2">
        <v>7</v>
      </c>
      <c r="C1278" s="2" t="s">
        <v>1015</v>
      </c>
      <c r="O1278" s="2" t="s">
        <v>283</v>
      </c>
      <c r="P1278" s="2" t="s">
        <v>404</v>
      </c>
      <c r="Q1278" s="2" t="s">
        <v>405</v>
      </c>
      <c r="R1278" s="2">
        <v>8</v>
      </c>
      <c r="S1278" s="2">
        <v>232</v>
      </c>
      <c r="T1278" s="2">
        <v>53.36</v>
      </c>
      <c r="U1278" s="2">
        <v>285.36</v>
      </c>
      <c r="W1278" s="5">
        <f t="shared" si="130"/>
        <v>1</v>
      </c>
      <c r="Y1278" s="2" t="s">
        <v>3256</v>
      </c>
      <c r="AE1278" s="2">
        <f t="shared" si="126"/>
        <v>0</v>
      </c>
      <c r="AI1278" s="2">
        <f t="shared" si="127"/>
        <v>0</v>
      </c>
      <c r="AJ1278" s="2">
        <f t="shared" si="128"/>
        <v>232</v>
      </c>
      <c r="AK1278" s="5">
        <f t="shared" si="129"/>
        <v>1</v>
      </c>
    </row>
    <row r="1279" spans="1:37" x14ac:dyDescent="0.2">
      <c r="A1279" s="2">
        <v>2025</v>
      </c>
      <c r="B1279" s="2">
        <v>7</v>
      </c>
      <c r="C1279" s="2" t="s">
        <v>775</v>
      </c>
      <c r="D1279" s="2" t="s">
        <v>38</v>
      </c>
      <c r="E1279" s="2" t="s">
        <v>39</v>
      </c>
      <c r="F1279" s="2">
        <v>505926768</v>
      </c>
      <c r="G1279" s="2" t="s">
        <v>291</v>
      </c>
      <c r="H1279" s="2" t="s">
        <v>776</v>
      </c>
      <c r="I1279" s="2" t="s">
        <v>777</v>
      </c>
      <c r="K1279" s="2" t="s">
        <v>340</v>
      </c>
      <c r="L1279" s="2" t="s">
        <v>81</v>
      </c>
      <c r="N1279" s="2" t="s">
        <v>1562</v>
      </c>
      <c r="O1279" s="2" t="s">
        <v>283</v>
      </c>
      <c r="P1279" s="2" t="s">
        <v>1563</v>
      </c>
      <c r="Q1279" s="2" t="s">
        <v>1564</v>
      </c>
      <c r="R1279" s="2">
        <v>1</v>
      </c>
      <c r="S1279" s="2">
        <v>0</v>
      </c>
      <c r="T1279" s="2">
        <v>0</v>
      </c>
      <c r="U1279" s="2">
        <v>0</v>
      </c>
      <c r="W1279" s="5">
        <v>0</v>
      </c>
      <c r="Y1279" s="2" t="s">
        <v>105</v>
      </c>
      <c r="AE1279" s="2">
        <f t="shared" si="126"/>
        <v>0</v>
      </c>
      <c r="AI1279" s="2">
        <f t="shared" si="127"/>
        <v>0</v>
      </c>
      <c r="AJ1279" s="2">
        <f t="shared" si="128"/>
        <v>0</v>
      </c>
      <c r="AK1279" s="5" t="e">
        <f t="shared" si="129"/>
        <v>#DIV/0!</v>
      </c>
    </row>
    <row r="1280" spans="1:37" x14ac:dyDescent="0.2">
      <c r="A1280" s="2">
        <v>2025</v>
      </c>
      <c r="B1280" s="2">
        <v>7</v>
      </c>
      <c r="C1280" s="2" t="s">
        <v>775</v>
      </c>
      <c r="D1280" s="2" t="s">
        <v>38</v>
      </c>
      <c r="E1280" s="2" t="s">
        <v>39</v>
      </c>
      <c r="F1280" s="2">
        <v>505926768</v>
      </c>
      <c r="G1280" s="2" t="s">
        <v>291</v>
      </c>
      <c r="H1280" s="2" t="s">
        <v>776</v>
      </c>
      <c r="I1280" s="2" t="s">
        <v>777</v>
      </c>
      <c r="K1280" s="2" t="s">
        <v>340</v>
      </c>
      <c r="L1280" s="2" t="s">
        <v>81</v>
      </c>
      <c r="N1280" s="2" t="s">
        <v>1562</v>
      </c>
      <c r="O1280" s="2" t="s">
        <v>283</v>
      </c>
      <c r="P1280" s="2" t="s">
        <v>401</v>
      </c>
      <c r="Q1280" s="2" t="s">
        <v>402</v>
      </c>
      <c r="R1280" s="2">
        <v>20</v>
      </c>
      <c r="S1280" s="2">
        <v>580</v>
      </c>
      <c r="T1280" s="2">
        <v>133.4</v>
      </c>
      <c r="U1280" s="2">
        <v>713.4</v>
      </c>
      <c r="W1280" s="5">
        <f t="shared" ref="W1280:W1311" si="131">(S1280-V1280)/S1280</f>
        <v>1</v>
      </c>
      <c r="Y1280" s="2" t="s">
        <v>3256</v>
      </c>
      <c r="Z1280" s="2" t="s">
        <v>46</v>
      </c>
      <c r="AA1280" s="2" t="s">
        <v>61</v>
      </c>
      <c r="AB1280" s="2" t="s">
        <v>403</v>
      </c>
      <c r="AE1280" s="2">
        <f t="shared" si="126"/>
        <v>0</v>
      </c>
      <c r="AI1280" s="2">
        <f t="shared" si="127"/>
        <v>0</v>
      </c>
      <c r="AJ1280" s="2">
        <f t="shared" si="128"/>
        <v>580</v>
      </c>
      <c r="AK1280" s="5">
        <f t="shared" si="129"/>
        <v>1</v>
      </c>
    </row>
    <row r="1281" spans="1:37" x14ac:dyDescent="0.2">
      <c r="A1281" s="2">
        <v>2025</v>
      </c>
      <c r="B1281" s="2">
        <v>7</v>
      </c>
      <c r="C1281" s="2" t="s">
        <v>775</v>
      </c>
      <c r="D1281" s="2" t="s">
        <v>38</v>
      </c>
      <c r="E1281" s="2" t="s">
        <v>39</v>
      </c>
      <c r="F1281" s="2">
        <v>505926768</v>
      </c>
      <c r="G1281" s="2" t="s">
        <v>291</v>
      </c>
      <c r="H1281" s="2" t="s">
        <v>776</v>
      </c>
      <c r="I1281" s="2" t="s">
        <v>777</v>
      </c>
      <c r="K1281" s="2" t="s">
        <v>340</v>
      </c>
      <c r="L1281" s="2" t="s">
        <v>81</v>
      </c>
      <c r="N1281" s="2" t="s">
        <v>1562</v>
      </c>
      <c r="O1281" s="2" t="s">
        <v>283</v>
      </c>
      <c r="P1281" s="2" t="s">
        <v>404</v>
      </c>
      <c r="Q1281" s="2" t="s">
        <v>405</v>
      </c>
      <c r="R1281" s="2">
        <v>20</v>
      </c>
      <c r="S1281" s="2">
        <v>580</v>
      </c>
      <c r="T1281" s="2">
        <v>133.4</v>
      </c>
      <c r="U1281" s="2">
        <v>713.4</v>
      </c>
      <c r="W1281" s="5">
        <f t="shared" si="131"/>
        <v>1</v>
      </c>
      <c r="Y1281" s="2" t="s">
        <v>3256</v>
      </c>
      <c r="AE1281" s="2">
        <f t="shared" si="126"/>
        <v>0</v>
      </c>
      <c r="AI1281" s="2">
        <f t="shared" si="127"/>
        <v>0</v>
      </c>
      <c r="AJ1281" s="2">
        <f t="shared" si="128"/>
        <v>580</v>
      </c>
      <c r="AK1281" s="5">
        <f t="shared" si="129"/>
        <v>1</v>
      </c>
    </row>
    <row r="1282" spans="1:37" x14ac:dyDescent="0.2">
      <c r="A1282" s="2">
        <v>2025</v>
      </c>
      <c r="B1282" s="2">
        <v>7</v>
      </c>
      <c r="C1282" s="2" t="s">
        <v>775</v>
      </c>
      <c r="D1282" s="2" t="s">
        <v>38</v>
      </c>
      <c r="E1282" s="2" t="s">
        <v>39</v>
      </c>
      <c r="F1282" s="2">
        <v>505926768</v>
      </c>
      <c r="G1282" s="2" t="s">
        <v>291</v>
      </c>
      <c r="H1282" s="2" t="s">
        <v>776</v>
      </c>
      <c r="I1282" s="2" t="s">
        <v>777</v>
      </c>
      <c r="K1282" s="2" t="s">
        <v>340</v>
      </c>
      <c r="L1282" s="2" t="s">
        <v>81</v>
      </c>
      <c r="N1282" s="2" t="s">
        <v>1565</v>
      </c>
      <c r="O1282" s="2" t="s">
        <v>73</v>
      </c>
      <c r="P1282" s="2" t="s">
        <v>74</v>
      </c>
      <c r="Q1282" s="2" t="s">
        <v>75</v>
      </c>
      <c r="R1282" s="2">
        <v>1</v>
      </c>
      <c r="S1282" s="2">
        <v>220</v>
      </c>
      <c r="T1282" s="2">
        <v>50.6</v>
      </c>
      <c r="U1282" s="2">
        <v>270.60000000000002</v>
      </c>
      <c r="V1282" s="2">
        <v>117.453</v>
      </c>
      <c r="W1282" s="5">
        <f t="shared" si="131"/>
        <v>0.46612272727272724</v>
      </c>
      <c r="Y1282" s="2" t="s">
        <v>3256</v>
      </c>
      <c r="Z1282" s="2" t="s">
        <v>76</v>
      </c>
      <c r="AA1282" s="2" t="s">
        <v>77</v>
      </c>
      <c r="AB1282" s="2" t="s">
        <v>78</v>
      </c>
      <c r="AE1282" s="2">
        <f t="shared" si="126"/>
        <v>0</v>
      </c>
      <c r="AF1282" s="2">
        <v>117.453</v>
      </c>
      <c r="AG1282" s="2">
        <v>220</v>
      </c>
      <c r="AI1282" s="2">
        <f t="shared" si="127"/>
        <v>0</v>
      </c>
      <c r="AJ1282" s="2">
        <f t="shared" si="128"/>
        <v>102.547</v>
      </c>
      <c r="AK1282" s="5">
        <f t="shared" si="129"/>
        <v>0.46612272727272724</v>
      </c>
    </row>
    <row r="1283" spans="1:37" x14ac:dyDescent="0.2">
      <c r="A1283" s="2">
        <v>2025</v>
      </c>
      <c r="B1283" s="2">
        <v>7</v>
      </c>
      <c r="C1283" s="2" t="s">
        <v>775</v>
      </c>
      <c r="D1283" s="2" t="s">
        <v>38</v>
      </c>
      <c r="E1283" s="2" t="s">
        <v>39</v>
      </c>
      <c r="F1283" s="2">
        <v>505926768</v>
      </c>
      <c r="G1283" s="2" t="s">
        <v>291</v>
      </c>
      <c r="H1283" s="2" t="s">
        <v>776</v>
      </c>
      <c r="I1283" s="2" t="s">
        <v>777</v>
      </c>
      <c r="K1283" s="2" t="s">
        <v>340</v>
      </c>
      <c r="L1283" s="2" t="s">
        <v>81</v>
      </c>
      <c r="N1283" s="2" t="s">
        <v>1565</v>
      </c>
      <c r="O1283" s="2" t="s">
        <v>94</v>
      </c>
      <c r="P1283" s="2" t="s">
        <v>95</v>
      </c>
      <c r="Q1283" s="2" t="s">
        <v>96</v>
      </c>
      <c r="R1283" s="2">
        <v>1</v>
      </c>
      <c r="S1283" s="2">
        <v>1.1399999999999999</v>
      </c>
      <c r="T1283" s="2">
        <v>0.26219999999999999</v>
      </c>
      <c r="U1283" s="2">
        <v>1.4021999999999999</v>
      </c>
      <c r="V1283" s="2">
        <v>1.1399999999999999</v>
      </c>
      <c r="W1283" s="5">
        <f t="shared" si="131"/>
        <v>0</v>
      </c>
      <c r="Y1283" s="2" t="s">
        <v>3256</v>
      </c>
      <c r="Z1283" s="2" t="s">
        <v>97</v>
      </c>
      <c r="AA1283" s="2" t="s">
        <v>77</v>
      </c>
      <c r="AB1283" s="2" t="s">
        <v>94</v>
      </c>
      <c r="AE1283" s="2">
        <f t="shared" ref="AE1283:AE1346" si="132">AI1283</f>
        <v>0</v>
      </c>
      <c r="AF1283" s="2">
        <v>1.1399999999999999</v>
      </c>
      <c r="AG1283" s="2">
        <v>1.1399999999999999</v>
      </c>
      <c r="AI1283" s="2">
        <f t="shared" ref="AI1283:AI1346" si="133">AH1283*S1283</f>
        <v>0</v>
      </c>
      <c r="AJ1283" s="2">
        <f t="shared" ref="AJ1283:AJ1346" si="134">S1283-V1283</f>
        <v>0</v>
      </c>
      <c r="AK1283" s="5">
        <f t="shared" si="129"/>
        <v>0</v>
      </c>
    </row>
    <row r="1284" spans="1:37" x14ac:dyDescent="0.2">
      <c r="A1284" s="2">
        <v>2025</v>
      </c>
      <c r="B1284" s="2">
        <v>7</v>
      </c>
      <c r="C1284" s="2" t="s">
        <v>384</v>
      </c>
      <c r="D1284" s="2" t="s">
        <v>38</v>
      </c>
      <c r="E1284" s="2" t="s">
        <v>39</v>
      </c>
      <c r="F1284" s="2">
        <v>212196260</v>
      </c>
      <c r="G1284" s="2" t="s">
        <v>110</v>
      </c>
      <c r="H1284" s="2" t="s">
        <v>385</v>
      </c>
      <c r="I1284" s="2" t="s">
        <v>386</v>
      </c>
      <c r="J1284" s="2">
        <v>926769894</v>
      </c>
      <c r="K1284" s="2" t="s">
        <v>113</v>
      </c>
      <c r="L1284" s="2" t="s">
        <v>40</v>
      </c>
      <c r="O1284" s="2" t="s">
        <v>188</v>
      </c>
      <c r="P1284" s="2" t="s">
        <v>189</v>
      </c>
      <c r="Q1284" s="2" t="s">
        <v>190</v>
      </c>
      <c r="R1284" s="2">
        <v>1</v>
      </c>
      <c r="S1284" s="2">
        <v>171</v>
      </c>
      <c r="T1284" s="2">
        <v>39.33</v>
      </c>
      <c r="U1284" s="2">
        <v>210.33</v>
      </c>
      <c r="W1284" s="5">
        <f t="shared" si="131"/>
        <v>1</v>
      </c>
      <c r="Y1284" s="2" t="s">
        <v>118</v>
      </c>
      <c r="Z1284" s="2" t="s">
        <v>191</v>
      </c>
      <c r="AE1284" s="2">
        <f t="shared" si="132"/>
        <v>0</v>
      </c>
      <c r="AI1284" s="2">
        <f t="shared" si="133"/>
        <v>0</v>
      </c>
      <c r="AJ1284" s="2">
        <f t="shared" si="134"/>
        <v>171</v>
      </c>
      <c r="AK1284" s="5">
        <f t="shared" si="129"/>
        <v>1</v>
      </c>
    </row>
    <row r="1285" spans="1:37" x14ac:dyDescent="0.2">
      <c r="A1285" s="2">
        <v>2025</v>
      </c>
      <c r="B1285" s="2">
        <v>7</v>
      </c>
      <c r="C1285" s="2" t="s">
        <v>384</v>
      </c>
      <c r="D1285" s="2" t="s">
        <v>38</v>
      </c>
      <c r="E1285" s="2" t="s">
        <v>39</v>
      </c>
      <c r="F1285" s="2">
        <v>212196260</v>
      </c>
      <c r="G1285" s="2" t="s">
        <v>110</v>
      </c>
      <c r="H1285" s="2" t="s">
        <v>385</v>
      </c>
      <c r="I1285" s="2" t="s">
        <v>386</v>
      </c>
      <c r="J1285" s="2">
        <v>926769894</v>
      </c>
      <c r="K1285" s="2" t="s">
        <v>113</v>
      </c>
      <c r="L1285" s="2" t="s">
        <v>40</v>
      </c>
      <c r="O1285" s="2" t="s">
        <v>188</v>
      </c>
      <c r="P1285" s="2" t="s">
        <v>192</v>
      </c>
      <c r="Q1285" s="2" t="s">
        <v>191</v>
      </c>
      <c r="R1285" s="2">
        <v>1</v>
      </c>
      <c r="S1285" s="2">
        <v>50</v>
      </c>
      <c r="T1285" s="2">
        <v>11.5</v>
      </c>
      <c r="U1285" s="2">
        <v>61.5</v>
      </c>
      <c r="V1285" s="2">
        <f>S1285*50%</f>
        <v>25</v>
      </c>
      <c r="W1285" s="5">
        <f t="shared" si="131"/>
        <v>0.5</v>
      </c>
      <c r="Y1285" s="2" t="s">
        <v>118</v>
      </c>
      <c r="Z1285" s="2" t="s">
        <v>191</v>
      </c>
      <c r="AE1285" s="2">
        <f t="shared" si="132"/>
        <v>0</v>
      </c>
      <c r="AI1285" s="2">
        <f t="shared" si="133"/>
        <v>0</v>
      </c>
      <c r="AJ1285" s="2">
        <f t="shared" si="134"/>
        <v>25</v>
      </c>
      <c r="AK1285" s="5">
        <f t="shared" si="129"/>
        <v>0.5</v>
      </c>
    </row>
    <row r="1286" spans="1:37" x14ac:dyDescent="0.2">
      <c r="A1286" s="2">
        <v>2025</v>
      </c>
      <c r="B1286" s="2">
        <v>7</v>
      </c>
      <c r="C1286" s="2" t="s">
        <v>384</v>
      </c>
      <c r="D1286" s="2" t="s">
        <v>38</v>
      </c>
      <c r="E1286" s="2" t="s">
        <v>39</v>
      </c>
      <c r="F1286" s="2">
        <v>212196260</v>
      </c>
      <c r="G1286" s="2" t="s">
        <v>110</v>
      </c>
      <c r="H1286" s="2" t="s">
        <v>385</v>
      </c>
      <c r="I1286" s="2" t="s">
        <v>386</v>
      </c>
      <c r="J1286" s="2">
        <v>926769894</v>
      </c>
      <c r="K1286" s="2" t="s">
        <v>113</v>
      </c>
      <c r="O1286" s="2" t="s">
        <v>40</v>
      </c>
      <c r="P1286" s="2" t="s">
        <v>364</v>
      </c>
      <c r="Q1286" s="2" t="s">
        <v>365</v>
      </c>
      <c r="R1286" s="2">
        <v>1</v>
      </c>
      <c r="S1286" s="2">
        <v>200.03</v>
      </c>
      <c r="T1286" s="2">
        <v>46.006900000000002</v>
      </c>
      <c r="U1286" s="2">
        <v>246.0369</v>
      </c>
      <c r="W1286" s="5">
        <f t="shared" si="131"/>
        <v>1</v>
      </c>
      <c r="Y1286" s="2" t="s">
        <v>120</v>
      </c>
      <c r="AE1286" s="2">
        <f t="shared" si="132"/>
        <v>0</v>
      </c>
      <c r="AI1286" s="2">
        <f t="shared" si="133"/>
        <v>0</v>
      </c>
      <c r="AJ1286" s="2">
        <f t="shared" si="134"/>
        <v>200.03</v>
      </c>
      <c r="AK1286" s="5">
        <f t="shared" si="129"/>
        <v>1</v>
      </c>
    </row>
    <row r="1287" spans="1:37" x14ac:dyDescent="0.2">
      <c r="A1287" s="2">
        <v>2025</v>
      </c>
      <c r="B1287" s="2">
        <v>7</v>
      </c>
      <c r="C1287" s="2" t="s">
        <v>781</v>
      </c>
      <c r="D1287" s="2" t="s">
        <v>38</v>
      </c>
      <c r="E1287" s="2" t="s">
        <v>39</v>
      </c>
      <c r="F1287" s="2">
        <v>507324560</v>
      </c>
      <c r="G1287" s="2" t="s">
        <v>40</v>
      </c>
      <c r="H1287" s="2" t="s">
        <v>782</v>
      </c>
      <c r="I1287" s="2" t="s">
        <v>783</v>
      </c>
      <c r="K1287" s="2" t="s">
        <v>340</v>
      </c>
      <c r="L1287" s="2" t="s">
        <v>40</v>
      </c>
      <c r="N1287" s="2" t="s">
        <v>1566</v>
      </c>
      <c r="O1287" s="2" t="s">
        <v>115</v>
      </c>
      <c r="P1287" s="2" t="s">
        <v>357</v>
      </c>
      <c r="Q1287" s="2" t="s">
        <v>358</v>
      </c>
      <c r="R1287" s="2">
        <v>1</v>
      </c>
      <c r="S1287" s="2">
        <v>518.29</v>
      </c>
      <c r="T1287" s="2">
        <v>119.2067</v>
      </c>
      <c r="U1287" s="2">
        <v>637.49669999999992</v>
      </c>
      <c r="V1287" s="2">
        <v>246.77</v>
      </c>
      <c r="W1287" s="5">
        <f t="shared" si="131"/>
        <v>0.52387659418472288</v>
      </c>
      <c r="Y1287" s="2" t="s">
        <v>118</v>
      </c>
      <c r="Z1287" s="2" t="s">
        <v>119</v>
      </c>
      <c r="AA1287" s="2" t="s">
        <v>120</v>
      </c>
      <c r="AB1287" s="2" t="s">
        <v>115</v>
      </c>
      <c r="AE1287" s="2">
        <f t="shared" si="132"/>
        <v>0</v>
      </c>
      <c r="AF1287" s="2">
        <v>246.77</v>
      </c>
      <c r="AI1287" s="2">
        <f t="shared" si="133"/>
        <v>0</v>
      </c>
      <c r="AJ1287" s="2">
        <f t="shared" si="134"/>
        <v>271.52</v>
      </c>
      <c r="AK1287" s="5">
        <f t="shared" si="129"/>
        <v>0.52387659418472288</v>
      </c>
    </row>
    <row r="1288" spans="1:37" x14ac:dyDescent="0.2">
      <c r="A1288" s="2">
        <v>2025</v>
      </c>
      <c r="B1288" s="2">
        <v>7</v>
      </c>
      <c r="C1288" s="2" t="s">
        <v>781</v>
      </c>
      <c r="D1288" s="2" t="s">
        <v>38</v>
      </c>
      <c r="E1288" s="2" t="s">
        <v>39</v>
      </c>
      <c r="F1288" s="2">
        <v>507324560</v>
      </c>
      <c r="G1288" s="2" t="s">
        <v>40</v>
      </c>
      <c r="H1288" s="2" t="s">
        <v>782</v>
      </c>
      <c r="I1288" s="2" t="s">
        <v>783</v>
      </c>
      <c r="K1288" s="2" t="s">
        <v>340</v>
      </c>
      <c r="L1288" s="2" t="s">
        <v>40</v>
      </c>
      <c r="N1288" s="2" t="s">
        <v>1567</v>
      </c>
      <c r="O1288" s="2" t="s">
        <v>188</v>
      </c>
      <c r="P1288" s="2" t="s">
        <v>189</v>
      </c>
      <c r="Q1288" s="2" t="s">
        <v>190</v>
      </c>
      <c r="R1288" s="2">
        <v>2</v>
      </c>
      <c r="S1288" s="2">
        <v>100</v>
      </c>
      <c r="T1288" s="2">
        <v>23</v>
      </c>
      <c r="U1288" s="2">
        <v>123</v>
      </c>
      <c r="W1288" s="5">
        <f t="shared" si="131"/>
        <v>1</v>
      </c>
      <c r="Y1288" s="2" t="s">
        <v>118</v>
      </c>
      <c r="Z1288" s="2" t="s">
        <v>191</v>
      </c>
      <c r="AE1288" s="2">
        <f t="shared" si="132"/>
        <v>0</v>
      </c>
      <c r="AI1288" s="2">
        <f t="shared" si="133"/>
        <v>0</v>
      </c>
      <c r="AJ1288" s="2">
        <f t="shared" si="134"/>
        <v>100</v>
      </c>
      <c r="AK1288" s="5">
        <f t="shared" si="129"/>
        <v>1</v>
      </c>
    </row>
    <row r="1289" spans="1:37" x14ac:dyDescent="0.2">
      <c r="A1289" s="2">
        <v>2025</v>
      </c>
      <c r="B1289" s="2">
        <v>7</v>
      </c>
      <c r="C1289" s="2" t="s">
        <v>781</v>
      </c>
      <c r="D1289" s="2" t="s">
        <v>38</v>
      </c>
      <c r="E1289" s="2" t="s">
        <v>39</v>
      </c>
      <c r="F1289" s="2">
        <v>507324560</v>
      </c>
      <c r="G1289" s="2" t="s">
        <v>40</v>
      </c>
      <c r="H1289" s="2" t="s">
        <v>782</v>
      </c>
      <c r="I1289" s="2" t="s">
        <v>783</v>
      </c>
      <c r="K1289" s="2" t="s">
        <v>340</v>
      </c>
      <c r="L1289" s="2" t="s">
        <v>40</v>
      </c>
      <c r="N1289" s="2" t="s">
        <v>1567</v>
      </c>
      <c r="O1289" s="2" t="s">
        <v>188</v>
      </c>
      <c r="P1289" s="2" t="s">
        <v>192</v>
      </c>
      <c r="Q1289" s="2" t="s">
        <v>191</v>
      </c>
      <c r="R1289" s="2">
        <v>6</v>
      </c>
      <c r="S1289" s="2">
        <v>300</v>
      </c>
      <c r="T1289" s="2">
        <v>69</v>
      </c>
      <c r="U1289" s="2">
        <v>369</v>
      </c>
      <c r="V1289" s="2">
        <f>S1289*50%</f>
        <v>150</v>
      </c>
      <c r="W1289" s="5">
        <f t="shared" si="131"/>
        <v>0.5</v>
      </c>
      <c r="Y1289" s="2" t="s">
        <v>118</v>
      </c>
      <c r="Z1289" s="2" t="s">
        <v>191</v>
      </c>
      <c r="AE1289" s="2">
        <f t="shared" si="132"/>
        <v>0</v>
      </c>
      <c r="AI1289" s="2">
        <f t="shared" si="133"/>
        <v>0</v>
      </c>
      <c r="AJ1289" s="2">
        <f t="shared" si="134"/>
        <v>150</v>
      </c>
      <c r="AK1289" s="5">
        <f t="shared" si="129"/>
        <v>0.5</v>
      </c>
    </row>
    <row r="1290" spans="1:37" x14ac:dyDescent="0.2">
      <c r="A1290" s="2">
        <v>2025</v>
      </c>
      <c r="B1290" s="2">
        <v>7</v>
      </c>
      <c r="C1290" s="2" t="s">
        <v>781</v>
      </c>
      <c r="D1290" s="2" t="s">
        <v>38</v>
      </c>
      <c r="E1290" s="2" t="s">
        <v>39</v>
      </c>
      <c r="F1290" s="2">
        <v>507324560</v>
      </c>
      <c r="G1290" s="2" t="s">
        <v>40</v>
      </c>
      <c r="H1290" s="2" t="s">
        <v>782</v>
      </c>
      <c r="I1290" s="2" t="s">
        <v>783</v>
      </c>
      <c r="K1290" s="2" t="s">
        <v>340</v>
      </c>
      <c r="L1290" s="2" t="s">
        <v>40</v>
      </c>
      <c r="N1290" s="2" t="s">
        <v>1566</v>
      </c>
      <c r="O1290" s="2" t="s">
        <v>40</v>
      </c>
      <c r="P1290" s="2" t="s">
        <v>364</v>
      </c>
      <c r="Q1290" s="2" t="s">
        <v>365</v>
      </c>
      <c r="R1290" s="2">
        <v>1</v>
      </c>
      <c r="S1290" s="2">
        <v>267.18</v>
      </c>
      <c r="T1290" s="2">
        <v>61.451400000000007</v>
      </c>
      <c r="U1290" s="2">
        <v>328.63139999999999</v>
      </c>
      <c r="W1290" s="5">
        <f t="shared" si="131"/>
        <v>1</v>
      </c>
      <c r="Y1290" s="2" t="s">
        <v>118</v>
      </c>
      <c r="Z1290" s="2" t="s">
        <v>119</v>
      </c>
      <c r="AE1290" s="2">
        <f t="shared" si="132"/>
        <v>0</v>
      </c>
      <c r="AI1290" s="2">
        <f t="shared" si="133"/>
        <v>0</v>
      </c>
      <c r="AJ1290" s="2">
        <f t="shared" si="134"/>
        <v>267.18</v>
      </c>
      <c r="AK1290" s="5">
        <f t="shared" si="129"/>
        <v>1</v>
      </c>
    </row>
    <row r="1291" spans="1:37" x14ac:dyDescent="0.2">
      <c r="A1291" s="2">
        <v>2025</v>
      </c>
      <c r="B1291" s="2">
        <v>7</v>
      </c>
      <c r="C1291" s="2" t="s">
        <v>393</v>
      </c>
      <c r="D1291" s="2" t="s">
        <v>38</v>
      </c>
      <c r="E1291" s="2" t="s">
        <v>39</v>
      </c>
      <c r="F1291" s="2">
        <v>206206143</v>
      </c>
      <c r="G1291" s="2" t="s">
        <v>41</v>
      </c>
      <c r="H1291" s="2" t="s">
        <v>394</v>
      </c>
      <c r="I1291" s="2" t="s">
        <v>395</v>
      </c>
      <c r="K1291" s="2" t="s">
        <v>100</v>
      </c>
      <c r="L1291" s="2" t="s">
        <v>40</v>
      </c>
      <c r="O1291" s="2" t="s">
        <v>188</v>
      </c>
      <c r="P1291" s="2" t="s">
        <v>189</v>
      </c>
      <c r="Q1291" s="2" t="s">
        <v>190</v>
      </c>
      <c r="R1291" s="2">
        <v>2</v>
      </c>
      <c r="S1291" s="2">
        <v>74</v>
      </c>
      <c r="T1291" s="2">
        <v>17.02</v>
      </c>
      <c r="U1291" s="2">
        <v>91.02</v>
      </c>
      <c r="W1291" s="5">
        <f t="shared" si="131"/>
        <v>1</v>
      </c>
      <c r="Y1291" s="2" t="s">
        <v>118</v>
      </c>
      <c r="Z1291" s="2" t="s">
        <v>191</v>
      </c>
      <c r="AE1291" s="2">
        <f t="shared" si="132"/>
        <v>0</v>
      </c>
      <c r="AI1291" s="2">
        <f t="shared" si="133"/>
        <v>0</v>
      </c>
      <c r="AJ1291" s="2">
        <f t="shared" si="134"/>
        <v>74</v>
      </c>
      <c r="AK1291" s="5">
        <f t="shared" si="129"/>
        <v>1</v>
      </c>
    </row>
    <row r="1292" spans="1:37" x14ac:dyDescent="0.2">
      <c r="A1292" s="2">
        <v>2025</v>
      </c>
      <c r="B1292" s="2">
        <v>7</v>
      </c>
      <c r="C1292" s="2" t="s">
        <v>393</v>
      </c>
      <c r="D1292" s="2" t="s">
        <v>38</v>
      </c>
      <c r="E1292" s="2" t="s">
        <v>39</v>
      </c>
      <c r="F1292" s="2">
        <v>206206143</v>
      </c>
      <c r="G1292" s="2" t="s">
        <v>41</v>
      </c>
      <c r="H1292" s="2" t="s">
        <v>394</v>
      </c>
      <c r="I1292" s="2" t="s">
        <v>395</v>
      </c>
      <c r="K1292" s="2" t="s">
        <v>100</v>
      </c>
      <c r="L1292" s="2" t="s">
        <v>40</v>
      </c>
      <c r="O1292" s="2" t="s">
        <v>188</v>
      </c>
      <c r="P1292" s="2" t="s">
        <v>192</v>
      </c>
      <c r="Q1292" s="2" t="s">
        <v>191</v>
      </c>
      <c r="R1292" s="2">
        <v>9</v>
      </c>
      <c r="S1292" s="2">
        <v>350</v>
      </c>
      <c r="T1292" s="2">
        <v>80.5</v>
      </c>
      <c r="U1292" s="2">
        <v>430.5</v>
      </c>
      <c r="V1292" s="2">
        <f>S1292*50%</f>
        <v>175</v>
      </c>
      <c r="W1292" s="5">
        <f t="shared" si="131"/>
        <v>0.5</v>
      </c>
      <c r="Y1292" s="2" t="s">
        <v>118</v>
      </c>
      <c r="Z1292" s="2" t="s">
        <v>191</v>
      </c>
      <c r="AE1292" s="2">
        <f t="shared" si="132"/>
        <v>0</v>
      </c>
      <c r="AI1292" s="2">
        <f t="shared" si="133"/>
        <v>0</v>
      </c>
      <c r="AJ1292" s="2">
        <f t="shared" si="134"/>
        <v>175</v>
      </c>
      <c r="AK1292" s="5">
        <f t="shared" si="129"/>
        <v>0.5</v>
      </c>
    </row>
    <row r="1293" spans="1:37" x14ac:dyDescent="0.2">
      <c r="A1293" s="2">
        <v>2025</v>
      </c>
      <c r="B1293" s="2">
        <v>7</v>
      </c>
      <c r="C1293" s="2" t="s">
        <v>1018</v>
      </c>
      <c r="D1293" s="2" t="s">
        <v>109</v>
      </c>
      <c r="E1293" s="2" t="s">
        <v>39</v>
      </c>
      <c r="F1293" s="2">
        <v>507063481</v>
      </c>
      <c r="G1293" s="2" t="s">
        <v>291</v>
      </c>
      <c r="H1293" s="2" t="s">
        <v>1019</v>
      </c>
      <c r="I1293" s="2" t="s">
        <v>1020</v>
      </c>
      <c r="K1293" s="2" t="s">
        <v>294</v>
      </c>
      <c r="O1293" s="2" t="s">
        <v>40</v>
      </c>
      <c r="P1293" s="2" t="s">
        <v>364</v>
      </c>
      <c r="Q1293" s="2" t="s">
        <v>365</v>
      </c>
      <c r="R1293" s="2">
        <v>1</v>
      </c>
      <c r="S1293" s="2">
        <v>630</v>
      </c>
      <c r="T1293" s="2">
        <v>144.9</v>
      </c>
      <c r="U1293" s="2">
        <v>774.9</v>
      </c>
      <c r="W1293" s="5">
        <f t="shared" si="131"/>
        <v>1</v>
      </c>
      <c r="Y1293" s="2" t="s">
        <v>120</v>
      </c>
      <c r="AE1293" s="2">
        <f t="shared" si="132"/>
        <v>0</v>
      </c>
      <c r="AI1293" s="2">
        <f t="shared" si="133"/>
        <v>0</v>
      </c>
      <c r="AJ1293" s="2">
        <f t="shared" si="134"/>
        <v>630</v>
      </c>
      <c r="AK1293" s="5">
        <f t="shared" si="129"/>
        <v>1</v>
      </c>
    </row>
    <row r="1294" spans="1:37" x14ac:dyDescent="0.2">
      <c r="A1294" s="2">
        <v>2025</v>
      </c>
      <c r="B1294" s="2">
        <v>7</v>
      </c>
      <c r="C1294" s="2" t="s">
        <v>419</v>
      </c>
      <c r="D1294" s="2" t="s">
        <v>38</v>
      </c>
      <c r="E1294" s="2" t="s">
        <v>39</v>
      </c>
      <c r="F1294" s="2">
        <v>219908800</v>
      </c>
      <c r="G1294" s="2" t="s">
        <v>41</v>
      </c>
      <c r="H1294" s="2" t="s">
        <v>420</v>
      </c>
      <c r="I1294" s="2" t="s">
        <v>421</v>
      </c>
      <c r="K1294" s="2" t="s">
        <v>422</v>
      </c>
      <c r="O1294" s="2" t="s">
        <v>115</v>
      </c>
      <c r="P1294" s="2" t="s">
        <v>829</v>
      </c>
      <c r="Q1294" s="2" t="s">
        <v>830</v>
      </c>
      <c r="R1294" s="2">
        <v>1</v>
      </c>
      <c r="S1294" s="2">
        <v>273.13</v>
      </c>
      <c r="T1294" s="2">
        <v>62.819899999999997</v>
      </c>
      <c r="U1294" s="2">
        <v>335.94990000000001</v>
      </c>
      <c r="W1294" s="5">
        <f t="shared" si="131"/>
        <v>1</v>
      </c>
      <c r="AE1294" s="2">
        <f t="shared" si="132"/>
        <v>0</v>
      </c>
      <c r="AI1294" s="2">
        <f t="shared" si="133"/>
        <v>0</v>
      </c>
      <c r="AJ1294" s="2">
        <f t="shared" si="134"/>
        <v>273.13</v>
      </c>
      <c r="AK1294" s="5">
        <f t="shared" si="129"/>
        <v>1</v>
      </c>
    </row>
    <row r="1295" spans="1:37" x14ac:dyDescent="0.2">
      <c r="A1295" s="2">
        <v>2025</v>
      </c>
      <c r="B1295" s="2">
        <v>7</v>
      </c>
      <c r="C1295" s="2" t="s">
        <v>1024</v>
      </c>
      <c r="L1295" s="2" t="s">
        <v>81</v>
      </c>
      <c r="N1295" s="2" t="s">
        <v>1568</v>
      </c>
      <c r="O1295" s="2" t="s">
        <v>43</v>
      </c>
      <c r="P1295" s="2" t="s">
        <v>159</v>
      </c>
      <c r="Q1295" s="2" t="s">
        <v>160</v>
      </c>
      <c r="R1295" s="2">
        <v>4</v>
      </c>
      <c r="S1295" s="2">
        <v>76.8</v>
      </c>
      <c r="T1295" s="2">
        <v>17.664000000000001</v>
      </c>
      <c r="U1295" s="2">
        <v>94.463999999999999</v>
      </c>
      <c r="V1295" s="2">
        <f>9.3*R1295</f>
        <v>37.200000000000003</v>
      </c>
      <c r="W1295" s="5">
        <f t="shared" si="131"/>
        <v>0.515625</v>
      </c>
      <c r="Y1295" s="2" t="s">
        <v>3256</v>
      </c>
      <c r="Z1295" s="2" t="s">
        <v>46</v>
      </c>
      <c r="AA1295" s="2" t="s">
        <v>47</v>
      </c>
      <c r="AB1295" s="2" t="s">
        <v>48</v>
      </c>
      <c r="AE1295" s="2">
        <f t="shared" si="132"/>
        <v>0</v>
      </c>
      <c r="AF1295" s="2">
        <v>9.3000000000000007</v>
      </c>
      <c r="AG1295" s="2">
        <v>21</v>
      </c>
      <c r="AI1295" s="2">
        <f t="shared" si="133"/>
        <v>0</v>
      </c>
      <c r="AJ1295" s="2">
        <f t="shared" si="134"/>
        <v>39.599999999999994</v>
      </c>
      <c r="AK1295" s="5">
        <f t="shared" si="129"/>
        <v>0.515625</v>
      </c>
    </row>
    <row r="1296" spans="1:37" x14ac:dyDescent="0.2">
      <c r="A1296" s="2">
        <v>2025</v>
      </c>
      <c r="B1296" s="2">
        <v>7</v>
      </c>
      <c r="C1296" s="2" t="s">
        <v>1024</v>
      </c>
      <c r="O1296" s="2" t="s">
        <v>43</v>
      </c>
      <c r="P1296" s="2" t="s">
        <v>161</v>
      </c>
      <c r="Q1296" s="2" t="s">
        <v>162</v>
      </c>
      <c r="R1296" s="2">
        <v>4</v>
      </c>
      <c r="S1296" s="2">
        <v>33.6</v>
      </c>
      <c r="T1296" s="2">
        <v>7.7280000000000006</v>
      </c>
      <c r="U1296" s="2">
        <v>41.328000000000003</v>
      </c>
      <c r="V1296" s="2">
        <f>3.7358*R1296</f>
        <v>14.943199999999999</v>
      </c>
      <c r="W1296" s="5">
        <f t="shared" si="131"/>
        <v>0.55526190476190485</v>
      </c>
      <c r="Y1296" s="2" t="s">
        <v>3256</v>
      </c>
      <c r="Z1296" s="2" t="s">
        <v>46</v>
      </c>
      <c r="AA1296" s="2" t="s">
        <v>47</v>
      </c>
      <c r="AB1296" s="2" t="s">
        <v>48</v>
      </c>
      <c r="AE1296" s="2">
        <f t="shared" si="132"/>
        <v>0</v>
      </c>
      <c r="AF1296" s="2">
        <v>3.7357999999999998</v>
      </c>
      <c r="AG1296" s="2">
        <v>9</v>
      </c>
      <c r="AI1296" s="2">
        <f t="shared" si="133"/>
        <v>0</v>
      </c>
      <c r="AJ1296" s="2">
        <f t="shared" si="134"/>
        <v>18.656800000000004</v>
      </c>
      <c r="AK1296" s="5">
        <f t="shared" ref="AK1296:AK1359" si="135">(S1296-V1296)/S1296</f>
        <v>0.55526190476190485</v>
      </c>
    </row>
    <row r="1297" spans="1:37" x14ac:dyDescent="0.2">
      <c r="A1297" s="2">
        <v>2025</v>
      </c>
      <c r="B1297" s="2">
        <v>7</v>
      </c>
      <c r="C1297" s="2" t="s">
        <v>426</v>
      </c>
      <c r="D1297" s="2" t="s">
        <v>99</v>
      </c>
      <c r="E1297" s="2" t="s">
        <v>39</v>
      </c>
      <c r="F1297" s="2">
        <v>503523470</v>
      </c>
      <c r="G1297" s="2" t="s">
        <v>40</v>
      </c>
      <c r="H1297" s="2" t="s">
        <v>427</v>
      </c>
      <c r="I1297" s="2" t="s">
        <v>428</v>
      </c>
      <c r="K1297" s="2" t="s">
        <v>202</v>
      </c>
      <c r="L1297" s="2" t="s">
        <v>81</v>
      </c>
      <c r="O1297" s="2" t="s">
        <v>43</v>
      </c>
      <c r="P1297" s="2" t="s">
        <v>55</v>
      </c>
      <c r="Q1297" s="2" t="s">
        <v>56</v>
      </c>
      <c r="R1297" s="2">
        <v>1</v>
      </c>
      <c r="S1297" s="2">
        <v>18</v>
      </c>
      <c r="T1297" s="2">
        <v>4.1400000000000006</v>
      </c>
      <c r="U1297" s="2">
        <v>22.14</v>
      </c>
      <c r="V1297" s="2">
        <f>10.6*R1297</f>
        <v>10.6</v>
      </c>
      <c r="W1297" s="5">
        <f t="shared" si="131"/>
        <v>0.41111111111111115</v>
      </c>
      <c r="Y1297" s="2" t="s">
        <v>3256</v>
      </c>
      <c r="Z1297" s="2" t="s">
        <v>46</v>
      </c>
      <c r="AA1297" s="2" t="s">
        <v>57</v>
      </c>
      <c r="AB1297" s="2" t="s">
        <v>58</v>
      </c>
      <c r="AE1297" s="2">
        <f t="shared" si="132"/>
        <v>0</v>
      </c>
      <c r="AF1297" s="2">
        <v>10.6</v>
      </c>
      <c r="AG1297" s="2">
        <v>18</v>
      </c>
      <c r="AI1297" s="2">
        <f t="shared" si="133"/>
        <v>0</v>
      </c>
      <c r="AJ1297" s="2">
        <f t="shared" si="134"/>
        <v>7.4</v>
      </c>
      <c r="AK1297" s="5">
        <f t="shared" si="135"/>
        <v>0.41111111111111115</v>
      </c>
    </row>
    <row r="1298" spans="1:37" x14ac:dyDescent="0.2">
      <c r="A1298" s="2">
        <v>2025</v>
      </c>
      <c r="B1298" s="2">
        <v>7</v>
      </c>
      <c r="C1298" s="2" t="s">
        <v>426</v>
      </c>
      <c r="D1298" s="2" t="s">
        <v>99</v>
      </c>
      <c r="E1298" s="2" t="s">
        <v>39</v>
      </c>
      <c r="F1298" s="2">
        <v>503523470</v>
      </c>
      <c r="G1298" s="2" t="s">
        <v>40</v>
      </c>
      <c r="H1298" s="2" t="s">
        <v>427</v>
      </c>
      <c r="I1298" s="2" t="s">
        <v>428</v>
      </c>
      <c r="K1298" s="2" t="s">
        <v>202</v>
      </c>
      <c r="L1298" s="2" t="s">
        <v>81</v>
      </c>
      <c r="O1298" s="2" t="s">
        <v>43</v>
      </c>
      <c r="P1298" s="2" t="s">
        <v>62</v>
      </c>
      <c r="Q1298" s="2" t="s">
        <v>63</v>
      </c>
      <c r="R1298" s="2">
        <v>100</v>
      </c>
      <c r="S1298" s="2">
        <v>13</v>
      </c>
      <c r="T1298" s="2">
        <v>2.99</v>
      </c>
      <c r="U1298" s="2">
        <v>15.99</v>
      </c>
      <c r="V1298" s="2">
        <f>0.082*R1298</f>
        <v>8.2000000000000011</v>
      </c>
      <c r="W1298" s="5">
        <f t="shared" si="131"/>
        <v>0.36923076923076914</v>
      </c>
      <c r="Y1298" s="2" t="s">
        <v>3256</v>
      </c>
      <c r="Z1298" s="2" t="s">
        <v>46</v>
      </c>
      <c r="AA1298" s="2" t="s">
        <v>61</v>
      </c>
      <c r="AB1298" s="2" t="s">
        <v>58</v>
      </c>
      <c r="AE1298" s="2">
        <f t="shared" si="132"/>
        <v>0</v>
      </c>
      <c r="AF1298" s="2">
        <v>8.1999999999999993</v>
      </c>
      <c r="AG1298" s="2">
        <v>13</v>
      </c>
      <c r="AI1298" s="2">
        <f t="shared" si="133"/>
        <v>0</v>
      </c>
      <c r="AJ1298" s="2">
        <f t="shared" si="134"/>
        <v>4.7999999999999989</v>
      </c>
      <c r="AK1298" s="5">
        <f t="shared" si="135"/>
        <v>0.36923076923076914</v>
      </c>
    </row>
    <row r="1299" spans="1:37" x14ac:dyDescent="0.2">
      <c r="A1299" s="2">
        <v>2025</v>
      </c>
      <c r="B1299" s="2">
        <v>7</v>
      </c>
      <c r="C1299" s="2" t="s">
        <v>1569</v>
      </c>
      <c r="D1299" s="2" t="s">
        <v>109</v>
      </c>
      <c r="E1299" s="2" t="s">
        <v>723</v>
      </c>
      <c r="F1299" s="2">
        <v>500975914</v>
      </c>
      <c r="G1299" s="2" t="s">
        <v>41</v>
      </c>
      <c r="H1299" s="2" t="s">
        <v>1570</v>
      </c>
      <c r="I1299" s="2" t="s">
        <v>1571</v>
      </c>
      <c r="K1299" s="2" t="s">
        <v>100</v>
      </c>
      <c r="L1299" s="2" t="s">
        <v>40</v>
      </c>
      <c r="O1299" s="2" t="s">
        <v>188</v>
      </c>
      <c r="P1299" s="2" t="s">
        <v>189</v>
      </c>
      <c r="Q1299" s="2" t="s">
        <v>190</v>
      </c>
      <c r="R1299" s="2">
        <v>1</v>
      </c>
      <c r="S1299" s="2">
        <v>74</v>
      </c>
      <c r="T1299" s="2">
        <v>17.02</v>
      </c>
      <c r="U1299" s="2">
        <v>91.02</v>
      </c>
      <c r="W1299" s="5">
        <f t="shared" si="131"/>
        <v>1</v>
      </c>
      <c r="Y1299" s="2" t="s">
        <v>118</v>
      </c>
      <c r="Z1299" s="2" t="s">
        <v>191</v>
      </c>
      <c r="AE1299" s="2">
        <f t="shared" si="132"/>
        <v>0</v>
      </c>
      <c r="AI1299" s="2">
        <f t="shared" si="133"/>
        <v>0</v>
      </c>
      <c r="AJ1299" s="2">
        <f t="shared" si="134"/>
        <v>74</v>
      </c>
      <c r="AK1299" s="5">
        <f t="shared" si="135"/>
        <v>1</v>
      </c>
    </row>
    <row r="1300" spans="1:37" x14ac:dyDescent="0.2">
      <c r="A1300" s="2">
        <v>2025</v>
      </c>
      <c r="B1300" s="2">
        <v>7</v>
      </c>
      <c r="C1300" s="2" t="s">
        <v>1569</v>
      </c>
      <c r="D1300" s="2" t="s">
        <v>109</v>
      </c>
      <c r="E1300" s="2" t="s">
        <v>723</v>
      </c>
      <c r="F1300" s="2">
        <v>500975914</v>
      </c>
      <c r="G1300" s="2" t="s">
        <v>41</v>
      </c>
      <c r="H1300" s="2" t="s">
        <v>1570</v>
      </c>
      <c r="I1300" s="2" t="s">
        <v>1571</v>
      </c>
      <c r="K1300" s="2" t="s">
        <v>100</v>
      </c>
      <c r="L1300" s="2" t="s">
        <v>40</v>
      </c>
      <c r="O1300" s="2" t="s">
        <v>188</v>
      </c>
      <c r="P1300" s="2" t="s">
        <v>192</v>
      </c>
      <c r="Q1300" s="2" t="s">
        <v>191</v>
      </c>
      <c r="R1300" s="2">
        <v>3</v>
      </c>
      <c r="S1300" s="2">
        <v>100</v>
      </c>
      <c r="T1300" s="2">
        <v>23</v>
      </c>
      <c r="U1300" s="2">
        <v>123</v>
      </c>
      <c r="V1300" s="2">
        <f>S1300*50%</f>
        <v>50</v>
      </c>
      <c r="W1300" s="5">
        <f t="shared" si="131"/>
        <v>0.5</v>
      </c>
      <c r="Y1300" s="2" t="s">
        <v>118</v>
      </c>
      <c r="Z1300" s="2" t="s">
        <v>191</v>
      </c>
      <c r="AE1300" s="2">
        <f t="shared" si="132"/>
        <v>0</v>
      </c>
      <c r="AI1300" s="2">
        <f t="shared" si="133"/>
        <v>0</v>
      </c>
      <c r="AJ1300" s="2">
        <f t="shared" si="134"/>
        <v>50</v>
      </c>
      <c r="AK1300" s="5">
        <f t="shared" si="135"/>
        <v>0.5</v>
      </c>
    </row>
    <row r="1301" spans="1:37" x14ac:dyDescent="0.2">
      <c r="A1301" s="2">
        <v>2025</v>
      </c>
      <c r="B1301" s="2">
        <v>7</v>
      </c>
      <c r="C1301" s="2" t="s">
        <v>1386</v>
      </c>
      <c r="D1301" s="2" t="s">
        <v>38</v>
      </c>
      <c r="E1301" s="2" t="s">
        <v>39</v>
      </c>
      <c r="F1301" s="2">
        <v>503116670</v>
      </c>
      <c r="G1301" s="2" t="s">
        <v>41</v>
      </c>
      <c r="H1301" s="2" t="s">
        <v>1387</v>
      </c>
      <c r="I1301" s="2" t="s">
        <v>1388</v>
      </c>
      <c r="J1301" s="2">
        <v>962004640</v>
      </c>
      <c r="K1301" s="2" t="s">
        <v>422</v>
      </c>
      <c r="L1301" s="2" t="s">
        <v>81</v>
      </c>
      <c r="O1301" s="2" t="s">
        <v>73</v>
      </c>
      <c r="P1301" s="2" t="s">
        <v>74</v>
      </c>
      <c r="Q1301" s="2" t="s">
        <v>75</v>
      </c>
      <c r="R1301" s="2">
        <v>2</v>
      </c>
      <c r="S1301" s="2">
        <v>440</v>
      </c>
      <c r="T1301" s="2">
        <v>101.2</v>
      </c>
      <c r="U1301" s="2">
        <v>541.20000000000005</v>
      </c>
      <c r="V1301" s="2">
        <v>234.90600000000001</v>
      </c>
      <c r="W1301" s="5">
        <f t="shared" si="131"/>
        <v>0.46612272727272724</v>
      </c>
      <c r="Y1301" s="2" t="s">
        <v>3256</v>
      </c>
      <c r="Z1301" s="2" t="s">
        <v>76</v>
      </c>
      <c r="AA1301" s="2" t="s">
        <v>77</v>
      </c>
      <c r="AB1301" s="2" t="s">
        <v>78</v>
      </c>
      <c r="AE1301" s="2">
        <f t="shared" si="132"/>
        <v>0</v>
      </c>
      <c r="AF1301" s="2">
        <v>117.453</v>
      </c>
      <c r="AG1301" s="2">
        <v>220</v>
      </c>
      <c r="AI1301" s="2">
        <f t="shared" si="133"/>
        <v>0</v>
      </c>
      <c r="AJ1301" s="2">
        <f t="shared" si="134"/>
        <v>205.09399999999999</v>
      </c>
      <c r="AK1301" s="5">
        <f t="shared" si="135"/>
        <v>0.46612272727272724</v>
      </c>
    </row>
    <row r="1302" spans="1:37" x14ac:dyDescent="0.2">
      <c r="A1302" s="2">
        <v>2025</v>
      </c>
      <c r="B1302" s="2">
        <v>7</v>
      </c>
      <c r="C1302" s="2" t="s">
        <v>1386</v>
      </c>
      <c r="D1302" s="2" t="s">
        <v>38</v>
      </c>
      <c r="E1302" s="2" t="s">
        <v>39</v>
      </c>
      <c r="F1302" s="2">
        <v>503116670</v>
      </c>
      <c r="G1302" s="2" t="s">
        <v>41</v>
      </c>
      <c r="H1302" s="2" t="s">
        <v>1387</v>
      </c>
      <c r="I1302" s="2" t="s">
        <v>1388</v>
      </c>
      <c r="J1302" s="2">
        <v>962004640</v>
      </c>
      <c r="K1302" s="2" t="s">
        <v>422</v>
      </c>
      <c r="L1302" s="2" t="s">
        <v>81</v>
      </c>
      <c r="O1302" s="2" t="s">
        <v>94</v>
      </c>
      <c r="P1302" s="2" t="s">
        <v>95</v>
      </c>
      <c r="Q1302" s="2" t="s">
        <v>96</v>
      </c>
      <c r="R1302" s="2">
        <v>2</v>
      </c>
      <c r="S1302" s="2">
        <v>2.2799999999999998</v>
      </c>
      <c r="T1302" s="2">
        <v>0.52439999999999998</v>
      </c>
      <c r="U1302" s="2">
        <v>2.8043999999999998</v>
      </c>
      <c r="V1302" s="2">
        <v>2.2799999999999998</v>
      </c>
      <c r="W1302" s="5">
        <f t="shared" si="131"/>
        <v>0</v>
      </c>
      <c r="Y1302" s="2" t="s">
        <v>3256</v>
      </c>
      <c r="Z1302" s="2" t="s">
        <v>97</v>
      </c>
      <c r="AA1302" s="2" t="s">
        <v>77</v>
      </c>
      <c r="AB1302" s="2" t="s">
        <v>94</v>
      </c>
      <c r="AE1302" s="2">
        <f t="shared" si="132"/>
        <v>0</v>
      </c>
      <c r="AI1302" s="2">
        <f t="shared" si="133"/>
        <v>0</v>
      </c>
      <c r="AJ1302" s="2">
        <f t="shared" si="134"/>
        <v>0</v>
      </c>
      <c r="AK1302" s="5">
        <f t="shared" si="135"/>
        <v>0</v>
      </c>
    </row>
    <row r="1303" spans="1:37" x14ac:dyDescent="0.2">
      <c r="A1303" s="2">
        <v>2025</v>
      </c>
      <c r="B1303" s="2">
        <v>7</v>
      </c>
      <c r="C1303" s="2" t="s">
        <v>1250</v>
      </c>
      <c r="O1303" s="2" t="s">
        <v>115</v>
      </c>
      <c r="P1303" s="2" t="s">
        <v>647</v>
      </c>
      <c r="Q1303" s="2" t="s">
        <v>648</v>
      </c>
      <c r="R1303" s="2">
        <v>2</v>
      </c>
      <c r="S1303" s="2">
        <v>172.63</v>
      </c>
      <c r="T1303" s="2">
        <v>39.704900000000002</v>
      </c>
      <c r="U1303" s="2">
        <v>212.3349</v>
      </c>
      <c r="W1303" s="5">
        <f t="shared" si="131"/>
        <v>1</v>
      </c>
      <c r="AE1303" s="2">
        <f t="shared" si="132"/>
        <v>0</v>
      </c>
      <c r="AI1303" s="2">
        <f t="shared" si="133"/>
        <v>0</v>
      </c>
      <c r="AJ1303" s="2">
        <f t="shared" si="134"/>
        <v>172.63</v>
      </c>
      <c r="AK1303" s="5">
        <f t="shared" si="135"/>
        <v>1</v>
      </c>
    </row>
    <row r="1304" spans="1:37" x14ac:dyDescent="0.2">
      <c r="A1304" s="2">
        <v>2025</v>
      </c>
      <c r="B1304" s="2">
        <v>7</v>
      </c>
      <c r="C1304" s="2" t="s">
        <v>1250</v>
      </c>
      <c r="L1304" s="2" t="s">
        <v>40</v>
      </c>
      <c r="O1304" s="2" t="s">
        <v>188</v>
      </c>
      <c r="P1304" s="2" t="s">
        <v>189</v>
      </c>
      <c r="Q1304" s="2" t="s">
        <v>190</v>
      </c>
      <c r="R1304" s="2">
        <v>2</v>
      </c>
      <c r="S1304" s="2">
        <v>100</v>
      </c>
      <c r="T1304" s="2">
        <v>23</v>
      </c>
      <c r="U1304" s="2">
        <v>123</v>
      </c>
      <c r="W1304" s="5">
        <f t="shared" si="131"/>
        <v>1</v>
      </c>
      <c r="Y1304" s="2" t="s">
        <v>118</v>
      </c>
      <c r="Z1304" s="2" t="s">
        <v>191</v>
      </c>
      <c r="AE1304" s="2">
        <f t="shared" si="132"/>
        <v>0</v>
      </c>
      <c r="AI1304" s="2">
        <f t="shared" si="133"/>
        <v>0</v>
      </c>
      <c r="AJ1304" s="2">
        <f t="shared" si="134"/>
        <v>100</v>
      </c>
      <c r="AK1304" s="5">
        <f t="shared" si="135"/>
        <v>1</v>
      </c>
    </row>
    <row r="1305" spans="1:37" x14ac:dyDescent="0.2">
      <c r="A1305" s="2">
        <v>2025</v>
      </c>
      <c r="B1305" s="2">
        <v>7</v>
      </c>
      <c r="C1305" s="2" t="s">
        <v>1250</v>
      </c>
      <c r="L1305" s="2" t="s">
        <v>40</v>
      </c>
      <c r="O1305" s="2" t="s">
        <v>188</v>
      </c>
      <c r="P1305" s="2" t="s">
        <v>192</v>
      </c>
      <c r="Q1305" s="2" t="s">
        <v>191</v>
      </c>
      <c r="R1305" s="2">
        <v>2.5</v>
      </c>
      <c r="S1305" s="2">
        <v>125</v>
      </c>
      <c r="T1305" s="2">
        <v>28.75</v>
      </c>
      <c r="U1305" s="2">
        <v>153.75</v>
      </c>
      <c r="V1305" s="2">
        <f>S1305*50%</f>
        <v>62.5</v>
      </c>
      <c r="W1305" s="5">
        <f t="shared" si="131"/>
        <v>0.5</v>
      </c>
      <c r="Y1305" s="2" t="s">
        <v>118</v>
      </c>
      <c r="Z1305" s="2" t="s">
        <v>191</v>
      </c>
      <c r="AE1305" s="2">
        <f t="shared" si="132"/>
        <v>0</v>
      </c>
      <c r="AI1305" s="2">
        <f t="shared" si="133"/>
        <v>0</v>
      </c>
      <c r="AJ1305" s="2">
        <f t="shared" si="134"/>
        <v>62.5</v>
      </c>
      <c r="AK1305" s="5">
        <f t="shared" si="135"/>
        <v>0.5</v>
      </c>
    </row>
    <row r="1306" spans="1:37" x14ac:dyDescent="0.2">
      <c r="A1306" s="2">
        <v>2025</v>
      </c>
      <c r="B1306" s="2">
        <v>7</v>
      </c>
      <c r="C1306" s="2" t="s">
        <v>1251</v>
      </c>
      <c r="D1306" s="2" t="s">
        <v>38</v>
      </c>
      <c r="E1306" s="2" t="s">
        <v>39</v>
      </c>
      <c r="F1306" s="2">
        <v>506076369</v>
      </c>
      <c r="G1306" s="2" t="s">
        <v>40</v>
      </c>
      <c r="H1306" s="2" t="s">
        <v>1572</v>
      </c>
      <c r="I1306" s="2" t="s">
        <v>1573</v>
      </c>
      <c r="J1306" s="2">
        <v>919050729</v>
      </c>
      <c r="K1306" s="2" t="s">
        <v>202</v>
      </c>
      <c r="L1306" s="2" t="s">
        <v>81</v>
      </c>
      <c r="N1306" s="2" t="s">
        <v>1574</v>
      </c>
      <c r="O1306" s="2" t="s">
        <v>73</v>
      </c>
      <c r="P1306" s="2" t="s">
        <v>561</v>
      </c>
      <c r="Q1306" s="2" t="s">
        <v>308</v>
      </c>
      <c r="R1306" s="2">
        <v>1</v>
      </c>
      <c r="S1306" s="2">
        <v>230</v>
      </c>
      <c r="T1306" s="2">
        <v>52.900000000000013</v>
      </c>
      <c r="U1306" s="2">
        <v>282.89999999999998</v>
      </c>
      <c r="V1306" s="2">
        <v>122.446</v>
      </c>
      <c r="W1306" s="5">
        <f t="shared" si="131"/>
        <v>0.46762608695652175</v>
      </c>
      <c r="Y1306" s="2" t="s">
        <v>3256</v>
      </c>
      <c r="Z1306" s="2" t="s">
        <v>76</v>
      </c>
      <c r="AA1306" s="2" t="s">
        <v>77</v>
      </c>
      <c r="AB1306" s="2" t="s">
        <v>78</v>
      </c>
      <c r="AE1306" s="2">
        <f t="shared" si="132"/>
        <v>0</v>
      </c>
      <c r="AF1306" s="2">
        <v>122.446</v>
      </c>
      <c r="AG1306" s="2">
        <v>230</v>
      </c>
      <c r="AI1306" s="2">
        <f t="shared" si="133"/>
        <v>0</v>
      </c>
      <c r="AJ1306" s="2">
        <f t="shared" si="134"/>
        <v>107.554</v>
      </c>
      <c r="AK1306" s="5">
        <f t="shared" si="135"/>
        <v>0.46762608695652175</v>
      </c>
    </row>
    <row r="1307" spans="1:37" x14ac:dyDescent="0.2">
      <c r="A1307" s="2">
        <v>2025</v>
      </c>
      <c r="B1307" s="2">
        <v>7</v>
      </c>
      <c r="C1307" s="2" t="s">
        <v>1251</v>
      </c>
      <c r="O1307" s="2" t="s">
        <v>94</v>
      </c>
      <c r="P1307" s="2" t="s">
        <v>95</v>
      </c>
      <c r="Q1307" s="2" t="s">
        <v>96</v>
      </c>
      <c r="R1307" s="2">
        <v>1</v>
      </c>
      <c r="S1307" s="2">
        <v>1.1399999999999999</v>
      </c>
      <c r="T1307" s="2">
        <v>0.26219999999999999</v>
      </c>
      <c r="U1307" s="2">
        <v>1.4021999999999999</v>
      </c>
      <c r="V1307" s="2">
        <v>1.1399999999999999</v>
      </c>
      <c r="W1307" s="5">
        <f t="shared" si="131"/>
        <v>0</v>
      </c>
      <c r="Y1307" s="2" t="s">
        <v>3256</v>
      </c>
      <c r="Z1307" s="2" t="s">
        <v>97</v>
      </c>
      <c r="AA1307" s="2" t="s">
        <v>77</v>
      </c>
      <c r="AB1307" s="2" t="s">
        <v>94</v>
      </c>
      <c r="AE1307" s="2">
        <f t="shared" si="132"/>
        <v>0</v>
      </c>
      <c r="AI1307" s="2">
        <f t="shared" si="133"/>
        <v>0</v>
      </c>
      <c r="AJ1307" s="2">
        <f t="shared" si="134"/>
        <v>0</v>
      </c>
      <c r="AK1307" s="5">
        <f t="shared" si="135"/>
        <v>0</v>
      </c>
    </row>
    <row r="1308" spans="1:37" x14ac:dyDescent="0.2">
      <c r="A1308" s="2">
        <v>2025</v>
      </c>
      <c r="B1308" s="2">
        <v>7</v>
      </c>
      <c r="C1308" s="2" t="s">
        <v>1026</v>
      </c>
      <c r="D1308" s="2" t="s">
        <v>38</v>
      </c>
      <c r="E1308" s="2" t="s">
        <v>39</v>
      </c>
      <c r="F1308" s="2">
        <v>505647338</v>
      </c>
      <c r="G1308" s="2" t="s">
        <v>291</v>
      </c>
      <c r="H1308" s="2" t="s">
        <v>1027</v>
      </c>
      <c r="I1308" s="2" t="s">
        <v>1028</v>
      </c>
      <c r="K1308" s="2" t="s">
        <v>294</v>
      </c>
      <c r="L1308" s="2" t="s">
        <v>81</v>
      </c>
      <c r="N1308" s="2" t="s">
        <v>1575</v>
      </c>
      <c r="O1308" s="2" t="s">
        <v>115</v>
      </c>
      <c r="P1308" s="2" t="s">
        <v>1576</v>
      </c>
      <c r="Q1308" s="2" t="s">
        <v>1577</v>
      </c>
      <c r="R1308" s="2">
        <v>1</v>
      </c>
      <c r="S1308" s="2">
        <v>57.86</v>
      </c>
      <c r="T1308" s="2">
        <v>13.3078</v>
      </c>
      <c r="U1308" s="2">
        <v>71.1678</v>
      </c>
      <c r="V1308" s="2">
        <v>26.77</v>
      </c>
      <c r="W1308" s="5">
        <f t="shared" si="131"/>
        <v>0.53733148980297274</v>
      </c>
      <c r="Y1308" s="2" t="s">
        <v>118</v>
      </c>
      <c r="Z1308" s="2" t="s">
        <v>119</v>
      </c>
      <c r="AA1308" s="2" t="s">
        <v>120</v>
      </c>
      <c r="AB1308" s="2" t="s">
        <v>115</v>
      </c>
      <c r="AE1308" s="2">
        <f t="shared" si="132"/>
        <v>0</v>
      </c>
      <c r="AF1308" s="2">
        <v>26.77</v>
      </c>
      <c r="AG1308" s="2">
        <v>57.86</v>
      </c>
      <c r="AI1308" s="2">
        <f t="shared" si="133"/>
        <v>0</v>
      </c>
      <c r="AJ1308" s="2">
        <f t="shared" si="134"/>
        <v>31.09</v>
      </c>
      <c r="AK1308" s="5">
        <f t="shared" si="135"/>
        <v>0.53733148980297274</v>
      </c>
    </row>
    <row r="1309" spans="1:37" x14ac:dyDescent="0.2">
      <c r="A1309" s="2">
        <v>2025</v>
      </c>
      <c r="B1309" s="2">
        <v>7</v>
      </c>
      <c r="C1309" s="2" t="s">
        <v>1026</v>
      </c>
      <c r="D1309" s="2" t="s">
        <v>38</v>
      </c>
      <c r="E1309" s="2" t="s">
        <v>39</v>
      </c>
      <c r="F1309" s="2">
        <v>505647338</v>
      </c>
      <c r="G1309" s="2" t="s">
        <v>291</v>
      </c>
      <c r="H1309" s="2" t="s">
        <v>1027</v>
      </c>
      <c r="I1309" s="2" t="s">
        <v>1028</v>
      </c>
      <c r="K1309" s="2" t="s">
        <v>294</v>
      </c>
      <c r="L1309" s="2" t="s">
        <v>81</v>
      </c>
      <c r="N1309" s="2" t="s">
        <v>1578</v>
      </c>
      <c r="O1309" s="2" t="s">
        <v>73</v>
      </c>
      <c r="P1309" s="2" t="s">
        <v>670</v>
      </c>
      <c r="Q1309" s="2" t="s">
        <v>80</v>
      </c>
      <c r="R1309" s="2">
        <v>1</v>
      </c>
      <c r="S1309" s="2">
        <v>210</v>
      </c>
      <c r="T1309" s="2">
        <v>48.3</v>
      </c>
      <c r="U1309" s="2">
        <v>258.3</v>
      </c>
      <c r="W1309" s="5">
        <f t="shared" si="131"/>
        <v>1</v>
      </c>
      <c r="Y1309" s="2" t="s">
        <v>3256</v>
      </c>
      <c r="Z1309" s="2" t="s">
        <v>76</v>
      </c>
      <c r="AA1309" s="2" t="s">
        <v>77</v>
      </c>
      <c r="AB1309" s="2" t="s">
        <v>78</v>
      </c>
      <c r="AE1309" s="2">
        <f t="shared" si="132"/>
        <v>0</v>
      </c>
      <c r="AI1309" s="2">
        <f t="shared" si="133"/>
        <v>0</v>
      </c>
      <c r="AJ1309" s="2">
        <f t="shared" si="134"/>
        <v>210</v>
      </c>
      <c r="AK1309" s="5">
        <f t="shared" si="135"/>
        <v>1</v>
      </c>
    </row>
    <row r="1310" spans="1:37" x14ac:dyDescent="0.2">
      <c r="A1310" s="2">
        <v>2025</v>
      </c>
      <c r="B1310" s="2">
        <v>7</v>
      </c>
      <c r="C1310" s="2" t="s">
        <v>1026</v>
      </c>
      <c r="D1310" s="2" t="s">
        <v>38</v>
      </c>
      <c r="E1310" s="2" t="s">
        <v>39</v>
      </c>
      <c r="F1310" s="2">
        <v>505647338</v>
      </c>
      <c r="G1310" s="2" t="s">
        <v>291</v>
      </c>
      <c r="H1310" s="2" t="s">
        <v>1027</v>
      </c>
      <c r="I1310" s="2" t="s">
        <v>1028</v>
      </c>
      <c r="K1310" s="2" t="s">
        <v>294</v>
      </c>
      <c r="L1310" s="2" t="s">
        <v>81</v>
      </c>
      <c r="N1310" s="2" t="s">
        <v>1578</v>
      </c>
      <c r="O1310" s="2" t="s">
        <v>94</v>
      </c>
      <c r="P1310" s="2" t="s">
        <v>95</v>
      </c>
      <c r="Q1310" s="2" t="s">
        <v>96</v>
      </c>
      <c r="R1310" s="2">
        <v>1</v>
      </c>
      <c r="S1310" s="2">
        <v>1.1399999999999999</v>
      </c>
      <c r="T1310" s="2">
        <v>0.26219999999999999</v>
      </c>
      <c r="U1310" s="2">
        <v>1.4021999999999999</v>
      </c>
      <c r="V1310" s="2">
        <v>1.1399999999999999</v>
      </c>
      <c r="W1310" s="5">
        <f t="shared" si="131"/>
        <v>0</v>
      </c>
      <c r="Y1310" s="2" t="s">
        <v>3256</v>
      </c>
      <c r="Z1310" s="2" t="s">
        <v>97</v>
      </c>
      <c r="AA1310" s="2" t="s">
        <v>77</v>
      </c>
      <c r="AB1310" s="2" t="s">
        <v>94</v>
      </c>
      <c r="AE1310" s="2">
        <f t="shared" si="132"/>
        <v>0</v>
      </c>
      <c r="AF1310" s="2">
        <v>1.1399999999999999</v>
      </c>
      <c r="AG1310" s="2">
        <v>1.1399999999999999</v>
      </c>
      <c r="AI1310" s="2">
        <f t="shared" si="133"/>
        <v>0</v>
      </c>
      <c r="AJ1310" s="2">
        <f t="shared" si="134"/>
        <v>0</v>
      </c>
      <c r="AK1310" s="5">
        <f t="shared" si="135"/>
        <v>0</v>
      </c>
    </row>
    <row r="1311" spans="1:37" x14ac:dyDescent="0.2">
      <c r="A1311" s="2">
        <v>2025</v>
      </c>
      <c r="B1311" s="2">
        <v>7</v>
      </c>
      <c r="C1311" s="2" t="s">
        <v>1579</v>
      </c>
      <c r="L1311" s="2" t="s">
        <v>40</v>
      </c>
      <c r="O1311" s="2" t="s">
        <v>188</v>
      </c>
      <c r="P1311" s="2" t="s">
        <v>189</v>
      </c>
      <c r="Q1311" s="2" t="s">
        <v>190</v>
      </c>
      <c r="R1311" s="2">
        <v>1</v>
      </c>
      <c r="S1311" s="2">
        <v>55</v>
      </c>
      <c r="T1311" s="2">
        <v>12.65</v>
      </c>
      <c r="U1311" s="2">
        <v>67.650000000000006</v>
      </c>
      <c r="W1311" s="5">
        <f t="shared" si="131"/>
        <v>1</v>
      </c>
      <c r="Y1311" s="2" t="s">
        <v>118</v>
      </c>
      <c r="Z1311" s="2" t="s">
        <v>191</v>
      </c>
      <c r="AE1311" s="2">
        <f t="shared" si="132"/>
        <v>0</v>
      </c>
      <c r="AI1311" s="2">
        <f t="shared" si="133"/>
        <v>0</v>
      </c>
      <c r="AJ1311" s="2">
        <f t="shared" si="134"/>
        <v>55</v>
      </c>
      <c r="AK1311" s="5">
        <f t="shared" si="135"/>
        <v>1</v>
      </c>
    </row>
    <row r="1312" spans="1:37" x14ac:dyDescent="0.2">
      <c r="A1312" s="2">
        <v>2025</v>
      </c>
      <c r="B1312" s="2">
        <v>7</v>
      </c>
      <c r="C1312" s="2" t="s">
        <v>1579</v>
      </c>
      <c r="L1312" s="2" t="s">
        <v>40</v>
      </c>
      <c r="O1312" s="2" t="s">
        <v>188</v>
      </c>
      <c r="P1312" s="2" t="s">
        <v>192</v>
      </c>
      <c r="Q1312" s="2" t="s">
        <v>191</v>
      </c>
      <c r="R1312" s="2">
        <v>1.5</v>
      </c>
      <c r="S1312" s="2">
        <v>75</v>
      </c>
      <c r="T1312" s="2">
        <v>17.25</v>
      </c>
      <c r="U1312" s="2">
        <v>92.25</v>
      </c>
      <c r="V1312" s="2">
        <f>S1312*50%</f>
        <v>37.5</v>
      </c>
      <c r="W1312" s="5">
        <f t="shared" ref="W1312:W1328" si="136">(S1312-V1312)/S1312</f>
        <v>0.5</v>
      </c>
      <c r="Y1312" s="2" t="s">
        <v>118</v>
      </c>
      <c r="Z1312" s="2" t="s">
        <v>191</v>
      </c>
      <c r="AE1312" s="2">
        <f t="shared" si="132"/>
        <v>0</v>
      </c>
      <c r="AI1312" s="2">
        <f t="shared" si="133"/>
        <v>0</v>
      </c>
      <c r="AJ1312" s="2">
        <f t="shared" si="134"/>
        <v>37.5</v>
      </c>
      <c r="AK1312" s="5">
        <f t="shared" si="135"/>
        <v>0.5</v>
      </c>
    </row>
    <row r="1313" spans="1:37" x14ac:dyDescent="0.2">
      <c r="A1313" s="2">
        <v>2025</v>
      </c>
      <c r="B1313" s="2">
        <v>7</v>
      </c>
      <c r="C1313" s="2" t="s">
        <v>1580</v>
      </c>
      <c r="O1313" s="2" t="s">
        <v>73</v>
      </c>
      <c r="P1313" s="2" t="s">
        <v>488</v>
      </c>
      <c r="Q1313" s="2" t="s">
        <v>75</v>
      </c>
      <c r="R1313" s="2">
        <v>1</v>
      </c>
      <c r="S1313" s="2">
        <v>210</v>
      </c>
      <c r="T1313" s="2">
        <v>48.3</v>
      </c>
      <c r="U1313" s="2">
        <v>258.3</v>
      </c>
      <c r="V1313" s="2">
        <v>131.93</v>
      </c>
      <c r="W1313" s="5">
        <f t="shared" si="136"/>
        <v>0.37176190476190474</v>
      </c>
      <c r="Y1313" s="2" t="s">
        <v>3256</v>
      </c>
      <c r="Z1313" s="2" t="s">
        <v>76</v>
      </c>
      <c r="AA1313" s="2" t="s">
        <v>77</v>
      </c>
      <c r="AB1313" s="2" t="s">
        <v>78</v>
      </c>
      <c r="AE1313" s="2">
        <f t="shared" si="132"/>
        <v>0</v>
      </c>
      <c r="AF1313" s="2">
        <v>131.93</v>
      </c>
      <c r="AG1313" s="2">
        <v>220</v>
      </c>
      <c r="AI1313" s="2">
        <f t="shared" si="133"/>
        <v>0</v>
      </c>
      <c r="AJ1313" s="2">
        <f t="shared" si="134"/>
        <v>78.069999999999993</v>
      </c>
      <c r="AK1313" s="5">
        <f t="shared" si="135"/>
        <v>0.37176190476190474</v>
      </c>
    </row>
    <row r="1314" spans="1:37" x14ac:dyDescent="0.2">
      <c r="A1314" s="2">
        <v>2025</v>
      </c>
      <c r="B1314" s="2">
        <v>7</v>
      </c>
      <c r="C1314" s="2" t="s">
        <v>1580</v>
      </c>
      <c r="O1314" s="2" t="s">
        <v>94</v>
      </c>
      <c r="P1314" s="2" t="s">
        <v>95</v>
      </c>
      <c r="Q1314" s="2" t="s">
        <v>96</v>
      </c>
      <c r="R1314" s="2">
        <v>1</v>
      </c>
      <c r="S1314" s="2">
        <v>1.1399999999999999</v>
      </c>
      <c r="T1314" s="2">
        <v>0.26219999999999999</v>
      </c>
      <c r="U1314" s="2">
        <v>1.4021999999999999</v>
      </c>
      <c r="V1314" s="2">
        <v>1.1399999999999999</v>
      </c>
      <c r="W1314" s="5">
        <f t="shared" si="136"/>
        <v>0</v>
      </c>
      <c r="Y1314" s="2" t="s">
        <v>3256</v>
      </c>
      <c r="Z1314" s="2" t="s">
        <v>97</v>
      </c>
      <c r="AA1314" s="2" t="s">
        <v>77</v>
      </c>
      <c r="AB1314" s="2" t="s">
        <v>94</v>
      </c>
      <c r="AE1314" s="2">
        <f t="shared" si="132"/>
        <v>0</v>
      </c>
      <c r="AI1314" s="2">
        <f t="shared" si="133"/>
        <v>0</v>
      </c>
      <c r="AJ1314" s="2">
        <f t="shared" si="134"/>
        <v>0</v>
      </c>
      <c r="AK1314" s="5">
        <f t="shared" si="135"/>
        <v>0</v>
      </c>
    </row>
    <row r="1315" spans="1:37" x14ac:dyDescent="0.2">
      <c r="A1315" s="2">
        <v>2025</v>
      </c>
      <c r="B1315" s="2">
        <v>7</v>
      </c>
      <c r="C1315" s="2" t="s">
        <v>455</v>
      </c>
      <c r="D1315" s="2" t="s">
        <v>109</v>
      </c>
      <c r="E1315" s="2" t="s">
        <v>39</v>
      </c>
      <c r="F1315" s="2">
        <v>506085686</v>
      </c>
      <c r="G1315" s="2" t="s">
        <v>40</v>
      </c>
      <c r="H1315" s="2" t="s">
        <v>456</v>
      </c>
      <c r="I1315" s="2" t="s">
        <v>457</v>
      </c>
      <c r="J1315" s="2">
        <v>917241919</v>
      </c>
      <c r="K1315" s="2" t="s">
        <v>400</v>
      </c>
      <c r="O1315" s="2" t="s">
        <v>115</v>
      </c>
      <c r="P1315" s="2" t="s">
        <v>814</v>
      </c>
      <c r="Q1315" s="2" t="s">
        <v>815</v>
      </c>
      <c r="R1315" s="2">
        <v>1</v>
      </c>
      <c r="S1315" s="2">
        <v>71.819999999999993</v>
      </c>
      <c r="T1315" s="2">
        <v>16.518599999999999</v>
      </c>
      <c r="U1315" s="2">
        <v>88.338599999999985</v>
      </c>
      <c r="W1315" s="5">
        <f t="shared" si="136"/>
        <v>1</v>
      </c>
      <c r="Y1315" s="2" t="s">
        <v>118</v>
      </c>
      <c r="AE1315" s="2">
        <f t="shared" si="132"/>
        <v>0</v>
      </c>
      <c r="AI1315" s="2">
        <f t="shared" si="133"/>
        <v>0</v>
      </c>
      <c r="AJ1315" s="2">
        <f t="shared" si="134"/>
        <v>71.819999999999993</v>
      </c>
      <c r="AK1315" s="5">
        <f t="shared" si="135"/>
        <v>1</v>
      </c>
    </row>
    <row r="1316" spans="1:37" x14ac:dyDescent="0.2">
      <c r="A1316" s="2">
        <v>2025</v>
      </c>
      <c r="B1316" s="2">
        <v>7</v>
      </c>
      <c r="C1316" s="2" t="s">
        <v>455</v>
      </c>
      <c r="D1316" s="2" t="s">
        <v>109</v>
      </c>
      <c r="E1316" s="2" t="s">
        <v>39</v>
      </c>
      <c r="F1316" s="2">
        <v>506085686</v>
      </c>
      <c r="G1316" s="2" t="s">
        <v>40</v>
      </c>
      <c r="H1316" s="2" t="s">
        <v>456</v>
      </c>
      <c r="I1316" s="2" t="s">
        <v>457</v>
      </c>
      <c r="J1316" s="2">
        <v>917241919</v>
      </c>
      <c r="K1316" s="2" t="s">
        <v>400</v>
      </c>
      <c r="O1316" s="2" t="s">
        <v>115</v>
      </c>
      <c r="P1316" s="2" t="s">
        <v>678</v>
      </c>
      <c r="Q1316" s="2" t="s">
        <v>679</v>
      </c>
      <c r="R1316" s="2">
        <v>1</v>
      </c>
      <c r="S1316" s="2">
        <v>12.81</v>
      </c>
      <c r="T1316" s="2">
        <v>2.9462999999999999</v>
      </c>
      <c r="U1316" s="2">
        <v>15.7563</v>
      </c>
      <c r="W1316" s="5">
        <f t="shared" si="136"/>
        <v>1</v>
      </c>
      <c r="Y1316" s="2" t="s">
        <v>118</v>
      </c>
      <c r="AE1316" s="2">
        <f t="shared" si="132"/>
        <v>0</v>
      </c>
      <c r="AI1316" s="2">
        <f t="shared" si="133"/>
        <v>0</v>
      </c>
      <c r="AJ1316" s="2">
        <f t="shared" si="134"/>
        <v>12.81</v>
      </c>
      <c r="AK1316" s="5">
        <f t="shared" si="135"/>
        <v>1</v>
      </c>
    </row>
    <row r="1317" spans="1:37" x14ac:dyDescent="0.2">
      <c r="A1317" s="2">
        <v>2025</v>
      </c>
      <c r="B1317" s="2">
        <v>7</v>
      </c>
      <c r="C1317" s="2" t="s">
        <v>455</v>
      </c>
      <c r="D1317" s="2" t="s">
        <v>109</v>
      </c>
      <c r="E1317" s="2" t="s">
        <v>39</v>
      </c>
      <c r="F1317" s="2">
        <v>506085686</v>
      </c>
      <c r="G1317" s="2" t="s">
        <v>40</v>
      </c>
      <c r="H1317" s="2" t="s">
        <v>456</v>
      </c>
      <c r="I1317" s="2" t="s">
        <v>457</v>
      </c>
      <c r="J1317" s="2">
        <v>917241919</v>
      </c>
      <c r="K1317" s="2" t="s">
        <v>400</v>
      </c>
      <c r="L1317" s="2" t="s">
        <v>81</v>
      </c>
      <c r="O1317" s="2" t="s">
        <v>73</v>
      </c>
      <c r="P1317" s="2" t="s">
        <v>74</v>
      </c>
      <c r="Q1317" s="2" t="s">
        <v>75</v>
      </c>
      <c r="R1317" s="2">
        <v>1</v>
      </c>
      <c r="S1317" s="2">
        <v>210</v>
      </c>
      <c r="T1317" s="2">
        <v>48.3</v>
      </c>
      <c r="U1317" s="2">
        <v>258.3</v>
      </c>
      <c r="V1317" s="2">
        <v>117.453</v>
      </c>
      <c r="W1317" s="5">
        <f t="shared" si="136"/>
        <v>0.44069999999999998</v>
      </c>
      <c r="Y1317" s="2" t="s">
        <v>3256</v>
      </c>
      <c r="Z1317" s="2" t="s">
        <v>76</v>
      </c>
      <c r="AA1317" s="2" t="s">
        <v>77</v>
      </c>
      <c r="AB1317" s="2" t="s">
        <v>78</v>
      </c>
      <c r="AE1317" s="2">
        <f t="shared" si="132"/>
        <v>0</v>
      </c>
      <c r="AF1317" s="2">
        <v>117.453</v>
      </c>
      <c r="AG1317" s="2">
        <v>220</v>
      </c>
      <c r="AI1317" s="2">
        <f t="shared" si="133"/>
        <v>0</v>
      </c>
      <c r="AJ1317" s="2">
        <f t="shared" si="134"/>
        <v>92.546999999999997</v>
      </c>
      <c r="AK1317" s="5">
        <f t="shared" si="135"/>
        <v>0.44069999999999998</v>
      </c>
    </row>
    <row r="1318" spans="1:37" x14ac:dyDescent="0.2">
      <c r="A1318" s="2">
        <v>2025</v>
      </c>
      <c r="B1318" s="2">
        <v>7</v>
      </c>
      <c r="C1318" s="2" t="s">
        <v>455</v>
      </c>
      <c r="D1318" s="2" t="s">
        <v>109</v>
      </c>
      <c r="E1318" s="2" t="s">
        <v>39</v>
      </c>
      <c r="F1318" s="2">
        <v>506085686</v>
      </c>
      <c r="G1318" s="2" t="s">
        <v>40</v>
      </c>
      <c r="H1318" s="2" t="s">
        <v>456</v>
      </c>
      <c r="I1318" s="2" t="s">
        <v>457</v>
      </c>
      <c r="J1318" s="2">
        <v>917241919</v>
      </c>
      <c r="K1318" s="2" t="s">
        <v>400</v>
      </c>
      <c r="L1318" s="2" t="s">
        <v>40</v>
      </c>
      <c r="O1318" s="2" t="s">
        <v>188</v>
      </c>
      <c r="P1318" s="2" t="s">
        <v>189</v>
      </c>
      <c r="Q1318" s="2" t="s">
        <v>190</v>
      </c>
      <c r="R1318" s="2">
        <v>1</v>
      </c>
      <c r="S1318" s="2">
        <v>164.25</v>
      </c>
      <c r="T1318" s="2">
        <v>37.777500000000003</v>
      </c>
      <c r="U1318" s="2">
        <v>202.0275</v>
      </c>
      <c r="W1318" s="5">
        <f t="shared" si="136"/>
        <v>1</v>
      </c>
      <c r="Y1318" s="2" t="s">
        <v>118</v>
      </c>
      <c r="Z1318" s="2" t="s">
        <v>191</v>
      </c>
      <c r="AE1318" s="2">
        <f t="shared" si="132"/>
        <v>0</v>
      </c>
      <c r="AI1318" s="2">
        <f t="shared" si="133"/>
        <v>0</v>
      </c>
      <c r="AJ1318" s="2">
        <f t="shared" si="134"/>
        <v>164.25</v>
      </c>
      <c r="AK1318" s="5">
        <f t="shared" si="135"/>
        <v>1</v>
      </c>
    </row>
    <row r="1319" spans="1:37" x14ac:dyDescent="0.2">
      <c r="A1319" s="2">
        <v>2025</v>
      </c>
      <c r="B1319" s="2">
        <v>7</v>
      </c>
      <c r="C1319" s="2" t="s">
        <v>455</v>
      </c>
      <c r="D1319" s="2" t="s">
        <v>109</v>
      </c>
      <c r="E1319" s="2" t="s">
        <v>39</v>
      </c>
      <c r="F1319" s="2">
        <v>506085686</v>
      </c>
      <c r="G1319" s="2" t="s">
        <v>40</v>
      </c>
      <c r="H1319" s="2" t="s">
        <v>456</v>
      </c>
      <c r="I1319" s="2" t="s">
        <v>457</v>
      </c>
      <c r="J1319" s="2">
        <v>917241919</v>
      </c>
      <c r="K1319" s="2" t="s">
        <v>400</v>
      </c>
      <c r="L1319" s="2" t="s">
        <v>40</v>
      </c>
      <c r="O1319" s="2" t="s">
        <v>188</v>
      </c>
      <c r="P1319" s="2" t="s">
        <v>192</v>
      </c>
      <c r="Q1319" s="2" t="s">
        <v>191</v>
      </c>
      <c r="R1319" s="2">
        <v>1</v>
      </c>
      <c r="S1319" s="2">
        <v>45</v>
      </c>
      <c r="T1319" s="2">
        <v>10.35</v>
      </c>
      <c r="U1319" s="2">
        <v>55.35</v>
      </c>
      <c r="V1319" s="2">
        <f>S1319*50%</f>
        <v>22.5</v>
      </c>
      <c r="W1319" s="5">
        <f t="shared" si="136"/>
        <v>0.5</v>
      </c>
      <c r="Y1319" s="2" t="s">
        <v>118</v>
      </c>
      <c r="Z1319" s="2" t="s">
        <v>191</v>
      </c>
      <c r="AE1319" s="2">
        <f t="shared" si="132"/>
        <v>0</v>
      </c>
      <c r="AI1319" s="2">
        <f t="shared" si="133"/>
        <v>0</v>
      </c>
      <c r="AJ1319" s="2">
        <f t="shared" si="134"/>
        <v>22.5</v>
      </c>
      <c r="AK1319" s="5">
        <f t="shared" si="135"/>
        <v>0.5</v>
      </c>
    </row>
    <row r="1320" spans="1:37" x14ac:dyDescent="0.2">
      <c r="A1320" s="2">
        <v>2025</v>
      </c>
      <c r="B1320" s="2">
        <v>7</v>
      </c>
      <c r="C1320" s="2" t="s">
        <v>455</v>
      </c>
      <c r="D1320" s="2" t="s">
        <v>109</v>
      </c>
      <c r="E1320" s="2" t="s">
        <v>39</v>
      </c>
      <c r="F1320" s="2">
        <v>506085686</v>
      </c>
      <c r="G1320" s="2" t="s">
        <v>40</v>
      </c>
      <c r="H1320" s="2" t="s">
        <v>456</v>
      </c>
      <c r="I1320" s="2" t="s">
        <v>457</v>
      </c>
      <c r="J1320" s="2">
        <v>917241919</v>
      </c>
      <c r="K1320" s="2" t="s">
        <v>400</v>
      </c>
      <c r="L1320" s="2" t="s">
        <v>81</v>
      </c>
      <c r="O1320" s="2" t="s">
        <v>94</v>
      </c>
      <c r="P1320" s="2" t="s">
        <v>95</v>
      </c>
      <c r="Q1320" s="2" t="s">
        <v>96</v>
      </c>
      <c r="R1320" s="2">
        <v>1</v>
      </c>
      <c r="S1320" s="2">
        <v>1.1399999999999999</v>
      </c>
      <c r="T1320" s="2">
        <v>0.26219999999999999</v>
      </c>
      <c r="U1320" s="2">
        <v>1.4021999999999999</v>
      </c>
      <c r="V1320" s="2">
        <v>1.1399999999999999</v>
      </c>
      <c r="W1320" s="5">
        <f t="shared" si="136"/>
        <v>0</v>
      </c>
      <c r="Y1320" s="2" t="s">
        <v>3256</v>
      </c>
      <c r="Z1320" s="2" t="s">
        <v>97</v>
      </c>
      <c r="AA1320" s="2" t="s">
        <v>77</v>
      </c>
      <c r="AB1320" s="2" t="s">
        <v>94</v>
      </c>
      <c r="AE1320" s="2">
        <f t="shared" si="132"/>
        <v>0</v>
      </c>
      <c r="AI1320" s="2">
        <f t="shared" si="133"/>
        <v>0</v>
      </c>
      <c r="AJ1320" s="2">
        <f t="shared" si="134"/>
        <v>0</v>
      </c>
      <c r="AK1320" s="5">
        <f t="shared" si="135"/>
        <v>0</v>
      </c>
    </row>
    <row r="1321" spans="1:37" x14ac:dyDescent="0.2">
      <c r="A1321" s="2">
        <v>2025</v>
      </c>
      <c r="B1321" s="2">
        <v>7</v>
      </c>
      <c r="C1321" s="2" t="s">
        <v>1581</v>
      </c>
      <c r="O1321" s="2" t="s">
        <v>115</v>
      </c>
      <c r="P1321" s="2" t="s">
        <v>1582</v>
      </c>
      <c r="Q1321" s="2" t="s">
        <v>1583</v>
      </c>
      <c r="R1321" s="2">
        <v>1</v>
      </c>
      <c r="S1321" s="2">
        <v>1993.35</v>
      </c>
      <c r="T1321" s="2">
        <v>458.47050000000002</v>
      </c>
      <c r="U1321" s="2">
        <v>2451.8204999999998</v>
      </c>
      <c r="W1321" s="5">
        <f t="shared" si="136"/>
        <v>1</v>
      </c>
      <c r="AE1321" s="2">
        <f t="shared" si="132"/>
        <v>0</v>
      </c>
      <c r="AI1321" s="2">
        <f t="shared" si="133"/>
        <v>0</v>
      </c>
      <c r="AJ1321" s="2">
        <f t="shared" si="134"/>
        <v>1993.35</v>
      </c>
      <c r="AK1321" s="5">
        <f t="shared" si="135"/>
        <v>1</v>
      </c>
    </row>
    <row r="1322" spans="1:37" x14ac:dyDescent="0.2">
      <c r="A1322" s="2">
        <v>2025</v>
      </c>
      <c r="B1322" s="2">
        <v>7</v>
      </c>
      <c r="C1322" s="2" t="s">
        <v>1581</v>
      </c>
      <c r="L1322" s="2" t="s">
        <v>40</v>
      </c>
      <c r="O1322" s="2" t="s">
        <v>188</v>
      </c>
      <c r="P1322" s="2" t="s">
        <v>189</v>
      </c>
      <c r="Q1322" s="2" t="s">
        <v>190</v>
      </c>
      <c r="R1322" s="2">
        <v>1</v>
      </c>
      <c r="S1322" s="2">
        <v>102</v>
      </c>
      <c r="T1322" s="2">
        <v>23.46</v>
      </c>
      <c r="U1322" s="2">
        <v>125.46</v>
      </c>
      <c r="W1322" s="5">
        <f t="shared" si="136"/>
        <v>1</v>
      </c>
      <c r="Y1322" s="2" t="s">
        <v>118</v>
      </c>
      <c r="Z1322" s="2" t="s">
        <v>191</v>
      </c>
      <c r="AE1322" s="2">
        <f t="shared" si="132"/>
        <v>0</v>
      </c>
      <c r="AI1322" s="2">
        <f t="shared" si="133"/>
        <v>0</v>
      </c>
      <c r="AJ1322" s="2">
        <f t="shared" si="134"/>
        <v>102</v>
      </c>
      <c r="AK1322" s="5">
        <f t="shared" si="135"/>
        <v>1</v>
      </c>
    </row>
    <row r="1323" spans="1:37" x14ac:dyDescent="0.2">
      <c r="A1323" s="2">
        <v>2025</v>
      </c>
      <c r="B1323" s="2">
        <v>7</v>
      </c>
      <c r="C1323" s="2" t="s">
        <v>1581</v>
      </c>
      <c r="L1323" s="2" t="s">
        <v>40</v>
      </c>
      <c r="O1323" s="2" t="s">
        <v>188</v>
      </c>
      <c r="P1323" s="2" t="s">
        <v>192</v>
      </c>
      <c r="Q1323" s="2" t="s">
        <v>191</v>
      </c>
      <c r="R1323" s="2">
        <v>3</v>
      </c>
      <c r="S1323" s="2">
        <v>150</v>
      </c>
      <c r="T1323" s="2">
        <v>34.5</v>
      </c>
      <c r="U1323" s="2">
        <v>184.5</v>
      </c>
      <c r="V1323" s="2">
        <f>S1323*50%</f>
        <v>75</v>
      </c>
      <c r="W1323" s="5">
        <f t="shared" si="136"/>
        <v>0.5</v>
      </c>
      <c r="Y1323" s="2" t="s">
        <v>118</v>
      </c>
      <c r="Z1323" s="2" t="s">
        <v>191</v>
      </c>
      <c r="AE1323" s="2">
        <f t="shared" si="132"/>
        <v>0</v>
      </c>
      <c r="AI1323" s="2">
        <f t="shared" si="133"/>
        <v>0</v>
      </c>
      <c r="AJ1323" s="2">
        <f t="shared" si="134"/>
        <v>75</v>
      </c>
      <c r="AK1323" s="5">
        <f t="shared" si="135"/>
        <v>0.5</v>
      </c>
    </row>
    <row r="1324" spans="1:37" x14ac:dyDescent="0.2">
      <c r="A1324" s="2">
        <v>2025</v>
      </c>
      <c r="B1324" s="2">
        <v>7</v>
      </c>
      <c r="C1324" s="2" t="s">
        <v>1581</v>
      </c>
      <c r="L1324" s="2" t="s">
        <v>40</v>
      </c>
      <c r="O1324" s="2" t="s">
        <v>40</v>
      </c>
      <c r="P1324" s="2" t="s">
        <v>141</v>
      </c>
      <c r="Q1324" s="2" t="s">
        <v>142</v>
      </c>
      <c r="R1324" s="2">
        <v>-1</v>
      </c>
      <c r="S1324" s="2">
        <v>-598</v>
      </c>
      <c r="T1324" s="2">
        <v>-137.54</v>
      </c>
      <c r="U1324" s="2">
        <v>-735.54</v>
      </c>
      <c r="W1324" s="5">
        <f t="shared" si="136"/>
        <v>1</v>
      </c>
      <c r="Y1324" s="2" t="s">
        <v>120</v>
      </c>
      <c r="Z1324" s="2" t="s">
        <v>143</v>
      </c>
      <c r="AE1324" s="2">
        <f t="shared" si="132"/>
        <v>0</v>
      </c>
      <c r="AI1324" s="2">
        <f t="shared" si="133"/>
        <v>0</v>
      </c>
      <c r="AJ1324" s="2">
        <f t="shared" si="134"/>
        <v>-598</v>
      </c>
      <c r="AK1324" s="5">
        <f t="shared" si="135"/>
        <v>1</v>
      </c>
    </row>
    <row r="1325" spans="1:37" x14ac:dyDescent="0.2">
      <c r="A1325" s="2">
        <v>2025</v>
      </c>
      <c r="B1325" s="2">
        <v>7</v>
      </c>
      <c r="C1325" s="2" t="s">
        <v>1584</v>
      </c>
      <c r="O1325" s="2" t="s">
        <v>1047</v>
      </c>
      <c r="P1325" s="2" t="s">
        <v>1585</v>
      </c>
      <c r="Q1325" s="2" t="s">
        <v>1586</v>
      </c>
      <c r="R1325" s="2">
        <v>1</v>
      </c>
      <c r="S1325" s="2">
        <v>240</v>
      </c>
      <c r="T1325" s="2">
        <v>55.2</v>
      </c>
      <c r="U1325" s="2">
        <v>295.2</v>
      </c>
      <c r="W1325" s="5">
        <f t="shared" si="136"/>
        <v>1</v>
      </c>
      <c r="Y1325" s="2" t="s">
        <v>3256</v>
      </c>
      <c r="Z1325" s="2" t="s">
        <v>76</v>
      </c>
      <c r="AA1325" s="2" t="s">
        <v>77</v>
      </c>
      <c r="AB1325" s="2" t="s">
        <v>1047</v>
      </c>
      <c r="AE1325" s="2">
        <f t="shared" si="132"/>
        <v>0</v>
      </c>
      <c r="AI1325" s="2">
        <f t="shared" si="133"/>
        <v>0</v>
      </c>
      <c r="AJ1325" s="2">
        <f t="shared" si="134"/>
        <v>240</v>
      </c>
      <c r="AK1325" s="5">
        <f t="shared" si="135"/>
        <v>1</v>
      </c>
    </row>
    <row r="1326" spans="1:37" x14ac:dyDescent="0.2">
      <c r="A1326" s="2">
        <v>2025</v>
      </c>
      <c r="B1326" s="2">
        <v>7</v>
      </c>
      <c r="C1326" s="2" t="s">
        <v>1584</v>
      </c>
      <c r="O1326" s="2" t="s">
        <v>1047</v>
      </c>
      <c r="P1326" s="2" t="s">
        <v>1587</v>
      </c>
      <c r="Q1326" s="2" t="s">
        <v>1588</v>
      </c>
      <c r="R1326" s="2">
        <v>1</v>
      </c>
      <c r="S1326" s="2">
        <v>240</v>
      </c>
      <c r="T1326" s="2">
        <v>55.2</v>
      </c>
      <c r="U1326" s="2">
        <v>295.2</v>
      </c>
      <c r="W1326" s="5">
        <f t="shared" si="136"/>
        <v>1</v>
      </c>
      <c r="Y1326" s="2" t="s">
        <v>3256</v>
      </c>
      <c r="Z1326" s="2" t="s">
        <v>76</v>
      </c>
      <c r="AA1326" s="2" t="s">
        <v>77</v>
      </c>
      <c r="AB1326" s="2" t="s">
        <v>1047</v>
      </c>
      <c r="AE1326" s="2">
        <f t="shared" si="132"/>
        <v>0</v>
      </c>
      <c r="AI1326" s="2">
        <f t="shared" si="133"/>
        <v>0</v>
      </c>
      <c r="AJ1326" s="2">
        <f t="shared" si="134"/>
        <v>240</v>
      </c>
      <c r="AK1326" s="5">
        <f t="shared" si="135"/>
        <v>1</v>
      </c>
    </row>
    <row r="1327" spans="1:37" x14ac:dyDescent="0.2">
      <c r="A1327" s="2">
        <v>2025</v>
      </c>
      <c r="B1327" s="2">
        <v>7</v>
      </c>
      <c r="C1327" s="2" t="s">
        <v>1584</v>
      </c>
      <c r="O1327" s="2" t="s">
        <v>94</v>
      </c>
      <c r="P1327" s="2" t="s">
        <v>95</v>
      </c>
      <c r="Q1327" s="2" t="s">
        <v>96</v>
      </c>
      <c r="R1327" s="2">
        <v>2</v>
      </c>
      <c r="S1327" s="2">
        <v>2.2799999999999998</v>
      </c>
      <c r="T1327" s="2">
        <v>0.52439999999999998</v>
      </c>
      <c r="U1327" s="2">
        <v>2.8043999999999998</v>
      </c>
      <c r="V1327" s="2">
        <v>2.2799999999999998</v>
      </c>
      <c r="W1327" s="5">
        <f t="shared" si="136"/>
        <v>0</v>
      </c>
      <c r="Y1327" s="2" t="s">
        <v>3256</v>
      </c>
      <c r="Z1327" s="2" t="s">
        <v>97</v>
      </c>
      <c r="AA1327" s="2" t="s">
        <v>77</v>
      </c>
      <c r="AB1327" s="2" t="s">
        <v>94</v>
      </c>
      <c r="AE1327" s="2">
        <f t="shared" si="132"/>
        <v>0</v>
      </c>
      <c r="AI1327" s="2">
        <f t="shared" si="133"/>
        <v>0</v>
      </c>
      <c r="AJ1327" s="2">
        <f t="shared" si="134"/>
        <v>0</v>
      </c>
      <c r="AK1327" s="5">
        <f t="shared" si="135"/>
        <v>0</v>
      </c>
    </row>
    <row r="1328" spans="1:37" x14ac:dyDescent="0.2">
      <c r="A1328" s="2">
        <v>2025</v>
      </c>
      <c r="B1328" s="2">
        <v>7</v>
      </c>
      <c r="C1328" s="2" t="s">
        <v>462</v>
      </c>
      <c r="D1328" s="2" t="s">
        <v>109</v>
      </c>
      <c r="E1328" s="2" t="s">
        <v>39</v>
      </c>
      <c r="F1328" s="2">
        <v>507016173</v>
      </c>
      <c r="G1328" s="2" t="s">
        <v>110</v>
      </c>
      <c r="H1328" s="2" t="s">
        <v>463</v>
      </c>
      <c r="I1328" s="2" t="s">
        <v>464</v>
      </c>
      <c r="K1328" s="2" t="s">
        <v>465</v>
      </c>
      <c r="O1328" s="2" t="s">
        <v>283</v>
      </c>
      <c r="P1328" s="2" t="s">
        <v>1563</v>
      </c>
      <c r="Q1328" s="2" t="s">
        <v>1564</v>
      </c>
      <c r="R1328" s="2">
        <v>1</v>
      </c>
      <c r="S1328" s="2">
        <v>595</v>
      </c>
      <c r="T1328" s="2">
        <v>136.85</v>
      </c>
      <c r="U1328" s="2">
        <v>731.85</v>
      </c>
      <c r="W1328" s="5">
        <f t="shared" si="136"/>
        <v>1</v>
      </c>
      <c r="Y1328" s="2" t="s">
        <v>105</v>
      </c>
      <c r="Z1328" s="2" t="s">
        <v>389</v>
      </c>
      <c r="AA1328" s="2" t="s">
        <v>390</v>
      </c>
      <c r="AB1328" s="2" t="s">
        <v>391</v>
      </c>
      <c r="AE1328" s="2">
        <f t="shared" si="132"/>
        <v>0</v>
      </c>
      <c r="AI1328" s="2">
        <f t="shared" si="133"/>
        <v>0</v>
      </c>
      <c r="AJ1328" s="2">
        <f t="shared" si="134"/>
        <v>595</v>
      </c>
      <c r="AK1328" s="5">
        <f t="shared" si="135"/>
        <v>1</v>
      </c>
    </row>
    <row r="1329" spans="1:37" x14ac:dyDescent="0.2">
      <c r="A1329" s="2">
        <v>2025</v>
      </c>
      <c r="B1329" s="2">
        <v>7</v>
      </c>
      <c r="C1329" s="2" t="s">
        <v>462</v>
      </c>
      <c r="D1329" s="2" t="s">
        <v>109</v>
      </c>
      <c r="E1329" s="2" t="s">
        <v>39</v>
      </c>
      <c r="F1329" s="2">
        <v>507016173</v>
      </c>
      <c r="G1329" s="2" t="s">
        <v>110</v>
      </c>
      <c r="H1329" s="2" t="s">
        <v>463</v>
      </c>
      <c r="I1329" s="2" t="s">
        <v>464</v>
      </c>
      <c r="K1329" s="2" t="s">
        <v>465</v>
      </c>
      <c r="O1329" s="2" t="s">
        <v>283</v>
      </c>
      <c r="P1329" s="2" t="s">
        <v>401</v>
      </c>
      <c r="Q1329" s="2" t="s">
        <v>402</v>
      </c>
      <c r="R1329" s="2">
        <v>2</v>
      </c>
      <c r="S1329" s="2">
        <v>0</v>
      </c>
      <c r="T1329" s="2">
        <v>0</v>
      </c>
      <c r="U1329" s="2">
        <v>0</v>
      </c>
      <c r="W1329" s="5">
        <v>0</v>
      </c>
      <c r="Y1329" s="2" t="s">
        <v>3256</v>
      </c>
      <c r="Z1329" s="2" t="s">
        <v>46</v>
      </c>
      <c r="AA1329" s="2" t="s">
        <v>61</v>
      </c>
      <c r="AB1329" s="2" t="s">
        <v>403</v>
      </c>
      <c r="AE1329" s="2">
        <f t="shared" si="132"/>
        <v>0</v>
      </c>
      <c r="AI1329" s="2">
        <f t="shared" si="133"/>
        <v>0</v>
      </c>
      <c r="AJ1329" s="2">
        <f t="shared" si="134"/>
        <v>0</v>
      </c>
      <c r="AK1329" s="5" t="e">
        <f t="shared" si="135"/>
        <v>#DIV/0!</v>
      </c>
    </row>
    <row r="1330" spans="1:37" x14ac:dyDescent="0.2">
      <c r="A1330" s="2">
        <v>2025</v>
      </c>
      <c r="B1330" s="2">
        <v>7</v>
      </c>
      <c r="C1330" s="2" t="s">
        <v>462</v>
      </c>
      <c r="D1330" s="2" t="s">
        <v>109</v>
      </c>
      <c r="E1330" s="2" t="s">
        <v>39</v>
      </c>
      <c r="F1330" s="2">
        <v>507016173</v>
      </c>
      <c r="G1330" s="2" t="s">
        <v>110</v>
      </c>
      <c r="H1330" s="2" t="s">
        <v>463</v>
      </c>
      <c r="I1330" s="2" t="s">
        <v>464</v>
      </c>
      <c r="K1330" s="2" t="s">
        <v>465</v>
      </c>
      <c r="O1330" s="2" t="s">
        <v>283</v>
      </c>
      <c r="P1330" s="2" t="s">
        <v>404</v>
      </c>
      <c r="Q1330" s="2" t="s">
        <v>405</v>
      </c>
      <c r="R1330" s="2">
        <v>4</v>
      </c>
      <c r="S1330" s="2">
        <v>0</v>
      </c>
      <c r="T1330" s="2">
        <v>0</v>
      </c>
      <c r="U1330" s="2">
        <v>0</v>
      </c>
      <c r="W1330" s="5">
        <v>0</v>
      </c>
      <c r="Y1330" s="2" t="s">
        <v>3256</v>
      </c>
      <c r="Z1330" s="2" t="s">
        <v>46</v>
      </c>
      <c r="AA1330" s="2" t="s">
        <v>61</v>
      </c>
      <c r="AB1330" s="2" t="s">
        <v>403</v>
      </c>
      <c r="AE1330" s="2">
        <f t="shared" si="132"/>
        <v>0</v>
      </c>
      <c r="AI1330" s="2">
        <f t="shared" si="133"/>
        <v>0</v>
      </c>
      <c r="AJ1330" s="2">
        <f t="shared" si="134"/>
        <v>0</v>
      </c>
      <c r="AK1330" s="5" t="e">
        <f t="shared" si="135"/>
        <v>#DIV/0!</v>
      </c>
    </row>
    <row r="1331" spans="1:37" x14ac:dyDescent="0.2">
      <c r="A1331" s="2">
        <v>2025</v>
      </c>
      <c r="B1331" s="2">
        <v>7</v>
      </c>
      <c r="C1331" s="2" t="s">
        <v>1589</v>
      </c>
      <c r="O1331" s="2" t="s">
        <v>283</v>
      </c>
      <c r="P1331" s="2" t="s">
        <v>1292</v>
      </c>
      <c r="Q1331" s="2" t="s">
        <v>1293</v>
      </c>
      <c r="R1331" s="2">
        <v>1</v>
      </c>
      <c r="S1331" s="2">
        <v>1500</v>
      </c>
      <c r="T1331" s="2">
        <v>345</v>
      </c>
      <c r="U1331" s="2">
        <v>1845</v>
      </c>
      <c r="V1331" s="2">
        <v>1389</v>
      </c>
      <c r="W1331" s="5">
        <f>(S1331-V1331)/S1331</f>
        <v>7.3999999999999996E-2</v>
      </c>
      <c r="Y1331" s="2" t="s">
        <v>105</v>
      </c>
      <c r="Z1331" s="2" t="s">
        <v>1590</v>
      </c>
      <c r="AA1331" s="2" t="s">
        <v>390</v>
      </c>
      <c r="AB1331" s="2" t="s">
        <v>1337</v>
      </c>
      <c r="AE1331" s="2">
        <f t="shared" si="132"/>
        <v>0</v>
      </c>
      <c r="AF1331" s="2">
        <f>1294+95</f>
        <v>1389</v>
      </c>
      <c r="AI1331" s="2">
        <f t="shared" si="133"/>
        <v>0</v>
      </c>
      <c r="AJ1331" s="2">
        <f t="shared" si="134"/>
        <v>111</v>
      </c>
      <c r="AK1331" s="5">
        <f t="shared" si="135"/>
        <v>7.3999999999999996E-2</v>
      </c>
    </row>
    <row r="1332" spans="1:37" x14ac:dyDescent="0.2">
      <c r="A1332" s="2">
        <v>2025</v>
      </c>
      <c r="B1332" s="2">
        <v>7</v>
      </c>
      <c r="C1332" s="2" t="s">
        <v>1589</v>
      </c>
      <c r="O1332" s="2" t="s">
        <v>283</v>
      </c>
      <c r="P1332" s="2" t="s">
        <v>1294</v>
      </c>
      <c r="Q1332" s="2" t="s">
        <v>1295</v>
      </c>
      <c r="R1332" s="2">
        <v>1</v>
      </c>
      <c r="S1332" s="2">
        <v>0</v>
      </c>
      <c r="T1332" s="2">
        <v>0</v>
      </c>
      <c r="U1332" s="2">
        <v>0</v>
      </c>
      <c r="W1332" s="5">
        <v>0</v>
      </c>
      <c r="AE1332" s="2">
        <f t="shared" si="132"/>
        <v>0</v>
      </c>
      <c r="AI1332" s="2">
        <f t="shared" si="133"/>
        <v>0</v>
      </c>
      <c r="AJ1332" s="2">
        <f t="shared" si="134"/>
        <v>0</v>
      </c>
      <c r="AK1332" s="5" t="e">
        <f t="shared" si="135"/>
        <v>#DIV/0!</v>
      </c>
    </row>
    <row r="1333" spans="1:37" x14ac:dyDescent="0.2">
      <c r="A1333" s="2">
        <v>2025</v>
      </c>
      <c r="B1333" s="2">
        <v>7</v>
      </c>
      <c r="C1333" s="2" t="s">
        <v>1589</v>
      </c>
      <c r="O1333" s="2" t="s">
        <v>283</v>
      </c>
      <c r="P1333" s="2" t="s">
        <v>1163</v>
      </c>
      <c r="Q1333" s="2" t="s">
        <v>1164</v>
      </c>
      <c r="R1333" s="2">
        <v>1</v>
      </c>
      <c r="S1333" s="2">
        <v>2990</v>
      </c>
      <c r="T1333" s="2">
        <v>687.7</v>
      </c>
      <c r="U1333" s="2">
        <v>3677.7</v>
      </c>
      <c r="W1333" s="5">
        <f>(S1333-V1333)/S1333</f>
        <v>1</v>
      </c>
      <c r="Y1333" s="2" t="s">
        <v>105</v>
      </c>
      <c r="AE1333" s="2">
        <f t="shared" si="132"/>
        <v>0</v>
      </c>
      <c r="AI1333" s="2">
        <f t="shared" si="133"/>
        <v>0</v>
      </c>
      <c r="AJ1333" s="2">
        <f t="shared" si="134"/>
        <v>2990</v>
      </c>
      <c r="AK1333" s="5">
        <f t="shared" si="135"/>
        <v>1</v>
      </c>
    </row>
    <row r="1334" spans="1:37" x14ac:dyDescent="0.2">
      <c r="A1334" s="2">
        <v>2025</v>
      </c>
      <c r="B1334" s="2">
        <v>7</v>
      </c>
      <c r="C1334" s="2" t="s">
        <v>1589</v>
      </c>
      <c r="O1334" s="2" t="s">
        <v>283</v>
      </c>
      <c r="P1334" s="2" t="s">
        <v>1165</v>
      </c>
      <c r="Q1334" s="2" t="s">
        <v>1166</v>
      </c>
      <c r="R1334" s="2">
        <v>1</v>
      </c>
      <c r="S1334" s="2">
        <v>350</v>
      </c>
      <c r="T1334" s="2">
        <v>80.5</v>
      </c>
      <c r="U1334" s="2">
        <v>430.5</v>
      </c>
      <c r="W1334" s="5">
        <f>(S1334-V1334)/S1334</f>
        <v>1</v>
      </c>
      <c r="AE1334" s="2">
        <f t="shared" si="132"/>
        <v>0</v>
      </c>
      <c r="AI1334" s="2">
        <f t="shared" si="133"/>
        <v>0</v>
      </c>
      <c r="AJ1334" s="2">
        <f t="shared" si="134"/>
        <v>350</v>
      </c>
      <c r="AK1334" s="5">
        <f t="shared" si="135"/>
        <v>1</v>
      </c>
    </row>
    <row r="1335" spans="1:37" x14ac:dyDescent="0.2">
      <c r="A1335" s="2">
        <v>2025</v>
      </c>
      <c r="B1335" s="2">
        <v>7</v>
      </c>
      <c r="C1335" s="2" t="s">
        <v>1589</v>
      </c>
      <c r="O1335" s="2" t="s">
        <v>283</v>
      </c>
      <c r="P1335" s="2" t="s">
        <v>1167</v>
      </c>
      <c r="Q1335" s="2" t="s">
        <v>1168</v>
      </c>
      <c r="R1335" s="2">
        <v>1</v>
      </c>
      <c r="S1335" s="2">
        <v>0</v>
      </c>
      <c r="T1335" s="2">
        <v>0</v>
      </c>
      <c r="U1335" s="2">
        <v>0</v>
      </c>
      <c r="W1335" s="5">
        <v>0</v>
      </c>
      <c r="AE1335" s="2">
        <f t="shared" si="132"/>
        <v>0</v>
      </c>
      <c r="AI1335" s="2">
        <f t="shared" si="133"/>
        <v>0</v>
      </c>
      <c r="AJ1335" s="2">
        <f t="shared" si="134"/>
        <v>0</v>
      </c>
      <c r="AK1335" s="5" t="e">
        <f t="shared" si="135"/>
        <v>#DIV/0!</v>
      </c>
    </row>
    <row r="1336" spans="1:37" x14ac:dyDescent="0.2">
      <c r="A1336" s="2">
        <v>2025</v>
      </c>
      <c r="B1336" s="2">
        <v>7</v>
      </c>
      <c r="C1336" s="2" t="s">
        <v>1591</v>
      </c>
      <c r="P1336" s="2" t="s">
        <v>1592</v>
      </c>
      <c r="Q1336" s="2" t="s">
        <v>1593</v>
      </c>
      <c r="R1336" s="2">
        <v>1</v>
      </c>
      <c r="S1336" s="2">
        <v>40.75</v>
      </c>
      <c r="T1336" s="2">
        <v>9.3725000000000005</v>
      </c>
      <c r="U1336" s="2">
        <v>50.122500000000002</v>
      </c>
      <c r="W1336" s="5">
        <f t="shared" ref="W1336:W1374" si="137">(S1336-V1336)/S1336</f>
        <v>1</v>
      </c>
      <c r="AE1336" s="2">
        <f t="shared" si="132"/>
        <v>0</v>
      </c>
      <c r="AI1336" s="2">
        <f t="shared" si="133"/>
        <v>0</v>
      </c>
      <c r="AJ1336" s="2">
        <f t="shared" si="134"/>
        <v>40.75</v>
      </c>
      <c r="AK1336" s="5">
        <f t="shared" si="135"/>
        <v>1</v>
      </c>
    </row>
    <row r="1337" spans="1:37" x14ac:dyDescent="0.2">
      <c r="A1337" s="2">
        <v>2025</v>
      </c>
      <c r="B1337" s="2">
        <v>7</v>
      </c>
      <c r="C1337" s="2" t="s">
        <v>1591</v>
      </c>
      <c r="O1337" s="2" t="s">
        <v>170</v>
      </c>
      <c r="P1337" s="2" t="s">
        <v>171</v>
      </c>
      <c r="Q1337" s="2" t="s">
        <v>171</v>
      </c>
      <c r="R1337" s="2">
        <v>1</v>
      </c>
      <c r="S1337" s="2">
        <v>5</v>
      </c>
      <c r="T1337" s="2">
        <v>1.1499999999999999</v>
      </c>
      <c r="U1337" s="2">
        <v>6.15</v>
      </c>
      <c r="W1337" s="5">
        <f t="shared" si="137"/>
        <v>1</v>
      </c>
      <c r="Y1337" s="2" t="s">
        <v>170</v>
      </c>
      <c r="Z1337" s="2" t="s">
        <v>170</v>
      </c>
      <c r="AE1337" s="2">
        <f t="shared" si="132"/>
        <v>0</v>
      </c>
      <c r="AI1337" s="2">
        <f t="shared" si="133"/>
        <v>0</v>
      </c>
      <c r="AJ1337" s="2">
        <f t="shared" si="134"/>
        <v>5</v>
      </c>
      <c r="AK1337" s="5">
        <f t="shared" si="135"/>
        <v>1</v>
      </c>
    </row>
    <row r="1338" spans="1:37" x14ac:dyDescent="0.2">
      <c r="A1338" s="2">
        <v>2025</v>
      </c>
      <c r="B1338" s="2">
        <v>7</v>
      </c>
      <c r="C1338" s="2" t="s">
        <v>473</v>
      </c>
      <c r="D1338" s="2" t="s">
        <v>38</v>
      </c>
      <c r="E1338" s="2" t="s">
        <v>474</v>
      </c>
      <c r="F1338" s="2">
        <v>513626930</v>
      </c>
      <c r="G1338" s="2" t="s">
        <v>40</v>
      </c>
      <c r="H1338" s="2" t="s">
        <v>340</v>
      </c>
      <c r="I1338" s="2" t="s">
        <v>475</v>
      </c>
      <c r="K1338" s="2" t="s">
        <v>340</v>
      </c>
      <c r="L1338" s="2" t="s">
        <v>40</v>
      </c>
      <c r="O1338" s="2" t="s">
        <v>115</v>
      </c>
      <c r="P1338" s="2" t="s">
        <v>1594</v>
      </c>
      <c r="Q1338" s="2" t="s">
        <v>1595</v>
      </c>
      <c r="R1338" s="2">
        <v>1</v>
      </c>
      <c r="S1338" s="2">
        <v>7500</v>
      </c>
      <c r="T1338" s="2">
        <v>1725</v>
      </c>
      <c r="U1338" s="2">
        <v>9225</v>
      </c>
      <c r="W1338" s="5">
        <f t="shared" si="137"/>
        <v>1</v>
      </c>
      <c r="Y1338" s="2" t="s">
        <v>105</v>
      </c>
      <c r="AE1338" s="2">
        <f t="shared" si="132"/>
        <v>0</v>
      </c>
      <c r="AI1338" s="2">
        <f t="shared" si="133"/>
        <v>0</v>
      </c>
      <c r="AJ1338" s="2">
        <f t="shared" si="134"/>
        <v>7500</v>
      </c>
      <c r="AK1338" s="5">
        <f t="shared" si="135"/>
        <v>1</v>
      </c>
    </row>
    <row r="1339" spans="1:37" x14ac:dyDescent="0.2">
      <c r="A1339" s="2">
        <v>2025</v>
      </c>
      <c r="B1339" s="2">
        <v>7</v>
      </c>
      <c r="C1339" s="2" t="s">
        <v>846</v>
      </c>
      <c r="D1339" s="2" t="s">
        <v>109</v>
      </c>
      <c r="E1339" s="2" t="s">
        <v>847</v>
      </c>
      <c r="F1339" s="2">
        <v>504981285</v>
      </c>
      <c r="G1339" s="2" t="s">
        <v>291</v>
      </c>
      <c r="H1339" s="2" t="s">
        <v>848</v>
      </c>
      <c r="I1339" s="2" t="s">
        <v>849</v>
      </c>
      <c r="J1339" s="2">
        <v>932209225</v>
      </c>
      <c r="K1339" s="2" t="s">
        <v>340</v>
      </c>
      <c r="L1339" s="2" t="s">
        <v>40</v>
      </c>
      <c r="O1339" s="2" t="s">
        <v>188</v>
      </c>
      <c r="P1339" s="2" t="s">
        <v>189</v>
      </c>
      <c r="Q1339" s="2" t="s">
        <v>190</v>
      </c>
      <c r="R1339" s="2">
        <v>1</v>
      </c>
      <c r="S1339" s="2">
        <v>50</v>
      </c>
      <c r="T1339" s="2">
        <v>11.5</v>
      </c>
      <c r="U1339" s="2">
        <v>61.5</v>
      </c>
      <c r="W1339" s="5">
        <f t="shared" si="137"/>
        <v>1</v>
      </c>
      <c r="Y1339" s="2" t="s">
        <v>118</v>
      </c>
      <c r="Z1339" s="2" t="s">
        <v>191</v>
      </c>
      <c r="AE1339" s="2">
        <f t="shared" si="132"/>
        <v>0</v>
      </c>
      <c r="AI1339" s="2">
        <f t="shared" si="133"/>
        <v>0</v>
      </c>
      <c r="AJ1339" s="2">
        <f t="shared" si="134"/>
        <v>50</v>
      </c>
      <c r="AK1339" s="5">
        <f t="shared" si="135"/>
        <v>1</v>
      </c>
    </row>
    <row r="1340" spans="1:37" x14ac:dyDescent="0.2">
      <c r="A1340" s="2">
        <v>2025</v>
      </c>
      <c r="B1340" s="2">
        <v>7</v>
      </c>
      <c r="C1340" s="2" t="s">
        <v>846</v>
      </c>
      <c r="D1340" s="2" t="s">
        <v>109</v>
      </c>
      <c r="E1340" s="2" t="s">
        <v>847</v>
      </c>
      <c r="F1340" s="2">
        <v>504981285</v>
      </c>
      <c r="G1340" s="2" t="s">
        <v>291</v>
      </c>
      <c r="H1340" s="2" t="s">
        <v>848</v>
      </c>
      <c r="I1340" s="2" t="s">
        <v>849</v>
      </c>
      <c r="J1340" s="2">
        <v>932209225</v>
      </c>
      <c r="K1340" s="2" t="s">
        <v>340</v>
      </c>
      <c r="L1340" s="2" t="s">
        <v>40</v>
      </c>
      <c r="O1340" s="2" t="s">
        <v>188</v>
      </c>
      <c r="P1340" s="2" t="s">
        <v>192</v>
      </c>
      <c r="Q1340" s="2" t="s">
        <v>191</v>
      </c>
      <c r="R1340" s="2">
        <v>1</v>
      </c>
      <c r="S1340" s="2">
        <v>50</v>
      </c>
      <c r="T1340" s="2">
        <v>11.5</v>
      </c>
      <c r="U1340" s="2">
        <v>61.5</v>
      </c>
      <c r="V1340" s="2">
        <f>S1340*50%</f>
        <v>25</v>
      </c>
      <c r="W1340" s="5">
        <f t="shared" si="137"/>
        <v>0.5</v>
      </c>
      <c r="Y1340" s="2" t="s">
        <v>118</v>
      </c>
      <c r="Z1340" s="2" t="s">
        <v>191</v>
      </c>
      <c r="AE1340" s="2">
        <f t="shared" si="132"/>
        <v>0</v>
      </c>
      <c r="AI1340" s="2">
        <f t="shared" si="133"/>
        <v>0</v>
      </c>
      <c r="AJ1340" s="2">
        <f t="shared" si="134"/>
        <v>25</v>
      </c>
      <c r="AK1340" s="5">
        <f t="shared" si="135"/>
        <v>0.5</v>
      </c>
    </row>
    <row r="1341" spans="1:37" x14ac:dyDescent="0.2">
      <c r="A1341" s="2">
        <v>2025</v>
      </c>
      <c r="B1341" s="2">
        <v>7</v>
      </c>
      <c r="C1341" s="2" t="s">
        <v>850</v>
      </c>
      <c r="D1341" s="2" t="s">
        <v>38</v>
      </c>
      <c r="E1341" s="2" t="s">
        <v>39</v>
      </c>
      <c r="F1341" s="2">
        <v>161685080</v>
      </c>
      <c r="G1341" s="2" t="s">
        <v>41</v>
      </c>
      <c r="H1341" s="2" t="s">
        <v>422</v>
      </c>
      <c r="J1341" s="2" t="s">
        <v>851</v>
      </c>
      <c r="K1341" s="2" t="s">
        <v>422</v>
      </c>
      <c r="L1341" s="2" t="s">
        <v>41</v>
      </c>
      <c r="N1341" s="2" t="s">
        <v>1596</v>
      </c>
      <c r="O1341" s="2" t="s">
        <v>43</v>
      </c>
      <c r="P1341" s="2" t="s">
        <v>49</v>
      </c>
      <c r="Q1341" s="2" t="s">
        <v>50</v>
      </c>
      <c r="R1341" s="2">
        <v>1</v>
      </c>
      <c r="S1341" s="2">
        <v>12</v>
      </c>
      <c r="T1341" s="2">
        <v>2.76</v>
      </c>
      <c r="U1341" s="2">
        <v>14.76</v>
      </c>
      <c r="V1341" s="2">
        <f>6.6267*R1341</f>
        <v>6.6266999999999996</v>
      </c>
      <c r="W1341" s="5">
        <f t="shared" si="137"/>
        <v>0.44777500000000003</v>
      </c>
      <c r="Y1341" s="2" t="s">
        <v>3256</v>
      </c>
      <c r="Z1341" s="2" t="s">
        <v>46</v>
      </c>
      <c r="AA1341" s="2" t="s">
        <v>47</v>
      </c>
      <c r="AB1341" s="2" t="s">
        <v>48</v>
      </c>
      <c r="AE1341" s="2">
        <f t="shared" si="132"/>
        <v>0</v>
      </c>
      <c r="AF1341" s="2">
        <v>6.6266999999999996</v>
      </c>
      <c r="AG1341" s="2">
        <v>12</v>
      </c>
      <c r="AI1341" s="2">
        <f t="shared" si="133"/>
        <v>0</v>
      </c>
      <c r="AJ1341" s="2">
        <f t="shared" si="134"/>
        <v>5.3733000000000004</v>
      </c>
      <c r="AK1341" s="5">
        <f t="shared" si="135"/>
        <v>0.44777500000000003</v>
      </c>
    </row>
    <row r="1342" spans="1:37" x14ac:dyDescent="0.2">
      <c r="A1342" s="2">
        <v>2025</v>
      </c>
      <c r="B1342" s="2">
        <v>7</v>
      </c>
      <c r="C1342" s="2" t="s">
        <v>850</v>
      </c>
      <c r="D1342" s="2" t="s">
        <v>38</v>
      </c>
      <c r="E1342" s="2" t="s">
        <v>39</v>
      </c>
      <c r="F1342" s="2">
        <v>161685080</v>
      </c>
      <c r="G1342" s="2" t="s">
        <v>41</v>
      </c>
      <c r="H1342" s="2" t="s">
        <v>422</v>
      </c>
      <c r="J1342" s="2" t="s">
        <v>851</v>
      </c>
      <c r="K1342" s="2" t="s">
        <v>422</v>
      </c>
      <c r="L1342" s="2" t="s">
        <v>41</v>
      </c>
      <c r="N1342" s="2" t="s">
        <v>1596</v>
      </c>
      <c r="O1342" s="2" t="s">
        <v>43</v>
      </c>
      <c r="P1342" s="2" t="s">
        <v>165</v>
      </c>
      <c r="Q1342" s="2" t="s">
        <v>166</v>
      </c>
      <c r="R1342" s="2">
        <v>1</v>
      </c>
      <c r="S1342" s="2">
        <v>15</v>
      </c>
      <c r="T1342" s="2">
        <v>3.45</v>
      </c>
      <c r="U1342" s="2">
        <v>18.45</v>
      </c>
      <c r="V1342" s="2">
        <f>7.9612*R1342</f>
        <v>7.9611999999999998</v>
      </c>
      <c r="W1342" s="5">
        <f t="shared" si="137"/>
        <v>0.46925333333333336</v>
      </c>
      <c r="Y1342" s="2" t="s">
        <v>3256</v>
      </c>
      <c r="Z1342" s="2" t="s">
        <v>46</v>
      </c>
      <c r="AA1342" s="2" t="s">
        <v>68</v>
      </c>
      <c r="AB1342" s="2" t="s">
        <v>58</v>
      </c>
      <c r="AE1342" s="2">
        <f t="shared" si="132"/>
        <v>0</v>
      </c>
      <c r="AF1342" s="2">
        <v>7.9611999999999998</v>
      </c>
      <c r="AG1342" s="2">
        <v>14.4</v>
      </c>
      <c r="AI1342" s="2">
        <f t="shared" si="133"/>
        <v>0</v>
      </c>
      <c r="AJ1342" s="2">
        <f t="shared" si="134"/>
        <v>7.0388000000000002</v>
      </c>
      <c r="AK1342" s="5">
        <f t="shared" si="135"/>
        <v>0.46925333333333336</v>
      </c>
    </row>
    <row r="1343" spans="1:37" x14ac:dyDescent="0.2">
      <c r="A1343" s="2">
        <v>2025</v>
      </c>
      <c r="B1343" s="2">
        <v>7</v>
      </c>
      <c r="C1343" s="2" t="s">
        <v>850</v>
      </c>
      <c r="D1343" s="2" t="s">
        <v>38</v>
      </c>
      <c r="E1343" s="2" t="s">
        <v>39</v>
      </c>
      <c r="F1343" s="2">
        <v>161685080</v>
      </c>
      <c r="G1343" s="2" t="s">
        <v>41</v>
      </c>
      <c r="H1343" s="2" t="s">
        <v>422</v>
      </c>
      <c r="J1343" s="2" t="s">
        <v>851</v>
      </c>
      <c r="K1343" s="2" t="s">
        <v>422</v>
      </c>
      <c r="L1343" s="2" t="s">
        <v>41</v>
      </c>
      <c r="N1343" s="2" t="s">
        <v>1596</v>
      </c>
      <c r="O1343" s="2" t="s">
        <v>170</v>
      </c>
      <c r="P1343" s="2" t="s">
        <v>171</v>
      </c>
      <c r="Q1343" s="2" t="s">
        <v>171</v>
      </c>
      <c r="R1343" s="2">
        <v>1</v>
      </c>
      <c r="S1343" s="2">
        <v>8.5</v>
      </c>
      <c r="T1343" s="2">
        <v>1.9550000000000001</v>
      </c>
      <c r="U1343" s="2">
        <v>10.455</v>
      </c>
      <c r="W1343" s="5">
        <f t="shared" si="137"/>
        <v>1</v>
      </c>
      <c r="Y1343" s="2" t="s">
        <v>170</v>
      </c>
      <c r="Z1343" s="2" t="s">
        <v>170</v>
      </c>
      <c r="AE1343" s="2">
        <f t="shared" si="132"/>
        <v>0</v>
      </c>
      <c r="AI1343" s="2">
        <f t="shared" si="133"/>
        <v>0</v>
      </c>
      <c r="AJ1343" s="2">
        <f t="shared" si="134"/>
        <v>8.5</v>
      </c>
      <c r="AK1343" s="5">
        <f t="shared" si="135"/>
        <v>1</v>
      </c>
    </row>
    <row r="1344" spans="1:37" x14ac:dyDescent="0.2">
      <c r="A1344" s="2">
        <v>2025</v>
      </c>
      <c r="B1344" s="2">
        <v>7</v>
      </c>
      <c r="C1344" s="2" t="s">
        <v>492</v>
      </c>
      <c r="D1344" s="2" t="s">
        <v>38</v>
      </c>
      <c r="E1344" s="2" t="s">
        <v>39</v>
      </c>
      <c r="F1344" s="2">
        <v>507380312</v>
      </c>
      <c r="G1344" s="2" t="s">
        <v>40</v>
      </c>
      <c r="H1344" s="2" t="s">
        <v>493</v>
      </c>
      <c r="I1344" s="2" t="s">
        <v>494</v>
      </c>
      <c r="J1344" s="2">
        <v>912293443</v>
      </c>
      <c r="K1344" s="2" t="s">
        <v>100</v>
      </c>
      <c r="L1344" s="2" t="s">
        <v>40</v>
      </c>
      <c r="O1344" s="2" t="s">
        <v>40</v>
      </c>
      <c r="P1344" s="2" t="s">
        <v>495</v>
      </c>
      <c r="Q1344" s="2" t="s">
        <v>496</v>
      </c>
      <c r="R1344" s="2">
        <v>1</v>
      </c>
      <c r="S1344" s="2">
        <v>664.04</v>
      </c>
      <c r="T1344" s="2">
        <v>152.72919999999999</v>
      </c>
      <c r="U1344" s="2">
        <v>816.76919999999996</v>
      </c>
      <c r="W1344" s="5">
        <f t="shared" si="137"/>
        <v>1</v>
      </c>
      <c r="Y1344" s="2" t="s">
        <v>120</v>
      </c>
      <c r="AE1344" s="2">
        <f t="shared" si="132"/>
        <v>0</v>
      </c>
      <c r="AI1344" s="2">
        <f t="shared" si="133"/>
        <v>0</v>
      </c>
      <c r="AJ1344" s="2">
        <f t="shared" si="134"/>
        <v>664.04</v>
      </c>
      <c r="AK1344" s="5">
        <f t="shared" si="135"/>
        <v>1</v>
      </c>
    </row>
    <row r="1345" spans="1:37" x14ac:dyDescent="0.2">
      <c r="A1345" s="2">
        <v>2025</v>
      </c>
      <c r="B1345" s="2">
        <v>7</v>
      </c>
      <c r="C1345" s="2" t="s">
        <v>1597</v>
      </c>
      <c r="O1345" s="2" t="s">
        <v>283</v>
      </c>
      <c r="P1345" s="2" t="s">
        <v>595</v>
      </c>
      <c r="Q1345" s="2" t="s">
        <v>596</v>
      </c>
      <c r="R1345" s="2">
        <v>1</v>
      </c>
      <c r="S1345" s="2">
        <v>199</v>
      </c>
      <c r="T1345" s="2">
        <v>45.77</v>
      </c>
      <c r="U1345" s="2">
        <v>244.77</v>
      </c>
      <c r="W1345" s="5">
        <f t="shared" si="137"/>
        <v>1</v>
      </c>
      <c r="Y1345" s="2" t="s">
        <v>3256</v>
      </c>
      <c r="AE1345" s="2">
        <f t="shared" si="132"/>
        <v>0</v>
      </c>
      <c r="AI1345" s="2">
        <f t="shared" si="133"/>
        <v>0</v>
      </c>
      <c r="AJ1345" s="2">
        <f t="shared" si="134"/>
        <v>199</v>
      </c>
      <c r="AK1345" s="5">
        <f t="shared" si="135"/>
        <v>1</v>
      </c>
    </row>
    <row r="1346" spans="1:37" x14ac:dyDescent="0.2">
      <c r="A1346" s="2">
        <v>2025</v>
      </c>
      <c r="B1346" s="2">
        <v>7</v>
      </c>
      <c r="C1346" s="2" t="s">
        <v>1597</v>
      </c>
      <c r="O1346" s="2" t="s">
        <v>40</v>
      </c>
      <c r="P1346" s="2" t="s">
        <v>364</v>
      </c>
      <c r="Q1346" s="2" t="s">
        <v>365</v>
      </c>
      <c r="R1346" s="2">
        <v>1</v>
      </c>
      <c r="S1346" s="2">
        <v>132</v>
      </c>
      <c r="T1346" s="2">
        <v>30.36</v>
      </c>
      <c r="U1346" s="2">
        <v>162.36000000000001</v>
      </c>
      <c r="W1346" s="5">
        <f t="shared" si="137"/>
        <v>1</v>
      </c>
      <c r="Y1346" s="2" t="s">
        <v>120</v>
      </c>
      <c r="AE1346" s="2">
        <f t="shared" si="132"/>
        <v>0</v>
      </c>
      <c r="AI1346" s="2">
        <f t="shared" si="133"/>
        <v>0</v>
      </c>
      <c r="AJ1346" s="2">
        <f t="shared" si="134"/>
        <v>132</v>
      </c>
      <c r="AK1346" s="5">
        <f t="shared" si="135"/>
        <v>1</v>
      </c>
    </row>
    <row r="1347" spans="1:37" x14ac:dyDescent="0.2">
      <c r="A1347" s="2">
        <v>2025</v>
      </c>
      <c r="B1347" s="2">
        <v>7</v>
      </c>
      <c r="C1347" s="2" t="s">
        <v>857</v>
      </c>
      <c r="O1347" s="2" t="s">
        <v>73</v>
      </c>
      <c r="P1347" s="2" t="s">
        <v>670</v>
      </c>
      <c r="Q1347" s="2" t="s">
        <v>80</v>
      </c>
      <c r="R1347" s="2">
        <v>1</v>
      </c>
      <c r="S1347" s="2">
        <v>220</v>
      </c>
      <c r="T1347" s="2">
        <v>50.6</v>
      </c>
      <c r="U1347" s="2">
        <v>270.60000000000002</v>
      </c>
      <c r="W1347" s="5">
        <f t="shared" si="137"/>
        <v>1</v>
      </c>
      <c r="Y1347" s="2" t="s">
        <v>3256</v>
      </c>
      <c r="Z1347" s="2" t="s">
        <v>76</v>
      </c>
      <c r="AA1347" s="2" t="s">
        <v>77</v>
      </c>
      <c r="AB1347" s="2" t="s">
        <v>78</v>
      </c>
      <c r="AE1347" s="2">
        <f t="shared" ref="AE1347:AE1410" si="138">AI1347</f>
        <v>0</v>
      </c>
      <c r="AI1347" s="2">
        <f t="shared" ref="AI1347:AI1410" si="139">AH1347*S1347</f>
        <v>0</v>
      </c>
      <c r="AJ1347" s="2">
        <f t="shared" ref="AJ1347:AJ1410" si="140">S1347-V1347</f>
        <v>220</v>
      </c>
      <c r="AK1347" s="5">
        <f t="shared" si="135"/>
        <v>1</v>
      </c>
    </row>
    <row r="1348" spans="1:37" x14ac:dyDescent="0.2">
      <c r="A1348" s="2">
        <v>2025</v>
      </c>
      <c r="B1348" s="2">
        <v>7</v>
      </c>
      <c r="C1348" s="2" t="s">
        <v>857</v>
      </c>
      <c r="O1348" s="2" t="s">
        <v>170</v>
      </c>
      <c r="P1348" s="2" t="s">
        <v>171</v>
      </c>
      <c r="Q1348" s="2" t="s">
        <v>171</v>
      </c>
      <c r="R1348" s="2">
        <v>1</v>
      </c>
      <c r="S1348" s="2">
        <v>25</v>
      </c>
      <c r="T1348" s="2">
        <v>5.75</v>
      </c>
      <c r="U1348" s="2">
        <v>30.75</v>
      </c>
      <c r="W1348" s="5">
        <f t="shared" si="137"/>
        <v>1</v>
      </c>
      <c r="Y1348" s="2" t="s">
        <v>170</v>
      </c>
      <c r="Z1348" s="2" t="s">
        <v>170</v>
      </c>
      <c r="AE1348" s="2">
        <f t="shared" si="138"/>
        <v>0</v>
      </c>
      <c r="AI1348" s="2">
        <f t="shared" si="139"/>
        <v>0</v>
      </c>
      <c r="AJ1348" s="2">
        <f t="shared" si="140"/>
        <v>25</v>
      </c>
      <c r="AK1348" s="5">
        <f t="shared" si="135"/>
        <v>1</v>
      </c>
    </row>
    <row r="1349" spans="1:37" x14ac:dyDescent="0.2">
      <c r="A1349" s="2">
        <v>2025</v>
      </c>
      <c r="B1349" s="2">
        <v>7</v>
      </c>
      <c r="C1349" s="2" t="s">
        <v>857</v>
      </c>
      <c r="O1349" s="2" t="s">
        <v>94</v>
      </c>
      <c r="P1349" s="2" t="s">
        <v>95</v>
      </c>
      <c r="Q1349" s="2" t="s">
        <v>96</v>
      </c>
      <c r="R1349" s="2">
        <v>1</v>
      </c>
      <c r="S1349" s="2">
        <v>1.1399999999999999</v>
      </c>
      <c r="T1349" s="2">
        <v>0.26219999999999999</v>
      </c>
      <c r="U1349" s="2">
        <v>1.4021999999999999</v>
      </c>
      <c r="V1349" s="2">
        <v>1.1399999999999999</v>
      </c>
      <c r="W1349" s="5">
        <f t="shared" si="137"/>
        <v>0</v>
      </c>
      <c r="Y1349" s="2" t="s">
        <v>3256</v>
      </c>
      <c r="Z1349" s="2" t="s">
        <v>97</v>
      </c>
      <c r="AA1349" s="2" t="s">
        <v>77</v>
      </c>
      <c r="AB1349" s="2" t="s">
        <v>94</v>
      </c>
      <c r="AE1349" s="2">
        <f t="shared" si="138"/>
        <v>0</v>
      </c>
      <c r="AI1349" s="2">
        <f t="shared" si="139"/>
        <v>0</v>
      </c>
      <c r="AJ1349" s="2">
        <f t="shared" si="140"/>
        <v>0</v>
      </c>
      <c r="AK1349" s="5">
        <f t="shared" si="135"/>
        <v>0</v>
      </c>
    </row>
    <row r="1350" spans="1:37" x14ac:dyDescent="0.2">
      <c r="A1350" s="2">
        <v>2025</v>
      </c>
      <c r="B1350" s="2">
        <v>7</v>
      </c>
      <c r="C1350" s="2" t="s">
        <v>868</v>
      </c>
      <c r="O1350" s="2" t="s">
        <v>115</v>
      </c>
      <c r="P1350" s="2" t="s">
        <v>1275</v>
      </c>
      <c r="Q1350" s="2" t="s">
        <v>1276</v>
      </c>
      <c r="R1350" s="2">
        <v>2</v>
      </c>
      <c r="S1350" s="2">
        <v>57.67</v>
      </c>
      <c r="T1350" s="2">
        <v>13.264099999999999</v>
      </c>
      <c r="U1350" s="2">
        <v>70.934100000000001</v>
      </c>
      <c r="W1350" s="5">
        <f t="shared" si="137"/>
        <v>1</v>
      </c>
      <c r="AE1350" s="2">
        <f t="shared" si="138"/>
        <v>0</v>
      </c>
      <c r="AI1350" s="2">
        <f t="shared" si="139"/>
        <v>0</v>
      </c>
      <c r="AJ1350" s="2">
        <f t="shared" si="140"/>
        <v>57.67</v>
      </c>
      <c r="AK1350" s="5">
        <f t="shared" si="135"/>
        <v>1</v>
      </c>
    </row>
    <row r="1351" spans="1:37" x14ac:dyDescent="0.2">
      <c r="A1351" s="2">
        <v>2025</v>
      </c>
      <c r="B1351" s="2">
        <v>7</v>
      </c>
      <c r="C1351" s="2" t="s">
        <v>868</v>
      </c>
      <c r="L1351" s="2" t="s">
        <v>40</v>
      </c>
      <c r="O1351" s="2" t="s">
        <v>188</v>
      </c>
      <c r="P1351" s="2" t="s">
        <v>189</v>
      </c>
      <c r="Q1351" s="2" t="s">
        <v>190</v>
      </c>
      <c r="R1351" s="2">
        <v>1</v>
      </c>
      <c r="S1351" s="2">
        <v>0</v>
      </c>
      <c r="T1351" s="2">
        <v>0</v>
      </c>
      <c r="U1351" s="2">
        <v>0</v>
      </c>
      <c r="W1351" s="5" t="e">
        <f t="shared" si="137"/>
        <v>#DIV/0!</v>
      </c>
      <c r="Y1351" s="2" t="s">
        <v>118</v>
      </c>
      <c r="Z1351" s="2" t="s">
        <v>191</v>
      </c>
      <c r="AE1351" s="2">
        <f t="shared" si="138"/>
        <v>0</v>
      </c>
      <c r="AI1351" s="2">
        <f t="shared" si="139"/>
        <v>0</v>
      </c>
      <c r="AJ1351" s="2">
        <f t="shared" si="140"/>
        <v>0</v>
      </c>
      <c r="AK1351" s="5" t="e">
        <f t="shared" si="135"/>
        <v>#DIV/0!</v>
      </c>
    </row>
    <row r="1352" spans="1:37" x14ac:dyDescent="0.2">
      <c r="A1352" s="2">
        <v>2025</v>
      </c>
      <c r="B1352" s="2">
        <v>7</v>
      </c>
      <c r="C1352" s="2" t="s">
        <v>868</v>
      </c>
      <c r="L1352" s="2" t="s">
        <v>40</v>
      </c>
      <c r="O1352" s="2" t="s">
        <v>188</v>
      </c>
      <c r="P1352" s="2" t="s">
        <v>192</v>
      </c>
      <c r="Q1352" s="2" t="s">
        <v>191</v>
      </c>
      <c r="R1352" s="2">
        <v>1</v>
      </c>
      <c r="S1352" s="2">
        <v>50</v>
      </c>
      <c r="T1352" s="2">
        <v>11.5</v>
      </c>
      <c r="U1352" s="2">
        <v>61.5</v>
      </c>
      <c r="V1352" s="2">
        <f>S1352*50%</f>
        <v>25</v>
      </c>
      <c r="W1352" s="5">
        <f t="shared" si="137"/>
        <v>0.5</v>
      </c>
      <c r="Y1352" s="2" t="s">
        <v>118</v>
      </c>
      <c r="Z1352" s="2" t="s">
        <v>191</v>
      </c>
      <c r="AE1352" s="2">
        <f t="shared" si="138"/>
        <v>0</v>
      </c>
      <c r="AI1352" s="2">
        <f t="shared" si="139"/>
        <v>0</v>
      </c>
      <c r="AJ1352" s="2">
        <f t="shared" si="140"/>
        <v>25</v>
      </c>
      <c r="AK1352" s="5">
        <f t="shared" si="135"/>
        <v>0.5</v>
      </c>
    </row>
    <row r="1353" spans="1:37" x14ac:dyDescent="0.2">
      <c r="A1353" s="2">
        <v>2025</v>
      </c>
      <c r="B1353" s="2">
        <v>7</v>
      </c>
      <c r="C1353" s="2" t="s">
        <v>1598</v>
      </c>
      <c r="L1353" s="2" t="s">
        <v>40</v>
      </c>
      <c r="O1353" s="2" t="s">
        <v>188</v>
      </c>
      <c r="P1353" s="2" t="s">
        <v>189</v>
      </c>
      <c r="Q1353" s="2" t="s">
        <v>190</v>
      </c>
      <c r="R1353" s="2">
        <v>1</v>
      </c>
      <c r="S1353" s="2">
        <v>50</v>
      </c>
      <c r="T1353" s="2">
        <v>11.5</v>
      </c>
      <c r="U1353" s="2">
        <v>61.5</v>
      </c>
      <c r="W1353" s="5">
        <f t="shared" si="137"/>
        <v>1</v>
      </c>
      <c r="Y1353" s="2" t="s">
        <v>118</v>
      </c>
      <c r="Z1353" s="2" t="s">
        <v>191</v>
      </c>
      <c r="AE1353" s="2">
        <f t="shared" si="138"/>
        <v>0</v>
      </c>
      <c r="AI1353" s="2">
        <f t="shared" si="139"/>
        <v>0</v>
      </c>
      <c r="AJ1353" s="2">
        <f t="shared" si="140"/>
        <v>50</v>
      </c>
      <c r="AK1353" s="5">
        <f t="shared" si="135"/>
        <v>1</v>
      </c>
    </row>
    <row r="1354" spans="1:37" x14ac:dyDescent="0.2">
      <c r="A1354" s="2">
        <v>2025</v>
      </c>
      <c r="B1354" s="2">
        <v>7</v>
      </c>
      <c r="C1354" s="2" t="s">
        <v>1598</v>
      </c>
      <c r="L1354" s="2" t="s">
        <v>40</v>
      </c>
      <c r="O1354" s="2" t="s">
        <v>188</v>
      </c>
      <c r="P1354" s="2" t="s">
        <v>192</v>
      </c>
      <c r="Q1354" s="2" t="s">
        <v>191</v>
      </c>
      <c r="R1354" s="2">
        <v>3</v>
      </c>
      <c r="S1354" s="2">
        <v>150</v>
      </c>
      <c r="T1354" s="2">
        <v>34.5</v>
      </c>
      <c r="U1354" s="2">
        <v>184.5</v>
      </c>
      <c r="V1354" s="2">
        <f>S1354*50%</f>
        <v>75</v>
      </c>
      <c r="W1354" s="5">
        <f t="shared" si="137"/>
        <v>0.5</v>
      </c>
      <c r="Y1354" s="2" t="s">
        <v>118</v>
      </c>
      <c r="Z1354" s="2" t="s">
        <v>191</v>
      </c>
      <c r="AE1354" s="2">
        <f t="shared" si="138"/>
        <v>0</v>
      </c>
      <c r="AI1354" s="2">
        <f t="shared" si="139"/>
        <v>0</v>
      </c>
      <c r="AJ1354" s="2">
        <f t="shared" si="140"/>
        <v>75</v>
      </c>
      <c r="AK1354" s="5">
        <f t="shared" si="135"/>
        <v>0.5</v>
      </c>
    </row>
    <row r="1355" spans="1:37" x14ac:dyDescent="0.2">
      <c r="A1355" s="2">
        <v>2025</v>
      </c>
      <c r="B1355" s="2">
        <v>7</v>
      </c>
      <c r="C1355" s="2" t="s">
        <v>504</v>
      </c>
      <c r="D1355" s="2" t="s">
        <v>38</v>
      </c>
      <c r="E1355" s="2" t="s">
        <v>39</v>
      </c>
      <c r="F1355" s="2">
        <v>513244468</v>
      </c>
      <c r="G1355" s="2" t="s">
        <v>41</v>
      </c>
      <c r="H1355" s="2" t="s">
        <v>505</v>
      </c>
      <c r="I1355" s="2" t="s">
        <v>506</v>
      </c>
      <c r="J1355" s="2">
        <v>918010109</v>
      </c>
      <c r="K1355" s="2" t="s">
        <v>100</v>
      </c>
      <c r="L1355" s="2" t="s">
        <v>40</v>
      </c>
      <c r="O1355" s="2" t="s">
        <v>188</v>
      </c>
      <c r="P1355" s="2" t="s">
        <v>189</v>
      </c>
      <c r="Q1355" s="2" t="s">
        <v>190</v>
      </c>
      <c r="R1355" s="2">
        <v>1</v>
      </c>
      <c r="S1355" s="2">
        <v>50</v>
      </c>
      <c r="T1355" s="2">
        <v>11.5</v>
      </c>
      <c r="U1355" s="2">
        <v>61.5</v>
      </c>
      <c r="W1355" s="5">
        <f t="shared" si="137"/>
        <v>1</v>
      </c>
      <c r="Y1355" s="2" t="s">
        <v>118</v>
      </c>
      <c r="Z1355" s="2" t="s">
        <v>191</v>
      </c>
      <c r="AE1355" s="2">
        <f t="shared" si="138"/>
        <v>0</v>
      </c>
      <c r="AI1355" s="2">
        <f t="shared" si="139"/>
        <v>0</v>
      </c>
      <c r="AJ1355" s="2">
        <f t="shared" si="140"/>
        <v>50</v>
      </c>
      <c r="AK1355" s="5">
        <f t="shared" si="135"/>
        <v>1</v>
      </c>
    </row>
    <row r="1356" spans="1:37" x14ac:dyDescent="0.2">
      <c r="A1356" s="2">
        <v>2025</v>
      </c>
      <c r="B1356" s="2">
        <v>7</v>
      </c>
      <c r="C1356" s="2" t="s">
        <v>504</v>
      </c>
      <c r="D1356" s="2" t="s">
        <v>38</v>
      </c>
      <c r="E1356" s="2" t="s">
        <v>39</v>
      </c>
      <c r="F1356" s="2">
        <v>513244468</v>
      </c>
      <c r="G1356" s="2" t="s">
        <v>41</v>
      </c>
      <c r="H1356" s="2" t="s">
        <v>505</v>
      </c>
      <c r="I1356" s="2" t="s">
        <v>506</v>
      </c>
      <c r="J1356" s="2">
        <v>918010109</v>
      </c>
      <c r="K1356" s="2" t="s">
        <v>100</v>
      </c>
      <c r="L1356" s="2" t="s">
        <v>40</v>
      </c>
      <c r="O1356" s="2" t="s">
        <v>188</v>
      </c>
      <c r="P1356" s="2" t="s">
        <v>192</v>
      </c>
      <c r="Q1356" s="2" t="s">
        <v>191</v>
      </c>
      <c r="R1356" s="2">
        <v>1</v>
      </c>
      <c r="S1356" s="2">
        <v>50</v>
      </c>
      <c r="T1356" s="2">
        <v>11.5</v>
      </c>
      <c r="U1356" s="2">
        <v>61.5</v>
      </c>
      <c r="V1356" s="2">
        <f>S1356*50%</f>
        <v>25</v>
      </c>
      <c r="W1356" s="5">
        <f t="shared" si="137"/>
        <v>0.5</v>
      </c>
      <c r="Y1356" s="2" t="s">
        <v>118</v>
      </c>
      <c r="Z1356" s="2" t="s">
        <v>191</v>
      </c>
      <c r="AE1356" s="2">
        <f t="shared" si="138"/>
        <v>0</v>
      </c>
      <c r="AI1356" s="2">
        <f t="shared" si="139"/>
        <v>0</v>
      </c>
      <c r="AJ1356" s="2">
        <f t="shared" si="140"/>
        <v>25</v>
      </c>
      <c r="AK1356" s="5">
        <f t="shared" si="135"/>
        <v>0.5</v>
      </c>
    </row>
    <row r="1357" spans="1:37" x14ac:dyDescent="0.2">
      <c r="A1357" s="2">
        <v>2025</v>
      </c>
      <c r="B1357" s="2">
        <v>7</v>
      </c>
      <c r="C1357" s="2" t="s">
        <v>1074</v>
      </c>
      <c r="O1357" s="2" t="s">
        <v>43</v>
      </c>
      <c r="P1357" s="2" t="s">
        <v>66</v>
      </c>
      <c r="Q1357" s="2" t="s">
        <v>67</v>
      </c>
      <c r="R1357" s="2">
        <v>4</v>
      </c>
      <c r="S1357" s="2">
        <v>84</v>
      </c>
      <c r="T1357" s="2">
        <v>19.32</v>
      </c>
      <c r="U1357" s="2">
        <v>103.32</v>
      </c>
      <c r="V1357" s="2">
        <f>15.0203*R1357</f>
        <v>60.081200000000003</v>
      </c>
      <c r="W1357" s="5">
        <f t="shared" si="137"/>
        <v>0.28474761904761903</v>
      </c>
      <c r="Y1357" s="2" t="s">
        <v>3256</v>
      </c>
      <c r="Z1357" s="2" t="s">
        <v>46</v>
      </c>
      <c r="AA1357" s="2" t="s">
        <v>68</v>
      </c>
      <c r="AB1357" s="2" t="s">
        <v>58</v>
      </c>
      <c r="AE1357" s="2">
        <f t="shared" si="138"/>
        <v>0</v>
      </c>
      <c r="AF1357" s="2">
        <v>15.020300000000001</v>
      </c>
      <c r="AG1357" s="2">
        <v>27.6</v>
      </c>
      <c r="AI1357" s="2">
        <f t="shared" si="139"/>
        <v>0</v>
      </c>
      <c r="AJ1357" s="2">
        <f t="shared" si="140"/>
        <v>23.918799999999997</v>
      </c>
      <c r="AK1357" s="5">
        <f t="shared" si="135"/>
        <v>0.28474761904761903</v>
      </c>
    </row>
    <row r="1358" spans="1:37" x14ac:dyDescent="0.2">
      <c r="A1358" s="2">
        <v>2025</v>
      </c>
      <c r="B1358" s="2">
        <v>7</v>
      </c>
      <c r="C1358" s="2" t="s">
        <v>511</v>
      </c>
      <c r="D1358" s="2" t="s">
        <v>38</v>
      </c>
      <c r="E1358" s="2" t="s">
        <v>39</v>
      </c>
      <c r="F1358" s="2">
        <v>514446170</v>
      </c>
      <c r="G1358" s="2" t="s">
        <v>41</v>
      </c>
      <c r="H1358" s="2" t="s">
        <v>178</v>
      </c>
      <c r="I1358" s="2" t="s">
        <v>3158</v>
      </c>
      <c r="K1358" s="2" t="s">
        <v>178</v>
      </c>
      <c r="L1358" s="2" t="s">
        <v>41</v>
      </c>
      <c r="N1358" s="2" t="s">
        <v>3163</v>
      </c>
      <c r="O1358" s="2" t="s">
        <v>43</v>
      </c>
      <c r="P1358" s="2" t="s">
        <v>49</v>
      </c>
      <c r="Q1358" s="2" t="s">
        <v>50</v>
      </c>
      <c r="R1358" s="2">
        <v>4</v>
      </c>
      <c r="S1358" s="2">
        <v>48</v>
      </c>
      <c r="T1358" s="2">
        <v>11.04</v>
      </c>
      <c r="U1358" s="2">
        <v>59.04</v>
      </c>
      <c r="V1358" s="2">
        <f>6.6267*R1358</f>
        <v>26.506799999999998</v>
      </c>
      <c r="W1358" s="5">
        <f t="shared" si="137"/>
        <v>0.44777500000000003</v>
      </c>
      <c r="Y1358" s="2" t="s">
        <v>3256</v>
      </c>
      <c r="Z1358" s="2" t="s">
        <v>46</v>
      </c>
      <c r="AA1358" s="2" t="s">
        <v>47</v>
      </c>
      <c r="AB1358" s="2" t="s">
        <v>48</v>
      </c>
      <c r="AE1358" s="2">
        <f t="shared" si="138"/>
        <v>0</v>
      </c>
      <c r="AF1358" s="2">
        <v>6.6266999999999996</v>
      </c>
      <c r="AG1358" s="2">
        <v>12</v>
      </c>
      <c r="AI1358" s="2">
        <f t="shared" si="139"/>
        <v>0</v>
      </c>
      <c r="AJ1358" s="2">
        <f t="shared" si="140"/>
        <v>21.493200000000002</v>
      </c>
      <c r="AK1358" s="5">
        <f t="shared" si="135"/>
        <v>0.44777500000000003</v>
      </c>
    </row>
    <row r="1359" spans="1:37" x14ac:dyDescent="0.2">
      <c r="A1359" s="2">
        <v>2025</v>
      </c>
      <c r="B1359" s="2">
        <v>7</v>
      </c>
      <c r="C1359" s="2" t="s">
        <v>511</v>
      </c>
      <c r="D1359" s="2" t="s">
        <v>38</v>
      </c>
      <c r="E1359" s="2" t="s">
        <v>39</v>
      </c>
      <c r="F1359" s="2">
        <v>514446170</v>
      </c>
      <c r="G1359" s="2" t="s">
        <v>41</v>
      </c>
      <c r="H1359" s="2" t="s">
        <v>178</v>
      </c>
      <c r="I1359" s="2" t="s">
        <v>3158</v>
      </c>
      <c r="K1359" s="2" t="s">
        <v>178</v>
      </c>
      <c r="L1359" s="2" t="s">
        <v>41</v>
      </c>
      <c r="N1359" s="2" t="s">
        <v>3162</v>
      </c>
      <c r="O1359" s="2" t="s">
        <v>43</v>
      </c>
      <c r="P1359" s="2" t="s">
        <v>62</v>
      </c>
      <c r="Q1359" s="2" t="s">
        <v>63</v>
      </c>
      <c r="R1359" s="2">
        <v>1000</v>
      </c>
      <c r="S1359" s="2">
        <v>105</v>
      </c>
      <c r="T1359" s="2">
        <v>24.15</v>
      </c>
      <c r="U1359" s="2">
        <v>129.15</v>
      </c>
      <c r="V1359" s="2">
        <f>0.082*R1359</f>
        <v>82</v>
      </c>
      <c r="W1359" s="5">
        <f t="shared" si="137"/>
        <v>0.21904761904761905</v>
      </c>
      <c r="Y1359" s="2" t="s">
        <v>3256</v>
      </c>
      <c r="Z1359" s="2" t="s">
        <v>46</v>
      </c>
      <c r="AA1359" s="2" t="s">
        <v>61</v>
      </c>
      <c r="AB1359" s="2" t="s">
        <v>58</v>
      </c>
      <c r="AE1359" s="2">
        <f t="shared" si="138"/>
        <v>0</v>
      </c>
      <c r="AF1359" s="2">
        <v>8.1999999999999993</v>
      </c>
      <c r="AG1359" s="2">
        <v>13</v>
      </c>
      <c r="AI1359" s="2">
        <f t="shared" si="139"/>
        <v>0</v>
      </c>
      <c r="AJ1359" s="2">
        <f t="shared" si="140"/>
        <v>23</v>
      </c>
      <c r="AK1359" s="5">
        <f t="shared" si="135"/>
        <v>0.21904761904761905</v>
      </c>
    </row>
    <row r="1360" spans="1:37" x14ac:dyDescent="0.2">
      <c r="A1360" s="2">
        <v>2025</v>
      </c>
      <c r="B1360" s="2">
        <v>7</v>
      </c>
      <c r="C1360" s="2" t="s">
        <v>512</v>
      </c>
      <c r="P1360" s="2" t="s">
        <v>826</v>
      </c>
      <c r="Q1360" s="2" t="s">
        <v>827</v>
      </c>
      <c r="R1360" s="2">
        <v>1</v>
      </c>
      <c r="S1360" s="2">
        <v>1219.51</v>
      </c>
      <c r="T1360" s="2">
        <v>280.4873</v>
      </c>
      <c r="U1360" s="2">
        <v>1499.9973</v>
      </c>
      <c r="W1360" s="5">
        <f t="shared" si="137"/>
        <v>1</v>
      </c>
      <c r="Y1360" s="2" t="s">
        <v>105</v>
      </c>
      <c r="Z1360" s="2" t="s">
        <v>621</v>
      </c>
      <c r="AA1360" s="2" t="s">
        <v>479</v>
      </c>
      <c r="AE1360" s="2">
        <f t="shared" si="138"/>
        <v>0</v>
      </c>
      <c r="AI1360" s="2">
        <f t="shared" si="139"/>
        <v>0</v>
      </c>
      <c r="AJ1360" s="2">
        <f t="shared" si="140"/>
        <v>1219.51</v>
      </c>
      <c r="AK1360" s="5">
        <f t="shared" ref="AK1360:AK1423" si="141">(S1360-V1360)/S1360</f>
        <v>1</v>
      </c>
    </row>
    <row r="1361" spans="1:37" x14ac:dyDescent="0.2">
      <c r="A1361" s="2">
        <v>2025</v>
      </c>
      <c r="B1361" s="2">
        <v>7</v>
      </c>
      <c r="C1361" s="2" t="s">
        <v>513</v>
      </c>
      <c r="D1361" s="2" t="s">
        <v>38</v>
      </c>
      <c r="E1361" s="2" t="s">
        <v>39</v>
      </c>
      <c r="F1361" s="2">
        <v>513405020</v>
      </c>
      <c r="G1361" s="2" t="s">
        <v>40</v>
      </c>
      <c r="H1361" s="2" t="s">
        <v>157</v>
      </c>
      <c r="I1361" s="2" t="s">
        <v>514</v>
      </c>
      <c r="J1361" s="2">
        <v>919770433</v>
      </c>
      <c r="K1361" s="2" t="s">
        <v>100</v>
      </c>
      <c r="L1361" s="2" t="s">
        <v>81</v>
      </c>
      <c r="O1361" s="2" t="s">
        <v>43</v>
      </c>
      <c r="P1361" s="2" t="s">
        <v>237</v>
      </c>
      <c r="Q1361" s="2" t="s">
        <v>238</v>
      </c>
      <c r="R1361" s="2">
        <v>1</v>
      </c>
      <c r="S1361" s="2">
        <v>16.2</v>
      </c>
      <c r="T1361" s="2">
        <v>3.726</v>
      </c>
      <c r="U1361" s="2">
        <v>19.925999999999998</v>
      </c>
      <c r="W1361" s="5">
        <f t="shared" si="137"/>
        <v>1</v>
      </c>
      <c r="Y1361" s="2" t="s">
        <v>3256</v>
      </c>
      <c r="Z1361" s="2" t="s">
        <v>46</v>
      </c>
      <c r="AA1361" s="2" t="s">
        <v>57</v>
      </c>
      <c r="AB1361" s="2" t="s">
        <v>58</v>
      </c>
      <c r="AE1361" s="2">
        <f t="shared" si="138"/>
        <v>0</v>
      </c>
      <c r="AI1361" s="2">
        <f t="shared" si="139"/>
        <v>0</v>
      </c>
      <c r="AJ1361" s="2">
        <f t="shared" si="140"/>
        <v>16.2</v>
      </c>
      <c r="AK1361" s="5">
        <f t="shared" si="141"/>
        <v>1</v>
      </c>
    </row>
    <row r="1362" spans="1:37" x14ac:dyDescent="0.2">
      <c r="A1362" s="2">
        <v>2025</v>
      </c>
      <c r="B1362" s="2">
        <v>7</v>
      </c>
      <c r="C1362" s="2" t="s">
        <v>513</v>
      </c>
      <c r="D1362" s="2" t="s">
        <v>38</v>
      </c>
      <c r="E1362" s="2" t="s">
        <v>39</v>
      </c>
      <c r="F1362" s="2">
        <v>513405020</v>
      </c>
      <c r="G1362" s="2" t="s">
        <v>40</v>
      </c>
      <c r="H1362" s="2" t="s">
        <v>157</v>
      </c>
      <c r="I1362" s="2" t="s">
        <v>514</v>
      </c>
      <c r="J1362" s="2">
        <v>919770433</v>
      </c>
      <c r="K1362" s="2" t="s">
        <v>100</v>
      </c>
      <c r="L1362" s="2" t="s">
        <v>81</v>
      </c>
      <c r="O1362" s="2" t="s">
        <v>43</v>
      </c>
      <c r="P1362" s="2" t="s">
        <v>239</v>
      </c>
      <c r="Q1362" s="2" t="s">
        <v>240</v>
      </c>
      <c r="R1362" s="2">
        <v>1</v>
      </c>
      <c r="S1362" s="2">
        <v>19.8</v>
      </c>
      <c r="T1362" s="2">
        <v>4.5540000000000003</v>
      </c>
      <c r="U1362" s="2">
        <v>24.353999999999999</v>
      </c>
      <c r="W1362" s="5">
        <f t="shared" si="137"/>
        <v>1</v>
      </c>
      <c r="Y1362" s="2" t="s">
        <v>3256</v>
      </c>
      <c r="Z1362" s="2" t="s">
        <v>46</v>
      </c>
      <c r="AA1362" s="2" t="s">
        <v>57</v>
      </c>
      <c r="AB1362" s="2" t="s">
        <v>58</v>
      </c>
      <c r="AE1362" s="2">
        <f t="shared" si="138"/>
        <v>0</v>
      </c>
      <c r="AI1362" s="2">
        <f t="shared" si="139"/>
        <v>0</v>
      </c>
      <c r="AJ1362" s="2">
        <f t="shared" si="140"/>
        <v>19.8</v>
      </c>
      <c r="AK1362" s="5">
        <f t="shared" si="141"/>
        <v>1</v>
      </c>
    </row>
    <row r="1363" spans="1:37" x14ac:dyDescent="0.2">
      <c r="A1363" s="2">
        <v>2025</v>
      </c>
      <c r="B1363" s="2">
        <v>7</v>
      </c>
      <c r="C1363" s="2" t="s">
        <v>513</v>
      </c>
      <c r="D1363" s="2" t="s">
        <v>38</v>
      </c>
      <c r="E1363" s="2" t="s">
        <v>39</v>
      </c>
      <c r="F1363" s="2">
        <v>513405020</v>
      </c>
      <c r="G1363" s="2" t="s">
        <v>40</v>
      </c>
      <c r="H1363" s="2" t="s">
        <v>157</v>
      </c>
      <c r="I1363" s="2" t="s">
        <v>514</v>
      </c>
      <c r="J1363" s="2">
        <v>919770433</v>
      </c>
      <c r="K1363" s="2" t="s">
        <v>100</v>
      </c>
      <c r="L1363" s="2" t="s">
        <v>81</v>
      </c>
      <c r="O1363" s="2" t="s">
        <v>43</v>
      </c>
      <c r="P1363" s="2" t="s">
        <v>241</v>
      </c>
      <c r="Q1363" s="2" t="s">
        <v>242</v>
      </c>
      <c r="R1363" s="2">
        <v>1</v>
      </c>
      <c r="S1363" s="2">
        <v>24</v>
      </c>
      <c r="T1363" s="2">
        <v>5.52</v>
      </c>
      <c r="U1363" s="2">
        <v>29.52</v>
      </c>
      <c r="W1363" s="5">
        <f t="shared" si="137"/>
        <v>1</v>
      </c>
      <c r="Y1363" s="2" t="s">
        <v>3256</v>
      </c>
      <c r="Z1363" s="2" t="s">
        <v>46</v>
      </c>
      <c r="AA1363" s="2" t="s">
        <v>57</v>
      </c>
      <c r="AB1363" s="2" t="s">
        <v>58</v>
      </c>
      <c r="AE1363" s="2">
        <f t="shared" si="138"/>
        <v>0</v>
      </c>
      <c r="AI1363" s="2">
        <f t="shared" si="139"/>
        <v>0</v>
      </c>
      <c r="AJ1363" s="2">
        <f t="shared" si="140"/>
        <v>24</v>
      </c>
      <c r="AK1363" s="5">
        <f t="shared" si="141"/>
        <v>1</v>
      </c>
    </row>
    <row r="1364" spans="1:37" x14ac:dyDescent="0.2">
      <c r="A1364" s="2">
        <v>2025</v>
      </c>
      <c r="B1364" s="2">
        <v>7</v>
      </c>
      <c r="C1364" s="2" t="s">
        <v>513</v>
      </c>
      <c r="D1364" s="2" t="s">
        <v>38</v>
      </c>
      <c r="E1364" s="2" t="s">
        <v>39</v>
      </c>
      <c r="F1364" s="2">
        <v>513405020</v>
      </c>
      <c r="G1364" s="2" t="s">
        <v>40</v>
      </c>
      <c r="H1364" s="2" t="s">
        <v>157</v>
      </c>
      <c r="I1364" s="2" t="s">
        <v>514</v>
      </c>
      <c r="J1364" s="2">
        <v>919770433</v>
      </c>
      <c r="K1364" s="2" t="s">
        <v>100</v>
      </c>
      <c r="L1364" s="2" t="s">
        <v>81</v>
      </c>
      <c r="O1364" s="2" t="s">
        <v>43</v>
      </c>
      <c r="P1364" s="2" t="s">
        <v>243</v>
      </c>
      <c r="Q1364" s="2" t="s">
        <v>244</v>
      </c>
      <c r="R1364" s="2">
        <v>1</v>
      </c>
      <c r="S1364" s="2">
        <v>28.8</v>
      </c>
      <c r="T1364" s="2">
        <v>6.6240000000000014</v>
      </c>
      <c r="U1364" s="2">
        <v>35.423999999999999</v>
      </c>
      <c r="W1364" s="5">
        <f t="shared" si="137"/>
        <v>1</v>
      </c>
      <c r="Y1364" s="2" t="s">
        <v>3256</v>
      </c>
      <c r="Z1364" s="2" t="s">
        <v>46</v>
      </c>
      <c r="AA1364" s="2" t="s">
        <v>57</v>
      </c>
      <c r="AB1364" s="2" t="s">
        <v>58</v>
      </c>
      <c r="AE1364" s="2">
        <f t="shared" si="138"/>
        <v>0</v>
      </c>
      <c r="AI1364" s="2">
        <f t="shared" si="139"/>
        <v>0</v>
      </c>
      <c r="AJ1364" s="2">
        <f t="shared" si="140"/>
        <v>28.8</v>
      </c>
      <c r="AK1364" s="5">
        <f t="shared" si="141"/>
        <v>1</v>
      </c>
    </row>
    <row r="1365" spans="1:37" x14ac:dyDescent="0.2">
      <c r="A1365" s="2">
        <v>2025</v>
      </c>
      <c r="B1365" s="2">
        <v>7</v>
      </c>
      <c r="C1365" s="2" t="s">
        <v>513</v>
      </c>
      <c r="D1365" s="2" t="s">
        <v>38</v>
      </c>
      <c r="E1365" s="2" t="s">
        <v>39</v>
      </c>
      <c r="F1365" s="2">
        <v>513405020</v>
      </c>
      <c r="G1365" s="2" t="s">
        <v>40</v>
      </c>
      <c r="H1365" s="2" t="s">
        <v>157</v>
      </c>
      <c r="I1365" s="2" t="s">
        <v>514</v>
      </c>
      <c r="J1365" s="2">
        <v>919770433</v>
      </c>
      <c r="K1365" s="2" t="s">
        <v>100</v>
      </c>
      <c r="L1365" s="2" t="s">
        <v>81</v>
      </c>
      <c r="O1365" s="2" t="s">
        <v>43</v>
      </c>
      <c r="P1365" s="2" t="s">
        <v>55</v>
      </c>
      <c r="Q1365" s="2" t="s">
        <v>56</v>
      </c>
      <c r="R1365" s="2">
        <v>1</v>
      </c>
      <c r="S1365" s="2">
        <v>18</v>
      </c>
      <c r="T1365" s="2">
        <v>4.1400000000000006</v>
      </c>
      <c r="U1365" s="2">
        <v>22.14</v>
      </c>
      <c r="V1365" s="2">
        <f>10.6*R1365</f>
        <v>10.6</v>
      </c>
      <c r="W1365" s="5">
        <f t="shared" si="137"/>
        <v>0.41111111111111115</v>
      </c>
      <c r="Y1365" s="2" t="s">
        <v>3256</v>
      </c>
      <c r="Z1365" s="2" t="s">
        <v>46</v>
      </c>
      <c r="AA1365" s="2" t="s">
        <v>57</v>
      </c>
      <c r="AB1365" s="2" t="s">
        <v>58</v>
      </c>
      <c r="AE1365" s="2">
        <f t="shared" si="138"/>
        <v>0</v>
      </c>
      <c r="AF1365" s="2">
        <v>10.6</v>
      </c>
      <c r="AG1365" s="2">
        <v>18</v>
      </c>
      <c r="AI1365" s="2">
        <f t="shared" si="139"/>
        <v>0</v>
      </c>
      <c r="AJ1365" s="2">
        <f t="shared" si="140"/>
        <v>7.4</v>
      </c>
      <c r="AK1365" s="5">
        <f t="shared" si="141"/>
        <v>0.41111111111111115</v>
      </c>
    </row>
    <row r="1366" spans="1:37" x14ac:dyDescent="0.2">
      <c r="A1366" s="2">
        <v>2025</v>
      </c>
      <c r="B1366" s="2">
        <v>7</v>
      </c>
      <c r="C1366" s="2" t="s">
        <v>513</v>
      </c>
      <c r="D1366" s="2" t="s">
        <v>38</v>
      </c>
      <c r="E1366" s="2" t="s">
        <v>39</v>
      </c>
      <c r="F1366" s="2">
        <v>513405020</v>
      </c>
      <c r="G1366" s="2" t="s">
        <v>40</v>
      </c>
      <c r="H1366" s="2" t="s">
        <v>157</v>
      </c>
      <c r="I1366" s="2" t="s">
        <v>514</v>
      </c>
      <c r="J1366" s="2">
        <v>919770433</v>
      </c>
      <c r="K1366" s="2" t="s">
        <v>100</v>
      </c>
      <c r="L1366" s="2" t="s">
        <v>81</v>
      </c>
      <c r="O1366" s="2" t="s">
        <v>43</v>
      </c>
      <c r="P1366" s="2" t="s">
        <v>64</v>
      </c>
      <c r="Q1366" s="2" t="s">
        <v>65</v>
      </c>
      <c r="R1366" s="2">
        <v>7</v>
      </c>
      <c r="S1366" s="2">
        <v>12.6</v>
      </c>
      <c r="T1366" s="2">
        <v>2.8980000000000001</v>
      </c>
      <c r="U1366" s="2">
        <v>15.497999999999999</v>
      </c>
      <c r="V1366" s="2">
        <f>0.8561*R1366</f>
        <v>5.9927000000000001</v>
      </c>
      <c r="W1366" s="5">
        <f t="shared" si="137"/>
        <v>0.5243888888888889</v>
      </c>
      <c r="Y1366" s="2" t="s">
        <v>3256</v>
      </c>
      <c r="Z1366" s="2" t="s">
        <v>46</v>
      </c>
      <c r="AA1366" s="2" t="s">
        <v>61</v>
      </c>
      <c r="AB1366" s="2" t="s">
        <v>58</v>
      </c>
      <c r="AE1366" s="2">
        <f t="shared" si="138"/>
        <v>0</v>
      </c>
      <c r="AF1366" s="2">
        <v>0.85609999999999997</v>
      </c>
      <c r="AG1366" s="2">
        <v>1.8</v>
      </c>
      <c r="AI1366" s="2">
        <f t="shared" si="139"/>
        <v>0</v>
      </c>
      <c r="AJ1366" s="2">
        <f t="shared" si="140"/>
        <v>6.6072999999999995</v>
      </c>
      <c r="AK1366" s="5">
        <f t="shared" si="141"/>
        <v>0.5243888888888889</v>
      </c>
    </row>
    <row r="1367" spans="1:37" x14ac:dyDescent="0.2">
      <c r="A1367" s="2">
        <v>2025</v>
      </c>
      <c r="B1367" s="2">
        <v>7</v>
      </c>
      <c r="C1367" s="2" t="s">
        <v>513</v>
      </c>
      <c r="D1367" s="2" t="s">
        <v>38</v>
      </c>
      <c r="E1367" s="2" t="s">
        <v>39</v>
      </c>
      <c r="F1367" s="2">
        <v>513405020</v>
      </c>
      <c r="G1367" s="2" t="s">
        <v>40</v>
      </c>
      <c r="H1367" s="2" t="s">
        <v>157</v>
      </c>
      <c r="I1367" s="2" t="s">
        <v>514</v>
      </c>
      <c r="J1367" s="2">
        <v>919770433</v>
      </c>
      <c r="K1367" s="2" t="s">
        <v>100</v>
      </c>
      <c r="L1367" s="2" t="s">
        <v>81</v>
      </c>
      <c r="O1367" s="2" t="s">
        <v>43</v>
      </c>
      <c r="P1367" s="2" t="s">
        <v>335</v>
      </c>
      <c r="Q1367" s="2" t="s">
        <v>336</v>
      </c>
      <c r="R1367" s="2">
        <v>30</v>
      </c>
      <c r="S1367" s="2">
        <v>90</v>
      </c>
      <c r="T1367" s="2">
        <v>20.7</v>
      </c>
      <c r="U1367" s="2">
        <v>110.7</v>
      </c>
      <c r="V1367" s="2">
        <f>1.1122*R1367</f>
        <v>33.366</v>
      </c>
      <c r="W1367" s="5">
        <f t="shared" si="137"/>
        <v>0.62926666666666664</v>
      </c>
      <c r="Y1367" s="2" t="s">
        <v>3256</v>
      </c>
      <c r="Z1367" s="2" t="s">
        <v>46</v>
      </c>
      <c r="AA1367" s="2" t="s">
        <v>61</v>
      </c>
      <c r="AB1367" s="2" t="s">
        <v>58</v>
      </c>
      <c r="AE1367" s="2">
        <f t="shared" si="138"/>
        <v>0</v>
      </c>
      <c r="AF1367" s="2">
        <v>1.1122000000000001</v>
      </c>
      <c r="AG1367" s="2">
        <v>3</v>
      </c>
      <c r="AI1367" s="2">
        <f t="shared" si="139"/>
        <v>0</v>
      </c>
      <c r="AJ1367" s="2">
        <f t="shared" si="140"/>
        <v>56.634</v>
      </c>
      <c r="AK1367" s="5">
        <f t="shared" si="141"/>
        <v>0.62926666666666664</v>
      </c>
    </row>
    <row r="1368" spans="1:37" x14ac:dyDescent="0.2">
      <c r="A1368" s="2">
        <v>2025</v>
      </c>
      <c r="B1368" s="2">
        <v>7</v>
      </c>
      <c r="C1368" s="2" t="s">
        <v>1599</v>
      </c>
      <c r="L1368" s="2" t="s">
        <v>81</v>
      </c>
      <c r="O1368" s="2" t="s">
        <v>283</v>
      </c>
      <c r="P1368" s="2" t="s">
        <v>1600</v>
      </c>
      <c r="Q1368" s="2" t="s">
        <v>1601</v>
      </c>
      <c r="R1368" s="2">
        <v>1</v>
      </c>
      <c r="S1368" s="2">
        <v>132</v>
      </c>
      <c r="T1368" s="2">
        <v>30.36</v>
      </c>
      <c r="U1368" s="2">
        <v>162.36000000000001</v>
      </c>
      <c r="W1368" s="5">
        <f t="shared" si="137"/>
        <v>1</v>
      </c>
      <c r="Y1368" s="2" t="s">
        <v>3256</v>
      </c>
      <c r="AE1368" s="2">
        <f t="shared" si="138"/>
        <v>0</v>
      </c>
      <c r="AI1368" s="2">
        <f t="shared" si="139"/>
        <v>0</v>
      </c>
      <c r="AJ1368" s="2">
        <f t="shared" si="140"/>
        <v>132</v>
      </c>
      <c r="AK1368" s="5">
        <f t="shared" si="141"/>
        <v>1</v>
      </c>
    </row>
    <row r="1369" spans="1:37" x14ac:dyDescent="0.2">
      <c r="A1369" s="2">
        <v>2025</v>
      </c>
      <c r="B1369" s="2">
        <v>7</v>
      </c>
      <c r="C1369" s="2" t="s">
        <v>1599</v>
      </c>
      <c r="L1369" s="2" t="s">
        <v>81</v>
      </c>
      <c r="O1369" s="2" t="s">
        <v>283</v>
      </c>
      <c r="P1369" s="2" t="s">
        <v>1602</v>
      </c>
      <c r="Q1369" s="2" t="s">
        <v>1603</v>
      </c>
      <c r="R1369" s="2">
        <v>1</v>
      </c>
      <c r="S1369" s="2">
        <v>123</v>
      </c>
      <c r="T1369" s="2">
        <v>28.29</v>
      </c>
      <c r="U1369" s="2">
        <v>151.29</v>
      </c>
      <c r="W1369" s="5">
        <f t="shared" si="137"/>
        <v>1</v>
      </c>
      <c r="Y1369" s="2" t="s">
        <v>3256</v>
      </c>
      <c r="AE1369" s="2">
        <f t="shared" si="138"/>
        <v>0</v>
      </c>
      <c r="AI1369" s="2">
        <f t="shared" si="139"/>
        <v>0</v>
      </c>
      <c r="AJ1369" s="2">
        <f t="shared" si="140"/>
        <v>123</v>
      </c>
      <c r="AK1369" s="5">
        <f t="shared" si="141"/>
        <v>1</v>
      </c>
    </row>
    <row r="1370" spans="1:37" x14ac:dyDescent="0.2">
      <c r="A1370" s="2">
        <v>2025</v>
      </c>
      <c r="B1370" s="2">
        <v>7</v>
      </c>
      <c r="C1370" s="2" t="s">
        <v>1599</v>
      </c>
      <c r="L1370" s="2" t="s">
        <v>81</v>
      </c>
      <c r="O1370" s="2" t="s">
        <v>283</v>
      </c>
      <c r="P1370" s="2" t="s">
        <v>1448</v>
      </c>
      <c r="Q1370" s="2" t="s">
        <v>1449</v>
      </c>
      <c r="R1370" s="2">
        <v>10</v>
      </c>
      <c r="S1370" s="2">
        <v>69</v>
      </c>
      <c r="T1370" s="2">
        <v>15.87</v>
      </c>
      <c r="U1370" s="2">
        <v>84.87</v>
      </c>
      <c r="W1370" s="5">
        <f t="shared" si="137"/>
        <v>1</v>
      </c>
      <c r="Y1370" s="2" t="s">
        <v>3256</v>
      </c>
      <c r="AE1370" s="2">
        <f t="shared" si="138"/>
        <v>0</v>
      </c>
      <c r="AI1370" s="2">
        <f t="shared" si="139"/>
        <v>0</v>
      </c>
      <c r="AJ1370" s="2">
        <f t="shared" si="140"/>
        <v>69</v>
      </c>
      <c r="AK1370" s="5">
        <f t="shared" si="141"/>
        <v>1</v>
      </c>
    </row>
    <row r="1371" spans="1:37" x14ac:dyDescent="0.2">
      <c r="A1371" s="2">
        <v>2025</v>
      </c>
      <c r="B1371" s="2">
        <v>7</v>
      </c>
      <c r="C1371" s="2" t="s">
        <v>1599</v>
      </c>
      <c r="L1371" s="2" t="s">
        <v>81</v>
      </c>
      <c r="O1371" s="2" t="s">
        <v>283</v>
      </c>
      <c r="P1371" s="2" t="s">
        <v>1604</v>
      </c>
      <c r="Q1371" s="2" t="s">
        <v>1605</v>
      </c>
      <c r="R1371" s="2">
        <v>10</v>
      </c>
      <c r="S1371" s="2">
        <v>69</v>
      </c>
      <c r="T1371" s="2">
        <v>15.87</v>
      </c>
      <c r="U1371" s="2">
        <v>84.87</v>
      </c>
      <c r="W1371" s="5">
        <f t="shared" si="137"/>
        <v>1</v>
      </c>
      <c r="Y1371" s="2" t="s">
        <v>3256</v>
      </c>
      <c r="AE1371" s="2">
        <f t="shared" si="138"/>
        <v>0</v>
      </c>
      <c r="AI1371" s="2">
        <f t="shared" si="139"/>
        <v>0</v>
      </c>
      <c r="AJ1371" s="2">
        <f t="shared" si="140"/>
        <v>69</v>
      </c>
      <c r="AK1371" s="5">
        <f t="shared" si="141"/>
        <v>1</v>
      </c>
    </row>
    <row r="1372" spans="1:37" x14ac:dyDescent="0.2">
      <c r="A1372" s="2">
        <v>2025</v>
      </c>
      <c r="B1372" s="2">
        <v>7</v>
      </c>
      <c r="C1372" s="2" t="s">
        <v>1599</v>
      </c>
      <c r="L1372" s="2" t="s">
        <v>81</v>
      </c>
      <c r="O1372" s="2" t="s">
        <v>43</v>
      </c>
      <c r="P1372" s="2" t="s">
        <v>59</v>
      </c>
      <c r="Q1372" s="2" t="s">
        <v>60</v>
      </c>
      <c r="R1372" s="2">
        <v>1000</v>
      </c>
      <c r="S1372" s="2">
        <v>130</v>
      </c>
      <c r="T1372" s="2">
        <v>29.9</v>
      </c>
      <c r="U1372" s="2">
        <v>159.9</v>
      </c>
      <c r="V1372" s="2">
        <f>0.0914*R1372</f>
        <v>91.399999999999991</v>
      </c>
      <c r="W1372" s="5">
        <f t="shared" si="137"/>
        <v>0.29692307692307701</v>
      </c>
      <c r="Y1372" s="2" t="s">
        <v>3256</v>
      </c>
      <c r="Z1372" s="2" t="s">
        <v>46</v>
      </c>
      <c r="AA1372" s="2" t="s">
        <v>61</v>
      </c>
      <c r="AB1372" s="2" t="s">
        <v>58</v>
      </c>
      <c r="AE1372" s="2">
        <f t="shared" si="138"/>
        <v>0</v>
      </c>
      <c r="AF1372" s="2">
        <v>9.14</v>
      </c>
      <c r="AG1372" s="2">
        <v>16</v>
      </c>
      <c r="AI1372" s="2">
        <f t="shared" si="139"/>
        <v>0</v>
      </c>
      <c r="AJ1372" s="2">
        <f t="shared" si="140"/>
        <v>38.600000000000009</v>
      </c>
      <c r="AK1372" s="5">
        <f t="shared" si="141"/>
        <v>0.29692307692307701</v>
      </c>
    </row>
    <row r="1373" spans="1:37" x14ac:dyDescent="0.2">
      <c r="A1373" s="2">
        <v>2025</v>
      </c>
      <c r="B1373" s="2">
        <v>7</v>
      </c>
      <c r="C1373" s="2" t="s">
        <v>1599</v>
      </c>
      <c r="L1373" s="2" t="s">
        <v>81</v>
      </c>
      <c r="O1373" s="2" t="s">
        <v>43</v>
      </c>
      <c r="P1373" s="2" t="s">
        <v>62</v>
      </c>
      <c r="Q1373" s="2" t="s">
        <v>63</v>
      </c>
      <c r="R1373" s="2">
        <v>2000</v>
      </c>
      <c r="S1373" s="2">
        <v>200</v>
      </c>
      <c r="T1373" s="2">
        <v>46</v>
      </c>
      <c r="U1373" s="2">
        <v>246</v>
      </c>
      <c r="V1373" s="2">
        <f>0.082*R1373</f>
        <v>164</v>
      </c>
      <c r="W1373" s="5">
        <f t="shared" si="137"/>
        <v>0.18</v>
      </c>
      <c r="Y1373" s="2" t="s">
        <v>3256</v>
      </c>
      <c r="Z1373" s="2" t="s">
        <v>46</v>
      </c>
      <c r="AA1373" s="2" t="s">
        <v>61</v>
      </c>
      <c r="AB1373" s="2" t="s">
        <v>58</v>
      </c>
      <c r="AE1373" s="2">
        <f t="shared" si="138"/>
        <v>0</v>
      </c>
      <c r="AF1373" s="2">
        <v>8.1999999999999993</v>
      </c>
      <c r="AG1373" s="2">
        <v>13</v>
      </c>
      <c r="AI1373" s="2">
        <f t="shared" si="139"/>
        <v>0</v>
      </c>
      <c r="AJ1373" s="2">
        <f t="shared" si="140"/>
        <v>36</v>
      </c>
      <c r="AK1373" s="5">
        <f t="shared" si="141"/>
        <v>0.18</v>
      </c>
    </row>
    <row r="1374" spans="1:37" x14ac:dyDescent="0.2">
      <c r="A1374" s="2">
        <v>2025</v>
      </c>
      <c r="B1374" s="2">
        <v>7</v>
      </c>
      <c r="C1374" s="2" t="s">
        <v>1606</v>
      </c>
      <c r="O1374" s="2" t="s">
        <v>115</v>
      </c>
      <c r="P1374" s="2" t="s">
        <v>1607</v>
      </c>
      <c r="Q1374" s="2" t="s">
        <v>1608</v>
      </c>
      <c r="R1374" s="2">
        <v>-1</v>
      </c>
      <c r="S1374" s="2">
        <v>-65.239999999999995</v>
      </c>
      <c r="T1374" s="2">
        <v>-15.0052</v>
      </c>
      <c r="U1374" s="2">
        <v>-80.245199999999997</v>
      </c>
      <c r="W1374" s="5">
        <f t="shared" si="137"/>
        <v>1</v>
      </c>
      <c r="AE1374" s="2">
        <f t="shared" si="138"/>
        <v>0</v>
      </c>
      <c r="AI1374" s="2">
        <f t="shared" si="139"/>
        <v>0</v>
      </c>
      <c r="AJ1374" s="2">
        <f t="shared" si="140"/>
        <v>-65.239999999999995</v>
      </c>
      <c r="AK1374" s="5">
        <f t="shared" si="141"/>
        <v>1</v>
      </c>
    </row>
    <row r="1375" spans="1:37" x14ac:dyDescent="0.2">
      <c r="A1375" s="2">
        <v>2025</v>
      </c>
      <c r="B1375" s="2">
        <v>7</v>
      </c>
      <c r="C1375" s="2" t="s">
        <v>1609</v>
      </c>
      <c r="D1375" s="2" t="s">
        <v>109</v>
      </c>
      <c r="E1375" s="2" t="s">
        <v>397</v>
      </c>
      <c r="F1375" s="2">
        <v>500314594</v>
      </c>
      <c r="G1375" s="2" t="s">
        <v>40</v>
      </c>
      <c r="H1375" s="2" t="s">
        <v>1610</v>
      </c>
      <c r="I1375" s="2" t="s">
        <v>1611</v>
      </c>
      <c r="K1375" s="2" t="s">
        <v>202</v>
      </c>
      <c r="L1375" s="2" t="s">
        <v>41</v>
      </c>
      <c r="N1375" s="2" t="s">
        <v>1612</v>
      </c>
      <c r="O1375" s="2" t="s">
        <v>283</v>
      </c>
      <c r="P1375" s="2" t="s">
        <v>1563</v>
      </c>
      <c r="Q1375" s="2" t="s">
        <v>1564</v>
      </c>
      <c r="R1375" s="2">
        <v>1</v>
      </c>
      <c r="S1375" s="2">
        <v>0</v>
      </c>
      <c r="T1375" s="2">
        <v>0</v>
      </c>
      <c r="U1375" s="2">
        <v>0</v>
      </c>
      <c r="W1375" s="5">
        <v>0</v>
      </c>
      <c r="Y1375" s="2" t="s">
        <v>105</v>
      </c>
      <c r="AE1375" s="2">
        <f t="shared" si="138"/>
        <v>0</v>
      </c>
      <c r="AI1375" s="2">
        <f t="shared" si="139"/>
        <v>0</v>
      </c>
      <c r="AJ1375" s="2">
        <f t="shared" si="140"/>
        <v>0</v>
      </c>
      <c r="AK1375" s="5" t="e">
        <f t="shared" si="141"/>
        <v>#DIV/0!</v>
      </c>
    </row>
    <row r="1376" spans="1:37" x14ac:dyDescent="0.2">
      <c r="A1376" s="2">
        <v>2025</v>
      </c>
      <c r="B1376" s="2">
        <v>7</v>
      </c>
      <c r="C1376" s="2" t="s">
        <v>1609</v>
      </c>
      <c r="D1376" s="2" t="s">
        <v>109</v>
      </c>
      <c r="E1376" s="2" t="s">
        <v>397</v>
      </c>
      <c r="F1376" s="2">
        <v>500314594</v>
      </c>
      <c r="G1376" s="2" t="s">
        <v>40</v>
      </c>
      <c r="H1376" s="2" t="s">
        <v>1610</v>
      </c>
      <c r="I1376" s="2" t="s">
        <v>1611</v>
      </c>
      <c r="K1376" s="2" t="s">
        <v>202</v>
      </c>
      <c r="L1376" s="2" t="s">
        <v>41</v>
      </c>
      <c r="N1376" s="2" t="s">
        <v>1612</v>
      </c>
      <c r="O1376" s="2" t="s">
        <v>283</v>
      </c>
      <c r="P1376" s="2" t="s">
        <v>401</v>
      </c>
      <c r="Q1376" s="2" t="s">
        <v>402</v>
      </c>
      <c r="R1376" s="2">
        <v>20</v>
      </c>
      <c r="S1376" s="2">
        <v>580</v>
      </c>
      <c r="T1376" s="2">
        <v>133.4</v>
      </c>
      <c r="U1376" s="2">
        <v>713.4</v>
      </c>
      <c r="W1376" s="5">
        <f t="shared" ref="W1376:W1397" si="142">(S1376-V1376)/S1376</f>
        <v>1</v>
      </c>
      <c r="Y1376" s="2" t="s">
        <v>3256</v>
      </c>
      <c r="Z1376" s="2" t="s">
        <v>46</v>
      </c>
      <c r="AA1376" s="2" t="s">
        <v>61</v>
      </c>
      <c r="AB1376" s="2" t="s">
        <v>403</v>
      </c>
      <c r="AE1376" s="2">
        <f t="shared" si="138"/>
        <v>0</v>
      </c>
      <c r="AI1376" s="2">
        <f t="shared" si="139"/>
        <v>0</v>
      </c>
      <c r="AJ1376" s="2">
        <f t="shared" si="140"/>
        <v>580</v>
      </c>
      <c r="AK1376" s="5">
        <f t="shared" si="141"/>
        <v>1</v>
      </c>
    </row>
    <row r="1377" spans="1:37" x14ac:dyDescent="0.2">
      <c r="A1377" s="2">
        <v>2025</v>
      </c>
      <c r="B1377" s="2">
        <v>7</v>
      </c>
      <c r="C1377" s="2" t="s">
        <v>1609</v>
      </c>
      <c r="D1377" s="2" t="s">
        <v>109</v>
      </c>
      <c r="E1377" s="2" t="s">
        <v>397</v>
      </c>
      <c r="F1377" s="2">
        <v>500314594</v>
      </c>
      <c r="G1377" s="2" t="s">
        <v>40</v>
      </c>
      <c r="H1377" s="2" t="s">
        <v>1610</v>
      </c>
      <c r="I1377" s="2" t="s">
        <v>1611</v>
      </c>
      <c r="K1377" s="2" t="s">
        <v>202</v>
      </c>
      <c r="L1377" s="2" t="s">
        <v>41</v>
      </c>
      <c r="N1377" s="2" t="s">
        <v>1612</v>
      </c>
      <c r="O1377" s="2" t="s">
        <v>283</v>
      </c>
      <c r="P1377" s="2" t="s">
        <v>404</v>
      </c>
      <c r="Q1377" s="2" t="s">
        <v>405</v>
      </c>
      <c r="R1377" s="2">
        <v>20</v>
      </c>
      <c r="S1377" s="2">
        <v>580</v>
      </c>
      <c r="T1377" s="2">
        <v>133.4</v>
      </c>
      <c r="U1377" s="2">
        <v>713.4</v>
      </c>
      <c r="W1377" s="5">
        <f t="shared" si="142"/>
        <v>1</v>
      </c>
      <c r="Y1377" s="2" t="s">
        <v>3256</v>
      </c>
      <c r="Z1377" s="2" t="s">
        <v>46</v>
      </c>
      <c r="AA1377" s="2" t="s">
        <v>61</v>
      </c>
      <c r="AB1377" s="2" t="s">
        <v>403</v>
      </c>
      <c r="AE1377" s="2">
        <f t="shared" si="138"/>
        <v>0</v>
      </c>
      <c r="AI1377" s="2">
        <f t="shared" si="139"/>
        <v>0</v>
      </c>
      <c r="AJ1377" s="2">
        <f t="shared" si="140"/>
        <v>580</v>
      </c>
      <c r="AK1377" s="5">
        <f t="shared" si="141"/>
        <v>1</v>
      </c>
    </row>
    <row r="1378" spans="1:37" x14ac:dyDescent="0.2">
      <c r="A1378" s="2">
        <v>2025</v>
      </c>
      <c r="B1378" s="2">
        <v>7</v>
      </c>
      <c r="C1378" s="2" t="s">
        <v>1613</v>
      </c>
      <c r="O1378" s="2" t="s">
        <v>73</v>
      </c>
      <c r="P1378" s="2" t="s">
        <v>1614</v>
      </c>
      <c r="Q1378" s="2" t="s">
        <v>84</v>
      </c>
      <c r="R1378" s="2">
        <v>1</v>
      </c>
      <c r="S1378" s="2">
        <v>280</v>
      </c>
      <c r="T1378" s="2">
        <v>64.400000000000006</v>
      </c>
      <c r="U1378" s="2">
        <v>344.4</v>
      </c>
      <c r="W1378" s="5">
        <f t="shared" si="142"/>
        <v>1</v>
      </c>
      <c r="Y1378" s="2" t="s">
        <v>3256</v>
      </c>
      <c r="Z1378" s="2" t="s">
        <v>76</v>
      </c>
      <c r="AA1378" s="2" t="s">
        <v>77</v>
      </c>
      <c r="AB1378" s="2" t="s">
        <v>78</v>
      </c>
      <c r="AE1378" s="2">
        <f t="shared" si="138"/>
        <v>0</v>
      </c>
      <c r="AI1378" s="2">
        <f t="shared" si="139"/>
        <v>0</v>
      </c>
      <c r="AJ1378" s="2">
        <f t="shared" si="140"/>
        <v>280</v>
      </c>
      <c r="AK1378" s="5">
        <f t="shared" si="141"/>
        <v>1</v>
      </c>
    </row>
    <row r="1379" spans="1:37" x14ac:dyDescent="0.2">
      <c r="A1379" s="2">
        <v>2025</v>
      </c>
      <c r="B1379" s="2">
        <v>7</v>
      </c>
      <c r="C1379" s="2" t="s">
        <v>1613</v>
      </c>
      <c r="O1379" s="2" t="s">
        <v>94</v>
      </c>
      <c r="P1379" s="2" t="s">
        <v>95</v>
      </c>
      <c r="Q1379" s="2" t="s">
        <v>96</v>
      </c>
      <c r="R1379" s="2">
        <v>1</v>
      </c>
      <c r="S1379" s="2">
        <v>1.1399999999999999</v>
      </c>
      <c r="T1379" s="2">
        <v>0.26219999999999999</v>
      </c>
      <c r="U1379" s="2">
        <v>1.4021999999999999</v>
      </c>
      <c r="V1379" s="2">
        <v>1.1399999999999999</v>
      </c>
      <c r="W1379" s="5">
        <f t="shared" si="142"/>
        <v>0</v>
      </c>
      <c r="Y1379" s="2" t="s">
        <v>3256</v>
      </c>
      <c r="Z1379" s="2" t="s">
        <v>97</v>
      </c>
      <c r="AA1379" s="2" t="s">
        <v>77</v>
      </c>
      <c r="AB1379" s="2" t="s">
        <v>94</v>
      </c>
      <c r="AE1379" s="2">
        <f t="shared" si="138"/>
        <v>0</v>
      </c>
      <c r="AI1379" s="2">
        <f t="shared" si="139"/>
        <v>0</v>
      </c>
      <c r="AJ1379" s="2">
        <f t="shared" si="140"/>
        <v>0</v>
      </c>
      <c r="AK1379" s="5">
        <f t="shared" si="141"/>
        <v>0</v>
      </c>
    </row>
    <row r="1380" spans="1:37" x14ac:dyDescent="0.2">
      <c r="A1380" s="2">
        <v>2025</v>
      </c>
      <c r="B1380" s="2">
        <v>7</v>
      </c>
      <c r="C1380" s="2" t="s">
        <v>1615</v>
      </c>
      <c r="L1380" s="2" t="s">
        <v>40</v>
      </c>
      <c r="O1380" s="2" t="s">
        <v>188</v>
      </c>
      <c r="P1380" s="2" t="s">
        <v>189</v>
      </c>
      <c r="Q1380" s="2" t="s">
        <v>190</v>
      </c>
      <c r="R1380" s="2">
        <v>1</v>
      </c>
      <c r="S1380" s="2">
        <v>50</v>
      </c>
      <c r="T1380" s="2">
        <v>11.5</v>
      </c>
      <c r="U1380" s="2">
        <v>61.5</v>
      </c>
      <c r="W1380" s="5">
        <f t="shared" si="142"/>
        <v>1</v>
      </c>
      <c r="Y1380" s="2" t="s">
        <v>118</v>
      </c>
      <c r="Z1380" s="2" t="s">
        <v>191</v>
      </c>
      <c r="AE1380" s="2">
        <f t="shared" si="138"/>
        <v>0</v>
      </c>
      <c r="AI1380" s="2">
        <f t="shared" si="139"/>
        <v>0</v>
      </c>
      <c r="AJ1380" s="2">
        <f t="shared" si="140"/>
        <v>50</v>
      </c>
      <c r="AK1380" s="5">
        <f t="shared" si="141"/>
        <v>1</v>
      </c>
    </row>
    <row r="1381" spans="1:37" x14ac:dyDescent="0.2">
      <c r="A1381" s="2">
        <v>2025</v>
      </c>
      <c r="B1381" s="2">
        <v>7</v>
      </c>
      <c r="C1381" s="2" t="s">
        <v>1615</v>
      </c>
      <c r="L1381" s="2" t="s">
        <v>40</v>
      </c>
      <c r="O1381" s="2" t="s">
        <v>188</v>
      </c>
      <c r="P1381" s="2" t="s">
        <v>192</v>
      </c>
      <c r="Q1381" s="2" t="s">
        <v>191</v>
      </c>
      <c r="R1381" s="2">
        <v>1</v>
      </c>
      <c r="S1381" s="2">
        <v>50</v>
      </c>
      <c r="T1381" s="2">
        <v>11.5</v>
      </c>
      <c r="U1381" s="2">
        <v>61.5</v>
      </c>
      <c r="V1381" s="2">
        <f>S1381*50%</f>
        <v>25</v>
      </c>
      <c r="W1381" s="5">
        <f t="shared" si="142"/>
        <v>0.5</v>
      </c>
      <c r="Y1381" s="2" t="s">
        <v>118</v>
      </c>
      <c r="Z1381" s="2" t="s">
        <v>191</v>
      </c>
      <c r="AE1381" s="2">
        <f t="shared" si="138"/>
        <v>0</v>
      </c>
      <c r="AI1381" s="2">
        <f t="shared" si="139"/>
        <v>0</v>
      </c>
      <c r="AJ1381" s="2">
        <f t="shared" si="140"/>
        <v>25</v>
      </c>
      <c r="AK1381" s="5">
        <f t="shared" si="141"/>
        <v>0.5</v>
      </c>
    </row>
    <row r="1382" spans="1:37" x14ac:dyDescent="0.2">
      <c r="A1382" s="2">
        <v>2025</v>
      </c>
      <c r="B1382" s="2">
        <v>7</v>
      </c>
      <c r="C1382" s="2" t="s">
        <v>529</v>
      </c>
      <c r="D1382" s="2" t="s">
        <v>109</v>
      </c>
      <c r="E1382" s="2" t="s">
        <v>39</v>
      </c>
      <c r="F1382" s="2">
        <v>509391583</v>
      </c>
      <c r="G1382" s="2" t="s">
        <v>40</v>
      </c>
      <c r="H1382" s="2" t="s">
        <v>530</v>
      </c>
      <c r="I1382" s="2" t="s">
        <v>531</v>
      </c>
      <c r="K1382" s="2" t="s">
        <v>345</v>
      </c>
      <c r="O1382" s="2" t="s">
        <v>283</v>
      </c>
      <c r="P1382" s="2" t="s">
        <v>1525</v>
      </c>
      <c r="Q1382" s="2" t="s">
        <v>1526</v>
      </c>
      <c r="R1382" s="2">
        <v>2</v>
      </c>
      <c r="S1382" s="2">
        <v>99.8</v>
      </c>
      <c r="T1382" s="2">
        <v>22.954000000000001</v>
      </c>
      <c r="U1382" s="2">
        <v>122.754</v>
      </c>
      <c r="V1382" s="2">
        <v>27.445</v>
      </c>
      <c r="W1382" s="5">
        <f t="shared" si="142"/>
        <v>0.72499999999999987</v>
      </c>
      <c r="Y1382" s="2" t="s">
        <v>3256</v>
      </c>
      <c r="Z1382" s="2" t="s">
        <v>72</v>
      </c>
      <c r="AA1382" s="2" t="s">
        <v>1616</v>
      </c>
      <c r="AB1382" s="2" t="s">
        <v>1616</v>
      </c>
      <c r="AE1382" s="2">
        <f t="shared" si="138"/>
        <v>0</v>
      </c>
      <c r="AF1382" s="2">
        <v>27.445</v>
      </c>
      <c r="AI1382" s="2">
        <f t="shared" si="139"/>
        <v>0</v>
      </c>
      <c r="AJ1382" s="2">
        <f t="shared" si="140"/>
        <v>72.35499999999999</v>
      </c>
      <c r="AK1382" s="5">
        <f t="shared" si="141"/>
        <v>0.72499999999999987</v>
      </c>
    </row>
    <row r="1383" spans="1:37" x14ac:dyDescent="0.2">
      <c r="A1383" s="2">
        <v>2025</v>
      </c>
      <c r="B1383" s="2">
        <v>7</v>
      </c>
      <c r="C1383" s="2" t="s">
        <v>529</v>
      </c>
      <c r="D1383" s="2" t="s">
        <v>109</v>
      </c>
      <c r="E1383" s="2" t="s">
        <v>39</v>
      </c>
      <c r="F1383" s="2">
        <v>509391583</v>
      </c>
      <c r="G1383" s="2" t="s">
        <v>40</v>
      </c>
      <c r="H1383" s="2" t="s">
        <v>530</v>
      </c>
      <c r="I1383" s="2" t="s">
        <v>531</v>
      </c>
      <c r="K1383" s="2" t="s">
        <v>345</v>
      </c>
      <c r="O1383" s="2" t="s">
        <v>283</v>
      </c>
      <c r="P1383" s="2" t="s">
        <v>804</v>
      </c>
      <c r="Q1383" s="2" t="s">
        <v>805</v>
      </c>
      <c r="R1383" s="2">
        <v>1</v>
      </c>
      <c r="S1383" s="2">
        <v>21.9</v>
      </c>
      <c r="T1383" s="2">
        <v>5.0369999999999999</v>
      </c>
      <c r="U1383" s="2">
        <v>26.937000000000001</v>
      </c>
      <c r="W1383" s="5">
        <f t="shared" si="142"/>
        <v>1</v>
      </c>
      <c r="Y1383" s="2" t="s">
        <v>3256</v>
      </c>
      <c r="Z1383" s="2" t="s">
        <v>72</v>
      </c>
      <c r="AA1383" s="2" t="s">
        <v>120</v>
      </c>
      <c r="AB1383" s="2" t="s">
        <v>120</v>
      </c>
      <c r="AE1383" s="2">
        <f t="shared" si="138"/>
        <v>0</v>
      </c>
      <c r="AI1383" s="2">
        <f t="shared" si="139"/>
        <v>0</v>
      </c>
      <c r="AJ1383" s="2">
        <f t="shared" si="140"/>
        <v>21.9</v>
      </c>
      <c r="AK1383" s="5">
        <f t="shared" si="141"/>
        <v>1</v>
      </c>
    </row>
    <row r="1384" spans="1:37" x14ac:dyDescent="0.2">
      <c r="A1384" s="2">
        <v>2025</v>
      </c>
      <c r="B1384" s="2">
        <v>7</v>
      </c>
      <c r="C1384" s="2" t="s">
        <v>529</v>
      </c>
      <c r="D1384" s="2" t="s">
        <v>109</v>
      </c>
      <c r="E1384" s="2" t="s">
        <v>39</v>
      </c>
      <c r="F1384" s="2">
        <v>509391583</v>
      </c>
      <c r="G1384" s="2" t="s">
        <v>40</v>
      </c>
      <c r="H1384" s="2" t="s">
        <v>530</v>
      </c>
      <c r="I1384" s="2" t="s">
        <v>531</v>
      </c>
      <c r="K1384" s="2" t="s">
        <v>345</v>
      </c>
      <c r="O1384" s="2" t="s">
        <v>283</v>
      </c>
      <c r="P1384" s="2" t="s">
        <v>1078</v>
      </c>
      <c r="Q1384" s="2" t="s">
        <v>1079</v>
      </c>
      <c r="R1384" s="2">
        <v>3</v>
      </c>
      <c r="S1384" s="2">
        <v>23.7</v>
      </c>
      <c r="T1384" s="2">
        <v>5.4510000000000014</v>
      </c>
      <c r="U1384" s="2">
        <v>29.151</v>
      </c>
      <c r="W1384" s="5">
        <f t="shared" si="142"/>
        <v>1</v>
      </c>
      <c r="Y1384" s="2" t="s">
        <v>3256</v>
      </c>
      <c r="Z1384" s="2" t="s">
        <v>72</v>
      </c>
      <c r="AA1384" s="2" t="s">
        <v>120</v>
      </c>
      <c r="AB1384" s="2" t="s">
        <v>120</v>
      </c>
      <c r="AE1384" s="2">
        <f t="shared" si="138"/>
        <v>0</v>
      </c>
      <c r="AI1384" s="2">
        <f t="shared" si="139"/>
        <v>0</v>
      </c>
      <c r="AJ1384" s="2">
        <f t="shared" si="140"/>
        <v>23.7</v>
      </c>
      <c r="AK1384" s="5">
        <f t="shared" si="141"/>
        <v>1</v>
      </c>
    </row>
    <row r="1385" spans="1:37" x14ac:dyDescent="0.2">
      <c r="A1385" s="2">
        <v>2025</v>
      </c>
      <c r="B1385" s="2">
        <v>7</v>
      </c>
      <c r="C1385" s="2" t="s">
        <v>881</v>
      </c>
      <c r="D1385" s="2" t="s">
        <v>109</v>
      </c>
      <c r="E1385" s="2" t="s">
        <v>39</v>
      </c>
      <c r="F1385" s="2">
        <v>506929833</v>
      </c>
      <c r="G1385" s="2" t="s">
        <v>110</v>
      </c>
      <c r="H1385" s="2" t="s">
        <v>134</v>
      </c>
      <c r="I1385" s="2" t="s">
        <v>882</v>
      </c>
      <c r="J1385" s="2">
        <v>964065954</v>
      </c>
      <c r="K1385" s="2" t="s">
        <v>134</v>
      </c>
      <c r="L1385" s="2" t="s">
        <v>40</v>
      </c>
      <c r="N1385" s="2" t="s">
        <v>1617</v>
      </c>
      <c r="O1385" s="2" t="s">
        <v>188</v>
      </c>
      <c r="P1385" s="2" t="s">
        <v>1618</v>
      </c>
      <c r="Q1385" s="2" t="s">
        <v>1619</v>
      </c>
      <c r="R1385" s="2">
        <v>1</v>
      </c>
      <c r="S1385" s="2">
        <v>85.04</v>
      </c>
      <c r="T1385" s="2">
        <v>19.559200000000001</v>
      </c>
      <c r="U1385" s="2">
        <v>104.5992</v>
      </c>
      <c r="V1385" s="2">
        <v>10.15</v>
      </c>
      <c r="W1385" s="5">
        <f t="shared" si="142"/>
        <v>0.88064440263405452</v>
      </c>
      <c r="Y1385" s="2" t="s">
        <v>118</v>
      </c>
      <c r="Z1385" s="2" t="s">
        <v>119</v>
      </c>
      <c r="AA1385" s="2" t="s">
        <v>120</v>
      </c>
      <c r="AB1385" s="2" t="s">
        <v>1620</v>
      </c>
      <c r="AE1385" s="2">
        <f t="shared" si="138"/>
        <v>0</v>
      </c>
      <c r="AF1385" s="2">
        <v>10.15</v>
      </c>
      <c r="AI1385" s="2">
        <f t="shared" si="139"/>
        <v>0</v>
      </c>
      <c r="AJ1385" s="2">
        <f t="shared" si="140"/>
        <v>74.89</v>
      </c>
      <c r="AK1385" s="5">
        <f t="shared" si="141"/>
        <v>0.88064440263405452</v>
      </c>
    </row>
    <row r="1386" spans="1:37" x14ac:dyDescent="0.2">
      <c r="A1386" s="2">
        <v>2025</v>
      </c>
      <c r="B1386" s="2">
        <v>7</v>
      </c>
      <c r="C1386" s="2" t="s">
        <v>881</v>
      </c>
      <c r="D1386" s="2" t="s">
        <v>109</v>
      </c>
      <c r="E1386" s="2" t="s">
        <v>39</v>
      </c>
      <c r="F1386" s="2">
        <v>506929833</v>
      </c>
      <c r="G1386" s="2" t="s">
        <v>110</v>
      </c>
      <c r="H1386" s="2" t="s">
        <v>134</v>
      </c>
      <c r="I1386" s="2" t="s">
        <v>882</v>
      </c>
      <c r="J1386" s="2">
        <v>964065954</v>
      </c>
      <c r="K1386" s="2" t="s">
        <v>134</v>
      </c>
      <c r="L1386" s="2" t="s">
        <v>40</v>
      </c>
      <c r="N1386" s="2" t="s">
        <v>1617</v>
      </c>
      <c r="O1386" s="2" t="s">
        <v>188</v>
      </c>
      <c r="P1386" s="2" t="s">
        <v>189</v>
      </c>
      <c r="Q1386" s="2" t="s">
        <v>190</v>
      </c>
      <c r="R1386" s="2">
        <v>2</v>
      </c>
      <c r="S1386" s="2">
        <v>138</v>
      </c>
      <c r="T1386" s="2">
        <v>31.74</v>
      </c>
      <c r="U1386" s="2">
        <v>169.74</v>
      </c>
      <c r="W1386" s="5">
        <f t="shared" si="142"/>
        <v>1</v>
      </c>
      <c r="Y1386" s="2" t="s">
        <v>118</v>
      </c>
      <c r="Z1386" s="2" t="s">
        <v>191</v>
      </c>
      <c r="AE1386" s="2">
        <f t="shared" si="138"/>
        <v>0</v>
      </c>
      <c r="AI1386" s="2">
        <f t="shared" si="139"/>
        <v>0</v>
      </c>
      <c r="AJ1386" s="2">
        <f t="shared" si="140"/>
        <v>138</v>
      </c>
      <c r="AK1386" s="5">
        <f t="shared" si="141"/>
        <v>1</v>
      </c>
    </row>
    <row r="1387" spans="1:37" x14ac:dyDescent="0.2">
      <c r="A1387" s="2">
        <v>2025</v>
      </c>
      <c r="B1387" s="2">
        <v>7</v>
      </c>
      <c r="C1387" s="2" t="s">
        <v>881</v>
      </c>
      <c r="D1387" s="2" t="s">
        <v>109</v>
      </c>
      <c r="E1387" s="2" t="s">
        <v>39</v>
      </c>
      <c r="F1387" s="2">
        <v>506929833</v>
      </c>
      <c r="G1387" s="2" t="s">
        <v>110</v>
      </c>
      <c r="H1387" s="2" t="s">
        <v>134</v>
      </c>
      <c r="I1387" s="2" t="s">
        <v>882</v>
      </c>
      <c r="J1387" s="2">
        <v>964065954</v>
      </c>
      <c r="K1387" s="2" t="s">
        <v>134</v>
      </c>
      <c r="L1387" s="2" t="s">
        <v>40</v>
      </c>
      <c r="N1387" s="2" t="s">
        <v>1617</v>
      </c>
      <c r="O1387" s="2" t="s">
        <v>188</v>
      </c>
      <c r="P1387" s="2" t="s">
        <v>192</v>
      </c>
      <c r="Q1387" s="2" t="s">
        <v>191</v>
      </c>
      <c r="R1387" s="2">
        <v>4.25</v>
      </c>
      <c r="S1387" s="2">
        <v>212.5</v>
      </c>
      <c r="T1387" s="2">
        <v>48.875</v>
      </c>
      <c r="U1387" s="2">
        <v>261.375</v>
      </c>
      <c r="V1387" s="2">
        <f>S1387*50%</f>
        <v>106.25</v>
      </c>
      <c r="W1387" s="5">
        <f t="shared" si="142"/>
        <v>0.5</v>
      </c>
      <c r="Y1387" s="2" t="s">
        <v>118</v>
      </c>
      <c r="Z1387" s="2" t="s">
        <v>191</v>
      </c>
      <c r="AE1387" s="2">
        <f t="shared" si="138"/>
        <v>0</v>
      </c>
      <c r="AI1387" s="2">
        <f t="shared" si="139"/>
        <v>0</v>
      </c>
      <c r="AJ1387" s="2">
        <f t="shared" si="140"/>
        <v>106.25</v>
      </c>
      <c r="AK1387" s="5">
        <f t="shared" si="141"/>
        <v>0.5</v>
      </c>
    </row>
    <row r="1388" spans="1:37" x14ac:dyDescent="0.2">
      <c r="A1388" s="2">
        <v>2025</v>
      </c>
      <c r="B1388" s="2">
        <v>7</v>
      </c>
      <c r="C1388" s="2" t="s">
        <v>534</v>
      </c>
      <c r="D1388" s="2" t="s">
        <v>109</v>
      </c>
      <c r="E1388" s="2" t="s">
        <v>535</v>
      </c>
      <c r="F1388" s="2">
        <v>502139552</v>
      </c>
      <c r="G1388" s="2" t="s">
        <v>40</v>
      </c>
      <c r="H1388" s="2" t="s">
        <v>340</v>
      </c>
      <c r="I1388" s="2" t="s">
        <v>536</v>
      </c>
      <c r="K1388" s="2" t="s">
        <v>340</v>
      </c>
      <c r="L1388" s="2" t="s">
        <v>81</v>
      </c>
      <c r="O1388" s="2" t="s">
        <v>73</v>
      </c>
      <c r="P1388" s="2" t="s">
        <v>74</v>
      </c>
      <c r="Q1388" s="2" t="s">
        <v>75</v>
      </c>
      <c r="R1388" s="2">
        <v>2</v>
      </c>
      <c r="S1388" s="2">
        <v>430</v>
      </c>
      <c r="T1388" s="2">
        <v>98.9</v>
      </c>
      <c r="U1388" s="2">
        <v>528.9</v>
      </c>
      <c r="V1388" s="2">
        <v>234.90600000000001</v>
      </c>
      <c r="W1388" s="5">
        <f t="shared" si="142"/>
        <v>0.45370697674418603</v>
      </c>
      <c r="Y1388" s="2" t="s">
        <v>3256</v>
      </c>
      <c r="Z1388" s="2" t="s">
        <v>76</v>
      </c>
      <c r="AA1388" s="2" t="s">
        <v>77</v>
      </c>
      <c r="AB1388" s="2" t="s">
        <v>78</v>
      </c>
      <c r="AE1388" s="2">
        <f t="shared" si="138"/>
        <v>0</v>
      </c>
      <c r="AF1388" s="2">
        <v>117.453</v>
      </c>
      <c r="AG1388" s="2">
        <v>220</v>
      </c>
      <c r="AI1388" s="2">
        <f t="shared" si="139"/>
        <v>0</v>
      </c>
      <c r="AJ1388" s="2">
        <f t="shared" si="140"/>
        <v>195.09399999999999</v>
      </c>
      <c r="AK1388" s="5">
        <f t="shared" si="141"/>
        <v>0.45370697674418603</v>
      </c>
    </row>
    <row r="1389" spans="1:37" x14ac:dyDescent="0.2">
      <c r="A1389" s="2">
        <v>2025</v>
      </c>
      <c r="B1389" s="2">
        <v>7</v>
      </c>
      <c r="C1389" s="2" t="s">
        <v>534</v>
      </c>
      <c r="D1389" s="2" t="s">
        <v>109</v>
      </c>
      <c r="E1389" s="2" t="s">
        <v>535</v>
      </c>
      <c r="F1389" s="2">
        <v>502139552</v>
      </c>
      <c r="G1389" s="2" t="s">
        <v>40</v>
      </c>
      <c r="H1389" s="2" t="s">
        <v>340</v>
      </c>
      <c r="I1389" s="2" t="s">
        <v>536</v>
      </c>
      <c r="K1389" s="2" t="s">
        <v>340</v>
      </c>
      <c r="L1389" s="2" t="s">
        <v>81</v>
      </c>
      <c r="O1389" s="2" t="s">
        <v>73</v>
      </c>
      <c r="P1389" s="2" t="s">
        <v>1084</v>
      </c>
      <c r="Q1389" s="2" t="s">
        <v>84</v>
      </c>
      <c r="R1389" s="2">
        <v>1</v>
      </c>
      <c r="S1389" s="2">
        <v>239.99</v>
      </c>
      <c r="T1389" s="2">
        <v>55.197699999999998</v>
      </c>
      <c r="U1389" s="2">
        <v>295.18770000000001</v>
      </c>
      <c r="V1389" s="2">
        <v>159.54</v>
      </c>
      <c r="W1389" s="5">
        <f t="shared" si="142"/>
        <v>0.33522230092920546</v>
      </c>
      <c r="Y1389" s="2" t="s">
        <v>3256</v>
      </c>
      <c r="Z1389" s="2" t="s">
        <v>76</v>
      </c>
      <c r="AA1389" s="2" t="s">
        <v>77</v>
      </c>
      <c r="AB1389" s="2" t="s">
        <v>78</v>
      </c>
      <c r="AE1389" s="2">
        <f t="shared" si="138"/>
        <v>0</v>
      </c>
      <c r="AF1389" s="2">
        <f>144.14+15.4</f>
        <v>159.54</v>
      </c>
      <c r="AG1389" s="2">
        <v>280</v>
      </c>
      <c r="AI1389" s="2">
        <f t="shared" si="139"/>
        <v>0</v>
      </c>
      <c r="AJ1389" s="2">
        <f t="shared" si="140"/>
        <v>80.450000000000017</v>
      </c>
      <c r="AK1389" s="5">
        <f t="shared" si="141"/>
        <v>0.33522230092920546</v>
      </c>
    </row>
    <row r="1390" spans="1:37" x14ac:dyDescent="0.2">
      <c r="A1390" s="2">
        <v>2025</v>
      </c>
      <c r="B1390" s="2">
        <v>7</v>
      </c>
      <c r="C1390" s="2" t="s">
        <v>534</v>
      </c>
      <c r="D1390" s="2" t="s">
        <v>109</v>
      </c>
      <c r="E1390" s="2" t="s">
        <v>535</v>
      </c>
      <c r="F1390" s="2">
        <v>502139552</v>
      </c>
      <c r="G1390" s="2" t="s">
        <v>40</v>
      </c>
      <c r="H1390" s="2" t="s">
        <v>340</v>
      </c>
      <c r="I1390" s="2" t="s">
        <v>536</v>
      </c>
      <c r="K1390" s="2" t="s">
        <v>340</v>
      </c>
      <c r="L1390" s="2" t="s">
        <v>81</v>
      </c>
      <c r="O1390" s="2" t="s">
        <v>73</v>
      </c>
      <c r="P1390" s="2" t="s">
        <v>1621</v>
      </c>
      <c r="Q1390" s="2" t="s">
        <v>208</v>
      </c>
      <c r="R1390" s="2">
        <v>1</v>
      </c>
      <c r="S1390" s="2">
        <v>475</v>
      </c>
      <c r="T1390" s="2">
        <v>109.25</v>
      </c>
      <c r="U1390" s="2">
        <v>584.25</v>
      </c>
      <c r="W1390" s="5">
        <f t="shared" si="142"/>
        <v>1</v>
      </c>
      <c r="Y1390" s="2" t="s">
        <v>3256</v>
      </c>
      <c r="Z1390" s="2" t="s">
        <v>76</v>
      </c>
      <c r="AA1390" s="2" t="s">
        <v>77</v>
      </c>
      <c r="AB1390" s="2" t="s">
        <v>78</v>
      </c>
      <c r="AE1390" s="2">
        <f t="shared" si="138"/>
        <v>0</v>
      </c>
      <c r="AI1390" s="2">
        <f t="shared" si="139"/>
        <v>0</v>
      </c>
      <c r="AJ1390" s="2">
        <f t="shared" si="140"/>
        <v>475</v>
      </c>
      <c r="AK1390" s="5">
        <f t="shared" si="141"/>
        <v>1</v>
      </c>
    </row>
    <row r="1391" spans="1:37" x14ac:dyDescent="0.2">
      <c r="A1391" s="2">
        <v>2025</v>
      </c>
      <c r="B1391" s="2">
        <v>7</v>
      </c>
      <c r="C1391" s="2" t="s">
        <v>534</v>
      </c>
      <c r="D1391" s="2" t="s">
        <v>109</v>
      </c>
      <c r="E1391" s="2" t="s">
        <v>535</v>
      </c>
      <c r="F1391" s="2">
        <v>502139552</v>
      </c>
      <c r="G1391" s="2" t="s">
        <v>40</v>
      </c>
      <c r="H1391" s="2" t="s">
        <v>340</v>
      </c>
      <c r="I1391" s="2" t="s">
        <v>536</v>
      </c>
      <c r="K1391" s="2" t="s">
        <v>340</v>
      </c>
      <c r="L1391" s="2" t="s">
        <v>40</v>
      </c>
      <c r="O1391" s="2" t="s">
        <v>40</v>
      </c>
      <c r="P1391" s="2" t="s">
        <v>141</v>
      </c>
      <c r="Q1391" s="2" t="s">
        <v>142</v>
      </c>
      <c r="R1391" s="2">
        <v>-1</v>
      </c>
      <c r="S1391" s="2">
        <v>-10.6</v>
      </c>
      <c r="T1391" s="2">
        <v>-2.4380000000000002</v>
      </c>
      <c r="U1391" s="2">
        <v>-13.038</v>
      </c>
      <c r="W1391" s="5">
        <f t="shared" si="142"/>
        <v>1</v>
      </c>
      <c r="Y1391" s="2" t="s">
        <v>120</v>
      </c>
      <c r="Z1391" s="2" t="s">
        <v>143</v>
      </c>
      <c r="AE1391" s="2">
        <f t="shared" si="138"/>
        <v>0</v>
      </c>
      <c r="AI1391" s="2">
        <f t="shared" si="139"/>
        <v>0</v>
      </c>
      <c r="AJ1391" s="2">
        <f t="shared" si="140"/>
        <v>-10.6</v>
      </c>
      <c r="AK1391" s="5">
        <f t="shared" si="141"/>
        <v>1</v>
      </c>
    </row>
    <row r="1392" spans="1:37" x14ac:dyDescent="0.2">
      <c r="A1392" s="2">
        <v>2025</v>
      </c>
      <c r="B1392" s="2">
        <v>7</v>
      </c>
      <c r="C1392" s="2" t="s">
        <v>534</v>
      </c>
      <c r="D1392" s="2" t="s">
        <v>109</v>
      </c>
      <c r="E1392" s="2" t="s">
        <v>535</v>
      </c>
      <c r="F1392" s="2">
        <v>502139552</v>
      </c>
      <c r="G1392" s="2" t="s">
        <v>40</v>
      </c>
      <c r="H1392" s="2" t="s">
        <v>340</v>
      </c>
      <c r="I1392" s="2" t="s">
        <v>536</v>
      </c>
      <c r="K1392" s="2" t="s">
        <v>340</v>
      </c>
      <c r="L1392" s="2" t="s">
        <v>81</v>
      </c>
      <c r="O1392" s="2" t="s">
        <v>94</v>
      </c>
      <c r="P1392" s="2" t="s">
        <v>95</v>
      </c>
      <c r="Q1392" s="2" t="s">
        <v>96</v>
      </c>
      <c r="R1392" s="2">
        <v>4</v>
      </c>
      <c r="S1392" s="2">
        <v>4.5599999999999996</v>
      </c>
      <c r="T1392" s="2">
        <v>1.0488</v>
      </c>
      <c r="U1392" s="2">
        <v>5.6087999999999996</v>
      </c>
      <c r="V1392" s="2">
        <v>4.5599999999999996</v>
      </c>
      <c r="W1392" s="5">
        <f t="shared" si="142"/>
        <v>0</v>
      </c>
      <c r="Y1392" s="2" t="s">
        <v>3256</v>
      </c>
      <c r="Z1392" s="2" t="s">
        <v>97</v>
      </c>
      <c r="AA1392" s="2" t="s">
        <v>77</v>
      </c>
      <c r="AB1392" s="2" t="s">
        <v>94</v>
      </c>
      <c r="AE1392" s="2">
        <f t="shared" si="138"/>
        <v>0</v>
      </c>
      <c r="AI1392" s="2">
        <f t="shared" si="139"/>
        <v>0</v>
      </c>
      <c r="AJ1392" s="2">
        <f t="shared" si="140"/>
        <v>0</v>
      </c>
      <c r="AK1392" s="5">
        <f t="shared" si="141"/>
        <v>0</v>
      </c>
    </row>
    <row r="1393" spans="1:37" x14ac:dyDescent="0.2">
      <c r="A1393" s="2">
        <v>2025</v>
      </c>
      <c r="B1393" s="2">
        <v>7</v>
      </c>
      <c r="C1393" s="2" t="s">
        <v>1431</v>
      </c>
      <c r="L1393" s="2" t="s">
        <v>41</v>
      </c>
      <c r="O1393" s="2" t="s">
        <v>73</v>
      </c>
      <c r="P1393" s="2" t="s">
        <v>74</v>
      </c>
      <c r="Q1393" s="2" t="s">
        <v>75</v>
      </c>
      <c r="R1393" s="2">
        <v>1</v>
      </c>
      <c r="S1393" s="2">
        <v>210</v>
      </c>
      <c r="T1393" s="2">
        <v>48.3</v>
      </c>
      <c r="U1393" s="2">
        <v>258.3</v>
      </c>
      <c r="V1393" s="2">
        <v>117.453</v>
      </c>
      <c r="W1393" s="5">
        <f t="shared" si="142"/>
        <v>0.44069999999999998</v>
      </c>
      <c r="Y1393" s="2" t="s">
        <v>3256</v>
      </c>
      <c r="Z1393" s="2" t="s">
        <v>76</v>
      </c>
      <c r="AA1393" s="2" t="s">
        <v>77</v>
      </c>
      <c r="AB1393" s="2" t="s">
        <v>78</v>
      </c>
      <c r="AE1393" s="2">
        <f t="shared" si="138"/>
        <v>0</v>
      </c>
      <c r="AF1393" s="2">
        <v>117.453</v>
      </c>
      <c r="AG1393" s="2">
        <v>220</v>
      </c>
      <c r="AI1393" s="2">
        <f t="shared" si="139"/>
        <v>0</v>
      </c>
      <c r="AJ1393" s="2">
        <f t="shared" si="140"/>
        <v>92.546999999999997</v>
      </c>
      <c r="AK1393" s="5">
        <f t="shared" si="141"/>
        <v>0.44069999999999998</v>
      </c>
    </row>
    <row r="1394" spans="1:37" x14ac:dyDescent="0.2">
      <c r="A1394" s="2">
        <v>2025</v>
      </c>
      <c r="B1394" s="2">
        <v>7</v>
      </c>
      <c r="C1394" s="2" t="s">
        <v>1431</v>
      </c>
      <c r="L1394" s="2" t="s">
        <v>41</v>
      </c>
      <c r="O1394" s="2" t="s">
        <v>94</v>
      </c>
      <c r="P1394" s="2" t="s">
        <v>95</v>
      </c>
      <c r="Q1394" s="2" t="s">
        <v>96</v>
      </c>
      <c r="R1394" s="2">
        <v>1</v>
      </c>
      <c r="S1394" s="2">
        <v>1.1399999999999999</v>
      </c>
      <c r="T1394" s="2">
        <v>0.26219999999999999</v>
      </c>
      <c r="U1394" s="2">
        <v>1.4021999999999999</v>
      </c>
      <c r="V1394" s="2">
        <v>1.1399999999999999</v>
      </c>
      <c r="W1394" s="5">
        <f t="shared" si="142"/>
        <v>0</v>
      </c>
      <c r="Y1394" s="2" t="s">
        <v>3256</v>
      </c>
      <c r="Z1394" s="2" t="s">
        <v>97</v>
      </c>
      <c r="AA1394" s="2" t="s">
        <v>77</v>
      </c>
      <c r="AB1394" s="2" t="s">
        <v>94</v>
      </c>
      <c r="AE1394" s="2">
        <f t="shared" si="138"/>
        <v>0</v>
      </c>
      <c r="AI1394" s="2">
        <f t="shared" si="139"/>
        <v>0</v>
      </c>
      <c r="AJ1394" s="2">
        <f t="shared" si="140"/>
        <v>0</v>
      </c>
      <c r="AK1394" s="5">
        <f t="shared" si="141"/>
        <v>0</v>
      </c>
    </row>
    <row r="1395" spans="1:37" x14ac:dyDescent="0.2">
      <c r="A1395" s="2">
        <v>2025</v>
      </c>
      <c r="B1395" s="2">
        <v>7</v>
      </c>
      <c r="C1395" s="2" t="s">
        <v>553</v>
      </c>
      <c r="D1395" s="2" t="s">
        <v>109</v>
      </c>
      <c r="E1395" s="2" t="s">
        <v>397</v>
      </c>
      <c r="F1395" s="2">
        <v>503641790</v>
      </c>
      <c r="G1395" s="2" t="s">
        <v>40</v>
      </c>
      <c r="H1395" s="2" t="s">
        <v>554</v>
      </c>
      <c r="I1395" s="2" t="s">
        <v>555</v>
      </c>
      <c r="J1395" s="2">
        <v>917753665</v>
      </c>
      <c r="K1395" s="2" t="s">
        <v>100</v>
      </c>
      <c r="L1395" s="2" t="s">
        <v>40</v>
      </c>
      <c r="N1395" s="2" t="s">
        <v>1622</v>
      </c>
      <c r="O1395" s="2" t="s">
        <v>115</v>
      </c>
      <c r="P1395" s="2" t="s">
        <v>1088</v>
      </c>
      <c r="Q1395" s="2" t="s">
        <v>1089</v>
      </c>
      <c r="R1395" s="2">
        <v>1</v>
      </c>
      <c r="S1395" s="2">
        <v>66.41</v>
      </c>
      <c r="T1395" s="2">
        <v>15.2743</v>
      </c>
      <c r="U1395" s="2">
        <v>81.684299999999993</v>
      </c>
      <c r="V1395" s="2">
        <v>37.96</v>
      </c>
      <c r="W1395" s="5">
        <f t="shared" si="142"/>
        <v>0.4283993374491793</v>
      </c>
      <c r="Y1395" s="2" t="s">
        <v>118</v>
      </c>
      <c r="Z1395" s="2" t="s">
        <v>119</v>
      </c>
      <c r="AA1395" s="2" t="s">
        <v>120</v>
      </c>
      <c r="AB1395" s="2" t="s">
        <v>115</v>
      </c>
      <c r="AE1395" s="2">
        <f t="shared" si="138"/>
        <v>0</v>
      </c>
      <c r="AF1395" s="2">
        <v>37.96</v>
      </c>
      <c r="AI1395" s="2">
        <f t="shared" si="139"/>
        <v>0</v>
      </c>
      <c r="AJ1395" s="2">
        <f t="shared" si="140"/>
        <v>28.449999999999996</v>
      </c>
      <c r="AK1395" s="5">
        <f t="shared" si="141"/>
        <v>0.4283993374491793</v>
      </c>
    </row>
    <row r="1396" spans="1:37" x14ac:dyDescent="0.2">
      <c r="A1396" s="2">
        <v>2025</v>
      </c>
      <c r="B1396" s="2">
        <v>7</v>
      </c>
      <c r="C1396" s="2" t="s">
        <v>553</v>
      </c>
      <c r="D1396" s="2" t="s">
        <v>109</v>
      </c>
      <c r="E1396" s="2" t="s">
        <v>397</v>
      </c>
      <c r="F1396" s="2">
        <v>503641790</v>
      </c>
      <c r="G1396" s="2" t="s">
        <v>40</v>
      </c>
      <c r="H1396" s="2" t="s">
        <v>554</v>
      </c>
      <c r="I1396" s="2" t="s">
        <v>555</v>
      </c>
      <c r="J1396" s="2">
        <v>917753665</v>
      </c>
      <c r="K1396" s="2" t="s">
        <v>100</v>
      </c>
      <c r="L1396" s="2" t="s">
        <v>40</v>
      </c>
      <c r="N1396" s="2" t="s">
        <v>1623</v>
      </c>
      <c r="O1396" s="2" t="s">
        <v>1624</v>
      </c>
      <c r="P1396" s="2" t="s">
        <v>1625</v>
      </c>
      <c r="Q1396" s="2" t="s">
        <v>1626</v>
      </c>
      <c r="R1396" s="2">
        <v>2</v>
      </c>
      <c r="S1396" s="2">
        <v>121.06</v>
      </c>
      <c r="T1396" s="2">
        <v>27.843800000000002</v>
      </c>
      <c r="U1396" s="2">
        <v>148.90379999999999</v>
      </c>
      <c r="V1396" s="2">
        <v>32.024999999999999</v>
      </c>
      <c r="W1396" s="5">
        <f t="shared" si="142"/>
        <v>0.73546175450189988</v>
      </c>
      <c r="Y1396" s="2" t="s">
        <v>118</v>
      </c>
      <c r="Z1396" s="2" t="s">
        <v>119</v>
      </c>
      <c r="AA1396" s="2" t="s">
        <v>120</v>
      </c>
      <c r="AB1396" s="2" t="s">
        <v>1624</v>
      </c>
      <c r="AE1396" s="2">
        <f t="shared" si="138"/>
        <v>0</v>
      </c>
      <c r="AF1396" s="2">
        <v>32.024999999999999</v>
      </c>
      <c r="AI1396" s="2">
        <f t="shared" si="139"/>
        <v>0</v>
      </c>
      <c r="AJ1396" s="2">
        <f t="shared" si="140"/>
        <v>89.034999999999997</v>
      </c>
      <c r="AK1396" s="5">
        <f t="shared" si="141"/>
        <v>0.73546175450189988</v>
      </c>
    </row>
    <row r="1397" spans="1:37" x14ac:dyDescent="0.2">
      <c r="A1397" s="2">
        <v>2025</v>
      </c>
      <c r="B1397" s="2">
        <v>7</v>
      </c>
      <c r="C1397" s="2" t="s">
        <v>553</v>
      </c>
      <c r="D1397" s="2" t="s">
        <v>109</v>
      </c>
      <c r="E1397" s="2" t="s">
        <v>397</v>
      </c>
      <c r="F1397" s="2">
        <v>503641790</v>
      </c>
      <c r="G1397" s="2" t="s">
        <v>40</v>
      </c>
      <c r="H1397" s="2" t="s">
        <v>554</v>
      </c>
      <c r="I1397" s="2" t="s">
        <v>555</v>
      </c>
      <c r="J1397" s="2">
        <v>917753665</v>
      </c>
      <c r="K1397" s="2" t="s">
        <v>100</v>
      </c>
      <c r="L1397" s="2" t="s">
        <v>81</v>
      </c>
      <c r="N1397" s="2" t="s">
        <v>1627</v>
      </c>
      <c r="O1397" s="2" t="s">
        <v>73</v>
      </c>
      <c r="P1397" s="2" t="s">
        <v>207</v>
      </c>
      <c r="Q1397" s="2" t="s">
        <v>208</v>
      </c>
      <c r="R1397" s="2">
        <v>2</v>
      </c>
      <c r="S1397" s="2">
        <v>900</v>
      </c>
      <c r="T1397" s="2">
        <v>207</v>
      </c>
      <c r="U1397" s="2">
        <v>1107</v>
      </c>
      <c r="V1397" s="2">
        <f>291.59*R1397</f>
        <v>583.17999999999995</v>
      </c>
      <c r="W1397" s="5">
        <f t="shared" si="142"/>
        <v>0.35202222222222229</v>
      </c>
      <c r="Y1397" s="2" t="s">
        <v>3256</v>
      </c>
      <c r="Z1397" s="2" t="s">
        <v>76</v>
      </c>
      <c r="AA1397" s="2" t="s">
        <v>77</v>
      </c>
      <c r="AB1397" s="2" t="s">
        <v>78</v>
      </c>
      <c r="AE1397" s="2">
        <f t="shared" si="138"/>
        <v>0</v>
      </c>
      <c r="AF1397" s="2">
        <v>291.58999999999997</v>
      </c>
      <c r="AG1397" s="2">
        <v>450</v>
      </c>
      <c r="AI1397" s="2">
        <f t="shared" si="139"/>
        <v>0</v>
      </c>
      <c r="AJ1397" s="2">
        <f t="shared" si="140"/>
        <v>316.82000000000005</v>
      </c>
      <c r="AK1397" s="5">
        <f t="shared" si="141"/>
        <v>0.35202222222222229</v>
      </c>
    </row>
    <row r="1398" spans="1:37" x14ac:dyDescent="0.2">
      <c r="A1398" s="2">
        <v>2025</v>
      </c>
      <c r="B1398" s="2">
        <v>7</v>
      </c>
      <c r="C1398" s="2" t="s">
        <v>553</v>
      </c>
      <c r="D1398" s="2" t="s">
        <v>109</v>
      </c>
      <c r="E1398" s="2" t="s">
        <v>397</v>
      </c>
      <c r="F1398" s="2">
        <v>503641790</v>
      </c>
      <c r="G1398" s="2" t="s">
        <v>40</v>
      </c>
      <c r="H1398" s="2" t="s">
        <v>554</v>
      </c>
      <c r="I1398" s="2" t="s">
        <v>555</v>
      </c>
      <c r="J1398" s="2">
        <v>917753665</v>
      </c>
      <c r="K1398" s="2" t="s">
        <v>100</v>
      </c>
      <c r="L1398" s="2" t="s">
        <v>40</v>
      </c>
      <c r="N1398" s="2" t="s">
        <v>1623</v>
      </c>
      <c r="O1398" s="2" t="s">
        <v>188</v>
      </c>
      <c r="P1398" s="2" t="s">
        <v>189</v>
      </c>
      <c r="Q1398" s="2" t="s">
        <v>190</v>
      </c>
      <c r="R1398" s="2">
        <v>1</v>
      </c>
      <c r="S1398" s="2">
        <v>0</v>
      </c>
      <c r="T1398" s="2">
        <v>0</v>
      </c>
      <c r="U1398" s="2">
        <v>0</v>
      </c>
      <c r="W1398" s="5">
        <v>0</v>
      </c>
      <c r="Y1398" s="2" t="s">
        <v>118</v>
      </c>
      <c r="Z1398" s="2" t="s">
        <v>191</v>
      </c>
      <c r="AE1398" s="2">
        <f t="shared" si="138"/>
        <v>0</v>
      </c>
      <c r="AI1398" s="2">
        <f t="shared" si="139"/>
        <v>0</v>
      </c>
      <c r="AJ1398" s="2">
        <f t="shared" si="140"/>
        <v>0</v>
      </c>
      <c r="AK1398" s="5" t="e">
        <f t="shared" si="141"/>
        <v>#DIV/0!</v>
      </c>
    </row>
    <row r="1399" spans="1:37" x14ac:dyDescent="0.2">
      <c r="A1399" s="2">
        <v>2025</v>
      </c>
      <c r="B1399" s="2">
        <v>7</v>
      </c>
      <c r="C1399" s="2" t="s">
        <v>553</v>
      </c>
      <c r="D1399" s="2" t="s">
        <v>109</v>
      </c>
      <c r="E1399" s="2" t="s">
        <v>397</v>
      </c>
      <c r="F1399" s="2">
        <v>503641790</v>
      </c>
      <c r="G1399" s="2" t="s">
        <v>40</v>
      </c>
      <c r="H1399" s="2" t="s">
        <v>554</v>
      </c>
      <c r="I1399" s="2" t="s">
        <v>555</v>
      </c>
      <c r="J1399" s="2">
        <v>917753665</v>
      </c>
      <c r="K1399" s="2" t="s">
        <v>100</v>
      </c>
      <c r="L1399" s="2" t="s">
        <v>40</v>
      </c>
      <c r="N1399" s="2" t="s">
        <v>1623</v>
      </c>
      <c r="O1399" s="2" t="s">
        <v>188</v>
      </c>
      <c r="P1399" s="2" t="s">
        <v>192</v>
      </c>
      <c r="Q1399" s="2" t="s">
        <v>191</v>
      </c>
      <c r="R1399" s="2">
        <v>3</v>
      </c>
      <c r="S1399" s="2">
        <v>135</v>
      </c>
      <c r="T1399" s="2">
        <v>31.05</v>
      </c>
      <c r="U1399" s="2">
        <v>166.05</v>
      </c>
      <c r="V1399" s="2">
        <f>S1399*50%</f>
        <v>67.5</v>
      </c>
      <c r="W1399" s="5">
        <f t="shared" ref="W1399:W1430" si="143">(S1399-V1399)/S1399</f>
        <v>0.5</v>
      </c>
      <c r="Y1399" s="2" t="s">
        <v>118</v>
      </c>
      <c r="Z1399" s="2" t="s">
        <v>191</v>
      </c>
      <c r="AE1399" s="2">
        <f t="shared" si="138"/>
        <v>0</v>
      </c>
      <c r="AI1399" s="2">
        <f t="shared" si="139"/>
        <v>0</v>
      </c>
      <c r="AJ1399" s="2">
        <f t="shared" si="140"/>
        <v>67.5</v>
      </c>
      <c r="AK1399" s="5">
        <f t="shared" si="141"/>
        <v>0.5</v>
      </c>
    </row>
    <row r="1400" spans="1:37" x14ac:dyDescent="0.2">
      <c r="A1400" s="2">
        <v>2025</v>
      </c>
      <c r="B1400" s="2">
        <v>7</v>
      </c>
      <c r="C1400" s="2" t="s">
        <v>553</v>
      </c>
      <c r="D1400" s="2" t="s">
        <v>109</v>
      </c>
      <c r="E1400" s="2" t="s">
        <v>397</v>
      </c>
      <c r="F1400" s="2">
        <v>503641790</v>
      </c>
      <c r="G1400" s="2" t="s">
        <v>40</v>
      </c>
      <c r="H1400" s="2" t="s">
        <v>554</v>
      </c>
      <c r="I1400" s="2" t="s">
        <v>555</v>
      </c>
      <c r="J1400" s="2">
        <v>917753665</v>
      </c>
      <c r="K1400" s="2" t="s">
        <v>100</v>
      </c>
      <c r="L1400" s="2" t="s">
        <v>81</v>
      </c>
      <c r="N1400" s="2" t="s">
        <v>1627</v>
      </c>
      <c r="O1400" s="2" t="s">
        <v>94</v>
      </c>
      <c r="P1400" s="2" t="s">
        <v>95</v>
      </c>
      <c r="Q1400" s="2" t="s">
        <v>96</v>
      </c>
      <c r="R1400" s="2">
        <v>2</v>
      </c>
      <c r="S1400" s="2">
        <v>2.2799999999999998</v>
      </c>
      <c r="T1400" s="2">
        <v>0.52439999999999998</v>
      </c>
      <c r="U1400" s="2">
        <v>2.8043999999999998</v>
      </c>
      <c r="V1400" s="2">
        <v>2.2799999999999998</v>
      </c>
      <c r="W1400" s="5">
        <f t="shared" si="143"/>
        <v>0</v>
      </c>
      <c r="Y1400" s="2" t="s">
        <v>3256</v>
      </c>
      <c r="Z1400" s="2" t="s">
        <v>97</v>
      </c>
      <c r="AA1400" s="2" t="s">
        <v>77</v>
      </c>
      <c r="AB1400" s="2" t="s">
        <v>94</v>
      </c>
      <c r="AE1400" s="2">
        <f t="shared" si="138"/>
        <v>0</v>
      </c>
      <c r="AF1400" s="2">
        <v>1.1399999999999999</v>
      </c>
      <c r="AG1400" s="2">
        <v>1.1399999999999999</v>
      </c>
      <c r="AI1400" s="2">
        <f t="shared" si="139"/>
        <v>0</v>
      </c>
      <c r="AJ1400" s="2">
        <f t="shared" si="140"/>
        <v>0</v>
      </c>
      <c r="AK1400" s="5">
        <f t="shared" si="141"/>
        <v>0</v>
      </c>
    </row>
    <row r="1401" spans="1:37" x14ac:dyDescent="0.2">
      <c r="A1401" s="2">
        <v>2025</v>
      </c>
      <c r="B1401" s="2">
        <v>7</v>
      </c>
      <c r="C1401" s="2" t="s">
        <v>553</v>
      </c>
      <c r="D1401" s="2" t="s">
        <v>109</v>
      </c>
      <c r="E1401" s="2" t="s">
        <v>397</v>
      </c>
      <c r="F1401" s="2">
        <v>503641790</v>
      </c>
      <c r="G1401" s="2" t="s">
        <v>40</v>
      </c>
      <c r="H1401" s="2" t="s">
        <v>554</v>
      </c>
      <c r="I1401" s="2" t="s">
        <v>555</v>
      </c>
      <c r="J1401" s="2">
        <v>917753665</v>
      </c>
      <c r="K1401" s="2" t="s">
        <v>100</v>
      </c>
      <c r="L1401" s="2" t="s">
        <v>40</v>
      </c>
      <c r="N1401" s="2" t="s">
        <v>1623</v>
      </c>
      <c r="O1401" s="2" t="s">
        <v>40</v>
      </c>
      <c r="P1401" s="2" t="s">
        <v>364</v>
      </c>
      <c r="Q1401" s="2" t="s">
        <v>365</v>
      </c>
      <c r="R1401" s="2">
        <v>6</v>
      </c>
      <c r="S1401" s="2">
        <v>42.77</v>
      </c>
      <c r="T1401" s="2">
        <v>9.8371000000000013</v>
      </c>
      <c r="U1401" s="2">
        <v>52.607100000000003</v>
      </c>
      <c r="W1401" s="5">
        <f t="shared" si="143"/>
        <v>1</v>
      </c>
      <c r="Y1401" s="2" t="s">
        <v>120</v>
      </c>
      <c r="AE1401" s="2">
        <f t="shared" si="138"/>
        <v>0</v>
      </c>
      <c r="AI1401" s="2">
        <f t="shared" si="139"/>
        <v>0</v>
      </c>
      <c r="AJ1401" s="2">
        <f t="shared" si="140"/>
        <v>42.77</v>
      </c>
      <c r="AK1401" s="5">
        <f t="shared" si="141"/>
        <v>1</v>
      </c>
    </row>
    <row r="1402" spans="1:37" x14ac:dyDescent="0.2">
      <c r="A1402" s="2">
        <v>2025</v>
      </c>
      <c r="B1402" s="2">
        <v>7</v>
      </c>
      <c r="C1402" s="2" t="s">
        <v>562</v>
      </c>
      <c r="D1402" s="2" t="s">
        <v>109</v>
      </c>
      <c r="E1402" s="2" t="s">
        <v>39</v>
      </c>
      <c r="F1402" s="2">
        <v>506517233</v>
      </c>
      <c r="G1402" s="2" t="s">
        <v>81</v>
      </c>
      <c r="H1402" s="2" t="s">
        <v>563</v>
      </c>
      <c r="I1402" s="2" t="s">
        <v>564</v>
      </c>
      <c r="K1402" s="2" t="s">
        <v>134</v>
      </c>
      <c r="O1402" s="2" t="s">
        <v>73</v>
      </c>
      <c r="P1402" s="2" t="s">
        <v>1628</v>
      </c>
      <c r="Q1402" s="2" t="s">
        <v>208</v>
      </c>
      <c r="R1402" s="2">
        <v>1</v>
      </c>
      <c r="S1402" s="2">
        <v>350</v>
      </c>
      <c r="T1402" s="2">
        <v>80.5</v>
      </c>
      <c r="U1402" s="2">
        <v>430.5</v>
      </c>
      <c r="W1402" s="5">
        <f t="shared" si="143"/>
        <v>1</v>
      </c>
      <c r="Y1402" s="2" t="s">
        <v>3256</v>
      </c>
      <c r="Z1402" s="2" t="s">
        <v>76</v>
      </c>
      <c r="AA1402" s="2" t="s">
        <v>77</v>
      </c>
      <c r="AB1402" s="2" t="s">
        <v>78</v>
      </c>
      <c r="AE1402" s="2">
        <f t="shared" si="138"/>
        <v>0</v>
      </c>
      <c r="AI1402" s="2">
        <f t="shared" si="139"/>
        <v>0</v>
      </c>
      <c r="AJ1402" s="2">
        <f t="shared" si="140"/>
        <v>350</v>
      </c>
      <c r="AK1402" s="5">
        <f t="shared" si="141"/>
        <v>1</v>
      </c>
    </row>
    <row r="1403" spans="1:37" x14ac:dyDescent="0.2">
      <c r="A1403" s="2">
        <v>2025</v>
      </c>
      <c r="B1403" s="2">
        <v>7</v>
      </c>
      <c r="C1403" s="2" t="s">
        <v>562</v>
      </c>
      <c r="D1403" s="2" t="s">
        <v>109</v>
      </c>
      <c r="E1403" s="2" t="s">
        <v>39</v>
      </c>
      <c r="F1403" s="2">
        <v>506517233</v>
      </c>
      <c r="G1403" s="2" t="s">
        <v>81</v>
      </c>
      <c r="H1403" s="2" t="s">
        <v>563</v>
      </c>
      <c r="I1403" s="2" t="s">
        <v>564</v>
      </c>
      <c r="K1403" s="2" t="s">
        <v>134</v>
      </c>
      <c r="O1403" s="2" t="s">
        <v>94</v>
      </c>
      <c r="P1403" s="2" t="s">
        <v>95</v>
      </c>
      <c r="Q1403" s="2" t="s">
        <v>96</v>
      </c>
      <c r="R1403" s="2">
        <v>1</v>
      </c>
      <c r="S1403" s="2">
        <v>1.1399999999999999</v>
      </c>
      <c r="T1403" s="2">
        <v>0.26219999999999999</v>
      </c>
      <c r="U1403" s="2">
        <v>1.4021999999999999</v>
      </c>
      <c r="V1403" s="2">
        <v>1.1399999999999999</v>
      </c>
      <c r="W1403" s="5">
        <f t="shared" si="143"/>
        <v>0</v>
      </c>
      <c r="Y1403" s="2" t="s">
        <v>3256</v>
      </c>
      <c r="Z1403" s="2" t="s">
        <v>97</v>
      </c>
      <c r="AA1403" s="2" t="s">
        <v>77</v>
      </c>
      <c r="AB1403" s="2" t="s">
        <v>94</v>
      </c>
      <c r="AE1403" s="2">
        <f t="shared" si="138"/>
        <v>0</v>
      </c>
      <c r="AI1403" s="2">
        <f t="shared" si="139"/>
        <v>0</v>
      </c>
      <c r="AJ1403" s="2">
        <f t="shared" si="140"/>
        <v>0</v>
      </c>
      <c r="AK1403" s="5">
        <f t="shared" si="141"/>
        <v>0</v>
      </c>
    </row>
    <row r="1404" spans="1:37" x14ac:dyDescent="0.2">
      <c r="A1404" s="2">
        <v>2025</v>
      </c>
      <c r="B1404" s="2">
        <v>7</v>
      </c>
      <c r="C1404" s="2" t="s">
        <v>1629</v>
      </c>
      <c r="D1404" s="2" t="s">
        <v>109</v>
      </c>
      <c r="E1404" s="2" t="s">
        <v>39</v>
      </c>
      <c r="F1404" s="2">
        <v>502930268</v>
      </c>
      <c r="G1404" s="2" t="s">
        <v>41</v>
      </c>
      <c r="H1404" s="2" t="s">
        <v>1630</v>
      </c>
      <c r="I1404" s="2" t="s">
        <v>1631</v>
      </c>
      <c r="J1404" s="2">
        <v>917259016</v>
      </c>
      <c r="K1404" s="2" t="s">
        <v>100</v>
      </c>
      <c r="L1404" s="2" t="s">
        <v>41</v>
      </c>
      <c r="N1404" s="2" t="s">
        <v>1632</v>
      </c>
      <c r="O1404" s="2" t="s">
        <v>73</v>
      </c>
      <c r="P1404" s="2" t="s">
        <v>74</v>
      </c>
      <c r="Q1404" s="2" t="s">
        <v>75</v>
      </c>
      <c r="R1404" s="2">
        <v>1</v>
      </c>
      <c r="S1404" s="2">
        <v>220</v>
      </c>
      <c r="T1404" s="2">
        <v>50.6</v>
      </c>
      <c r="U1404" s="2">
        <v>270.60000000000002</v>
      </c>
      <c r="V1404" s="2">
        <v>117.453</v>
      </c>
      <c r="W1404" s="5">
        <f t="shared" si="143"/>
        <v>0.46612272727272724</v>
      </c>
      <c r="Y1404" s="2" t="s">
        <v>3256</v>
      </c>
      <c r="Z1404" s="2" t="s">
        <v>76</v>
      </c>
      <c r="AA1404" s="2" t="s">
        <v>77</v>
      </c>
      <c r="AB1404" s="2" t="s">
        <v>78</v>
      </c>
      <c r="AE1404" s="2">
        <f t="shared" si="138"/>
        <v>0</v>
      </c>
      <c r="AF1404" s="2">
        <v>117.453</v>
      </c>
      <c r="AG1404" s="2">
        <v>220</v>
      </c>
      <c r="AI1404" s="2">
        <f t="shared" si="139"/>
        <v>0</v>
      </c>
      <c r="AJ1404" s="2">
        <f t="shared" si="140"/>
        <v>102.547</v>
      </c>
      <c r="AK1404" s="5">
        <f t="shared" si="141"/>
        <v>0.46612272727272724</v>
      </c>
    </row>
    <row r="1405" spans="1:37" x14ac:dyDescent="0.2">
      <c r="A1405" s="2">
        <v>2025</v>
      </c>
      <c r="B1405" s="2">
        <v>7</v>
      </c>
      <c r="C1405" s="2" t="s">
        <v>1629</v>
      </c>
      <c r="D1405" s="2" t="s">
        <v>109</v>
      </c>
      <c r="E1405" s="2" t="s">
        <v>39</v>
      </c>
      <c r="F1405" s="2">
        <v>502930268</v>
      </c>
      <c r="G1405" s="2" t="s">
        <v>41</v>
      </c>
      <c r="H1405" s="2" t="s">
        <v>1630</v>
      </c>
      <c r="I1405" s="2" t="s">
        <v>1631</v>
      </c>
      <c r="J1405" s="2">
        <v>917259016</v>
      </c>
      <c r="K1405" s="2" t="s">
        <v>100</v>
      </c>
      <c r="L1405" s="2" t="s">
        <v>41</v>
      </c>
      <c r="N1405" s="2" t="s">
        <v>1632</v>
      </c>
      <c r="O1405" s="2" t="s">
        <v>73</v>
      </c>
      <c r="P1405" s="2" t="s">
        <v>1633</v>
      </c>
      <c r="Q1405" s="2" t="s">
        <v>1004</v>
      </c>
      <c r="R1405" s="2">
        <v>1</v>
      </c>
      <c r="S1405" s="2">
        <v>345</v>
      </c>
      <c r="T1405" s="2">
        <v>79.350000000000009</v>
      </c>
      <c r="U1405" s="2">
        <v>424.35</v>
      </c>
      <c r="W1405" s="5">
        <f t="shared" si="143"/>
        <v>1</v>
      </c>
      <c r="Y1405" s="2" t="s">
        <v>3256</v>
      </c>
      <c r="Z1405" s="2" t="s">
        <v>76</v>
      </c>
      <c r="AA1405" s="2" t="s">
        <v>77</v>
      </c>
      <c r="AB1405" s="2" t="s">
        <v>78</v>
      </c>
      <c r="AE1405" s="2">
        <f t="shared" si="138"/>
        <v>0</v>
      </c>
      <c r="AI1405" s="2">
        <f t="shared" si="139"/>
        <v>0</v>
      </c>
      <c r="AJ1405" s="2">
        <f t="shared" si="140"/>
        <v>345</v>
      </c>
      <c r="AK1405" s="5">
        <f t="shared" si="141"/>
        <v>1</v>
      </c>
    </row>
    <row r="1406" spans="1:37" x14ac:dyDescent="0.2">
      <c r="A1406" s="2">
        <v>2025</v>
      </c>
      <c r="B1406" s="2">
        <v>7</v>
      </c>
      <c r="C1406" s="2" t="s">
        <v>1629</v>
      </c>
      <c r="D1406" s="2" t="s">
        <v>109</v>
      </c>
      <c r="E1406" s="2" t="s">
        <v>39</v>
      </c>
      <c r="F1406" s="2">
        <v>502930268</v>
      </c>
      <c r="G1406" s="2" t="s">
        <v>41</v>
      </c>
      <c r="H1406" s="2" t="s">
        <v>1630</v>
      </c>
      <c r="I1406" s="2" t="s">
        <v>1631</v>
      </c>
      <c r="J1406" s="2">
        <v>917259016</v>
      </c>
      <c r="K1406" s="2" t="s">
        <v>100</v>
      </c>
      <c r="L1406" s="2" t="s">
        <v>41</v>
      </c>
      <c r="N1406" s="2" t="s">
        <v>1632</v>
      </c>
      <c r="O1406" s="2" t="s">
        <v>94</v>
      </c>
      <c r="P1406" s="2" t="s">
        <v>95</v>
      </c>
      <c r="Q1406" s="2" t="s">
        <v>96</v>
      </c>
      <c r="R1406" s="2">
        <v>2</v>
      </c>
      <c r="S1406" s="2">
        <v>2.2799999999999998</v>
      </c>
      <c r="T1406" s="2">
        <v>0.52439999999999998</v>
      </c>
      <c r="U1406" s="2">
        <v>2.8043999999999998</v>
      </c>
      <c r="V1406" s="2">
        <v>2.2799999999999998</v>
      </c>
      <c r="W1406" s="5">
        <f t="shared" si="143"/>
        <v>0</v>
      </c>
      <c r="Y1406" s="2" t="s">
        <v>3256</v>
      </c>
      <c r="Z1406" s="2" t="s">
        <v>97</v>
      </c>
      <c r="AA1406" s="2" t="s">
        <v>77</v>
      </c>
      <c r="AB1406" s="2" t="s">
        <v>94</v>
      </c>
      <c r="AE1406" s="2">
        <f t="shared" si="138"/>
        <v>0</v>
      </c>
      <c r="AI1406" s="2">
        <f t="shared" si="139"/>
        <v>0</v>
      </c>
      <c r="AJ1406" s="2">
        <f t="shared" si="140"/>
        <v>0</v>
      </c>
      <c r="AK1406" s="5">
        <f t="shared" si="141"/>
        <v>0</v>
      </c>
    </row>
    <row r="1407" spans="1:37" x14ac:dyDescent="0.2">
      <c r="A1407" s="2">
        <v>2025</v>
      </c>
      <c r="B1407" s="2">
        <v>7</v>
      </c>
      <c r="C1407" s="2" t="s">
        <v>567</v>
      </c>
      <c r="D1407" s="2" t="s">
        <v>109</v>
      </c>
      <c r="E1407" s="2" t="s">
        <v>39</v>
      </c>
      <c r="F1407" s="2">
        <v>510917011</v>
      </c>
      <c r="G1407" s="2" t="s">
        <v>41</v>
      </c>
      <c r="H1407" s="2" t="s">
        <v>568</v>
      </c>
      <c r="I1407" s="2" t="s">
        <v>569</v>
      </c>
      <c r="K1407" s="2" t="s">
        <v>422</v>
      </c>
      <c r="L1407" s="2" t="s">
        <v>41</v>
      </c>
      <c r="N1407" s="2" t="s">
        <v>1634</v>
      </c>
      <c r="O1407" s="2" t="s">
        <v>69</v>
      </c>
      <c r="P1407" s="2" t="s">
        <v>1635</v>
      </c>
      <c r="Q1407" s="2" t="s">
        <v>1636</v>
      </c>
      <c r="R1407" s="2">
        <v>1</v>
      </c>
      <c r="S1407" s="2">
        <v>2270</v>
      </c>
      <c r="T1407" s="2">
        <v>522.1</v>
      </c>
      <c r="U1407" s="2">
        <v>2792.1</v>
      </c>
      <c r="V1407" s="2">
        <v>1483.25</v>
      </c>
      <c r="W1407" s="5">
        <f t="shared" si="143"/>
        <v>0.34658590308370046</v>
      </c>
      <c r="Y1407" s="2" t="s">
        <v>105</v>
      </c>
      <c r="Z1407" s="2" t="s">
        <v>265</v>
      </c>
      <c r="AA1407" s="2" t="s">
        <v>1104</v>
      </c>
      <c r="AB1407" s="2" t="s">
        <v>3261</v>
      </c>
      <c r="AE1407" s="2">
        <f t="shared" si="138"/>
        <v>0</v>
      </c>
      <c r="AI1407" s="2">
        <f t="shared" si="139"/>
        <v>0</v>
      </c>
      <c r="AJ1407" s="2">
        <f t="shared" si="140"/>
        <v>786.75</v>
      </c>
      <c r="AK1407" s="5">
        <f t="shared" si="141"/>
        <v>0.34658590308370046</v>
      </c>
    </row>
    <row r="1408" spans="1:37" x14ac:dyDescent="0.2">
      <c r="A1408" s="2">
        <v>2025</v>
      </c>
      <c r="B1408" s="2">
        <v>7</v>
      </c>
      <c r="C1408" s="2" t="s">
        <v>1637</v>
      </c>
      <c r="L1408" s="2" t="s">
        <v>110</v>
      </c>
      <c r="O1408" s="2" t="s">
        <v>115</v>
      </c>
      <c r="P1408" s="2" t="s">
        <v>678</v>
      </c>
      <c r="Q1408" s="2" t="s">
        <v>679</v>
      </c>
      <c r="R1408" s="2">
        <v>1</v>
      </c>
      <c r="S1408" s="2">
        <v>14.95</v>
      </c>
      <c r="T1408" s="2">
        <v>3.4384999999999999</v>
      </c>
      <c r="U1408" s="2">
        <v>18.388500000000001</v>
      </c>
      <c r="W1408" s="5">
        <f t="shared" si="143"/>
        <v>1</v>
      </c>
      <c r="AE1408" s="2">
        <f t="shared" si="138"/>
        <v>0</v>
      </c>
      <c r="AI1408" s="2">
        <f t="shared" si="139"/>
        <v>0</v>
      </c>
      <c r="AJ1408" s="2">
        <f t="shared" si="140"/>
        <v>14.95</v>
      </c>
      <c r="AK1408" s="5">
        <f t="shared" si="141"/>
        <v>1</v>
      </c>
    </row>
    <row r="1409" spans="1:37" x14ac:dyDescent="0.2">
      <c r="A1409" s="2">
        <v>2025</v>
      </c>
      <c r="B1409" s="2">
        <v>7</v>
      </c>
      <c r="C1409" s="2" t="s">
        <v>896</v>
      </c>
      <c r="D1409" s="2" t="s">
        <v>109</v>
      </c>
      <c r="E1409" s="2" t="s">
        <v>39</v>
      </c>
      <c r="F1409" s="2">
        <v>507216970</v>
      </c>
      <c r="G1409" s="2" t="s">
        <v>41</v>
      </c>
      <c r="H1409" s="2" t="s">
        <v>897</v>
      </c>
      <c r="I1409" s="2" t="s">
        <v>898</v>
      </c>
      <c r="K1409" s="2" t="s">
        <v>100</v>
      </c>
      <c r="L1409" s="2" t="s">
        <v>41</v>
      </c>
      <c r="O1409" s="2" t="s">
        <v>283</v>
      </c>
      <c r="P1409" s="2" t="s">
        <v>1525</v>
      </c>
      <c r="Q1409" s="2" t="s">
        <v>1526</v>
      </c>
      <c r="R1409" s="2">
        <v>4</v>
      </c>
      <c r="S1409" s="2">
        <v>180</v>
      </c>
      <c r="T1409" s="2">
        <v>41.4</v>
      </c>
      <c r="U1409" s="2">
        <v>221.4</v>
      </c>
      <c r="W1409" s="5">
        <f t="shared" si="143"/>
        <v>1</v>
      </c>
      <c r="Y1409" s="2" t="s">
        <v>3256</v>
      </c>
      <c r="AE1409" s="2">
        <f t="shared" si="138"/>
        <v>0</v>
      </c>
      <c r="AI1409" s="2">
        <f t="shared" si="139"/>
        <v>0</v>
      </c>
      <c r="AJ1409" s="2">
        <f t="shared" si="140"/>
        <v>180</v>
      </c>
      <c r="AK1409" s="5">
        <f t="shared" si="141"/>
        <v>1</v>
      </c>
    </row>
    <row r="1410" spans="1:37" x14ac:dyDescent="0.2">
      <c r="A1410" s="2">
        <v>2025</v>
      </c>
      <c r="B1410" s="2">
        <v>7</v>
      </c>
      <c r="C1410" s="2" t="s">
        <v>900</v>
      </c>
      <c r="O1410" s="2" t="s">
        <v>43</v>
      </c>
      <c r="P1410" s="2" t="s">
        <v>1373</v>
      </c>
      <c r="Q1410" s="2" t="s">
        <v>1374</v>
      </c>
      <c r="R1410" s="2">
        <v>2</v>
      </c>
      <c r="S1410" s="2">
        <v>51.6</v>
      </c>
      <c r="T1410" s="2">
        <v>11.868</v>
      </c>
      <c r="U1410" s="2">
        <v>63.468000000000004</v>
      </c>
      <c r="W1410" s="5">
        <f t="shared" si="143"/>
        <v>1</v>
      </c>
      <c r="Y1410" s="2" t="s">
        <v>3256</v>
      </c>
      <c r="Z1410" s="2" t="s">
        <v>46</v>
      </c>
      <c r="AA1410" s="2" t="s">
        <v>47</v>
      </c>
      <c r="AB1410" s="2" t="s">
        <v>48</v>
      </c>
      <c r="AE1410" s="2">
        <f t="shared" si="138"/>
        <v>0</v>
      </c>
      <c r="AI1410" s="2">
        <f t="shared" si="139"/>
        <v>0</v>
      </c>
      <c r="AJ1410" s="2">
        <f t="shared" si="140"/>
        <v>51.6</v>
      </c>
      <c r="AK1410" s="5">
        <f t="shared" si="141"/>
        <v>1</v>
      </c>
    </row>
    <row r="1411" spans="1:37" x14ac:dyDescent="0.2">
      <c r="A1411" s="2">
        <v>2025</v>
      </c>
      <c r="B1411" s="2">
        <v>7</v>
      </c>
      <c r="C1411" s="2" t="s">
        <v>900</v>
      </c>
      <c r="O1411" s="2" t="s">
        <v>43</v>
      </c>
      <c r="P1411" s="2" t="s">
        <v>62</v>
      </c>
      <c r="Q1411" s="2" t="s">
        <v>63</v>
      </c>
      <c r="R1411" s="2">
        <v>3000</v>
      </c>
      <c r="S1411" s="2">
        <v>315</v>
      </c>
      <c r="T1411" s="2">
        <v>72.45</v>
      </c>
      <c r="U1411" s="2">
        <v>387.45</v>
      </c>
      <c r="V1411" s="2">
        <f>0.082*R1411</f>
        <v>246</v>
      </c>
      <c r="W1411" s="5">
        <f t="shared" si="143"/>
        <v>0.21904761904761905</v>
      </c>
      <c r="Y1411" s="2" t="s">
        <v>3256</v>
      </c>
      <c r="Z1411" s="2" t="s">
        <v>46</v>
      </c>
      <c r="AA1411" s="2" t="s">
        <v>61</v>
      </c>
      <c r="AB1411" s="2" t="s">
        <v>58</v>
      </c>
      <c r="AE1411" s="2">
        <f t="shared" ref="AE1411:AE1474" si="144">AI1411</f>
        <v>0</v>
      </c>
      <c r="AF1411" s="2">
        <v>8.1999999999999993</v>
      </c>
      <c r="AG1411" s="2">
        <v>13</v>
      </c>
      <c r="AI1411" s="2">
        <f t="shared" ref="AI1411:AI1474" si="145">AH1411*S1411</f>
        <v>0</v>
      </c>
      <c r="AJ1411" s="2">
        <f t="shared" ref="AJ1411:AJ1474" si="146">S1411-V1411</f>
        <v>69</v>
      </c>
      <c r="AK1411" s="5">
        <f t="shared" si="141"/>
        <v>0.21904761904761905</v>
      </c>
    </row>
    <row r="1412" spans="1:37" x14ac:dyDescent="0.2">
      <c r="A1412" s="2">
        <v>2025</v>
      </c>
      <c r="B1412" s="2">
        <v>7</v>
      </c>
      <c r="C1412" s="2" t="s">
        <v>901</v>
      </c>
      <c r="O1412" s="2" t="s">
        <v>73</v>
      </c>
      <c r="P1412" s="2" t="s">
        <v>74</v>
      </c>
      <c r="Q1412" s="2" t="s">
        <v>75</v>
      </c>
      <c r="R1412" s="2">
        <v>1</v>
      </c>
      <c r="S1412" s="2">
        <v>220</v>
      </c>
      <c r="T1412" s="2">
        <v>50.6</v>
      </c>
      <c r="U1412" s="2">
        <v>270.60000000000002</v>
      </c>
      <c r="V1412" s="2">
        <v>117.453</v>
      </c>
      <c r="W1412" s="5">
        <f t="shared" si="143"/>
        <v>0.46612272727272724</v>
      </c>
      <c r="Y1412" s="2" t="s">
        <v>3256</v>
      </c>
      <c r="Z1412" s="2" t="s">
        <v>76</v>
      </c>
      <c r="AA1412" s="2" t="s">
        <v>77</v>
      </c>
      <c r="AB1412" s="2" t="s">
        <v>78</v>
      </c>
      <c r="AE1412" s="2">
        <f t="shared" si="144"/>
        <v>0</v>
      </c>
      <c r="AF1412" s="2">
        <v>117.453</v>
      </c>
      <c r="AG1412" s="2">
        <v>220</v>
      </c>
      <c r="AI1412" s="2">
        <f t="shared" si="145"/>
        <v>0</v>
      </c>
      <c r="AJ1412" s="2">
        <f t="shared" si="146"/>
        <v>102.547</v>
      </c>
      <c r="AK1412" s="5">
        <f t="shared" si="141"/>
        <v>0.46612272727272724</v>
      </c>
    </row>
    <row r="1413" spans="1:37" x14ac:dyDescent="0.2">
      <c r="A1413" s="2">
        <v>2025</v>
      </c>
      <c r="B1413" s="2">
        <v>7</v>
      </c>
      <c r="C1413" s="2" t="s">
        <v>901</v>
      </c>
      <c r="O1413" s="2" t="s">
        <v>94</v>
      </c>
      <c r="P1413" s="2" t="s">
        <v>95</v>
      </c>
      <c r="Q1413" s="2" t="s">
        <v>96</v>
      </c>
      <c r="R1413" s="2">
        <v>1</v>
      </c>
      <c r="S1413" s="2">
        <v>1.1399999999999999</v>
      </c>
      <c r="T1413" s="2">
        <v>0.26219999999999999</v>
      </c>
      <c r="U1413" s="2">
        <v>1.4021999999999999</v>
      </c>
      <c r="V1413" s="2">
        <v>1.1399999999999999</v>
      </c>
      <c r="W1413" s="5">
        <f t="shared" si="143"/>
        <v>0</v>
      </c>
      <c r="Y1413" s="2" t="s">
        <v>3256</v>
      </c>
      <c r="Z1413" s="2" t="s">
        <v>97</v>
      </c>
      <c r="AA1413" s="2" t="s">
        <v>77</v>
      </c>
      <c r="AB1413" s="2" t="s">
        <v>94</v>
      </c>
      <c r="AE1413" s="2">
        <f t="shared" si="144"/>
        <v>0</v>
      </c>
      <c r="AI1413" s="2">
        <f t="shared" si="145"/>
        <v>0</v>
      </c>
      <c r="AJ1413" s="2">
        <f t="shared" si="146"/>
        <v>0</v>
      </c>
      <c r="AK1413" s="5">
        <f t="shared" si="141"/>
        <v>0</v>
      </c>
    </row>
    <row r="1414" spans="1:37" x14ac:dyDescent="0.2">
      <c r="A1414" s="2">
        <v>2025</v>
      </c>
      <c r="B1414" s="2">
        <v>7</v>
      </c>
      <c r="C1414" s="2" t="s">
        <v>1638</v>
      </c>
      <c r="D1414" s="2" t="s">
        <v>109</v>
      </c>
      <c r="E1414" s="2" t="s">
        <v>481</v>
      </c>
      <c r="F1414" s="2">
        <v>504161342</v>
      </c>
      <c r="G1414" s="2" t="s">
        <v>291</v>
      </c>
      <c r="H1414" s="2" t="s">
        <v>1639</v>
      </c>
      <c r="I1414" s="2" t="s">
        <v>1640</v>
      </c>
      <c r="K1414" s="2" t="s">
        <v>294</v>
      </c>
      <c r="L1414" s="2" t="s">
        <v>291</v>
      </c>
      <c r="N1414" s="2" t="s">
        <v>1641</v>
      </c>
      <c r="O1414" s="2" t="s">
        <v>283</v>
      </c>
      <c r="P1414" s="2" t="s">
        <v>1642</v>
      </c>
      <c r="Q1414" s="2" t="s">
        <v>1643</v>
      </c>
      <c r="R1414" s="2">
        <v>1</v>
      </c>
      <c r="S1414" s="2">
        <v>369</v>
      </c>
      <c r="T1414" s="2">
        <v>84.87</v>
      </c>
      <c r="U1414" s="2">
        <v>453.87</v>
      </c>
      <c r="V1414" s="2">
        <v>209.3</v>
      </c>
      <c r="W1414" s="5">
        <f t="shared" si="143"/>
        <v>0.43279132791327912</v>
      </c>
      <c r="Y1414" s="2" t="s">
        <v>3256</v>
      </c>
      <c r="Z1414" s="2" t="s">
        <v>72</v>
      </c>
      <c r="AA1414" s="2" t="s">
        <v>1616</v>
      </c>
      <c r="AB1414" s="2" t="s">
        <v>1616</v>
      </c>
      <c r="AE1414" s="2">
        <f t="shared" si="144"/>
        <v>0</v>
      </c>
      <c r="AF1414" s="2">
        <v>209.3</v>
      </c>
      <c r="AI1414" s="2">
        <f t="shared" si="145"/>
        <v>0</v>
      </c>
      <c r="AJ1414" s="2">
        <f t="shared" si="146"/>
        <v>159.69999999999999</v>
      </c>
      <c r="AK1414" s="5">
        <f t="shared" si="141"/>
        <v>0.43279132791327912</v>
      </c>
    </row>
    <row r="1415" spans="1:37" x14ac:dyDescent="0.2">
      <c r="A1415" s="2">
        <v>2025</v>
      </c>
      <c r="B1415" s="2">
        <v>7</v>
      </c>
      <c r="C1415" s="2" t="s">
        <v>1638</v>
      </c>
      <c r="D1415" s="2" t="s">
        <v>109</v>
      </c>
      <c r="E1415" s="2" t="s">
        <v>481</v>
      </c>
      <c r="F1415" s="2">
        <v>504161342</v>
      </c>
      <c r="G1415" s="2" t="s">
        <v>291</v>
      </c>
      <c r="H1415" s="2" t="s">
        <v>1639</v>
      </c>
      <c r="I1415" s="2" t="s">
        <v>1640</v>
      </c>
      <c r="K1415" s="2" t="s">
        <v>294</v>
      </c>
      <c r="L1415" s="2" t="s">
        <v>1181</v>
      </c>
      <c r="N1415" s="2" t="s">
        <v>1644</v>
      </c>
      <c r="O1415" s="2" t="s">
        <v>283</v>
      </c>
      <c r="P1415" s="2" t="s">
        <v>1645</v>
      </c>
      <c r="Q1415" s="2" t="s">
        <v>1646</v>
      </c>
      <c r="R1415" s="2">
        <v>1</v>
      </c>
      <c r="S1415" s="2">
        <v>249</v>
      </c>
      <c r="T1415" s="2">
        <v>57.27</v>
      </c>
      <c r="U1415" s="2">
        <v>306.27</v>
      </c>
      <c r="V1415" s="2">
        <v>136.94999999999999</v>
      </c>
      <c r="W1415" s="5">
        <f t="shared" si="143"/>
        <v>0.45000000000000007</v>
      </c>
      <c r="Y1415" s="2" t="s">
        <v>3256</v>
      </c>
      <c r="Z1415" s="2" t="s">
        <v>72</v>
      </c>
      <c r="AA1415" s="2" t="s">
        <v>120</v>
      </c>
      <c r="AB1415" s="2" t="s">
        <v>120</v>
      </c>
      <c r="AE1415" s="2">
        <f t="shared" si="144"/>
        <v>0</v>
      </c>
      <c r="AF1415" s="2">
        <v>136.94999999999999</v>
      </c>
      <c r="AI1415" s="2">
        <f t="shared" si="145"/>
        <v>0</v>
      </c>
      <c r="AJ1415" s="2">
        <f t="shared" si="146"/>
        <v>112.05000000000001</v>
      </c>
      <c r="AK1415" s="5">
        <f t="shared" si="141"/>
        <v>0.45000000000000007</v>
      </c>
    </row>
    <row r="1416" spans="1:37" x14ac:dyDescent="0.2">
      <c r="A1416" s="2">
        <v>2025</v>
      </c>
      <c r="B1416" s="2">
        <v>7</v>
      </c>
      <c r="C1416" s="2" t="s">
        <v>1638</v>
      </c>
      <c r="D1416" s="2" t="s">
        <v>109</v>
      </c>
      <c r="E1416" s="2" t="s">
        <v>481</v>
      </c>
      <c r="F1416" s="2">
        <v>504161342</v>
      </c>
      <c r="G1416" s="2" t="s">
        <v>291</v>
      </c>
      <c r="H1416" s="2" t="s">
        <v>1639</v>
      </c>
      <c r="I1416" s="2" t="s">
        <v>1640</v>
      </c>
      <c r="K1416" s="2" t="s">
        <v>294</v>
      </c>
      <c r="L1416" s="2" t="s">
        <v>1181</v>
      </c>
      <c r="N1416" s="2" t="s">
        <v>1644</v>
      </c>
      <c r="O1416" s="2" t="s">
        <v>283</v>
      </c>
      <c r="P1416" s="2" t="s">
        <v>1647</v>
      </c>
      <c r="Q1416" s="2" t="s">
        <v>1648</v>
      </c>
      <c r="R1416" s="2">
        <v>2</v>
      </c>
      <c r="S1416" s="2">
        <v>198</v>
      </c>
      <c r="T1416" s="2">
        <v>45.54</v>
      </c>
      <c r="U1416" s="2">
        <v>243.54</v>
      </c>
      <c r="V1416" s="2">
        <f>64.35*R1416</f>
        <v>128.69999999999999</v>
      </c>
      <c r="W1416" s="5">
        <f t="shared" si="143"/>
        <v>0.35000000000000003</v>
      </c>
      <c r="Y1416" s="2" t="s">
        <v>3256</v>
      </c>
      <c r="Z1416" s="2" t="s">
        <v>72</v>
      </c>
      <c r="AA1416" s="2" t="s">
        <v>120</v>
      </c>
      <c r="AB1416" s="2" t="s">
        <v>120</v>
      </c>
      <c r="AE1416" s="2">
        <f t="shared" si="144"/>
        <v>0</v>
      </c>
      <c r="AF1416" s="2">
        <v>64.349999999999994</v>
      </c>
      <c r="AI1416" s="2">
        <f t="shared" si="145"/>
        <v>0</v>
      </c>
      <c r="AJ1416" s="2">
        <f t="shared" si="146"/>
        <v>69.300000000000011</v>
      </c>
      <c r="AK1416" s="5">
        <f t="shared" si="141"/>
        <v>0.35000000000000003</v>
      </c>
    </row>
    <row r="1417" spans="1:37" x14ac:dyDescent="0.2">
      <c r="A1417" s="2">
        <v>2025</v>
      </c>
      <c r="B1417" s="2">
        <v>7</v>
      </c>
      <c r="C1417" s="2" t="s">
        <v>1285</v>
      </c>
      <c r="L1417" s="2" t="s">
        <v>40</v>
      </c>
      <c r="O1417" s="2" t="s">
        <v>188</v>
      </c>
      <c r="P1417" s="2" t="s">
        <v>189</v>
      </c>
      <c r="Q1417" s="2" t="s">
        <v>190</v>
      </c>
      <c r="R1417" s="2">
        <v>1</v>
      </c>
      <c r="S1417" s="2">
        <v>75</v>
      </c>
      <c r="T1417" s="2">
        <v>17.25</v>
      </c>
      <c r="U1417" s="2">
        <v>92.25</v>
      </c>
      <c r="W1417" s="5">
        <f t="shared" si="143"/>
        <v>1</v>
      </c>
      <c r="Y1417" s="2" t="s">
        <v>118</v>
      </c>
      <c r="Z1417" s="2" t="s">
        <v>191</v>
      </c>
      <c r="AE1417" s="2">
        <f t="shared" si="144"/>
        <v>0</v>
      </c>
      <c r="AI1417" s="2">
        <f t="shared" si="145"/>
        <v>0</v>
      </c>
      <c r="AJ1417" s="2">
        <f t="shared" si="146"/>
        <v>75</v>
      </c>
      <c r="AK1417" s="5">
        <f t="shared" si="141"/>
        <v>1</v>
      </c>
    </row>
    <row r="1418" spans="1:37" x14ac:dyDescent="0.2">
      <c r="A1418" s="2">
        <v>2025</v>
      </c>
      <c r="B1418" s="2">
        <v>7</v>
      </c>
      <c r="C1418" s="2" t="s">
        <v>1285</v>
      </c>
      <c r="L1418" s="2" t="s">
        <v>40</v>
      </c>
      <c r="O1418" s="2" t="s">
        <v>188</v>
      </c>
      <c r="P1418" s="2" t="s">
        <v>192</v>
      </c>
      <c r="Q1418" s="2" t="s">
        <v>191</v>
      </c>
      <c r="R1418" s="2">
        <v>2</v>
      </c>
      <c r="S1418" s="2">
        <v>100</v>
      </c>
      <c r="T1418" s="2">
        <v>23</v>
      </c>
      <c r="U1418" s="2">
        <v>123</v>
      </c>
      <c r="V1418" s="2">
        <f>S1418*50%</f>
        <v>50</v>
      </c>
      <c r="W1418" s="5">
        <f t="shared" si="143"/>
        <v>0.5</v>
      </c>
      <c r="Y1418" s="2" t="s">
        <v>118</v>
      </c>
      <c r="Z1418" s="2" t="s">
        <v>191</v>
      </c>
      <c r="AE1418" s="2">
        <f t="shared" si="144"/>
        <v>0</v>
      </c>
      <c r="AI1418" s="2">
        <f t="shared" si="145"/>
        <v>0</v>
      </c>
      <c r="AJ1418" s="2">
        <f t="shared" si="146"/>
        <v>50</v>
      </c>
      <c r="AK1418" s="5">
        <f t="shared" si="141"/>
        <v>0.5</v>
      </c>
    </row>
    <row r="1419" spans="1:37" x14ac:dyDescent="0.2">
      <c r="A1419" s="2">
        <v>2025</v>
      </c>
      <c r="B1419" s="2">
        <v>7</v>
      </c>
      <c r="C1419" s="2" t="s">
        <v>1101</v>
      </c>
      <c r="O1419" s="2" t="s">
        <v>43</v>
      </c>
      <c r="P1419" s="2" t="s">
        <v>49</v>
      </c>
      <c r="Q1419" s="2" t="s">
        <v>50</v>
      </c>
      <c r="R1419" s="2">
        <v>10</v>
      </c>
      <c r="S1419" s="2">
        <v>110</v>
      </c>
      <c r="T1419" s="2">
        <v>25.3</v>
      </c>
      <c r="U1419" s="2">
        <v>135.30000000000001</v>
      </c>
      <c r="V1419" s="2">
        <f>6.6267*R1419</f>
        <v>66.266999999999996</v>
      </c>
      <c r="W1419" s="5">
        <f t="shared" si="143"/>
        <v>0.3975727272727273</v>
      </c>
      <c r="Y1419" s="2" t="s">
        <v>3256</v>
      </c>
      <c r="Z1419" s="2" t="s">
        <v>46</v>
      </c>
      <c r="AA1419" s="2" t="s">
        <v>47</v>
      </c>
      <c r="AB1419" s="2" t="s">
        <v>48</v>
      </c>
      <c r="AE1419" s="2">
        <f t="shared" si="144"/>
        <v>0</v>
      </c>
      <c r="AF1419" s="2">
        <v>6.6266999999999996</v>
      </c>
      <c r="AG1419" s="2">
        <v>12</v>
      </c>
      <c r="AI1419" s="2">
        <f t="shared" si="145"/>
        <v>0</v>
      </c>
      <c r="AJ1419" s="2">
        <f t="shared" si="146"/>
        <v>43.733000000000004</v>
      </c>
      <c r="AK1419" s="5">
        <f t="shared" si="141"/>
        <v>0.3975727272727273</v>
      </c>
    </row>
    <row r="1420" spans="1:37" x14ac:dyDescent="0.2">
      <c r="A1420" s="2">
        <v>2025</v>
      </c>
      <c r="B1420" s="2">
        <v>7</v>
      </c>
      <c r="C1420" s="2" t="s">
        <v>1300</v>
      </c>
      <c r="L1420" s="2" t="s">
        <v>40</v>
      </c>
      <c r="O1420" s="2" t="s">
        <v>188</v>
      </c>
      <c r="P1420" s="2" t="s">
        <v>318</v>
      </c>
      <c r="Q1420" s="2" t="s">
        <v>319</v>
      </c>
      <c r="R1420" s="2">
        <v>1</v>
      </c>
      <c r="S1420" s="2">
        <v>461</v>
      </c>
      <c r="T1420" s="2">
        <v>106.03</v>
      </c>
      <c r="U1420" s="2">
        <v>567.03</v>
      </c>
      <c r="W1420" s="5">
        <f t="shared" si="143"/>
        <v>1</v>
      </c>
      <c r="Y1420" s="2" t="s">
        <v>118</v>
      </c>
      <c r="Z1420" s="2" t="s">
        <v>318</v>
      </c>
      <c r="AE1420" s="2">
        <f t="shared" si="144"/>
        <v>0</v>
      </c>
      <c r="AI1420" s="2">
        <f t="shared" si="145"/>
        <v>0</v>
      </c>
      <c r="AJ1420" s="2">
        <f t="shared" si="146"/>
        <v>461</v>
      </c>
      <c r="AK1420" s="5">
        <f t="shared" si="141"/>
        <v>1</v>
      </c>
    </row>
    <row r="1421" spans="1:37" x14ac:dyDescent="0.2">
      <c r="A1421" s="2">
        <v>2025</v>
      </c>
      <c r="B1421" s="2">
        <v>7</v>
      </c>
      <c r="C1421" s="2" t="s">
        <v>579</v>
      </c>
      <c r="D1421" s="2" t="s">
        <v>38</v>
      </c>
      <c r="E1421" s="2" t="s">
        <v>39</v>
      </c>
      <c r="F1421" s="2">
        <v>504811029</v>
      </c>
      <c r="G1421" s="2" t="s">
        <v>41</v>
      </c>
      <c r="H1421" s="2" t="s">
        <v>178</v>
      </c>
      <c r="I1421" s="2" t="s">
        <v>580</v>
      </c>
      <c r="K1421" s="2" t="s">
        <v>178</v>
      </c>
      <c r="L1421" s="2" t="s">
        <v>41</v>
      </c>
      <c r="O1421" s="2" t="s">
        <v>283</v>
      </c>
      <c r="P1421" s="2" t="s">
        <v>1649</v>
      </c>
      <c r="Q1421" s="2" t="s">
        <v>1650</v>
      </c>
      <c r="R1421" s="2">
        <v>1</v>
      </c>
      <c r="S1421" s="2">
        <v>16.899999999999999</v>
      </c>
      <c r="T1421" s="2">
        <v>3.887</v>
      </c>
      <c r="U1421" s="2">
        <v>20.786999999999999</v>
      </c>
      <c r="W1421" s="5">
        <f t="shared" si="143"/>
        <v>1</v>
      </c>
      <c r="Y1421" s="2" t="s">
        <v>3256</v>
      </c>
      <c r="AE1421" s="2">
        <f t="shared" si="144"/>
        <v>0</v>
      </c>
      <c r="AI1421" s="2">
        <f t="shared" si="145"/>
        <v>0</v>
      </c>
      <c r="AJ1421" s="2">
        <f t="shared" si="146"/>
        <v>16.899999999999999</v>
      </c>
      <c r="AK1421" s="5">
        <f t="shared" si="141"/>
        <v>1</v>
      </c>
    </row>
    <row r="1422" spans="1:37" x14ac:dyDescent="0.2">
      <c r="A1422" s="2">
        <v>2025</v>
      </c>
      <c r="B1422" s="2">
        <v>7</v>
      </c>
      <c r="C1422" s="2" t="s">
        <v>579</v>
      </c>
      <c r="D1422" s="2" t="s">
        <v>38</v>
      </c>
      <c r="E1422" s="2" t="s">
        <v>39</v>
      </c>
      <c r="F1422" s="2">
        <v>504811029</v>
      </c>
      <c r="G1422" s="2" t="s">
        <v>41</v>
      </c>
      <c r="H1422" s="2" t="s">
        <v>178</v>
      </c>
      <c r="I1422" s="2" t="s">
        <v>580</v>
      </c>
      <c r="K1422" s="2" t="s">
        <v>178</v>
      </c>
      <c r="L1422" s="2" t="s">
        <v>41</v>
      </c>
      <c r="O1422" s="2" t="s">
        <v>43</v>
      </c>
      <c r="P1422" s="2" t="s">
        <v>55</v>
      </c>
      <c r="Q1422" s="2" t="s">
        <v>56</v>
      </c>
      <c r="R1422" s="2">
        <v>10</v>
      </c>
      <c r="S1422" s="2">
        <v>160</v>
      </c>
      <c r="T1422" s="2">
        <v>36.799999999999997</v>
      </c>
      <c r="U1422" s="2">
        <v>196.8</v>
      </c>
      <c r="V1422" s="2">
        <f>10.6*R1422</f>
        <v>106</v>
      </c>
      <c r="W1422" s="5">
        <f t="shared" si="143"/>
        <v>0.33750000000000002</v>
      </c>
      <c r="Y1422" s="2" t="s">
        <v>3256</v>
      </c>
      <c r="Z1422" s="2" t="s">
        <v>46</v>
      </c>
      <c r="AA1422" s="2" t="s">
        <v>57</v>
      </c>
      <c r="AB1422" s="2" t="s">
        <v>58</v>
      </c>
      <c r="AE1422" s="2">
        <f t="shared" si="144"/>
        <v>0</v>
      </c>
      <c r="AF1422" s="2">
        <v>10.6</v>
      </c>
      <c r="AG1422" s="2">
        <v>18</v>
      </c>
      <c r="AI1422" s="2">
        <f t="shared" si="145"/>
        <v>0</v>
      </c>
      <c r="AJ1422" s="2">
        <f t="shared" si="146"/>
        <v>54</v>
      </c>
      <c r="AK1422" s="5">
        <f t="shared" si="141"/>
        <v>0.33750000000000002</v>
      </c>
    </row>
    <row r="1423" spans="1:37" x14ac:dyDescent="0.2">
      <c r="A1423" s="2">
        <v>2025</v>
      </c>
      <c r="B1423" s="2">
        <v>7</v>
      </c>
      <c r="C1423" s="2" t="s">
        <v>579</v>
      </c>
      <c r="D1423" s="2" t="s">
        <v>38</v>
      </c>
      <c r="E1423" s="2" t="s">
        <v>39</v>
      </c>
      <c r="F1423" s="2">
        <v>504811029</v>
      </c>
      <c r="G1423" s="2" t="s">
        <v>41</v>
      </c>
      <c r="H1423" s="2" t="s">
        <v>178</v>
      </c>
      <c r="I1423" s="2" t="s">
        <v>580</v>
      </c>
      <c r="K1423" s="2" t="s">
        <v>178</v>
      </c>
      <c r="L1423" s="2" t="s">
        <v>41</v>
      </c>
      <c r="O1423" s="2" t="s">
        <v>43</v>
      </c>
      <c r="P1423" s="2" t="s">
        <v>62</v>
      </c>
      <c r="Q1423" s="2" t="s">
        <v>63</v>
      </c>
      <c r="R1423" s="2">
        <v>1000</v>
      </c>
      <c r="S1423" s="2">
        <v>105</v>
      </c>
      <c r="T1423" s="2">
        <v>24.15</v>
      </c>
      <c r="U1423" s="2">
        <v>129.15</v>
      </c>
      <c r="V1423" s="2">
        <f>0.082*R1423</f>
        <v>82</v>
      </c>
      <c r="W1423" s="5">
        <f t="shared" si="143"/>
        <v>0.21904761904761905</v>
      </c>
      <c r="Y1423" s="2" t="s">
        <v>3256</v>
      </c>
      <c r="Z1423" s="2" t="s">
        <v>46</v>
      </c>
      <c r="AA1423" s="2" t="s">
        <v>61</v>
      </c>
      <c r="AB1423" s="2" t="s">
        <v>58</v>
      </c>
      <c r="AE1423" s="2">
        <f t="shared" si="144"/>
        <v>0</v>
      </c>
      <c r="AF1423" s="2">
        <v>8.1999999999999993</v>
      </c>
      <c r="AG1423" s="2">
        <v>13</v>
      </c>
      <c r="AI1423" s="2">
        <f t="shared" si="145"/>
        <v>0</v>
      </c>
      <c r="AJ1423" s="2">
        <f t="shared" si="146"/>
        <v>23</v>
      </c>
      <c r="AK1423" s="5">
        <f t="shared" si="141"/>
        <v>0.21904761904761905</v>
      </c>
    </row>
    <row r="1424" spans="1:37" x14ac:dyDescent="0.2">
      <c r="A1424" s="2">
        <v>2025</v>
      </c>
      <c r="B1424" s="2">
        <v>7</v>
      </c>
      <c r="C1424" s="2" t="s">
        <v>579</v>
      </c>
      <c r="D1424" s="2" t="s">
        <v>38</v>
      </c>
      <c r="E1424" s="2" t="s">
        <v>39</v>
      </c>
      <c r="F1424" s="2">
        <v>504811029</v>
      </c>
      <c r="G1424" s="2" t="s">
        <v>41</v>
      </c>
      <c r="H1424" s="2" t="s">
        <v>178</v>
      </c>
      <c r="I1424" s="2" t="s">
        <v>580</v>
      </c>
      <c r="K1424" s="2" t="s">
        <v>178</v>
      </c>
      <c r="L1424" s="2" t="s">
        <v>41</v>
      </c>
      <c r="O1424" s="2" t="s">
        <v>43</v>
      </c>
      <c r="P1424" s="2" t="s">
        <v>424</v>
      </c>
      <c r="Q1424" s="2" t="s">
        <v>425</v>
      </c>
      <c r="R1424" s="2">
        <v>20</v>
      </c>
      <c r="S1424" s="2">
        <v>132</v>
      </c>
      <c r="T1424" s="2">
        <v>30.36</v>
      </c>
      <c r="U1424" s="2">
        <v>162.36000000000001</v>
      </c>
      <c r="V1424" s="2">
        <f>3.7556*R1424</f>
        <v>75.111999999999995</v>
      </c>
      <c r="W1424" s="5">
        <f t="shared" si="143"/>
        <v>0.430969696969697</v>
      </c>
      <c r="Y1424" s="2" t="s">
        <v>3256</v>
      </c>
      <c r="Z1424" s="2" t="s">
        <v>46</v>
      </c>
      <c r="AA1424" s="2" t="s">
        <v>61</v>
      </c>
      <c r="AB1424" s="2" t="s">
        <v>58</v>
      </c>
      <c r="AE1424" s="2">
        <f t="shared" si="144"/>
        <v>0</v>
      </c>
      <c r="AF1424" s="2">
        <v>3.7555999999999998</v>
      </c>
      <c r="AG1424" s="2">
        <v>7.2</v>
      </c>
      <c r="AI1424" s="2">
        <f t="shared" si="145"/>
        <v>0</v>
      </c>
      <c r="AJ1424" s="2">
        <f t="shared" si="146"/>
        <v>56.888000000000005</v>
      </c>
      <c r="AK1424" s="5">
        <f t="shared" ref="AK1424:AK1487" si="147">(S1424-V1424)/S1424</f>
        <v>0.430969696969697</v>
      </c>
    </row>
    <row r="1425" spans="1:37" x14ac:dyDescent="0.2">
      <c r="A1425" s="2">
        <v>2025</v>
      </c>
      <c r="B1425" s="2">
        <v>7</v>
      </c>
      <c r="C1425" s="2" t="s">
        <v>579</v>
      </c>
      <c r="D1425" s="2" t="s">
        <v>38</v>
      </c>
      <c r="E1425" s="2" t="s">
        <v>39</v>
      </c>
      <c r="F1425" s="2">
        <v>504811029</v>
      </c>
      <c r="G1425" s="2" t="s">
        <v>41</v>
      </c>
      <c r="H1425" s="2" t="s">
        <v>178</v>
      </c>
      <c r="I1425" s="2" t="s">
        <v>580</v>
      </c>
      <c r="K1425" s="2" t="s">
        <v>178</v>
      </c>
      <c r="L1425" s="2" t="s">
        <v>41</v>
      </c>
      <c r="O1425" s="2" t="s">
        <v>43</v>
      </c>
      <c r="P1425" s="2" t="s">
        <v>584</v>
      </c>
      <c r="Q1425" s="2" t="s">
        <v>585</v>
      </c>
      <c r="R1425" s="2">
        <v>20</v>
      </c>
      <c r="S1425" s="2">
        <v>48</v>
      </c>
      <c r="T1425" s="2">
        <v>11.04</v>
      </c>
      <c r="U1425" s="2">
        <v>59.04</v>
      </c>
      <c r="V1425" s="2">
        <f>1.4114*R1425</f>
        <v>28.228000000000002</v>
      </c>
      <c r="W1425" s="5">
        <f t="shared" si="143"/>
        <v>0.41191666666666665</v>
      </c>
      <c r="Y1425" s="2" t="s">
        <v>3256</v>
      </c>
      <c r="Z1425" s="2" t="s">
        <v>46</v>
      </c>
      <c r="AA1425" s="2" t="s">
        <v>61</v>
      </c>
      <c r="AB1425" s="2" t="s">
        <v>58</v>
      </c>
      <c r="AE1425" s="2">
        <f t="shared" si="144"/>
        <v>0</v>
      </c>
      <c r="AF1425" s="2">
        <v>1.4114</v>
      </c>
      <c r="AG1425" s="2">
        <v>3</v>
      </c>
      <c r="AI1425" s="2">
        <f t="shared" si="145"/>
        <v>0</v>
      </c>
      <c r="AJ1425" s="2">
        <f t="shared" si="146"/>
        <v>19.771999999999998</v>
      </c>
      <c r="AK1425" s="5">
        <f t="shared" si="147"/>
        <v>0.41191666666666665</v>
      </c>
    </row>
    <row r="1426" spans="1:37" x14ac:dyDescent="0.2">
      <c r="A1426" s="2">
        <v>2025</v>
      </c>
      <c r="B1426" s="2">
        <v>7</v>
      </c>
      <c r="C1426" s="2" t="s">
        <v>579</v>
      </c>
      <c r="D1426" s="2" t="s">
        <v>38</v>
      </c>
      <c r="E1426" s="2" t="s">
        <v>39</v>
      </c>
      <c r="F1426" s="2">
        <v>504811029</v>
      </c>
      <c r="G1426" s="2" t="s">
        <v>41</v>
      </c>
      <c r="H1426" s="2" t="s">
        <v>178</v>
      </c>
      <c r="I1426" s="2" t="s">
        <v>580</v>
      </c>
      <c r="K1426" s="2" t="s">
        <v>178</v>
      </c>
      <c r="L1426" s="2" t="s">
        <v>41</v>
      </c>
      <c r="O1426" s="2" t="s">
        <v>43</v>
      </c>
      <c r="P1426" s="2" t="s">
        <v>66</v>
      </c>
      <c r="Q1426" s="2" t="s">
        <v>67</v>
      </c>
      <c r="R1426" s="2">
        <v>2</v>
      </c>
      <c r="S1426" s="2">
        <v>43</v>
      </c>
      <c r="T1426" s="2">
        <v>9.89</v>
      </c>
      <c r="U1426" s="2">
        <v>52.89</v>
      </c>
      <c r="V1426" s="2">
        <f>15.0203*R1426</f>
        <v>30.040600000000001</v>
      </c>
      <c r="W1426" s="5">
        <f t="shared" si="143"/>
        <v>0.30138139534883718</v>
      </c>
      <c r="Y1426" s="2" t="s">
        <v>3256</v>
      </c>
      <c r="Z1426" s="2" t="s">
        <v>46</v>
      </c>
      <c r="AA1426" s="2" t="s">
        <v>68</v>
      </c>
      <c r="AB1426" s="2" t="s">
        <v>58</v>
      </c>
      <c r="AE1426" s="2">
        <f t="shared" si="144"/>
        <v>0</v>
      </c>
      <c r="AF1426" s="2">
        <v>15.020300000000001</v>
      </c>
      <c r="AG1426" s="2">
        <v>27.6</v>
      </c>
      <c r="AI1426" s="2">
        <f t="shared" si="145"/>
        <v>0</v>
      </c>
      <c r="AJ1426" s="2">
        <f t="shared" si="146"/>
        <v>12.959399999999999</v>
      </c>
      <c r="AK1426" s="5">
        <f t="shared" si="147"/>
        <v>0.30138139534883718</v>
      </c>
    </row>
    <row r="1427" spans="1:37" x14ac:dyDescent="0.2">
      <c r="A1427" s="2">
        <v>2025</v>
      </c>
      <c r="B1427" s="2">
        <v>7</v>
      </c>
      <c r="C1427" s="2" t="s">
        <v>586</v>
      </c>
      <c r="O1427" s="2" t="s">
        <v>43</v>
      </c>
      <c r="P1427" s="2" t="s">
        <v>59</v>
      </c>
      <c r="Q1427" s="2" t="s">
        <v>60</v>
      </c>
      <c r="R1427" s="2">
        <v>100</v>
      </c>
      <c r="S1427" s="2">
        <v>14</v>
      </c>
      <c r="T1427" s="2">
        <v>3.22</v>
      </c>
      <c r="U1427" s="2">
        <v>17.22</v>
      </c>
      <c r="V1427" s="2">
        <f>0.0914*R1427</f>
        <v>9.1399999999999988</v>
      </c>
      <c r="W1427" s="5">
        <f t="shared" si="143"/>
        <v>0.34714285714285725</v>
      </c>
      <c r="Y1427" s="2" t="s">
        <v>3256</v>
      </c>
      <c r="Z1427" s="2" t="s">
        <v>46</v>
      </c>
      <c r="AA1427" s="2" t="s">
        <v>61</v>
      </c>
      <c r="AB1427" s="2" t="s">
        <v>58</v>
      </c>
      <c r="AE1427" s="2">
        <f t="shared" si="144"/>
        <v>0</v>
      </c>
      <c r="AF1427" s="2">
        <v>9.14</v>
      </c>
      <c r="AG1427" s="2">
        <v>16</v>
      </c>
      <c r="AI1427" s="2">
        <f t="shared" si="145"/>
        <v>0</v>
      </c>
      <c r="AJ1427" s="2">
        <f t="shared" si="146"/>
        <v>4.8600000000000012</v>
      </c>
      <c r="AK1427" s="5">
        <f t="shared" si="147"/>
        <v>0.34714285714285725</v>
      </c>
    </row>
    <row r="1428" spans="1:37" x14ac:dyDescent="0.2">
      <c r="A1428" s="2">
        <v>2025</v>
      </c>
      <c r="B1428" s="2">
        <v>7</v>
      </c>
      <c r="C1428" s="2" t="s">
        <v>611</v>
      </c>
      <c r="D1428" s="2" t="s">
        <v>109</v>
      </c>
      <c r="E1428" s="2" t="s">
        <v>39</v>
      </c>
      <c r="F1428" s="2">
        <v>504822187</v>
      </c>
      <c r="G1428" s="2" t="s">
        <v>110</v>
      </c>
      <c r="H1428" s="2" t="s">
        <v>612</v>
      </c>
      <c r="I1428" s="2" t="s">
        <v>613</v>
      </c>
      <c r="J1428" s="2">
        <v>966216853</v>
      </c>
      <c r="K1428" s="2" t="s">
        <v>465</v>
      </c>
      <c r="O1428" s="2" t="s">
        <v>115</v>
      </c>
      <c r="P1428" s="2" t="s">
        <v>543</v>
      </c>
      <c r="Q1428" s="2" t="s">
        <v>544</v>
      </c>
      <c r="R1428" s="2">
        <v>1</v>
      </c>
      <c r="S1428" s="2">
        <v>42.7</v>
      </c>
      <c r="T1428" s="2">
        <v>9.8210000000000015</v>
      </c>
      <c r="U1428" s="2">
        <v>52.521000000000001</v>
      </c>
      <c r="W1428" s="5">
        <f t="shared" si="143"/>
        <v>1</v>
      </c>
      <c r="AE1428" s="2">
        <f t="shared" si="144"/>
        <v>0</v>
      </c>
      <c r="AI1428" s="2">
        <f t="shared" si="145"/>
        <v>0</v>
      </c>
      <c r="AJ1428" s="2">
        <f t="shared" si="146"/>
        <v>42.7</v>
      </c>
      <c r="AK1428" s="5">
        <f t="shared" si="147"/>
        <v>1</v>
      </c>
    </row>
    <row r="1429" spans="1:37" x14ac:dyDescent="0.2">
      <c r="A1429" s="2">
        <v>2025</v>
      </c>
      <c r="B1429" s="2">
        <v>7</v>
      </c>
      <c r="C1429" s="2" t="s">
        <v>611</v>
      </c>
      <c r="D1429" s="2" t="s">
        <v>109</v>
      </c>
      <c r="E1429" s="2" t="s">
        <v>39</v>
      </c>
      <c r="F1429" s="2">
        <v>504822187</v>
      </c>
      <c r="G1429" s="2" t="s">
        <v>110</v>
      </c>
      <c r="H1429" s="2" t="s">
        <v>612</v>
      </c>
      <c r="I1429" s="2" t="s">
        <v>613</v>
      </c>
      <c r="J1429" s="2">
        <v>966216853</v>
      </c>
      <c r="K1429" s="2" t="s">
        <v>465</v>
      </c>
      <c r="O1429" s="2" t="s">
        <v>43</v>
      </c>
      <c r="P1429" s="2" t="s">
        <v>213</v>
      </c>
      <c r="Q1429" s="2" t="s">
        <v>214</v>
      </c>
      <c r="R1429" s="2">
        <v>1</v>
      </c>
      <c r="S1429" s="2">
        <v>44.4</v>
      </c>
      <c r="T1429" s="2">
        <v>10.212</v>
      </c>
      <c r="U1429" s="2">
        <v>54.611999999999988</v>
      </c>
      <c r="W1429" s="5">
        <f t="shared" si="143"/>
        <v>1</v>
      </c>
      <c r="Y1429" s="2" t="s">
        <v>3256</v>
      </c>
      <c r="Z1429" s="2" t="s">
        <v>46</v>
      </c>
      <c r="AA1429" s="2" t="s">
        <v>47</v>
      </c>
      <c r="AB1429" s="2" t="s">
        <v>48</v>
      </c>
      <c r="AE1429" s="2">
        <f t="shared" si="144"/>
        <v>0</v>
      </c>
      <c r="AI1429" s="2">
        <f t="shared" si="145"/>
        <v>0</v>
      </c>
      <c r="AJ1429" s="2">
        <f t="shared" si="146"/>
        <v>44.4</v>
      </c>
      <c r="AK1429" s="5">
        <f t="shared" si="147"/>
        <v>1</v>
      </c>
    </row>
    <row r="1430" spans="1:37" x14ac:dyDescent="0.2">
      <c r="A1430" s="2">
        <v>2025</v>
      </c>
      <c r="B1430" s="2">
        <v>7</v>
      </c>
      <c r="C1430" s="2" t="s">
        <v>611</v>
      </c>
      <c r="D1430" s="2" t="s">
        <v>109</v>
      </c>
      <c r="E1430" s="2" t="s">
        <v>39</v>
      </c>
      <c r="F1430" s="2">
        <v>504822187</v>
      </c>
      <c r="G1430" s="2" t="s">
        <v>110</v>
      </c>
      <c r="H1430" s="2" t="s">
        <v>612</v>
      </c>
      <c r="I1430" s="2" t="s">
        <v>613</v>
      </c>
      <c r="J1430" s="2">
        <v>966216853</v>
      </c>
      <c r="K1430" s="2" t="s">
        <v>465</v>
      </c>
      <c r="O1430" s="2" t="s">
        <v>43</v>
      </c>
      <c r="P1430" s="2" t="s">
        <v>161</v>
      </c>
      <c r="Q1430" s="2" t="s">
        <v>162</v>
      </c>
      <c r="R1430" s="2">
        <v>2</v>
      </c>
      <c r="S1430" s="2">
        <v>15.6</v>
      </c>
      <c r="T1430" s="2">
        <v>3.5880000000000001</v>
      </c>
      <c r="U1430" s="2">
        <v>19.187999999999999</v>
      </c>
      <c r="V1430" s="2">
        <f>3.7358*R1430</f>
        <v>7.4715999999999996</v>
      </c>
      <c r="W1430" s="5">
        <f t="shared" si="143"/>
        <v>0.52105128205128204</v>
      </c>
      <c r="Y1430" s="2" t="s">
        <v>3256</v>
      </c>
      <c r="Z1430" s="2" t="s">
        <v>46</v>
      </c>
      <c r="AA1430" s="2" t="s">
        <v>47</v>
      </c>
      <c r="AB1430" s="2" t="s">
        <v>48</v>
      </c>
      <c r="AE1430" s="2">
        <f t="shared" si="144"/>
        <v>0</v>
      </c>
      <c r="AF1430" s="2">
        <v>3.7357999999999998</v>
      </c>
      <c r="AG1430" s="2">
        <v>9</v>
      </c>
      <c r="AI1430" s="2">
        <f t="shared" si="145"/>
        <v>0</v>
      </c>
      <c r="AJ1430" s="2">
        <f t="shared" si="146"/>
        <v>8.1283999999999992</v>
      </c>
      <c r="AK1430" s="5">
        <f t="shared" si="147"/>
        <v>0.52105128205128204</v>
      </c>
    </row>
    <row r="1431" spans="1:37" x14ac:dyDescent="0.2">
      <c r="A1431" s="2">
        <v>2025</v>
      </c>
      <c r="B1431" s="2">
        <v>7</v>
      </c>
      <c r="C1431" s="2" t="s">
        <v>611</v>
      </c>
      <c r="D1431" s="2" t="s">
        <v>109</v>
      </c>
      <c r="E1431" s="2" t="s">
        <v>39</v>
      </c>
      <c r="F1431" s="2">
        <v>504822187</v>
      </c>
      <c r="G1431" s="2" t="s">
        <v>110</v>
      </c>
      <c r="H1431" s="2" t="s">
        <v>612</v>
      </c>
      <c r="I1431" s="2" t="s">
        <v>613</v>
      </c>
      <c r="J1431" s="2">
        <v>966216853</v>
      </c>
      <c r="K1431" s="2" t="s">
        <v>465</v>
      </c>
      <c r="O1431" s="2" t="s">
        <v>43</v>
      </c>
      <c r="P1431" s="2" t="s">
        <v>55</v>
      </c>
      <c r="Q1431" s="2" t="s">
        <v>56</v>
      </c>
      <c r="R1431" s="2">
        <v>5</v>
      </c>
      <c r="S1431" s="2">
        <v>80</v>
      </c>
      <c r="T1431" s="2">
        <v>18.399999999999999</v>
      </c>
      <c r="U1431" s="2">
        <v>98.4</v>
      </c>
      <c r="V1431" s="2">
        <f>10.6*R1431</f>
        <v>53</v>
      </c>
      <c r="W1431" s="5">
        <f t="shared" ref="W1431:W1451" si="148">(S1431-V1431)/S1431</f>
        <v>0.33750000000000002</v>
      </c>
      <c r="Y1431" s="2" t="s">
        <v>3256</v>
      </c>
      <c r="Z1431" s="2" t="s">
        <v>46</v>
      </c>
      <c r="AA1431" s="2" t="s">
        <v>57</v>
      </c>
      <c r="AB1431" s="2" t="s">
        <v>58</v>
      </c>
      <c r="AE1431" s="2">
        <f t="shared" si="144"/>
        <v>0</v>
      </c>
      <c r="AF1431" s="2">
        <v>10.6</v>
      </c>
      <c r="AG1431" s="2">
        <v>18</v>
      </c>
      <c r="AI1431" s="2">
        <f t="shared" si="145"/>
        <v>0</v>
      </c>
      <c r="AJ1431" s="2">
        <f t="shared" si="146"/>
        <v>27</v>
      </c>
      <c r="AK1431" s="5">
        <f t="shared" si="147"/>
        <v>0.33750000000000002</v>
      </c>
    </row>
    <row r="1432" spans="1:37" x14ac:dyDescent="0.2">
      <c r="A1432" s="2">
        <v>2025</v>
      </c>
      <c r="B1432" s="2">
        <v>7</v>
      </c>
      <c r="C1432" s="2" t="s">
        <v>611</v>
      </c>
      <c r="D1432" s="2" t="s">
        <v>109</v>
      </c>
      <c r="E1432" s="2" t="s">
        <v>39</v>
      </c>
      <c r="F1432" s="2">
        <v>504822187</v>
      </c>
      <c r="G1432" s="2" t="s">
        <v>110</v>
      </c>
      <c r="H1432" s="2" t="s">
        <v>612</v>
      </c>
      <c r="I1432" s="2" t="s">
        <v>613</v>
      </c>
      <c r="J1432" s="2">
        <v>966216853</v>
      </c>
      <c r="K1432" s="2" t="s">
        <v>465</v>
      </c>
      <c r="O1432" s="2" t="s">
        <v>43</v>
      </c>
      <c r="P1432" s="2" t="s">
        <v>62</v>
      </c>
      <c r="Q1432" s="2" t="s">
        <v>63</v>
      </c>
      <c r="R1432" s="2">
        <v>500</v>
      </c>
      <c r="S1432" s="2">
        <v>65</v>
      </c>
      <c r="T1432" s="2">
        <v>14.95</v>
      </c>
      <c r="U1432" s="2">
        <v>79.95</v>
      </c>
      <c r="V1432" s="2">
        <f>0.082*R1432</f>
        <v>41</v>
      </c>
      <c r="W1432" s="5">
        <f t="shared" si="148"/>
        <v>0.36923076923076925</v>
      </c>
      <c r="Y1432" s="2" t="s">
        <v>3256</v>
      </c>
      <c r="Z1432" s="2" t="s">
        <v>46</v>
      </c>
      <c r="AA1432" s="2" t="s">
        <v>61</v>
      </c>
      <c r="AB1432" s="2" t="s">
        <v>58</v>
      </c>
      <c r="AE1432" s="2">
        <f t="shared" si="144"/>
        <v>0</v>
      </c>
      <c r="AF1432" s="2">
        <v>8.1999999999999993</v>
      </c>
      <c r="AG1432" s="2">
        <v>13</v>
      </c>
      <c r="AI1432" s="2">
        <f t="shared" si="145"/>
        <v>0</v>
      </c>
      <c r="AJ1432" s="2">
        <f t="shared" si="146"/>
        <v>24</v>
      </c>
      <c r="AK1432" s="5">
        <f t="shared" si="147"/>
        <v>0.36923076923076925</v>
      </c>
    </row>
    <row r="1433" spans="1:37" x14ac:dyDescent="0.2">
      <c r="A1433" s="2">
        <v>2025</v>
      </c>
      <c r="B1433" s="2">
        <v>7</v>
      </c>
      <c r="C1433" s="2" t="s">
        <v>611</v>
      </c>
      <c r="D1433" s="2" t="s">
        <v>109</v>
      </c>
      <c r="E1433" s="2" t="s">
        <v>39</v>
      </c>
      <c r="F1433" s="2">
        <v>504822187</v>
      </c>
      <c r="G1433" s="2" t="s">
        <v>110</v>
      </c>
      <c r="H1433" s="2" t="s">
        <v>612</v>
      </c>
      <c r="I1433" s="2" t="s">
        <v>613</v>
      </c>
      <c r="J1433" s="2">
        <v>966216853</v>
      </c>
      <c r="K1433" s="2" t="s">
        <v>465</v>
      </c>
      <c r="L1433" s="2" t="s">
        <v>40</v>
      </c>
      <c r="O1433" s="2" t="s">
        <v>188</v>
      </c>
      <c r="P1433" s="2" t="s">
        <v>189</v>
      </c>
      <c r="Q1433" s="2" t="s">
        <v>190</v>
      </c>
      <c r="R1433" s="2">
        <v>1</v>
      </c>
      <c r="S1433" s="2">
        <v>108</v>
      </c>
      <c r="T1433" s="2">
        <v>24.84</v>
      </c>
      <c r="U1433" s="2">
        <v>132.84</v>
      </c>
      <c r="W1433" s="5">
        <f t="shared" si="148"/>
        <v>1</v>
      </c>
      <c r="Y1433" s="2" t="s">
        <v>118</v>
      </c>
      <c r="Z1433" s="2" t="s">
        <v>191</v>
      </c>
      <c r="AE1433" s="2">
        <f t="shared" si="144"/>
        <v>0</v>
      </c>
      <c r="AI1433" s="2">
        <f t="shared" si="145"/>
        <v>0</v>
      </c>
      <c r="AJ1433" s="2">
        <f t="shared" si="146"/>
        <v>108</v>
      </c>
      <c r="AK1433" s="5">
        <f t="shared" si="147"/>
        <v>1</v>
      </c>
    </row>
    <row r="1434" spans="1:37" x14ac:dyDescent="0.2">
      <c r="A1434" s="2">
        <v>2025</v>
      </c>
      <c r="B1434" s="2">
        <v>7</v>
      </c>
      <c r="C1434" s="2" t="s">
        <v>611</v>
      </c>
      <c r="D1434" s="2" t="s">
        <v>109</v>
      </c>
      <c r="E1434" s="2" t="s">
        <v>39</v>
      </c>
      <c r="F1434" s="2">
        <v>504822187</v>
      </c>
      <c r="G1434" s="2" t="s">
        <v>110</v>
      </c>
      <c r="H1434" s="2" t="s">
        <v>612</v>
      </c>
      <c r="I1434" s="2" t="s">
        <v>613</v>
      </c>
      <c r="J1434" s="2">
        <v>966216853</v>
      </c>
      <c r="K1434" s="2" t="s">
        <v>465</v>
      </c>
      <c r="L1434" s="2" t="s">
        <v>40</v>
      </c>
      <c r="O1434" s="2" t="s">
        <v>188</v>
      </c>
      <c r="P1434" s="2" t="s">
        <v>192</v>
      </c>
      <c r="Q1434" s="2" t="s">
        <v>191</v>
      </c>
      <c r="R1434" s="2">
        <v>4</v>
      </c>
      <c r="S1434" s="2">
        <v>135</v>
      </c>
      <c r="T1434" s="2">
        <v>31.05</v>
      </c>
      <c r="U1434" s="2">
        <v>166.05</v>
      </c>
      <c r="V1434" s="2">
        <f>S1434*50%</f>
        <v>67.5</v>
      </c>
      <c r="W1434" s="5">
        <f t="shared" si="148"/>
        <v>0.5</v>
      </c>
      <c r="Y1434" s="2" t="s">
        <v>118</v>
      </c>
      <c r="Z1434" s="2" t="s">
        <v>191</v>
      </c>
      <c r="AE1434" s="2">
        <f t="shared" si="144"/>
        <v>0</v>
      </c>
      <c r="AI1434" s="2">
        <f t="shared" si="145"/>
        <v>0</v>
      </c>
      <c r="AJ1434" s="2">
        <f t="shared" si="146"/>
        <v>67.5</v>
      </c>
      <c r="AK1434" s="5">
        <f t="shared" si="147"/>
        <v>0.5</v>
      </c>
    </row>
    <row r="1435" spans="1:37" x14ac:dyDescent="0.2">
      <c r="A1435" s="2">
        <v>2025</v>
      </c>
      <c r="B1435" s="2">
        <v>7</v>
      </c>
      <c r="C1435" s="2" t="s">
        <v>611</v>
      </c>
      <c r="D1435" s="2" t="s">
        <v>109</v>
      </c>
      <c r="E1435" s="2" t="s">
        <v>39</v>
      </c>
      <c r="F1435" s="2">
        <v>504822187</v>
      </c>
      <c r="G1435" s="2" t="s">
        <v>110</v>
      </c>
      <c r="H1435" s="2" t="s">
        <v>612</v>
      </c>
      <c r="I1435" s="2" t="s">
        <v>613</v>
      </c>
      <c r="J1435" s="2">
        <v>966216853</v>
      </c>
      <c r="K1435" s="2" t="s">
        <v>465</v>
      </c>
      <c r="O1435" s="2" t="s">
        <v>40</v>
      </c>
      <c r="P1435" s="2" t="s">
        <v>364</v>
      </c>
      <c r="Q1435" s="2" t="s">
        <v>365</v>
      </c>
      <c r="R1435" s="2">
        <v>4</v>
      </c>
      <c r="S1435" s="2">
        <v>11.4</v>
      </c>
      <c r="T1435" s="2">
        <v>2.6219999999999999</v>
      </c>
      <c r="U1435" s="2">
        <v>14.022</v>
      </c>
      <c r="W1435" s="5">
        <f t="shared" si="148"/>
        <v>1</v>
      </c>
      <c r="Y1435" s="2" t="s">
        <v>120</v>
      </c>
      <c r="AE1435" s="2">
        <f t="shared" si="144"/>
        <v>0</v>
      </c>
      <c r="AI1435" s="2">
        <f t="shared" si="145"/>
        <v>0</v>
      </c>
      <c r="AJ1435" s="2">
        <f t="shared" si="146"/>
        <v>11.4</v>
      </c>
      <c r="AK1435" s="5">
        <f t="shared" si="147"/>
        <v>1</v>
      </c>
    </row>
    <row r="1436" spans="1:37" x14ac:dyDescent="0.2">
      <c r="A1436" s="2">
        <v>2025</v>
      </c>
      <c r="B1436" s="2">
        <v>7</v>
      </c>
      <c r="C1436" s="2" t="s">
        <v>1651</v>
      </c>
      <c r="O1436" s="2" t="s">
        <v>283</v>
      </c>
      <c r="P1436" s="2" t="s">
        <v>1652</v>
      </c>
      <c r="Q1436" s="2" t="s">
        <v>1653</v>
      </c>
      <c r="R1436" s="2">
        <v>1</v>
      </c>
      <c r="S1436" s="2">
        <v>66.900000000000006</v>
      </c>
      <c r="T1436" s="2">
        <v>15.387</v>
      </c>
      <c r="U1436" s="2">
        <v>82.287000000000006</v>
      </c>
      <c r="W1436" s="5">
        <f t="shared" si="148"/>
        <v>1</v>
      </c>
      <c r="Y1436" s="2" t="s">
        <v>3256</v>
      </c>
      <c r="AE1436" s="2">
        <f t="shared" si="144"/>
        <v>0</v>
      </c>
      <c r="AI1436" s="2">
        <f t="shared" si="145"/>
        <v>0</v>
      </c>
      <c r="AJ1436" s="2">
        <f t="shared" si="146"/>
        <v>66.900000000000006</v>
      </c>
      <c r="AK1436" s="5">
        <f t="shared" si="147"/>
        <v>1</v>
      </c>
    </row>
    <row r="1437" spans="1:37" x14ac:dyDescent="0.2">
      <c r="A1437" s="2">
        <v>2025</v>
      </c>
      <c r="B1437" s="2">
        <v>7</v>
      </c>
      <c r="C1437" s="2" t="s">
        <v>905</v>
      </c>
      <c r="D1437" s="2" t="s">
        <v>109</v>
      </c>
      <c r="E1437" s="2" t="s">
        <v>39</v>
      </c>
      <c r="G1437" s="2" t="s">
        <v>40</v>
      </c>
      <c r="H1437" s="2" t="s">
        <v>157</v>
      </c>
      <c r="I1437" s="2" t="s">
        <v>906</v>
      </c>
      <c r="J1437" s="2">
        <v>912047019</v>
      </c>
      <c r="K1437" s="2" t="s">
        <v>100</v>
      </c>
      <c r="L1437" s="2" t="s">
        <v>40</v>
      </c>
      <c r="N1437" s="2" t="s">
        <v>1654</v>
      </c>
      <c r="O1437" s="2" t="s">
        <v>115</v>
      </c>
      <c r="P1437" s="2" t="s">
        <v>678</v>
      </c>
      <c r="Q1437" s="2" t="s">
        <v>679</v>
      </c>
      <c r="R1437" s="2">
        <v>2</v>
      </c>
      <c r="S1437" s="2">
        <v>29.89</v>
      </c>
      <c r="T1437" s="2">
        <v>6.8747000000000007</v>
      </c>
      <c r="U1437" s="2">
        <v>36.764699999999998</v>
      </c>
      <c r="V1437" s="2">
        <f>5.2342*R1437</f>
        <v>10.468400000000001</v>
      </c>
      <c r="W1437" s="5">
        <f t="shared" si="148"/>
        <v>0.64976915356306453</v>
      </c>
      <c r="Y1437" s="2" t="s">
        <v>118</v>
      </c>
      <c r="Z1437" s="2" t="s">
        <v>119</v>
      </c>
      <c r="AA1437" s="2" t="s">
        <v>120</v>
      </c>
      <c r="AB1437" s="2" t="s">
        <v>115</v>
      </c>
      <c r="AE1437" s="2">
        <f t="shared" si="144"/>
        <v>0</v>
      </c>
      <c r="AF1437" s="2">
        <v>5.2342000000000004</v>
      </c>
      <c r="AI1437" s="2">
        <f t="shared" si="145"/>
        <v>0</v>
      </c>
      <c r="AJ1437" s="2">
        <f t="shared" si="146"/>
        <v>19.421599999999998</v>
      </c>
      <c r="AK1437" s="5">
        <f t="shared" si="147"/>
        <v>0.64976915356306453</v>
      </c>
    </row>
    <row r="1438" spans="1:37" x14ac:dyDescent="0.2">
      <c r="A1438" s="2">
        <v>2025</v>
      </c>
      <c r="B1438" s="2">
        <v>7</v>
      </c>
      <c r="C1438" s="2" t="s">
        <v>905</v>
      </c>
      <c r="D1438" s="2" t="s">
        <v>109</v>
      </c>
      <c r="E1438" s="2" t="s">
        <v>39</v>
      </c>
      <c r="G1438" s="2" t="s">
        <v>40</v>
      </c>
      <c r="H1438" s="2" t="s">
        <v>157</v>
      </c>
      <c r="I1438" s="2" t="s">
        <v>906</v>
      </c>
      <c r="J1438" s="2">
        <v>912047019</v>
      </c>
      <c r="K1438" s="2" t="s">
        <v>100</v>
      </c>
      <c r="L1438" s="2" t="s">
        <v>1655</v>
      </c>
      <c r="N1438" s="2" t="s">
        <v>1656</v>
      </c>
      <c r="O1438" s="2" t="s">
        <v>283</v>
      </c>
      <c r="P1438" s="2" t="s">
        <v>1657</v>
      </c>
      <c r="Q1438" s="2" t="s">
        <v>1658</v>
      </c>
      <c r="R1438" s="2">
        <v>1</v>
      </c>
      <c r="S1438" s="2">
        <v>335</v>
      </c>
      <c r="T1438" s="2">
        <v>77.05</v>
      </c>
      <c r="U1438" s="2">
        <v>412.05</v>
      </c>
      <c r="W1438" s="5">
        <f t="shared" si="148"/>
        <v>1</v>
      </c>
      <c r="Y1438" s="2" t="s">
        <v>3256</v>
      </c>
      <c r="AE1438" s="2">
        <f t="shared" si="144"/>
        <v>0</v>
      </c>
      <c r="AI1438" s="2">
        <f t="shared" si="145"/>
        <v>0</v>
      </c>
      <c r="AJ1438" s="2">
        <f t="shared" si="146"/>
        <v>335</v>
      </c>
      <c r="AK1438" s="5">
        <f t="shared" si="147"/>
        <v>1</v>
      </c>
    </row>
    <row r="1439" spans="1:37" x14ac:dyDescent="0.2">
      <c r="A1439" s="2">
        <v>2025</v>
      </c>
      <c r="B1439" s="2">
        <v>7</v>
      </c>
      <c r="C1439" s="2" t="s">
        <v>905</v>
      </c>
      <c r="D1439" s="2" t="s">
        <v>109</v>
      </c>
      <c r="E1439" s="2" t="s">
        <v>39</v>
      </c>
      <c r="G1439" s="2" t="s">
        <v>40</v>
      </c>
      <c r="H1439" s="2" t="s">
        <v>157</v>
      </c>
      <c r="I1439" s="2" t="s">
        <v>906</v>
      </c>
      <c r="J1439" s="2">
        <v>912047019</v>
      </c>
      <c r="K1439" s="2" t="s">
        <v>100</v>
      </c>
      <c r="L1439" s="2" t="s">
        <v>1655</v>
      </c>
      <c r="N1439" s="2" t="s">
        <v>1659</v>
      </c>
      <c r="O1439" s="2" t="s">
        <v>43</v>
      </c>
      <c r="P1439" s="2" t="s">
        <v>251</v>
      </c>
      <c r="Q1439" s="2" t="s">
        <v>252</v>
      </c>
      <c r="R1439" s="2">
        <v>2</v>
      </c>
      <c r="S1439" s="2">
        <v>110</v>
      </c>
      <c r="T1439" s="2">
        <v>25.3</v>
      </c>
      <c r="U1439" s="2">
        <v>135.30000000000001</v>
      </c>
      <c r="W1439" s="5">
        <f t="shared" si="148"/>
        <v>1</v>
      </c>
      <c r="Y1439" s="2" t="s">
        <v>3256</v>
      </c>
      <c r="Z1439" s="2" t="s">
        <v>46</v>
      </c>
      <c r="AA1439" s="2" t="s">
        <v>91</v>
      </c>
      <c r="AB1439" s="2" t="s">
        <v>58</v>
      </c>
      <c r="AE1439" s="2">
        <f t="shared" si="144"/>
        <v>0</v>
      </c>
      <c r="AI1439" s="2">
        <f t="shared" si="145"/>
        <v>0</v>
      </c>
      <c r="AJ1439" s="2">
        <f t="shared" si="146"/>
        <v>110</v>
      </c>
      <c r="AK1439" s="5">
        <f t="shared" si="147"/>
        <v>1</v>
      </c>
    </row>
    <row r="1440" spans="1:37" x14ac:dyDescent="0.2">
      <c r="A1440" s="2">
        <v>2025</v>
      </c>
      <c r="B1440" s="2">
        <v>7</v>
      </c>
      <c r="C1440" s="2" t="s">
        <v>1305</v>
      </c>
      <c r="D1440" s="2" t="s">
        <v>184</v>
      </c>
      <c r="E1440" s="2" t="s">
        <v>368</v>
      </c>
      <c r="F1440" s="2">
        <v>500625654</v>
      </c>
      <c r="G1440" s="2" t="s">
        <v>291</v>
      </c>
      <c r="H1440" s="2" t="s">
        <v>340</v>
      </c>
      <c r="I1440" s="2" t="s">
        <v>1306</v>
      </c>
      <c r="K1440" s="2" t="s">
        <v>340</v>
      </c>
      <c r="O1440" s="2" t="s">
        <v>73</v>
      </c>
      <c r="P1440" s="2" t="s">
        <v>1460</v>
      </c>
      <c r="Q1440" s="2" t="s">
        <v>383</v>
      </c>
      <c r="R1440" s="2">
        <v>1</v>
      </c>
      <c r="S1440" s="2">
        <v>223.1</v>
      </c>
      <c r="T1440" s="2">
        <v>51.313000000000002</v>
      </c>
      <c r="U1440" s="2">
        <v>274.41300000000001</v>
      </c>
      <c r="W1440" s="5">
        <f t="shared" si="148"/>
        <v>1</v>
      </c>
      <c r="Y1440" s="2" t="s">
        <v>3256</v>
      </c>
      <c r="Z1440" s="2" t="s">
        <v>76</v>
      </c>
      <c r="AA1440" s="2" t="s">
        <v>77</v>
      </c>
      <c r="AB1440" s="2" t="s">
        <v>78</v>
      </c>
      <c r="AE1440" s="2">
        <f t="shared" si="144"/>
        <v>0</v>
      </c>
      <c r="AI1440" s="2">
        <f t="shared" si="145"/>
        <v>0</v>
      </c>
      <c r="AJ1440" s="2">
        <f t="shared" si="146"/>
        <v>223.1</v>
      </c>
      <c r="AK1440" s="5">
        <f t="shared" si="147"/>
        <v>1</v>
      </c>
    </row>
    <row r="1441" spans="1:37" x14ac:dyDescent="0.2">
      <c r="A1441" s="2">
        <v>2025</v>
      </c>
      <c r="B1441" s="2">
        <v>7</v>
      </c>
      <c r="C1441" s="2" t="s">
        <v>1305</v>
      </c>
      <c r="D1441" s="2" t="s">
        <v>184</v>
      </c>
      <c r="E1441" s="2" t="s">
        <v>368</v>
      </c>
      <c r="F1441" s="2">
        <v>500625654</v>
      </c>
      <c r="G1441" s="2" t="s">
        <v>291</v>
      </c>
      <c r="H1441" s="2" t="s">
        <v>340</v>
      </c>
      <c r="I1441" s="2" t="s">
        <v>1306</v>
      </c>
      <c r="K1441" s="2" t="s">
        <v>340</v>
      </c>
      <c r="O1441" s="2" t="s">
        <v>73</v>
      </c>
      <c r="P1441" s="2" t="s">
        <v>1461</v>
      </c>
      <c r="Q1441" s="2" t="s">
        <v>308</v>
      </c>
      <c r="R1441" s="2">
        <v>1</v>
      </c>
      <c r="S1441" s="2">
        <v>213.4</v>
      </c>
      <c r="T1441" s="2">
        <v>49.082000000000001</v>
      </c>
      <c r="U1441" s="2">
        <v>262.48200000000003</v>
      </c>
      <c r="V1441" s="2">
        <v>122.446</v>
      </c>
      <c r="W1441" s="5">
        <f t="shared" si="148"/>
        <v>0.4262136832239925</v>
      </c>
      <c r="Y1441" s="2" t="s">
        <v>3256</v>
      </c>
      <c r="Z1441" s="2" t="s">
        <v>76</v>
      </c>
      <c r="AA1441" s="2" t="s">
        <v>77</v>
      </c>
      <c r="AB1441" s="2" t="s">
        <v>78</v>
      </c>
      <c r="AE1441" s="2">
        <f t="shared" si="144"/>
        <v>0</v>
      </c>
      <c r="AF1441" s="2">
        <v>122.446</v>
      </c>
      <c r="AG1441" s="2">
        <v>230</v>
      </c>
      <c r="AI1441" s="2">
        <f t="shared" si="145"/>
        <v>0</v>
      </c>
      <c r="AJ1441" s="2">
        <f t="shared" si="146"/>
        <v>90.954000000000008</v>
      </c>
      <c r="AK1441" s="5">
        <f t="shared" si="147"/>
        <v>0.4262136832239925</v>
      </c>
    </row>
    <row r="1442" spans="1:37" x14ac:dyDescent="0.2">
      <c r="A1442" s="2">
        <v>2025</v>
      </c>
      <c r="B1442" s="2">
        <v>7</v>
      </c>
      <c r="C1442" s="2" t="s">
        <v>1305</v>
      </c>
      <c r="D1442" s="2" t="s">
        <v>184</v>
      </c>
      <c r="E1442" s="2" t="s">
        <v>368</v>
      </c>
      <c r="F1442" s="2">
        <v>500625654</v>
      </c>
      <c r="G1442" s="2" t="s">
        <v>291</v>
      </c>
      <c r="H1442" s="2" t="s">
        <v>340</v>
      </c>
      <c r="I1442" s="2" t="s">
        <v>1306</v>
      </c>
      <c r="K1442" s="2" t="s">
        <v>340</v>
      </c>
      <c r="O1442" s="2" t="s">
        <v>73</v>
      </c>
      <c r="P1442" s="2" t="s">
        <v>1660</v>
      </c>
      <c r="Q1442" s="2" t="s">
        <v>1004</v>
      </c>
      <c r="R1442" s="2">
        <v>1</v>
      </c>
      <c r="S1442" s="2">
        <v>271.60000000000002</v>
      </c>
      <c r="T1442" s="2">
        <v>62.468000000000011</v>
      </c>
      <c r="U1442" s="2">
        <v>334.06799999999998</v>
      </c>
      <c r="W1442" s="5">
        <f t="shared" si="148"/>
        <v>1</v>
      </c>
      <c r="Y1442" s="2" t="s">
        <v>3256</v>
      </c>
      <c r="Z1442" s="2" t="s">
        <v>76</v>
      </c>
      <c r="AA1442" s="2" t="s">
        <v>77</v>
      </c>
      <c r="AB1442" s="2" t="s">
        <v>78</v>
      </c>
      <c r="AE1442" s="2">
        <f t="shared" si="144"/>
        <v>0</v>
      </c>
      <c r="AI1442" s="2">
        <f t="shared" si="145"/>
        <v>0</v>
      </c>
      <c r="AJ1442" s="2">
        <f t="shared" si="146"/>
        <v>271.60000000000002</v>
      </c>
      <c r="AK1442" s="5">
        <f t="shared" si="147"/>
        <v>1</v>
      </c>
    </row>
    <row r="1443" spans="1:37" x14ac:dyDescent="0.2">
      <c r="A1443" s="2">
        <v>2025</v>
      </c>
      <c r="B1443" s="2">
        <v>7</v>
      </c>
      <c r="C1443" s="2" t="s">
        <v>1305</v>
      </c>
      <c r="D1443" s="2" t="s">
        <v>184</v>
      </c>
      <c r="E1443" s="2" t="s">
        <v>368</v>
      </c>
      <c r="F1443" s="2">
        <v>500625654</v>
      </c>
      <c r="G1443" s="2" t="s">
        <v>291</v>
      </c>
      <c r="H1443" s="2" t="s">
        <v>340</v>
      </c>
      <c r="I1443" s="2" t="s">
        <v>1306</v>
      </c>
      <c r="K1443" s="2" t="s">
        <v>340</v>
      </c>
      <c r="L1443" s="2" t="s">
        <v>81</v>
      </c>
      <c r="O1443" s="2" t="s">
        <v>1047</v>
      </c>
      <c r="P1443" s="2" t="s">
        <v>1661</v>
      </c>
      <c r="Q1443" s="2" t="s">
        <v>1662</v>
      </c>
      <c r="R1443" s="2">
        <v>1</v>
      </c>
      <c r="S1443" s="2">
        <v>368.6</v>
      </c>
      <c r="T1443" s="2">
        <v>84.778000000000006</v>
      </c>
      <c r="U1443" s="2">
        <v>453.37799999999999</v>
      </c>
      <c r="W1443" s="5">
        <f t="shared" si="148"/>
        <v>1</v>
      </c>
      <c r="Y1443" s="2" t="s">
        <v>3256</v>
      </c>
      <c r="Z1443" s="2" t="s">
        <v>76</v>
      </c>
      <c r="AA1443" s="2" t="s">
        <v>77</v>
      </c>
      <c r="AB1443" s="2" t="s">
        <v>1047</v>
      </c>
      <c r="AE1443" s="2">
        <f t="shared" si="144"/>
        <v>0</v>
      </c>
      <c r="AI1443" s="2">
        <f t="shared" si="145"/>
        <v>0</v>
      </c>
      <c r="AJ1443" s="2">
        <f t="shared" si="146"/>
        <v>368.6</v>
      </c>
      <c r="AK1443" s="5">
        <f t="shared" si="147"/>
        <v>1</v>
      </c>
    </row>
    <row r="1444" spans="1:37" x14ac:dyDescent="0.2">
      <c r="A1444" s="2">
        <v>2025</v>
      </c>
      <c r="B1444" s="2">
        <v>7</v>
      </c>
      <c r="C1444" s="2" t="s">
        <v>1305</v>
      </c>
      <c r="D1444" s="2" t="s">
        <v>184</v>
      </c>
      <c r="E1444" s="2" t="s">
        <v>368</v>
      </c>
      <c r="F1444" s="2">
        <v>500625654</v>
      </c>
      <c r="G1444" s="2" t="s">
        <v>291</v>
      </c>
      <c r="H1444" s="2" t="s">
        <v>340</v>
      </c>
      <c r="I1444" s="2" t="s">
        <v>1306</v>
      </c>
      <c r="K1444" s="2" t="s">
        <v>340</v>
      </c>
      <c r="L1444" s="2" t="s">
        <v>81</v>
      </c>
      <c r="O1444" s="2" t="s">
        <v>1047</v>
      </c>
      <c r="P1444" s="2" t="s">
        <v>1663</v>
      </c>
      <c r="Q1444" s="2" t="s">
        <v>1664</v>
      </c>
      <c r="R1444" s="2">
        <v>1</v>
      </c>
      <c r="S1444" s="2">
        <v>203.7</v>
      </c>
      <c r="T1444" s="2">
        <v>46.850999999999999</v>
      </c>
      <c r="U1444" s="2">
        <v>250.55099999999999</v>
      </c>
      <c r="W1444" s="5">
        <f t="shared" si="148"/>
        <v>1</v>
      </c>
      <c r="Y1444" s="2" t="s">
        <v>3256</v>
      </c>
      <c r="Z1444" s="2" t="s">
        <v>76</v>
      </c>
      <c r="AA1444" s="2" t="s">
        <v>77</v>
      </c>
      <c r="AB1444" s="2" t="s">
        <v>1047</v>
      </c>
      <c r="AE1444" s="2">
        <f t="shared" si="144"/>
        <v>0</v>
      </c>
      <c r="AI1444" s="2">
        <f t="shared" si="145"/>
        <v>0</v>
      </c>
      <c r="AJ1444" s="2">
        <f t="shared" si="146"/>
        <v>203.7</v>
      </c>
      <c r="AK1444" s="5">
        <f t="shared" si="147"/>
        <v>1</v>
      </c>
    </row>
    <row r="1445" spans="1:37" x14ac:dyDescent="0.2">
      <c r="A1445" s="2">
        <v>2025</v>
      </c>
      <c r="B1445" s="2">
        <v>7</v>
      </c>
      <c r="C1445" s="2" t="s">
        <v>1305</v>
      </c>
      <c r="D1445" s="2" t="s">
        <v>184</v>
      </c>
      <c r="E1445" s="2" t="s">
        <v>368</v>
      </c>
      <c r="F1445" s="2">
        <v>500625654</v>
      </c>
      <c r="G1445" s="2" t="s">
        <v>291</v>
      </c>
      <c r="H1445" s="2" t="s">
        <v>340</v>
      </c>
      <c r="I1445" s="2" t="s">
        <v>1306</v>
      </c>
      <c r="K1445" s="2" t="s">
        <v>340</v>
      </c>
      <c r="L1445" s="2" t="s">
        <v>81</v>
      </c>
      <c r="O1445" s="2" t="s">
        <v>170</v>
      </c>
      <c r="P1445" s="2" t="s">
        <v>171</v>
      </c>
      <c r="Q1445" s="2" t="s">
        <v>171</v>
      </c>
      <c r="R1445" s="2">
        <v>1</v>
      </c>
      <c r="S1445" s="2">
        <v>30</v>
      </c>
      <c r="T1445" s="2">
        <v>6.9</v>
      </c>
      <c r="U1445" s="2">
        <v>36.9</v>
      </c>
      <c r="V1445" s="2">
        <v>23</v>
      </c>
      <c r="W1445" s="5">
        <f t="shared" si="148"/>
        <v>0.23333333333333334</v>
      </c>
      <c r="Y1445" s="2" t="s">
        <v>170</v>
      </c>
      <c r="Z1445" s="2" t="s">
        <v>170</v>
      </c>
      <c r="AE1445" s="2">
        <f t="shared" si="144"/>
        <v>0</v>
      </c>
      <c r="AI1445" s="2">
        <f t="shared" si="145"/>
        <v>0</v>
      </c>
      <c r="AJ1445" s="2">
        <f t="shared" si="146"/>
        <v>7</v>
      </c>
      <c r="AK1445" s="5">
        <f t="shared" si="147"/>
        <v>0.23333333333333334</v>
      </c>
    </row>
    <row r="1446" spans="1:37" x14ac:dyDescent="0.2">
      <c r="A1446" s="2">
        <v>2025</v>
      </c>
      <c r="B1446" s="2">
        <v>7</v>
      </c>
      <c r="C1446" s="2" t="s">
        <v>1305</v>
      </c>
      <c r="D1446" s="2" t="s">
        <v>184</v>
      </c>
      <c r="E1446" s="2" t="s">
        <v>368</v>
      </c>
      <c r="F1446" s="2">
        <v>500625654</v>
      </c>
      <c r="G1446" s="2" t="s">
        <v>291</v>
      </c>
      <c r="H1446" s="2" t="s">
        <v>340</v>
      </c>
      <c r="I1446" s="2" t="s">
        <v>1306</v>
      </c>
      <c r="K1446" s="2" t="s">
        <v>340</v>
      </c>
      <c r="O1446" s="2" t="s">
        <v>94</v>
      </c>
      <c r="P1446" s="2" t="s">
        <v>95</v>
      </c>
      <c r="Q1446" s="2" t="s">
        <v>96</v>
      </c>
      <c r="R1446" s="2">
        <v>5</v>
      </c>
      <c r="S1446" s="2">
        <v>5.7</v>
      </c>
      <c r="T1446" s="2">
        <v>1.3109999999999999</v>
      </c>
      <c r="U1446" s="2">
        <v>7.0110000000000001</v>
      </c>
      <c r="V1446" s="2">
        <v>5.6999999999999993</v>
      </c>
      <c r="W1446" s="5">
        <f t="shared" si="148"/>
        <v>1.5582077538598687E-16</v>
      </c>
      <c r="Y1446" s="2" t="s">
        <v>3256</v>
      </c>
      <c r="Z1446" s="2" t="s">
        <v>97</v>
      </c>
      <c r="AA1446" s="2" t="s">
        <v>77</v>
      </c>
      <c r="AB1446" s="2" t="s">
        <v>94</v>
      </c>
      <c r="AE1446" s="2">
        <f t="shared" si="144"/>
        <v>0</v>
      </c>
      <c r="AI1446" s="2">
        <f t="shared" si="145"/>
        <v>0</v>
      </c>
      <c r="AJ1446" s="2">
        <f t="shared" si="146"/>
        <v>0</v>
      </c>
      <c r="AK1446" s="5">
        <f t="shared" si="147"/>
        <v>1.5582077538598687E-16</v>
      </c>
    </row>
    <row r="1447" spans="1:37" x14ac:dyDescent="0.2">
      <c r="A1447" s="2">
        <v>2025</v>
      </c>
      <c r="B1447" s="2">
        <v>7</v>
      </c>
      <c r="C1447" s="2" t="s">
        <v>623</v>
      </c>
      <c r="D1447" s="2" t="s">
        <v>38</v>
      </c>
      <c r="E1447" s="2" t="s">
        <v>39</v>
      </c>
      <c r="F1447" s="2">
        <v>513759654</v>
      </c>
      <c r="G1447" s="2" t="s">
        <v>41</v>
      </c>
      <c r="H1447" s="2" t="s">
        <v>624</v>
      </c>
      <c r="I1447" s="2" t="s">
        <v>625</v>
      </c>
      <c r="K1447" s="2" t="s">
        <v>422</v>
      </c>
      <c r="O1447" s="2" t="s">
        <v>283</v>
      </c>
      <c r="P1447" s="2" t="s">
        <v>401</v>
      </c>
      <c r="Q1447" s="2" t="s">
        <v>402</v>
      </c>
      <c r="R1447" s="2">
        <v>2</v>
      </c>
      <c r="S1447" s="2">
        <v>58</v>
      </c>
      <c r="T1447" s="2">
        <v>13.34</v>
      </c>
      <c r="U1447" s="2">
        <v>71.34</v>
      </c>
      <c r="W1447" s="5">
        <f t="shared" si="148"/>
        <v>1</v>
      </c>
      <c r="Y1447" s="2" t="s">
        <v>3256</v>
      </c>
      <c r="Z1447" s="2" t="s">
        <v>46</v>
      </c>
      <c r="AA1447" s="2" t="s">
        <v>61</v>
      </c>
      <c r="AB1447" s="2" t="s">
        <v>403</v>
      </c>
      <c r="AE1447" s="2">
        <f t="shared" si="144"/>
        <v>0</v>
      </c>
      <c r="AI1447" s="2">
        <f t="shared" si="145"/>
        <v>0</v>
      </c>
      <c r="AJ1447" s="2">
        <f t="shared" si="146"/>
        <v>58</v>
      </c>
      <c r="AK1447" s="5">
        <f t="shared" si="147"/>
        <v>1</v>
      </c>
    </row>
    <row r="1448" spans="1:37" x14ac:dyDescent="0.2">
      <c r="A1448" s="2">
        <v>2025</v>
      </c>
      <c r="B1448" s="2">
        <v>7</v>
      </c>
      <c r="C1448" s="2" t="s">
        <v>623</v>
      </c>
      <c r="D1448" s="2" t="s">
        <v>38</v>
      </c>
      <c r="E1448" s="2" t="s">
        <v>39</v>
      </c>
      <c r="F1448" s="2">
        <v>513759654</v>
      </c>
      <c r="G1448" s="2" t="s">
        <v>41</v>
      </c>
      <c r="H1448" s="2" t="s">
        <v>624</v>
      </c>
      <c r="I1448" s="2" t="s">
        <v>625</v>
      </c>
      <c r="K1448" s="2" t="s">
        <v>422</v>
      </c>
      <c r="O1448" s="2" t="s">
        <v>283</v>
      </c>
      <c r="P1448" s="2" t="s">
        <v>404</v>
      </c>
      <c r="Q1448" s="2" t="s">
        <v>405</v>
      </c>
      <c r="R1448" s="2">
        <v>1</v>
      </c>
      <c r="S1448" s="2">
        <v>29</v>
      </c>
      <c r="T1448" s="2">
        <v>6.67</v>
      </c>
      <c r="U1448" s="2">
        <v>35.67</v>
      </c>
      <c r="W1448" s="5">
        <f t="shared" si="148"/>
        <v>1</v>
      </c>
      <c r="AE1448" s="2">
        <f t="shared" si="144"/>
        <v>0</v>
      </c>
      <c r="AI1448" s="2">
        <f t="shared" si="145"/>
        <v>0</v>
      </c>
      <c r="AJ1448" s="2">
        <f t="shared" si="146"/>
        <v>29</v>
      </c>
      <c r="AK1448" s="5">
        <f t="shared" si="147"/>
        <v>1</v>
      </c>
    </row>
    <row r="1449" spans="1:37" x14ac:dyDescent="0.2">
      <c r="A1449" s="2">
        <v>2025</v>
      </c>
      <c r="B1449" s="2">
        <v>7</v>
      </c>
      <c r="C1449" s="2" t="s">
        <v>623</v>
      </c>
      <c r="D1449" s="2" t="s">
        <v>38</v>
      </c>
      <c r="E1449" s="2" t="s">
        <v>39</v>
      </c>
      <c r="F1449" s="2">
        <v>513759654</v>
      </c>
      <c r="G1449" s="2" t="s">
        <v>41</v>
      </c>
      <c r="H1449" s="2" t="s">
        <v>624</v>
      </c>
      <c r="I1449" s="2" t="s">
        <v>625</v>
      </c>
      <c r="K1449" s="2" t="s">
        <v>422</v>
      </c>
      <c r="O1449" s="2" t="s">
        <v>43</v>
      </c>
      <c r="P1449" s="2" t="s">
        <v>64</v>
      </c>
      <c r="Q1449" s="2" t="s">
        <v>65</v>
      </c>
      <c r="R1449" s="2">
        <v>10</v>
      </c>
      <c r="S1449" s="2">
        <v>18</v>
      </c>
      <c r="T1449" s="2">
        <v>4.1400000000000006</v>
      </c>
      <c r="U1449" s="2">
        <v>22.14</v>
      </c>
      <c r="V1449" s="2">
        <f>0.8561*R1449</f>
        <v>8.5609999999999999</v>
      </c>
      <c r="W1449" s="5">
        <f t="shared" si="148"/>
        <v>0.5243888888888889</v>
      </c>
      <c r="Y1449" s="2" t="s">
        <v>3256</v>
      </c>
      <c r="Z1449" s="2" t="s">
        <v>46</v>
      </c>
      <c r="AA1449" s="2" t="s">
        <v>61</v>
      </c>
      <c r="AB1449" s="2" t="s">
        <v>58</v>
      </c>
      <c r="AE1449" s="2">
        <f t="shared" si="144"/>
        <v>0</v>
      </c>
      <c r="AF1449" s="2">
        <v>0.85609999999999997</v>
      </c>
      <c r="AG1449" s="2">
        <v>1.8</v>
      </c>
      <c r="AI1449" s="2">
        <f t="shared" si="145"/>
        <v>0</v>
      </c>
      <c r="AJ1449" s="2">
        <f t="shared" si="146"/>
        <v>9.4390000000000001</v>
      </c>
      <c r="AK1449" s="5">
        <f t="shared" si="147"/>
        <v>0.5243888888888889</v>
      </c>
    </row>
    <row r="1450" spans="1:37" x14ac:dyDescent="0.2">
      <c r="A1450" s="2">
        <v>2025</v>
      </c>
      <c r="B1450" s="2">
        <v>7</v>
      </c>
      <c r="C1450" s="2" t="s">
        <v>1122</v>
      </c>
      <c r="D1450" s="2" t="s">
        <v>38</v>
      </c>
      <c r="E1450" s="2" t="s">
        <v>39</v>
      </c>
      <c r="F1450" s="2">
        <v>210420588</v>
      </c>
      <c r="G1450" s="2" t="s">
        <v>40</v>
      </c>
      <c r="H1450" s="2" t="s">
        <v>1123</v>
      </c>
      <c r="I1450" s="2" t="s">
        <v>1124</v>
      </c>
      <c r="J1450" s="2">
        <v>914550474</v>
      </c>
      <c r="K1450" s="2" t="s">
        <v>100</v>
      </c>
      <c r="L1450" s="2" t="s">
        <v>40</v>
      </c>
      <c r="N1450" s="2" t="s">
        <v>1665</v>
      </c>
      <c r="O1450" s="2" t="s">
        <v>115</v>
      </c>
      <c r="P1450" s="2" t="s">
        <v>1666</v>
      </c>
      <c r="Q1450" s="2" t="s">
        <v>1667</v>
      </c>
      <c r="R1450" s="2">
        <v>2</v>
      </c>
      <c r="S1450" s="2">
        <v>30.13</v>
      </c>
      <c r="T1450" s="2">
        <v>6.9298999999999999</v>
      </c>
      <c r="U1450" s="2">
        <v>37.059899999999999</v>
      </c>
      <c r="W1450" s="5">
        <f t="shared" si="148"/>
        <v>1</v>
      </c>
      <c r="Y1450" s="2" t="s">
        <v>118</v>
      </c>
      <c r="AE1450" s="2">
        <f t="shared" si="144"/>
        <v>0</v>
      </c>
      <c r="AI1450" s="2">
        <f t="shared" si="145"/>
        <v>0</v>
      </c>
      <c r="AJ1450" s="2">
        <f t="shared" si="146"/>
        <v>30.13</v>
      </c>
      <c r="AK1450" s="5">
        <f t="shared" si="147"/>
        <v>1</v>
      </c>
    </row>
    <row r="1451" spans="1:37" x14ac:dyDescent="0.2">
      <c r="A1451" s="2">
        <v>2025</v>
      </c>
      <c r="B1451" s="2">
        <v>7</v>
      </c>
      <c r="C1451" s="2" t="s">
        <v>630</v>
      </c>
      <c r="D1451" s="2" t="s">
        <v>38</v>
      </c>
      <c r="E1451" s="2" t="s">
        <v>39</v>
      </c>
      <c r="F1451" s="2" t="s">
        <v>631</v>
      </c>
      <c r="G1451" s="2" t="s">
        <v>40</v>
      </c>
      <c r="H1451" s="2" t="s">
        <v>632</v>
      </c>
      <c r="I1451" s="2" t="s">
        <v>633</v>
      </c>
      <c r="K1451" s="2" t="s">
        <v>632</v>
      </c>
      <c r="L1451" s="2" t="s">
        <v>40</v>
      </c>
      <c r="O1451" s="2" t="s">
        <v>115</v>
      </c>
      <c r="P1451" s="2" t="s">
        <v>636</v>
      </c>
      <c r="Q1451" s="2" t="s">
        <v>637</v>
      </c>
      <c r="R1451" s="2">
        <v>1</v>
      </c>
      <c r="S1451" s="2">
        <v>39.5</v>
      </c>
      <c r="T1451" s="2">
        <v>9.0850000000000009</v>
      </c>
      <c r="U1451" s="2">
        <v>48.585000000000001</v>
      </c>
      <c r="W1451" s="5">
        <f t="shared" si="148"/>
        <v>1</v>
      </c>
      <c r="AE1451" s="2">
        <f t="shared" si="144"/>
        <v>0</v>
      </c>
      <c r="AI1451" s="2">
        <f t="shared" si="145"/>
        <v>0</v>
      </c>
      <c r="AJ1451" s="2">
        <f t="shared" si="146"/>
        <v>39.5</v>
      </c>
      <c r="AK1451" s="5">
        <f t="shared" si="147"/>
        <v>1</v>
      </c>
    </row>
    <row r="1452" spans="1:37" x14ac:dyDescent="0.2">
      <c r="A1452" s="2">
        <v>2025</v>
      </c>
      <c r="B1452" s="2">
        <v>7</v>
      </c>
      <c r="C1452" s="2" t="s">
        <v>630</v>
      </c>
      <c r="D1452" s="2" t="s">
        <v>38</v>
      </c>
      <c r="E1452" s="2" t="s">
        <v>39</v>
      </c>
      <c r="F1452" s="2" t="s">
        <v>631</v>
      </c>
      <c r="G1452" s="2" t="s">
        <v>40</v>
      </c>
      <c r="H1452" s="2" t="s">
        <v>632</v>
      </c>
      <c r="I1452" s="2" t="s">
        <v>633</v>
      </c>
      <c r="K1452" s="2" t="s">
        <v>632</v>
      </c>
      <c r="L1452" s="2" t="s">
        <v>40</v>
      </c>
      <c r="O1452" s="2" t="s">
        <v>115</v>
      </c>
      <c r="P1452" s="2" t="s">
        <v>518</v>
      </c>
      <c r="Q1452" s="2" t="s">
        <v>519</v>
      </c>
      <c r="R1452" s="2">
        <v>0</v>
      </c>
      <c r="S1452" s="2">
        <v>0</v>
      </c>
      <c r="T1452" s="2">
        <v>0</v>
      </c>
      <c r="U1452" s="2">
        <v>0</v>
      </c>
      <c r="W1452" s="5">
        <v>0</v>
      </c>
      <c r="AE1452" s="2">
        <f t="shared" si="144"/>
        <v>0</v>
      </c>
      <c r="AI1452" s="2">
        <f t="shared" si="145"/>
        <v>0</v>
      </c>
      <c r="AJ1452" s="2">
        <f t="shared" si="146"/>
        <v>0</v>
      </c>
      <c r="AK1452" s="5" t="e">
        <f t="shared" si="147"/>
        <v>#DIV/0!</v>
      </c>
    </row>
    <row r="1453" spans="1:37" x14ac:dyDescent="0.2">
      <c r="A1453" s="2">
        <v>2025</v>
      </c>
      <c r="B1453" s="2">
        <v>7</v>
      </c>
      <c r="C1453" s="2" t="s">
        <v>1668</v>
      </c>
      <c r="D1453" s="2" t="s">
        <v>38</v>
      </c>
      <c r="E1453" s="2" t="s">
        <v>39</v>
      </c>
      <c r="G1453" s="2" t="s">
        <v>41</v>
      </c>
      <c r="H1453" s="2" t="s">
        <v>1669</v>
      </c>
      <c r="I1453" s="2" t="s">
        <v>1670</v>
      </c>
      <c r="K1453" s="2" t="s">
        <v>113</v>
      </c>
      <c r="L1453" s="2" t="s">
        <v>40</v>
      </c>
      <c r="N1453" s="2" t="s">
        <v>1671</v>
      </c>
      <c r="O1453" s="2" t="s">
        <v>115</v>
      </c>
      <c r="P1453" s="2" t="s">
        <v>1672</v>
      </c>
      <c r="Q1453" s="2" t="s">
        <v>1673</v>
      </c>
      <c r="R1453" s="2">
        <v>1</v>
      </c>
      <c r="S1453" s="2">
        <v>2635.57</v>
      </c>
      <c r="T1453" s="2">
        <v>606.18110000000001</v>
      </c>
      <c r="U1453" s="2">
        <v>3241.7511</v>
      </c>
      <c r="V1453" s="2">
        <v>565.755</v>
      </c>
      <c r="W1453" s="5">
        <f t="shared" ref="W1453:W1469" si="149">(S1453-V1453)/S1453</f>
        <v>0.78533865539522763</v>
      </c>
      <c r="Y1453" s="2" t="s">
        <v>118</v>
      </c>
      <c r="Z1453" s="2" t="s">
        <v>119</v>
      </c>
      <c r="AA1453" s="2" t="s">
        <v>120</v>
      </c>
      <c r="AB1453" s="2" t="s">
        <v>115</v>
      </c>
      <c r="AE1453" s="2">
        <f t="shared" si="144"/>
        <v>0</v>
      </c>
      <c r="AF1453" s="2">
        <v>565.755</v>
      </c>
      <c r="AI1453" s="2">
        <f t="shared" si="145"/>
        <v>0</v>
      </c>
      <c r="AJ1453" s="2">
        <f t="shared" si="146"/>
        <v>2069.8150000000001</v>
      </c>
      <c r="AK1453" s="5">
        <f t="shared" si="147"/>
        <v>0.78533865539522763</v>
      </c>
    </row>
    <row r="1454" spans="1:37" x14ac:dyDescent="0.2">
      <c r="A1454" s="2">
        <v>2025</v>
      </c>
      <c r="B1454" s="2">
        <v>7</v>
      </c>
      <c r="C1454" s="2" t="s">
        <v>1668</v>
      </c>
      <c r="D1454" s="2" t="s">
        <v>38</v>
      </c>
      <c r="E1454" s="2" t="s">
        <v>39</v>
      </c>
      <c r="G1454" s="2" t="s">
        <v>41</v>
      </c>
      <c r="H1454" s="2" t="s">
        <v>1669</v>
      </c>
      <c r="I1454" s="2" t="s">
        <v>1670</v>
      </c>
      <c r="K1454" s="2" t="s">
        <v>113</v>
      </c>
      <c r="L1454" s="2" t="s">
        <v>40</v>
      </c>
      <c r="N1454" s="2" t="s">
        <v>1671</v>
      </c>
      <c r="O1454" s="2" t="s">
        <v>188</v>
      </c>
      <c r="P1454" s="2" t="s">
        <v>189</v>
      </c>
      <c r="Q1454" s="2" t="s">
        <v>190</v>
      </c>
      <c r="R1454" s="2">
        <v>2</v>
      </c>
      <c r="S1454" s="2">
        <v>242</v>
      </c>
      <c r="T1454" s="2">
        <v>55.66</v>
      </c>
      <c r="U1454" s="2">
        <v>297.66000000000003</v>
      </c>
      <c r="W1454" s="5">
        <f t="shared" si="149"/>
        <v>1</v>
      </c>
      <c r="Y1454" s="2" t="s">
        <v>118</v>
      </c>
      <c r="Z1454" s="2" t="s">
        <v>191</v>
      </c>
      <c r="AE1454" s="2">
        <f t="shared" si="144"/>
        <v>0</v>
      </c>
      <c r="AI1454" s="2">
        <f t="shared" si="145"/>
        <v>0</v>
      </c>
      <c r="AJ1454" s="2">
        <f t="shared" si="146"/>
        <v>242</v>
      </c>
      <c r="AK1454" s="5">
        <f t="shared" si="147"/>
        <v>1</v>
      </c>
    </row>
    <row r="1455" spans="1:37" x14ac:dyDescent="0.2">
      <c r="A1455" s="2">
        <v>2025</v>
      </c>
      <c r="B1455" s="2">
        <v>7</v>
      </c>
      <c r="C1455" s="2" t="s">
        <v>1668</v>
      </c>
      <c r="D1455" s="2" t="s">
        <v>38</v>
      </c>
      <c r="E1455" s="2" t="s">
        <v>39</v>
      </c>
      <c r="G1455" s="2" t="s">
        <v>41</v>
      </c>
      <c r="H1455" s="2" t="s">
        <v>1669</v>
      </c>
      <c r="I1455" s="2" t="s">
        <v>1670</v>
      </c>
      <c r="K1455" s="2" t="s">
        <v>113</v>
      </c>
      <c r="L1455" s="2" t="s">
        <v>40</v>
      </c>
      <c r="N1455" s="2" t="s">
        <v>1671</v>
      </c>
      <c r="O1455" s="2" t="s">
        <v>188</v>
      </c>
      <c r="P1455" s="2" t="s">
        <v>192</v>
      </c>
      <c r="Q1455" s="2" t="s">
        <v>191</v>
      </c>
      <c r="R1455" s="2">
        <v>4</v>
      </c>
      <c r="S1455" s="2">
        <v>200</v>
      </c>
      <c r="T1455" s="2">
        <v>46</v>
      </c>
      <c r="U1455" s="2">
        <v>246</v>
      </c>
      <c r="V1455" s="2">
        <f>S1455*50%</f>
        <v>100</v>
      </c>
      <c r="W1455" s="5">
        <f t="shared" si="149"/>
        <v>0.5</v>
      </c>
      <c r="Y1455" s="2" t="s">
        <v>118</v>
      </c>
      <c r="Z1455" s="2" t="s">
        <v>191</v>
      </c>
      <c r="AE1455" s="2">
        <f t="shared" si="144"/>
        <v>0</v>
      </c>
      <c r="AI1455" s="2">
        <f t="shared" si="145"/>
        <v>0</v>
      </c>
      <c r="AJ1455" s="2">
        <f t="shared" si="146"/>
        <v>100</v>
      </c>
      <c r="AK1455" s="5">
        <f t="shared" si="147"/>
        <v>0.5</v>
      </c>
    </row>
    <row r="1456" spans="1:37" x14ac:dyDescent="0.2">
      <c r="A1456" s="2">
        <v>2025</v>
      </c>
      <c r="B1456" s="2">
        <v>7</v>
      </c>
      <c r="C1456" s="2" t="s">
        <v>1312</v>
      </c>
      <c r="O1456" s="2" t="s">
        <v>1203</v>
      </c>
      <c r="P1456" s="2" t="s">
        <v>1095</v>
      </c>
      <c r="Q1456" s="2" t="s">
        <v>1096</v>
      </c>
      <c r="R1456" s="2">
        <v>-1</v>
      </c>
      <c r="S1456" s="2">
        <v>-580</v>
      </c>
      <c r="T1456" s="2">
        <v>-133.4</v>
      </c>
      <c r="U1456" s="2">
        <v>-713.4</v>
      </c>
      <c r="W1456" s="5">
        <f t="shared" si="149"/>
        <v>1</v>
      </c>
      <c r="Y1456" s="2" t="s">
        <v>105</v>
      </c>
      <c r="Z1456" s="2" t="s">
        <v>1208</v>
      </c>
      <c r="AA1456" s="2" t="s">
        <v>120</v>
      </c>
      <c r="AB1456" s="2" t="s">
        <v>1203</v>
      </c>
      <c r="AE1456" s="2">
        <f t="shared" si="144"/>
        <v>0</v>
      </c>
      <c r="AI1456" s="2">
        <f t="shared" si="145"/>
        <v>0</v>
      </c>
      <c r="AJ1456" s="2">
        <f t="shared" si="146"/>
        <v>-580</v>
      </c>
      <c r="AK1456" s="5">
        <f t="shared" si="147"/>
        <v>1</v>
      </c>
    </row>
    <row r="1457" spans="1:37" x14ac:dyDescent="0.2">
      <c r="A1457" s="2">
        <v>2025</v>
      </c>
      <c r="B1457" s="2">
        <v>7</v>
      </c>
      <c r="C1457" s="2" t="s">
        <v>1674</v>
      </c>
      <c r="O1457" s="2" t="s">
        <v>283</v>
      </c>
      <c r="P1457" s="2" t="s">
        <v>1525</v>
      </c>
      <c r="Q1457" s="2" t="s">
        <v>1526</v>
      </c>
      <c r="R1457" s="2">
        <v>2</v>
      </c>
      <c r="S1457" s="2">
        <v>80</v>
      </c>
      <c r="T1457" s="2">
        <v>18.399999999999999</v>
      </c>
      <c r="U1457" s="2">
        <v>98.4</v>
      </c>
      <c r="W1457" s="5">
        <f t="shared" si="149"/>
        <v>1</v>
      </c>
      <c r="Y1457" s="2" t="s">
        <v>3256</v>
      </c>
      <c r="AE1457" s="2">
        <f t="shared" si="144"/>
        <v>0</v>
      </c>
      <c r="AI1457" s="2">
        <f t="shared" si="145"/>
        <v>0</v>
      </c>
      <c r="AJ1457" s="2">
        <f t="shared" si="146"/>
        <v>80</v>
      </c>
      <c r="AK1457" s="5">
        <f t="shared" si="147"/>
        <v>1</v>
      </c>
    </row>
    <row r="1458" spans="1:37" x14ac:dyDescent="0.2">
      <c r="A1458" s="2">
        <v>2025</v>
      </c>
      <c r="B1458" s="2">
        <v>7</v>
      </c>
      <c r="C1458" s="2" t="s">
        <v>1675</v>
      </c>
      <c r="O1458" s="2" t="s">
        <v>283</v>
      </c>
      <c r="P1458" s="2" t="s">
        <v>1604</v>
      </c>
      <c r="Q1458" s="2" t="s">
        <v>1605</v>
      </c>
      <c r="R1458" s="2">
        <v>3</v>
      </c>
      <c r="S1458" s="2">
        <v>20.7</v>
      </c>
      <c r="T1458" s="2">
        <v>4.7610000000000001</v>
      </c>
      <c r="U1458" s="2">
        <v>25.460999999999999</v>
      </c>
      <c r="W1458" s="5">
        <f t="shared" si="149"/>
        <v>1</v>
      </c>
      <c r="Y1458" s="2" t="s">
        <v>3256</v>
      </c>
      <c r="AE1458" s="2">
        <f t="shared" si="144"/>
        <v>0</v>
      </c>
      <c r="AI1458" s="2">
        <f t="shared" si="145"/>
        <v>0</v>
      </c>
      <c r="AJ1458" s="2">
        <f t="shared" si="146"/>
        <v>20.7</v>
      </c>
      <c r="AK1458" s="5">
        <f t="shared" si="147"/>
        <v>1</v>
      </c>
    </row>
    <row r="1459" spans="1:37" x14ac:dyDescent="0.2">
      <c r="A1459" s="2">
        <v>2025</v>
      </c>
      <c r="B1459" s="2">
        <v>7</v>
      </c>
      <c r="C1459" s="2" t="s">
        <v>1675</v>
      </c>
      <c r="L1459" s="2" t="s">
        <v>110</v>
      </c>
      <c r="O1459" s="2" t="s">
        <v>170</v>
      </c>
      <c r="P1459" s="2" t="s">
        <v>171</v>
      </c>
      <c r="Q1459" s="2" t="s">
        <v>171</v>
      </c>
      <c r="R1459" s="2">
        <v>1</v>
      </c>
      <c r="S1459" s="2">
        <v>8.5</v>
      </c>
      <c r="T1459" s="2">
        <v>1.9550000000000001</v>
      </c>
      <c r="U1459" s="2">
        <v>10.455</v>
      </c>
      <c r="W1459" s="5">
        <f t="shared" si="149"/>
        <v>1</v>
      </c>
      <c r="Y1459" s="2" t="s">
        <v>170</v>
      </c>
      <c r="Z1459" s="2" t="s">
        <v>170</v>
      </c>
      <c r="AE1459" s="2">
        <f t="shared" si="144"/>
        <v>0</v>
      </c>
      <c r="AI1459" s="2">
        <f t="shared" si="145"/>
        <v>0</v>
      </c>
      <c r="AJ1459" s="2">
        <f t="shared" si="146"/>
        <v>8.5</v>
      </c>
      <c r="AK1459" s="5">
        <f t="shared" si="147"/>
        <v>1</v>
      </c>
    </row>
    <row r="1460" spans="1:37" x14ac:dyDescent="0.2">
      <c r="A1460" s="2">
        <v>2025</v>
      </c>
      <c r="B1460" s="2">
        <v>7</v>
      </c>
      <c r="C1460" s="2" t="s">
        <v>1676</v>
      </c>
      <c r="O1460" s="2" t="s">
        <v>115</v>
      </c>
      <c r="P1460" s="2" t="s">
        <v>375</v>
      </c>
      <c r="Q1460" s="2" t="s">
        <v>376</v>
      </c>
      <c r="R1460" s="2">
        <v>1</v>
      </c>
      <c r="S1460" s="2">
        <v>45.07</v>
      </c>
      <c r="T1460" s="2">
        <v>10.366099999999999</v>
      </c>
      <c r="U1460" s="2">
        <v>55.436100000000003</v>
      </c>
      <c r="W1460" s="5">
        <f t="shared" si="149"/>
        <v>1</v>
      </c>
      <c r="AE1460" s="2">
        <f t="shared" si="144"/>
        <v>0</v>
      </c>
      <c r="AI1460" s="2">
        <f t="shared" si="145"/>
        <v>0</v>
      </c>
      <c r="AJ1460" s="2">
        <f t="shared" si="146"/>
        <v>45.07</v>
      </c>
      <c r="AK1460" s="5">
        <f t="shared" si="147"/>
        <v>1</v>
      </c>
    </row>
    <row r="1461" spans="1:37" x14ac:dyDescent="0.2">
      <c r="A1461" s="2">
        <v>2025</v>
      </c>
      <c r="B1461" s="2">
        <v>7</v>
      </c>
      <c r="C1461" s="2" t="s">
        <v>1676</v>
      </c>
      <c r="O1461" s="2" t="s">
        <v>115</v>
      </c>
      <c r="P1461" s="2" t="s">
        <v>1342</v>
      </c>
      <c r="Q1461" s="2" t="s">
        <v>1343</v>
      </c>
      <c r="R1461" s="2">
        <v>1</v>
      </c>
      <c r="S1461" s="2">
        <v>70.12</v>
      </c>
      <c r="T1461" s="2">
        <v>16.127600000000001</v>
      </c>
      <c r="U1461" s="2">
        <v>86.247600000000006</v>
      </c>
      <c r="W1461" s="5">
        <f t="shared" si="149"/>
        <v>1</v>
      </c>
      <c r="AE1461" s="2">
        <f t="shared" si="144"/>
        <v>0</v>
      </c>
      <c r="AI1461" s="2">
        <f t="shared" si="145"/>
        <v>0</v>
      </c>
      <c r="AJ1461" s="2">
        <f t="shared" si="146"/>
        <v>70.12</v>
      </c>
      <c r="AK1461" s="5">
        <f t="shared" si="147"/>
        <v>1</v>
      </c>
    </row>
    <row r="1462" spans="1:37" x14ac:dyDescent="0.2">
      <c r="A1462" s="2">
        <v>2025</v>
      </c>
      <c r="B1462" s="2">
        <v>7</v>
      </c>
      <c r="C1462" s="2" t="s">
        <v>1677</v>
      </c>
      <c r="O1462" s="2" t="s">
        <v>40</v>
      </c>
      <c r="P1462" s="2" t="s">
        <v>364</v>
      </c>
      <c r="Q1462" s="2" t="s">
        <v>365</v>
      </c>
      <c r="R1462" s="2">
        <v>1</v>
      </c>
      <c r="S1462" s="2">
        <v>120.75</v>
      </c>
      <c r="T1462" s="2">
        <v>27.772500000000001</v>
      </c>
      <c r="U1462" s="2">
        <v>148.52250000000001</v>
      </c>
      <c r="W1462" s="5">
        <f t="shared" si="149"/>
        <v>1</v>
      </c>
      <c r="Y1462" s="2" t="s">
        <v>120</v>
      </c>
      <c r="AE1462" s="2">
        <f t="shared" si="144"/>
        <v>0</v>
      </c>
      <c r="AI1462" s="2">
        <f t="shared" si="145"/>
        <v>0</v>
      </c>
      <c r="AJ1462" s="2">
        <f t="shared" si="146"/>
        <v>120.75</v>
      </c>
      <c r="AK1462" s="5">
        <f t="shared" si="147"/>
        <v>1</v>
      </c>
    </row>
    <row r="1463" spans="1:37" x14ac:dyDescent="0.2">
      <c r="A1463" s="2">
        <v>2025</v>
      </c>
      <c r="B1463" s="2">
        <v>7</v>
      </c>
      <c r="C1463" s="2" t="s">
        <v>649</v>
      </c>
      <c r="D1463" s="2" t="s">
        <v>38</v>
      </c>
      <c r="E1463" s="2" t="s">
        <v>39</v>
      </c>
      <c r="F1463" s="2">
        <v>509056946</v>
      </c>
      <c r="G1463" s="2" t="s">
        <v>110</v>
      </c>
      <c r="H1463" s="2" t="s">
        <v>650</v>
      </c>
      <c r="I1463" s="2" t="s">
        <v>651</v>
      </c>
      <c r="J1463" s="2">
        <v>964495536</v>
      </c>
      <c r="K1463" s="2" t="s">
        <v>113</v>
      </c>
      <c r="O1463" s="2" t="s">
        <v>43</v>
      </c>
      <c r="P1463" s="2" t="s">
        <v>62</v>
      </c>
      <c r="Q1463" s="2" t="s">
        <v>63</v>
      </c>
      <c r="R1463" s="2">
        <v>2000</v>
      </c>
      <c r="S1463" s="2">
        <v>200</v>
      </c>
      <c r="T1463" s="2">
        <v>46</v>
      </c>
      <c r="U1463" s="2">
        <v>246</v>
      </c>
      <c r="V1463" s="2">
        <f>0.082*R1463</f>
        <v>164</v>
      </c>
      <c r="W1463" s="5">
        <f t="shared" si="149"/>
        <v>0.18</v>
      </c>
      <c r="Y1463" s="2" t="s">
        <v>3256</v>
      </c>
      <c r="Z1463" s="2" t="s">
        <v>46</v>
      </c>
      <c r="AA1463" s="2" t="s">
        <v>61</v>
      </c>
      <c r="AB1463" s="2" t="s">
        <v>58</v>
      </c>
      <c r="AE1463" s="2">
        <f t="shared" si="144"/>
        <v>0</v>
      </c>
      <c r="AF1463" s="2">
        <v>8.1999999999999993</v>
      </c>
      <c r="AG1463" s="2">
        <v>13</v>
      </c>
      <c r="AI1463" s="2">
        <f t="shared" si="145"/>
        <v>0</v>
      </c>
      <c r="AJ1463" s="2">
        <f t="shared" si="146"/>
        <v>36</v>
      </c>
      <c r="AK1463" s="5">
        <f t="shared" si="147"/>
        <v>0.18</v>
      </c>
    </row>
    <row r="1464" spans="1:37" x14ac:dyDescent="0.2">
      <c r="A1464" s="2">
        <v>2025</v>
      </c>
      <c r="B1464" s="2">
        <v>7</v>
      </c>
      <c r="C1464" s="2" t="s">
        <v>1129</v>
      </c>
      <c r="D1464" s="2" t="s">
        <v>109</v>
      </c>
      <c r="E1464" s="2" t="s">
        <v>39</v>
      </c>
      <c r="F1464" s="2">
        <v>504923765</v>
      </c>
      <c r="G1464" s="2" t="s">
        <v>110</v>
      </c>
      <c r="H1464" s="2" t="s">
        <v>3275</v>
      </c>
      <c r="I1464" s="2" t="s">
        <v>3276</v>
      </c>
      <c r="J1464" s="2">
        <v>96179412</v>
      </c>
      <c r="K1464" s="2" t="s">
        <v>465</v>
      </c>
      <c r="L1464" s="2" t="s">
        <v>40</v>
      </c>
      <c r="N1464" s="2" t="s">
        <v>3283</v>
      </c>
      <c r="O1464" s="2" t="s">
        <v>115</v>
      </c>
      <c r="P1464" s="2" t="s">
        <v>543</v>
      </c>
      <c r="Q1464" s="2" t="s">
        <v>544</v>
      </c>
      <c r="R1464" s="2">
        <v>1</v>
      </c>
      <c r="S1464" s="2">
        <v>49.81</v>
      </c>
      <c r="T1464" s="2">
        <v>11.456300000000001</v>
      </c>
      <c r="U1464" s="2">
        <v>61.266300000000001</v>
      </c>
      <c r="V1464" s="2">
        <v>24.454000000000001</v>
      </c>
      <c r="W1464" s="5">
        <f t="shared" si="149"/>
        <v>0.5090544067456334</v>
      </c>
      <c r="Y1464" s="2" t="s">
        <v>118</v>
      </c>
      <c r="Z1464" s="2" t="s">
        <v>119</v>
      </c>
      <c r="AA1464" s="2" t="s">
        <v>120</v>
      </c>
      <c r="AB1464" s="2" t="s">
        <v>115</v>
      </c>
      <c r="AE1464" s="2">
        <f t="shared" si="144"/>
        <v>0</v>
      </c>
      <c r="AI1464" s="2">
        <f t="shared" si="145"/>
        <v>0</v>
      </c>
      <c r="AJ1464" s="2">
        <f t="shared" si="146"/>
        <v>25.356000000000002</v>
      </c>
      <c r="AK1464" s="5">
        <f t="shared" si="147"/>
        <v>0.5090544067456334</v>
      </c>
    </row>
    <row r="1465" spans="1:37" x14ac:dyDescent="0.2">
      <c r="A1465" s="2">
        <v>2025</v>
      </c>
      <c r="B1465" s="2">
        <v>7</v>
      </c>
      <c r="C1465" s="2" t="s">
        <v>1129</v>
      </c>
      <c r="D1465" s="2" t="s">
        <v>109</v>
      </c>
      <c r="E1465" s="2" t="s">
        <v>39</v>
      </c>
      <c r="F1465" s="2">
        <v>504923765</v>
      </c>
      <c r="G1465" s="2" t="s">
        <v>110</v>
      </c>
      <c r="H1465" s="2" t="s">
        <v>3275</v>
      </c>
      <c r="I1465" s="2" t="s">
        <v>3276</v>
      </c>
      <c r="J1465" s="2">
        <v>96179412</v>
      </c>
      <c r="K1465" s="2" t="s">
        <v>465</v>
      </c>
      <c r="L1465" s="2" t="s">
        <v>40</v>
      </c>
      <c r="N1465" s="2" t="s">
        <v>3283</v>
      </c>
      <c r="O1465" s="2" t="s">
        <v>188</v>
      </c>
      <c r="P1465" s="2" t="s">
        <v>189</v>
      </c>
      <c r="Q1465" s="2" t="s">
        <v>190</v>
      </c>
      <c r="R1465" s="2">
        <v>1</v>
      </c>
      <c r="S1465" s="2">
        <v>197</v>
      </c>
      <c r="T1465" s="2">
        <v>45.31</v>
      </c>
      <c r="U1465" s="2">
        <v>242.31</v>
      </c>
      <c r="W1465" s="5">
        <f t="shared" si="149"/>
        <v>1</v>
      </c>
      <c r="Y1465" s="2" t="s">
        <v>118</v>
      </c>
      <c r="Z1465" s="2" t="s">
        <v>191</v>
      </c>
      <c r="AE1465" s="2">
        <f t="shared" si="144"/>
        <v>0</v>
      </c>
      <c r="AI1465" s="2">
        <f t="shared" si="145"/>
        <v>0</v>
      </c>
      <c r="AJ1465" s="2">
        <f t="shared" si="146"/>
        <v>197</v>
      </c>
      <c r="AK1465" s="5">
        <f t="shared" si="147"/>
        <v>1</v>
      </c>
    </row>
    <row r="1466" spans="1:37" x14ac:dyDescent="0.2">
      <c r="A1466" s="2">
        <v>2025</v>
      </c>
      <c r="B1466" s="2">
        <v>7</v>
      </c>
      <c r="C1466" s="2" t="s">
        <v>1129</v>
      </c>
      <c r="D1466" s="2" t="s">
        <v>109</v>
      </c>
      <c r="E1466" s="2" t="s">
        <v>39</v>
      </c>
      <c r="F1466" s="2">
        <v>504923765</v>
      </c>
      <c r="G1466" s="2" t="s">
        <v>110</v>
      </c>
      <c r="H1466" s="2" t="s">
        <v>3275</v>
      </c>
      <c r="I1466" s="2" t="s">
        <v>3276</v>
      </c>
      <c r="J1466" s="2">
        <v>96179412</v>
      </c>
      <c r="K1466" s="2" t="s">
        <v>465</v>
      </c>
      <c r="L1466" s="2" t="s">
        <v>40</v>
      </c>
      <c r="N1466" s="2" t="s">
        <v>3283</v>
      </c>
      <c r="O1466" s="2" t="s">
        <v>188</v>
      </c>
      <c r="P1466" s="2" t="s">
        <v>192</v>
      </c>
      <c r="Q1466" s="2" t="s">
        <v>191</v>
      </c>
      <c r="R1466" s="2">
        <v>1</v>
      </c>
      <c r="S1466" s="2">
        <v>50</v>
      </c>
      <c r="T1466" s="2">
        <v>11.5</v>
      </c>
      <c r="U1466" s="2">
        <v>61.5</v>
      </c>
      <c r="V1466" s="2">
        <f>S1466*50%</f>
        <v>25</v>
      </c>
      <c r="W1466" s="5">
        <f t="shared" si="149"/>
        <v>0.5</v>
      </c>
      <c r="Y1466" s="2" t="s">
        <v>118</v>
      </c>
      <c r="Z1466" s="2" t="s">
        <v>191</v>
      </c>
      <c r="AE1466" s="2">
        <f t="shared" si="144"/>
        <v>0</v>
      </c>
      <c r="AI1466" s="2">
        <f t="shared" si="145"/>
        <v>0</v>
      </c>
      <c r="AJ1466" s="2">
        <f t="shared" si="146"/>
        <v>25</v>
      </c>
      <c r="AK1466" s="5">
        <f t="shared" si="147"/>
        <v>0.5</v>
      </c>
    </row>
    <row r="1467" spans="1:37" x14ac:dyDescent="0.2">
      <c r="A1467" s="2">
        <v>2025</v>
      </c>
      <c r="B1467" s="2">
        <v>7</v>
      </c>
      <c r="C1467" s="2" t="s">
        <v>661</v>
      </c>
      <c r="D1467" s="2" t="s">
        <v>38</v>
      </c>
      <c r="F1467" s="2">
        <v>509116590</v>
      </c>
      <c r="G1467" s="2" t="s">
        <v>291</v>
      </c>
      <c r="H1467" s="2" t="s">
        <v>662</v>
      </c>
      <c r="I1467" s="2" t="s">
        <v>663</v>
      </c>
      <c r="K1467" s="2" t="s">
        <v>294</v>
      </c>
      <c r="L1467" s="2" t="s">
        <v>81</v>
      </c>
      <c r="O1467" s="2" t="s">
        <v>73</v>
      </c>
      <c r="P1467" s="2" t="s">
        <v>74</v>
      </c>
      <c r="Q1467" s="2" t="s">
        <v>75</v>
      </c>
      <c r="R1467" s="2">
        <v>1</v>
      </c>
      <c r="S1467" s="2">
        <v>220</v>
      </c>
      <c r="T1467" s="2">
        <v>50.6</v>
      </c>
      <c r="U1467" s="2">
        <v>270.60000000000002</v>
      </c>
      <c r="V1467" s="2">
        <v>117.453</v>
      </c>
      <c r="W1467" s="5">
        <f t="shared" si="149"/>
        <v>0.46612272727272724</v>
      </c>
      <c r="Y1467" s="2" t="s">
        <v>3256</v>
      </c>
      <c r="Z1467" s="2" t="s">
        <v>76</v>
      </c>
      <c r="AA1467" s="2" t="s">
        <v>77</v>
      </c>
      <c r="AB1467" s="2" t="s">
        <v>78</v>
      </c>
      <c r="AE1467" s="2">
        <f t="shared" si="144"/>
        <v>0</v>
      </c>
      <c r="AF1467" s="2">
        <v>117.453</v>
      </c>
      <c r="AG1467" s="2">
        <v>220</v>
      </c>
      <c r="AI1467" s="2">
        <f t="shared" si="145"/>
        <v>0</v>
      </c>
      <c r="AJ1467" s="2">
        <f t="shared" si="146"/>
        <v>102.547</v>
      </c>
      <c r="AK1467" s="5">
        <f t="shared" si="147"/>
        <v>0.46612272727272724</v>
      </c>
    </row>
    <row r="1468" spans="1:37" x14ac:dyDescent="0.2">
      <c r="A1468" s="2">
        <v>2025</v>
      </c>
      <c r="B1468" s="2">
        <v>7</v>
      </c>
      <c r="C1468" s="2" t="s">
        <v>661</v>
      </c>
      <c r="D1468" s="2" t="s">
        <v>38</v>
      </c>
      <c r="F1468" s="2">
        <v>509116590</v>
      </c>
      <c r="G1468" s="2" t="s">
        <v>291</v>
      </c>
      <c r="H1468" s="2" t="s">
        <v>662</v>
      </c>
      <c r="I1468" s="2" t="s">
        <v>663</v>
      </c>
      <c r="K1468" s="2" t="s">
        <v>294</v>
      </c>
      <c r="L1468" s="2" t="s">
        <v>81</v>
      </c>
      <c r="O1468" s="2" t="s">
        <v>94</v>
      </c>
      <c r="P1468" s="2" t="s">
        <v>95</v>
      </c>
      <c r="Q1468" s="2" t="s">
        <v>96</v>
      </c>
      <c r="R1468" s="2">
        <v>1</v>
      </c>
      <c r="S1468" s="2">
        <v>1.1399999999999999</v>
      </c>
      <c r="T1468" s="2">
        <v>0.26219999999999999</v>
      </c>
      <c r="U1468" s="2">
        <v>1.4021999999999999</v>
      </c>
      <c r="V1468" s="2">
        <v>1.1399999999999999</v>
      </c>
      <c r="W1468" s="5">
        <f t="shared" si="149"/>
        <v>0</v>
      </c>
      <c r="Y1468" s="2" t="s">
        <v>3256</v>
      </c>
      <c r="Z1468" s="2" t="s">
        <v>97</v>
      </c>
      <c r="AA1468" s="2" t="s">
        <v>77</v>
      </c>
      <c r="AB1468" s="2" t="s">
        <v>94</v>
      </c>
      <c r="AE1468" s="2">
        <f t="shared" si="144"/>
        <v>0</v>
      </c>
      <c r="AI1468" s="2">
        <f t="shared" si="145"/>
        <v>0</v>
      </c>
      <c r="AJ1468" s="2">
        <f t="shared" si="146"/>
        <v>0</v>
      </c>
      <c r="AK1468" s="5">
        <f t="shared" si="147"/>
        <v>0</v>
      </c>
    </row>
    <row r="1469" spans="1:37" x14ac:dyDescent="0.2">
      <c r="A1469" s="2">
        <v>2025</v>
      </c>
      <c r="B1469" s="2">
        <v>7</v>
      </c>
      <c r="C1469" s="2" t="s">
        <v>1678</v>
      </c>
      <c r="O1469" s="2" t="s">
        <v>283</v>
      </c>
      <c r="P1469" s="2" t="s">
        <v>1679</v>
      </c>
      <c r="Q1469" s="2" t="s">
        <v>1680</v>
      </c>
      <c r="R1469" s="2">
        <v>1</v>
      </c>
      <c r="S1469" s="2">
        <v>5190</v>
      </c>
      <c r="T1469" s="2">
        <v>1193.7</v>
      </c>
      <c r="U1469" s="2">
        <v>6383.7</v>
      </c>
      <c r="W1469" s="5">
        <f t="shared" si="149"/>
        <v>1</v>
      </c>
      <c r="AE1469" s="2">
        <f t="shared" si="144"/>
        <v>0</v>
      </c>
      <c r="AI1469" s="2">
        <f t="shared" si="145"/>
        <v>0</v>
      </c>
      <c r="AJ1469" s="2">
        <f t="shared" si="146"/>
        <v>5190</v>
      </c>
      <c r="AK1469" s="5">
        <f t="shared" si="147"/>
        <v>1</v>
      </c>
    </row>
    <row r="1470" spans="1:37" x14ac:dyDescent="0.2">
      <c r="A1470" s="2">
        <v>2025</v>
      </c>
      <c r="B1470" s="2">
        <v>7</v>
      </c>
      <c r="C1470" s="2" t="s">
        <v>1678</v>
      </c>
      <c r="O1470" s="2" t="s">
        <v>283</v>
      </c>
      <c r="P1470" s="2" t="s">
        <v>1681</v>
      </c>
      <c r="Q1470" s="2" t="s">
        <v>1682</v>
      </c>
      <c r="R1470" s="2">
        <v>1</v>
      </c>
      <c r="S1470" s="2">
        <v>0</v>
      </c>
      <c r="T1470" s="2">
        <v>0</v>
      </c>
      <c r="U1470" s="2">
        <v>0</v>
      </c>
      <c r="W1470" s="5">
        <v>0</v>
      </c>
      <c r="AE1470" s="2">
        <f t="shared" si="144"/>
        <v>0</v>
      </c>
      <c r="AI1470" s="2">
        <f t="shared" si="145"/>
        <v>0</v>
      </c>
      <c r="AJ1470" s="2">
        <f t="shared" si="146"/>
        <v>0</v>
      </c>
      <c r="AK1470" s="5" t="e">
        <f t="shared" si="147"/>
        <v>#DIV/0!</v>
      </c>
    </row>
    <row r="1471" spans="1:37" x14ac:dyDescent="0.2">
      <c r="A1471" s="2">
        <v>2025</v>
      </c>
      <c r="B1471" s="2">
        <v>7</v>
      </c>
      <c r="C1471" s="2" t="s">
        <v>928</v>
      </c>
      <c r="P1471" s="2" t="s">
        <v>710</v>
      </c>
      <c r="Q1471" s="2" t="s">
        <v>711</v>
      </c>
      <c r="R1471" s="2">
        <v>1</v>
      </c>
      <c r="S1471" s="2">
        <v>2252.5</v>
      </c>
      <c r="T1471" s="2">
        <v>518.07500000000005</v>
      </c>
      <c r="U1471" s="2">
        <v>2770.5749999999998</v>
      </c>
      <c r="W1471" s="5">
        <f t="shared" ref="W1471:W1515" si="150">(S1471-V1471)/S1471</f>
        <v>1</v>
      </c>
      <c r="Y1471" s="2" t="s">
        <v>105</v>
      </c>
      <c r="AE1471" s="2">
        <f t="shared" si="144"/>
        <v>0</v>
      </c>
      <c r="AI1471" s="2">
        <f t="shared" si="145"/>
        <v>0</v>
      </c>
      <c r="AJ1471" s="2">
        <f t="shared" si="146"/>
        <v>2252.5</v>
      </c>
      <c r="AK1471" s="5">
        <f t="shared" si="147"/>
        <v>1</v>
      </c>
    </row>
    <row r="1472" spans="1:37" x14ac:dyDescent="0.2">
      <c r="A1472" s="2">
        <v>2025</v>
      </c>
      <c r="B1472" s="2">
        <v>7</v>
      </c>
      <c r="C1472" s="2" t="s">
        <v>680</v>
      </c>
      <c r="L1472" s="2" t="s">
        <v>40</v>
      </c>
      <c r="O1472" s="2" t="s">
        <v>188</v>
      </c>
      <c r="P1472" s="2" t="s">
        <v>189</v>
      </c>
      <c r="Q1472" s="2" t="s">
        <v>190</v>
      </c>
      <c r="R1472" s="2">
        <v>1</v>
      </c>
      <c r="S1472" s="2">
        <v>50</v>
      </c>
      <c r="T1472" s="2">
        <v>11.5</v>
      </c>
      <c r="U1472" s="2">
        <v>61.5</v>
      </c>
      <c r="W1472" s="5">
        <f t="shared" si="150"/>
        <v>1</v>
      </c>
      <c r="Y1472" s="2" t="s">
        <v>118</v>
      </c>
      <c r="Z1472" s="2" t="s">
        <v>191</v>
      </c>
      <c r="AE1472" s="2">
        <f t="shared" si="144"/>
        <v>0</v>
      </c>
      <c r="AI1472" s="2">
        <f t="shared" si="145"/>
        <v>0</v>
      </c>
      <c r="AJ1472" s="2">
        <f t="shared" si="146"/>
        <v>50</v>
      </c>
      <c r="AK1472" s="5">
        <f t="shared" si="147"/>
        <v>1</v>
      </c>
    </row>
    <row r="1473" spans="1:37" x14ac:dyDescent="0.2">
      <c r="A1473" s="2">
        <v>2025</v>
      </c>
      <c r="B1473" s="2">
        <v>7</v>
      </c>
      <c r="C1473" s="2" t="s">
        <v>680</v>
      </c>
      <c r="L1473" s="2" t="s">
        <v>40</v>
      </c>
      <c r="O1473" s="2" t="s">
        <v>188</v>
      </c>
      <c r="P1473" s="2" t="s">
        <v>192</v>
      </c>
      <c r="Q1473" s="2" t="s">
        <v>191</v>
      </c>
      <c r="R1473" s="2">
        <v>2</v>
      </c>
      <c r="S1473" s="2">
        <v>100</v>
      </c>
      <c r="T1473" s="2">
        <v>23</v>
      </c>
      <c r="U1473" s="2">
        <v>123</v>
      </c>
      <c r="V1473" s="2">
        <f>S1473*50%</f>
        <v>50</v>
      </c>
      <c r="W1473" s="5">
        <f t="shared" si="150"/>
        <v>0.5</v>
      </c>
      <c r="Y1473" s="2" t="s">
        <v>118</v>
      </c>
      <c r="Z1473" s="2" t="s">
        <v>191</v>
      </c>
      <c r="AE1473" s="2">
        <f t="shared" si="144"/>
        <v>0</v>
      </c>
      <c r="AI1473" s="2">
        <f t="shared" si="145"/>
        <v>0</v>
      </c>
      <c r="AJ1473" s="2">
        <f t="shared" si="146"/>
        <v>50</v>
      </c>
      <c r="AK1473" s="5">
        <f t="shared" si="147"/>
        <v>0.5</v>
      </c>
    </row>
    <row r="1474" spans="1:37" x14ac:dyDescent="0.2">
      <c r="A1474" s="2">
        <v>2025</v>
      </c>
      <c r="B1474" s="2">
        <v>6</v>
      </c>
      <c r="C1474" s="2" t="s">
        <v>1683</v>
      </c>
      <c r="O1474" s="2" t="s">
        <v>283</v>
      </c>
      <c r="P1474" s="2" t="s">
        <v>1448</v>
      </c>
      <c r="Q1474" s="2" t="s">
        <v>1449</v>
      </c>
      <c r="R1474" s="2">
        <v>1</v>
      </c>
      <c r="S1474" s="2">
        <v>7.9</v>
      </c>
      <c r="T1474" s="2">
        <v>1.8169999999999999</v>
      </c>
      <c r="U1474" s="2">
        <v>9.7170000000000005</v>
      </c>
      <c r="W1474" s="5">
        <f t="shared" si="150"/>
        <v>1</v>
      </c>
      <c r="Y1474" s="2" t="s">
        <v>3256</v>
      </c>
      <c r="AE1474" s="2">
        <f t="shared" si="144"/>
        <v>0</v>
      </c>
      <c r="AI1474" s="2">
        <f t="shared" si="145"/>
        <v>0</v>
      </c>
      <c r="AJ1474" s="2">
        <f t="shared" si="146"/>
        <v>7.9</v>
      </c>
      <c r="AK1474" s="5">
        <f t="shared" si="147"/>
        <v>1</v>
      </c>
    </row>
    <row r="1475" spans="1:37" x14ac:dyDescent="0.2">
      <c r="A1475" s="2">
        <v>2025</v>
      </c>
      <c r="B1475" s="2">
        <v>6</v>
      </c>
      <c r="C1475" s="2" t="s">
        <v>1683</v>
      </c>
      <c r="O1475" s="2" t="s">
        <v>43</v>
      </c>
      <c r="P1475" s="2" t="s">
        <v>55</v>
      </c>
      <c r="Q1475" s="2" t="s">
        <v>56</v>
      </c>
      <c r="R1475" s="2">
        <v>2</v>
      </c>
      <c r="S1475" s="2">
        <v>29</v>
      </c>
      <c r="T1475" s="2">
        <v>6.67</v>
      </c>
      <c r="U1475" s="2">
        <v>35.67</v>
      </c>
      <c r="V1475" s="2">
        <f>10.6*R1475</f>
        <v>21.2</v>
      </c>
      <c r="W1475" s="5">
        <f t="shared" si="150"/>
        <v>0.26896551724137935</v>
      </c>
      <c r="Y1475" s="2" t="s">
        <v>3256</v>
      </c>
      <c r="Z1475" s="2" t="s">
        <v>46</v>
      </c>
      <c r="AA1475" s="2" t="s">
        <v>57</v>
      </c>
      <c r="AB1475" s="2" t="s">
        <v>58</v>
      </c>
      <c r="AE1475" s="2">
        <f t="shared" ref="AE1475:AE1538" si="151">AI1475</f>
        <v>0</v>
      </c>
      <c r="AF1475" s="2">
        <v>10.6</v>
      </c>
      <c r="AG1475" s="2">
        <v>18</v>
      </c>
      <c r="AI1475" s="2">
        <f t="shared" ref="AI1475:AI1538" si="152">AH1475*S1475</f>
        <v>0</v>
      </c>
      <c r="AJ1475" s="2">
        <f t="shared" ref="AJ1475:AJ1538" si="153">S1475-V1475</f>
        <v>7.8000000000000007</v>
      </c>
      <c r="AK1475" s="5">
        <f t="shared" si="147"/>
        <v>0.26896551724137935</v>
      </c>
    </row>
    <row r="1476" spans="1:37" x14ac:dyDescent="0.2">
      <c r="A1476" s="2">
        <v>2025</v>
      </c>
      <c r="B1476" s="2">
        <v>6</v>
      </c>
      <c r="C1476" s="2" t="s">
        <v>1683</v>
      </c>
      <c r="O1476" s="2" t="s">
        <v>43</v>
      </c>
      <c r="P1476" s="2" t="s">
        <v>59</v>
      </c>
      <c r="Q1476" s="2" t="s">
        <v>60</v>
      </c>
      <c r="R1476" s="2">
        <v>100</v>
      </c>
      <c r="S1476" s="2">
        <v>12</v>
      </c>
      <c r="T1476" s="2">
        <v>2.76</v>
      </c>
      <c r="U1476" s="2">
        <v>14.76</v>
      </c>
      <c r="V1476" s="2">
        <f>0.0914*R1476</f>
        <v>9.1399999999999988</v>
      </c>
      <c r="W1476" s="5">
        <f t="shared" si="150"/>
        <v>0.23833333333333342</v>
      </c>
      <c r="Y1476" s="2" t="s">
        <v>3256</v>
      </c>
      <c r="Z1476" s="2" t="s">
        <v>46</v>
      </c>
      <c r="AA1476" s="2" t="s">
        <v>61</v>
      </c>
      <c r="AB1476" s="2" t="s">
        <v>58</v>
      </c>
      <c r="AE1476" s="2">
        <f t="shared" si="151"/>
        <v>0</v>
      </c>
      <c r="AF1476" s="2">
        <v>9.14</v>
      </c>
      <c r="AG1476" s="2">
        <v>16</v>
      </c>
      <c r="AI1476" s="2">
        <f t="shared" si="152"/>
        <v>0</v>
      </c>
      <c r="AJ1476" s="2">
        <f t="shared" si="153"/>
        <v>2.8600000000000012</v>
      </c>
      <c r="AK1476" s="5">
        <f t="shared" si="147"/>
        <v>0.23833333333333342</v>
      </c>
    </row>
    <row r="1477" spans="1:37" x14ac:dyDescent="0.2">
      <c r="A1477" s="2">
        <v>2025</v>
      </c>
      <c r="B1477" s="2">
        <v>6</v>
      </c>
      <c r="C1477" s="2" t="s">
        <v>1683</v>
      </c>
      <c r="O1477" s="2" t="s">
        <v>43</v>
      </c>
      <c r="P1477" s="2" t="s">
        <v>62</v>
      </c>
      <c r="Q1477" s="2" t="s">
        <v>63</v>
      </c>
      <c r="R1477" s="2">
        <v>300</v>
      </c>
      <c r="S1477" s="2">
        <v>30</v>
      </c>
      <c r="T1477" s="2">
        <v>6.9</v>
      </c>
      <c r="U1477" s="2">
        <v>36.9</v>
      </c>
      <c r="V1477" s="2">
        <f>0.082*R1477</f>
        <v>24.6</v>
      </c>
      <c r="W1477" s="5">
        <f t="shared" si="150"/>
        <v>0.17999999999999997</v>
      </c>
      <c r="Y1477" s="2" t="s">
        <v>3256</v>
      </c>
      <c r="Z1477" s="2" t="s">
        <v>46</v>
      </c>
      <c r="AA1477" s="2" t="s">
        <v>61</v>
      </c>
      <c r="AB1477" s="2" t="s">
        <v>58</v>
      </c>
      <c r="AE1477" s="2">
        <f t="shared" si="151"/>
        <v>0</v>
      </c>
      <c r="AF1477" s="2">
        <v>8.1999999999999993</v>
      </c>
      <c r="AG1477" s="2">
        <v>13</v>
      </c>
      <c r="AI1477" s="2">
        <f t="shared" si="152"/>
        <v>0</v>
      </c>
      <c r="AJ1477" s="2">
        <f t="shared" si="153"/>
        <v>5.3999999999999986</v>
      </c>
      <c r="AK1477" s="5">
        <f t="shared" si="147"/>
        <v>0.17999999999999997</v>
      </c>
    </row>
    <row r="1478" spans="1:37" x14ac:dyDescent="0.2">
      <c r="A1478" s="2">
        <v>2025</v>
      </c>
      <c r="B1478" s="2">
        <v>6</v>
      </c>
      <c r="C1478" s="2" t="s">
        <v>1683</v>
      </c>
      <c r="O1478" s="2" t="s">
        <v>73</v>
      </c>
      <c r="P1478" s="2" t="s">
        <v>919</v>
      </c>
      <c r="Q1478" s="2" t="s">
        <v>75</v>
      </c>
      <c r="R1478" s="2">
        <v>1</v>
      </c>
      <c r="S1478" s="2">
        <v>222.44</v>
      </c>
      <c r="T1478" s="2">
        <v>51.161200000000001</v>
      </c>
      <c r="U1478" s="2">
        <v>273.60120000000001</v>
      </c>
      <c r="W1478" s="5">
        <f t="shared" si="150"/>
        <v>1</v>
      </c>
      <c r="Y1478" s="2" t="s">
        <v>3256</v>
      </c>
      <c r="Z1478" s="2" t="s">
        <v>76</v>
      </c>
      <c r="AA1478" s="2" t="s">
        <v>77</v>
      </c>
      <c r="AB1478" s="2" t="s">
        <v>78</v>
      </c>
      <c r="AE1478" s="2">
        <f t="shared" si="151"/>
        <v>0</v>
      </c>
      <c r="AI1478" s="2">
        <f t="shared" si="152"/>
        <v>0</v>
      </c>
      <c r="AJ1478" s="2">
        <f t="shared" si="153"/>
        <v>222.44</v>
      </c>
      <c r="AK1478" s="5">
        <f t="shared" si="147"/>
        <v>1</v>
      </c>
    </row>
    <row r="1479" spans="1:37" x14ac:dyDescent="0.2">
      <c r="A1479" s="2">
        <v>2025</v>
      </c>
      <c r="B1479" s="2">
        <v>6</v>
      </c>
      <c r="C1479" s="2" t="s">
        <v>37</v>
      </c>
      <c r="D1479" s="2" t="s">
        <v>38</v>
      </c>
      <c r="E1479" s="2" t="s">
        <v>39</v>
      </c>
      <c r="G1479" s="2" t="s">
        <v>40</v>
      </c>
      <c r="O1479" s="2" t="s">
        <v>1047</v>
      </c>
      <c r="P1479" s="2" t="s">
        <v>1684</v>
      </c>
      <c r="Q1479" s="2" t="s">
        <v>1685</v>
      </c>
      <c r="R1479" s="2">
        <v>1</v>
      </c>
      <c r="S1479" s="2">
        <v>242.76</v>
      </c>
      <c r="T1479" s="2">
        <v>55.834800000000001</v>
      </c>
      <c r="U1479" s="2">
        <v>298.59480000000002</v>
      </c>
      <c r="W1479" s="5">
        <f t="shared" si="150"/>
        <v>1</v>
      </c>
      <c r="Y1479" s="2" t="s">
        <v>3256</v>
      </c>
      <c r="Z1479" s="2" t="s">
        <v>76</v>
      </c>
      <c r="AA1479" s="2" t="s">
        <v>77</v>
      </c>
      <c r="AB1479" s="2" t="s">
        <v>1047</v>
      </c>
      <c r="AE1479" s="2">
        <f t="shared" si="151"/>
        <v>0</v>
      </c>
      <c r="AI1479" s="2">
        <f t="shared" si="152"/>
        <v>0</v>
      </c>
      <c r="AJ1479" s="2">
        <f t="shared" si="153"/>
        <v>242.76</v>
      </c>
      <c r="AK1479" s="5">
        <f t="shared" si="147"/>
        <v>1</v>
      </c>
    </row>
    <row r="1480" spans="1:37" x14ac:dyDescent="0.2">
      <c r="A1480" s="2">
        <v>2025</v>
      </c>
      <c r="B1480" s="2">
        <v>6</v>
      </c>
      <c r="C1480" s="2" t="s">
        <v>37</v>
      </c>
      <c r="D1480" s="2" t="s">
        <v>38</v>
      </c>
      <c r="E1480" s="2" t="s">
        <v>39</v>
      </c>
      <c r="G1480" s="2" t="s">
        <v>40</v>
      </c>
      <c r="O1480" s="2" t="s">
        <v>1047</v>
      </c>
      <c r="P1480" s="2" t="s">
        <v>1686</v>
      </c>
      <c r="Q1480" s="2" t="s">
        <v>1687</v>
      </c>
      <c r="R1480" s="2">
        <v>2</v>
      </c>
      <c r="S1480" s="2">
        <v>406.51</v>
      </c>
      <c r="T1480" s="2">
        <v>93.497299999999996</v>
      </c>
      <c r="U1480" s="2">
        <v>500.00729999999999</v>
      </c>
      <c r="W1480" s="5">
        <f t="shared" si="150"/>
        <v>1</v>
      </c>
      <c r="Y1480" s="2" t="s">
        <v>3256</v>
      </c>
      <c r="Z1480" s="2" t="s">
        <v>1050</v>
      </c>
      <c r="AA1480" s="2" t="s">
        <v>1051</v>
      </c>
      <c r="AB1480" s="2" t="s">
        <v>1047</v>
      </c>
      <c r="AE1480" s="2">
        <f t="shared" si="151"/>
        <v>0</v>
      </c>
      <c r="AI1480" s="2">
        <f t="shared" si="152"/>
        <v>0</v>
      </c>
      <c r="AJ1480" s="2">
        <f t="shared" si="153"/>
        <v>406.51</v>
      </c>
      <c r="AK1480" s="5">
        <f t="shared" si="147"/>
        <v>1</v>
      </c>
    </row>
    <row r="1481" spans="1:37" x14ac:dyDescent="0.2">
      <c r="A1481" s="2">
        <v>2025</v>
      </c>
      <c r="B1481" s="2">
        <v>6</v>
      </c>
      <c r="C1481" s="2" t="s">
        <v>37</v>
      </c>
      <c r="D1481" s="2" t="s">
        <v>38</v>
      </c>
      <c r="E1481" s="2" t="s">
        <v>39</v>
      </c>
      <c r="G1481" s="2" t="s">
        <v>40</v>
      </c>
      <c r="O1481" s="2" t="s">
        <v>1047</v>
      </c>
      <c r="P1481" s="2" t="s">
        <v>1688</v>
      </c>
      <c r="Q1481" s="2" t="s">
        <v>1689</v>
      </c>
      <c r="R1481" s="2">
        <v>2</v>
      </c>
      <c r="S1481" s="2">
        <v>406.5</v>
      </c>
      <c r="T1481" s="2">
        <v>93.495000000000005</v>
      </c>
      <c r="U1481" s="2">
        <v>499.995</v>
      </c>
      <c r="W1481" s="5">
        <f t="shared" si="150"/>
        <v>1</v>
      </c>
      <c r="Y1481" s="2" t="s">
        <v>3256</v>
      </c>
      <c r="Z1481" s="2" t="s">
        <v>1050</v>
      </c>
      <c r="AA1481" s="2" t="s">
        <v>1051</v>
      </c>
      <c r="AB1481" s="2" t="s">
        <v>1047</v>
      </c>
      <c r="AE1481" s="2">
        <f t="shared" si="151"/>
        <v>0</v>
      </c>
      <c r="AI1481" s="2">
        <f t="shared" si="152"/>
        <v>0</v>
      </c>
      <c r="AJ1481" s="2">
        <f t="shared" si="153"/>
        <v>406.5</v>
      </c>
      <c r="AK1481" s="5">
        <f t="shared" si="147"/>
        <v>1</v>
      </c>
    </row>
    <row r="1482" spans="1:37" x14ac:dyDescent="0.2">
      <c r="A1482" s="2">
        <v>2025</v>
      </c>
      <c r="B1482" s="2">
        <v>6</v>
      </c>
      <c r="C1482" s="2" t="s">
        <v>1683</v>
      </c>
      <c r="O1482" s="2" t="s">
        <v>170</v>
      </c>
      <c r="P1482" s="2" t="s">
        <v>171</v>
      </c>
      <c r="Q1482" s="2" t="s">
        <v>171</v>
      </c>
      <c r="R1482" s="2">
        <v>1</v>
      </c>
      <c r="S1482" s="2">
        <v>50</v>
      </c>
      <c r="T1482" s="2">
        <v>11.5</v>
      </c>
      <c r="U1482" s="2">
        <v>61.5</v>
      </c>
      <c r="W1482" s="5">
        <f t="shared" si="150"/>
        <v>1</v>
      </c>
      <c r="Y1482" s="2" t="s">
        <v>170</v>
      </c>
      <c r="Z1482" s="2" t="s">
        <v>170</v>
      </c>
      <c r="AE1482" s="2">
        <f t="shared" si="151"/>
        <v>0</v>
      </c>
      <c r="AI1482" s="2">
        <f t="shared" si="152"/>
        <v>0</v>
      </c>
      <c r="AJ1482" s="2">
        <f t="shared" si="153"/>
        <v>50</v>
      </c>
      <c r="AK1482" s="5">
        <f t="shared" si="147"/>
        <v>1</v>
      </c>
    </row>
    <row r="1483" spans="1:37" x14ac:dyDescent="0.2">
      <c r="A1483" s="2">
        <v>2025</v>
      </c>
      <c r="B1483" s="2">
        <v>6</v>
      </c>
      <c r="C1483" s="2" t="s">
        <v>1683</v>
      </c>
      <c r="O1483" s="2" t="s">
        <v>94</v>
      </c>
      <c r="P1483" s="2" t="s">
        <v>95</v>
      </c>
      <c r="Q1483" s="2" t="s">
        <v>96</v>
      </c>
      <c r="R1483" s="2">
        <v>2</v>
      </c>
      <c r="S1483" s="2">
        <v>2.2799999999999998</v>
      </c>
      <c r="T1483" s="2">
        <v>0.52439999999999998</v>
      </c>
      <c r="U1483" s="2">
        <v>2.8043999999999998</v>
      </c>
      <c r="V1483" s="2">
        <v>2.2799999999999998</v>
      </c>
      <c r="W1483" s="5">
        <f t="shared" si="150"/>
        <v>0</v>
      </c>
      <c r="Y1483" s="2" t="s">
        <v>3256</v>
      </c>
      <c r="Z1483" s="2" t="s">
        <v>97</v>
      </c>
      <c r="AA1483" s="2" t="s">
        <v>77</v>
      </c>
      <c r="AB1483" s="2" t="s">
        <v>94</v>
      </c>
      <c r="AE1483" s="2">
        <f t="shared" si="151"/>
        <v>0</v>
      </c>
      <c r="AI1483" s="2">
        <f t="shared" si="152"/>
        <v>0</v>
      </c>
      <c r="AJ1483" s="2">
        <f t="shared" si="153"/>
        <v>0</v>
      </c>
      <c r="AK1483" s="5">
        <f t="shared" si="147"/>
        <v>0</v>
      </c>
    </row>
    <row r="1484" spans="1:37" x14ac:dyDescent="0.2">
      <c r="A1484" s="2">
        <v>2025</v>
      </c>
      <c r="B1484" s="2">
        <v>6</v>
      </c>
      <c r="C1484" s="2" t="s">
        <v>1690</v>
      </c>
      <c r="O1484" s="2" t="s">
        <v>43</v>
      </c>
      <c r="P1484" s="2" t="s">
        <v>53</v>
      </c>
      <c r="Q1484" s="2" t="s">
        <v>54</v>
      </c>
      <c r="R1484" s="2">
        <v>2</v>
      </c>
      <c r="S1484" s="2">
        <v>19.2</v>
      </c>
      <c r="T1484" s="2">
        <v>4.4160000000000004</v>
      </c>
      <c r="U1484" s="2">
        <v>23.616</v>
      </c>
      <c r="V1484" s="2">
        <f>5.2973*R1484</f>
        <v>10.5946</v>
      </c>
      <c r="W1484" s="5">
        <f t="shared" si="150"/>
        <v>0.44819791666666664</v>
      </c>
      <c r="Y1484" s="2" t="s">
        <v>3256</v>
      </c>
      <c r="Z1484" s="2" t="s">
        <v>46</v>
      </c>
      <c r="AA1484" s="2" t="s">
        <v>47</v>
      </c>
      <c r="AB1484" s="2" t="s">
        <v>48</v>
      </c>
      <c r="AE1484" s="2">
        <f t="shared" si="151"/>
        <v>0</v>
      </c>
      <c r="AF1484" s="2">
        <v>5.2972999999999999</v>
      </c>
      <c r="AG1484" s="2">
        <v>10.8</v>
      </c>
      <c r="AI1484" s="2">
        <f t="shared" si="152"/>
        <v>0</v>
      </c>
      <c r="AJ1484" s="2">
        <f t="shared" si="153"/>
        <v>8.6053999999999995</v>
      </c>
      <c r="AK1484" s="5">
        <f t="shared" si="147"/>
        <v>0.44819791666666664</v>
      </c>
    </row>
    <row r="1485" spans="1:37" x14ac:dyDescent="0.2">
      <c r="A1485" s="2">
        <v>2025</v>
      </c>
      <c r="B1485" s="2">
        <v>6</v>
      </c>
      <c r="C1485" s="2" t="s">
        <v>1690</v>
      </c>
      <c r="O1485" s="2" t="s">
        <v>43</v>
      </c>
      <c r="P1485" s="2" t="s">
        <v>55</v>
      </c>
      <c r="Q1485" s="2" t="s">
        <v>56</v>
      </c>
      <c r="R1485" s="2">
        <v>3</v>
      </c>
      <c r="S1485" s="2">
        <v>54</v>
      </c>
      <c r="T1485" s="2">
        <v>12.42</v>
      </c>
      <c r="U1485" s="2">
        <v>66.42</v>
      </c>
      <c r="V1485" s="2">
        <f>10.6*R1485</f>
        <v>31.799999999999997</v>
      </c>
      <c r="W1485" s="5">
        <f t="shared" si="150"/>
        <v>0.41111111111111115</v>
      </c>
      <c r="Y1485" s="2" t="s">
        <v>3256</v>
      </c>
      <c r="Z1485" s="2" t="s">
        <v>46</v>
      </c>
      <c r="AA1485" s="2" t="s">
        <v>57</v>
      </c>
      <c r="AB1485" s="2" t="s">
        <v>58</v>
      </c>
      <c r="AE1485" s="2">
        <f t="shared" si="151"/>
        <v>0</v>
      </c>
      <c r="AF1485" s="2">
        <v>10.6</v>
      </c>
      <c r="AG1485" s="2">
        <v>18</v>
      </c>
      <c r="AI1485" s="2">
        <f t="shared" si="152"/>
        <v>0</v>
      </c>
      <c r="AJ1485" s="2">
        <f t="shared" si="153"/>
        <v>22.200000000000003</v>
      </c>
      <c r="AK1485" s="5">
        <f t="shared" si="147"/>
        <v>0.41111111111111115</v>
      </c>
    </row>
    <row r="1486" spans="1:37" x14ac:dyDescent="0.2">
      <c r="A1486" s="2">
        <v>2025</v>
      </c>
      <c r="B1486" s="2">
        <v>6</v>
      </c>
      <c r="C1486" s="2" t="s">
        <v>1690</v>
      </c>
      <c r="O1486" s="2" t="s">
        <v>43</v>
      </c>
      <c r="P1486" s="2" t="s">
        <v>255</v>
      </c>
      <c r="Q1486" s="2" t="s">
        <v>256</v>
      </c>
      <c r="R1486" s="2">
        <v>200</v>
      </c>
      <c r="S1486" s="2">
        <v>28</v>
      </c>
      <c r="T1486" s="2">
        <v>6.44</v>
      </c>
      <c r="U1486" s="2">
        <v>34.44</v>
      </c>
      <c r="W1486" s="5">
        <f t="shared" si="150"/>
        <v>1</v>
      </c>
      <c r="Y1486" s="2" t="s">
        <v>3256</v>
      </c>
      <c r="Z1486" s="2" t="s">
        <v>46</v>
      </c>
      <c r="AA1486" s="2" t="s">
        <v>61</v>
      </c>
      <c r="AB1486" s="2" t="s">
        <v>58</v>
      </c>
      <c r="AE1486" s="2">
        <f t="shared" si="151"/>
        <v>0</v>
      </c>
      <c r="AI1486" s="2">
        <f t="shared" si="152"/>
        <v>0</v>
      </c>
      <c r="AJ1486" s="2">
        <f t="shared" si="153"/>
        <v>28</v>
      </c>
      <c r="AK1486" s="5">
        <f t="shared" si="147"/>
        <v>1</v>
      </c>
    </row>
    <row r="1487" spans="1:37" x14ac:dyDescent="0.2">
      <c r="A1487" s="2">
        <v>2025</v>
      </c>
      <c r="B1487" s="2">
        <v>6</v>
      </c>
      <c r="C1487" s="2" t="s">
        <v>1690</v>
      </c>
      <c r="O1487" s="2" t="s">
        <v>43</v>
      </c>
      <c r="P1487" s="2" t="s">
        <v>259</v>
      </c>
      <c r="Q1487" s="2" t="s">
        <v>260</v>
      </c>
      <c r="R1487" s="2">
        <v>1</v>
      </c>
      <c r="S1487" s="2">
        <v>24</v>
      </c>
      <c r="T1487" s="2">
        <v>5.52</v>
      </c>
      <c r="U1487" s="2">
        <v>29.52</v>
      </c>
      <c r="W1487" s="5">
        <f t="shared" si="150"/>
        <v>1</v>
      </c>
      <c r="Y1487" s="2" t="s">
        <v>3256</v>
      </c>
      <c r="Z1487" s="2" t="s">
        <v>46</v>
      </c>
      <c r="AA1487" s="2" t="s">
        <v>47</v>
      </c>
      <c r="AB1487" s="2" t="s">
        <v>48</v>
      </c>
      <c r="AE1487" s="2">
        <f t="shared" si="151"/>
        <v>0</v>
      </c>
      <c r="AI1487" s="2">
        <f t="shared" si="152"/>
        <v>0</v>
      </c>
      <c r="AJ1487" s="2">
        <f t="shared" si="153"/>
        <v>24</v>
      </c>
      <c r="AK1487" s="5">
        <f t="shared" si="147"/>
        <v>1</v>
      </c>
    </row>
    <row r="1488" spans="1:37" x14ac:dyDescent="0.2">
      <c r="A1488" s="2">
        <v>2025</v>
      </c>
      <c r="B1488" s="2">
        <v>6</v>
      </c>
      <c r="C1488" s="2" t="s">
        <v>1469</v>
      </c>
      <c r="L1488" s="2" t="s">
        <v>40</v>
      </c>
      <c r="O1488" s="2" t="s">
        <v>188</v>
      </c>
      <c r="P1488" s="2" t="s">
        <v>189</v>
      </c>
      <c r="Q1488" s="2" t="s">
        <v>190</v>
      </c>
      <c r="R1488" s="2">
        <v>1</v>
      </c>
      <c r="S1488" s="2">
        <v>134</v>
      </c>
      <c r="T1488" s="2">
        <v>30.82</v>
      </c>
      <c r="U1488" s="2">
        <v>164.82</v>
      </c>
      <c r="W1488" s="5">
        <f t="shared" si="150"/>
        <v>1</v>
      </c>
      <c r="Y1488" s="2" t="s">
        <v>118</v>
      </c>
      <c r="Z1488" s="2" t="s">
        <v>191</v>
      </c>
      <c r="AE1488" s="2">
        <f t="shared" si="151"/>
        <v>0</v>
      </c>
      <c r="AI1488" s="2">
        <f t="shared" si="152"/>
        <v>0</v>
      </c>
      <c r="AJ1488" s="2">
        <f t="shared" si="153"/>
        <v>134</v>
      </c>
      <c r="AK1488" s="5">
        <f t="shared" ref="AK1488:AK1551" si="154">(S1488-V1488)/S1488</f>
        <v>1</v>
      </c>
    </row>
    <row r="1489" spans="1:37" x14ac:dyDescent="0.2">
      <c r="A1489" s="2">
        <v>2025</v>
      </c>
      <c r="B1489" s="2">
        <v>6</v>
      </c>
      <c r="C1489" s="2" t="s">
        <v>1469</v>
      </c>
      <c r="L1489" s="2" t="s">
        <v>40</v>
      </c>
      <c r="O1489" s="2" t="s">
        <v>188</v>
      </c>
      <c r="P1489" s="2" t="s">
        <v>192</v>
      </c>
      <c r="Q1489" s="2" t="s">
        <v>191</v>
      </c>
      <c r="R1489" s="2">
        <v>2</v>
      </c>
      <c r="S1489" s="2">
        <v>100</v>
      </c>
      <c r="T1489" s="2">
        <v>23</v>
      </c>
      <c r="U1489" s="2">
        <v>123</v>
      </c>
      <c r="V1489" s="2">
        <f>S1489*50%</f>
        <v>50</v>
      </c>
      <c r="W1489" s="5">
        <f t="shared" si="150"/>
        <v>0.5</v>
      </c>
      <c r="Y1489" s="2" t="s">
        <v>118</v>
      </c>
      <c r="Z1489" s="2" t="s">
        <v>191</v>
      </c>
      <c r="AE1489" s="2">
        <f t="shared" si="151"/>
        <v>0</v>
      </c>
      <c r="AI1489" s="2">
        <f t="shared" si="152"/>
        <v>0</v>
      </c>
      <c r="AJ1489" s="2">
        <f t="shared" si="153"/>
        <v>50</v>
      </c>
      <c r="AK1489" s="5">
        <f t="shared" si="154"/>
        <v>0.5</v>
      </c>
    </row>
    <row r="1490" spans="1:37" x14ac:dyDescent="0.2">
      <c r="A1490" s="2">
        <v>2025</v>
      </c>
      <c r="B1490" s="2">
        <v>6</v>
      </c>
      <c r="C1490" s="2" t="s">
        <v>1487</v>
      </c>
      <c r="O1490" s="2" t="s">
        <v>43</v>
      </c>
      <c r="P1490" s="2" t="s">
        <v>55</v>
      </c>
      <c r="Q1490" s="2" t="s">
        <v>56</v>
      </c>
      <c r="R1490" s="2">
        <v>10</v>
      </c>
      <c r="S1490" s="2">
        <v>170</v>
      </c>
      <c r="T1490" s="2">
        <v>39.1</v>
      </c>
      <c r="U1490" s="2">
        <v>209.1</v>
      </c>
      <c r="V1490" s="2">
        <f>10.6*R1490</f>
        <v>106</v>
      </c>
      <c r="W1490" s="5">
        <f t="shared" si="150"/>
        <v>0.37647058823529411</v>
      </c>
      <c r="Y1490" s="2" t="s">
        <v>3256</v>
      </c>
      <c r="Z1490" s="2" t="s">
        <v>46</v>
      </c>
      <c r="AA1490" s="2" t="s">
        <v>57</v>
      </c>
      <c r="AB1490" s="2" t="s">
        <v>58</v>
      </c>
      <c r="AE1490" s="2">
        <f t="shared" si="151"/>
        <v>0</v>
      </c>
      <c r="AF1490" s="2">
        <v>10.6</v>
      </c>
      <c r="AG1490" s="2">
        <v>18</v>
      </c>
      <c r="AI1490" s="2">
        <f t="shared" si="152"/>
        <v>0</v>
      </c>
      <c r="AJ1490" s="2">
        <f t="shared" si="153"/>
        <v>64</v>
      </c>
      <c r="AK1490" s="5">
        <f t="shared" si="154"/>
        <v>0.37647058823529411</v>
      </c>
    </row>
    <row r="1491" spans="1:37" x14ac:dyDescent="0.2">
      <c r="A1491" s="2">
        <v>2025</v>
      </c>
      <c r="B1491" s="2">
        <v>6</v>
      </c>
      <c r="C1491" s="2" t="s">
        <v>1487</v>
      </c>
      <c r="O1491" s="2" t="s">
        <v>43</v>
      </c>
      <c r="P1491" s="2" t="s">
        <v>62</v>
      </c>
      <c r="Q1491" s="2" t="s">
        <v>63</v>
      </c>
      <c r="R1491" s="2">
        <v>500</v>
      </c>
      <c r="S1491" s="2">
        <v>55</v>
      </c>
      <c r="T1491" s="2">
        <v>12.65</v>
      </c>
      <c r="U1491" s="2">
        <v>67.650000000000006</v>
      </c>
      <c r="V1491" s="2">
        <f>0.082*R1491</f>
        <v>41</v>
      </c>
      <c r="W1491" s="5">
        <f t="shared" si="150"/>
        <v>0.25454545454545452</v>
      </c>
      <c r="Y1491" s="2" t="s">
        <v>3256</v>
      </c>
      <c r="Z1491" s="2" t="s">
        <v>46</v>
      </c>
      <c r="AA1491" s="2" t="s">
        <v>61</v>
      </c>
      <c r="AB1491" s="2" t="s">
        <v>58</v>
      </c>
      <c r="AE1491" s="2">
        <f t="shared" si="151"/>
        <v>0</v>
      </c>
      <c r="AF1491" s="2">
        <v>8.1999999999999993</v>
      </c>
      <c r="AG1491" s="2">
        <v>13</v>
      </c>
      <c r="AI1491" s="2">
        <f t="shared" si="152"/>
        <v>0</v>
      </c>
      <c r="AJ1491" s="2">
        <f t="shared" si="153"/>
        <v>14</v>
      </c>
      <c r="AK1491" s="5">
        <f t="shared" si="154"/>
        <v>0.25454545454545452</v>
      </c>
    </row>
    <row r="1492" spans="1:37" x14ac:dyDescent="0.2">
      <c r="A1492" s="2">
        <v>2025</v>
      </c>
      <c r="B1492" s="2">
        <v>6</v>
      </c>
      <c r="C1492" s="2" t="s">
        <v>1487</v>
      </c>
      <c r="O1492" s="2" t="s">
        <v>43</v>
      </c>
      <c r="P1492" s="2" t="s">
        <v>66</v>
      </c>
      <c r="Q1492" s="2" t="s">
        <v>67</v>
      </c>
      <c r="R1492" s="2">
        <v>5</v>
      </c>
      <c r="S1492" s="2">
        <v>100</v>
      </c>
      <c r="T1492" s="2">
        <v>23</v>
      </c>
      <c r="U1492" s="2">
        <v>123</v>
      </c>
      <c r="V1492" s="2">
        <f>15.0203*R1492</f>
        <v>75.101500000000001</v>
      </c>
      <c r="W1492" s="5">
        <f t="shared" si="150"/>
        <v>0.24898499999999998</v>
      </c>
      <c r="Y1492" s="2" t="s">
        <v>3256</v>
      </c>
      <c r="Z1492" s="2" t="s">
        <v>46</v>
      </c>
      <c r="AA1492" s="2" t="s">
        <v>68</v>
      </c>
      <c r="AB1492" s="2" t="s">
        <v>58</v>
      </c>
      <c r="AE1492" s="2">
        <f t="shared" si="151"/>
        <v>0</v>
      </c>
      <c r="AF1492" s="2">
        <v>15.020300000000001</v>
      </c>
      <c r="AG1492" s="2">
        <v>27.6</v>
      </c>
      <c r="AI1492" s="2">
        <f t="shared" si="152"/>
        <v>0</v>
      </c>
      <c r="AJ1492" s="2">
        <f t="shared" si="153"/>
        <v>24.898499999999999</v>
      </c>
      <c r="AK1492" s="5">
        <f t="shared" si="154"/>
        <v>0.24898499999999998</v>
      </c>
    </row>
    <row r="1493" spans="1:37" x14ac:dyDescent="0.2">
      <c r="A1493" s="2">
        <v>2025</v>
      </c>
      <c r="B1493" s="2">
        <v>6</v>
      </c>
      <c r="C1493" s="2" t="s">
        <v>1691</v>
      </c>
      <c r="O1493" s="2" t="s">
        <v>115</v>
      </c>
      <c r="P1493" s="2" t="s">
        <v>1260</v>
      </c>
      <c r="Q1493" s="2" t="s">
        <v>1261</v>
      </c>
      <c r="R1493" s="2">
        <v>1</v>
      </c>
      <c r="S1493" s="2">
        <v>390.29</v>
      </c>
      <c r="T1493" s="2">
        <v>89.766700000000014</v>
      </c>
      <c r="U1493" s="2">
        <v>480.05669999999998</v>
      </c>
      <c r="W1493" s="5">
        <f t="shared" si="150"/>
        <v>1</v>
      </c>
      <c r="AE1493" s="2">
        <f t="shared" si="151"/>
        <v>0</v>
      </c>
      <c r="AI1493" s="2">
        <f t="shared" si="152"/>
        <v>0</v>
      </c>
      <c r="AJ1493" s="2">
        <f t="shared" si="153"/>
        <v>390.29</v>
      </c>
      <c r="AK1493" s="5">
        <f t="shared" si="154"/>
        <v>1</v>
      </c>
    </row>
    <row r="1494" spans="1:37" x14ac:dyDescent="0.2">
      <c r="A1494" s="2">
        <v>2025</v>
      </c>
      <c r="B1494" s="2">
        <v>6</v>
      </c>
      <c r="C1494" s="2" t="s">
        <v>1691</v>
      </c>
      <c r="O1494" s="2" t="s">
        <v>115</v>
      </c>
      <c r="P1494" s="2" t="s">
        <v>375</v>
      </c>
      <c r="Q1494" s="2" t="s">
        <v>376</v>
      </c>
      <c r="R1494" s="2">
        <v>1</v>
      </c>
      <c r="S1494" s="2">
        <v>45.07</v>
      </c>
      <c r="T1494" s="2">
        <v>10.366099999999999</v>
      </c>
      <c r="U1494" s="2">
        <v>55.436100000000003</v>
      </c>
      <c r="W1494" s="5">
        <f t="shared" si="150"/>
        <v>1</v>
      </c>
      <c r="AE1494" s="2">
        <f t="shared" si="151"/>
        <v>0</v>
      </c>
      <c r="AI1494" s="2">
        <f t="shared" si="152"/>
        <v>0</v>
      </c>
      <c r="AJ1494" s="2">
        <f t="shared" si="153"/>
        <v>45.07</v>
      </c>
      <c r="AK1494" s="5">
        <f t="shared" si="154"/>
        <v>1</v>
      </c>
    </row>
    <row r="1495" spans="1:37" x14ac:dyDescent="0.2">
      <c r="A1495" s="2">
        <v>2025</v>
      </c>
      <c r="B1495" s="2">
        <v>6</v>
      </c>
      <c r="C1495" s="2" t="s">
        <v>949</v>
      </c>
      <c r="D1495" s="2" t="s">
        <v>38</v>
      </c>
      <c r="E1495" s="2" t="s">
        <v>39</v>
      </c>
      <c r="F1495" s="2">
        <v>507562208</v>
      </c>
      <c r="G1495" s="2" t="s">
        <v>40</v>
      </c>
      <c r="H1495" s="2" t="s">
        <v>950</v>
      </c>
      <c r="I1495" s="2" t="s">
        <v>951</v>
      </c>
      <c r="J1495" s="2">
        <v>918832449</v>
      </c>
      <c r="K1495" s="2" t="s">
        <v>345</v>
      </c>
      <c r="L1495" s="2" t="s">
        <v>40</v>
      </c>
      <c r="N1495" s="2" t="s">
        <v>1692</v>
      </c>
      <c r="O1495" s="2" t="s">
        <v>115</v>
      </c>
      <c r="P1495" s="2" t="s">
        <v>1395</v>
      </c>
      <c r="Q1495" s="2" t="s">
        <v>1396</v>
      </c>
      <c r="R1495" s="2">
        <v>1</v>
      </c>
      <c r="S1495" s="2">
        <v>152.41</v>
      </c>
      <c r="T1495" s="2">
        <v>35.054299999999998</v>
      </c>
      <c r="U1495" s="2">
        <v>187.46430000000001</v>
      </c>
      <c r="W1495" s="5">
        <f t="shared" si="150"/>
        <v>1</v>
      </c>
      <c r="Y1495" s="2" t="s">
        <v>118</v>
      </c>
      <c r="Z1495" s="2" t="s">
        <v>119</v>
      </c>
      <c r="AA1495" s="2" t="s">
        <v>120</v>
      </c>
      <c r="AB1495" s="2" t="s">
        <v>115</v>
      </c>
      <c r="AE1495" s="2">
        <f t="shared" si="151"/>
        <v>0</v>
      </c>
      <c r="AI1495" s="2">
        <f t="shared" si="152"/>
        <v>0</v>
      </c>
      <c r="AJ1495" s="2">
        <f t="shared" si="153"/>
        <v>152.41</v>
      </c>
      <c r="AK1495" s="5">
        <f t="shared" si="154"/>
        <v>1</v>
      </c>
    </row>
    <row r="1496" spans="1:37" x14ac:dyDescent="0.2">
      <c r="A1496" s="2">
        <v>2025</v>
      </c>
      <c r="B1496" s="2">
        <v>6</v>
      </c>
      <c r="C1496" s="2" t="s">
        <v>949</v>
      </c>
      <c r="D1496" s="2" t="s">
        <v>38</v>
      </c>
      <c r="E1496" s="2" t="s">
        <v>39</v>
      </c>
      <c r="F1496" s="2">
        <v>507562208</v>
      </c>
      <c r="G1496" s="2" t="s">
        <v>40</v>
      </c>
      <c r="H1496" s="2" t="s">
        <v>950</v>
      </c>
      <c r="I1496" s="2" t="s">
        <v>951</v>
      </c>
      <c r="J1496" s="2">
        <v>918832449</v>
      </c>
      <c r="K1496" s="2" t="s">
        <v>345</v>
      </c>
      <c r="L1496" s="2" t="s">
        <v>40</v>
      </c>
      <c r="N1496" s="2" t="s">
        <v>1693</v>
      </c>
      <c r="O1496" s="2" t="s">
        <v>115</v>
      </c>
      <c r="P1496" s="2" t="s">
        <v>565</v>
      </c>
      <c r="Q1496" s="2" t="s">
        <v>566</v>
      </c>
      <c r="R1496" s="2">
        <v>4</v>
      </c>
      <c r="S1496" s="2">
        <v>57.15</v>
      </c>
      <c r="T1496" s="2">
        <v>13.144500000000001</v>
      </c>
      <c r="U1496" s="2">
        <v>70.294499999999999</v>
      </c>
      <c r="V1496" s="2">
        <v>21.32</v>
      </c>
      <c r="W1496" s="5">
        <f t="shared" si="150"/>
        <v>0.62694663167104114</v>
      </c>
      <c r="Y1496" s="2" t="s">
        <v>118</v>
      </c>
      <c r="Z1496" s="2" t="s">
        <v>119</v>
      </c>
      <c r="AA1496" s="2" t="s">
        <v>120</v>
      </c>
      <c r="AB1496" s="2" t="s">
        <v>115</v>
      </c>
      <c r="AE1496" s="2">
        <f t="shared" si="151"/>
        <v>0</v>
      </c>
      <c r="AF1496" s="2">
        <v>5.33</v>
      </c>
      <c r="AI1496" s="2">
        <f t="shared" si="152"/>
        <v>0</v>
      </c>
      <c r="AJ1496" s="2">
        <f t="shared" si="153"/>
        <v>35.83</v>
      </c>
      <c r="AK1496" s="5">
        <f t="shared" si="154"/>
        <v>0.62694663167104114</v>
      </c>
    </row>
    <row r="1497" spans="1:37" x14ac:dyDescent="0.2">
      <c r="A1497" s="2">
        <v>2025</v>
      </c>
      <c r="B1497" s="2">
        <v>6</v>
      </c>
      <c r="C1497" s="2" t="s">
        <v>949</v>
      </c>
      <c r="D1497" s="2" t="s">
        <v>38</v>
      </c>
      <c r="E1497" s="2" t="s">
        <v>39</v>
      </c>
      <c r="F1497" s="2">
        <v>507562208</v>
      </c>
      <c r="G1497" s="2" t="s">
        <v>40</v>
      </c>
      <c r="H1497" s="2" t="s">
        <v>950</v>
      </c>
      <c r="I1497" s="2" t="s">
        <v>951</v>
      </c>
      <c r="J1497" s="2">
        <v>918832449</v>
      </c>
      <c r="K1497" s="2" t="s">
        <v>345</v>
      </c>
      <c r="L1497" s="2" t="s">
        <v>40</v>
      </c>
      <c r="N1497" s="2" t="s">
        <v>1693</v>
      </c>
      <c r="O1497" s="2" t="s">
        <v>170</v>
      </c>
      <c r="P1497" s="2" t="s">
        <v>171</v>
      </c>
      <c r="Q1497" s="2" t="s">
        <v>171</v>
      </c>
      <c r="R1497" s="2">
        <v>1</v>
      </c>
      <c r="S1497" s="2">
        <v>7</v>
      </c>
      <c r="T1497" s="2">
        <v>1.61</v>
      </c>
      <c r="U1497" s="2">
        <v>8.61</v>
      </c>
      <c r="W1497" s="5">
        <f t="shared" si="150"/>
        <v>1</v>
      </c>
      <c r="Y1497" s="2" t="s">
        <v>170</v>
      </c>
      <c r="Z1497" s="2" t="s">
        <v>170</v>
      </c>
      <c r="AE1497" s="2">
        <f t="shared" si="151"/>
        <v>0</v>
      </c>
      <c r="AI1497" s="2">
        <f t="shared" si="152"/>
        <v>0</v>
      </c>
      <c r="AJ1497" s="2">
        <f t="shared" si="153"/>
        <v>7</v>
      </c>
      <c r="AK1497" s="5">
        <f t="shared" si="154"/>
        <v>1</v>
      </c>
    </row>
    <row r="1498" spans="1:37" x14ac:dyDescent="0.2">
      <c r="A1498" s="2">
        <v>2025</v>
      </c>
      <c r="B1498" s="2">
        <v>6</v>
      </c>
      <c r="C1498" s="2" t="s">
        <v>183</v>
      </c>
      <c r="D1498" s="2" t="s">
        <v>184</v>
      </c>
      <c r="E1498" s="2" t="s">
        <v>185</v>
      </c>
      <c r="F1498" s="2">
        <v>503116920</v>
      </c>
      <c r="G1498" s="2" t="s">
        <v>41</v>
      </c>
      <c r="H1498" s="2" t="s">
        <v>186</v>
      </c>
      <c r="I1498" s="2" t="s">
        <v>187</v>
      </c>
      <c r="J1498" s="2">
        <v>919591406</v>
      </c>
      <c r="K1498" s="2" t="s">
        <v>100</v>
      </c>
      <c r="O1498" s="2" t="s">
        <v>283</v>
      </c>
      <c r="P1498" s="2" t="s">
        <v>1163</v>
      </c>
      <c r="Q1498" s="2" t="s">
        <v>1164</v>
      </c>
      <c r="R1498" s="2">
        <v>1</v>
      </c>
      <c r="S1498" s="2">
        <v>2990</v>
      </c>
      <c r="T1498" s="2">
        <v>687.7</v>
      </c>
      <c r="U1498" s="2">
        <v>3677.7</v>
      </c>
      <c r="W1498" s="5">
        <f t="shared" si="150"/>
        <v>1</v>
      </c>
      <c r="Y1498" s="2" t="s">
        <v>105</v>
      </c>
      <c r="AE1498" s="2">
        <f t="shared" si="151"/>
        <v>0</v>
      </c>
      <c r="AI1498" s="2">
        <f t="shared" si="152"/>
        <v>0</v>
      </c>
      <c r="AJ1498" s="2">
        <f t="shared" si="153"/>
        <v>2990</v>
      </c>
      <c r="AK1498" s="5">
        <f t="shared" si="154"/>
        <v>1</v>
      </c>
    </row>
    <row r="1499" spans="1:37" x14ac:dyDescent="0.2">
      <c r="A1499" s="2">
        <v>2025</v>
      </c>
      <c r="B1499" s="2">
        <v>6</v>
      </c>
      <c r="C1499" s="2" t="s">
        <v>1341</v>
      </c>
      <c r="O1499" s="2" t="s">
        <v>40</v>
      </c>
      <c r="P1499" s="2" t="s">
        <v>364</v>
      </c>
      <c r="Q1499" s="2" t="s">
        <v>365</v>
      </c>
      <c r="R1499" s="2">
        <v>1</v>
      </c>
      <c r="S1499" s="2">
        <v>21.6</v>
      </c>
      <c r="T1499" s="2">
        <v>4.9680000000000009</v>
      </c>
      <c r="U1499" s="2">
        <v>26.568000000000001</v>
      </c>
      <c r="W1499" s="5">
        <f t="shared" si="150"/>
        <v>1</v>
      </c>
      <c r="Y1499" s="2" t="s">
        <v>120</v>
      </c>
      <c r="AE1499" s="2">
        <f t="shared" si="151"/>
        <v>0</v>
      </c>
      <c r="AI1499" s="2">
        <f t="shared" si="152"/>
        <v>0</v>
      </c>
      <c r="AJ1499" s="2">
        <f t="shared" si="153"/>
        <v>21.6</v>
      </c>
      <c r="AK1499" s="5">
        <f t="shared" si="154"/>
        <v>1</v>
      </c>
    </row>
    <row r="1500" spans="1:37" x14ac:dyDescent="0.2">
      <c r="A1500" s="2">
        <v>2025</v>
      </c>
      <c r="B1500" s="2">
        <v>6</v>
      </c>
      <c r="C1500" s="2" t="s">
        <v>1496</v>
      </c>
      <c r="O1500" s="2" t="s">
        <v>1203</v>
      </c>
      <c r="P1500" s="2" t="s">
        <v>1093</v>
      </c>
      <c r="Q1500" s="2" t="s">
        <v>1094</v>
      </c>
      <c r="R1500" s="2">
        <v>1</v>
      </c>
      <c r="S1500" s="2">
        <v>3350</v>
      </c>
      <c r="T1500" s="2">
        <v>770.5</v>
      </c>
      <c r="U1500" s="2">
        <v>4120.5</v>
      </c>
      <c r="W1500" s="5">
        <f t="shared" si="150"/>
        <v>1</v>
      </c>
      <c r="Y1500" s="2" t="s">
        <v>105</v>
      </c>
      <c r="Z1500" s="2" t="s">
        <v>1208</v>
      </c>
      <c r="AA1500" s="2" t="s">
        <v>120</v>
      </c>
      <c r="AB1500" s="2" t="s">
        <v>1203</v>
      </c>
      <c r="AE1500" s="2">
        <f t="shared" si="151"/>
        <v>0</v>
      </c>
      <c r="AI1500" s="2">
        <f t="shared" si="152"/>
        <v>0</v>
      </c>
      <c r="AJ1500" s="2">
        <f t="shared" si="153"/>
        <v>3350</v>
      </c>
      <c r="AK1500" s="5">
        <f t="shared" si="154"/>
        <v>1</v>
      </c>
    </row>
    <row r="1501" spans="1:37" x14ac:dyDescent="0.2">
      <c r="A1501" s="2">
        <v>2025</v>
      </c>
      <c r="B1501" s="2">
        <v>6</v>
      </c>
      <c r="C1501" s="2" t="s">
        <v>1496</v>
      </c>
      <c r="O1501" s="2" t="s">
        <v>1203</v>
      </c>
      <c r="P1501" s="2" t="s">
        <v>1095</v>
      </c>
      <c r="Q1501" s="2" t="s">
        <v>1096</v>
      </c>
      <c r="R1501" s="2">
        <v>2</v>
      </c>
      <c r="S1501" s="2">
        <v>960</v>
      </c>
      <c r="T1501" s="2">
        <v>220.8</v>
      </c>
      <c r="U1501" s="2">
        <v>1180.8</v>
      </c>
      <c r="W1501" s="5">
        <f t="shared" si="150"/>
        <v>1</v>
      </c>
      <c r="Y1501" s="2" t="s">
        <v>105</v>
      </c>
      <c r="Z1501" s="2" t="s">
        <v>1208</v>
      </c>
      <c r="AA1501" s="2" t="s">
        <v>120</v>
      </c>
      <c r="AB1501" s="2" t="s">
        <v>1203</v>
      </c>
      <c r="AE1501" s="2">
        <f t="shared" si="151"/>
        <v>0</v>
      </c>
      <c r="AI1501" s="2">
        <f t="shared" si="152"/>
        <v>0</v>
      </c>
      <c r="AJ1501" s="2">
        <f t="shared" si="153"/>
        <v>960</v>
      </c>
      <c r="AK1501" s="5">
        <f t="shared" si="154"/>
        <v>1</v>
      </c>
    </row>
    <row r="1502" spans="1:37" x14ac:dyDescent="0.2">
      <c r="A1502" s="2">
        <v>2025</v>
      </c>
      <c r="B1502" s="2">
        <v>6</v>
      </c>
      <c r="C1502" s="2" t="s">
        <v>1694</v>
      </c>
      <c r="D1502" s="2" t="s">
        <v>38</v>
      </c>
      <c r="E1502" s="2" t="s">
        <v>474</v>
      </c>
      <c r="F1502" s="2">
        <v>501525882</v>
      </c>
      <c r="G1502" s="2" t="s">
        <v>40</v>
      </c>
      <c r="H1502" s="2" t="s">
        <v>100</v>
      </c>
      <c r="K1502" s="2" t="s">
        <v>100</v>
      </c>
      <c r="O1502" s="2" t="s">
        <v>115</v>
      </c>
      <c r="P1502" s="2" t="s">
        <v>962</v>
      </c>
      <c r="Q1502" s="2" t="s">
        <v>716</v>
      </c>
      <c r="R1502" s="2">
        <v>1</v>
      </c>
      <c r="S1502" s="2">
        <v>1690</v>
      </c>
      <c r="T1502" s="2">
        <v>388.7</v>
      </c>
      <c r="U1502" s="2">
        <v>2078.6999999999998</v>
      </c>
      <c r="W1502" s="5">
        <f t="shared" si="150"/>
        <v>1</v>
      </c>
      <c r="Y1502" s="2" t="s">
        <v>105</v>
      </c>
      <c r="Z1502" s="2" t="s">
        <v>583</v>
      </c>
      <c r="AA1502" s="2" t="s">
        <v>707</v>
      </c>
      <c r="AB1502" s="2" t="s">
        <v>115</v>
      </c>
      <c r="AE1502" s="2">
        <f t="shared" si="151"/>
        <v>0</v>
      </c>
      <c r="AI1502" s="2">
        <f t="shared" si="152"/>
        <v>0</v>
      </c>
      <c r="AJ1502" s="2">
        <f t="shared" si="153"/>
        <v>1690</v>
      </c>
      <c r="AK1502" s="5">
        <f t="shared" si="154"/>
        <v>1</v>
      </c>
    </row>
    <row r="1503" spans="1:37" x14ac:dyDescent="0.2">
      <c r="A1503" s="2">
        <v>2025</v>
      </c>
      <c r="B1503" s="2">
        <v>6</v>
      </c>
      <c r="C1503" s="2" t="s">
        <v>1694</v>
      </c>
      <c r="O1503" s="2" t="s">
        <v>115</v>
      </c>
      <c r="P1503" s="2" t="s">
        <v>416</v>
      </c>
      <c r="Q1503" s="2" t="s">
        <v>417</v>
      </c>
      <c r="R1503" s="2">
        <v>1</v>
      </c>
      <c r="S1503" s="2">
        <v>14990</v>
      </c>
      <c r="T1503" s="2">
        <v>3447.7</v>
      </c>
      <c r="U1503" s="2">
        <v>18437.7</v>
      </c>
      <c r="V1503" s="2">
        <v>10669.4</v>
      </c>
      <c r="W1503" s="5">
        <f t="shared" si="150"/>
        <v>0.28823215476984659</v>
      </c>
      <c r="Y1503" s="2" t="s">
        <v>105</v>
      </c>
      <c r="Z1503" s="2" t="s">
        <v>418</v>
      </c>
      <c r="AA1503" s="2" t="s">
        <v>152</v>
      </c>
      <c r="AB1503" s="2" t="s">
        <v>115</v>
      </c>
      <c r="AE1503" s="2">
        <f t="shared" si="151"/>
        <v>0</v>
      </c>
      <c r="AI1503" s="2">
        <f t="shared" si="152"/>
        <v>0</v>
      </c>
      <c r="AJ1503" s="2">
        <f t="shared" si="153"/>
        <v>4320.6000000000004</v>
      </c>
      <c r="AK1503" s="5">
        <f t="shared" si="154"/>
        <v>0.28823215476984659</v>
      </c>
    </row>
    <row r="1504" spans="1:37" x14ac:dyDescent="0.2">
      <c r="A1504" s="2">
        <v>2025</v>
      </c>
      <c r="B1504" s="2">
        <v>6</v>
      </c>
      <c r="C1504" s="2" t="s">
        <v>1694</v>
      </c>
      <c r="O1504" s="2" t="s">
        <v>115</v>
      </c>
      <c r="P1504" s="2" t="s">
        <v>886</v>
      </c>
      <c r="Q1504" s="2" t="s">
        <v>887</v>
      </c>
      <c r="R1504" s="2">
        <v>1</v>
      </c>
      <c r="S1504" s="2">
        <v>4580</v>
      </c>
      <c r="T1504" s="2">
        <v>1053.4000000000001</v>
      </c>
      <c r="U1504" s="2">
        <v>5633.4</v>
      </c>
      <c r="W1504" s="5">
        <f t="shared" si="150"/>
        <v>1</v>
      </c>
      <c r="Y1504" s="2" t="s">
        <v>105</v>
      </c>
      <c r="AE1504" s="2">
        <f t="shared" si="151"/>
        <v>0</v>
      </c>
      <c r="AI1504" s="2">
        <f t="shared" si="152"/>
        <v>0</v>
      </c>
      <c r="AJ1504" s="2">
        <f t="shared" si="153"/>
        <v>4580</v>
      </c>
      <c r="AK1504" s="5">
        <f t="shared" si="154"/>
        <v>1</v>
      </c>
    </row>
    <row r="1505" spans="1:37" x14ac:dyDescent="0.2">
      <c r="A1505" s="2">
        <v>2025</v>
      </c>
      <c r="B1505" s="2">
        <v>6</v>
      </c>
      <c r="C1505" s="2" t="s">
        <v>1694</v>
      </c>
      <c r="O1505" s="2" t="s">
        <v>115</v>
      </c>
      <c r="P1505" s="2" t="s">
        <v>844</v>
      </c>
      <c r="Q1505" s="2" t="s">
        <v>845</v>
      </c>
      <c r="R1505" s="2">
        <v>1</v>
      </c>
      <c r="S1505" s="2">
        <v>4690</v>
      </c>
      <c r="T1505" s="2">
        <v>1078.7</v>
      </c>
      <c r="U1505" s="2">
        <v>5768.7</v>
      </c>
      <c r="W1505" s="5">
        <f t="shared" si="150"/>
        <v>1</v>
      </c>
      <c r="Y1505" s="2" t="s">
        <v>105</v>
      </c>
      <c r="AE1505" s="2">
        <f t="shared" si="151"/>
        <v>0</v>
      </c>
      <c r="AI1505" s="2">
        <f t="shared" si="152"/>
        <v>0</v>
      </c>
      <c r="AJ1505" s="2">
        <f t="shared" si="153"/>
        <v>4690</v>
      </c>
      <c r="AK1505" s="5">
        <f t="shared" si="154"/>
        <v>1</v>
      </c>
    </row>
    <row r="1506" spans="1:37" x14ac:dyDescent="0.2">
      <c r="A1506" s="2">
        <v>2025</v>
      </c>
      <c r="B1506" s="2">
        <v>6</v>
      </c>
      <c r="C1506" s="2" t="s">
        <v>1694</v>
      </c>
      <c r="O1506" s="2" t="s">
        <v>102</v>
      </c>
      <c r="P1506" s="2" t="s">
        <v>1695</v>
      </c>
      <c r="Q1506" s="2" t="s">
        <v>1696</v>
      </c>
      <c r="R1506" s="2">
        <v>1</v>
      </c>
      <c r="S1506" s="2">
        <v>12990</v>
      </c>
      <c r="T1506" s="2">
        <v>2987.7</v>
      </c>
      <c r="U1506" s="2">
        <v>15977.7</v>
      </c>
      <c r="W1506" s="5">
        <f t="shared" si="150"/>
        <v>1</v>
      </c>
      <c r="Y1506" s="2" t="s">
        <v>105</v>
      </c>
      <c r="AB1506" s="2" t="s">
        <v>102</v>
      </c>
      <c r="AE1506" s="2">
        <f t="shared" si="151"/>
        <v>0</v>
      </c>
      <c r="AI1506" s="2">
        <f t="shared" si="152"/>
        <v>0</v>
      </c>
      <c r="AJ1506" s="2">
        <f t="shared" si="153"/>
        <v>12990</v>
      </c>
      <c r="AK1506" s="5">
        <f t="shared" si="154"/>
        <v>1</v>
      </c>
    </row>
    <row r="1507" spans="1:37" x14ac:dyDescent="0.2">
      <c r="A1507" s="2">
        <v>2025</v>
      </c>
      <c r="B1507" s="2">
        <v>6</v>
      </c>
      <c r="C1507" s="2" t="s">
        <v>722</v>
      </c>
      <c r="D1507" s="2" t="s">
        <v>109</v>
      </c>
      <c r="E1507" s="2" t="s">
        <v>723</v>
      </c>
      <c r="F1507" s="2">
        <v>500042063</v>
      </c>
      <c r="G1507" s="2" t="s">
        <v>110</v>
      </c>
      <c r="H1507" s="2" t="s">
        <v>113</v>
      </c>
      <c r="I1507" s="2" t="s">
        <v>724</v>
      </c>
      <c r="K1507" s="2" t="s">
        <v>113</v>
      </c>
      <c r="L1507" s="2" t="s">
        <v>40</v>
      </c>
      <c r="N1507" s="2" t="s">
        <v>1697</v>
      </c>
      <c r="O1507" s="2" t="s">
        <v>115</v>
      </c>
      <c r="P1507" s="2" t="s">
        <v>908</v>
      </c>
      <c r="Q1507" s="2" t="s">
        <v>909</v>
      </c>
      <c r="R1507" s="2">
        <v>1</v>
      </c>
      <c r="S1507" s="2">
        <v>80.7</v>
      </c>
      <c r="T1507" s="2">
        <v>18.561</v>
      </c>
      <c r="U1507" s="2">
        <v>99.260999999999996</v>
      </c>
      <c r="W1507" s="5">
        <f t="shared" si="150"/>
        <v>1</v>
      </c>
      <c r="AE1507" s="2">
        <f t="shared" si="151"/>
        <v>0</v>
      </c>
      <c r="AI1507" s="2">
        <f t="shared" si="152"/>
        <v>0</v>
      </c>
      <c r="AJ1507" s="2">
        <f t="shared" si="153"/>
        <v>80.7</v>
      </c>
      <c r="AK1507" s="5">
        <f t="shared" si="154"/>
        <v>1</v>
      </c>
    </row>
    <row r="1508" spans="1:37" x14ac:dyDescent="0.2">
      <c r="A1508" s="2">
        <v>2025</v>
      </c>
      <c r="B1508" s="2">
        <v>6</v>
      </c>
      <c r="C1508" s="2" t="s">
        <v>722</v>
      </c>
      <c r="D1508" s="2" t="s">
        <v>109</v>
      </c>
      <c r="E1508" s="2" t="s">
        <v>723</v>
      </c>
      <c r="F1508" s="2">
        <v>500042063</v>
      </c>
      <c r="G1508" s="2" t="s">
        <v>110</v>
      </c>
      <c r="H1508" s="2" t="s">
        <v>113</v>
      </c>
      <c r="I1508" s="2" t="s">
        <v>724</v>
      </c>
      <c r="K1508" s="2" t="s">
        <v>113</v>
      </c>
      <c r="L1508" s="2" t="s">
        <v>110</v>
      </c>
      <c r="N1508" s="2" t="s">
        <v>1698</v>
      </c>
      <c r="O1508" s="2" t="s">
        <v>283</v>
      </c>
      <c r="P1508" s="2" t="s">
        <v>1604</v>
      </c>
      <c r="Q1508" s="2" t="s">
        <v>1605</v>
      </c>
      <c r="R1508" s="2">
        <v>10</v>
      </c>
      <c r="S1508" s="2">
        <v>69</v>
      </c>
      <c r="T1508" s="2">
        <v>15.87</v>
      </c>
      <c r="U1508" s="2">
        <v>84.87</v>
      </c>
      <c r="W1508" s="5">
        <f t="shared" si="150"/>
        <v>1</v>
      </c>
      <c r="Y1508" s="2" t="s">
        <v>3256</v>
      </c>
      <c r="AE1508" s="2">
        <f t="shared" si="151"/>
        <v>0</v>
      </c>
      <c r="AI1508" s="2">
        <f t="shared" si="152"/>
        <v>0</v>
      </c>
      <c r="AJ1508" s="2">
        <f t="shared" si="153"/>
        <v>69</v>
      </c>
      <c r="AK1508" s="5">
        <f t="shared" si="154"/>
        <v>1</v>
      </c>
    </row>
    <row r="1509" spans="1:37" x14ac:dyDescent="0.2">
      <c r="A1509" s="2">
        <v>2025</v>
      </c>
      <c r="B1509" s="2">
        <v>6</v>
      </c>
      <c r="C1509" s="2" t="s">
        <v>315</v>
      </c>
      <c r="D1509" s="2" t="s">
        <v>109</v>
      </c>
      <c r="F1509" s="2">
        <v>503270520</v>
      </c>
      <c r="G1509" s="2" t="s">
        <v>40</v>
      </c>
      <c r="H1509" s="2" t="s">
        <v>316</v>
      </c>
      <c r="I1509" s="2" t="s">
        <v>317</v>
      </c>
      <c r="K1509" s="2" t="s">
        <v>100</v>
      </c>
      <c r="O1509" s="2" t="s">
        <v>115</v>
      </c>
      <c r="P1509" s="2" t="s">
        <v>645</v>
      </c>
      <c r="Q1509" s="2" t="s">
        <v>646</v>
      </c>
      <c r="R1509" s="2">
        <v>1</v>
      </c>
      <c r="S1509" s="2">
        <v>1745.89</v>
      </c>
      <c r="T1509" s="2">
        <v>401.55470000000003</v>
      </c>
      <c r="U1509" s="2">
        <v>2147.4447</v>
      </c>
      <c r="W1509" s="5">
        <f t="shared" si="150"/>
        <v>1</v>
      </c>
      <c r="AE1509" s="2">
        <f t="shared" si="151"/>
        <v>0</v>
      </c>
      <c r="AI1509" s="2">
        <f t="shared" si="152"/>
        <v>0</v>
      </c>
      <c r="AJ1509" s="2">
        <f t="shared" si="153"/>
        <v>1745.89</v>
      </c>
      <c r="AK1509" s="5">
        <f t="shared" si="154"/>
        <v>1</v>
      </c>
    </row>
    <row r="1510" spans="1:37" x14ac:dyDescent="0.2">
      <c r="A1510" s="2">
        <v>2025</v>
      </c>
      <c r="B1510" s="2">
        <v>6</v>
      </c>
      <c r="C1510" s="2" t="s">
        <v>315</v>
      </c>
      <c r="D1510" s="2" t="s">
        <v>109</v>
      </c>
      <c r="F1510" s="2">
        <v>503270520</v>
      </c>
      <c r="G1510" s="2" t="s">
        <v>40</v>
      </c>
      <c r="H1510" s="2" t="s">
        <v>316</v>
      </c>
      <c r="I1510" s="2" t="s">
        <v>317</v>
      </c>
      <c r="K1510" s="2" t="s">
        <v>100</v>
      </c>
      <c r="O1510" s="2" t="s">
        <v>115</v>
      </c>
      <c r="P1510" s="2" t="s">
        <v>1699</v>
      </c>
      <c r="Q1510" s="2" t="s">
        <v>1700</v>
      </c>
      <c r="R1510" s="2">
        <v>1</v>
      </c>
      <c r="S1510" s="2">
        <v>1120.44</v>
      </c>
      <c r="T1510" s="2">
        <v>257.70119999999997</v>
      </c>
      <c r="U1510" s="2">
        <v>1378.1412</v>
      </c>
      <c r="W1510" s="5">
        <f t="shared" si="150"/>
        <v>1</v>
      </c>
      <c r="AE1510" s="2">
        <f t="shared" si="151"/>
        <v>0</v>
      </c>
      <c r="AI1510" s="2">
        <f t="shared" si="152"/>
        <v>0</v>
      </c>
      <c r="AJ1510" s="2">
        <f t="shared" si="153"/>
        <v>1120.44</v>
      </c>
      <c r="AK1510" s="5">
        <f t="shared" si="154"/>
        <v>1</v>
      </c>
    </row>
    <row r="1511" spans="1:37" x14ac:dyDescent="0.2">
      <c r="A1511" s="2">
        <v>2025</v>
      </c>
      <c r="B1511" s="2">
        <v>6</v>
      </c>
      <c r="C1511" s="2" t="s">
        <v>315</v>
      </c>
      <c r="D1511" s="2" t="s">
        <v>109</v>
      </c>
      <c r="F1511" s="2">
        <v>503270520</v>
      </c>
      <c r="G1511" s="2" t="s">
        <v>40</v>
      </c>
      <c r="H1511" s="2" t="s">
        <v>316</v>
      </c>
      <c r="I1511" s="2" t="s">
        <v>317</v>
      </c>
      <c r="K1511" s="2" t="s">
        <v>100</v>
      </c>
      <c r="L1511" s="2" t="s">
        <v>40</v>
      </c>
      <c r="O1511" s="2" t="s">
        <v>188</v>
      </c>
      <c r="P1511" s="2" t="s">
        <v>189</v>
      </c>
      <c r="Q1511" s="2" t="s">
        <v>190</v>
      </c>
      <c r="R1511" s="2">
        <v>0</v>
      </c>
      <c r="S1511" s="2">
        <v>37.5</v>
      </c>
      <c r="T1511" s="2">
        <v>8.625</v>
      </c>
      <c r="U1511" s="2">
        <v>46.125</v>
      </c>
      <c r="W1511" s="5">
        <f t="shared" si="150"/>
        <v>1</v>
      </c>
      <c r="Y1511" s="2" t="s">
        <v>118</v>
      </c>
      <c r="Z1511" s="2" t="s">
        <v>191</v>
      </c>
      <c r="AE1511" s="2">
        <f t="shared" si="151"/>
        <v>0</v>
      </c>
      <c r="AI1511" s="2">
        <f t="shared" si="152"/>
        <v>0</v>
      </c>
      <c r="AJ1511" s="2">
        <f t="shared" si="153"/>
        <v>37.5</v>
      </c>
      <c r="AK1511" s="5">
        <f t="shared" si="154"/>
        <v>1</v>
      </c>
    </row>
    <row r="1512" spans="1:37" x14ac:dyDescent="0.2">
      <c r="A1512" s="2">
        <v>2025</v>
      </c>
      <c r="B1512" s="2">
        <v>6</v>
      </c>
      <c r="C1512" s="2" t="s">
        <v>315</v>
      </c>
      <c r="D1512" s="2" t="s">
        <v>109</v>
      </c>
      <c r="F1512" s="2">
        <v>503270520</v>
      </c>
      <c r="G1512" s="2" t="s">
        <v>40</v>
      </c>
      <c r="H1512" s="2" t="s">
        <v>316</v>
      </c>
      <c r="I1512" s="2" t="s">
        <v>317</v>
      </c>
      <c r="K1512" s="2" t="s">
        <v>100</v>
      </c>
      <c r="L1512" s="2" t="s">
        <v>40</v>
      </c>
      <c r="O1512" s="2" t="s">
        <v>188</v>
      </c>
      <c r="P1512" s="2" t="s">
        <v>192</v>
      </c>
      <c r="Q1512" s="2" t="s">
        <v>191</v>
      </c>
      <c r="R1512" s="2">
        <v>5</v>
      </c>
      <c r="S1512" s="2">
        <v>270</v>
      </c>
      <c r="T1512" s="2">
        <v>62.1</v>
      </c>
      <c r="U1512" s="2">
        <v>332.1</v>
      </c>
      <c r="V1512" s="2">
        <f>S1512*50%</f>
        <v>135</v>
      </c>
      <c r="W1512" s="5">
        <f t="shared" si="150"/>
        <v>0.5</v>
      </c>
      <c r="Y1512" s="2" t="s">
        <v>118</v>
      </c>
      <c r="Z1512" s="2" t="s">
        <v>191</v>
      </c>
      <c r="AE1512" s="2">
        <f t="shared" si="151"/>
        <v>0</v>
      </c>
      <c r="AI1512" s="2">
        <f t="shared" si="152"/>
        <v>0</v>
      </c>
      <c r="AJ1512" s="2">
        <f t="shared" si="153"/>
        <v>135</v>
      </c>
      <c r="AK1512" s="5">
        <f t="shared" si="154"/>
        <v>0.5</v>
      </c>
    </row>
    <row r="1513" spans="1:37" x14ac:dyDescent="0.2">
      <c r="A1513" s="2">
        <v>2025</v>
      </c>
      <c r="B1513" s="2">
        <v>6</v>
      </c>
      <c r="C1513" s="2" t="s">
        <v>315</v>
      </c>
      <c r="D1513" s="2" t="s">
        <v>109</v>
      </c>
      <c r="F1513" s="2">
        <v>503270520</v>
      </c>
      <c r="G1513" s="2" t="s">
        <v>40</v>
      </c>
      <c r="H1513" s="2" t="s">
        <v>316</v>
      </c>
      <c r="I1513" s="2" t="s">
        <v>317</v>
      </c>
      <c r="K1513" s="2" t="s">
        <v>100</v>
      </c>
      <c r="L1513" s="2" t="s">
        <v>40</v>
      </c>
      <c r="O1513" s="2" t="s">
        <v>40</v>
      </c>
      <c r="P1513" s="2" t="s">
        <v>141</v>
      </c>
      <c r="Q1513" s="2" t="s">
        <v>142</v>
      </c>
      <c r="R1513" s="2">
        <v>-2</v>
      </c>
      <c r="S1513" s="2">
        <v>-1146.54</v>
      </c>
      <c r="T1513" s="2">
        <v>-263.70420000000001</v>
      </c>
      <c r="U1513" s="2">
        <v>-1410.2442000000001</v>
      </c>
      <c r="W1513" s="5">
        <f t="shared" si="150"/>
        <v>1</v>
      </c>
      <c r="Y1513" s="2" t="s">
        <v>120</v>
      </c>
      <c r="Z1513" s="2" t="s">
        <v>143</v>
      </c>
      <c r="AE1513" s="2">
        <f t="shared" si="151"/>
        <v>0</v>
      </c>
      <c r="AI1513" s="2">
        <f t="shared" si="152"/>
        <v>0</v>
      </c>
      <c r="AJ1513" s="2">
        <f t="shared" si="153"/>
        <v>-1146.54</v>
      </c>
      <c r="AK1513" s="5">
        <f t="shared" si="154"/>
        <v>1</v>
      </c>
    </row>
    <row r="1514" spans="1:37" x14ac:dyDescent="0.2">
      <c r="A1514" s="2">
        <v>2025</v>
      </c>
      <c r="B1514" s="2">
        <v>6</v>
      </c>
      <c r="C1514" s="2" t="s">
        <v>320</v>
      </c>
      <c r="D1514" s="2" t="s">
        <v>38</v>
      </c>
      <c r="E1514" s="2" t="s">
        <v>39</v>
      </c>
      <c r="F1514" s="2">
        <v>500883262</v>
      </c>
      <c r="G1514" s="2" t="s">
        <v>40</v>
      </c>
      <c r="H1514" s="2" t="s">
        <v>100</v>
      </c>
      <c r="I1514" s="2" t="s">
        <v>321</v>
      </c>
      <c r="K1514" s="2" t="s">
        <v>100</v>
      </c>
      <c r="L1514" s="2" t="s">
        <v>81</v>
      </c>
      <c r="N1514" s="2" t="s">
        <v>1701</v>
      </c>
      <c r="O1514" s="2" t="s">
        <v>43</v>
      </c>
      <c r="P1514" s="2" t="s">
        <v>977</v>
      </c>
      <c r="Q1514" s="2" t="s">
        <v>978</v>
      </c>
      <c r="R1514" s="2">
        <v>10</v>
      </c>
      <c r="S1514" s="2">
        <v>290</v>
      </c>
      <c r="T1514" s="2">
        <v>66.7</v>
      </c>
      <c r="U1514" s="2">
        <v>356.7</v>
      </c>
      <c r="W1514" s="5">
        <f t="shared" si="150"/>
        <v>1</v>
      </c>
      <c r="Y1514" s="2" t="s">
        <v>3256</v>
      </c>
      <c r="Z1514" s="2" t="s">
        <v>46</v>
      </c>
      <c r="AA1514" s="2" t="s">
        <v>61</v>
      </c>
      <c r="AB1514" s="2" t="s">
        <v>58</v>
      </c>
      <c r="AE1514" s="2">
        <f t="shared" si="151"/>
        <v>0</v>
      </c>
      <c r="AI1514" s="2">
        <f t="shared" si="152"/>
        <v>0</v>
      </c>
      <c r="AJ1514" s="2">
        <f t="shared" si="153"/>
        <v>290</v>
      </c>
      <c r="AK1514" s="5">
        <f t="shared" si="154"/>
        <v>1</v>
      </c>
    </row>
    <row r="1515" spans="1:37" x14ac:dyDescent="0.2">
      <c r="A1515" s="2">
        <v>2025</v>
      </c>
      <c r="B1515" s="2">
        <v>6</v>
      </c>
      <c r="C1515" s="2" t="s">
        <v>320</v>
      </c>
      <c r="D1515" s="2" t="s">
        <v>38</v>
      </c>
      <c r="E1515" s="2" t="s">
        <v>39</v>
      </c>
      <c r="F1515" s="2">
        <v>500883262</v>
      </c>
      <c r="G1515" s="2" t="s">
        <v>40</v>
      </c>
      <c r="H1515" s="2" t="s">
        <v>100</v>
      </c>
      <c r="I1515" s="2" t="s">
        <v>321</v>
      </c>
      <c r="K1515" s="2" t="s">
        <v>100</v>
      </c>
      <c r="L1515" s="2" t="s">
        <v>81</v>
      </c>
      <c r="N1515" s="2" t="s">
        <v>1701</v>
      </c>
      <c r="O1515" s="2" t="s">
        <v>43</v>
      </c>
      <c r="P1515" s="2" t="s">
        <v>979</v>
      </c>
      <c r="Q1515" s="2" t="s">
        <v>980</v>
      </c>
      <c r="R1515" s="2">
        <v>10</v>
      </c>
      <c r="S1515" s="2">
        <v>290</v>
      </c>
      <c r="T1515" s="2">
        <v>66.7</v>
      </c>
      <c r="U1515" s="2">
        <v>356.7</v>
      </c>
      <c r="W1515" s="5">
        <f t="shared" si="150"/>
        <v>1</v>
      </c>
      <c r="Y1515" s="2" t="s">
        <v>3256</v>
      </c>
      <c r="Z1515" s="2" t="s">
        <v>46</v>
      </c>
      <c r="AA1515" s="2" t="s">
        <v>61</v>
      </c>
      <c r="AB1515" s="2" t="s">
        <v>58</v>
      </c>
      <c r="AE1515" s="2">
        <f t="shared" si="151"/>
        <v>0</v>
      </c>
      <c r="AI1515" s="2">
        <f t="shared" si="152"/>
        <v>0</v>
      </c>
      <c r="AJ1515" s="2">
        <f t="shared" si="153"/>
        <v>290</v>
      </c>
      <c r="AK1515" s="5">
        <f t="shared" si="154"/>
        <v>1</v>
      </c>
    </row>
    <row r="1516" spans="1:37" x14ac:dyDescent="0.2">
      <c r="A1516" s="2">
        <v>2025</v>
      </c>
      <c r="B1516" s="2">
        <v>6</v>
      </c>
      <c r="C1516" s="2" t="s">
        <v>320</v>
      </c>
      <c r="D1516" s="2" t="s">
        <v>38</v>
      </c>
      <c r="E1516" s="2" t="s">
        <v>39</v>
      </c>
      <c r="F1516" s="2">
        <v>500883262</v>
      </c>
      <c r="G1516" s="2" t="s">
        <v>40</v>
      </c>
      <c r="H1516" s="2" t="s">
        <v>100</v>
      </c>
      <c r="I1516" s="2" t="s">
        <v>321</v>
      </c>
      <c r="K1516" s="2" t="s">
        <v>100</v>
      </c>
      <c r="L1516" s="2" t="s">
        <v>81</v>
      </c>
      <c r="N1516" s="2" t="s">
        <v>1702</v>
      </c>
      <c r="O1516" s="2" t="s">
        <v>73</v>
      </c>
      <c r="P1516" s="2" t="s">
        <v>74</v>
      </c>
      <c r="Q1516" s="2" t="s">
        <v>75</v>
      </c>
      <c r="R1516" s="2">
        <v>0</v>
      </c>
      <c r="S1516" s="2">
        <v>0</v>
      </c>
      <c r="T1516" s="2">
        <v>0</v>
      </c>
      <c r="U1516" s="2">
        <v>0</v>
      </c>
      <c r="V1516" s="2">
        <v>0</v>
      </c>
      <c r="W1516" s="5">
        <v>0</v>
      </c>
      <c r="Y1516" s="2" t="s">
        <v>3256</v>
      </c>
      <c r="Z1516" s="2" t="s">
        <v>76</v>
      </c>
      <c r="AA1516" s="2" t="s">
        <v>77</v>
      </c>
      <c r="AB1516" s="2" t="s">
        <v>78</v>
      </c>
      <c r="AE1516" s="2">
        <f t="shared" si="151"/>
        <v>0</v>
      </c>
      <c r="AF1516" s="2">
        <v>117.453</v>
      </c>
      <c r="AG1516" s="2">
        <v>220</v>
      </c>
      <c r="AI1516" s="2">
        <f t="shared" si="152"/>
        <v>0</v>
      </c>
      <c r="AJ1516" s="2">
        <f t="shared" si="153"/>
        <v>0</v>
      </c>
      <c r="AK1516" s="5" t="e">
        <f t="shared" si="154"/>
        <v>#DIV/0!</v>
      </c>
    </row>
    <row r="1517" spans="1:37" x14ac:dyDescent="0.2">
      <c r="A1517" s="2">
        <v>2025</v>
      </c>
      <c r="B1517" s="2">
        <v>6</v>
      </c>
      <c r="C1517" s="2" t="s">
        <v>320</v>
      </c>
      <c r="D1517" s="2" t="s">
        <v>38</v>
      </c>
      <c r="E1517" s="2" t="s">
        <v>39</v>
      </c>
      <c r="F1517" s="2">
        <v>500883262</v>
      </c>
      <c r="G1517" s="2" t="s">
        <v>40</v>
      </c>
      <c r="H1517" s="2" t="s">
        <v>100</v>
      </c>
      <c r="I1517" s="2" t="s">
        <v>321</v>
      </c>
      <c r="K1517" s="2" t="s">
        <v>100</v>
      </c>
      <c r="L1517" s="2" t="s">
        <v>81</v>
      </c>
      <c r="N1517" s="2" t="s">
        <v>1702</v>
      </c>
      <c r="O1517" s="2" t="s">
        <v>94</v>
      </c>
      <c r="P1517" s="2" t="s">
        <v>95</v>
      </c>
      <c r="Q1517" s="2" t="s">
        <v>96</v>
      </c>
      <c r="R1517" s="2">
        <v>0</v>
      </c>
      <c r="S1517" s="2">
        <v>0</v>
      </c>
      <c r="T1517" s="2">
        <v>0</v>
      </c>
      <c r="U1517" s="2">
        <v>0</v>
      </c>
      <c r="V1517" s="2">
        <v>0</v>
      </c>
      <c r="W1517" s="5" t="e">
        <f t="shared" ref="W1517:W1552" si="155">(S1517-V1517)/S1517</f>
        <v>#DIV/0!</v>
      </c>
      <c r="Y1517" s="2" t="s">
        <v>3256</v>
      </c>
      <c r="Z1517" s="2" t="s">
        <v>97</v>
      </c>
      <c r="AA1517" s="2" t="s">
        <v>77</v>
      </c>
      <c r="AB1517" s="2" t="s">
        <v>94</v>
      </c>
      <c r="AE1517" s="2">
        <f t="shared" si="151"/>
        <v>0</v>
      </c>
      <c r="AI1517" s="2">
        <f t="shared" si="152"/>
        <v>0</v>
      </c>
      <c r="AJ1517" s="2">
        <f t="shared" si="153"/>
        <v>0</v>
      </c>
      <c r="AK1517" s="5" t="e">
        <f t="shared" si="154"/>
        <v>#DIV/0!</v>
      </c>
    </row>
    <row r="1518" spans="1:37" x14ac:dyDescent="0.2">
      <c r="A1518" s="2">
        <v>2025</v>
      </c>
      <c r="B1518" s="2">
        <v>6</v>
      </c>
      <c r="C1518" s="2" t="s">
        <v>1703</v>
      </c>
      <c r="L1518" s="2" t="s">
        <v>40</v>
      </c>
      <c r="O1518" s="2" t="s">
        <v>188</v>
      </c>
      <c r="P1518" s="2" t="s">
        <v>189</v>
      </c>
      <c r="Q1518" s="2" t="s">
        <v>190</v>
      </c>
      <c r="R1518" s="2">
        <v>1</v>
      </c>
      <c r="S1518" s="2">
        <v>50</v>
      </c>
      <c r="T1518" s="2">
        <v>11.5</v>
      </c>
      <c r="U1518" s="2">
        <v>61.5</v>
      </c>
      <c r="W1518" s="5">
        <f t="shared" si="155"/>
        <v>1</v>
      </c>
      <c r="Y1518" s="2" t="s">
        <v>118</v>
      </c>
      <c r="Z1518" s="2" t="s">
        <v>191</v>
      </c>
      <c r="AE1518" s="2">
        <f t="shared" si="151"/>
        <v>0</v>
      </c>
      <c r="AI1518" s="2">
        <f t="shared" si="152"/>
        <v>0</v>
      </c>
      <c r="AJ1518" s="2">
        <f t="shared" si="153"/>
        <v>50</v>
      </c>
      <c r="AK1518" s="5">
        <f t="shared" si="154"/>
        <v>1</v>
      </c>
    </row>
    <row r="1519" spans="1:37" x14ac:dyDescent="0.2">
      <c r="A1519" s="2">
        <v>2025</v>
      </c>
      <c r="B1519" s="2">
        <v>6</v>
      </c>
      <c r="C1519" s="2" t="s">
        <v>1703</v>
      </c>
      <c r="L1519" s="2" t="s">
        <v>40</v>
      </c>
      <c r="O1519" s="2" t="s">
        <v>188</v>
      </c>
      <c r="P1519" s="2" t="s">
        <v>192</v>
      </c>
      <c r="Q1519" s="2" t="s">
        <v>191</v>
      </c>
      <c r="R1519" s="2">
        <v>1</v>
      </c>
      <c r="S1519" s="2">
        <v>50</v>
      </c>
      <c r="T1519" s="2">
        <v>11.5</v>
      </c>
      <c r="U1519" s="2">
        <v>61.5</v>
      </c>
      <c r="V1519" s="2">
        <f>S1519*50%</f>
        <v>25</v>
      </c>
      <c r="W1519" s="5">
        <f t="shared" si="155"/>
        <v>0.5</v>
      </c>
      <c r="Y1519" s="2" t="s">
        <v>118</v>
      </c>
      <c r="Z1519" s="2" t="s">
        <v>191</v>
      </c>
      <c r="AE1519" s="2">
        <f t="shared" si="151"/>
        <v>0</v>
      </c>
      <c r="AI1519" s="2">
        <f t="shared" si="152"/>
        <v>0</v>
      </c>
      <c r="AJ1519" s="2">
        <f t="shared" si="153"/>
        <v>25</v>
      </c>
      <c r="AK1519" s="5">
        <f t="shared" si="154"/>
        <v>0.5</v>
      </c>
    </row>
    <row r="1520" spans="1:37" x14ac:dyDescent="0.2">
      <c r="A1520" s="2">
        <v>2025</v>
      </c>
      <c r="B1520" s="2">
        <v>6</v>
      </c>
      <c r="C1520" s="2" t="s">
        <v>1703</v>
      </c>
      <c r="O1520" s="2" t="s">
        <v>40</v>
      </c>
      <c r="P1520" s="2" t="s">
        <v>364</v>
      </c>
      <c r="Q1520" s="2" t="s">
        <v>365</v>
      </c>
      <c r="R1520" s="2">
        <v>1</v>
      </c>
      <c r="S1520" s="2">
        <v>303</v>
      </c>
      <c r="T1520" s="2">
        <v>69.69</v>
      </c>
      <c r="U1520" s="2">
        <v>372.69</v>
      </c>
      <c r="W1520" s="5">
        <f t="shared" si="155"/>
        <v>1</v>
      </c>
      <c r="Y1520" s="2" t="s">
        <v>120</v>
      </c>
      <c r="AE1520" s="2">
        <f t="shared" si="151"/>
        <v>0</v>
      </c>
      <c r="AI1520" s="2">
        <f t="shared" si="152"/>
        <v>0</v>
      </c>
      <c r="AJ1520" s="2">
        <f t="shared" si="153"/>
        <v>303</v>
      </c>
      <c r="AK1520" s="5">
        <f t="shared" si="154"/>
        <v>1</v>
      </c>
    </row>
    <row r="1521" spans="1:37" x14ac:dyDescent="0.2">
      <c r="A1521" s="2">
        <v>2025</v>
      </c>
      <c r="B1521" s="2">
        <v>6</v>
      </c>
      <c r="C1521" s="2" t="s">
        <v>1704</v>
      </c>
      <c r="O1521" s="2" t="s">
        <v>73</v>
      </c>
      <c r="P1521" s="2" t="s">
        <v>74</v>
      </c>
      <c r="Q1521" s="2" t="s">
        <v>75</v>
      </c>
      <c r="R1521" s="2">
        <v>1</v>
      </c>
      <c r="S1521" s="2">
        <v>210</v>
      </c>
      <c r="T1521" s="2">
        <v>48.3</v>
      </c>
      <c r="U1521" s="2">
        <v>258.3</v>
      </c>
      <c r="V1521" s="2">
        <v>117.453</v>
      </c>
      <c r="W1521" s="5">
        <f t="shared" si="155"/>
        <v>0.44069999999999998</v>
      </c>
      <c r="Y1521" s="2" t="s">
        <v>3256</v>
      </c>
      <c r="Z1521" s="2" t="s">
        <v>76</v>
      </c>
      <c r="AA1521" s="2" t="s">
        <v>77</v>
      </c>
      <c r="AB1521" s="2" t="s">
        <v>78</v>
      </c>
      <c r="AE1521" s="2">
        <f t="shared" si="151"/>
        <v>0</v>
      </c>
      <c r="AF1521" s="2">
        <v>117.453</v>
      </c>
      <c r="AG1521" s="2">
        <v>220</v>
      </c>
      <c r="AI1521" s="2">
        <f t="shared" si="152"/>
        <v>0</v>
      </c>
      <c r="AJ1521" s="2">
        <f t="shared" si="153"/>
        <v>92.546999999999997</v>
      </c>
      <c r="AK1521" s="5">
        <f t="shared" si="154"/>
        <v>0.44069999999999998</v>
      </c>
    </row>
    <row r="1522" spans="1:37" x14ac:dyDescent="0.2">
      <c r="A1522" s="2">
        <v>2025</v>
      </c>
      <c r="B1522" s="2">
        <v>6</v>
      </c>
      <c r="C1522" s="2" t="s">
        <v>1704</v>
      </c>
      <c r="O1522" s="2" t="s">
        <v>94</v>
      </c>
      <c r="P1522" s="2" t="s">
        <v>95</v>
      </c>
      <c r="Q1522" s="2" t="s">
        <v>96</v>
      </c>
      <c r="R1522" s="2">
        <v>1</v>
      </c>
      <c r="S1522" s="2">
        <v>1.1399999999999999</v>
      </c>
      <c r="T1522" s="2">
        <v>0.26219999999999999</v>
      </c>
      <c r="U1522" s="2">
        <v>1.4021999999999999</v>
      </c>
      <c r="V1522" s="2">
        <v>1.1399999999999999</v>
      </c>
      <c r="W1522" s="5">
        <f t="shared" si="155"/>
        <v>0</v>
      </c>
      <c r="Y1522" s="2" t="s">
        <v>3256</v>
      </c>
      <c r="Z1522" s="2" t="s">
        <v>97</v>
      </c>
      <c r="AA1522" s="2" t="s">
        <v>77</v>
      </c>
      <c r="AB1522" s="2" t="s">
        <v>94</v>
      </c>
      <c r="AE1522" s="2">
        <f t="shared" si="151"/>
        <v>0</v>
      </c>
      <c r="AI1522" s="2">
        <f t="shared" si="152"/>
        <v>0</v>
      </c>
      <c r="AJ1522" s="2">
        <f t="shared" si="153"/>
        <v>0</v>
      </c>
      <c r="AK1522" s="5">
        <f t="shared" si="154"/>
        <v>0</v>
      </c>
    </row>
    <row r="1523" spans="1:37" x14ac:dyDescent="0.2">
      <c r="A1523" s="2">
        <v>2025</v>
      </c>
      <c r="B1523" s="2">
        <v>6</v>
      </c>
      <c r="C1523" s="2" t="s">
        <v>1360</v>
      </c>
      <c r="O1523" s="2" t="s">
        <v>283</v>
      </c>
      <c r="P1523" s="2" t="s">
        <v>1705</v>
      </c>
      <c r="Q1523" s="2" t="s">
        <v>1706</v>
      </c>
      <c r="R1523" s="2">
        <v>1</v>
      </c>
      <c r="S1523" s="2">
        <v>59.9</v>
      </c>
      <c r="T1523" s="2">
        <v>13.776999999999999</v>
      </c>
      <c r="U1523" s="2">
        <v>73.676999999999992</v>
      </c>
      <c r="W1523" s="5">
        <f t="shared" si="155"/>
        <v>1</v>
      </c>
      <c r="AE1523" s="2">
        <f t="shared" si="151"/>
        <v>0</v>
      </c>
      <c r="AI1523" s="2">
        <f t="shared" si="152"/>
        <v>0</v>
      </c>
      <c r="AJ1523" s="2">
        <f t="shared" si="153"/>
        <v>59.9</v>
      </c>
      <c r="AK1523" s="5">
        <f t="shared" si="154"/>
        <v>1</v>
      </c>
    </row>
    <row r="1524" spans="1:37" x14ac:dyDescent="0.2">
      <c r="A1524" s="2">
        <v>2025</v>
      </c>
      <c r="B1524" s="2">
        <v>6</v>
      </c>
      <c r="C1524" s="2" t="s">
        <v>989</v>
      </c>
      <c r="D1524" s="2" t="s">
        <v>109</v>
      </c>
      <c r="E1524" s="2" t="s">
        <v>723</v>
      </c>
      <c r="F1524" s="2">
        <v>500594309</v>
      </c>
      <c r="G1524" s="2" t="s">
        <v>291</v>
      </c>
      <c r="H1524" s="2" t="s">
        <v>990</v>
      </c>
      <c r="I1524" s="2" t="s">
        <v>991</v>
      </c>
      <c r="K1524" s="2" t="s">
        <v>294</v>
      </c>
      <c r="L1524" s="2" t="s">
        <v>81</v>
      </c>
      <c r="N1524" s="2" t="s">
        <v>1707</v>
      </c>
      <c r="O1524" s="2" t="s">
        <v>73</v>
      </c>
      <c r="P1524" s="2" t="s">
        <v>74</v>
      </c>
      <c r="Q1524" s="2" t="s">
        <v>75</v>
      </c>
      <c r="R1524" s="2">
        <v>1</v>
      </c>
      <c r="S1524" s="2">
        <v>200</v>
      </c>
      <c r="T1524" s="2">
        <v>46</v>
      </c>
      <c r="U1524" s="2">
        <v>246</v>
      </c>
      <c r="V1524" s="2">
        <v>117.453</v>
      </c>
      <c r="W1524" s="5">
        <f t="shared" si="155"/>
        <v>0.41273499999999996</v>
      </c>
      <c r="Y1524" s="2" t="s">
        <v>3256</v>
      </c>
      <c r="Z1524" s="2" t="s">
        <v>76</v>
      </c>
      <c r="AA1524" s="2" t="s">
        <v>77</v>
      </c>
      <c r="AB1524" s="2" t="s">
        <v>78</v>
      </c>
      <c r="AE1524" s="2">
        <f t="shared" si="151"/>
        <v>0</v>
      </c>
      <c r="AF1524" s="2">
        <v>117.453</v>
      </c>
      <c r="AG1524" s="2">
        <v>220</v>
      </c>
      <c r="AI1524" s="2">
        <f t="shared" si="152"/>
        <v>0</v>
      </c>
      <c r="AJ1524" s="2">
        <f t="shared" si="153"/>
        <v>82.546999999999997</v>
      </c>
      <c r="AK1524" s="5">
        <f t="shared" si="154"/>
        <v>0.41273499999999996</v>
      </c>
    </row>
    <row r="1525" spans="1:37" x14ac:dyDescent="0.2">
      <c r="A1525" s="2">
        <v>2025</v>
      </c>
      <c r="B1525" s="2">
        <v>6</v>
      </c>
      <c r="C1525" s="2" t="s">
        <v>989</v>
      </c>
      <c r="D1525" s="2" t="s">
        <v>109</v>
      </c>
      <c r="E1525" s="2" t="s">
        <v>723</v>
      </c>
      <c r="F1525" s="2">
        <v>500594309</v>
      </c>
      <c r="G1525" s="2" t="s">
        <v>291</v>
      </c>
      <c r="H1525" s="2" t="s">
        <v>990</v>
      </c>
      <c r="I1525" s="2" t="s">
        <v>991</v>
      </c>
      <c r="K1525" s="2" t="s">
        <v>294</v>
      </c>
      <c r="L1525" s="2" t="s">
        <v>81</v>
      </c>
      <c r="N1525" s="2" t="s">
        <v>1707</v>
      </c>
      <c r="O1525" s="2" t="s">
        <v>94</v>
      </c>
      <c r="P1525" s="2" t="s">
        <v>95</v>
      </c>
      <c r="Q1525" s="2" t="s">
        <v>96</v>
      </c>
      <c r="R1525" s="2">
        <v>1</v>
      </c>
      <c r="S1525" s="2">
        <v>1.1399999999999999</v>
      </c>
      <c r="T1525" s="2">
        <v>0.26219999999999999</v>
      </c>
      <c r="U1525" s="2">
        <v>1.4021999999999999</v>
      </c>
      <c r="V1525" s="2">
        <v>1.1399999999999999</v>
      </c>
      <c r="W1525" s="5">
        <f t="shared" si="155"/>
        <v>0</v>
      </c>
      <c r="Y1525" s="2" t="s">
        <v>3256</v>
      </c>
      <c r="Z1525" s="2" t="s">
        <v>97</v>
      </c>
      <c r="AA1525" s="2" t="s">
        <v>77</v>
      </c>
      <c r="AB1525" s="2" t="s">
        <v>94</v>
      </c>
      <c r="AE1525" s="2">
        <f t="shared" si="151"/>
        <v>0</v>
      </c>
      <c r="AF1525" s="2">
        <v>1.1399999999999999</v>
      </c>
      <c r="AG1525" s="2">
        <v>1.1399999999999999</v>
      </c>
      <c r="AI1525" s="2">
        <f t="shared" si="152"/>
        <v>0</v>
      </c>
      <c r="AJ1525" s="2">
        <f t="shared" si="153"/>
        <v>0</v>
      </c>
      <c r="AK1525" s="5">
        <f t="shared" si="154"/>
        <v>0</v>
      </c>
    </row>
    <row r="1526" spans="1:37" x14ac:dyDescent="0.2">
      <c r="A1526" s="2">
        <v>2025</v>
      </c>
      <c r="B1526" s="2">
        <v>6</v>
      </c>
      <c r="C1526" s="2" t="s">
        <v>747</v>
      </c>
      <c r="P1526" s="2" t="s">
        <v>1708</v>
      </c>
      <c r="Q1526" s="2" t="s">
        <v>1709</v>
      </c>
      <c r="R1526" s="2">
        <v>1</v>
      </c>
      <c r="S1526" s="2">
        <v>73.69</v>
      </c>
      <c r="T1526" s="2">
        <v>16.948699999999999</v>
      </c>
      <c r="U1526" s="2">
        <v>90.6387</v>
      </c>
      <c r="W1526" s="5">
        <f t="shared" si="155"/>
        <v>1</v>
      </c>
      <c r="AE1526" s="2">
        <f t="shared" si="151"/>
        <v>0</v>
      </c>
      <c r="AI1526" s="2">
        <f t="shared" si="152"/>
        <v>0</v>
      </c>
      <c r="AJ1526" s="2">
        <f t="shared" si="153"/>
        <v>73.69</v>
      </c>
      <c r="AK1526" s="5">
        <f t="shared" si="154"/>
        <v>1</v>
      </c>
    </row>
    <row r="1527" spans="1:37" x14ac:dyDescent="0.2">
      <c r="A1527" s="2">
        <v>2025</v>
      </c>
      <c r="B1527" s="2">
        <v>6</v>
      </c>
      <c r="C1527" s="2" t="s">
        <v>747</v>
      </c>
      <c r="L1527" s="2" t="s">
        <v>40</v>
      </c>
      <c r="O1527" s="2" t="s">
        <v>188</v>
      </c>
      <c r="P1527" s="2" t="s">
        <v>189</v>
      </c>
      <c r="Q1527" s="2" t="s">
        <v>190</v>
      </c>
      <c r="R1527" s="2">
        <v>2</v>
      </c>
      <c r="S1527" s="2">
        <v>214</v>
      </c>
      <c r="T1527" s="2">
        <v>49.22</v>
      </c>
      <c r="U1527" s="2">
        <v>263.22000000000003</v>
      </c>
      <c r="W1527" s="5">
        <f t="shared" si="155"/>
        <v>1</v>
      </c>
      <c r="Y1527" s="2" t="s">
        <v>118</v>
      </c>
      <c r="Z1527" s="2" t="s">
        <v>191</v>
      </c>
      <c r="AE1527" s="2">
        <f t="shared" si="151"/>
        <v>0</v>
      </c>
      <c r="AI1527" s="2">
        <f t="shared" si="152"/>
        <v>0</v>
      </c>
      <c r="AJ1527" s="2">
        <f t="shared" si="153"/>
        <v>214</v>
      </c>
      <c r="AK1527" s="5">
        <f t="shared" si="154"/>
        <v>1</v>
      </c>
    </row>
    <row r="1528" spans="1:37" x14ac:dyDescent="0.2">
      <c r="A1528" s="2">
        <v>2025</v>
      </c>
      <c r="B1528" s="2">
        <v>6</v>
      </c>
      <c r="C1528" s="2" t="s">
        <v>747</v>
      </c>
      <c r="L1528" s="2" t="s">
        <v>40</v>
      </c>
      <c r="O1528" s="2" t="s">
        <v>188</v>
      </c>
      <c r="P1528" s="2" t="s">
        <v>192</v>
      </c>
      <c r="Q1528" s="2" t="s">
        <v>191</v>
      </c>
      <c r="R1528" s="2">
        <v>1.8</v>
      </c>
      <c r="S1528" s="2">
        <v>90</v>
      </c>
      <c r="T1528" s="2">
        <v>20.7</v>
      </c>
      <c r="U1528" s="2">
        <v>110.7</v>
      </c>
      <c r="V1528" s="2">
        <f>S1528*50%</f>
        <v>45</v>
      </c>
      <c r="W1528" s="5">
        <f t="shared" si="155"/>
        <v>0.5</v>
      </c>
      <c r="Y1528" s="2" t="s">
        <v>118</v>
      </c>
      <c r="Z1528" s="2" t="s">
        <v>191</v>
      </c>
      <c r="AE1528" s="2">
        <f t="shared" si="151"/>
        <v>0</v>
      </c>
      <c r="AI1528" s="2">
        <f t="shared" si="152"/>
        <v>0</v>
      </c>
      <c r="AJ1528" s="2">
        <f t="shared" si="153"/>
        <v>45</v>
      </c>
      <c r="AK1528" s="5">
        <f t="shared" si="154"/>
        <v>0.5</v>
      </c>
    </row>
    <row r="1529" spans="1:37" x14ac:dyDescent="0.2">
      <c r="A1529" s="2">
        <v>2025</v>
      </c>
      <c r="B1529" s="2">
        <v>6</v>
      </c>
      <c r="C1529" s="2" t="s">
        <v>1365</v>
      </c>
      <c r="D1529" s="2" t="s">
        <v>758</v>
      </c>
      <c r="E1529" s="2" t="s">
        <v>39</v>
      </c>
      <c r="F1529" s="2">
        <v>518238334</v>
      </c>
      <c r="G1529" s="2" t="s">
        <v>41</v>
      </c>
      <c r="H1529" s="2" t="s">
        <v>768</v>
      </c>
      <c r="I1529" s="2" t="s">
        <v>1366</v>
      </c>
      <c r="K1529" s="2" t="s">
        <v>422</v>
      </c>
      <c r="O1529" s="2" t="s">
        <v>283</v>
      </c>
      <c r="P1529" s="2" t="s">
        <v>1710</v>
      </c>
      <c r="Q1529" s="2" t="s">
        <v>1711</v>
      </c>
      <c r="R1529" s="2">
        <v>1</v>
      </c>
      <c r="S1529" s="2">
        <v>100</v>
      </c>
      <c r="T1529" s="2">
        <v>23</v>
      </c>
      <c r="U1529" s="2">
        <v>123</v>
      </c>
      <c r="W1529" s="5">
        <f t="shared" si="155"/>
        <v>1</v>
      </c>
      <c r="AE1529" s="2">
        <f t="shared" si="151"/>
        <v>0</v>
      </c>
      <c r="AI1529" s="2">
        <f t="shared" si="152"/>
        <v>0</v>
      </c>
      <c r="AJ1529" s="2">
        <f t="shared" si="153"/>
        <v>100</v>
      </c>
      <c r="AK1529" s="5">
        <f t="shared" si="154"/>
        <v>1</v>
      </c>
    </row>
    <row r="1530" spans="1:37" x14ac:dyDescent="0.2">
      <c r="A1530" s="2">
        <v>2025</v>
      </c>
      <c r="B1530" s="2">
        <v>6</v>
      </c>
      <c r="C1530" s="2" t="s">
        <v>1712</v>
      </c>
      <c r="O1530" s="2" t="s">
        <v>115</v>
      </c>
      <c r="P1530" s="2" t="s">
        <v>375</v>
      </c>
      <c r="Q1530" s="2" t="s">
        <v>376</v>
      </c>
      <c r="R1530" s="2">
        <v>1</v>
      </c>
      <c r="S1530" s="2">
        <v>45.07</v>
      </c>
      <c r="T1530" s="2">
        <v>10.366099999999999</v>
      </c>
      <c r="U1530" s="2">
        <v>55.436100000000003</v>
      </c>
      <c r="W1530" s="5">
        <f t="shared" si="155"/>
        <v>1</v>
      </c>
      <c r="AE1530" s="2">
        <f t="shared" si="151"/>
        <v>0</v>
      </c>
      <c r="AI1530" s="2">
        <f t="shared" si="152"/>
        <v>0</v>
      </c>
      <c r="AJ1530" s="2">
        <f t="shared" si="153"/>
        <v>45.07</v>
      </c>
      <c r="AK1530" s="5">
        <f t="shared" si="154"/>
        <v>1</v>
      </c>
    </row>
    <row r="1531" spans="1:37" x14ac:dyDescent="0.2">
      <c r="A1531" s="2">
        <v>2025</v>
      </c>
      <c r="B1531" s="2">
        <v>6</v>
      </c>
      <c r="C1531" s="2" t="s">
        <v>354</v>
      </c>
      <c r="D1531" s="2" t="s">
        <v>38</v>
      </c>
      <c r="E1531" s="2" t="s">
        <v>39</v>
      </c>
      <c r="F1531" s="2">
        <v>516289241</v>
      </c>
      <c r="G1531" s="2" t="s">
        <v>41</v>
      </c>
      <c r="H1531" s="2" t="s">
        <v>355</v>
      </c>
      <c r="I1531" s="2" t="s">
        <v>356</v>
      </c>
      <c r="J1531" s="2">
        <v>918502342</v>
      </c>
      <c r="K1531" s="2" t="s">
        <v>100</v>
      </c>
      <c r="O1531" s="2" t="s">
        <v>115</v>
      </c>
      <c r="P1531" s="2" t="s">
        <v>375</v>
      </c>
      <c r="Q1531" s="2" t="s">
        <v>376</v>
      </c>
      <c r="R1531" s="2">
        <v>1</v>
      </c>
      <c r="S1531" s="2">
        <v>45.07</v>
      </c>
      <c r="T1531" s="2">
        <v>10.366099999999999</v>
      </c>
      <c r="U1531" s="2">
        <v>55.436100000000003</v>
      </c>
      <c r="W1531" s="5">
        <f t="shared" si="155"/>
        <v>1</v>
      </c>
      <c r="AE1531" s="2">
        <f t="shared" si="151"/>
        <v>0</v>
      </c>
      <c r="AI1531" s="2">
        <f t="shared" si="152"/>
        <v>0</v>
      </c>
      <c r="AJ1531" s="2">
        <f t="shared" si="153"/>
        <v>45.07</v>
      </c>
      <c r="AK1531" s="5">
        <f t="shared" si="154"/>
        <v>1</v>
      </c>
    </row>
    <row r="1532" spans="1:37" x14ac:dyDescent="0.2">
      <c r="A1532" s="2">
        <v>2025</v>
      </c>
      <c r="B1532" s="2">
        <v>6</v>
      </c>
      <c r="C1532" s="2" t="s">
        <v>354</v>
      </c>
      <c r="D1532" s="2" t="s">
        <v>38</v>
      </c>
      <c r="E1532" s="2" t="s">
        <v>39</v>
      </c>
      <c r="F1532" s="2">
        <v>516289241</v>
      </c>
      <c r="G1532" s="2" t="s">
        <v>41</v>
      </c>
      <c r="H1532" s="2" t="s">
        <v>355</v>
      </c>
      <c r="I1532" s="2" t="s">
        <v>356</v>
      </c>
      <c r="J1532" s="2">
        <v>918502342</v>
      </c>
      <c r="K1532" s="2" t="s">
        <v>100</v>
      </c>
      <c r="L1532" s="2" t="s">
        <v>40</v>
      </c>
      <c r="O1532" s="2" t="s">
        <v>188</v>
      </c>
      <c r="P1532" s="2" t="s">
        <v>189</v>
      </c>
      <c r="Q1532" s="2" t="s">
        <v>190</v>
      </c>
      <c r="R1532" s="2">
        <v>1</v>
      </c>
      <c r="S1532" s="2">
        <v>50</v>
      </c>
      <c r="T1532" s="2">
        <v>11.5</v>
      </c>
      <c r="U1532" s="2">
        <v>61.5</v>
      </c>
      <c r="W1532" s="5">
        <f t="shared" si="155"/>
        <v>1</v>
      </c>
      <c r="Y1532" s="2" t="s">
        <v>118</v>
      </c>
      <c r="Z1532" s="2" t="s">
        <v>191</v>
      </c>
      <c r="AE1532" s="2">
        <f t="shared" si="151"/>
        <v>0</v>
      </c>
      <c r="AI1532" s="2">
        <f t="shared" si="152"/>
        <v>0</v>
      </c>
      <c r="AJ1532" s="2">
        <f t="shared" si="153"/>
        <v>50</v>
      </c>
      <c r="AK1532" s="5">
        <f t="shared" si="154"/>
        <v>1</v>
      </c>
    </row>
    <row r="1533" spans="1:37" x14ac:dyDescent="0.2">
      <c r="A1533" s="2">
        <v>2025</v>
      </c>
      <c r="B1533" s="2">
        <v>6</v>
      </c>
      <c r="C1533" s="2" t="s">
        <v>354</v>
      </c>
      <c r="D1533" s="2" t="s">
        <v>38</v>
      </c>
      <c r="E1533" s="2" t="s">
        <v>39</v>
      </c>
      <c r="F1533" s="2">
        <v>516289241</v>
      </c>
      <c r="G1533" s="2" t="s">
        <v>41</v>
      </c>
      <c r="H1533" s="2" t="s">
        <v>355</v>
      </c>
      <c r="I1533" s="2" t="s">
        <v>356</v>
      </c>
      <c r="J1533" s="2">
        <v>918502342</v>
      </c>
      <c r="K1533" s="2" t="s">
        <v>100</v>
      </c>
      <c r="L1533" s="2" t="s">
        <v>40</v>
      </c>
      <c r="O1533" s="2" t="s">
        <v>188</v>
      </c>
      <c r="P1533" s="2" t="s">
        <v>192</v>
      </c>
      <c r="Q1533" s="2" t="s">
        <v>191</v>
      </c>
      <c r="R1533" s="2">
        <v>1</v>
      </c>
      <c r="S1533" s="2">
        <v>50</v>
      </c>
      <c r="T1533" s="2">
        <v>11.5</v>
      </c>
      <c r="U1533" s="2">
        <v>61.5</v>
      </c>
      <c r="V1533" s="2">
        <f>S1533*50%</f>
        <v>25</v>
      </c>
      <c r="W1533" s="5">
        <f t="shared" si="155"/>
        <v>0.5</v>
      </c>
      <c r="Y1533" s="2" t="s">
        <v>118</v>
      </c>
      <c r="Z1533" s="2" t="s">
        <v>191</v>
      </c>
      <c r="AE1533" s="2">
        <f t="shared" si="151"/>
        <v>0</v>
      </c>
      <c r="AI1533" s="2">
        <f t="shared" si="152"/>
        <v>0</v>
      </c>
      <c r="AJ1533" s="2">
        <f t="shared" si="153"/>
        <v>25</v>
      </c>
      <c r="AK1533" s="5">
        <f t="shared" si="154"/>
        <v>0.5</v>
      </c>
    </row>
    <row r="1534" spans="1:37" x14ac:dyDescent="0.2">
      <c r="A1534" s="2">
        <v>2025</v>
      </c>
      <c r="B1534" s="2">
        <v>6</v>
      </c>
      <c r="C1534" s="2" t="s">
        <v>360</v>
      </c>
      <c r="D1534" s="2" t="s">
        <v>109</v>
      </c>
      <c r="E1534" s="2" t="s">
        <v>39</v>
      </c>
      <c r="F1534" s="2">
        <v>503413909</v>
      </c>
      <c r="G1534" s="2" t="s">
        <v>110</v>
      </c>
      <c r="H1534" s="2" t="s">
        <v>361</v>
      </c>
      <c r="I1534" s="2" t="s">
        <v>362</v>
      </c>
      <c r="K1534" s="2" t="s">
        <v>361</v>
      </c>
      <c r="L1534" s="2" t="s">
        <v>40</v>
      </c>
      <c r="N1534" s="2" t="s">
        <v>1713</v>
      </c>
      <c r="O1534" s="2" t="s">
        <v>188</v>
      </c>
      <c r="P1534" s="2" t="s">
        <v>189</v>
      </c>
      <c r="Q1534" s="2" t="s">
        <v>190</v>
      </c>
      <c r="R1534" s="2">
        <v>1</v>
      </c>
      <c r="S1534" s="2">
        <v>199</v>
      </c>
      <c r="T1534" s="2">
        <v>45.77</v>
      </c>
      <c r="U1534" s="2">
        <v>244.77</v>
      </c>
      <c r="W1534" s="5">
        <f t="shared" si="155"/>
        <v>1</v>
      </c>
      <c r="Y1534" s="2" t="s">
        <v>118</v>
      </c>
      <c r="Z1534" s="2" t="s">
        <v>191</v>
      </c>
      <c r="AE1534" s="2">
        <f t="shared" si="151"/>
        <v>0</v>
      </c>
      <c r="AI1534" s="2">
        <f t="shared" si="152"/>
        <v>0</v>
      </c>
      <c r="AJ1534" s="2">
        <f t="shared" si="153"/>
        <v>199</v>
      </c>
      <c r="AK1534" s="5">
        <f t="shared" si="154"/>
        <v>1</v>
      </c>
    </row>
    <row r="1535" spans="1:37" x14ac:dyDescent="0.2">
      <c r="A1535" s="2">
        <v>2025</v>
      </c>
      <c r="B1535" s="2">
        <v>6</v>
      </c>
      <c r="C1535" s="2" t="s">
        <v>360</v>
      </c>
      <c r="D1535" s="2" t="s">
        <v>109</v>
      </c>
      <c r="E1535" s="2" t="s">
        <v>39</v>
      </c>
      <c r="F1535" s="2">
        <v>503413909</v>
      </c>
      <c r="G1535" s="2" t="s">
        <v>110</v>
      </c>
      <c r="H1535" s="2" t="s">
        <v>361</v>
      </c>
      <c r="I1535" s="2" t="s">
        <v>362</v>
      </c>
      <c r="K1535" s="2" t="s">
        <v>361</v>
      </c>
      <c r="L1535" s="2" t="s">
        <v>40</v>
      </c>
      <c r="N1535" s="2" t="s">
        <v>1713</v>
      </c>
      <c r="O1535" s="2" t="s">
        <v>188</v>
      </c>
      <c r="P1535" s="2" t="s">
        <v>192</v>
      </c>
      <c r="Q1535" s="2" t="s">
        <v>191</v>
      </c>
      <c r="R1535" s="2">
        <v>3</v>
      </c>
      <c r="S1535" s="2">
        <v>150</v>
      </c>
      <c r="T1535" s="2">
        <v>34.5</v>
      </c>
      <c r="U1535" s="2">
        <v>184.5</v>
      </c>
      <c r="V1535" s="2">
        <f>S1535*50%</f>
        <v>75</v>
      </c>
      <c r="W1535" s="5">
        <f t="shared" si="155"/>
        <v>0.5</v>
      </c>
      <c r="Y1535" s="2" t="s">
        <v>118</v>
      </c>
      <c r="Z1535" s="2" t="s">
        <v>191</v>
      </c>
      <c r="AE1535" s="2">
        <f t="shared" si="151"/>
        <v>0</v>
      </c>
      <c r="AF1535" s="2">
        <v>75</v>
      </c>
      <c r="AI1535" s="2">
        <f t="shared" si="152"/>
        <v>0</v>
      </c>
      <c r="AJ1535" s="2">
        <f t="shared" si="153"/>
        <v>75</v>
      </c>
      <c r="AK1535" s="5">
        <f t="shared" si="154"/>
        <v>0.5</v>
      </c>
    </row>
    <row r="1536" spans="1:37" x14ac:dyDescent="0.2">
      <c r="A1536" s="2">
        <v>2025</v>
      </c>
      <c r="B1536" s="2">
        <v>6</v>
      </c>
      <c r="C1536" s="2" t="s">
        <v>1714</v>
      </c>
      <c r="O1536" s="2" t="s">
        <v>283</v>
      </c>
      <c r="P1536" s="2" t="s">
        <v>438</v>
      </c>
      <c r="Q1536" s="2" t="s">
        <v>439</v>
      </c>
      <c r="R1536" s="2">
        <v>1</v>
      </c>
      <c r="S1536" s="2">
        <v>695</v>
      </c>
      <c r="T1536" s="2">
        <v>159.85</v>
      </c>
      <c r="U1536" s="2">
        <v>854.85</v>
      </c>
      <c r="W1536" s="5">
        <f t="shared" si="155"/>
        <v>1</v>
      </c>
      <c r="Y1536" s="2" t="s">
        <v>105</v>
      </c>
      <c r="AE1536" s="2">
        <f t="shared" si="151"/>
        <v>0</v>
      </c>
      <c r="AI1536" s="2">
        <f t="shared" si="152"/>
        <v>0</v>
      </c>
      <c r="AJ1536" s="2">
        <f t="shared" si="153"/>
        <v>695</v>
      </c>
      <c r="AK1536" s="5">
        <f t="shared" si="154"/>
        <v>1</v>
      </c>
    </row>
    <row r="1537" spans="1:37" x14ac:dyDescent="0.2">
      <c r="A1537" s="2">
        <v>2025</v>
      </c>
      <c r="B1537" s="2">
        <v>6</v>
      </c>
      <c r="C1537" s="2" t="s">
        <v>377</v>
      </c>
      <c r="D1537" s="2" t="s">
        <v>109</v>
      </c>
      <c r="E1537" s="2" t="s">
        <v>378</v>
      </c>
      <c r="F1537" s="2">
        <v>503552542</v>
      </c>
      <c r="G1537" s="2" t="s">
        <v>291</v>
      </c>
      <c r="H1537" s="2" t="s">
        <v>379</v>
      </c>
      <c r="I1537" s="2" t="s">
        <v>380</v>
      </c>
      <c r="K1537" s="2" t="s">
        <v>340</v>
      </c>
      <c r="L1537" s="2" t="s">
        <v>81</v>
      </c>
      <c r="N1537" s="2" t="s">
        <v>1715</v>
      </c>
      <c r="O1537" s="2" t="s">
        <v>73</v>
      </c>
      <c r="P1537" s="2" t="s">
        <v>302</v>
      </c>
      <c r="Q1537" s="2" t="s">
        <v>75</v>
      </c>
      <c r="R1537" s="2">
        <v>1</v>
      </c>
      <c r="S1537" s="2">
        <v>210</v>
      </c>
      <c r="T1537" s="2">
        <v>48.3</v>
      </c>
      <c r="U1537" s="2">
        <v>258.3</v>
      </c>
      <c r="V1537" s="2">
        <v>121.46</v>
      </c>
      <c r="W1537" s="5">
        <f t="shared" si="155"/>
        <v>0.42161904761904767</v>
      </c>
      <c r="Y1537" s="2" t="s">
        <v>3256</v>
      </c>
      <c r="Z1537" s="2" t="s">
        <v>76</v>
      </c>
      <c r="AA1537" s="2" t="s">
        <v>77</v>
      </c>
      <c r="AB1537" s="2" t="s">
        <v>78</v>
      </c>
      <c r="AE1537" s="2">
        <f t="shared" si="151"/>
        <v>0</v>
      </c>
      <c r="AF1537" s="2">
        <v>121.46</v>
      </c>
      <c r="AG1537" s="2">
        <v>210</v>
      </c>
      <c r="AI1537" s="2">
        <f t="shared" si="152"/>
        <v>0</v>
      </c>
      <c r="AJ1537" s="2">
        <f t="shared" si="153"/>
        <v>88.54</v>
      </c>
      <c r="AK1537" s="5">
        <f t="shared" si="154"/>
        <v>0.42161904761904767</v>
      </c>
    </row>
    <row r="1538" spans="1:37" x14ac:dyDescent="0.2">
      <c r="A1538" s="2">
        <v>2025</v>
      </c>
      <c r="B1538" s="2">
        <v>6</v>
      </c>
      <c r="C1538" s="2" t="s">
        <v>377</v>
      </c>
      <c r="D1538" s="2" t="s">
        <v>109</v>
      </c>
      <c r="E1538" s="2" t="s">
        <v>378</v>
      </c>
      <c r="F1538" s="2">
        <v>503552542</v>
      </c>
      <c r="G1538" s="2" t="s">
        <v>291</v>
      </c>
      <c r="H1538" s="2" t="s">
        <v>379</v>
      </c>
      <c r="I1538" s="2" t="s">
        <v>380</v>
      </c>
      <c r="K1538" s="2" t="s">
        <v>340</v>
      </c>
      <c r="L1538" s="2" t="s">
        <v>81</v>
      </c>
      <c r="N1538" s="2" t="s">
        <v>1715</v>
      </c>
      <c r="O1538" s="2" t="s">
        <v>94</v>
      </c>
      <c r="P1538" s="2" t="s">
        <v>95</v>
      </c>
      <c r="Q1538" s="2" t="s">
        <v>96</v>
      </c>
      <c r="R1538" s="2">
        <v>1</v>
      </c>
      <c r="S1538" s="2">
        <v>1.1399999999999999</v>
      </c>
      <c r="T1538" s="2">
        <v>0.26219999999999999</v>
      </c>
      <c r="U1538" s="2">
        <v>1.4021999999999999</v>
      </c>
      <c r="V1538" s="2">
        <v>1.1399999999999999</v>
      </c>
      <c r="W1538" s="5">
        <f t="shared" si="155"/>
        <v>0</v>
      </c>
      <c r="Y1538" s="2" t="s">
        <v>3256</v>
      </c>
      <c r="Z1538" s="2" t="s">
        <v>97</v>
      </c>
      <c r="AA1538" s="2" t="s">
        <v>77</v>
      </c>
      <c r="AB1538" s="2" t="s">
        <v>94</v>
      </c>
      <c r="AE1538" s="2">
        <f t="shared" si="151"/>
        <v>0</v>
      </c>
      <c r="AI1538" s="2">
        <f t="shared" si="152"/>
        <v>0</v>
      </c>
      <c r="AJ1538" s="2">
        <f t="shared" si="153"/>
        <v>0</v>
      </c>
      <c r="AK1538" s="5">
        <f t="shared" si="154"/>
        <v>0</v>
      </c>
    </row>
    <row r="1539" spans="1:37" x14ac:dyDescent="0.2">
      <c r="A1539" s="2">
        <v>2025</v>
      </c>
      <c r="B1539" s="2">
        <v>6</v>
      </c>
      <c r="C1539" s="2" t="s">
        <v>414</v>
      </c>
      <c r="D1539" s="2" t="s">
        <v>38</v>
      </c>
      <c r="F1539" s="2">
        <v>508259509</v>
      </c>
      <c r="G1539" s="2" t="s">
        <v>40</v>
      </c>
      <c r="H1539" s="2" t="s">
        <v>340</v>
      </c>
      <c r="K1539" s="2" t="s">
        <v>340</v>
      </c>
      <c r="L1539" s="2" t="s">
        <v>40</v>
      </c>
      <c r="N1539" s="2" t="s">
        <v>1716</v>
      </c>
      <c r="O1539" s="2" t="s">
        <v>115</v>
      </c>
      <c r="P1539" s="2" t="s">
        <v>1717</v>
      </c>
      <c r="Q1539" s="2" t="s">
        <v>1718</v>
      </c>
      <c r="R1539" s="2">
        <v>1</v>
      </c>
      <c r="S1539" s="2">
        <v>976</v>
      </c>
      <c r="T1539" s="2">
        <v>224.48</v>
      </c>
      <c r="U1539" s="2">
        <v>1200.48</v>
      </c>
      <c r="V1539" s="2">
        <v>796.8</v>
      </c>
      <c r="W1539" s="5">
        <f t="shared" si="155"/>
        <v>0.18360655737704923</v>
      </c>
      <c r="Y1539" s="2" t="s">
        <v>118</v>
      </c>
      <c r="Z1539" s="2" t="s">
        <v>583</v>
      </c>
      <c r="AA1539" s="2" t="s">
        <v>120</v>
      </c>
      <c r="AB1539" s="2" t="s">
        <v>115</v>
      </c>
      <c r="AE1539" s="2">
        <f t="shared" ref="AE1539:AE1602" si="156">AI1539</f>
        <v>0</v>
      </c>
      <c r="AF1539" s="2">
        <v>796.8</v>
      </c>
      <c r="AI1539" s="2">
        <f t="shared" ref="AI1539:AI1602" si="157">AH1539*S1539</f>
        <v>0</v>
      </c>
      <c r="AJ1539" s="2">
        <f t="shared" ref="AJ1539:AJ1602" si="158">S1539-V1539</f>
        <v>179.20000000000005</v>
      </c>
      <c r="AK1539" s="5">
        <f t="shared" si="154"/>
        <v>0.18360655737704923</v>
      </c>
    </row>
    <row r="1540" spans="1:37" x14ac:dyDescent="0.2">
      <c r="A1540" s="2">
        <v>2025</v>
      </c>
      <c r="B1540" s="2">
        <v>6</v>
      </c>
      <c r="C1540" s="2" t="s">
        <v>414</v>
      </c>
      <c r="D1540" s="2" t="s">
        <v>38</v>
      </c>
      <c r="F1540" s="2">
        <v>508259509</v>
      </c>
      <c r="G1540" s="2" t="s">
        <v>40</v>
      </c>
      <c r="H1540" s="2" t="s">
        <v>340</v>
      </c>
      <c r="K1540" s="2" t="s">
        <v>340</v>
      </c>
      <c r="L1540" s="2" t="s">
        <v>40</v>
      </c>
      <c r="N1540" s="2" t="s">
        <v>1716</v>
      </c>
      <c r="O1540" s="2" t="s">
        <v>115</v>
      </c>
      <c r="P1540" s="2" t="s">
        <v>933</v>
      </c>
      <c r="Q1540" s="2" t="s">
        <v>934</v>
      </c>
      <c r="R1540" s="2">
        <v>1</v>
      </c>
      <c r="S1540" s="2">
        <v>350</v>
      </c>
      <c r="T1540" s="2">
        <v>80.5</v>
      </c>
      <c r="U1540" s="2">
        <v>430.5</v>
      </c>
      <c r="V1540" s="2">
        <v>324.64999999999998</v>
      </c>
      <c r="W1540" s="5">
        <f t="shared" si="155"/>
        <v>7.2428571428571495E-2</v>
      </c>
      <c r="Y1540" s="2" t="s">
        <v>118</v>
      </c>
      <c r="Z1540" s="2" t="s">
        <v>583</v>
      </c>
      <c r="AA1540" s="2" t="s">
        <v>120</v>
      </c>
      <c r="AB1540" s="2" t="s">
        <v>115</v>
      </c>
      <c r="AE1540" s="2">
        <f t="shared" si="156"/>
        <v>0</v>
      </c>
      <c r="AF1540" s="2">
        <f>305.4+19.25</f>
        <v>324.64999999999998</v>
      </c>
      <c r="AI1540" s="2">
        <f t="shared" si="157"/>
        <v>0</v>
      </c>
      <c r="AJ1540" s="2">
        <f t="shared" si="158"/>
        <v>25.350000000000023</v>
      </c>
      <c r="AK1540" s="5">
        <f t="shared" si="154"/>
        <v>7.2428571428571495E-2</v>
      </c>
    </row>
    <row r="1541" spans="1:37" x14ac:dyDescent="0.2">
      <c r="A1541" s="2">
        <v>2025</v>
      </c>
      <c r="B1541" s="2">
        <v>6</v>
      </c>
      <c r="C1541" s="2" t="s">
        <v>414</v>
      </c>
      <c r="D1541" s="2" t="s">
        <v>38</v>
      </c>
      <c r="F1541" s="2">
        <v>508259509</v>
      </c>
      <c r="G1541" s="2" t="s">
        <v>40</v>
      </c>
      <c r="H1541" s="2" t="s">
        <v>340</v>
      </c>
      <c r="K1541" s="2" t="s">
        <v>340</v>
      </c>
      <c r="L1541" s="2" t="s">
        <v>40</v>
      </c>
      <c r="N1541" s="2" t="s">
        <v>1716</v>
      </c>
      <c r="O1541" s="2" t="s">
        <v>283</v>
      </c>
      <c r="P1541" s="2" t="s">
        <v>1719</v>
      </c>
      <c r="Q1541" s="2" t="s">
        <v>1720</v>
      </c>
      <c r="R1541" s="2">
        <v>1</v>
      </c>
      <c r="S1541" s="2">
        <v>394</v>
      </c>
      <c r="T1541" s="2">
        <v>90.62</v>
      </c>
      <c r="U1541" s="2">
        <v>484.62</v>
      </c>
      <c r="V1541" s="2">
        <v>319.5</v>
      </c>
      <c r="W1541" s="5">
        <f t="shared" si="155"/>
        <v>0.18908629441624367</v>
      </c>
      <c r="Y1541" s="2" t="s">
        <v>3256</v>
      </c>
      <c r="Z1541" s="2" t="s">
        <v>72</v>
      </c>
      <c r="AA1541" s="2" t="s">
        <v>1616</v>
      </c>
      <c r="AB1541" s="2" t="s">
        <v>1616</v>
      </c>
      <c r="AE1541" s="2">
        <f t="shared" si="156"/>
        <v>0</v>
      </c>
      <c r="AF1541" s="2">
        <v>319.5</v>
      </c>
      <c r="AI1541" s="2">
        <f t="shared" si="157"/>
        <v>0</v>
      </c>
      <c r="AJ1541" s="2">
        <f t="shared" si="158"/>
        <v>74.5</v>
      </c>
      <c r="AK1541" s="5">
        <f t="shared" si="154"/>
        <v>0.18908629441624367</v>
      </c>
    </row>
    <row r="1542" spans="1:37" x14ac:dyDescent="0.2">
      <c r="A1542" s="2">
        <v>2025</v>
      </c>
      <c r="B1542" s="2">
        <v>6</v>
      </c>
      <c r="C1542" s="2" t="s">
        <v>414</v>
      </c>
      <c r="D1542" s="2" t="s">
        <v>38</v>
      </c>
      <c r="F1542" s="2">
        <v>508259509</v>
      </c>
      <c r="G1542" s="2" t="s">
        <v>40</v>
      </c>
      <c r="H1542" s="2" t="s">
        <v>340</v>
      </c>
      <c r="K1542" s="2" t="s">
        <v>340</v>
      </c>
      <c r="L1542" s="2" t="s">
        <v>40</v>
      </c>
      <c r="N1542" s="2" t="s">
        <v>1716</v>
      </c>
      <c r="O1542" s="2" t="s">
        <v>283</v>
      </c>
      <c r="P1542" s="2" t="s">
        <v>1721</v>
      </c>
      <c r="Q1542" s="2" t="s">
        <v>1722</v>
      </c>
      <c r="R1542" s="2">
        <v>1</v>
      </c>
      <c r="S1542" s="2">
        <v>750</v>
      </c>
      <c r="T1542" s="2">
        <v>172.5</v>
      </c>
      <c r="U1542" s="2">
        <v>922.5</v>
      </c>
      <c r="V1542" s="2">
        <v>399.2</v>
      </c>
      <c r="W1542" s="5">
        <f t="shared" si="155"/>
        <v>0.46773333333333333</v>
      </c>
      <c r="Y1542" s="2" t="s">
        <v>3256</v>
      </c>
      <c r="Z1542" s="2" t="s">
        <v>72</v>
      </c>
      <c r="AA1542" s="2" t="s">
        <v>1616</v>
      </c>
      <c r="AB1542" s="2" t="s">
        <v>1616</v>
      </c>
      <c r="AE1542" s="2">
        <f t="shared" si="156"/>
        <v>0</v>
      </c>
      <c r="AF1542" s="2">
        <v>399.2</v>
      </c>
      <c r="AI1542" s="2">
        <f t="shared" si="157"/>
        <v>0</v>
      </c>
      <c r="AJ1542" s="2">
        <f t="shared" si="158"/>
        <v>350.8</v>
      </c>
      <c r="AK1542" s="5">
        <f t="shared" si="154"/>
        <v>0.46773333333333333</v>
      </c>
    </row>
    <row r="1543" spans="1:37" x14ac:dyDescent="0.2">
      <c r="A1543" s="2">
        <v>2025</v>
      </c>
      <c r="B1543" s="2">
        <v>6</v>
      </c>
      <c r="C1543" s="2" t="s">
        <v>414</v>
      </c>
      <c r="D1543" s="2" t="s">
        <v>38</v>
      </c>
      <c r="F1543" s="2">
        <v>508259509</v>
      </c>
      <c r="G1543" s="2" t="s">
        <v>40</v>
      </c>
      <c r="H1543" s="2" t="s">
        <v>340</v>
      </c>
      <c r="K1543" s="2" t="s">
        <v>340</v>
      </c>
      <c r="L1543" s="2" t="s">
        <v>40</v>
      </c>
      <c r="N1543" s="2" t="s">
        <v>1716</v>
      </c>
      <c r="O1543" s="2" t="s">
        <v>102</v>
      </c>
      <c r="P1543" s="2" t="s">
        <v>1723</v>
      </c>
      <c r="Q1543" s="2" t="s">
        <v>1724</v>
      </c>
      <c r="R1543" s="2">
        <v>1</v>
      </c>
      <c r="S1543" s="2">
        <v>11750</v>
      </c>
      <c r="T1543" s="2">
        <v>2702.5</v>
      </c>
      <c r="U1543" s="2">
        <v>14452.5</v>
      </c>
      <c r="V1543" s="2">
        <v>8373.6</v>
      </c>
      <c r="W1543" s="5">
        <f t="shared" si="155"/>
        <v>0.28735319148936167</v>
      </c>
      <c r="Y1543" s="2" t="s">
        <v>105</v>
      </c>
      <c r="Z1543" s="2" t="s">
        <v>265</v>
      </c>
      <c r="AA1543" s="2" t="s">
        <v>3198</v>
      </c>
      <c r="AB1543" s="2" t="s">
        <v>102</v>
      </c>
      <c r="AE1543" s="2">
        <f t="shared" si="156"/>
        <v>0</v>
      </c>
      <c r="AF1543" s="2">
        <f>7734.84+638.76</f>
        <v>8373.6</v>
      </c>
      <c r="AI1543" s="2">
        <f t="shared" si="157"/>
        <v>0</v>
      </c>
      <c r="AJ1543" s="2">
        <f t="shared" si="158"/>
        <v>3376.3999999999996</v>
      </c>
      <c r="AK1543" s="5">
        <f t="shared" si="154"/>
        <v>0.28735319148936167</v>
      </c>
    </row>
    <row r="1544" spans="1:37" x14ac:dyDescent="0.2">
      <c r="A1544" s="2">
        <v>2025</v>
      </c>
      <c r="B1544" s="2">
        <v>6</v>
      </c>
      <c r="C1544" s="2" t="s">
        <v>414</v>
      </c>
      <c r="D1544" s="2" t="s">
        <v>38</v>
      </c>
      <c r="F1544" s="2">
        <v>508259509</v>
      </c>
      <c r="G1544" s="2" t="s">
        <v>40</v>
      </c>
      <c r="H1544" s="2" t="s">
        <v>340</v>
      </c>
      <c r="K1544" s="2" t="s">
        <v>340</v>
      </c>
      <c r="L1544" s="2" t="s">
        <v>40</v>
      </c>
      <c r="N1544" s="2" t="s">
        <v>1716</v>
      </c>
      <c r="O1544" s="2" t="s">
        <v>102</v>
      </c>
      <c r="P1544" s="2" t="s">
        <v>1102</v>
      </c>
      <c r="Q1544" s="2" t="s">
        <v>1103</v>
      </c>
      <c r="R1544" s="2">
        <v>2</v>
      </c>
      <c r="S1544" s="2">
        <v>5600</v>
      </c>
      <c r="T1544" s="2">
        <v>1288</v>
      </c>
      <c r="U1544" s="2">
        <v>6888</v>
      </c>
      <c r="V1544" s="2">
        <v>2256.42</v>
      </c>
      <c r="W1544" s="5">
        <f t="shared" si="155"/>
        <v>0.59706785714285715</v>
      </c>
      <c r="Y1544" s="2" t="s">
        <v>105</v>
      </c>
      <c r="Z1544" s="2" t="s">
        <v>265</v>
      </c>
      <c r="AA1544" s="2" t="s">
        <v>1104</v>
      </c>
      <c r="AB1544" s="2" t="s">
        <v>102</v>
      </c>
      <c r="AE1544" s="2">
        <f t="shared" si="156"/>
        <v>0</v>
      </c>
      <c r="AF1544" s="2">
        <f>2084.42+172</f>
        <v>2256.42</v>
      </c>
      <c r="AI1544" s="2">
        <f t="shared" si="157"/>
        <v>0</v>
      </c>
      <c r="AJ1544" s="2">
        <f t="shared" si="158"/>
        <v>3343.58</v>
      </c>
      <c r="AK1544" s="5">
        <f t="shared" si="154"/>
        <v>0.59706785714285715</v>
      </c>
    </row>
    <row r="1545" spans="1:37" x14ac:dyDescent="0.2">
      <c r="A1545" s="2">
        <v>2025</v>
      </c>
      <c r="B1545" s="2">
        <v>6</v>
      </c>
      <c r="C1545" s="2" t="s">
        <v>1024</v>
      </c>
      <c r="O1545" s="2" t="s">
        <v>283</v>
      </c>
      <c r="P1545" s="2" t="s">
        <v>1246</v>
      </c>
      <c r="Q1545" s="2" t="s">
        <v>1247</v>
      </c>
      <c r="R1545" s="2">
        <v>1</v>
      </c>
      <c r="S1545" s="2">
        <v>70</v>
      </c>
      <c r="T1545" s="2">
        <v>16.100000000000001</v>
      </c>
      <c r="U1545" s="2">
        <v>86.1</v>
      </c>
      <c r="W1545" s="5">
        <f t="shared" si="155"/>
        <v>1</v>
      </c>
      <c r="AE1545" s="2">
        <f t="shared" si="156"/>
        <v>0</v>
      </c>
      <c r="AI1545" s="2">
        <f t="shared" si="157"/>
        <v>0</v>
      </c>
      <c r="AJ1545" s="2">
        <f t="shared" si="158"/>
        <v>70</v>
      </c>
      <c r="AK1545" s="5">
        <f t="shared" si="154"/>
        <v>1</v>
      </c>
    </row>
    <row r="1546" spans="1:37" x14ac:dyDescent="0.2">
      <c r="A1546" s="2">
        <v>2025</v>
      </c>
      <c r="B1546" s="2">
        <v>6</v>
      </c>
      <c r="C1546" s="2" t="s">
        <v>1569</v>
      </c>
      <c r="D1546" s="2" t="s">
        <v>109</v>
      </c>
      <c r="E1546" s="2" t="s">
        <v>723</v>
      </c>
      <c r="F1546" s="2">
        <v>500975914</v>
      </c>
      <c r="G1546" s="2" t="s">
        <v>41</v>
      </c>
      <c r="H1546" s="2" t="s">
        <v>1570</v>
      </c>
      <c r="I1546" s="2" t="s">
        <v>1571</v>
      </c>
      <c r="K1546" s="2" t="s">
        <v>100</v>
      </c>
      <c r="O1546" s="2" t="s">
        <v>115</v>
      </c>
      <c r="P1546" s="2" t="s">
        <v>1725</v>
      </c>
      <c r="Q1546" s="2" t="s">
        <v>1726</v>
      </c>
      <c r="R1546" s="2">
        <v>1</v>
      </c>
      <c r="S1546" s="2">
        <v>108.89</v>
      </c>
      <c r="T1546" s="2">
        <v>25.044699999999999</v>
      </c>
      <c r="U1546" s="2">
        <v>133.93469999999999</v>
      </c>
      <c r="W1546" s="5">
        <f t="shared" si="155"/>
        <v>1</v>
      </c>
      <c r="AE1546" s="2">
        <f t="shared" si="156"/>
        <v>0</v>
      </c>
      <c r="AI1546" s="2">
        <f t="shared" si="157"/>
        <v>0</v>
      </c>
      <c r="AJ1546" s="2">
        <f t="shared" si="158"/>
        <v>108.89</v>
      </c>
      <c r="AK1546" s="5">
        <f t="shared" si="154"/>
        <v>1</v>
      </c>
    </row>
    <row r="1547" spans="1:37" x14ac:dyDescent="0.2">
      <c r="A1547" s="2">
        <v>2025</v>
      </c>
      <c r="B1547" s="2">
        <v>6</v>
      </c>
      <c r="C1547" s="2" t="s">
        <v>1569</v>
      </c>
      <c r="D1547" s="2" t="s">
        <v>109</v>
      </c>
      <c r="E1547" s="2" t="s">
        <v>723</v>
      </c>
      <c r="F1547" s="2">
        <v>500975914</v>
      </c>
      <c r="G1547" s="2" t="s">
        <v>41</v>
      </c>
      <c r="H1547" s="2" t="s">
        <v>1570</v>
      </c>
      <c r="I1547" s="2" t="s">
        <v>1571</v>
      </c>
      <c r="K1547" s="2" t="s">
        <v>100</v>
      </c>
      <c r="L1547" s="2" t="s">
        <v>41</v>
      </c>
      <c r="O1547" s="2" t="s">
        <v>283</v>
      </c>
      <c r="P1547" s="2" t="s">
        <v>532</v>
      </c>
      <c r="Q1547" s="2" t="s">
        <v>533</v>
      </c>
      <c r="R1547" s="2">
        <v>1</v>
      </c>
      <c r="S1547" s="2">
        <v>360</v>
      </c>
      <c r="T1547" s="2">
        <v>82.8</v>
      </c>
      <c r="U1547" s="2">
        <v>442.8</v>
      </c>
      <c r="W1547" s="5">
        <f t="shared" si="155"/>
        <v>1</v>
      </c>
      <c r="AE1547" s="2">
        <f t="shared" si="156"/>
        <v>0</v>
      </c>
      <c r="AI1547" s="2">
        <f t="shared" si="157"/>
        <v>0</v>
      </c>
      <c r="AJ1547" s="2">
        <f t="shared" si="158"/>
        <v>360</v>
      </c>
      <c r="AK1547" s="5">
        <f t="shared" si="154"/>
        <v>1</v>
      </c>
    </row>
    <row r="1548" spans="1:37" x14ac:dyDescent="0.2">
      <c r="A1548" s="2">
        <v>2025</v>
      </c>
      <c r="B1548" s="2">
        <v>6</v>
      </c>
      <c r="C1548" s="2" t="s">
        <v>1569</v>
      </c>
      <c r="D1548" s="2" t="s">
        <v>109</v>
      </c>
      <c r="E1548" s="2" t="s">
        <v>723</v>
      </c>
      <c r="F1548" s="2">
        <v>500975914</v>
      </c>
      <c r="G1548" s="2" t="s">
        <v>41</v>
      </c>
      <c r="H1548" s="2" t="s">
        <v>1570</v>
      </c>
      <c r="I1548" s="2" t="s">
        <v>1571</v>
      </c>
      <c r="K1548" s="2" t="s">
        <v>100</v>
      </c>
      <c r="L1548" s="2" t="s">
        <v>40</v>
      </c>
      <c r="O1548" s="2" t="s">
        <v>188</v>
      </c>
      <c r="P1548" s="2" t="s">
        <v>189</v>
      </c>
      <c r="Q1548" s="2" t="s">
        <v>190</v>
      </c>
      <c r="R1548" s="2">
        <v>1</v>
      </c>
      <c r="S1548" s="2">
        <v>55.5</v>
      </c>
      <c r="T1548" s="2">
        <v>12.765000000000001</v>
      </c>
      <c r="U1548" s="2">
        <v>68.265000000000001</v>
      </c>
      <c r="W1548" s="5">
        <f t="shared" si="155"/>
        <v>1</v>
      </c>
      <c r="Y1548" s="2" t="s">
        <v>118</v>
      </c>
      <c r="Z1548" s="2" t="s">
        <v>191</v>
      </c>
      <c r="AE1548" s="2">
        <f t="shared" si="156"/>
        <v>0</v>
      </c>
      <c r="AI1548" s="2">
        <f t="shared" si="157"/>
        <v>0</v>
      </c>
      <c r="AJ1548" s="2">
        <f t="shared" si="158"/>
        <v>55.5</v>
      </c>
      <c r="AK1548" s="5">
        <f t="shared" si="154"/>
        <v>1</v>
      </c>
    </row>
    <row r="1549" spans="1:37" x14ac:dyDescent="0.2">
      <c r="A1549" s="2">
        <v>2025</v>
      </c>
      <c r="B1549" s="2">
        <v>6</v>
      </c>
      <c r="C1549" s="2" t="s">
        <v>1569</v>
      </c>
      <c r="D1549" s="2" t="s">
        <v>109</v>
      </c>
      <c r="E1549" s="2" t="s">
        <v>723</v>
      </c>
      <c r="F1549" s="2">
        <v>500975914</v>
      </c>
      <c r="G1549" s="2" t="s">
        <v>41</v>
      </c>
      <c r="H1549" s="2" t="s">
        <v>1570</v>
      </c>
      <c r="I1549" s="2" t="s">
        <v>1571</v>
      </c>
      <c r="K1549" s="2" t="s">
        <v>100</v>
      </c>
      <c r="L1549" s="2" t="s">
        <v>40</v>
      </c>
      <c r="O1549" s="2" t="s">
        <v>188</v>
      </c>
      <c r="P1549" s="2" t="s">
        <v>192</v>
      </c>
      <c r="Q1549" s="2" t="s">
        <v>191</v>
      </c>
      <c r="R1549" s="2">
        <v>0.75</v>
      </c>
      <c r="S1549" s="2">
        <v>33.75</v>
      </c>
      <c r="T1549" s="2">
        <v>7.7625000000000002</v>
      </c>
      <c r="U1549" s="2">
        <v>41.512500000000003</v>
      </c>
      <c r="V1549" s="2">
        <f>S1549*50%</f>
        <v>16.875</v>
      </c>
      <c r="W1549" s="5">
        <f t="shared" si="155"/>
        <v>0.5</v>
      </c>
      <c r="Y1549" s="2" t="s">
        <v>118</v>
      </c>
      <c r="Z1549" s="2" t="s">
        <v>191</v>
      </c>
      <c r="AE1549" s="2">
        <f t="shared" si="156"/>
        <v>0</v>
      </c>
      <c r="AI1549" s="2">
        <f t="shared" si="157"/>
        <v>0</v>
      </c>
      <c r="AJ1549" s="2">
        <f t="shared" si="158"/>
        <v>16.875</v>
      </c>
      <c r="AK1549" s="5">
        <f t="shared" si="154"/>
        <v>0.5</v>
      </c>
    </row>
    <row r="1550" spans="1:37" x14ac:dyDescent="0.2">
      <c r="A1550" s="2">
        <v>2025</v>
      </c>
      <c r="B1550" s="2">
        <v>6</v>
      </c>
      <c r="C1550" s="2" t="s">
        <v>437</v>
      </c>
      <c r="O1550" s="2" t="s">
        <v>115</v>
      </c>
      <c r="P1550" s="2" t="s">
        <v>416</v>
      </c>
      <c r="Q1550" s="2" t="s">
        <v>417</v>
      </c>
      <c r="R1550" s="2">
        <v>1</v>
      </c>
      <c r="S1550" s="2">
        <v>19990</v>
      </c>
      <c r="T1550" s="2">
        <v>4597.7</v>
      </c>
      <c r="U1550" s="2">
        <v>24587.7</v>
      </c>
      <c r="V1550" s="2">
        <v>10669.4</v>
      </c>
      <c r="W1550" s="5">
        <f t="shared" si="155"/>
        <v>0.46626313156578292</v>
      </c>
      <c r="Y1550" s="2" t="s">
        <v>105</v>
      </c>
      <c r="Z1550" s="2" t="s">
        <v>418</v>
      </c>
      <c r="AA1550" s="2" t="s">
        <v>152</v>
      </c>
      <c r="AB1550" s="2" t="s">
        <v>115</v>
      </c>
      <c r="AE1550" s="2">
        <f t="shared" si="156"/>
        <v>0</v>
      </c>
      <c r="AI1550" s="2">
        <f t="shared" si="157"/>
        <v>0</v>
      </c>
      <c r="AJ1550" s="2">
        <f t="shared" si="158"/>
        <v>9320.6</v>
      </c>
      <c r="AK1550" s="5">
        <f t="shared" si="154"/>
        <v>0.46626313156578292</v>
      </c>
    </row>
    <row r="1551" spans="1:37" x14ac:dyDescent="0.2">
      <c r="A1551" s="2">
        <v>2025</v>
      </c>
      <c r="B1551" s="2">
        <v>6</v>
      </c>
      <c r="C1551" s="2" t="s">
        <v>1389</v>
      </c>
      <c r="L1551" s="2" t="s">
        <v>81</v>
      </c>
      <c r="N1551" s="2" t="s">
        <v>3230</v>
      </c>
      <c r="O1551" s="2" t="s">
        <v>73</v>
      </c>
      <c r="P1551" s="2" t="s">
        <v>79</v>
      </c>
      <c r="Q1551" s="2" t="s">
        <v>80</v>
      </c>
      <c r="R1551" s="2">
        <v>1</v>
      </c>
      <c r="S1551" s="2">
        <v>210</v>
      </c>
      <c r="T1551" s="2">
        <v>48.3</v>
      </c>
      <c r="U1551" s="2">
        <v>258.3</v>
      </c>
      <c r="V1551" s="2">
        <v>111.98</v>
      </c>
      <c r="W1551" s="5">
        <f t="shared" si="155"/>
        <v>0.46676190476190477</v>
      </c>
      <c r="Y1551" s="2" t="s">
        <v>3256</v>
      </c>
      <c r="Z1551" s="2" t="s">
        <v>76</v>
      </c>
      <c r="AA1551" s="2" t="s">
        <v>77</v>
      </c>
      <c r="AB1551" s="2" t="s">
        <v>78</v>
      </c>
      <c r="AE1551" s="2">
        <f t="shared" si="156"/>
        <v>0</v>
      </c>
      <c r="AF1551" s="2">
        <v>111.98</v>
      </c>
      <c r="AG1551" s="2">
        <v>210</v>
      </c>
      <c r="AI1551" s="2">
        <f t="shared" si="157"/>
        <v>0</v>
      </c>
      <c r="AJ1551" s="2">
        <f t="shared" si="158"/>
        <v>98.02</v>
      </c>
      <c r="AK1551" s="5">
        <f t="shared" si="154"/>
        <v>0.46676190476190477</v>
      </c>
    </row>
    <row r="1552" spans="1:37" x14ac:dyDescent="0.2">
      <c r="A1552" s="2">
        <v>2025</v>
      </c>
      <c r="B1552" s="2">
        <v>6</v>
      </c>
      <c r="C1552" s="2" t="s">
        <v>1389</v>
      </c>
      <c r="O1552" s="2" t="s">
        <v>94</v>
      </c>
      <c r="P1552" s="2" t="s">
        <v>95</v>
      </c>
      <c r="Q1552" s="2" t="s">
        <v>96</v>
      </c>
      <c r="R1552" s="2">
        <v>1</v>
      </c>
      <c r="S1552" s="2">
        <v>1.1399999999999999</v>
      </c>
      <c r="T1552" s="2">
        <v>0.26219999999999999</v>
      </c>
      <c r="U1552" s="2">
        <v>1.4021999999999999</v>
      </c>
      <c r="V1552" s="2">
        <v>1.1399999999999999</v>
      </c>
      <c r="W1552" s="5">
        <f t="shared" si="155"/>
        <v>0</v>
      </c>
      <c r="Y1552" s="2" t="s">
        <v>3256</v>
      </c>
      <c r="Z1552" s="2" t="s">
        <v>97</v>
      </c>
      <c r="AA1552" s="2" t="s">
        <v>77</v>
      </c>
      <c r="AB1552" s="2" t="s">
        <v>94</v>
      </c>
      <c r="AE1552" s="2">
        <f t="shared" si="156"/>
        <v>0</v>
      </c>
      <c r="AI1552" s="2">
        <f t="shared" si="157"/>
        <v>0</v>
      </c>
      <c r="AJ1552" s="2">
        <f t="shared" si="158"/>
        <v>0</v>
      </c>
      <c r="AK1552" s="5">
        <f t="shared" ref="AK1552:AK1615" si="159">(S1552-V1552)/S1552</f>
        <v>0</v>
      </c>
    </row>
    <row r="1553" spans="1:37" x14ac:dyDescent="0.2">
      <c r="A1553" s="2">
        <v>2025</v>
      </c>
      <c r="B1553" s="2">
        <v>6</v>
      </c>
      <c r="C1553" s="2" t="s">
        <v>440</v>
      </c>
      <c r="D1553" s="2" t="s">
        <v>109</v>
      </c>
      <c r="E1553" s="2" t="s">
        <v>378</v>
      </c>
      <c r="F1553" s="2">
        <v>509350631</v>
      </c>
      <c r="G1553" s="2" t="s">
        <v>291</v>
      </c>
      <c r="H1553" s="2" t="s">
        <v>441</v>
      </c>
      <c r="I1553" s="2" t="s">
        <v>442</v>
      </c>
      <c r="K1553" s="2" t="s">
        <v>340</v>
      </c>
      <c r="L1553" s="2" t="s">
        <v>81</v>
      </c>
      <c r="O1553" s="2" t="s">
        <v>73</v>
      </c>
      <c r="P1553" s="2" t="s">
        <v>1031</v>
      </c>
      <c r="Q1553" s="2" t="s">
        <v>75</v>
      </c>
      <c r="R1553" s="2">
        <v>-1</v>
      </c>
      <c r="S1553" s="2">
        <v>-205</v>
      </c>
      <c r="T1553" s="2">
        <v>-47.15</v>
      </c>
      <c r="U1553" s="2">
        <v>-252.15</v>
      </c>
      <c r="Y1553" s="2" t="s">
        <v>3256</v>
      </c>
      <c r="Z1553" s="2" t="s">
        <v>76</v>
      </c>
      <c r="AA1553" s="2" t="s">
        <v>77</v>
      </c>
      <c r="AB1553" s="2" t="s">
        <v>78</v>
      </c>
      <c r="AE1553" s="2">
        <f t="shared" si="156"/>
        <v>0</v>
      </c>
      <c r="AI1553" s="2">
        <f t="shared" si="157"/>
        <v>0</v>
      </c>
      <c r="AJ1553" s="2">
        <f t="shared" si="158"/>
        <v>-205</v>
      </c>
      <c r="AK1553" s="5">
        <f t="shared" si="159"/>
        <v>1</v>
      </c>
    </row>
    <row r="1554" spans="1:37" x14ac:dyDescent="0.2">
      <c r="A1554" s="2">
        <v>2025</v>
      </c>
      <c r="B1554" s="2">
        <v>6</v>
      </c>
      <c r="C1554" s="2" t="s">
        <v>440</v>
      </c>
      <c r="D1554" s="2" t="s">
        <v>109</v>
      </c>
      <c r="E1554" s="2" t="s">
        <v>378</v>
      </c>
      <c r="F1554" s="2">
        <v>509350631</v>
      </c>
      <c r="G1554" s="2" t="s">
        <v>291</v>
      </c>
      <c r="H1554" s="2" t="s">
        <v>441</v>
      </c>
      <c r="I1554" s="2" t="s">
        <v>442</v>
      </c>
      <c r="K1554" s="2" t="s">
        <v>340</v>
      </c>
      <c r="L1554" s="2" t="s">
        <v>81</v>
      </c>
      <c r="O1554" s="2" t="s">
        <v>94</v>
      </c>
      <c r="P1554" s="2" t="s">
        <v>95</v>
      </c>
      <c r="Q1554" s="2" t="s">
        <v>96</v>
      </c>
      <c r="R1554" s="2">
        <v>-1</v>
      </c>
      <c r="S1554" s="2">
        <v>-1.1399999999999999</v>
      </c>
      <c r="T1554" s="2">
        <v>-0.26219999999999999</v>
      </c>
      <c r="U1554" s="2">
        <v>-1.4021999999999999</v>
      </c>
      <c r="V1554" s="2">
        <v>-1.1399999999999999</v>
      </c>
      <c r="Y1554" s="2" t="s">
        <v>3256</v>
      </c>
      <c r="Z1554" s="2" t="s">
        <v>97</v>
      </c>
      <c r="AA1554" s="2" t="s">
        <v>77</v>
      </c>
      <c r="AB1554" s="2" t="s">
        <v>94</v>
      </c>
      <c r="AE1554" s="2">
        <f t="shared" si="156"/>
        <v>0</v>
      </c>
      <c r="AI1554" s="2">
        <f t="shared" si="157"/>
        <v>0</v>
      </c>
      <c r="AJ1554" s="2">
        <f t="shared" si="158"/>
        <v>0</v>
      </c>
      <c r="AK1554" s="5">
        <f t="shared" si="159"/>
        <v>0</v>
      </c>
    </row>
    <row r="1555" spans="1:37" x14ac:dyDescent="0.2">
      <c r="A1555" s="2">
        <v>2025</v>
      </c>
      <c r="B1555" s="2">
        <v>6</v>
      </c>
      <c r="C1555" s="2" t="s">
        <v>447</v>
      </c>
      <c r="D1555" s="2" t="s">
        <v>38</v>
      </c>
      <c r="E1555" s="2" t="s">
        <v>39</v>
      </c>
      <c r="F1555" s="2">
        <v>503734616</v>
      </c>
      <c r="G1555" s="2" t="s">
        <v>291</v>
      </c>
      <c r="H1555" s="2" t="s">
        <v>448</v>
      </c>
      <c r="I1555" s="2" t="s">
        <v>449</v>
      </c>
      <c r="J1555" s="2">
        <v>966019450</v>
      </c>
      <c r="K1555" s="2" t="s">
        <v>450</v>
      </c>
      <c r="L1555" s="2" t="s">
        <v>40</v>
      </c>
      <c r="O1555" s="2" t="s">
        <v>188</v>
      </c>
      <c r="P1555" s="2" t="s">
        <v>189</v>
      </c>
      <c r="Q1555" s="2" t="s">
        <v>190</v>
      </c>
      <c r="R1555" s="2">
        <v>1</v>
      </c>
      <c r="S1555" s="2">
        <v>172</v>
      </c>
      <c r="T1555" s="2">
        <v>39.56</v>
      </c>
      <c r="U1555" s="2">
        <v>211.56</v>
      </c>
      <c r="W1555" s="5">
        <f t="shared" ref="W1555:W1589" si="160">(S1555-V1555)/S1555</f>
        <v>1</v>
      </c>
      <c r="Y1555" s="2" t="s">
        <v>118</v>
      </c>
      <c r="Z1555" s="2" t="s">
        <v>191</v>
      </c>
      <c r="AE1555" s="2">
        <f t="shared" si="156"/>
        <v>0</v>
      </c>
      <c r="AI1555" s="2">
        <f t="shared" si="157"/>
        <v>0</v>
      </c>
      <c r="AJ1555" s="2">
        <f t="shared" si="158"/>
        <v>172</v>
      </c>
      <c r="AK1555" s="5">
        <f t="shared" si="159"/>
        <v>1</v>
      </c>
    </row>
    <row r="1556" spans="1:37" x14ac:dyDescent="0.2">
      <c r="A1556" s="2">
        <v>2025</v>
      </c>
      <c r="B1556" s="2">
        <v>6</v>
      </c>
      <c r="C1556" s="2" t="s">
        <v>447</v>
      </c>
      <c r="D1556" s="2" t="s">
        <v>38</v>
      </c>
      <c r="E1556" s="2" t="s">
        <v>39</v>
      </c>
      <c r="F1556" s="2">
        <v>503734616</v>
      </c>
      <c r="G1556" s="2" t="s">
        <v>291</v>
      </c>
      <c r="H1556" s="2" t="s">
        <v>448</v>
      </c>
      <c r="I1556" s="2" t="s">
        <v>449</v>
      </c>
      <c r="J1556" s="2">
        <v>966019450</v>
      </c>
      <c r="K1556" s="2" t="s">
        <v>450</v>
      </c>
      <c r="L1556" s="2" t="s">
        <v>40</v>
      </c>
      <c r="O1556" s="2" t="s">
        <v>188</v>
      </c>
      <c r="P1556" s="2" t="s">
        <v>192</v>
      </c>
      <c r="Q1556" s="2" t="s">
        <v>191</v>
      </c>
      <c r="R1556" s="2">
        <v>1</v>
      </c>
      <c r="S1556" s="2">
        <v>50</v>
      </c>
      <c r="T1556" s="2">
        <v>11.5</v>
      </c>
      <c r="U1556" s="2">
        <v>61.5</v>
      </c>
      <c r="V1556" s="2">
        <f>S1556*50%</f>
        <v>25</v>
      </c>
      <c r="W1556" s="5">
        <f t="shared" si="160"/>
        <v>0.5</v>
      </c>
      <c r="Y1556" s="2" t="s">
        <v>118</v>
      </c>
      <c r="Z1556" s="2" t="s">
        <v>191</v>
      </c>
      <c r="AE1556" s="2">
        <f t="shared" si="156"/>
        <v>0</v>
      </c>
      <c r="AI1556" s="2">
        <f t="shared" si="157"/>
        <v>0</v>
      </c>
      <c r="AJ1556" s="2">
        <f t="shared" si="158"/>
        <v>25</v>
      </c>
      <c r="AK1556" s="5">
        <f t="shared" si="159"/>
        <v>0.5</v>
      </c>
    </row>
    <row r="1557" spans="1:37" x14ac:dyDescent="0.2">
      <c r="A1557" s="2">
        <v>2025</v>
      </c>
      <c r="B1557" s="2">
        <v>6</v>
      </c>
      <c r="C1557" s="2" t="s">
        <v>455</v>
      </c>
      <c r="D1557" s="2" t="s">
        <v>109</v>
      </c>
      <c r="E1557" s="2" t="s">
        <v>39</v>
      </c>
      <c r="F1557" s="2">
        <v>506085686</v>
      </c>
      <c r="G1557" s="2" t="s">
        <v>40</v>
      </c>
      <c r="H1557" s="2" t="s">
        <v>456</v>
      </c>
      <c r="I1557" s="2" t="s">
        <v>457</v>
      </c>
      <c r="J1557" s="2">
        <v>917241919</v>
      </c>
      <c r="K1557" s="2" t="s">
        <v>400</v>
      </c>
      <c r="L1557" s="2" t="s">
        <v>40</v>
      </c>
      <c r="O1557" s="2" t="s">
        <v>188</v>
      </c>
      <c r="P1557" s="2" t="s">
        <v>189</v>
      </c>
      <c r="Q1557" s="2" t="s">
        <v>190</v>
      </c>
      <c r="R1557" s="2">
        <v>3</v>
      </c>
      <c r="S1557" s="2">
        <v>221.25</v>
      </c>
      <c r="T1557" s="2">
        <v>50.887500000000003</v>
      </c>
      <c r="U1557" s="2">
        <v>272.13749999999999</v>
      </c>
      <c r="W1557" s="5">
        <f t="shared" si="160"/>
        <v>1</v>
      </c>
      <c r="Y1557" s="2" t="s">
        <v>118</v>
      </c>
      <c r="Z1557" s="2" t="s">
        <v>191</v>
      </c>
      <c r="AE1557" s="2">
        <f t="shared" si="156"/>
        <v>0</v>
      </c>
      <c r="AI1557" s="2">
        <f t="shared" si="157"/>
        <v>0</v>
      </c>
      <c r="AJ1557" s="2">
        <f t="shared" si="158"/>
        <v>221.25</v>
      </c>
      <c r="AK1557" s="5">
        <f t="shared" si="159"/>
        <v>1</v>
      </c>
    </row>
    <row r="1558" spans="1:37" x14ac:dyDescent="0.2">
      <c r="A1558" s="2">
        <v>2025</v>
      </c>
      <c r="B1558" s="2">
        <v>6</v>
      </c>
      <c r="C1558" s="2" t="s">
        <v>455</v>
      </c>
      <c r="D1558" s="2" t="s">
        <v>109</v>
      </c>
      <c r="E1558" s="2" t="s">
        <v>39</v>
      </c>
      <c r="F1558" s="2">
        <v>506085686</v>
      </c>
      <c r="G1558" s="2" t="s">
        <v>40</v>
      </c>
      <c r="H1558" s="2" t="s">
        <v>456</v>
      </c>
      <c r="I1558" s="2" t="s">
        <v>457</v>
      </c>
      <c r="J1558" s="2">
        <v>917241919</v>
      </c>
      <c r="K1558" s="2" t="s">
        <v>400</v>
      </c>
      <c r="L1558" s="2" t="s">
        <v>40</v>
      </c>
      <c r="O1558" s="2" t="s">
        <v>188</v>
      </c>
      <c r="P1558" s="2" t="s">
        <v>192</v>
      </c>
      <c r="Q1558" s="2" t="s">
        <v>191</v>
      </c>
      <c r="R1558" s="2">
        <v>7</v>
      </c>
      <c r="S1558" s="2">
        <v>270</v>
      </c>
      <c r="T1558" s="2">
        <v>62.1</v>
      </c>
      <c r="U1558" s="2">
        <v>332.1</v>
      </c>
      <c r="V1558" s="2">
        <f>S1558*50%</f>
        <v>135</v>
      </c>
      <c r="W1558" s="5">
        <f t="shared" si="160"/>
        <v>0.5</v>
      </c>
      <c r="Y1558" s="2" t="s">
        <v>118</v>
      </c>
      <c r="Z1558" s="2" t="s">
        <v>191</v>
      </c>
      <c r="AE1558" s="2">
        <f t="shared" si="156"/>
        <v>0</v>
      </c>
      <c r="AI1558" s="2">
        <f t="shared" si="157"/>
        <v>0</v>
      </c>
      <c r="AJ1558" s="2">
        <f t="shared" si="158"/>
        <v>135</v>
      </c>
      <c r="AK1558" s="5">
        <f t="shared" si="159"/>
        <v>0.5</v>
      </c>
    </row>
    <row r="1559" spans="1:37" x14ac:dyDescent="0.2">
      <c r="A1559" s="2">
        <v>2025</v>
      </c>
      <c r="B1559" s="2">
        <v>6</v>
      </c>
      <c r="C1559" s="2" t="s">
        <v>828</v>
      </c>
      <c r="L1559" s="2" t="s">
        <v>40</v>
      </c>
      <c r="O1559" s="2" t="s">
        <v>188</v>
      </c>
      <c r="P1559" s="2" t="s">
        <v>189</v>
      </c>
      <c r="Q1559" s="2" t="s">
        <v>190</v>
      </c>
      <c r="R1559" s="2">
        <v>1</v>
      </c>
      <c r="S1559" s="2">
        <v>99</v>
      </c>
      <c r="T1559" s="2">
        <v>22.77</v>
      </c>
      <c r="U1559" s="2">
        <v>121.77</v>
      </c>
      <c r="W1559" s="5">
        <f t="shared" si="160"/>
        <v>1</v>
      </c>
      <c r="Y1559" s="2" t="s">
        <v>118</v>
      </c>
      <c r="Z1559" s="2" t="s">
        <v>191</v>
      </c>
      <c r="AE1559" s="2">
        <f t="shared" si="156"/>
        <v>0</v>
      </c>
      <c r="AI1559" s="2">
        <f t="shared" si="157"/>
        <v>0</v>
      </c>
      <c r="AJ1559" s="2">
        <f t="shared" si="158"/>
        <v>99</v>
      </c>
      <c r="AK1559" s="5">
        <f t="shared" si="159"/>
        <v>1</v>
      </c>
    </row>
    <row r="1560" spans="1:37" x14ac:dyDescent="0.2">
      <c r="A1560" s="2">
        <v>2025</v>
      </c>
      <c r="B1560" s="2">
        <v>6</v>
      </c>
      <c r="C1560" s="2" t="s">
        <v>828</v>
      </c>
      <c r="L1560" s="2" t="s">
        <v>40</v>
      </c>
      <c r="O1560" s="2" t="s">
        <v>188</v>
      </c>
      <c r="P1560" s="2" t="s">
        <v>192</v>
      </c>
      <c r="Q1560" s="2" t="s">
        <v>191</v>
      </c>
      <c r="R1560" s="2">
        <v>0.5</v>
      </c>
      <c r="S1560" s="2">
        <v>25</v>
      </c>
      <c r="T1560" s="2">
        <v>5.75</v>
      </c>
      <c r="U1560" s="2">
        <v>30.75</v>
      </c>
      <c r="V1560" s="2">
        <f>S1560*50%</f>
        <v>12.5</v>
      </c>
      <c r="W1560" s="5">
        <f t="shared" si="160"/>
        <v>0.5</v>
      </c>
      <c r="Y1560" s="2" t="s">
        <v>118</v>
      </c>
      <c r="Z1560" s="2" t="s">
        <v>191</v>
      </c>
      <c r="AE1560" s="2">
        <f t="shared" si="156"/>
        <v>0</v>
      </c>
      <c r="AI1560" s="2">
        <f t="shared" si="157"/>
        <v>0</v>
      </c>
      <c r="AJ1560" s="2">
        <f t="shared" si="158"/>
        <v>12.5</v>
      </c>
      <c r="AK1560" s="5">
        <f t="shared" si="159"/>
        <v>0.5</v>
      </c>
    </row>
    <row r="1561" spans="1:37" x14ac:dyDescent="0.2">
      <c r="A1561" s="2">
        <v>2025</v>
      </c>
      <c r="B1561" s="2">
        <v>6</v>
      </c>
      <c r="C1561" s="2" t="s">
        <v>1581</v>
      </c>
      <c r="O1561" s="2" t="s">
        <v>283</v>
      </c>
      <c r="P1561" s="2" t="s">
        <v>1448</v>
      </c>
      <c r="Q1561" s="2" t="s">
        <v>1449</v>
      </c>
      <c r="R1561" s="2">
        <v>4</v>
      </c>
      <c r="S1561" s="2">
        <v>31.6</v>
      </c>
      <c r="T1561" s="2">
        <v>7.2680000000000007</v>
      </c>
      <c r="U1561" s="2">
        <v>38.868000000000002</v>
      </c>
      <c r="W1561" s="5">
        <f t="shared" si="160"/>
        <v>1</v>
      </c>
      <c r="Y1561" s="2" t="s">
        <v>3256</v>
      </c>
      <c r="AE1561" s="2">
        <f t="shared" si="156"/>
        <v>0</v>
      </c>
      <c r="AI1561" s="2">
        <f t="shared" si="157"/>
        <v>0</v>
      </c>
      <c r="AJ1561" s="2">
        <f t="shared" si="158"/>
        <v>31.6</v>
      </c>
      <c r="AK1561" s="5">
        <f t="shared" si="159"/>
        <v>1</v>
      </c>
    </row>
    <row r="1562" spans="1:37" x14ac:dyDescent="0.2">
      <c r="A1562" s="2">
        <v>2025</v>
      </c>
      <c r="B1562" s="2">
        <v>6</v>
      </c>
      <c r="C1562" s="2" t="s">
        <v>1581</v>
      </c>
      <c r="O1562" s="2" t="s">
        <v>283</v>
      </c>
      <c r="P1562" s="2" t="s">
        <v>1604</v>
      </c>
      <c r="Q1562" s="2" t="s">
        <v>1605</v>
      </c>
      <c r="R1562" s="2">
        <v>6</v>
      </c>
      <c r="S1562" s="2">
        <v>47.4</v>
      </c>
      <c r="T1562" s="2">
        <v>10.901999999999999</v>
      </c>
      <c r="U1562" s="2">
        <v>58.302</v>
      </c>
      <c r="W1562" s="5">
        <f t="shared" si="160"/>
        <v>1</v>
      </c>
      <c r="Y1562" s="2" t="s">
        <v>3256</v>
      </c>
      <c r="AE1562" s="2">
        <f t="shared" si="156"/>
        <v>0</v>
      </c>
      <c r="AI1562" s="2">
        <f t="shared" si="157"/>
        <v>0</v>
      </c>
      <c r="AJ1562" s="2">
        <f t="shared" si="158"/>
        <v>47.4</v>
      </c>
      <c r="AK1562" s="5">
        <f t="shared" si="159"/>
        <v>1</v>
      </c>
    </row>
    <row r="1563" spans="1:37" x14ac:dyDescent="0.2">
      <c r="A1563" s="2">
        <v>2025</v>
      </c>
      <c r="B1563" s="2">
        <v>6</v>
      </c>
      <c r="C1563" s="2" t="s">
        <v>839</v>
      </c>
      <c r="D1563" s="2" t="s">
        <v>38</v>
      </c>
      <c r="E1563" s="2" t="s">
        <v>39</v>
      </c>
      <c r="F1563" s="2">
        <v>510845002</v>
      </c>
      <c r="G1563" s="2" t="s">
        <v>291</v>
      </c>
      <c r="H1563" s="2" t="s">
        <v>1727</v>
      </c>
      <c r="I1563" s="2" t="s">
        <v>1728</v>
      </c>
      <c r="K1563" s="2" t="s">
        <v>340</v>
      </c>
      <c r="L1563" s="2" t="s">
        <v>40</v>
      </c>
      <c r="N1563" s="2" t="s">
        <v>1729</v>
      </c>
      <c r="O1563" s="2" t="s">
        <v>115</v>
      </c>
      <c r="P1563" s="6" t="s">
        <v>127</v>
      </c>
      <c r="Q1563" s="2" t="s">
        <v>128</v>
      </c>
      <c r="R1563" s="2">
        <v>1</v>
      </c>
      <c r="S1563" s="2">
        <v>6.09</v>
      </c>
      <c r="T1563" s="2">
        <v>1.4007000000000001</v>
      </c>
      <c r="U1563" s="2">
        <v>7.4907000000000004</v>
      </c>
      <c r="V1563" s="2">
        <v>3.3595999999999999</v>
      </c>
      <c r="W1563" s="5">
        <f t="shared" si="160"/>
        <v>0.44834154351395733</v>
      </c>
      <c r="Y1563" s="2" t="s">
        <v>118</v>
      </c>
      <c r="Z1563" s="2" t="s">
        <v>119</v>
      </c>
      <c r="AA1563" s="2" t="s">
        <v>120</v>
      </c>
      <c r="AB1563" s="2" t="s">
        <v>115</v>
      </c>
      <c r="AE1563" s="2">
        <f t="shared" si="156"/>
        <v>0</v>
      </c>
      <c r="AF1563" s="2">
        <v>3.3595999999999999</v>
      </c>
      <c r="AI1563" s="2">
        <f t="shared" si="157"/>
        <v>0</v>
      </c>
      <c r="AJ1563" s="2">
        <f t="shared" si="158"/>
        <v>2.7303999999999999</v>
      </c>
      <c r="AK1563" s="5">
        <f t="shared" si="159"/>
        <v>0.44834154351395733</v>
      </c>
    </row>
    <row r="1564" spans="1:37" x14ac:dyDescent="0.2">
      <c r="A1564" s="2">
        <v>2025</v>
      </c>
      <c r="B1564" s="2">
        <v>6</v>
      </c>
      <c r="C1564" s="2" t="s">
        <v>839</v>
      </c>
      <c r="O1564" s="2" t="s">
        <v>115</v>
      </c>
      <c r="P1564" s="2" t="s">
        <v>997</v>
      </c>
      <c r="Q1564" s="2" t="s">
        <v>998</v>
      </c>
      <c r="R1564" s="2">
        <v>1</v>
      </c>
      <c r="S1564" s="2">
        <v>363.6</v>
      </c>
      <c r="T1564" s="2">
        <v>83.628000000000014</v>
      </c>
      <c r="U1564" s="2">
        <v>447.22800000000012</v>
      </c>
      <c r="W1564" s="5">
        <f t="shared" si="160"/>
        <v>1</v>
      </c>
      <c r="Y1564" s="2" t="s">
        <v>118</v>
      </c>
      <c r="AE1564" s="2">
        <f t="shared" si="156"/>
        <v>0</v>
      </c>
      <c r="AI1564" s="2">
        <f t="shared" si="157"/>
        <v>0</v>
      </c>
      <c r="AJ1564" s="2">
        <f t="shared" si="158"/>
        <v>363.6</v>
      </c>
      <c r="AK1564" s="5">
        <f t="shared" si="159"/>
        <v>1</v>
      </c>
    </row>
    <row r="1565" spans="1:37" x14ac:dyDescent="0.2">
      <c r="A1565" s="2">
        <v>2025</v>
      </c>
      <c r="B1565" s="2">
        <v>6</v>
      </c>
      <c r="C1565" s="2" t="s">
        <v>839</v>
      </c>
      <c r="L1565" s="2" t="s">
        <v>40</v>
      </c>
      <c r="O1565" s="2" t="s">
        <v>188</v>
      </c>
      <c r="P1565" s="2" t="s">
        <v>189</v>
      </c>
      <c r="Q1565" s="2" t="s">
        <v>190</v>
      </c>
      <c r="R1565" s="2">
        <v>1</v>
      </c>
      <c r="S1565" s="2">
        <v>71</v>
      </c>
      <c r="T1565" s="2">
        <v>16.329999999999998</v>
      </c>
      <c r="U1565" s="2">
        <v>87.33</v>
      </c>
      <c r="W1565" s="5">
        <f t="shared" si="160"/>
        <v>1</v>
      </c>
      <c r="Y1565" s="2" t="s">
        <v>118</v>
      </c>
      <c r="Z1565" s="2" t="s">
        <v>191</v>
      </c>
      <c r="AE1565" s="2">
        <f t="shared" si="156"/>
        <v>0</v>
      </c>
      <c r="AI1565" s="2">
        <f t="shared" si="157"/>
        <v>0</v>
      </c>
      <c r="AJ1565" s="2">
        <f t="shared" si="158"/>
        <v>71</v>
      </c>
      <c r="AK1565" s="5">
        <f t="shared" si="159"/>
        <v>1</v>
      </c>
    </row>
    <row r="1566" spans="1:37" x14ac:dyDescent="0.2">
      <c r="A1566" s="2">
        <v>2025</v>
      </c>
      <c r="B1566" s="2">
        <v>6</v>
      </c>
      <c r="C1566" s="2" t="s">
        <v>839</v>
      </c>
      <c r="L1566" s="2" t="s">
        <v>40</v>
      </c>
      <c r="O1566" s="2" t="s">
        <v>188</v>
      </c>
      <c r="P1566" s="2" t="s">
        <v>192</v>
      </c>
      <c r="Q1566" s="2" t="s">
        <v>191</v>
      </c>
      <c r="R1566" s="2">
        <v>1</v>
      </c>
      <c r="S1566" s="2">
        <v>50</v>
      </c>
      <c r="T1566" s="2">
        <v>11.5</v>
      </c>
      <c r="U1566" s="2">
        <v>61.5</v>
      </c>
      <c r="V1566" s="2">
        <f>S1566*50%</f>
        <v>25</v>
      </c>
      <c r="W1566" s="5">
        <f t="shared" si="160"/>
        <v>0.5</v>
      </c>
      <c r="Y1566" s="2" t="s">
        <v>118</v>
      </c>
      <c r="Z1566" s="2" t="s">
        <v>191</v>
      </c>
      <c r="AE1566" s="2">
        <f t="shared" si="156"/>
        <v>0</v>
      </c>
      <c r="AI1566" s="2">
        <f t="shared" si="157"/>
        <v>0</v>
      </c>
      <c r="AJ1566" s="2">
        <f t="shared" si="158"/>
        <v>25</v>
      </c>
      <c r="AK1566" s="5">
        <f t="shared" si="159"/>
        <v>0.5</v>
      </c>
    </row>
    <row r="1567" spans="1:37" x14ac:dyDescent="0.2">
      <c r="A1567" s="2">
        <v>2025</v>
      </c>
      <c r="B1567" s="2">
        <v>6</v>
      </c>
      <c r="C1567" s="2" t="s">
        <v>1257</v>
      </c>
      <c r="O1567" s="2" t="s">
        <v>73</v>
      </c>
      <c r="P1567" s="2" t="s">
        <v>1258</v>
      </c>
      <c r="Q1567" s="2" t="s">
        <v>75</v>
      </c>
      <c r="R1567" s="2">
        <v>-1</v>
      </c>
      <c r="S1567" s="2">
        <v>-220</v>
      </c>
      <c r="T1567" s="2">
        <v>-50.6</v>
      </c>
      <c r="U1567" s="2">
        <v>-270.60000000000002</v>
      </c>
      <c r="W1567" s="5">
        <f t="shared" si="160"/>
        <v>1</v>
      </c>
      <c r="Y1567" s="2" t="s">
        <v>3256</v>
      </c>
      <c r="Z1567" s="2" t="s">
        <v>76</v>
      </c>
      <c r="AA1567" s="2" t="s">
        <v>77</v>
      </c>
      <c r="AB1567" s="2" t="s">
        <v>78</v>
      </c>
      <c r="AE1567" s="2">
        <f t="shared" si="156"/>
        <v>0</v>
      </c>
      <c r="AI1567" s="2">
        <f t="shared" si="157"/>
        <v>0</v>
      </c>
      <c r="AJ1567" s="2">
        <f t="shared" si="158"/>
        <v>-220</v>
      </c>
      <c r="AK1567" s="5">
        <f t="shared" si="159"/>
        <v>1</v>
      </c>
    </row>
    <row r="1568" spans="1:37" x14ac:dyDescent="0.2">
      <c r="A1568" s="2">
        <v>2025</v>
      </c>
      <c r="B1568" s="2">
        <v>6</v>
      </c>
      <c r="C1568" s="2" t="s">
        <v>1257</v>
      </c>
      <c r="O1568" s="2" t="s">
        <v>94</v>
      </c>
      <c r="P1568" s="2" t="s">
        <v>95</v>
      </c>
      <c r="Q1568" s="2" t="s">
        <v>96</v>
      </c>
      <c r="R1568" s="2">
        <v>-1</v>
      </c>
      <c r="S1568" s="2">
        <v>-1.1399999999999999</v>
      </c>
      <c r="T1568" s="2">
        <v>-0.26219999999999999</v>
      </c>
      <c r="U1568" s="2">
        <v>-1.4021999999999999</v>
      </c>
      <c r="V1568" s="2">
        <v>-1.1399999999999999</v>
      </c>
      <c r="W1568" s="5">
        <f t="shared" si="160"/>
        <v>0</v>
      </c>
      <c r="Y1568" s="2" t="s">
        <v>3256</v>
      </c>
      <c r="Z1568" s="2" t="s">
        <v>97</v>
      </c>
      <c r="AA1568" s="2" t="s">
        <v>77</v>
      </c>
      <c r="AB1568" s="2" t="s">
        <v>94</v>
      </c>
      <c r="AE1568" s="2">
        <f t="shared" si="156"/>
        <v>0</v>
      </c>
      <c r="AI1568" s="2">
        <f t="shared" si="157"/>
        <v>0</v>
      </c>
      <c r="AJ1568" s="2">
        <f t="shared" si="158"/>
        <v>0</v>
      </c>
      <c r="AK1568" s="5">
        <f t="shared" si="159"/>
        <v>0</v>
      </c>
    </row>
    <row r="1569" spans="1:37" x14ac:dyDescent="0.2">
      <c r="A1569" s="2">
        <v>2025</v>
      </c>
      <c r="B1569" s="2">
        <v>6</v>
      </c>
      <c r="C1569" s="2" t="s">
        <v>473</v>
      </c>
      <c r="D1569" s="2" t="s">
        <v>38</v>
      </c>
      <c r="E1569" s="2" t="s">
        <v>474</v>
      </c>
      <c r="F1569" s="2">
        <v>513626930</v>
      </c>
      <c r="G1569" s="2" t="s">
        <v>40</v>
      </c>
      <c r="H1569" s="2" t="s">
        <v>340</v>
      </c>
      <c r="I1569" s="2" t="s">
        <v>475</v>
      </c>
      <c r="K1569" s="2" t="s">
        <v>340</v>
      </c>
      <c r="L1569" s="2" t="s">
        <v>40</v>
      </c>
      <c r="O1569" s="2" t="s">
        <v>115</v>
      </c>
      <c r="P1569" s="2" t="s">
        <v>962</v>
      </c>
      <c r="Q1569" s="2" t="s">
        <v>716</v>
      </c>
      <c r="R1569" s="2">
        <v>1</v>
      </c>
      <c r="S1569" s="2">
        <v>1600</v>
      </c>
      <c r="T1569" s="2">
        <v>368</v>
      </c>
      <c r="U1569" s="2">
        <v>1968</v>
      </c>
      <c r="W1569" s="5">
        <f t="shared" si="160"/>
        <v>1</v>
      </c>
      <c r="Y1569" s="2" t="s">
        <v>105</v>
      </c>
      <c r="Z1569" s="2" t="s">
        <v>583</v>
      </c>
      <c r="AA1569" s="2" t="s">
        <v>707</v>
      </c>
      <c r="AB1569" s="2" t="s">
        <v>115</v>
      </c>
      <c r="AE1569" s="2">
        <f t="shared" si="156"/>
        <v>0</v>
      </c>
      <c r="AI1569" s="2">
        <f t="shared" si="157"/>
        <v>0</v>
      </c>
      <c r="AJ1569" s="2">
        <f t="shared" si="158"/>
        <v>1600</v>
      </c>
      <c r="AK1569" s="5">
        <f t="shared" si="159"/>
        <v>1</v>
      </c>
    </row>
    <row r="1570" spans="1:37" x14ac:dyDescent="0.2">
      <c r="A1570" s="2">
        <v>2025</v>
      </c>
      <c r="B1570" s="2">
        <v>6</v>
      </c>
      <c r="C1570" s="2" t="s">
        <v>473</v>
      </c>
      <c r="D1570" s="2" t="s">
        <v>38</v>
      </c>
      <c r="E1570" s="2" t="s">
        <v>474</v>
      </c>
      <c r="F1570" s="2">
        <v>513626930</v>
      </c>
      <c r="G1570" s="2" t="s">
        <v>40</v>
      </c>
      <c r="H1570" s="2" t="s">
        <v>340</v>
      </c>
      <c r="I1570" s="2" t="s">
        <v>475</v>
      </c>
      <c r="K1570" s="2" t="s">
        <v>340</v>
      </c>
      <c r="L1570" s="2" t="s">
        <v>40</v>
      </c>
      <c r="O1570" s="2" t="s">
        <v>115</v>
      </c>
      <c r="P1570" s="2" t="s">
        <v>416</v>
      </c>
      <c r="Q1570" s="2" t="s">
        <v>417</v>
      </c>
      <c r="R1570" s="2">
        <v>1</v>
      </c>
      <c r="S1570" s="2">
        <v>15000</v>
      </c>
      <c r="T1570" s="2">
        <v>3450</v>
      </c>
      <c r="U1570" s="2">
        <v>18450</v>
      </c>
      <c r="V1570" s="2">
        <v>10669.4</v>
      </c>
      <c r="W1570" s="5">
        <f t="shared" si="160"/>
        <v>0.28870666666666667</v>
      </c>
      <c r="Y1570" s="2" t="s">
        <v>105</v>
      </c>
      <c r="Z1570" s="2" t="s">
        <v>418</v>
      </c>
      <c r="AA1570" s="2" t="s">
        <v>152</v>
      </c>
      <c r="AB1570" s="2" t="s">
        <v>115</v>
      </c>
      <c r="AE1570" s="2">
        <f t="shared" si="156"/>
        <v>0</v>
      </c>
      <c r="AI1570" s="2">
        <f t="shared" si="157"/>
        <v>0</v>
      </c>
      <c r="AJ1570" s="2">
        <f t="shared" si="158"/>
        <v>4330.6000000000004</v>
      </c>
      <c r="AK1570" s="5">
        <f t="shared" si="159"/>
        <v>0.28870666666666667</v>
      </c>
    </row>
    <row r="1571" spans="1:37" x14ac:dyDescent="0.2">
      <c r="A1571" s="2">
        <v>2025</v>
      </c>
      <c r="B1571" s="2">
        <v>6</v>
      </c>
      <c r="C1571" s="2" t="s">
        <v>473</v>
      </c>
      <c r="D1571" s="2" t="s">
        <v>38</v>
      </c>
      <c r="E1571" s="2" t="s">
        <v>474</v>
      </c>
      <c r="F1571" s="2">
        <v>513626930</v>
      </c>
      <c r="G1571" s="2" t="s">
        <v>40</v>
      </c>
      <c r="H1571" s="2" t="s">
        <v>340</v>
      </c>
      <c r="I1571" s="2" t="s">
        <v>475</v>
      </c>
      <c r="K1571" s="2" t="s">
        <v>340</v>
      </c>
      <c r="L1571" s="2" t="s">
        <v>40</v>
      </c>
      <c r="O1571" s="2" t="s">
        <v>115</v>
      </c>
      <c r="P1571" s="2" t="s">
        <v>963</v>
      </c>
      <c r="Q1571" s="2" t="s">
        <v>964</v>
      </c>
      <c r="R1571" s="2">
        <v>1</v>
      </c>
      <c r="S1571" s="2">
        <v>9999</v>
      </c>
      <c r="T1571" s="2">
        <v>2299.77</v>
      </c>
      <c r="U1571" s="2">
        <v>12298.77</v>
      </c>
      <c r="V1571" s="2">
        <v>6468.73</v>
      </c>
      <c r="W1571" s="5">
        <f t="shared" si="160"/>
        <v>0.35306230623062312</v>
      </c>
      <c r="Y1571" s="2" t="s">
        <v>105</v>
      </c>
      <c r="Z1571" s="2" t="s">
        <v>621</v>
      </c>
      <c r="AA1571" s="2" t="s">
        <v>965</v>
      </c>
      <c r="AB1571" s="2" t="s">
        <v>115</v>
      </c>
      <c r="AE1571" s="2">
        <f t="shared" si="156"/>
        <v>0</v>
      </c>
      <c r="AF1571" s="2">
        <v>6468.73</v>
      </c>
      <c r="AI1571" s="2">
        <f t="shared" si="157"/>
        <v>0</v>
      </c>
      <c r="AJ1571" s="2">
        <f t="shared" si="158"/>
        <v>3530.2700000000004</v>
      </c>
      <c r="AK1571" s="5">
        <f t="shared" si="159"/>
        <v>0.35306230623062312</v>
      </c>
    </row>
    <row r="1572" spans="1:37" x14ac:dyDescent="0.2">
      <c r="A1572" s="2">
        <v>2025</v>
      </c>
      <c r="B1572" s="2">
        <v>6</v>
      </c>
      <c r="C1572" s="2" t="s">
        <v>473</v>
      </c>
      <c r="D1572" s="2" t="s">
        <v>38</v>
      </c>
      <c r="E1572" s="2" t="s">
        <v>474</v>
      </c>
      <c r="F1572" s="2">
        <v>513626930</v>
      </c>
      <c r="G1572" s="2" t="s">
        <v>40</v>
      </c>
      <c r="H1572" s="2" t="s">
        <v>340</v>
      </c>
      <c r="I1572" s="2" t="s">
        <v>475</v>
      </c>
      <c r="K1572" s="2" t="s">
        <v>340</v>
      </c>
      <c r="L1572" s="2" t="s">
        <v>40</v>
      </c>
      <c r="O1572" s="2" t="s">
        <v>115</v>
      </c>
      <c r="P1572" s="2" t="s">
        <v>844</v>
      </c>
      <c r="Q1572" s="2" t="s">
        <v>845</v>
      </c>
      <c r="R1572" s="2">
        <v>1</v>
      </c>
      <c r="S1572" s="2">
        <v>4600</v>
      </c>
      <c r="T1572" s="2">
        <v>1058</v>
      </c>
      <c r="U1572" s="2">
        <v>5658</v>
      </c>
      <c r="W1572" s="5">
        <f t="shared" si="160"/>
        <v>1</v>
      </c>
      <c r="Y1572" s="2" t="s">
        <v>105</v>
      </c>
      <c r="AE1572" s="2">
        <f t="shared" si="156"/>
        <v>0</v>
      </c>
      <c r="AI1572" s="2">
        <f t="shared" si="157"/>
        <v>0</v>
      </c>
      <c r="AJ1572" s="2">
        <f t="shared" si="158"/>
        <v>4600</v>
      </c>
      <c r="AK1572" s="5">
        <f t="shared" si="159"/>
        <v>1</v>
      </c>
    </row>
    <row r="1573" spans="1:37" x14ac:dyDescent="0.2">
      <c r="A1573" s="2">
        <v>2025</v>
      </c>
      <c r="B1573" s="2">
        <v>6</v>
      </c>
      <c r="C1573" s="2" t="s">
        <v>473</v>
      </c>
      <c r="D1573" s="2" t="s">
        <v>38</v>
      </c>
      <c r="E1573" s="2" t="s">
        <v>474</v>
      </c>
      <c r="F1573" s="2">
        <v>513626930</v>
      </c>
      <c r="G1573" s="2" t="s">
        <v>40</v>
      </c>
      <c r="H1573" s="2" t="s">
        <v>340</v>
      </c>
      <c r="I1573" s="2" t="s">
        <v>475</v>
      </c>
      <c r="K1573" s="2" t="s">
        <v>340</v>
      </c>
      <c r="L1573" s="2" t="s">
        <v>40</v>
      </c>
      <c r="O1573" s="2" t="s">
        <v>1203</v>
      </c>
      <c r="P1573" s="2" t="s">
        <v>1730</v>
      </c>
      <c r="Q1573" s="2" t="s">
        <v>1731</v>
      </c>
      <c r="R1573" s="2">
        <v>1</v>
      </c>
      <c r="S1573" s="2">
        <v>2650</v>
      </c>
      <c r="T1573" s="2">
        <v>609.5</v>
      </c>
      <c r="U1573" s="2">
        <v>3259.5</v>
      </c>
      <c r="W1573" s="5">
        <f t="shared" si="160"/>
        <v>1</v>
      </c>
      <c r="Y1573" s="2" t="s">
        <v>105</v>
      </c>
      <c r="Z1573" s="2" t="s">
        <v>1208</v>
      </c>
      <c r="AA1573" s="2" t="s">
        <v>120</v>
      </c>
      <c r="AB1573" s="2" t="s">
        <v>1203</v>
      </c>
      <c r="AE1573" s="2">
        <f t="shared" si="156"/>
        <v>0</v>
      </c>
      <c r="AI1573" s="2">
        <f t="shared" si="157"/>
        <v>0</v>
      </c>
      <c r="AJ1573" s="2">
        <f t="shared" si="158"/>
        <v>2650</v>
      </c>
      <c r="AK1573" s="5">
        <f t="shared" si="159"/>
        <v>1</v>
      </c>
    </row>
    <row r="1574" spans="1:37" x14ac:dyDescent="0.2">
      <c r="A1574" s="2">
        <v>2025</v>
      </c>
      <c r="B1574" s="2">
        <v>6</v>
      </c>
      <c r="C1574" s="2" t="s">
        <v>473</v>
      </c>
      <c r="D1574" s="2" t="s">
        <v>38</v>
      </c>
      <c r="E1574" s="2" t="s">
        <v>474</v>
      </c>
      <c r="F1574" s="2">
        <v>513626930</v>
      </c>
      <c r="G1574" s="2" t="s">
        <v>40</v>
      </c>
      <c r="H1574" s="2" t="s">
        <v>340</v>
      </c>
      <c r="I1574" s="2" t="s">
        <v>475</v>
      </c>
      <c r="K1574" s="2" t="s">
        <v>340</v>
      </c>
      <c r="L1574" s="2" t="s">
        <v>40</v>
      </c>
      <c r="O1574" s="2" t="s">
        <v>1203</v>
      </c>
      <c r="P1574" s="2" t="s">
        <v>1206</v>
      </c>
      <c r="Q1574" s="2" t="s">
        <v>1207</v>
      </c>
      <c r="R1574" s="2">
        <v>2</v>
      </c>
      <c r="S1574" s="2">
        <v>1000</v>
      </c>
      <c r="T1574" s="2">
        <v>230</v>
      </c>
      <c r="U1574" s="2">
        <v>1230</v>
      </c>
      <c r="W1574" s="5">
        <f t="shared" si="160"/>
        <v>1</v>
      </c>
      <c r="Y1574" s="2" t="s">
        <v>105</v>
      </c>
      <c r="Z1574" s="2" t="s">
        <v>1208</v>
      </c>
      <c r="AA1574" s="2" t="s">
        <v>120</v>
      </c>
      <c r="AB1574" s="2" t="s">
        <v>1203</v>
      </c>
      <c r="AE1574" s="2">
        <f t="shared" si="156"/>
        <v>0</v>
      </c>
      <c r="AI1574" s="2">
        <f t="shared" si="157"/>
        <v>0</v>
      </c>
      <c r="AJ1574" s="2">
        <f t="shared" si="158"/>
        <v>1000</v>
      </c>
      <c r="AK1574" s="5">
        <f t="shared" si="159"/>
        <v>1</v>
      </c>
    </row>
    <row r="1575" spans="1:37" x14ac:dyDescent="0.2">
      <c r="A1575" s="2">
        <v>2025</v>
      </c>
      <c r="B1575" s="2">
        <v>6</v>
      </c>
      <c r="C1575" s="2" t="s">
        <v>846</v>
      </c>
      <c r="D1575" s="2" t="s">
        <v>109</v>
      </c>
      <c r="E1575" s="2" t="s">
        <v>847</v>
      </c>
      <c r="F1575" s="2">
        <v>504981285</v>
      </c>
      <c r="G1575" s="2" t="s">
        <v>291</v>
      </c>
      <c r="H1575" s="2" t="s">
        <v>848</v>
      </c>
      <c r="I1575" s="2" t="s">
        <v>849</v>
      </c>
      <c r="J1575" s="2">
        <v>932209225</v>
      </c>
      <c r="K1575" s="2" t="s">
        <v>340</v>
      </c>
      <c r="L1575" s="2" t="s">
        <v>40</v>
      </c>
      <c r="O1575" s="2" t="s">
        <v>188</v>
      </c>
      <c r="P1575" s="2" t="s">
        <v>189</v>
      </c>
      <c r="Q1575" s="2" t="s">
        <v>190</v>
      </c>
      <c r="R1575" s="2">
        <v>2</v>
      </c>
      <c r="S1575" s="2">
        <v>100</v>
      </c>
      <c r="T1575" s="2">
        <v>23</v>
      </c>
      <c r="U1575" s="2">
        <v>123</v>
      </c>
      <c r="W1575" s="5">
        <f t="shared" si="160"/>
        <v>1</v>
      </c>
      <c r="Y1575" s="2" t="s">
        <v>118</v>
      </c>
      <c r="Z1575" s="2" t="s">
        <v>191</v>
      </c>
      <c r="AE1575" s="2">
        <f t="shared" si="156"/>
        <v>0</v>
      </c>
      <c r="AI1575" s="2">
        <f t="shared" si="157"/>
        <v>0</v>
      </c>
      <c r="AJ1575" s="2">
        <f t="shared" si="158"/>
        <v>100</v>
      </c>
      <c r="AK1575" s="5">
        <f t="shared" si="159"/>
        <v>1</v>
      </c>
    </row>
    <row r="1576" spans="1:37" x14ac:dyDescent="0.2">
      <c r="A1576" s="2">
        <v>2025</v>
      </c>
      <c r="B1576" s="2">
        <v>6</v>
      </c>
      <c r="C1576" s="2" t="s">
        <v>846</v>
      </c>
      <c r="D1576" s="2" t="s">
        <v>109</v>
      </c>
      <c r="E1576" s="2" t="s">
        <v>847</v>
      </c>
      <c r="F1576" s="2">
        <v>504981285</v>
      </c>
      <c r="G1576" s="2" t="s">
        <v>291</v>
      </c>
      <c r="H1576" s="2" t="s">
        <v>848</v>
      </c>
      <c r="I1576" s="2" t="s">
        <v>849</v>
      </c>
      <c r="J1576" s="2">
        <v>932209225</v>
      </c>
      <c r="K1576" s="2" t="s">
        <v>340</v>
      </c>
      <c r="L1576" s="2" t="s">
        <v>40</v>
      </c>
      <c r="O1576" s="2" t="s">
        <v>188</v>
      </c>
      <c r="P1576" s="2" t="s">
        <v>192</v>
      </c>
      <c r="Q1576" s="2" t="s">
        <v>191</v>
      </c>
      <c r="R1576" s="2">
        <v>5</v>
      </c>
      <c r="S1576" s="2">
        <v>200</v>
      </c>
      <c r="T1576" s="2">
        <v>46</v>
      </c>
      <c r="U1576" s="2">
        <v>246</v>
      </c>
      <c r="V1576" s="2">
        <f>S1576*50%</f>
        <v>100</v>
      </c>
      <c r="W1576" s="5">
        <f t="shared" si="160"/>
        <v>0.5</v>
      </c>
      <c r="Y1576" s="2" t="s">
        <v>118</v>
      </c>
      <c r="Z1576" s="2" t="s">
        <v>191</v>
      </c>
      <c r="AE1576" s="2">
        <f t="shared" si="156"/>
        <v>0</v>
      </c>
      <c r="AI1576" s="2">
        <f t="shared" si="157"/>
        <v>0</v>
      </c>
      <c r="AJ1576" s="2">
        <f t="shared" si="158"/>
        <v>100</v>
      </c>
      <c r="AK1576" s="5">
        <f t="shared" si="159"/>
        <v>0.5</v>
      </c>
    </row>
    <row r="1577" spans="1:37" x14ac:dyDescent="0.2">
      <c r="A1577" s="2">
        <v>2025</v>
      </c>
      <c r="B1577" s="2">
        <v>6</v>
      </c>
      <c r="C1577" s="2" t="s">
        <v>850</v>
      </c>
      <c r="D1577" s="2" t="s">
        <v>38</v>
      </c>
      <c r="E1577" s="2" t="s">
        <v>39</v>
      </c>
      <c r="F1577" s="2">
        <v>161685080</v>
      </c>
      <c r="G1577" s="2" t="s">
        <v>41</v>
      </c>
      <c r="H1577" s="2" t="s">
        <v>422</v>
      </c>
      <c r="J1577" s="2" t="s">
        <v>851</v>
      </c>
      <c r="K1577" s="2" t="s">
        <v>422</v>
      </c>
      <c r="L1577" s="2" t="s">
        <v>41</v>
      </c>
      <c r="N1577" s="2" t="s">
        <v>1732</v>
      </c>
      <c r="O1577" s="2" t="s">
        <v>43</v>
      </c>
      <c r="P1577" s="2" t="s">
        <v>55</v>
      </c>
      <c r="Q1577" s="2" t="s">
        <v>56</v>
      </c>
      <c r="R1577" s="2">
        <v>2</v>
      </c>
      <c r="S1577" s="2">
        <v>36</v>
      </c>
      <c r="T1577" s="2">
        <v>8.2800000000000011</v>
      </c>
      <c r="U1577" s="2">
        <v>44.28</v>
      </c>
      <c r="V1577" s="2">
        <f>10.6*R1577</f>
        <v>21.2</v>
      </c>
      <c r="W1577" s="5">
        <f t="shared" si="160"/>
        <v>0.41111111111111115</v>
      </c>
      <c r="Y1577" s="2" t="s">
        <v>3256</v>
      </c>
      <c r="Z1577" s="2" t="s">
        <v>46</v>
      </c>
      <c r="AA1577" s="2" t="s">
        <v>57</v>
      </c>
      <c r="AB1577" s="2" t="s">
        <v>58</v>
      </c>
      <c r="AE1577" s="2">
        <f t="shared" si="156"/>
        <v>0</v>
      </c>
      <c r="AF1577" s="2">
        <v>10.6</v>
      </c>
      <c r="AG1577" s="2">
        <v>18</v>
      </c>
      <c r="AI1577" s="2">
        <f t="shared" si="157"/>
        <v>0</v>
      </c>
      <c r="AJ1577" s="2">
        <f t="shared" si="158"/>
        <v>14.8</v>
      </c>
      <c r="AK1577" s="5">
        <f t="shared" si="159"/>
        <v>0.41111111111111115</v>
      </c>
    </row>
    <row r="1578" spans="1:37" x14ac:dyDescent="0.2">
      <c r="A1578" s="2">
        <v>2025</v>
      </c>
      <c r="B1578" s="2">
        <v>6</v>
      </c>
      <c r="C1578" s="2" t="s">
        <v>1733</v>
      </c>
      <c r="L1578" s="2" t="s">
        <v>40</v>
      </c>
      <c r="O1578" s="2" t="s">
        <v>188</v>
      </c>
      <c r="P1578" s="2" t="s">
        <v>189</v>
      </c>
      <c r="Q1578" s="2" t="s">
        <v>190</v>
      </c>
      <c r="R1578" s="2">
        <v>1</v>
      </c>
      <c r="S1578" s="2">
        <v>99</v>
      </c>
      <c r="T1578" s="2">
        <v>22.77</v>
      </c>
      <c r="U1578" s="2">
        <v>121.77</v>
      </c>
      <c r="W1578" s="5">
        <f t="shared" si="160"/>
        <v>1</v>
      </c>
      <c r="Y1578" s="2" t="s">
        <v>118</v>
      </c>
      <c r="Z1578" s="2" t="s">
        <v>191</v>
      </c>
      <c r="AE1578" s="2">
        <f t="shared" si="156"/>
        <v>0</v>
      </c>
      <c r="AI1578" s="2">
        <f t="shared" si="157"/>
        <v>0</v>
      </c>
      <c r="AJ1578" s="2">
        <f t="shared" si="158"/>
        <v>99</v>
      </c>
      <c r="AK1578" s="5">
        <f t="shared" si="159"/>
        <v>1</v>
      </c>
    </row>
    <row r="1579" spans="1:37" x14ac:dyDescent="0.2">
      <c r="A1579" s="2">
        <v>2025</v>
      </c>
      <c r="B1579" s="2">
        <v>6</v>
      </c>
      <c r="C1579" s="2" t="s">
        <v>1733</v>
      </c>
      <c r="L1579" s="2" t="s">
        <v>40</v>
      </c>
      <c r="O1579" s="2" t="s">
        <v>188</v>
      </c>
      <c r="P1579" s="2" t="s">
        <v>192</v>
      </c>
      <c r="Q1579" s="2" t="s">
        <v>191</v>
      </c>
      <c r="R1579" s="2">
        <v>1</v>
      </c>
      <c r="S1579" s="2">
        <v>50</v>
      </c>
      <c r="T1579" s="2">
        <v>11.5</v>
      </c>
      <c r="U1579" s="2">
        <v>61.5</v>
      </c>
      <c r="V1579" s="2">
        <f>S1579*50%</f>
        <v>25</v>
      </c>
      <c r="W1579" s="5">
        <f t="shared" si="160"/>
        <v>0.5</v>
      </c>
      <c r="Y1579" s="2" t="s">
        <v>118</v>
      </c>
      <c r="Z1579" s="2" t="s">
        <v>191</v>
      </c>
      <c r="AE1579" s="2">
        <f t="shared" si="156"/>
        <v>0</v>
      </c>
      <c r="AI1579" s="2">
        <f t="shared" si="157"/>
        <v>0</v>
      </c>
      <c r="AJ1579" s="2">
        <f t="shared" si="158"/>
        <v>25</v>
      </c>
      <c r="AK1579" s="5">
        <f t="shared" si="159"/>
        <v>0.5</v>
      </c>
    </row>
    <row r="1580" spans="1:37" x14ac:dyDescent="0.2">
      <c r="A1580" s="2">
        <v>2025</v>
      </c>
      <c r="B1580" s="2">
        <v>6</v>
      </c>
      <c r="C1580" s="2" t="s">
        <v>492</v>
      </c>
      <c r="D1580" s="2" t="s">
        <v>38</v>
      </c>
      <c r="E1580" s="2" t="s">
        <v>39</v>
      </c>
      <c r="F1580" s="2">
        <v>507380312</v>
      </c>
      <c r="G1580" s="2" t="s">
        <v>40</v>
      </c>
      <c r="H1580" s="2" t="s">
        <v>493</v>
      </c>
      <c r="I1580" s="2" t="s">
        <v>494</v>
      </c>
      <c r="J1580" s="2">
        <v>912293443</v>
      </c>
      <c r="K1580" s="2" t="s">
        <v>100</v>
      </c>
      <c r="L1580" s="2" t="s">
        <v>81</v>
      </c>
      <c r="O1580" s="2" t="s">
        <v>283</v>
      </c>
      <c r="P1580" s="2" t="s">
        <v>1448</v>
      </c>
      <c r="Q1580" s="2" t="s">
        <v>1449</v>
      </c>
      <c r="R1580" s="2">
        <v>1</v>
      </c>
      <c r="S1580" s="2">
        <v>7.9</v>
      </c>
      <c r="T1580" s="2">
        <v>1.8169999999999999</v>
      </c>
      <c r="U1580" s="2">
        <v>9.7170000000000005</v>
      </c>
      <c r="W1580" s="5">
        <f t="shared" si="160"/>
        <v>1</v>
      </c>
      <c r="Y1580" s="2" t="s">
        <v>3256</v>
      </c>
      <c r="AE1580" s="2">
        <f t="shared" si="156"/>
        <v>0</v>
      </c>
      <c r="AI1580" s="2">
        <f t="shared" si="157"/>
        <v>0</v>
      </c>
      <c r="AJ1580" s="2">
        <f t="shared" si="158"/>
        <v>7.9</v>
      </c>
      <c r="AK1580" s="5">
        <f t="shared" si="159"/>
        <v>1</v>
      </c>
    </row>
    <row r="1581" spans="1:37" x14ac:dyDescent="0.2">
      <c r="A1581" s="2">
        <v>2025</v>
      </c>
      <c r="B1581" s="2">
        <v>6</v>
      </c>
      <c r="C1581" s="2" t="s">
        <v>492</v>
      </c>
      <c r="D1581" s="2" t="s">
        <v>38</v>
      </c>
      <c r="E1581" s="2" t="s">
        <v>39</v>
      </c>
      <c r="F1581" s="2">
        <v>507380312</v>
      </c>
      <c r="G1581" s="2" t="s">
        <v>40</v>
      </c>
      <c r="H1581" s="2" t="s">
        <v>493</v>
      </c>
      <c r="I1581" s="2" t="s">
        <v>494</v>
      </c>
      <c r="J1581" s="2">
        <v>912293443</v>
      </c>
      <c r="K1581" s="2" t="s">
        <v>100</v>
      </c>
      <c r="L1581" s="2" t="s">
        <v>40</v>
      </c>
      <c r="O1581" s="2" t="s">
        <v>40</v>
      </c>
      <c r="P1581" s="2" t="s">
        <v>495</v>
      </c>
      <c r="Q1581" s="2" t="s">
        <v>496</v>
      </c>
      <c r="R1581" s="2">
        <v>1</v>
      </c>
      <c r="S1581" s="2">
        <v>664.04</v>
      </c>
      <c r="T1581" s="2">
        <v>152.72919999999999</v>
      </c>
      <c r="U1581" s="2">
        <v>816.76919999999996</v>
      </c>
      <c r="W1581" s="5">
        <f t="shared" si="160"/>
        <v>1</v>
      </c>
      <c r="Y1581" s="2" t="s">
        <v>120</v>
      </c>
      <c r="AE1581" s="2">
        <f t="shared" si="156"/>
        <v>0</v>
      </c>
      <c r="AI1581" s="2">
        <f t="shared" si="157"/>
        <v>0</v>
      </c>
      <c r="AJ1581" s="2">
        <f t="shared" si="158"/>
        <v>664.04</v>
      </c>
      <c r="AK1581" s="5">
        <f t="shared" si="159"/>
        <v>1</v>
      </c>
    </row>
    <row r="1582" spans="1:37" x14ac:dyDescent="0.2">
      <c r="A1582" s="2">
        <v>2025</v>
      </c>
      <c r="B1582" s="2">
        <v>6</v>
      </c>
      <c r="C1582" s="2" t="s">
        <v>1734</v>
      </c>
      <c r="O1582" s="2" t="s">
        <v>115</v>
      </c>
      <c r="P1582" s="2" t="s">
        <v>1260</v>
      </c>
      <c r="Q1582" s="2" t="s">
        <v>1261</v>
      </c>
      <c r="R1582" s="2">
        <v>1</v>
      </c>
      <c r="S1582" s="2">
        <v>351.26</v>
      </c>
      <c r="T1582" s="2">
        <v>80.7898</v>
      </c>
      <c r="U1582" s="2">
        <v>432.0498</v>
      </c>
      <c r="W1582" s="5">
        <f t="shared" si="160"/>
        <v>1</v>
      </c>
      <c r="AE1582" s="2">
        <f t="shared" si="156"/>
        <v>0</v>
      </c>
      <c r="AI1582" s="2">
        <f t="shared" si="157"/>
        <v>0</v>
      </c>
      <c r="AJ1582" s="2">
        <f t="shared" si="158"/>
        <v>351.26</v>
      </c>
      <c r="AK1582" s="5">
        <f t="shared" si="159"/>
        <v>1</v>
      </c>
    </row>
    <row r="1583" spans="1:37" x14ac:dyDescent="0.2">
      <c r="A1583" s="2">
        <v>2025</v>
      </c>
      <c r="B1583" s="2">
        <v>6</v>
      </c>
      <c r="C1583" s="2" t="s">
        <v>857</v>
      </c>
      <c r="O1583" s="2" t="s">
        <v>115</v>
      </c>
      <c r="P1583" s="2" t="s">
        <v>911</v>
      </c>
      <c r="Q1583" s="2" t="s">
        <v>912</v>
      </c>
      <c r="R1583" s="2">
        <v>1</v>
      </c>
      <c r="S1583" s="2">
        <v>699.3</v>
      </c>
      <c r="T1583" s="2">
        <v>160.839</v>
      </c>
      <c r="U1583" s="2">
        <v>860.1389999999999</v>
      </c>
      <c r="W1583" s="5">
        <f t="shared" si="160"/>
        <v>1</v>
      </c>
      <c r="AE1583" s="2">
        <f t="shared" si="156"/>
        <v>0</v>
      </c>
      <c r="AI1583" s="2">
        <f t="shared" si="157"/>
        <v>0</v>
      </c>
      <c r="AJ1583" s="2">
        <f t="shared" si="158"/>
        <v>699.3</v>
      </c>
      <c r="AK1583" s="5">
        <f t="shared" si="159"/>
        <v>1</v>
      </c>
    </row>
    <row r="1584" spans="1:37" x14ac:dyDescent="0.2">
      <c r="A1584" s="2">
        <v>2025</v>
      </c>
      <c r="B1584" s="2">
        <v>6</v>
      </c>
      <c r="C1584" s="2" t="s">
        <v>857</v>
      </c>
      <c r="L1584" s="2" t="s">
        <v>40</v>
      </c>
      <c r="O1584" s="2" t="s">
        <v>188</v>
      </c>
      <c r="P1584" s="2" t="s">
        <v>189</v>
      </c>
      <c r="Q1584" s="2" t="s">
        <v>190</v>
      </c>
      <c r="R1584" s="2">
        <v>1</v>
      </c>
      <c r="S1584" s="2">
        <v>50</v>
      </c>
      <c r="T1584" s="2">
        <v>11.5</v>
      </c>
      <c r="U1584" s="2">
        <v>61.5</v>
      </c>
      <c r="W1584" s="5">
        <f t="shared" si="160"/>
        <v>1</v>
      </c>
      <c r="Y1584" s="2" t="s">
        <v>118</v>
      </c>
      <c r="Z1584" s="2" t="s">
        <v>191</v>
      </c>
      <c r="AE1584" s="2">
        <f t="shared" si="156"/>
        <v>0</v>
      </c>
      <c r="AI1584" s="2">
        <f t="shared" si="157"/>
        <v>0</v>
      </c>
      <c r="AJ1584" s="2">
        <f t="shared" si="158"/>
        <v>50</v>
      </c>
      <c r="AK1584" s="5">
        <f t="shared" si="159"/>
        <v>1</v>
      </c>
    </row>
    <row r="1585" spans="1:37" x14ac:dyDescent="0.2">
      <c r="A1585" s="2">
        <v>2025</v>
      </c>
      <c r="B1585" s="2">
        <v>6</v>
      </c>
      <c r="C1585" s="2" t="s">
        <v>857</v>
      </c>
      <c r="L1585" s="2" t="s">
        <v>40</v>
      </c>
      <c r="O1585" s="2" t="s">
        <v>188</v>
      </c>
      <c r="P1585" s="2" t="s">
        <v>192</v>
      </c>
      <c r="Q1585" s="2" t="s">
        <v>191</v>
      </c>
      <c r="R1585" s="2">
        <v>1</v>
      </c>
      <c r="S1585" s="2">
        <v>50</v>
      </c>
      <c r="T1585" s="2">
        <v>11.5</v>
      </c>
      <c r="U1585" s="2">
        <v>61.5</v>
      </c>
      <c r="V1585" s="2">
        <f>S1585*50%</f>
        <v>25</v>
      </c>
      <c r="W1585" s="5">
        <f t="shared" si="160"/>
        <v>0.5</v>
      </c>
      <c r="Y1585" s="2" t="s">
        <v>118</v>
      </c>
      <c r="Z1585" s="2" t="s">
        <v>191</v>
      </c>
      <c r="AE1585" s="2">
        <f t="shared" si="156"/>
        <v>0</v>
      </c>
      <c r="AI1585" s="2">
        <f t="shared" si="157"/>
        <v>0</v>
      </c>
      <c r="AJ1585" s="2">
        <f t="shared" si="158"/>
        <v>25</v>
      </c>
      <c r="AK1585" s="5">
        <f t="shared" si="159"/>
        <v>0.5</v>
      </c>
    </row>
    <row r="1586" spans="1:37" x14ac:dyDescent="0.2">
      <c r="A1586" s="2">
        <v>2025</v>
      </c>
      <c r="B1586" s="2">
        <v>6</v>
      </c>
      <c r="C1586" s="2" t="s">
        <v>860</v>
      </c>
      <c r="D1586" s="2" t="s">
        <v>109</v>
      </c>
      <c r="E1586" s="2" t="s">
        <v>39</v>
      </c>
      <c r="F1586" s="2">
        <v>505128128</v>
      </c>
      <c r="G1586" s="2" t="s">
        <v>41</v>
      </c>
      <c r="H1586" s="2" t="s">
        <v>861</v>
      </c>
      <c r="I1586" s="2" t="s">
        <v>862</v>
      </c>
      <c r="J1586" s="2">
        <v>917665950</v>
      </c>
      <c r="K1586" s="2" t="s">
        <v>100</v>
      </c>
      <c r="L1586" s="2" t="s">
        <v>40</v>
      </c>
      <c r="N1586" s="2" t="s">
        <v>1735</v>
      </c>
      <c r="O1586" s="2" t="s">
        <v>115</v>
      </c>
      <c r="P1586" s="2" t="s">
        <v>375</v>
      </c>
      <c r="Q1586" s="2" t="s">
        <v>376</v>
      </c>
      <c r="R1586" s="2">
        <v>1</v>
      </c>
      <c r="S1586" s="2">
        <v>45.07</v>
      </c>
      <c r="T1586" s="2">
        <v>10.366099999999999</v>
      </c>
      <c r="U1586" s="2">
        <v>55.436100000000003</v>
      </c>
      <c r="W1586" s="5">
        <f t="shared" si="160"/>
        <v>1</v>
      </c>
      <c r="Y1586" s="2" t="s">
        <v>118</v>
      </c>
      <c r="Z1586" s="2" t="s">
        <v>119</v>
      </c>
      <c r="AE1586" s="2">
        <f t="shared" si="156"/>
        <v>0</v>
      </c>
      <c r="AI1586" s="2">
        <f t="shared" si="157"/>
        <v>0</v>
      </c>
      <c r="AJ1586" s="2">
        <f t="shared" si="158"/>
        <v>45.07</v>
      </c>
      <c r="AK1586" s="5">
        <f t="shared" si="159"/>
        <v>1</v>
      </c>
    </row>
    <row r="1587" spans="1:37" x14ac:dyDescent="0.2">
      <c r="A1587" s="2">
        <v>2025</v>
      </c>
      <c r="B1587" s="2">
        <v>6</v>
      </c>
      <c r="C1587" s="2" t="s">
        <v>860</v>
      </c>
      <c r="D1587" s="2" t="s">
        <v>109</v>
      </c>
      <c r="E1587" s="2" t="s">
        <v>39</v>
      </c>
      <c r="F1587" s="2">
        <v>505128128</v>
      </c>
      <c r="G1587" s="2" t="s">
        <v>41</v>
      </c>
      <c r="H1587" s="2" t="s">
        <v>861</v>
      </c>
      <c r="I1587" s="2" t="s">
        <v>862</v>
      </c>
      <c r="J1587" s="2">
        <v>917665950</v>
      </c>
      <c r="K1587" s="2" t="s">
        <v>100</v>
      </c>
      <c r="L1587" s="2" t="s">
        <v>41</v>
      </c>
      <c r="N1587" s="2" t="s">
        <v>1736</v>
      </c>
      <c r="O1587" s="2" t="s">
        <v>43</v>
      </c>
      <c r="P1587" s="2" t="s">
        <v>49</v>
      </c>
      <c r="Q1587" s="2" t="s">
        <v>50</v>
      </c>
      <c r="R1587" s="2">
        <v>2</v>
      </c>
      <c r="S1587" s="2">
        <v>24</v>
      </c>
      <c r="T1587" s="2">
        <v>5.52</v>
      </c>
      <c r="U1587" s="2">
        <v>29.52</v>
      </c>
      <c r="V1587" s="2">
        <f>6.6267*R1587</f>
        <v>13.253399999999999</v>
      </c>
      <c r="W1587" s="5">
        <f t="shared" si="160"/>
        <v>0.44777500000000003</v>
      </c>
      <c r="Y1587" s="2" t="s">
        <v>3256</v>
      </c>
      <c r="Z1587" s="2" t="s">
        <v>46</v>
      </c>
      <c r="AA1587" s="2" t="s">
        <v>47</v>
      </c>
      <c r="AB1587" s="2" t="s">
        <v>48</v>
      </c>
      <c r="AE1587" s="2">
        <f t="shared" si="156"/>
        <v>0</v>
      </c>
      <c r="AF1587" s="2">
        <v>6.6266999999999996</v>
      </c>
      <c r="AG1587" s="2">
        <v>12</v>
      </c>
      <c r="AI1587" s="2">
        <f t="shared" si="157"/>
        <v>0</v>
      </c>
      <c r="AJ1587" s="2">
        <f t="shared" si="158"/>
        <v>10.746600000000001</v>
      </c>
      <c r="AK1587" s="5">
        <f t="shared" si="159"/>
        <v>0.44777500000000003</v>
      </c>
    </row>
    <row r="1588" spans="1:37" x14ac:dyDescent="0.2">
      <c r="A1588" s="2">
        <v>2025</v>
      </c>
      <c r="B1588" s="2">
        <v>6</v>
      </c>
      <c r="C1588" s="2" t="s">
        <v>860</v>
      </c>
      <c r="D1588" s="2" t="s">
        <v>109</v>
      </c>
      <c r="E1588" s="2" t="s">
        <v>39</v>
      </c>
      <c r="F1588" s="2">
        <v>505128128</v>
      </c>
      <c r="G1588" s="2" t="s">
        <v>41</v>
      </c>
      <c r="H1588" s="2" t="s">
        <v>861</v>
      </c>
      <c r="I1588" s="2" t="s">
        <v>862</v>
      </c>
      <c r="J1588" s="2">
        <v>917665950</v>
      </c>
      <c r="K1588" s="2" t="s">
        <v>100</v>
      </c>
      <c r="L1588" s="2" t="s">
        <v>41</v>
      </c>
      <c r="N1588" s="2" t="s">
        <v>1736</v>
      </c>
      <c r="O1588" s="2" t="s">
        <v>43</v>
      </c>
      <c r="P1588" s="2" t="s">
        <v>55</v>
      </c>
      <c r="Q1588" s="2" t="s">
        <v>56</v>
      </c>
      <c r="R1588" s="2">
        <v>2</v>
      </c>
      <c r="S1588" s="2">
        <v>36</v>
      </c>
      <c r="T1588" s="2">
        <v>8.2800000000000011</v>
      </c>
      <c r="U1588" s="2">
        <v>44.28</v>
      </c>
      <c r="V1588" s="2">
        <f>10.6*R1588</f>
        <v>21.2</v>
      </c>
      <c r="W1588" s="5">
        <f t="shared" si="160"/>
        <v>0.41111111111111115</v>
      </c>
      <c r="Y1588" s="2" t="s">
        <v>3256</v>
      </c>
      <c r="Z1588" s="2" t="s">
        <v>46</v>
      </c>
      <c r="AA1588" s="2" t="s">
        <v>57</v>
      </c>
      <c r="AB1588" s="2" t="s">
        <v>58</v>
      </c>
      <c r="AE1588" s="2">
        <f t="shared" si="156"/>
        <v>0</v>
      </c>
      <c r="AF1588" s="2">
        <v>10.6</v>
      </c>
      <c r="AG1588" s="2">
        <v>18</v>
      </c>
      <c r="AI1588" s="2">
        <f t="shared" si="157"/>
        <v>0</v>
      </c>
      <c r="AJ1588" s="2">
        <f t="shared" si="158"/>
        <v>14.8</v>
      </c>
      <c r="AK1588" s="5">
        <f t="shared" si="159"/>
        <v>0.41111111111111115</v>
      </c>
    </row>
    <row r="1589" spans="1:37" x14ac:dyDescent="0.2">
      <c r="A1589" s="2">
        <v>2025</v>
      </c>
      <c r="B1589" s="2">
        <v>6</v>
      </c>
      <c r="C1589" s="2" t="s">
        <v>511</v>
      </c>
      <c r="D1589" s="2" t="s">
        <v>38</v>
      </c>
      <c r="E1589" s="2" t="s">
        <v>39</v>
      </c>
      <c r="F1589" s="2">
        <v>514446170</v>
      </c>
      <c r="G1589" s="2" t="s">
        <v>41</v>
      </c>
      <c r="H1589" s="2" t="s">
        <v>178</v>
      </c>
      <c r="I1589" s="2" t="s">
        <v>3158</v>
      </c>
      <c r="K1589" s="2" t="s">
        <v>178</v>
      </c>
      <c r="L1589" s="2" t="s">
        <v>41</v>
      </c>
      <c r="N1589" s="2" t="s">
        <v>3161</v>
      </c>
      <c r="O1589" s="2" t="s">
        <v>43</v>
      </c>
      <c r="P1589" s="2" t="s">
        <v>55</v>
      </c>
      <c r="Q1589" s="2" t="s">
        <v>56</v>
      </c>
      <c r="R1589" s="2">
        <v>10</v>
      </c>
      <c r="S1589" s="2">
        <v>140</v>
      </c>
      <c r="T1589" s="2">
        <v>32.200000000000003</v>
      </c>
      <c r="U1589" s="2">
        <v>172.2</v>
      </c>
      <c r="V1589" s="2">
        <f>10.6*R1589</f>
        <v>106</v>
      </c>
      <c r="W1589" s="5">
        <f t="shared" si="160"/>
        <v>0.24285714285714285</v>
      </c>
      <c r="Y1589" s="2" t="s">
        <v>3256</v>
      </c>
      <c r="Z1589" s="2" t="s">
        <v>46</v>
      </c>
      <c r="AA1589" s="2" t="s">
        <v>57</v>
      </c>
      <c r="AB1589" s="2" t="s">
        <v>58</v>
      </c>
      <c r="AE1589" s="2">
        <f t="shared" si="156"/>
        <v>0</v>
      </c>
      <c r="AF1589" s="2">
        <v>10.6</v>
      </c>
      <c r="AG1589" s="2">
        <v>18</v>
      </c>
      <c r="AI1589" s="2">
        <f t="shared" si="157"/>
        <v>0</v>
      </c>
      <c r="AJ1589" s="2">
        <f t="shared" si="158"/>
        <v>34</v>
      </c>
      <c r="AK1589" s="5">
        <f t="shared" si="159"/>
        <v>0.24285714285714285</v>
      </c>
    </row>
    <row r="1590" spans="1:37" x14ac:dyDescent="0.2">
      <c r="A1590" s="2">
        <v>2025</v>
      </c>
      <c r="B1590" s="2">
        <v>6</v>
      </c>
      <c r="C1590" s="2" t="s">
        <v>512</v>
      </c>
      <c r="O1590" s="2" t="s">
        <v>115</v>
      </c>
      <c r="P1590" s="2" t="s">
        <v>962</v>
      </c>
      <c r="Q1590" s="2" t="s">
        <v>716</v>
      </c>
      <c r="R1590" s="2">
        <v>1</v>
      </c>
      <c r="S1590" s="2">
        <v>0</v>
      </c>
      <c r="T1590" s="2">
        <v>0</v>
      </c>
      <c r="U1590" s="2">
        <v>0</v>
      </c>
      <c r="W1590" s="5">
        <v>0</v>
      </c>
      <c r="Y1590" s="2" t="s">
        <v>105</v>
      </c>
      <c r="Z1590" s="2" t="s">
        <v>583</v>
      </c>
      <c r="AA1590" s="2" t="s">
        <v>707</v>
      </c>
      <c r="AB1590" s="2" t="s">
        <v>115</v>
      </c>
      <c r="AE1590" s="2">
        <f t="shared" si="156"/>
        <v>0</v>
      </c>
      <c r="AI1590" s="2">
        <f t="shared" si="157"/>
        <v>0</v>
      </c>
      <c r="AJ1590" s="2">
        <f t="shared" si="158"/>
        <v>0</v>
      </c>
      <c r="AK1590" s="5" t="e">
        <f t="shared" si="159"/>
        <v>#DIV/0!</v>
      </c>
    </row>
    <row r="1591" spans="1:37" x14ac:dyDescent="0.2">
      <c r="A1591" s="2">
        <v>2025</v>
      </c>
      <c r="B1591" s="2">
        <v>6</v>
      </c>
      <c r="C1591" s="2" t="s">
        <v>512</v>
      </c>
      <c r="O1591" s="2" t="s">
        <v>115</v>
      </c>
      <c r="P1591" s="2" t="s">
        <v>149</v>
      </c>
      <c r="Q1591" s="2" t="s">
        <v>150</v>
      </c>
      <c r="R1591" s="2">
        <v>1</v>
      </c>
      <c r="S1591" s="2">
        <v>5500</v>
      </c>
      <c r="T1591" s="2">
        <v>1265</v>
      </c>
      <c r="U1591" s="2">
        <v>6765</v>
      </c>
      <c r="W1591" s="5">
        <f t="shared" ref="W1591:W1622" si="161">(S1591-V1591)/S1591</f>
        <v>1</v>
      </c>
      <c r="AE1591" s="2">
        <f t="shared" si="156"/>
        <v>0</v>
      </c>
      <c r="AI1591" s="2">
        <f t="shared" si="157"/>
        <v>0</v>
      </c>
      <c r="AJ1591" s="2">
        <f t="shared" si="158"/>
        <v>5500</v>
      </c>
      <c r="AK1591" s="5">
        <f t="shared" si="159"/>
        <v>1</v>
      </c>
    </row>
    <row r="1592" spans="1:37" x14ac:dyDescent="0.2">
      <c r="A1592" s="2">
        <v>2025</v>
      </c>
      <c r="B1592" s="2">
        <v>6</v>
      </c>
      <c r="C1592" s="2" t="s">
        <v>1606</v>
      </c>
      <c r="O1592" s="2" t="s">
        <v>115</v>
      </c>
      <c r="P1592" s="2" t="s">
        <v>1576</v>
      </c>
      <c r="Q1592" s="2" t="s">
        <v>1577</v>
      </c>
      <c r="R1592" s="2">
        <v>1</v>
      </c>
      <c r="S1592" s="2">
        <v>57.86</v>
      </c>
      <c r="T1592" s="2">
        <v>13.3078</v>
      </c>
      <c r="U1592" s="2">
        <v>71.1678</v>
      </c>
      <c r="W1592" s="5">
        <f t="shared" si="161"/>
        <v>1</v>
      </c>
      <c r="AE1592" s="2">
        <f t="shared" si="156"/>
        <v>0</v>
      </c>
      <c r="AI1592" s="2">
        <f t="shared" si="157"/>
        <v>0</v>
      </c>
      <c r="AJ1592" s="2">
        <f t="shared" si="158"/>
        <v>57.86</v>
      </c>
      <c r="AK1592" s="5">
        <f t="shared" si="159"/>
        <v>1</v>
      </c>
    </row>
    <row r="1593" spans="1:37" x14ac:dyDescent="0.2">
      <c r="A1593" s="2">
        <v>2025</v>
      </c>
      <c r="B1593" s="2">
        <v>6</v>
      </c>
      <c r="C1593" s="2" t="s">
        <v>1606</v>
      </c>
      <c r="O1593" s="2" t="s">
        <v>115</v>
      </c>
      <c r="P1593" s="2" t="s">
        <v>1607</v>
      </c>
      <c r="Q1593" s="2" t="s">
        <v>1608</v>
      </c>
      <c r="R1593" s="2">
        <v>1</v>
      </c>
      <c r="S1593" s="2">
        <v>65.239999999999995</v>
      </c>
      <c r="T1593" s="2">
        <v>15.0052</v>
      </c>
      <c r="U1593" s="2">
        <v>80.245199999999997</v>
      </c>
      <c r="W1593" s="5">
        <f t="shared" si="161"/>
        <v>1</v>
      </c>
      <c r="AE1593" s="2">
        <f t="shared" si="156"/>
        <v>0</v>
      </c>
      <c r="AI1593" s="2">
        <f t="shared" si="157"/>
        <v>0</v>
      </c>
      <c r="AJ1593" s="2">
        <f t="shared" si="158"/>
        <v>65.239999999999995</v>
      </c>
      <c r="AK1593" s="5">
        <f t="shared" si="159"/>
        <v>1</v>
      </c>
    </row>
    <row r="1594" spans="1:37" x14ac:dyDescent="0.2">
      <c r="A1594" s="2">
        <v>2025</v>
      </c>
      <c r="B1594" s="2">
        <v>6</v>
      </c>
      <c r="C1594" s="2" t="s">
        <v>1606</v>
      </c>
      <c r="O1594" s="2" t="s">
        <v>170</v>
      </c>
      <c r="P1594" s="2" t="s">
        <v>171</v>
      </c>
      <c r="Q1594" s="2" t="s">
        <v>171</v>
      </c>
      <c r="R1594" s="2">
        <v>1</v>
      </c>
      <c r="S1594" s="2">
        <v>8</v>
      </c>
      <c r="T1594" s="2">
        <v>1.84</v>
      </c>
      <c r="U1594" s="2">
        <v>9.84</v>
      </c>
      <c r="W1594" s="5">
        <f t="shared" si="161"/>
        <v>1</v>
      </c>
      <c r="Y1594" s="2" t="s">
        <v>170</v>
      </c>
      <c r="Z1594" s="2" t="s">
        <v>170</v>
      </c>
      <c r="AE1594" s="2">
        <f t="shared" si="156"/>
        <v>0</v>
      </c>
      <c r="AI1594" s="2">
        <f t="shared" si="157"/>
        <v>0</v>
      </c>
      <c r="AJ1594" s="2">
        <f t="shared" si="158"/>
        <v>8</v>
      </c>
      <c r="AK1594" s="5">
        <f t="shared" si="159"/>
        <v>1</v>
      </c>
    </row>
    <row r="1595" spans="1:37" x14ac:dyDescent="0.2">
      <c r="A1595" s="2">
        <v>2025</v>
      </c>
      <c r="B1595" s="2">
        <v>6</v>
      </c>
      <c r="C1595" s="2" t="s">
        <v>1737</v>
      </c>
      <c r="O1595" s="2" t="s">
        <v>283</v>
      </c>
      <c r="P1595" s="2" t="s">
        <v>1448</v>
      </c>
      <c r="Q1595" s="2" t="s">
        <v>1449</v>
      </c>
      <c r="R1595" s="2">
        <v>10</v>
      </c>
      <c r="S1595" s="2">
        <v>79</v>
      </c>
      <c r="T1595" s="2">
        <v>18.170000000000002</v>
      </c>
      <c r="U1595" s="2">
        <v>97.17</v>
      </c>
      <c r="W1595" s="5">
        <f t="shared" si="161"/>
        <v>1</v>
      </c>
      <c r="AE1595" s="2">
        <f t="shared" si="156"/>
        <v>0</v>
      </c>
      <c r="AI1595" s="2">
        <f t="shared" si="157"/>
        <v>0</v>
      </c>
      <c r="AJ1595" s="2">
        <f t="shared" si="158"/>
        <v>79</v>
      </c>
      <c r="AK1595" s="5">
        <f t="shared" si="159"/>
        <v>1</v>
      </c>
    </row>
    <row r="1596" spans="1:37" x14ac:dyDescent="0.2">
      <c r="A1596" s="2">
        <v>2025</v>
      </c>
      <c r="B1596" s="2">
        <v>6</v>
      </c>
      <c r="C1596" s="2" t="s">
        <v>1737</v>
      </c>
      <c r="O1596" s="2" t="s">
        <v>283</v>
      </c>
      <c r="P1596" s="2" t="s">
        <v>1456</v>
      </c>
      <c r="Q1596" s="2" t="s">
        <v>1457</v>
      </c>
      <c r="R1596" s="2">
        <v>1</v>
      </c>
      <c r="S1596" s="2">
        <v>119.9</v>
      </c>
      <c r="T1596" s="2">
        <v>27.577000000000002</v>
      </c>
      <c r="U1596" s="2">
        <v>147.477</v>
      </c>
      <c r="W1596" s="5">
        <f t="shared" si="161"/>
        <v>1</v>
      </c>
      <c r="AE1596" s="2">
        <f t="shared" si="156"/>
        <v>0</v>
      </c>
      <c r="AI1596" s="2">
        <f t="shared" si="157"/>
        <v>0</v>
      </c>
      <c r="AJ1596" s="2">
        <f t="shared" si="158"/>
        <v>119.9</v>
      </c>
      <c r="AK1596" s="5">
        <f t="shared" si="159"/>
        <v>1</v>
      </c>
    </row>
    <row r="1597" spans="1:37" x14ac:dyDescent="0.2">
      <c r="A1597" s="2">
        <v>2025</v>
      </c>
      <c r="B1597" s="2">
        <v>6</v>
      </c>
      <c r="C1597" s="2" t="s">
        <v>1738</v>
      </c>
      <c r="D1597" s="2" t="s">
        <v>38</v>
      </c>
      <c r="E1597" s="2" t="s">
        <v>481</v>
      </c>
      <c r="F1597" s="2">
        <v>504997866</v>
      </c>
      <c r="G1597" s="2" t="s">
        <v>291</v>
      </c>
      <c r="H1597" s="2" t="s">
        <v>3264</v>
      </c>
      <c r="I1597" s="2" t="s">
        <v>3265</v>
      </c>
      <c r="K1597" s="2" t="s">
        <v>576</v>
      </c>
      <c r="L1597" s="2" t="s">
        <v>81</v>
      </c>
      <c r="N1597" s="2" t="s">
        <v>3266</v>
      </c>
      <c r="O1597" s="2" t="s">
        <v>73</v>
      </c>
      <c r="P1597" s="2" t="s">
        <v>74</v>
      </c>
      <c r="Q1597" s="2" t="s">
        <v>75</v>
      </c>
      <c r="R1597" s="2">
        <v>1</v>
      </c>
      <c r="S1597" s="2">
        <v>220</v>
      </c>
      <c r="T1597" s="2">
        <v>50.6</v>
      </c>
      <c r="U1597" s="2">
        <v>270.60000000000002</v>
      </c>
      <c r="V1597" s="2">
        <v>117.453</v>
      </c>
      <c r="W1597" s="5">
        <f t="shared" si="161"/>
        <v>0.46612272727272724</v>
      </c>
      <c r="Y1597" s="2" t="s">
        <v>3256</v>
      </c>
      <c r="Z1597" s="2" t="s">
        <v>76</v>
      </c>
      <c r="AA1597" s="2" t="s">
        <v>77</v>
      </c>
      <c r="AB1597" s="2" t="s">
        <v>78</v>
      </c>
      <c r="AE1597" s="2">
        <f t="shared" si="156"/>
        <v>0</v>
      </c>
      <c r="AF1597" s="2">
        <v>117.453</v>
      </c>
      <c r="AG1597" s="2">
        <v>220</v>
      </c>
      <c r="AI1597" s="2">
        <f t="shared" si="157"/>
        <v>0</v>
      </c>
      <c r="AJ1597" s="2">
        <f t="shared" si="158"/>
        <v>102.547</v>
      </c>
      <c r="AK1597" s="5">
        <f t="shared" si="159"/>
        <v>0.46612272727272724</v>
      </c>
    </row>
    <row r="1598" spans="1:37" x14ac:dyDescent="0.2">
      <c r="A1598" s="2">
        <v>2025</v>
      </c>
      <c r="B1598" s="2">
        <v>6</v>
      </c>
      <c r="C1598" s="2" t="s">
        <v>1738</v>
      </c>
      <c r="D1598" s="2" t="s">
        <v>38</v>
      </c>
      <c r="E1598" s="2" t="s">
        <v>481</v>
      </c>
      <c r="F1598" s="2">
        <v>504997866</v>
      </c>
      <c r="G1598" s="2" t="s">
        <v>291</v>
      </c>
      <c r="H1598" s="2" t="s">
        <v>3264</v>
      </c>
      <c r="I1598" s="2" t="s">
        <v>3265</v>
      </c>
      <c r="K1598" s="2" t="s">
        <v>576</v>
      </c>
      <c r="L1598" s="2" t="s">
        <v>81</v>
      </c>
      <c r="N1598" s="2" t="s">
        <v>3266</v>
      </c>
      <c r="O1598" s="2" t="s">
        <v>94</v>
      </c>
      <c r="P1598" s="2" t="s">
        <v>95</v>
      </c>
      <c r="Q1598" s="2" t="s">
        <v>96</v>
      </c>
      <c r="R1598" s="2">
        <v>1</v>
      </c>
      <c r="S1598" s="2">
        <v>1.1399999999999999</v>
      </c>
      <c r="T1598" s="2">
        <v>0.26219999999999999</v>
      </c>
      <c r="U1598" s="2">
        <v>1.4021999999999999</v>
      </c>
      <c r="V1598" s="2">
        <v>1.1399999999999999</v>
      </c>
      <c r="W1598" s="5">
        <f t="shared" si="161"/>
        <v>0</v>
      </c>
      <c r="Y1598" s="2" t="s">
        <v>3256</v>
      </c>
      <c r="Z1598" s="2" t="s">
        <v>97</v>
      </c>
      <c r="AA1598" s="2" t="s">
        <v>77</v>
      </c>
      <c r="AB1598" s="2" t="s">
        <v>94</v>
      </c>
      <c r="AE1598" s="2">
        <f t="shared" si="156"/>
        <v>0</v>
      </c>
      <c r="AF1598" s="2">
        <v>1.1399999999999999</v>
      </c>
      <c r="AG1598" s="2">
        <v>1.1399999999999999</v>
      </c>
      <c r="AI1598" s="2">
        <f t="shared" si="157"/>
        <v>0</v>
      </c>
      <c r="AJ1598" s="2">
        <f t="shared" si="158"/>
        <v>0</v>
      </c>
      <c r="AK1598" s="5">
        <f t="shared" si="159"/>
        <v>0</v>
      </c>
    </row>
    <row r="1599" spans="1:37" x14ac:dyDescent="0.2">
      <c r="A1599" s="2">
        <v>2025</v>
      </c>
      <c r="B1599" s="2">
        <v>6</v>
      </c>
      <c r="C1599" s="2" t="s">
        <v>529</v>
      </c>
      <c r="D1599" s="2" t="s">
        <v>109</v>
      </c>
      <c r="E1599" s="2" t="s">
        <v>39</v>
      </c>
      <c r="F1599" s="2">
        <v>509391583</v>
      </c>
      <c r="G1599" s="2" t="s">
        <v>40</v>
      </c>
      <c r="H1599" s="2" t="s">
        <v>530</v>
      </c>
      <c r="I1599" s="2" t="s">
        <v>531</v>
      </c>
      <c r="K1599" s="2" t="s">
        <v>345</v>
      </c>
      <c r="O1599" s="2" t="s">
        <v>283</v>
      </c>
      <c r="P1599" s="2" t="s">
        <v>1525</v>
      </c>
      <c r="Q1599" s="2" t="s">
        <v>1526</v>
      </c>
      <c r="R1599" s="2">
        <v>2</v>
      </c>
      <c r="S1599" s="2">
        <v>99.8</v>
      </c>
      <c r="T1599" s="2">
        <v>22.954000000000001</v>
      </c>
      <c r="U1599" s="2">
        <v>122.754</v>
      </c>
      <c r="V1599" s="2">
        <v>27.445</v>
      </c>
      <c r="W1599" s="5">
        <f t="shared" si="161"/>
        <v>0.72499999999999987</v>
      </c>
      <c r="Y1599" s="2" t="s">
        <v>3256</v>
      </c>
      <c r="Z1599" s="2" t="s">
        <v>72</v>
      </c>
      <c r="AA1599" s="2" t="s">
        <v>1616</v>
      </c>
      <c r="AB1599" s="2" t="s">
        <v>1616</v>
      </c>
      <c r="AE1599" s="2">
        <f t="shared" si="156"/>
        <v>0</v>
      </c>
      <c r="AI1599" s="2">
        <f t="shared" si="157"/>
        <v>0</v>
      </c>
      <c r="AJ1599" s="2">
        <f t="shared" si="158"/>
        <v>72.35499999999999</v>
      </c>
      <c r="AK1599" s="5">
        <f t="shared" si="159"/>
        <v>0.72499999999999987</v>
      </c>
    </row>
    <row r="1600" spans="1:37" x14ac:dyDescent="0.2">
      <c r="A1600" s="2">
        <v>2025</v>
      </c>
      <c r="B1600" s="2">
        <v>6</v>
      </c>
      <c r="C1600" s="2" t="s">
        <v>534</v>
      </c>
      <c r="D1600" s="2" t="s">
        <v>109</v>
      </c>
      <c r="E1600" s="2" t="s">
        <v>535</v>
      </c>
      <c r="F1600" s="2">
        <v>502139552</v>
      </c>
      <c r="G1600" s="2" t="s">
        <v>40</v>
      </c>
      <c r="H1600" s="2" t="s">
        <v>340</v>
      </c>
      <c r="I1600" s="2" t="s">
        <v>536</v>
      </c>
      <c r="K1600" s="2" t="s">
        <v>340</v>
      </c>
      <c r="L1600" s="2" t="s">
        <v>81</v>
      </c>
      <c r="O1600" s="2" t="s">
        <v>43</v>
      </c>
      <c r="P1600" s="2" t="s">
        <v>251</v>
      </c>
      <c r="Q1600" s="2" t="s">
        <v>252</v>
      </c>
      <c r="R1600" s="2">
        <v>2</v>
      </c>
      <c r="S1600" s="2">
        <v>110</v>
      </c>
      <c r="T1600" s="2">
        <v>25.3</v>
      </c>
      <c r="U1600" s="2">
        <v>135.30000000000001</v>
      </c>
      <c r="W1600" s="5">
        <f t="shared" si="161"/>
        <v>1</v>
      </c>
      <c r="Y1600" s="2" t="s">
        <v>3256</v>
      </c>
      <c r="Z1600" s="2" t="s">
        <v>46</v>
      </c>
      <c r="AA1600" s="2" t="s">
        <v>91</v>
      </c>
      <c r="AB1600" s="2" t="s">
        <v>58</v>
      </c>
      <c r="AE1600" s="2">
        <f t="shared" si="156"/>
        <v>0</v>
      </c>
      <c r="AI1600" s="2">
        <f t="shared" si="157"/>
        <v>0</v>
      </c>
      <c r="AJ1600" s="2">
        <f t="shared" si="158"/>
        <v>110</v>
      </c>
      <c r="AK1600" s="5">
        <f t="shared" si="159"/>
        <v>1</v>
      </c>
    </row>
    <row r="1601" spans="1:37" x14ac:dyDescent="0.2">
      <c r="A1601" s="2">
        <v>2025</v>
      </c>
      <c r="B1601" s="2">
        <v>6</v>
      </c>
      <c r="C1601" s="2" t="s">
        <v>534</v>
      </c>
      <c r="D1601" s="2" t="s">
        <v>109</v>
      </c>
      <c r="E1601" s="2" t="s">
        <v>535</v>
      </c>
      <c r="F1601" s="2">
        <v>502139552</v>
      </c>
      <c r="G1601" s="2" t="s">
        <v>40</v>
      </c>
      <c r="H1601" s="2" t="s">
        <v>340</v>
      </c>
      <c r="I1601" s="2" t="s">
        <v>536</v>
      </c>
      <c r="K1601" s="2" t="s">
        <v>340</v>
      </c>
      <c r="L1601" s="2" t="s">
        <v>81</v>
      </c>
      <c r="O1601" s="2" t="s">
        <v>73</v>
      </c>
      <c r="P1601" s="2" t="s">
        <v>74</v>
      </c>
      <c r="Q1601" s="2" t="s">
        <v>75</v>
      </c>
      <c r="R1601" s="2">
        <v>1</v>
      </c>
      <c r="S1601" s="2">
        <v>210</v>
      </c>
      <c r="T1601" s="2">
        <v>48.3</v>
      </c>
      <c r="U1601" s="2">
        <v>258.3</v>
      </c>
      <c r="V1601" s="2">
        <v>117.453</v>
      </c>
      <c r="W1601" s="5">
        <f t="shared" si="161"/>
        <v>0.44069999999999998</v>
      </c>
      <c r="Y1601" s="2" t="s">
        <v>3256</v>
      </c>
      <c r="Z1601" s="2" t="s">
        <v>76</v>
      </c>
      <c r="AA1601" s="2" t="s">
        <v>77</v>
      </c>
      <c r="AB1601" s="2" t="s">
        <v>78</v>
      </c>
      <c r="AE1601" s="2">
        <f t="shared" si="156"/>
        <v>0</v>
      </c>
      <c r="AF1601" s="2">
        <v>117.453</v>
      </c>
      <c r="AG1601" s="2">
        <v>220</v>
      </c>
      <c r="AI1601" s="2">
        <f t="shared" si="157"/>
        <v>0</v>
      </c>
      <c r="AJ1601" s="2">
        <f t="shared" si="158"/>
        <v>92.546999999999997</v>
      </c>
      <c r="AK1601" s="5">
        <f t="shared" si="159"/>
        <v>0.44069999999999998</v>
      </c>
    </row>
    <row r="1602" spans="1:37" x14ac:dyDescent="0.2">
      <c r="A1602" s="2">
        <v>2025</v>
      </c>
      <c r="B1602" s="2">
        <v>6</v>
      </c>
      <c r="C1602" s="2" t="s">
        <v>534</v>
      </c>
      <c r="D1602" s="2" t="s">
        <v>109</v>
      </c>
      <c r="E1602" s="2" t="s">
        <v>535</v>
      </c>
      <c r="F1602" s="2">
        <v>502139552</v>
      </c>
      <c r="G1602" s="2" t="s">
        <v>40</v>
      </c>
      <c r="H1602" s="2" t="s">
        <v>340</v>
      </c>
      <c r="I1602" s="2" t="s">
        <v>536</v>
      </c>
      <c r="K1602" s="2" t="s">
        <v>340</v>
      </c>
      <c r="L1602" s="2" t="s">
        <v>81</v>
      </c>
      <c r="O1602" s="2" t="s">
        <v>73</v>
      </c>
      <c r="P1602" s="2" t="s">
        <v>1044</v>
      </c>
      <c r="Q1602" s="2" t="s">
        <v>80</v>
      </c>
      <c r="R1602" s="2">
        <v>1</v>
      </c>
      <c r="S1602" s="2">
        <v>210</v>
      </c>
      <c r="T1602" s="2">
        <v>48.3</v>
      </c>
      <c r="U1602" s="2">
        <v>258.3</v>
      </c>
      <c r="V1602" s="2">
        <v>113.33</v>
      </c>
      <c r="W1602" s="5">
        <f t="shared" si="161"/>
        <v>0.46033333333333332</v>
      </c>
      <c r="Y1602" s="2" t="s">
        <v>3256</v>
      </c>
      <c r="Z1602" s="2" t="s">
        <v>76</v>
      </c>
      <c r="AA1602" s="2" t="s">
        <v>77</v>
      </c>
      <c r="AB1602" s="2" t="s">
        <v>78</v>
      </c>
      <c r="AE1602" s="2">
        <f t="shared" si="156"/>
        <v>0</v>
      </c>
      <c r="AF1602" s="2">
        <v>113.33</v>
      </c>
      <c r="AG1602" s="2">
        <v>220</v>
      </c>
      <c r="AI1602" s="2">
        <f t="shared" si="157"/>
        <v>0</v>
      </c>
      <c r="AJ1602" s="2">
        <f t="shared" si="158"/>
        <v>96.67</v>
      </c>
      <c r="AK1602" s="5">
        <f t="shared" si="159"/>
        <v>0.46033333333333332</v>
      </c>
    </row>
    <row r="1603" spans="1:37" x14ac:dyDescent="0.2">
      <c r="A1603" s="2">
        <v>2025</v>
      </c>
      <c r="B1603" s="2">
        <v>6</v>
      </c>
      <c r="C1603" s="2" t="s">
        <v>534</v>
      </c>
      <c r="D1603" s="2" t="s">
        <v>109</v>
      </c>
      <c r="E1603" s="2" t="s">
        <v>535</v>
      </c>
      <c r="F1603" s="2">
        <v>502139552</v>
      </c>
      <c r="G1603" s="2" t="s">
        <v>40</v>
      </c>
      <c r="H1603" s="2" t="s">
        <v>340</v>
      </c>
      <c r="I1603" s="2" t="s">
        <v>536</v>
      </c>
      <c r="K1603" s="2" t="s">
        <v>340</v>
      </c>
      <c r="L1603" s="2" t="s">
        <v>40</v>
      </c>
      <c r="O1603" s="2" t="s">
        <v>40</v>
      </c>
      <c r="P1603" s="2" t="s">
        <v>141</v>
      </c>
      <c r="Q1603" s="2" t="s">
        <v>142</v>
      </c>
      <c r="R1603" s="2">
        <v>-2</v>
      </c>
      <c r="S1603" s="2">
        <v>-10.89</v>
      </c>
      <c r="T1603" s="2">
        <v>-2.5047000000000001</v>
      </c>
      <c r="U1603" s="2">
        <v>-13.3947</v>
      </c>
      <c r="W1603" s="5">
        <f t="shared" si="161"/>
        <v>1</v>
      </c>
      <c r="Y1603" s="2" t="s">
        <v>120</v>
      </c>
      <c r="Z1603" s="2" t="s">
        <v>143</v>
      </c>
      <c r="AE1603" s="2">
        <f t="shared" ref="AE1603:AE1666" si="162">AI1603</f>
        <v>0</v>
      </c>
      <c r="AI1603" s="2">
        <f t="shared" ref="AI1603:AI1666" si="163">AH1603*S1603</f>
        <v>0</v>
      </c>
      <c r="AJ1603" s="2">
        <f t="shared" ref="AJ1603:AJ1666" si="164">S1603-V1603</f>
        <v>-10.89</v>
      </c>
      <c r="AK1603" s="5">
        <f t="shared" si="159"/>
        <v>1</v>
      </c>
    </row>
    <row r="1604" spans="1:37" x14ac:dyDescent="0.2">
      <c r="A1604" s="2">
        <v>2025</v>
      </c>
      <c r="B1604" s="2">
        <v>6</v>
      </c>
      <c r="C1604" s="2" t="s">
        <v>534</v>
      </c>
      <c r="D1604" s="2" t="s">
        <v>109</v>
      </c>
      <c r="E1604" s="2" t="s">
        <v>535</v>
      </c>
      <c r="F1604" s="2">
        <v>502139552</v>
      </c>
      <c r="G1604" s="2" t="s">
        <v>40</v>
      </c>
      <c r="H1604" s="2" t="s">
        <v>340</v>
      </c>
      <c r="I1604" s="2" t="s">
        <v>536</v>
      </c>
      <c r="K1604" s="2" t="s">
        <v>340</v>
      </c>
      <c r="L1604" s="2" t="s">
        <v>81</v>
      </c>
      <c r="O1604" s="2" t="s">
        <v>94</v>
      </c>
      <c r="P1604" s="2" t="s">
        <v>95</v>
      </c>
      <c r="Q1604" s="2" t="s">
        <v>96</v>
      </c>
      <c r="R1604" s="2">
        <v>2</v>
      </c>
      <c r="S1604" s="2">
        <v>2.2799999999999998</v>
      </c>
      <c r="T1604" s="2">
        <v>0.52439999999999998</v>
      </c>
      <c r="U1604" s="2">
        <v>2.8043999999999998</v>
      </c>
      <c r="V1604" s="2">
        <v>2.2799999999999998</v>
      </c>
      <c r="W1604" s="5">
        <f t="shared" si="161"/>
        <v>0</v>
      </c>
      <c r="Y1604" s="2" t="s">
        <v>3256</v>
      </c>
      <c r="Z1604" s="2" t="s">
        <v>97</v>
      </c>
      <c r="AA1604" s="2" t="s">
        <v>77</v>
      </c>
      <c r="AB1604" s="2" t="s">
        <v>94</v>
      </c>
      <c r="AE1604" s="2">
        <f t="shared" si="162"/>
        <v>0</v>
      </c>
      <c r="AI1604" s="2">
        <f t="shared" si="163"/>
        <v>0</v>
      </c>
      <c r="AJ1604" s="2">
        <f t="shared" si="164"/>
        <v>0</v>
      </c>
      <c r="AK1604" s="5">
        <f t="shared" si="159"/>
        <v>0</v>
      </c>
    </row>
    <row r="1605" spans="1:37" x14ac:dyDescent="0.2">
      <c r="A1605" s="2">
        <v>2025</v>
      </c>
      <c r="B1605" s="2">
        <v>6</v>
      </c>
      <c r="C1605" s="2" t="s">
        <v>1739</v>
      </c>
      <c r="O1605" s="2" t="s">
        <v>188</v>
      </c>
      <c r="P1605" s="2" t="s">
        <v>1740</v>
      </c>
      <c r="Q1605" s="2" t="s">
        <v>1741</v>
      </c>
      <c r="R1605" s="2">
        <v>8</v>
      </c>
      <c r="S1605" s="2">
        <v>302.68</v>
      </c>
      <c r="T1605" s="2">
        <v>69.616399999999999</v>
      </c>
      <c r="U1605" s="2">
        <v>372.29640000000001</v>
      </c>
      <c r="W1605" s="5">
        <f t="shared" si="161"/>
        <v>1</v>
      </c>
      <c r="Y1605" s="2" t="s">
        <v>118</v>
      </c>
      <c r="Z1605" s="2" t="s">
        <v>119</v>
      </c>
      <c r="AA1605" s="2" t="s">
        <v>120</v>
      </c>
      <c r="AB1605" s="2" t="s">
        <v>1624</v>
      </c>
      <c r="AE1605" s="2">
        <f t="shared" si="162"/>
        <v>0</v>
      </c>
      <c r="AI1605" s="2">
        <f t="shared" si="163"/>
        <v>0</v>
      </c>
      <c r="AJ1605" s="2">
        <f t="shared" si="164"/>
        <v>302.68</v>
      </c>
      <c r="AK1605" s="5">
        <f t="shared" si="159"/>
        <v>1</v>
      </c>
    </row>
    <row r="1606" spans="1:37" x14ac:dyDescent="0.2">
      <c r="A1606" s="2">
        <v>2025</v>
      </c>
      <c r="B1606" s="2">
        <v>6</v>
      </c>
      <c r="C1606" s="2" t="s">
        <v>1739</v>
      </c>
      <c r="O1606" s="2" t="s">
        <v>40</v>
      </c>
      <c r="P1606" s="2" t="s">
        <v>364</v>
      </c>
      <c r="Q1606" s="2" t="s">
        <v>365</v>
      </c>
      <c r="R1606" s="2">
        <v>1</v>
      </c>
      <c r="S1606" s="2">
        <v>344.58</v>
      </c>
      <c r="T1606" s="2">
        <v>79.253399999999999</v>
      </c>
      <c r="U1606" s="2">
        <v>423.83339999999998</v>
      </c>
      <c r="W1606" s="5">
        <f t="shared" si="161"/>
        <v>1</v>
      </c>
      <c r="Y1606" s="2" t="s">
        <v>120</v>
      </c>
      <c r="AE1606" s="2">
        <f t="shared" si="162"/>
        <v>0</v>
      </c>
      <c r="AI1606" s="2">
        <f t="shared" si="163"/>
        <v>0</v>
      </c>
      <c r="AJ1606" s="2">
        <f t="shared" si="164"/>
        <v>344.58</v>
      </c>
      <c r="AK1606" s="5">
        <f t="shared" si="159"/>
        <v>1</v>
      </c>
    </row>
    <row r="1607" spans="1:37" x14ac:dyDescent="0.2">
      <c r="A1607" s="2">
        <v>2025</v>
      </c>
      <c r="B1607" s="2">
        <v>6</v>
      </c>
      <c r="C1607" s="2" t="s">
        <v>1430</v>
      </c>
      <c r="O1607" s="2" t="s">
        <v>1047</v>
      </c>
      <c r="P1607" s="2" t="s">
        <v>1742</v>
      </c>
      <c r="Q1607" s="2" t="s">
        <v>1743</v>
      </c>
      <c r="R1607" s="2">
        <v>1</v>
      </c>
      <c r="S1607" s="2">
        <v>210</v>
      </c>
      <c r="T1607" s="2">
        <v>48.3</v>
      </c>
      <c r="U1607" s="2">
        <v>258.3</v>
      </c>
      <c r="W1607" s="5">
        <f t="shared" si="161"/>
        <v>1</v>
      </c>
      <c r="Y1607" s="2" t="s">
        <v>3256</v>
      </c>
      <c r="Z1607" s="2" t="s">
        <v>76</v>
      </c>
      <c r="AA1607" s="2" t="s">
        <v>77</v>
      </c>
      <c r="AB1607" s="2" t="s">
        <v>1047</v>
      </c>
      <c r="AE1607" s="2">
        <f t="shared" si="162"/>
        <v>0</v>
      </c>
      <c r="AI1607" s="2">
        <f t="shared" si="163"/>
        <v>0</v>
      </c>
      <c r="AJ1607" s="2">
        <f t="shared" si="164"/>
        <v>210</v>
      </c>
      <c r="AK1607" s="5">
        <f t="shared" si="159"/>
        <v>1</v>
      </c>
    </row>
    <row r="1608" spans="1:37" x14ac:dyDescent="0.2">
      <c r="A1608" s="2">
        <v>2025</v>
      </c>
      <c r="B1608" s="2">
        <v>6</v>
      </c>
      <c r="C1608" s="2" t="s">
        <v>1430</v>
      </c>
      <c r="O1608" s="2" t="s">
        <v>94</v>
      </c>
      <c r="P1608" s="2" t="s">
        <v>95</v>
      </c>
      <c r="Q1608" s="2" t="s">
        <v>96</v>
      </c>
      <c r="R1608" s="2">
        <v>1</v>
      </c>
      <c r="S1608" s="2">
        <v>1.1399999999999999</v>
      </c>
      <c r="T1608" s="2">
        <v>0.26219999999999999</v>
      </c>
      <c r="U1608" s="2">
        <v>1.4021999999999999</v>
      </c>
      <c r="V1608" s="2">
        <v>1.1399999999999999</v>
      </c>
      <c r="W1608" s="5">
        <f t="shared" si="161"/>
        <v>0</v>
      </c>
      <c r="Y1608" s="2" t="s">
        <v>3256</v>
      </c>
      <c r="Z1608" s="2" t="s">
        <v>97</v>
      </c>
      <c r="AA1608" s="2" t="s">
        <v>77</v>
      </c>
      <c r="AB1608" s="2" t="s">
        <v>94</v>
      </c>
      <c r="AE1608" s="2">
        <f t="shared" si="162"/>
        <v>0</v>
      </c>
      <c r="AI1608" s="2">
        <f t="shared" si="163"/>
        <v>0</v>
      </c>
      <c r="AJ1608" s="2">
        <f t="shared" si="164"/>
        <v>0</v>
      </c>
      <c r="AK1608" s="5">
        <f t="shared" si="159"/>
        <v>0</v>
      </c>
    </row>
    <row r="1609" spans="1:37" x14ac:dyDescent="0.2">
      <c r="A1609" s="2">
        <v>2025</v>
      </c>
      <c r="B1609" s="2">
        <v>6</v>
      </c>
      <c r="C1609" s="2" t="s">
        <v>553</v>
      </c>
      <c r="D1609" s="2" t="s">
        <v>109</v>
      </c>
      <c r="E1609" s="2" t="s">
        <v>397</v>
      </c>
      <c r="F1609" s="2">
        <v>503641790</v>
      </c>
      <c r="G1609" s="2" t="s">
        <v>40</v>
      </c>
      <c r="H1609" s="2" t="s">
        <v>554</v>
      </c>
      <c r="I1609" s="2" t="s">
        <v>555</v>
      </c>
      <c r="J1609" s="2">
        <v>917753665</v>
      </c>
      <c r="K1609" s="2" t="s">
        <v>100</v>
      </c>
      <c r="L1609" s="2" t="s">
        <v>81</v>
      </c>
      <c r="N1609" s="2" t="s">
        <v>1744</v>
      </c>
      <c r="O1609" s="2" t="s">
        <v>73</v>
      </c>
      <c r="P1609" s="2" t="s">
        <v>307</v>
      </c>
      <c r="Q1609" s="2" t="s">
        <v>308</v>
      </c>
      <c r="R1609" s="2">
        <v>1</v>
      </c>
      <c r="S1609" s="2">
        <v>220</v>
      </c>
      <c r="T1609" s="2">
        <v>50.6</v>
      </c>
      <c r="U1609" s="2">
        <v>270.60000000000002</v>
      </c>
      <c r="V1609" s="2">
        <v>119.33</v>
      </c>
      <c r="W1609" s="5">
        <f t="shared" si="161"/>
        <v>0.4575909090909091</v>
      </c>
      <c r="Y1609" s="2" t="s">
        <v>3256</v>
      </c>
      <c r="Z1609" s="2" t="s">
        <v>76</v>
      </c>
      <c r="AA1609" s="2" t="s">
        <v>77</v>
      </c>
      <c r="AB1609" s="2" t="s">
        <v>78</v>
      </c>
      <c r="AE1609" s="2">
        <f t="shared" si="162"/>
        <v>0</v>
      </c>
      <c r="AF1609" s="2">
        <v>119.33</v>
      </c>
      <c r="AG1609" s="2">
        <v>220</v>
      </c>
      <c r="AI1609" s="2">
        <f t="shared" si="163"/>
        <v>0</v>
      </c>
      <c r="AJ1609" s="2">
        <f t="shared" si="164"/>
        <v>100.67</v>
      </c>
      <c r="AK1609" s="5">
        <f t="shared" si="159"/>
        <v>0.4575909090909091</v>
      </c>
    </row>
    <row r="1610" spans="1:37" x14ac:dyDescent="0.2">
      <c r="A1610" s="2">
        <v>2025</v>
      </c>
      <c r="B1610" s="2">
        <v>6</v>
      </c>
      <c r="C1610" s="2" t="s">
        <v>553</v>
      </c>
      <c r="D1610" s="2" t="s">
        <v>109</v>
      </c>
      <c r="E1610" s="2" t="s">
        <v>397</v>
      </c>
      <c r="F1610" s="2">
        <v>503641790</v>
      </c>
      <c r="G1610" s="2" t="s">
        <v>40</v>
      </c>
      <c r="H1610" s="2" t="s">
        <v>554</v>
      </c>
      <c r="I1610" s="2" t="s">
        <v>555</v>
      </c>
      <c r="J1610" s="2">
        <v>917753665</v>
      </c>
      <c r="K1610" s="2" t="s">
        <v>100</v>
      </c>
      <c r="L1610" s="2" t="s">
        <v>81</v>
      </c>
      <c r="N1610" s="2" t="s">
        <v>1745</v>
      </c>
      <c r="O1610" s="2" t="s">
        <v>73</v>
      </c>
      <c r="P1610" s="2" t="s">
        <v>79</v>
      </c>
      <c r="Q1610" s="2" t="s">
        <v>80</v>
      </c>
      <c r="R1610" s="2">
        <v>1</v>
      </c>
      <c r="S1610" s="2">
        <v>210</v>
      </c>
      <c r="T1610" s="2">
        <v>48.3</v>
      </c>
      <c r="U1610" s="2">
        <v>258.3</v>
      </c>
      <c r="V1610" s="2">
        <v>111.98</v>
      </c>
      <c r="W1610" s="5">
        <f t="shared" si="161"/>
        <v>0.46676190476190477</v>
      </c>
      <c r="Y1610" s="2" t="s">
        <v>3256</v>
      </c>
      <c r="Z1610" s="2" t="s">
        <v>76</v>
      </c>
      <c r="AA1610" s="2" t="s">
        <v>77</v>
      </c>
      <c r="AB1610" s="2" t="s">
        <v>78</v>
      </c>
      <c r="AE1610" s="2">
        <f t="shared" si="162"/>
        <v>0</v>
      </c>
      <c r="AF1610" s="2">
        <v>111.98</v>
      </c>
      <c r="AG1610" s="2">
        <v>210</v>
      </c>
      <c r="AI1610" s="2">
        <f t="shared" si="163"/>
        <v>0</v>
      </c>
      <c r="AJ1610" s="2">
        <f t="shared" si="164"/>
        <v>98.02</v>
      </c>
      <c r="AK1610" s="5">
        <f t="shared" si="159"/>
        <v>0.46676190476190477</v>
      </c>
    </row>
    <row r="1611" spans="1:37" x14ac:dyDescent="0.2">
      <c r="A1611" s="2">
        <v>2025</v>
      </c>
      <c r="B1611" s="2">
        <v>6</v>
      </c>
      <c r="C1611" s="2" t="s">
        <v>553</v>
      </c>
      <c r="D1611" s="2" t="s">
        <v>109</v>
      </c>
      <c r="E1611" s="2" t="s">
        <v>397</v>
      </c>
      <c r="F1611" s="2">
        <v>503641790</v>
      </c>
      <c r="G1611" s="2" t="s">
        <v>40</v>
      </c>
      <c r="H1611" s="2" t="s">
        <v>554</v>
      </c>
      <c r="I1611" s="2" t="s">
        <v>555</v>
      </c>
      <c r="J1611" s="2">
        <v>917753665</v>
      </c>
      <c r="K1611" s="2" t="s">
        <v>100</v>
      </c>
      <c r="L1611" s="2" t="s">
        <v>81</v>
      </c>
      <c r="N1611" s="2" t="s">
        <v>1746</v>
      </c>
      <c r="O1611" s="2" t="s">
        <v>1047</v>
      </c>
      <c r="P1611" s="2" t="s">
        <v>1747</v>
      </c>
      <c r="Q1611" s="2" t="s">
        <v>1748</v>
      </c>
      <c r="R1611" s="2">
        <v>1</v>
      </c>
      <c r="S1611" s="2">
        <v>180</v>
      </c>
      <c r="T1611" s="2">
        <v>41.4</v>
      </c>
      <c r="U1611" s="2">
        <v>221.4</v>
      </c>
      <c r="V1611" s="2">
        <v>141.16</v>
      </c>
      <c r="W1611" s="5">
        <f t="shared" si="161"/>
        <v>0.21577777777777779</v>
      </c>
      <c r="Y1611" s="2" t="s">
        <v>3256</v>
      </c>
      <c r="Z1611" s="2" t="s">
        <v>76</v>
      </c>
      <c r="AA1611" s="2" t="s">
        <v>77</v>
      </c>
      <c r="AB1611" s="2" t="s">
        <v>1047</v>
      </c>
      <c r="AE1611" s="2">
        <f t="shared" si="162"/>
        <v>0</v>
      </c>
      <c r="AF1611" s="2">
        <v>141.16</v>
      </c>
      <c r="AG1611" s="2">
        <v>220</v>
      </c>
      <c r="AI1611" s="2">
        <f t="shared" si="163"/>
        <v>0</v>
      </c>
      <c r="AJ1611" s="2">
        <f t="shared" si="164"/>
        <v>38.840000000000003</v>
      </c>
      <c r="AK1611" s="5">
        <f t="shared" si="159"/>
        <v>0.21577777777777779</v>
      </c>
    </row>
    <row r="1612" spans="1:37" x14ac:dyDescent="0.2">
      <c r="A1612" s="2">
        <v>2025</v>
      </c>
      <c r="B1612" s="2">
        <v>6</v>
      </c>
      <c r="C1612" s="2" t="s">
        <v>553</v>
      </c>
      <c r="D1612" s="2" t="s">
        <v>109</v>
      </c>
      <c r="E1612" s="2" t="s">
        <v>397</v>
      </c>
      <c r="F1612" s="2">
        <v>503641790</v>
      </c>
      <c r="G1612" s="2" t="s">
        <v>40</v>
      </c>
      <c r="H1612" s="2" t="s">
        <v>554</v>
      </c>
      <c r="I1612" s="2" t="s">
        <v>555</v>
      </c>
      <c r="J1612" s="2">
        <v>917753665</v>
      </c>
      <c r="K1612" s="2" t="s">
        <v>100</v>
      </c>
      <c r="L1612" s="2" t="s">
        <v>81</v>
      </c>
      <c r="N1612" s="2" t="s">
        <v>1746</v>
      </c>
      <c r="O1612" s="2" t="s">
        <v>94</v>
      </c>
      <c r="P1612" s="2" t="s">
        <v>95</v>
      </c>
      <c r="Q1612" s="2" t="s">
        <v>96</v>
      </c>
      <c r="R1612" s="2">
        <v>3</v>
      </c>
      <c r="S1612" s="2">
        <v>3.42</v>
      </c>
      <c r="T1612" s="2">
        <v>0.78659999999999997</v>
      </c>
      <c r="U1612" s="2">
        <v>4.2065999999999999</v>
      </c>
      <c r="V1612" s="2">
        <v>3.42</v>
      </c>
      <c r="W1612" s="5">
        <f t="shared" si="161"/>
        <v>0</v>
      </c>
      <c r="Y1612" s="2" t="s">
        <v>3256</v>
      </c>
      <c r="Z1612" s="2" t="s">
        <v>97</v>
      </c>
      <c r="AA1612" s="2" t="s">
        <v>77</v>
      </c>
      <c r="AB1612" s="2" t="s">
        <v>94</v>
      </c>
      <c r="AE1612" s="2">
        <f t="shared" si="162"/>
        <v>0</v>
      </c>
      <c r="AF1612" s="2">
        <v>1.1399999999999999</v>
      </c>
      <c r="AG1612" s="2">
        <v>1.1399999999999999</v>
      </c>
      <c r="AI1612" s="2">
        <f t="shared" si="163"/>
        <v>0</v>
      </c>
      <c r="AJ1612" s="2">
        <f t="shared" si="164"/>
        <v>0</v>
      </c>
      <c r="AK1612" s="5">
        <f t="shared" si="159"/>
        <v>0</v>
      </c>
    </row>
    <row r="1613" spans="1:37" x14ac:dyDescent="0.2">
      <c r="A1613" s="2">
        <v>2025</v>
      </c>
      <c r="B1613" s="2">
        <v>6</v>
      </c>
      <c r="C1613" s="2" t="s">
        <v>1637</v>
      </c>
      <c r="O1613" s="2" t="s">
        <v>43</v>
      </c>
      <c r="P1613" s="2" t="s">
        <v>233</v>
      </c>
      <c r="Q1613" s="2" t="s">
        <v>234</v>
      </c>
      <c r="R1613" s="2">
        <v>1</v>
      </c>
      <c r="S1613" s="2">
        <v>12</v>
      </c>
      <c r="T1613" s="2">
        <v>2.76</v>
      </c>
      <c r="U1613" s="2">
        <v>14.76</v>
      </c>
      <c r="V1613" s="2">
        <v>5.9066999999999998</v>
      </c>
      <c r="W1613" s="5">
        <f t="shared" si="161"/>
        <v>0.50777499999999998</v>
      </c>
      <c r="Y1613" s="2" t="s">
        <v>3256</v>
      </c>
      <c r="Z1613" s="2" t="s">
        <v>46</v>
      </c>
      <c r="AA1613" s="2" t="s">
        <v>57</v>
      </c>
      <c r="AB1613" s="2" t="s">
        <v>58</v>
      </c>
      <c r="AE1613" s="2">
        <f t="shared" si="162"/>
        <v>0</v>
      </c>
      <c r="AF1613" s="2">
        <v>5.9066999999999998</v>
      </c>
      <c r="AG1613" s="2">
        <v>12.6</v>
      </c>
      <c r="AI1613" s="2">
        <f t="shared" si="163"/>
        <v>0</v>
      </c>
      <c r="AJ1613" s="2">
        <f t="shared" si="164"/>
        <v>6.0933000000000002</v>
      </c>
      <c r="AK1613" s="5">
        <f t="shared" si="159"/>
        <v>0.50777499999999998</v>
      </c>
    </row>
    <row r="1614" spans="1:37" x14ac:dyDescent="0.2">
      <c r="A1614" s="2">
        <v>2025</v>
      </c>
      <c r="B1614" s="2">
        <v>6</v>
      </c>
      <c r="C1614" s="2" t="s">
        <v>1637</v>
      </c>
      <c r="O1614" s="2" t="s">
        <v>43</v>
      </c>
      <c r="P1614" s="2" t="s">
        <v>55</v>
      </c>
      <c r="Q1614" s="2" t="s">
        <v>56</v>
      </c>
      <c r="R1614" s="2">
        <v>12</v>
      </c>
      <c r="S1614" s="2">
        <v>168</v>
      </c>
      <c r="T1614" s="2">
        <v>38.64</v>
      </c>
      <c r="U1614" s="2">
        <v>206.64</v>
      </c>
      <c r="V1614" s="2">
        <f>10.6*R1614</f>
        <v>127.19999999999999</v>
      </c>
      <c r="W1614" s="5">
        <f t="shared" si="161"/>
        <v>0.24285714285714294</v>
      </c>
      <c r="Y1614" s="2" t="s">
        <v>3256</v>
      </c>
      <c r="Z1614" s="2" t="s">
        <v>46</v>
      </c>
      <c r="AA1614" s="2" t="s">
        <v>57</v>
      </c>
      <c r="AB1614" s="2" t="s">
        <v>58</v>
      </c>
      <c r="AE1614" s="2">
        <f t="shared" si="162"/>
        <v>0</v>
      </c>
      <c r="AF1614" s="2">
        <v>10.6</v>
      </c>
      <c r="AG1614" s="2">
        <v>18</v>
      </c>
      <c r="AI1614" s="2">
        <f t="shared" si="163"/>
        <v>0</v>
      </c>
      <c r="AJ1614" s="2">
        <f t="shared" si="164"/>
        <v>40.800000000000011</v>
      </c>
      <c r="AK1614" s="5">
        <f t="shared" si="159"/>
        <v>0.24285714285714294</v>
      </c>
    </row>
    <row r="1615" spans="1:37" x14ac:dyDescent="0.2">
      <c r="A1615" s="2">
        <v>2025</v>
      </c>
      <c r="B1615" s="2">
        <v>6</v>
      </c>
      <c r="C1615" s="2" t="s">
        <v>1637</v>
      </c>
      <c r="O1615" s="2" t="s">
        <v>43</v>
      </c>
      <c r="P1615" s="2" t="s">
        <v>1749</v>
      </c>
      <c r="Q1615" s="2" t="s">
        <v>1750</v>
      </c>
      <c r="R1615" s="2">
        <v>1</v>
      </c>
      <c r="S1615" s="2">
        <v>8.4</v>
      </c>
      <c r="T1615" s="2">
        <v>1.9319999999999999</v>
      </c>
      <c r="U1615" s="2">
        <v>10.332000000000001</v>
      </c>
      <c r="W1615" s="5">
        <f t="shared" si="161"/>
        <v>1</v>
      </c>
      <c r="Y1615" s="2" t="s">
        <v>3256</v>
      </c>
      <c r="Z1615" s="2" t="s">
        <v>46</v>
      </c>
      <c r="AA1615" s="2" t="s">
        <v>57</v>
      </c>
      <c r="AB1615" s="2" t="s">
        <v>58</v>
      </c>
      <c r="AE1615" s="2">
        <f t="shared" si="162"/>
        <v>0</v>
      </c>
      <c r="AI1615" s="2">
        <f t="shared" si="163"/>
        <v>0</v>
      </c>
      <c r="AJ1615" s="2">
        <f t="shared" si="164"/>
        <v>8.4</v>
      </c>
      <c r="AK1615" s="5">
        <f t="shared" si="159"/>
        <v>1</v>
      </c>
    </row>
    <row r="1616" spans="1:37" x14ac:dyDescent="0.2">
      <c r="A1616" s="2">
        <v>2025</v>
      </c>
      <c r="B1616" s="2">
        <v>6</v>
      </c>
      <c r="C1616" s="2" t="s">
        <v>1637</v>
      </c>
      <c r="O1616" s="2" t="s">
        <v>43</v>
      </c>
      <c r="P1616" s="2" t="s">
        <v>1751</v>
      </c>
      <c r="Q1616" s="2" t="s">
        <v>1752</v>
      </c>
      <c r="R1616" s="2">
        <v>1</v>
      </c>
      <c r="S1616" s="2">
        <v>9.6</v>
      </c>
      <c r="T1616" s="2">
        <v>2.2080000000000002</v>
      </c>
      <c r="U1616" s="2">
        <v>11.808</v>
      </c>
      <c r="W1616" s="5">
        <f t="shared" si="161"/>
        <v>1</v>
      </c>
      <c r="Y1616" s="2" t="s">
        <v>3256</v>
      </c>
      <c r="Z1616" s="2" t="s">
        <v>46</v>
      </c>
      <c r="AA1616" s="2" t="s">
        <v>57</v>
      </c>
      <c r="AB1616" s="2" t="s">
        <v>58</v>
      </c>
      <c r="AE1616" s="2">
        <f t="shared" si="162"/>
        <v>0</v>
      </c>
      <c r="AI1616" s="2">
        <f t="shared" si="163"/>
        <v>0</v>
      </c>
      <c r="AJ1616" s="2">
        <f t="shared" si="164"/>
        <v>9.6</v>
      </c>
      <c r="AK1616" s="5">
        <f t="shared" ref="AK1616:AK1679" si="165">(S1616-V1616)/S1616</f>
        <v>1</v>
      </c>
    </row>
    <row r="1617" spans="1:37" x14ac:dyDescent="0.2">
      <c r="A1617" s="2">
        <v>2025</v>
      </c>
      <c r="B1617" s="2">
        <v>6</v>
      </c>
      <c r="C1617" s="2" t="s">
        <v>1097</v>
      </c>
      <c r="D1617" s="2" t="s">
        <v>109</v>
      </c>
      <c r="E1617" s="2" t="s">
        <v>39</v>
      </c>
      <c r="F1617" s="2">
        <v>505194147</v>
      </c>
      <c r="G1617" s="2" t="s">
        <v>110</v>
      </c>
      <c r="H1617" s="2" t="s">
        <v>1098</v>
      </c>
      <c r="I1617" s="2" t="s">
        <v>1099</v>
      </c>
      <c r="J1617" s="2">
        <v>917523997</v>
      </c>
      <c r="K1617" s="2" t="s">
        <v>113</v>
      </c>
      <c r="L1617" s="2" t="s">
        <v>40</v>
      </c>
      <c r="N1617" s="2" t="s">
        <v>1753</v>
      </c>
      <c r="O1617" s="2" t="s">
        <v>115</v>
      </c>
      <c r="P1617" s="2" t="s">
        <v>1754</v>
      </c>
      <c r="Q1617" s="2" t="s">
        <v>1755</v>
      </c>
      <c r="R1617" s="2">
        <v>1</v>
      </c>
      <c r="S1617" s="2">
        <v>101.32</v>
      </c>
      <c r="T1617" s="2">
        <v>23.303599999999999</v>
      </c>
      <c r="U1617" s="2">
        <v>124.6236</v>
      </c>
      <c r="W1617" s="5">
        <f t="shared" si="161"/>
        <v>1</v>
      </c>
      <c r="Y1617" s="2" t="s">
        <v>118</v>
      </c>
      <c r="Z1617" s="2" t="s">
        <v>119</v>
      </c>
      <c r="AE1617" s="2">
        <f t="shared" si="162"/>
        <v>0</v>
      </c>
      <c r="AI1617" s="2">
        <f t="shared" si="163"/>
        <v>0</v>
      </c>
      <c r="AJ1617" s="2">
        <f t="shared" si="164"/>
        <v>101.32</v>
      </c>
      <c r="AK1617" s="5">
        <f t="shared" si="165"/>
        <v>1</v>
      </c>
    </row>
    <row r="1618" spans="1:37" x14ac:dyDescent="0.2">
      <c r="A1618" s="2">
        <v>2025</v>
      </c>
      <c r="B1618" s="2">
        <v>6</v>
      </c>
      <c r="C1618" s="2" t="s">
        <v>1097</v>
      </c>
      <c r="D1618" s="2" t="s">
        <v>109</v>
      </c>
      <c r="E1618" s="2" t="s">
        <v>39</v>
      </c>
      <c r="F1618" s="2">
        <v>505194147</v>
      </c>
      <c r="G1618" s="2" t="s">
        <v>110</v>
      </c>
      <c r="H1618" s="2" t="s">
        <v>1098</v>
      </c>
      <c r="I1618" s="2" t="s">
        <v>1099</v>
      </c>
      <c r="J1618" s="2">
        <v>917523997</v>
      </c>
      <c r="K1618" s="2" t="s">
        <v>113</v>
      </c>
      <c r="L1618" s="2" t="s">
        <v>40</v>
      </c>
      <c r="N1618" s="2" t="s">
        <v>1753</v>
      </c>
      <c r="O1618" s="2" t="s">
        <v>188</v>
      </c>
      <c r="P1618" s="2" t="s">
        <v>192</v>
      </c>
      <c r="Q1618" s="2" t="s">
        <v>191</v>
      </c>
      <c r="R1618" s="2">
        <v>2</v>
      </c>
      <c r="S1618" s="2">
        <v>100</v>
      </c>
      <c r="T1618" s="2">
        <v>23</v>
      </c>
      <c r="U1618" s="2">
        <v>123</v>
      </c>
      <c r="V1618" s="2">
        <f>S1618*50%</f>
        <v>50</v>
      </c>
      <c r="W1618" s="5">
        <f t="shared" si="161"/>
        <v>0.5</v>
      </c>
      <c r="Y1618" s="2" t="s">
        <v>118</v>
      </c>
      <c r="Z1618" s="2" t="s">
        <v>191</v>
      </c>
      <c r="AE1618" s="2">
        <f t="shared" si="162"/>
        <v>0</v>
      </c>
      <c r="AI1618" s="2">
        <f t="shared" si="163"/>
        <v>0</v>
      </c>
      <c r="AJ1618" s="2">
        <f t="shared" si="164"/>
        <v>50</v>
      </c>
      <c r="AK1618" s="5">
        <f t="shared" si="165"/>
        <v>0.5</v>
      </c>
    </row>
    <row r="1619" spans="1:37" x14ac:dyDescent="0.2">
      <c r="A1619" s="2">
        <v>2025</v>
      </c>
      <c r="B1619" s="2">
        <v>6</v>
      </c>
      <c r="C1619" s="2" t="s">
        <v>1756</v>
      </c>
      <c r="O1619" s="2" t="s">
        <v>115</v>
      </c>
      <c r="P1619" s="2" t="s">
        <v>1757</v>
      </c>
      <c r="Q1619" s="2" t="s">
        <v>1758</v>
      </c>
      <c r="R1619" s="2">
        <v>1</v>
      </c>
      <c r="S1619" s="2">
        <v>700</v>
      </c>
      <c r="T1619" s="2">
        <v>161</v>
      </c>
      <c r="U1619" s="2">
        <v>861</v>
      </c>
      <c r="W1619" s="5">
        <f t="shared" si="161"/>
        <v>1</v>
      </c>
      <c r="AE1619" s="2">
        <f t="shared" si="162"/>
        <v>0</v>
      </c>
      <c r="AI1619" s="2">
        <f t="shared" si="163"/>
        <v>0</v>
      </c>
      <c r="AJ1619" s="2">
        <f t="shared" si="164"/>
        <v>700</v>
      </c>
      <c r="AK1619" s="5">
        <f t="shared" si="165"/>
        <v>1</v>
      </c>
    </row>
    <row r="1620" spans="1:37" x14ac:dyDescent="0.2">
      <c r="A1620" s="2">
        <v>2025</v>
      </c>
      <c r="B1620" s="2">
        <v>6</v>
      </c>
      <c r="C1620" s="2" t="s">
        <v>593</v>
      </c>
      <c r="D1620" s="2" t="s">
        <v>38</v>
      </c>
      <c r="E1620" s="2" t="s">
        <v>39</v>
      </c>
      <c r="F1620" s="2">
        <v>510339298</v>
      </c>
      <c r="G1620" s="2" t="s">
        <v>41</v>
      </c>
      <c r="H1620" s="2" t="s">
        <v>178</v>
      </c>
      <c r="I1620" s="2" t="s">
        <v>594</v>
      </c>
      <c r="K1620" s="2" t="s">
        <v>178</v>
      </c>
      <c r="L1620" s="2" t="s">
        <v>41</v>
      </c>
      <c r="O1620" s="2" t="s">
        <v>43</v>
      </c>
      <c r="P1620" s="2" t="s">
        <v>161</v>
      </c>
      <c r="Q1620" s="2" t="s">
        <v>162</v>
      </c>
      <c r="R1620" s="2">
        <v>1</v>
      </c>
      <c r="S1620" s="2">
        <v>7.8</v>
      </c>
      <c r="T1620" s="2">
        <v>1.794</v>
      </c>
      <c r="U1620" s="2">
        <v>9.5939999999999994</v>
      </c>
      <c r="V1620" s="2">
        <f>3.7358*R1620</f>
        <v>3.7357999999999998</v>
      </c>
      <c r="W1620" s="5">
        <f t="shared" si="161"/>
        <v>0.52105128205128204</v>
      </c>
      <c r="Y1620" s="2" t="s">
        <v>3256</v>
      </c>
      <c r="Z1620" s="2" t="s">
        <v>46</v>
      </c>
      <c r="AA1620" s="2" t="s">
        <v>47</v>
      </c>
      <c r="AB1620" s="2" t="s">
        <v>48</v>
      </c>
      <c r="AE1620" s="2">
        <f t="shared" si="162"/>
        <v>0</v>
      </c>
      <c r="AF1620" s="2">
        <v>3.7357999999999998</v>
      </c>
      <c r="AG1620" s="2">
        <v>9</v>
      </c>
      <c r="AI1620" s="2">
        <f t="shared" si="163"/>
        <v>0</v>
      </c>
      <c r="AJ1620" s="2">
        <f t="shared" si="164"/>
        <v>4.0641999999999996</v>
      </c>
      <c r="AK1620" s="5">
        <f t="shared" si="165"/>
        <v>0.52105128205128204</v>
      </c>
    </row>
    <row r="1621" spans="1:37" x14ac:dyDescent="0.2">
      <c r="A1621" s="2">
        <v>2025</v>
      </c>
      <c r="B1621" s="2">
        <v>6</v>
      </c>
      <c r="C1621" s="2" t="s">
        <v>593</v>
      </c>
      <c r="D1621" s="2" t="s">
        <v>38</v>
      </c>
      <c r="E1621" s="2" t="s">
        <v>39</v>
      </c>
      <c r="F1621" s="2">
        <v>510339298</v>
      </c>
      <c r="G1621" s="2" t="s">
        <v>41</v>
      </c>
      <c r="H1621" s="2" t="s">
        <v>178</v>
      </c>
      <c r="I1621" s="2" t="s">
        <v>594</v>
      </c>
      <c r="K1621" s="2" t="s">
        <v>178</v>
      </c>
      <c r="L1621" s="2" t="s">
        <v>41</v>
      </c>
      <c r="O1621" s="2" t="s">
        <v>43</v>
      </c>
      <c r="P1621" s="2" t="s">
        <v>55</v>
      </c>
      <c r="Q1621" s="2" t="s">
        <v>56</v>
      </c>
      <c r="R1621" s="2">
        <v>10</v>
      </c>
      <c r="S1621" s="2">
        <v>140</v>
      </c>
      <c r="T1621" s="2">
        <v>32.200000000000003</v>
      </c>
      <c r="U1621" s="2">
        <v>172.2</v>
      </c>
      <c r="V1621" s="2">
        <f>10.6*R1621</f>
        <v>106</v>
      </c>
      <c r="W1621" s="5">
        <f t="shared" si="161"/>
        <v>0.24285714285714285</v>
      </c>
      <c r="Y1621" s="2" t="s">
        <v>3256</v>
      </c>
      <c r="Z1621" s="2" t="s">
        <v>46</v>
      </c>
      <c r="AA1621" s="2" t="s">
        <v>57</v>
      </c>
      <c r="AB1621" s="2" t="s">
        <v>58</v>
      </c>
      <c r="AE1621" s="2">
        <f t="shared" si="162"/>
        <v>0</v>
      </c>
      <c r="AF1621" s="2">
        <v>10.6</v>
      </c>
      <c r="AG1621" s="2">
        <v>18</v>
      </c>
      <c r="AI1621" s="2">
        <f t="shared" si="163"/>
        <v>0</v>
      </c>
      <c r="AJ1621" s="2">
        <f t="shared" si="164"/>
        <v>34</v>
      </c>
      <c r="AK1621" s="5">
        <f t="shared" si="165"/>
        <v>0.24285714285714285</v>
      </c>
    </row>
    <row r="1622" spans="1:37" x14ac:dyDescent="0.2">
      <c r="A1622" s="2">
        <v>2025</v>
      </c>
      <c r="B1622" s="2">
        <v>6</v>
      </c>
      <c r="C1622" s="2" t="s">
        <v>593</v>
      </c>
      <c r="D1622" s="2" t="s">
        <v>38</v>
      </c>
      <c r="E1622" s="2" t="s">
        <v>39</v>
      </c>
      <c r="F1622" s="2">
        <v>510339298</v>
      </c>
      <c r="G1622" s="2" t="s">
        <v>41</v>
      </c>
      <c r="H1622" s="2" t="s">
        <v>178</v>
      </c>
      <c r="I1622" s="2" t="s">
        <v>594</v>
      </c>
      <c r="K1622" s="2" t="s">
        <v>178</v>
      </c>
      <c r="L1622" s="2" t="s">
        <v>40</v>
      </c>
      <c r="O1622" s="2" t="s">
        <v>188</v>
      </c>
      <c r="P1622" s="2" t="s">
        <v>189</v>
      </c>
      <c r="Q1622" s="2" t="s">
        <v>190</v>
      </c>
      <c r="R1622" s="2">
        <v>1</v>
      </c>
      <c r="S1622" s="2">
        <v>61</v>
      </c>
      <c r="T1622" s="2">
        <v>14.03</v>
      </c>
      <c r="U1622" s="2">
        <v>75.03</v>
      </c>
      <c r="W1622" s="5">
        <f t="shared" si="161"/>
        <v>1</v>
      </c>
      <c r="Y1622" s="2" t="s">
        <v>118</v>
      </c>
      <c r="Z1622" s="2" t="s">
        <v>191</v>
      </c>
      <c r="AE1622" s="2">
        <f t="shared" si="162"/>
        <v>0</v>
      </c>
      <c r="AI1622" s="2">
        <f t="shared" si="163"/>
        <v>0</v>
      </c>
      <c r="AJ1622" s="2">
        <f t="shared" si="164"/>
        <v>61</v>
      </c>
      <c r="AK1622" s="5">
        <f t="shared" si="165"/>
        <v>1</v>
      </c>
    </row>
    <row r="1623" spans="1:37" x14ac:dyDescent="0.2">
      <c r="A1623" s="2">
        <v>2025</v>
      </c>
      <c r="B1623" s="2">
        <v>6</v>
      </c>
      <c r="C1623" s="2" t="s">
        <v>593</v>
      </c>
      <c r="D1623" s="2" t="s">
        <v>38</v>
      </c>
      <c r="E1623" s="2" t="s">
        <v>39</v>
      </c>
      <c r="F1623" s="2">
        <v>510339298</v>
      </c>
      <c r="G1623" s="2" t="s">
        <v>41</v>
      </c>
      <c r="H1623" s="2" t="s">
        <v>178</v>
      </c>
      <c r="I1623" s="2" t="s">
        <v>594</v>
      </c>
      <c r="K1623" s="2" t="s">
        <v>178</v>
      </c>
      <c r="L1623" s="2" t="s">
        <v>40</v>
      </c>
      <c r="O1623" s="2" t="s">
        <v>188</v>
      </c>
      <c r="P1623" s="2" t="s">
        <v>192</v>
      </c>
      <c r="Q1623" s="2" t="s">
        <v>191</v>
      </c>
      <c r="R1623" s="2">
        <v>1.5</v>
      </c>
      <c r="S1623" s="2">
        <v>75</v>
      </c>
      <c r="T1623" s="2">
        <v>17.25</v>
      </c>
      <c r="U1623" s="2">
        <v>92.25</v>
      </c>
      <c r="V1623" s="2">
        <f>S1623*50%</f>
        <v>37.5</v>
      </c>
      <c r="W1623" s="5">
        <f t="shared" ref="W1623:W1653" si="166">(S1623-V1623)/S1623</f>
        <v>0.5</v>
      </c>
      <c r="Y1623" s="2" t="s">
        <v>118</v>
      </c>
      <c r="Z1623" s="2" t="s">
        <v>191</v>
      </c>
      <c r="AE1623" s="2">
        <f t="shared" si="162"/>
        <v>0</v>
      </c>
      <c r="AI1623" s="2">
        <f t="shared" si="163"/>
        <v>0</v>
      </c>
      <c r="AJ1623" s="2">
        <f t="shared" si="164"/>
        <v>37.5</v>
      </c>
      <c r="AK1623" s="5">
        <f t="shared" si="165"/>
        <v>0.5</v>
      </c>
    </row>
    <row r="1624" spans="1:37" x14ac:dyDescent="0.2">
      <c r="A1624" s="2">
        <v>2025</v>
      </c>
      <c r="B1624" s="2">
        <v>6</v>
      </c>
      <c r="C1624" s="2" t="s">
        <v>1759</v>
      </c>
      <c r="D1624" s="2" t="s">
        <v>99</v>
      </c>
      <c r="E1624" s="2" t="s">
        <v>39</v>
      </c>
      <c r="F1624" s="2">
        <v>502368519</v>
      </c>
      <c r="G1624" s="2" t="s">
        <v>41</v>
      </c>
      <c r="H1624" s="2" t="s">
        <v>1135</v>
      </c>
      <c r="I1624" s="2" t="s">
        <v>1760</v>
      </c>
      <c r="J1624" s="2">
        <v>968602188</v>
      </c>
      <c r="K1624" s="2" t="s">
        <v>465</v>
      </c>
      <c r="L1624" s="2" t="s">
        <v>40</v>
      </c>
      <c r="O1624" s="2" t="s">
        <v>188</v>
      </c>
      <c r="P1624" s="2" t="s">
        <v>189</v>
      </c>
      <c r="Q1624" s="2" t="s">
        <v>190</v>
      </c>
      <c r="R1624" s="2">
        <v>1</v>
      </c>
      <c r="S1624" s="2">
        <v>174</v>
      </c>
      <c r="T1624" s="2">
        <v>40.020000000000003</v>
      </c>
      <c r="U1624" s="2">
        <v>214.02</v>
      </c>
      <c r="W1624" s="5">
        <f t="shared" si="166"/>
        <v>1</v>
      </c>
      <c r="Y1624" s="2" t="s">
        <v>118</v>
      </c>
      <c r="Z1624" s="2" t="s">
        <v>191</v>
      </c>
      <c r="AE1624" s="2">
        <f t="shared" si="162"/>
        <v>0</v>
      </c>
      <c r="AI1624" s="2">
        <f t="shared" si="163"/>
        <v>0</v>
      </c>
      <c r="AJ1624" s="2">
        <f t="shared" si="164"/>
        <v>174</v>
      </c>
      <c r="AK1624" s="5">
        <f t="shared" si="165"/>
        <v>1</v>
      </c>
    </row>
    <row r="1625" spans="1:37" x14ac:dyDescent="0.2">
      <c r="A1625" s="2">
        <v>2025</v>
      </c>
      <c r="B1625" s="2">
        <v>6</v>
      </c>
      <c r="C1625" s="2" t="s">
        <v>1759</v>
      </c>
      <c r="D1625" s="2" t="s">
        <v>99</v>
      </c>
      <c r="E1625" s="2" t="s">
        <v>39</v>
      </c>
      <c r="F1625" s="2">
        <v>502368519</v>
      </c>
      <c r="G1625" s="2" t="s">
        <v>41</v>
      </c>
      <c r="H1625" s="2" t="s">
        <v>1135</v>
      </c>
      <c r="I1625" s="2" t="s">
        <v>1760</v>
      </c>
      <c r="J1625" s="2">
        <v>968602188</v>
      </c>
      <c r="K1625" s="2" t="s">
        <v>465</v>
      </c>
      <c r="L1625" s="2" t="s">
        <v>40</v>
      </c>
      <c r="O1625" s="2" t="s">
        <v>188</v>
      </c>
      <c r="P1625" s="2" t="s">
        <v>192</v>
      </c>
      <c r="Q1625" s="2" t="s">
        <v>191</v>
      </c>
      <c r="R1625" s="2">
        <v>1.5</v>
      </c>
      <c r="S1625" s="2">
        <v>75</v>
      </c>
      <c r="T1625" s="2">
        <v>17.25</v>
      </c>
      <c r="U1625" s="2">
        <v>92.25</v>
      </c>
      <c r="V1625" s="2">
        <f>S1625*50%</f>
        <v>37.5</v>
      </c>
      <c r="W1625" s="5">
        <f t="shared" si="166"/>
        <v>0.5</v>
      </c>
      <c r="Y1625" s="2" t="s">
        <v>118</v>
      </c>
      <c r="Z1625" s="2" t="s">
        <v>191</v>
      </c>
      <c r="AE1625" s="2">
        <f t="shared" si="162"/>
        <v>0</v>
      </c>
      <c r="AI1625" s="2">
        <f t="shared" si="163"/>
        <v>0</v>
      </c>
      <c r="AJ1625" s="2">
        <f t="shared" si="164"/>
        <v>37.5</v>
      </c>
      <c r="AK1625" s="5">
        <f t="shared" si="165"/>
        <v>0.5</v>
      </c>
    </row>
    <row r="1626" spans="1:37" x14ac:dyDescent="0.2">
      <c r="A1626" s="2">
        <v>2025</v>
      </c>
      <c r="B1626" s="2">
        <v>6</v>
      </c>
      <c r="C1626" s="2" t="s">
        <v>623</v>
      </c>
      <c r="D1626" s="2" t="s">
        <v>38</v>
      </c>
      <c r="E1626" s="2" t="s">
        <v>39</v>
      </c>
      <c r="F1626" s="2">
        <v>513759654</v>
      </c>
      <c r="G1626" s="2" t="s">
        <v>41</v>
      </c>
      <c r="H1626" s="2" t="s">
        <v>624</v>
      </c>
      <c r="I1626" s="2" t="s">
        <v>625</v>
      </c>
      <c r="K1626" s="2" t="s">
        <v>422</v>
      </c>
      <c r="O1626" s="2" t="s">
        <v>115</v>
      </c>
      <c r="P1626" s="2" t="s">
        <v>911</v>
      </c>
      <c r="Q1626" s="2" t="s">
        <v>912</v>
      </c>
      <c r="R1626" s="2">
        <v>1</v>
      </c>
      <c r="S1626" s="2">
        <v>699.3</v>
      </c>
      <c r="T1626" s="2">
        <v>160.839</v>
      </c>
      <c r="U1626" s="2">
        <v>860.1389999999999</v>
      </c>
      <c r="W1626" s="5">
        <f t="shared" si="166"/>
        <v>1</v>
      </c>
      <c r="AE1626" s="2">
        <f t="shared" si="162"/>
        <v>0</v>
      </c>
      <c r="AI1626" s="2">
        <f t="shared" si="163"/>
        <v>0</v>
      </c>
      <c r="AJ1626" s="2">
        <f t="shared" si="164"/>
        <v>699.3</v>
      </c>
      <c r="AK1626" s="5">
        <f t="shared" si="165"/>
        <v>1</v>
      </c>
    </row>
    <row r="1627" spans="1:37" x14ac:dyDescent="0.2">
      <c r="A1627" s="2">
        <v>2025</v>
      </c>
      <c r="B1627" s="2">
        <v>6</v>
      </c>
      <c r="C1627" s="2" t="s">
        <v>623</v>
      </c>
      <c r="D1627" s="2" t="s">
        <v>38</v>
      </c>
      <c r="E1627" s="2" t="s">
        <v>39</v>
      </c>
      <c r="F1627" s="2">
        <v>513759654</v>
      </c>
      <c r="G1627" s="2" t="s">
        <v>41</v>
      </c>
      <c r="H1627" s="2" t="s">
        <v>624</v>
      </c>
      <c r="I1627" s="2" t="s">
        <v>625</v>
      </c>
      <c r="K1627" s="2" t="s">
        <v>422</v>
      </c>
      <c r="L1627" s="2" t="s">
        <v>40</v>
      </c>
      <c r="O1627" s="2" t="s">
        <v>188</v>
      </c>
      <c r="P1627" s="2" t="s">
        <v>189</v>
      </c>
      <c r="Q1627" s="2" t="s">
        <v>190</v>
      </c>
      <c r="R1627" s="2">
        <v>1</v>
      </c>
      <c r="S1627" s="2">
        <v>102</v>
      </c>
      <c r="T1627" s="2">
        <v>23.46</v>
      </c>
      <c r="U1627" s="2">
        <v>125.46</v>
      </c>
      <c r="W1627" s="5">
        <f t="shared" si="166"/>
        <v>1</v>
      </c>
      <c r="Y1627" s="2" t="s">
        <v>118</v>
      </c>
      <c r="Z1627" s="2" t="s">
        <v>191</v>
      </c>
      <c r="AE1627" s="2">
        <f t="shared" si="162"/>
        <v>0</v>
      </c>
      <c r="AI1627" s="2">
        <f t="shared" si="163"/>
        <v>0</v>
      </c>
      <c r="AJ1627" s="2">
        <f t="shared" si="164"/>
        <v>102</v>
      </c>
      <c r="AK1627" s="5">
        <f t="shared" si="165"/>
        <v>1</v>
      </c>
    </row>
    <row r="1628" spans="1:37" x14ac:dyDescent="0.2">
      <c r="A1628" s="2">
        <v>2025</v>
      </c>
      <c r="B1628" s="2">
        <v>6</v>
      </c>
      <c r="C1628" s="2" t="s">
        <v>623</v>
      </c>
      <c r="D1628" s="2" t="s">
        <v>38</v>
      </c>
      <c r="E1628" s="2" t="s">
        <v>39</v>
      </c>
      <c r="F1628" s="2">
        <v>513759654</v>
      </c>
      <c r="G1628" s="2" t="s">
        <v>41</v>
      </c>
      <c r="H1628" s="2" t="s">
        <v>624</v>
      </c>
      <c r="I1628" s="2" t="s">
        <v>625</v>
      </c>
      <c r="K1628" s="2" t="s">
        <v>422</v>
      </c>
      <c r="L1628" s="2" t="s">
        <v>40</v>
      </c>
      <c r="O1628" s="2" t="s">
        <v>188</v>
      </c>
      <c r="P1628" s="2" t="s">
        <v>192</v>
      </c>
      <c r="Q1628" s="2" t="s">
        <v>191</v>
      </c>
      <c r="R1628" s="2">
        <v>1</v>
      </c>
      <c r="S1628" s="2">
        <v>0</v>
      </c>
      <c r="T1628" s="2">
        <v>0</v>
      </c>
      <c r="U1628" s="2">
        <v>0</v>
      </c>
      <c r="V1628" s="2">
        <f>S1628*50%</f>
        <v>0</v>
      </c>
      <c r="W1628" s="5" t="e">
        <f t="shared" si="166"/>
        <v>#DIV/0!</v>
      </c>
      <c r="Y1628" s="2" t="s">
        <v>118</v>
      </c>
      <c r="Z1628" s="2" t="s">
        <v>191</v>
      </c>
      <c r="AE1628" s="2">
        <f t="shared" si="162"/>
        <v>0</v>
      </c>
      <c r="AI1628" s="2">
        <f t="shared" si="163"/>
        <v>0</v>
      </c>
      <c r="AJ1628" s="2">
        <f t="shared" si="164"/>
        <v>0</v>
      </c>
      <c r="AK1628" s="5" t="e">
        <f t="shared" si="165"/>
        <v>#DIV/0!</v>
      </c>
    </row>
    <row r="1629" spans="1:37" x14ac:dyDescent="0.2">
      <c r="A1629" s="2">
        <v>2025</v>
      </c>
      <c r="B1629" s="2">
        <v>6</v>
      </c>
      <c r="C1629" s="2" t="s">
        <v>630</v>
      </c>
      <c r="D1629" s="2" t="s">
        <v>38</v>
      </c>
      <c r="E1629" s="2" t="s">
        <v>39</v>
      </c>
      <c r="F1629" s="2" t="s">
        <v>631</v>
      </c>
      <c r="G1629" s="2" t="s">
        <v>40</v>
      </c>
      <c r="H1629" s="2" t="s">
        <v>632</v>
      </c>
      <c r="I1629" s="2" t="s">
        <v>633</v>
      </c>
      <c r="K1629" s="2" t="s">
        <v>632</v>
      </c>
      <c r="L1629" s="2" t="s">
        <v>40</v>
      </c>
      <c r="O1629" s="2" t="s">
        <v>115</v>
      </c>
      <c r="P1629" s="2" t="s">
        <v>518</v>
      </c>
      <c r="Q1629" s="2" t="s">
        <v>519</v>
      </c>
      <c r="R1629" s="2">
        <v>1</v>
      </c>
      <c r="S1629" s="2">
        <v>229.42</v>
      </c>
      <c r="T1629" s="2">
        <v>52.766599999999997</v>
      </c>
      <c r="U1629" s="2">
        <v>282.1866</v>
      </c>
      <c r="W1629" s="5">
        <f t="shared" si="166"/>
        <v>1</v>
      </c>
      <c r="AE1629" s="2">
        <f t="shared" si="162"/>
        <v>0</v>
      </c>
      <c r="AI1629" s="2">
        <f t="shared" si="163"/>
        <v>0</v>
      </c>
      <c r="AJ1629" s="2">
        <f t="shared" si="164"/>
        <v>229.42</v>
      </c>
      <c r="AK1629" s="5">
        <f t="shared" si="165"/>
        <v>1</v>
      </c>
    </row>
    <row r="1630" spans="1:37" x14ac:dyDescent="0.2">
      <c r="A1630" s="2">
        <v>2025</v>
      </c>
      <c r="B1630" s="2">
        <v>6</v>
      </c>
      <c r="C1630" s="2" t="s">
        <v>1674</v>
      </c>
      <c r="O1630" s="2" t="s">
        <v>283</v>
      </c>
      <c r="P1630" s="2" t="s">
        <v>1525</v>
      </c>
      <c r="Q1630" s="2" t="s">
        <v>1526</v>
      </c>
      <c r="R1630" s="2">
        <v>1</v>
      </c>
      <c r="S1630" s="2">
        <v>49.9</v>
      </c>
      <c r="T1630" s="2">
        <v>11.477</v>
      </c>
      <c r="U1630" s="2">
        <v>61.377000000000002</v>
      </c>
      <c r="W1630" s="5">
        <f t="shared" si="166"/>
        <v>1</v>
      </c>
      <c r="Y1630" s="2" t="s">
        <v>3256</v>
      </c>
      <c r="AE1630" s="2">
        <f t="shared" si="162"/>
        <v>0</v>
      </c>
      <c r="AI1630" s="2">
        <f t="shared" si="163"/>
        <v>0</v>
      </c>
      <c r="AJ1630" s="2">
        <f t="shared" si="164"/>
        <v>49.9</v>
      </c>
      <c r="AK1630" s="5">
        <f t="shared" si="165"/>
        <v>1</v>
      </c>
    </row>
    <row r="1631" spans="1:37" x14ac:dyDescent="0.2">
      <c r="A1631" s="2">
        <v>2025</v>
      </c>
      <c r="B1631" s="2">
        <v>6</v>
      </c>
      <c r="C1631" s="2" t="s">
        <v>1675</v>
      </c>
      <c r="O1631" s="2" t="s">
        <v>283</v>
      </c>
      <c r="P1631" s="2" t="s">
        <v>1448</v>
      </c>
      <c r="Q1631" s="2" t="s">
        <v>1449</v>
      </c>
      <c r="R1631" s="2">
        <v>10</v>
      </c>
      <c r="S1631" s="2">
        <v>69</v>
      </c>
      <c r="T1631" s="2">
        <v>15.87</v>
      </c>
      <c r="U1631" s="2">
        <v>84.87</v>
      </c>
      <c r="W1631" s="5">
        <f t="shared" si="166"/>
        <v>1</v>
      </c>
      <c r="Y1631" s="2" t="s">
        <v>3256</v>
      </c>
      <c r="AE1631" s="2">
        <f t="shared" si="162"/>
        <v>0</v>
      </c>
      <c r="AI1631" s="2">
        <f t="shared" si="163"/>
        <v>0</v>
      </c>
      <c r="AJ1631" s="2">
        <f t="shared" si="164"/>
        <v>69</v>
      </c>
      <c r="AK1631" s="5">
        <f t="shared" si="165"/>
        <v>1</v>
      </c>
    </row>
    <row r="1632" spans="1:37" x14ac:dyDescent="0.2">
      <c r="A1632" s="2">
        <v>2025</v>
      </c>
      <c r="B1632" s="2">
        <v>6</v>
      </c>
      <c r="C1632" s="2" t="s">
        <v>1761</v>
      </c>
      <c r="O1632" s="2" t="s">
        <v>115</v>
      </c>
      <c r="P1632" s="2" t="s">
        <v>652</v>
      </c>
      <c r="Q1632" s="2" t="s">
        <v>653</v>
      </c>
      <c r="R1632" s="2">
        <v>1</v>
      </c>
      <c r="S1632" s="2">
        <v>62.6</v>
      </c>
      <c r="T1632" s="2">
        <v>14.398</v>
      </c>
      <c r="U1632" s="2">
        <v>76.998000000000005</v>
      </c>
      <c r="W1632" s="5">
        <f t="shared" si="166"/>
        <v>1</v>
      </c>
      <c r="AE1632" s="2">
        <f t="shared" si="162"/>
        <v>0</v>
      </c>
      <c r="AI1632" s="2">
        <f t="shared" si="163"/>
        <v>0</v>
      </c>
      <c r="AJ1632" s="2">
        <f t="shared" si="164"/>
        <v>62.6</v>
      </c>
      <c r="AK1632" s="5">
        <f t="shared" si="165"/>
        <v>1</v>
      </c>
    </row>
    <row r="1633" spans="1:37" x14ac:dyDescent="0.2">
      <c r="A1633" s="2">
        <v>2025</v>
      </c>
      <c r="B1633" s="2">
        <v>6</v>
      </c>
      <c r="C1633" s="2" t="s">
        <v>1133</v>
      </c>
      <c r="D1633" s="2" t="s">
        <v>109</v>
      </c>
      <c r="E1633" s="2" t="s">
        <v>39</v>
      </c>
      <c r="F1633" s="2">
        <v>515742279</v>
      </c>
      <c r="G1633" s="2" t="s">
        <v>41</v>
      </c>
      <c r="H1633" s="2" t="s">
        <v>2316</v>
      </c>
      <c r="I1633" s="2" t="s">
        <v>2317</v>
      </c>
      <c r="J1633" s="2">
        <v>965790183</v>
      </c>
      <c r="K1633" s="2" t="s">
        <v>178</v>
      </c>
      <c r="L1633" s="2" t="s">
        <v>40</v>
      </c>
      <c r="O1633" s="2" t="s">
        <v>188</v>
      </c>
      <c r="P1633" s="2" t="s">
        <v>189</v>
      </c>
      <c r="Q1633" s="2" t="s">
        <v>190</v>
      </c>
      <c r="R1633" s="2">
        <v>1</v>
      </c>
      <c r="S1633" s="2">
        <v>66</v>
      </c>
      <c r="T1633" s="2">
        <v>15.18</v>
      </c>
      <c r="U1633" s="2">
        <v>81.180000000000007</v>
      </c>
      <c r="W1633" s="5">
        <f t="shared" si="166"/>
        <v>1</v>
      </c>
      <c r="Y1633" s="2" t="s">
        <v>118</v>
      </c>
      <c r="Z1633" s="2" t="s">
        <v>191</v>
      </c>
      <c r="AE1633" s="2">
        <f t="shared" si="162"/>
        <v>0</v>
      </c>
      <c r="AI1633" s="2">
        <f t="shared" si="163"/>
        <v>0</v>
      </c>
      <c r="AJ1633" s="2">
        <f t="shared" si="164"/>
        <v>66</v>
      </c>
      <c r="AK1633" s="5">
        <f t="shared" si="165"/>
        <v>1</v>
      </c>
    </row>
    <row r="1634" spans="1:37" x14ac:dyDescent="0.2">
      <c r="A1634" s="2">
        <v>2025</v>
      </c>
      <c r="B1634" s="2">
        <v>6</v>
      </c>
      <c r="C1634" s="2" t="s">
        <v>1133</v>
      </c>
      <c r="D1634" s="2" t="s">
        <v>109</v>
      </c>
      <c r="E1634" s="2" t="s">
        <v>39</v>
      </c>
      <c r="F1634" s="2">
        <v>515742279</v>
      </c>
      <c r="G1634" s="2" t="s">
        <v>41</v>
      </c>
      <c r="H1634" s="2" t="s">
        <v>2316</v>
      </c>
      <c r="I1634" s="2" t="s">
        <v>2317</v>
      </c>
      <c r="J1634" s="2">
        <v>965790183</v>
      </c>
      <c r="K1634" s="2" t="s">
        <v>178</v>
      </c>
      <c r="L1634" s="2" t="s">
        <v>40</v>
      </c>
      <c r="O1634" s="2" t="s">
        <v>188</v>
      </c>
      <c r="P1634" s="2" t="s">
        <v>192</v>
      </c>
      <c r="Q1634" s="2" t="s">
        <v>191</v>
      </c>
      <c r="R1634" s="2">
        <v>1</v>
      </c>
      <c r="S1634" s="2">
        <v>50</v>
      </c>
      <c r="T1634" s="2">
        <v>11.5</v>
      </c>
      <c r="U1634" s="2">
        <v>61.5</v>
      </c>
      <c r="V1634" s="2">
        <f>S1634*50%</f>
        <v>25</v>
      </c>
      <c r="W1634" s="5">
        <f t="shared" si="166"/>
        <v>0.5</v>
      </c>
      <c r="Y1634" s="2" t="s">
        <v>118</v>
      </c>
      <c r="Z1634" s="2" t="s">
        <v>191</v>
      </c>
      <c r="AE1634" s="2">
        <f t="shared" si="162"/>
        <v>0</v>
      </c>
      <c r="AI1634" s="2">
        <f t="shared" si="163"/>
        <v>0</v>
      </c>
      <c r="AJ1634" s="2">
        <f t="shared" si="164"/>
        <v>25</v>
      </c>
      <c r="AK1634" s="5">
        <f t="shared" si="165"/>
        <v>0.5</v>
      </c>
    </row>
    <row r="1635" spans="1:37" x14ac:dyDescent="0.2">
      <c r="A1635" s="2">
        <v>2025</v>
      </c>
      <c r="B1635" s="2">
        <v>6</v>
      </c>
      <c r="C1635" s="2" t="s">
        <v>1762</v>
      </c>
      <c r="O1635" s="2" t="s">
        <v>283</v>
      </c>
      <c r="P1635" s="2" t="s">
        <v>1763</v>
      </c>
      <c r="Q1635" s="2" t="s">
        <v>1764</v>
      </c>
      <c r="R1635" s="2">
        <v>1</v>
      </c>
      <c r="S1635" s="2">
        <v>375</v>
      </c>
      <c r="T1635" s="2">
        <v>86.25</v>
      </c>
      <c r="U1635" s="2">
        <v>461.25</v>
      </c>
      <c r="W1635" s="5">
        <f t="shared" si="166"/>
        <v>1</v>
      </c>
      <c r="AE1635" s="2">
        <f t="shared" si="162"/>
        <v>0</v>
      </c>
      <c r="AI1635" s="2">
        <f t="shared" si="163"/>
        <v>0</v>
      </c>
      <c r="AJ1635" s="2">
        <f t="shared" si="164"/>
        <v>375</v>
      </c>
      <c r="AK1635" s="5">
        <f t="shared" si="165"/>
        <v>1</v>
      </c>
    </row>
    <row r="1636" spans="1:37" x14ac:dyDescent="0.2">
      <c r="A1636" s="2">
        <v>2025</v>
      </c>
      <c r="B1636" s="2">
        <v>6</v>
      </c>
      <c r="C1636" s="2" t="s">
        <v>1762</v>
      </c>
      <c r="O1636" s="2" t="s">
        <v>69</v>
      </c>
      <c r="P1636" s="2" t="s">
        <v>1765</v>
      </c>
      <c r="Q1636" s="2" t="s">
        <v>1766</v>
      </c>
      <c r="R1636" s="2">
        <v>1</v>
      </c>
      <c r="S1636" s="2">
        <v>15.5</v>
      </c>
      <c r="T1636" s="2">
        <v>3.5649999999999999</v>
      </c>
      <c r="U1636" s="2">
        <v>19.065000000000001</v>
      </c>
      <c r="W1636" s="5">
        <f t="shared" si="166"/>
        <v>1</v>
      </c>
      <c r="Y1636" s="2" t="s">
        <v>3256</v>
      </c>
      <c r="AB1636" s="2" t="s">
        <v>3261</v>
      </c>
      <c r="AE1636" s="2">
        <f t="shared" si="162"/>
        <v>0</v>
      </c>
      <c r="AI1636" s="2">
        <f t="shared" si="163"/>
        <v>0</v>
      </c>
      <c r="AJ1636" s="2">
        <f t="shared" si="164"/>
        <v>15.5</v>
      </c>
      <c r="AK1636" s="5">
        <f t="shared" si="165"/>
        <v>1</v>
      </c>
    </row>
    <row r="1637" spans="1:37" x14ac:dyDescent="0.2">
      <c r="A1637" s="2">
        <v>2025</v>
      </c>
      <c r="B1637" s="2">
        <v>8</v>
      </c>
      <c r="C1637" s="2" t="s">
        <v>37</v>
      </c>
      <c r="D1637" s="2" t="s">
        <v>38</v>
      </c>
      <c r="E1637" s="2" t="s">
        <v>39</v>
      </c>
      <c r="G1637" s="2" t="s">
        <v>40</v>
      </c>
      <c r="O1637" s="2" t="s">
        <v>43</v>
      </c>
      <c r="P1637" s="2" t="s">
        <v>55</v>
      </c>
      <c r="Q1637" s="2" t="s">
        <v>56</v>
      </c>
      <c r="R1637" s="2">
        <v>5</v>
      </c>
      <c r="S1637" s="2">
        <v>74</v>
      </c>
      <c r="T1637" s="2">
        <v>17.02</v>
      </c>
      <c r="U1637" s="2">
        <v>91.02</v>
      </c>
      <c r="V1637" s="2">
        <f>10.6*R1637</f>
        <v>53</v>
      </c>
      <c r="W1637" s="5">
        <f t="shared" si="166"/>
        <v>0.28378378378378377</v>
      </c>
      <c r="Y1637" s="2" t="s">
        <v>3256</v>
      </c>
      <c r="Z1637" s="2" t="s">
        <v>46</v>
      </c>
      <c r="AA1637" s="2" t="s">
        <v>57</v>
      </c>
      <c r="AB1637" s="2" t="s">
        <v>58</v>
      </c>
      <c r="AE1637" s="2">
        <f t="shared" si="162"/>
        <v>0</v>
      </c>
      <c r="AF1637" s="2">
        <v>10.6</v>
      </c>
      <c r="AG1637" s="2">
        <v>18</v>
      </c>
      <c r="AI1637" s="2">
        <f t="shared" si="163"/>
        <v>0</v>
      </c>
      <c r="AJ1637" s="2">
        <f t="shared" si="164"/>
        <v>21</v>
      </c>
      <c r="AK1637" s="5">
        <f t="shared" si="165"/>
        <v>0.28378378378378377</v>
      </c>
    </row>
    <row r="1638" spans="1:37" x14ac:dyDescent="0.2">
      <c r="A1638" s="2">
        <v>2025</v>
      </c>
      <c r="B1638" s="2">
        <v>8</v>
      </c>
      <c r="C1638" s="2" t="s">
        <v>37</v>
      </c>
      <c r="D1638" s="2" t="s">
        <v>38</v>
      </c>
      <c r="E1638" s="2" t="s">
        <v>39</v>
      </c>
      <c r="G1638" s="2" t="s">
        <v>40</v>
      </c>
      <c r="O1638" s="2" t="s">
        <v>43</v>
      </c>
      <c r="P1638" s="2" t="s">
        <v>62</v>
      </c>
      <c r="Q1638" s="2" t="s">
        <v>63</v>
      </c>
      <c r="R1638" s="2">
        <v>900</v>
      </c>
      <c r="S1638" s="2">
        <v>94</v>
      </c>
      <c r="T1638" s="2">
        <v>21.62</v>
      </c>
      <c r="U1638" s="2">
        <v>115.62</v>
      </c>
      <c r="V1638" s="2">
        <f>0.082*R1638</f>
        <v>73.8</v>
      </c>
      <c r="W1638" s="5">
        <f t="shared" si="166"/>
        <v>0.21489361702127663</v>
      </c>
      <c r="Y1638" s="2" t="s">
        <v>3256</v>
      </c>
      <c r="Z1638" s="2" t="s">
        <v>46</v>
      </c>
      <c r="AA1638" s="2" t="s">
        <v>61</v>
      </c>
      <c r="AB1638" s="2" t="s">
        <v>58</v>
      </c>
      <c r="AE1638" s="2">
        <f t="shared" si="162"/>
        <v>0</v>
      </c>
      <c r="AF1638" s="2">
        <v>8.1999999999999993</v>
      </c>
      <c r="AG1638" s="2">
        <v>13</v>
      </c>
      <c r="AI1638" s="2">
        <f t="shared" si="163"/>
        <v>0</v>
      </c>
      <c r="AJ1638" s="2">
        <f t="shared" si="164"/>
        <v>20.200000000000003</v>
      </c>
      <c r="AK1638" s="5">
        <f t="shared" si="165"/>
        <v>0.21489361702127663</v>
      </c>
    </row>
    <row r="1639" spans="1:37" x14ac:dyDescent="0.2">
      <c r="A1639" s="2">
        <v>2025</v>
      </c>
      <c r="B1639" s="2">
        <v>8</v>
      </c>
      <c r="C1639" s="2" t="s">
        <v>37</v>
      </c>
      <c r="D1639" s="2" t="s">
        <v>38</v>
      </c>
      <c r="E1639" s="2" t="s">
        <v>39</v>
      </c>
      <c r="G1639" s="2" t="s">
        <v>40</v>
      </c>
      <c r="O1639" s="2" t="s">
        <v>43</v>
      </c>
      <c r="P1639" s="2" t="s">
        <v>979</v>
      </c>
      <c r="Q1639" s="2" t="s">
        <v>980</v>
      </c>
      <c r="R1639" s="2">
        <v>1</v>
      </c>
      <c r="S1639" s="2">
        <v>29</v>
      </c>
      <c r="T1639" s="2">
        <v>6.67</v>
      </c>
      <c r="U1639" s="2">
        <v>35.67</v>
      </c>
      <c r="W1639" s="5">
        <f t="shared" si="166"/>
        <v>1</v>
      </c>
      <c r="Y1639" s="2" t="s">
        <v>3256</v>
      </c>
      <c r="Z1639" s="2" t="s">
        <v>46</v>
      </c>
      <c r="AA1639" s="2" t="s">
        <v>61</v>
      </c>
      <c r="AB1639" s="2" t="s">
        <v>58</v>
      </c>
      <c r="AE1639" s="2">
        <f t="shared" si="162"/>
        <v>0</v>
      </c>
      <c r="AI1639" s="2">
        <f t="shared" si="163"/>
        <v>0</v>
      </c>
      <c r="AJ1639" s="2">
        <f t="shared" si="164"/>
        <v>29</v>
      </c>
      <c r="AK1639" s="5">
        <f t="shared" si="165"/>
        <v>1</v>
      </c>
    </row>
    <row r="1640" spans="1:37" x14ac:dyDescent="0.2">
      <c r="A1640" s="2">
        <v>2025</v>
      </c>
      <c r="B1640" s="2">
        <v>8</v>
      </c>
      <c r="C1640" s="2" t="s">
        <v>108</v>
      </c>
      <c r="D1640" s="2" t="s">
        <v>109</v>
      </c>
      <c r="E1640" s="2" t="s">
        <v>39</v>
      </c>
      <c r="F1640" s="2">
        <v>507499760</v>
      </c>
      <c r="G1640" s="2" t="s">
        <v>110</v>
      </c>
      <c r="H1640" s="2" t="s">
        <v>111</v>
      </c>
      <c r="I1640" s="2" t="s">
        <v>112</v>
      </c>
      <c r="J1640" s="2">
        <v>962002636</v>
      </c>
      <c r="K1640" s="2" t="s">
        <v>113</v>
      </c>
      <c r="L1640" s="2" t="s">
        <v>40</v>
      </c>
      <c r="N1640" s="2" t="s">
        <v>1767</v>
      </c>
      <c r="O1640" s="2" t="s">
        <v>115</v>
      </c>
      <c r="P1640" s="2" t="s">
        <v>739</v>
      </c>
      <c r="Q1640" s="2" t="s">
        <v>740</v>
      </c>
      <c r="R1640" s="2">
        <v>1</v>
      </c>
      <c r="S1640" s="2">
        <v>28.25</v>
      </c>
      <c r="T1640" s="2">
        <v>6.4974999999999996</v>
      </c>
      <c r="U1640" s="2">
        <v>34.747500000000002</v>
      </c>
      <c r="W1640" s="5">
        <f t="shared" si="166"/>
        <v>1</v>
      </c>
      <c r="AE1640" s="2">
        <f t="shared" si="162"/>
        <v>0</v>
      </c>
      <c r="AI1640" s="2">
        <f t="shared" si="163"/>
        <v>0</v>
      </c>
      <c r="AJ1640" s="2">
        <f t="shared" si="164"/>
        <v>28.25</v>
      </c>
      <c r="AK1640" s="5">
        <f t="shared" si="165"/>
        <v>1</v>
      </c>
    </row>
    <row r="1641" spans="1:37" x14ac:dyDescent="0.2">
      <c r="A1641" s="2">
        <v>2025</v>
      </c>
      <c r="B1641" s="2">
        <v>8</v>
      </c>
      <c r="C1641" s="2" t="s">
        <v>108</v>
      </c>
      <c r="D1641" s="2" t="s">
        <v>109</v>
      </c>
      <c r="E1641" s="2" t="s">
        <v>39</v>
      </c>
      <c r="F1641" s="2">
        <v>507499760</v>
      </c>
      <c r="G1641" s="2" t="s">
        <v>110</v>
      </c>
      <c r="H1641" s="2" t="s">
        <v>111</v>
      </c>
      <c r="I1641" s="2" t="s">
        <v>112</v>
      </c>
      <c r="J1641" s="2">
        <v>962002636</v>
      </c>
      <c r="K1641" s="2" t="s">
        <v>113</v>
      </c>
      <c r="L1641" s="2" t="s">
        <v>40</v>
      </c>
      <c r="N1641" s="2" t="s">
        <v>1768</v>
      </c>
      <c r="O1641" s="2" t="s">
        <v>115</v>
      </c>
      <c r="P1641" s="2" t="s">
        <v>741</v>
      </c>
      <c r="Q1641" s="2" t="s">
        <v>742</v>
      </c>
      <c r="R1641" s="2">
        <v>2</v>
      </c>
      <c r="S1641" s="2">
        <v>42.99</v>
      </c>
      <c r="T1641" s="2">
        <v>9.8877000000000006</v>
      </c>
      <c r="U1641" s="2">
        <v>52.877699999999997</v>
      </c>
      <c r="W1641" s="5">
        <f t="shared" si="166"/>
        <v>1</v>
      </c>
      <c r="AE1641" s="2">
        <f t="shared" si="162"/>
        <v>0</v>
      </c>
      <c r="AI1641" s="2">
        <f t="shared" si="163"/>
        <v>0</v>
      </c>
      <c r="AJ1641" s="2">
        <f t="shared" si="164"/>
        <v>42.99</v>
      </c>
      <c r="AK1641" s="5">
        <f t="shared" si="165"/>
        <v>1</v>
      </c>
    </row>
    <row r="1642" spans="1:37" x14ac:dyDescent="0.2">
      <c r="A1642" s="2">
        <v>2025</v>
      </c>
      <c r="B1642" s="2">
        <v>8</v>
      </c>
      <c r="C1642" s="2" t="s">
        <v>108</v>
      </c>
      <c r="D1642" s="2" t="s">
        <v>109</v>
      </c>
      <c r="E1642" s="2" t="s">
        <v>39</v>
      </c>
      <c r="F1642" s="2">
        <v>507499760</v>
      </c>
      <c r="G1642" s="2" t="s">
        <v>110</v>
      </c>
      <c r="H1642" s="2" t="s">
        <v>111</v>
      </c>
      <c r="I1642" s="2" t="s">
        <v>112</v>
      </c>
      <c r="J1642" s="2">
        <v>962002636</v>
      </c>
      <c r="K1642" s="2" t="s">
        <v>113</v>
      </c>
      <c r="L1642" s="2" t="s">
        <v>40</v>
      </c>
      <c r="N1642" s="2" t="s">
        <v>1768</v>
      </c>
      <c r="O1642" s="2" t="s">
        <v>170</v>
      </c>
      <c r="P1642" s="2" t="s">
        <v>171</v>
      </c>
      <c r="Q1642" s="2" t="s">
        <v>171</v>
      </c>
      <c r="R1642" s="2">
        <v>1</v>
      </c>
      <c r="S1642" s="2">
        <v>8.5</v>
      </c>
      <c r="T1642" s="2">
        <v>1.9550000000000001</v>
      </c>
      <c r="U1642" s="2">
        <v>10.455</v>
      </c>
      <c r="W1642" s="5">
        <f t="shared" si="166"/>
        <v>1</v>
      </c>
      <c r="Y1642" s="2" t="s">
        <v>170</v>
      </c>
      <c r="Z1642" s="2" t="s">
        <v>170</v>
      </c>
      <c r="AE1642" s="2">
        <f t="shared" si="162"/>
        <v>0</v>
      </c>
      <c r="AI1642" s="2">
        <f t="shared" si="163"/>
        <v>0</v>
      </c>
      <c r="AJ1642" s="2">
        <f t="shared" si="164"/>
        <v>8.5</v>
      </c>
      <c r="AK1642" s="5">
        <f t="shared" si="165"/>
        <v>1</v>
      </c>
    </row>
    <row r="1643" spans="1:37" x14ac:dyDescent="0.2">
      <c r="A1643" s="2">
        <v>2025</v>
      </c>
      <c r="B1643" s="2">
        <v>8</v>
      </c>
      <c r="C1643" s="2" t="s">
        <v>943</v>
      </c>
      <c r="D1643" s="2" t="s">
        <v>38</v>
      </c>
      <c r="E1643" s="2" t="s">
        <v>39</v>
      </c>
      <c r="F1643" s="2">
        <v>508868726</v>
      </c>
      <c r="G1643" s="2" t="s">
        <v>291</v>
      </c>
      <c r="H1643" s="2" t="s">
        <v>944</v>
      </c>
      <c r="I1643" s="2" t="s">
        <v>945</v>
      </c>
      <c r="J1643" s="2">
        <v>964771057</v>
      </c>
      <c r="K1643" s="2" t="s">
        <v>340</v>
      </c>
      <c r="L1643" s="2" t="s">
        <v>81</v>
      </c>
      <c r="O1643" s="2" t="s">
        <v>73</v>
      </c>
      <c r="P1643" s="2" t="s">
        <v>1044</v>
      </c>
      <c r="Q1643" s="2" t="s">
        <v>80</v>
      </c>
      <c r="R1643" s="2">
        <v>1</v>
      </c>
      <c r="S1643" s="2">
        <v>220</v>
      </c>
      <c r="T1643" s="2">
        <v>50.6</v>
      </c>
      <c r="U1643" s="2">
        <v>270.60000000000002</v>
      </c>
      <c r="V1643" s="2">
        <v>113.33</v>
      </c>
      <c r="W1643" s="5">
        <f t="shared" si="166"/>
        <v>0.48486363636363639</v>
      </c>
      <c r="Y1643" s="2" t="s">
        <v>3256</v>
      </c>
      <c r="Z1643" s="2" t="s">
        <v>76</v>
      </c>
      <c r="AA1643" s="2" t="s">
        <v>77</v>
      </c>
      <c r="AB1643" s="2" t="s">
        <v>78</v>
      </c>
      <c r="AE1643" s="2">
        <f t="shared" si="162"/>
        <v>0</v>
      </c>
      <c r="AF1643" s="2">
        <v>113.33</v>
      </c>
      <c r="AG1643" s="2">
        <v>220</v>
      </c>
      <c r="AI1643" s="2">
        <f t="shared" si="163"/>
        <v>0</v>
      </c>
      <c r="AJ1643" s="2">
        <f t="shared" si="164"/>
        <v>106.67</v>
      </c>
      <c r="AK1643" s="5">
        <f t="shared" si="165"/>
        <v>0.48486363636363639</v>
      </c>
    </row>
    <row r="1644" spans="1:37" x14ac:dyDescent="0.2">
      <c r="A1644" s="2">
        <v>2025</v>
      </c>
      <c r="B1644" s="2">
        <v>8</v>
      </c>
      <c r="C1644" s="2" t="s">
        <v>943</v>
      </c>
      <c r="D1644" s="2" t="s">
        <v>38</v>
      </c>
      <c r="E1644" s="2" t="s">
        <v>39</v>
      </c>
      <c r="F1644" s="2">
        <v>508868726</v>
      </c>
      <c r="G1644" s="2" t="s">
        <v>291</v>
      </c>
      <c r="H1644" s="2" t="s">
        <v>944</v>
      </c>
      <c r="I1644" s="2" t="s">
        <v>945</v>
      </c>
      <c r="J1644" s="2">
        <v>964771057</v>
      </c>
      <c r="K1644" s="2" t="s">
        <v>340</v>
      </c>
      <c r="L1644" s="2" t="s">
        <v>81</v>
      </c>
      <c r="O1644" s="2" t="s">
        <v>94</v>
      </c>
      <c r="P1644" s="2" t="s">
        <v>95</v>
      </c>
      <c r="Q1644" s="2" t="s">
        <v>96</v>
      </c>
      <c r="R1644" s="2">
        <v>1</v>
      </c>
      <c r="S1644" s="2">
        <v>1.1399999999999999</v>
      </c>
      <c r="T1644" s="2">
        <v>0.26219999999999999</v>
      </c>
      <c r="U1644" s="2">
        <v>1.4021999999999999</v>
      </c>
      <c r="V1644" s="2">
        <v>1.1399999999999999</v>
      </c>
      <c r="W1644" s="5">
        <f t="shared" si="166"/>
        <v>0</v>
      </c>
      <c r="Y1644" s="2" t="s">
        <v>3256</v>
      </c>
      <c r="Z1644" s="2" t="s">
        <v>97</v>
      </c>
      <c r="AA1644" s="2" t="s">
        <v>77</v>
      </c>
      <c r="AB1644" s="2" t="s">
        <v>94</v>
      </c>
      <c r="AE1644" s="2">
        <f t="shared" si="162"/>
        <v>0</v>
      </c>
      <c r="AI1644" s="2">
        <f t="shared" si="163"/>
        <v>0</v>
      </c>
      <c r="AJ1644" s="2">
        <f t="shared" si="164"/>
        <v>0</v>
      </c>
      <c r="AK1644" s="5">
        <f t="shared" si="165"/>
        <v>0</v>
      </c>
    </row>
    <row r="1645" spans="1:37" x14ac:dyDescent="0.2">
      <c r="A1645" s="2">
        <v>2025</v>
      </c>
      <c r="B1645" s="2">
        <v>8</v>
      </c>
      <c r="C1645" s="2" t="s">
        <v>1769</v>
      </c>
      <c r="O1645" s="2" t="s">
        <v>73</v>
      </c>
      <c r="P1645" s="2" t="s">
        <v>1031</v>
      </c>
      <c r="Q1645" s="2" t="s">
        <v>75</v>
      </c>
      <c r="R1645" s="2">
        <v>1</v>
      </c>
      <c r="S1645" s="2">
        <v>210</v>
      </c>
      <c r="T1645" s="2">
        <v>48.3</v>
      </c>
      <c r="U1645" s="2">
        <v>258.3</v>
      </c>
      <c r="W1645" s="5">
        <f t="shared" si="166"/>
        <v>1</v>
      </c>
      <c r="Y1645" s="2" t="s">
        <v>3256</v>
      </c>
      <c r="Z1645" s="2" t="s">
        <v>76</v>
      </c>
      <c r="AA1645" s="2" t="s">
        <v>77</v>
      </c>
      <c r="AB1645" s="2" t="s">
        <v>78</v>
      </c>
      <c r="AE1645" s="2">
        <f t="shared" si="162"/>
        <v>0</v>
      </c>
      <c r="AI1645" s="2">
        <f t="shared" si="163"/>
        <v>0</v>
      </c>
      <c r="AJ1645" s="2">
        <f t="shared" si="164"/>
        <v>210</v>
      </c>
      <c r="AK1645" s="5">
        <f t="shared" si="165"/>
        <v>1</v>
      </c>
    </row>
    <row r="1646" spans="1:37" x14ac:dyDescent="0.2">
      <c r="A1646" s="2">
        <v>2025</v>
      </c>
      <c r="B1646" s="2">
        <v>8</v>
      </c>
      <c r="C1646" s="2" t="s">
        <v>1769</v>
      </c>
      <c r="O1646" s="2" t="s">
        <v>94</v>
      </c>
      <c r="P1646" s="2" t="s">
        <v>95</v>
      </c>
      <c r="Q1646" s="2" t="s">
        <v>96</v>
      </c>
      <c r="R1646" s="2">
        <v>1</v>
      </c>
      <c r="S1646" s="2">
        <v>1.1399999999999999</v>
      </c>
      <c r="T1646" s="2">
        <v>0.26219999999999999</v>
      </c>
      <c r="U1646" s="2">
        <v>1.4021999999999999</v>
      </c>
      <c r="V1646" s="2">
        <v>1.1399999999999999</v>
      </c>
      <c r="W1646" s="5">
        <f t="shared" si="166"/>
        <v>0</v>
      </c>
      <c r="Y1646" s="2" t="s">
        <v>3256</v>
      </c>
      <c r="Z1646" s="2" t="s">
        <v>97</v>
      </c>
      <c r="AA1646" s="2" t="s">
        <v>77</v>
      </c>
      <c r="AB1646" s="2" t="s">
        <v>94</v>
      </c>
      <c r="AE1646" s="2">
        <f t="shared" si="162"/>
        <v>0</v>
      </c>
      <c r="AI1646" s="2">
        <f t="shared" si="163"/>
        <v>0</v>
      </c>
      <c r="AJ1646" s="2">
        <f t="shared" si="164"/>
        <v>0</v>
      </c>
      <c r="AK1646" s="5">
        <f t="shared" si="165"/>
        <v>0</v>
      </c>
    </row>
    <row r="1647" spans="1:37" x14ac:dyDescent="0.2">
      <c r="A1647" s="2">
        <v>2025</v>
      </c>
      <c r="B1647" s="2">
        <v>8</v>
      </c>
      <c r="C1647" s="2" t="s">
        <v>953</v>
      </c>
      <c r="D1647" s="2" t="s">
        <v>38</v>
      </c>
      <c r="E1647" s="2" t="s">
        <v>39</v>
      </c>
      <c r="F1647" s="2">
        <v>500318263</v>
      </c>
      <c r="G1647" s="2" t="s">
        <v>291</v>
      </c>
      <c r="H1647" s="2" t="s">
        <v>340</v>
      </c>
      <c r="I1647" s="2" t="s">
        <v>954</v>
      </c>
      <c r="K1647" s="2" t="s">
        <v>340</v>
      </c>
      <c r="L1647" s="2" t="s">
        <v>40</v>
      </c>
      <c r="N1647" s="2" t="s">
        <v>1770</v>
      </c>
      <c r="O1647" s="2" t="s">
        <v>188</v>
      </c>
      <c r="P1647" s="2" t="s">
        <v>189</v>
      </c>
      <c r="Q1647" s="2" t="s">
        <v>190</v>
      </c>
      <c r="R1647" s="2">
        <v>1</v>
      </c>
      <c r="S1647" s="2">
        <v>50</v>
      </c>
      <c r="T1647" s="2">
        <v>11.5</v>
      </c>
      <c r="U1647" s="2">
        <v>61.5</v>
      </c>
      <c r="W1647" s="5">
        <f t="shared" si="166"/>
        <v>1</v>
      </c>
      <c r="Y1647" s="2" t="s">
        <v>118</v>
      </c>
      <c r="Z1647" s="2" t="s">
        <v>191</v>
      </c>
      <c r="AE1647" s="2">
        <f t="shared" si="162"/>
        <v>0</v>
      </c>
      <c r="AI1647" s="2">
        <f t="shared" si="163"/>
        <v>0</v>
      </c>
      <c r="AJ1647" s="2">
        <f t="shared" si="164"/>
        <v>50</v>
      </c>
      <c r="AK1647" s="5">
        <f t="shared" si="165"/>
        <v>1</v>
      </c>
    </row>
    <row r="1648" spans="1:37" x14ac:dyDescent="0.2">
      <c r="A1648" s="2">
        <v>2025</v>
      </c>
      <c r="B1648" s="2">
        <v>8</v>
      </c>
      <c r="C1648" s="2" t="s">
        <v>953</v>
      </c>
      <c r="D1648" s="2" t="s">
        <v>38</v>
      </c>
      <c r="E1648" s="2" t="s">
        <v>39</v>
      </c>
      <c r="F1648" s="2">
        <v>500318263</v>
      </c>
      <c r="G1648" s="2" t="s">
        <v>291</v>
      </c>
      <c r="H1648" s="2" t="s">
        <v>340</v>
      </c>
      <c r="I1648" s="2" t="s">
        <v>954</v>
      </c>
      <c r="K1648" s="2" t="s">
        <v>340</v>
      </c>
      <c r="L1648" s="2" t="s">
        <v>40</v>
      </c>
      <c r="N1648" s="2" t="s">
        <v>1770</v>
      </c>
      <c r="O1648" s="2" t="s">
        <v>188</v>
      </c>
      <c r="P1648" s="2" t="s">
        <v>192</v>
      </c>
      <c r="Q1648" s="2" t="s">
        <v>191</v>
      </c>
      <c r="R1648" s="2">
        <v>0.5</v>
      </c>
      <c r="S1648" s="2">
        <v>25</v>
      </c>
      <c r="T1648" s="2">
        <v>5.75</v>
      </c>
      <c r="U1648" s="2">
        <v>30.75</v>
      </c>
      <c r="V1648" s="2">
        <f>S1648*50%</f>
        <v>12.5</v>
      </c>
      <c r="W1648" s="5">
        <f t="shared" si="166"/>
        <v>0.5</v>
      </c>
      <c r="Y1648" s="2" t="s">
        <v>118</v>
      </c>
      <c r="Z1648" s="2" t="s">
        <v>191</v>
      </c>
      <c r="AE1648" s="2">
        <f t="shared" si="162"/>
        <v>0</v>
      </c>
      <c r="AI1648" s="2">
        <f t="shared" si="163"/>
        <v>0</v>
      </c>
      <c r="AJ1648" s="2">
        <f t="shared" si="164"/>
        <v>12.5</v>
      </c>
      <c r="AK1648" s="5">
        <f t="shared" si="165"/>
        <v>0.5</v>
      </c>
    </row>
    <row r="1649" spans="1:37" x14ac:dyDescent="0.2">
      <c r="A1649" s="2">
        <v>2025</v>
      </c>
      <c r="B1649" s="2">
        <v>8</v>
      </c>
      <c r="C1649" s="2" t="s">
        <v>1171</v>
      </c>
      <c r="D1649" s="2" t="s">
        <v>758</v>
      </c>
      <c r="F1649" s="2">
        <v>508199280</v>
      </c>
      <c r="G1649" s="2" t="s">
        <v>40</v>
      </c>
      <c r="H1649" s="2" t="s">
        <v>1172</v>
      </c>
      <c r="K1649" s="2" t="s">
        <v>294</v>
      </c>
      <c r="O1649" s="2" t="s">
        <v>73</v>
      </c>
      <c r="P1649" s="2" t="s">
        <v>1460</v>
      </c>
      <c r="Q1649" s="2" t="s">
        <v>383</v>
      </c>
      <c r="R1649" s="2">
        <v>1</v>
      </c>
      <c r="S1649" s="2">
        <v>234.63</v>
      </c>
      <c r="T1649" s="2">
        <v>53.9649</v>
      </c>
      <c r="U1649" s="2">
        <v>288.5949</v>
      </c>
      <c r="W1649" s="5">
        <f t="shared" si="166"/>
        <v>1</v>
      </c>
      <c r="Y1649" s="2" t="s">
        <v>3256</v>
      </c>
      <c r="Z1649" s="2" t="s">
        <v>76</v>
      </c>
      <c r="AA1649" s="2" t="s">
        <v>77</v>
      </c>
      <c r="AB1649" s="2" t="s">
        <v>78</v>
      </c>
      <c r="AE1649" s="2">
        <f t="shared" si="162"/>
        <v>0</v>
      </c>
      <c r="AI1649" s="2">
        <f t="shared" si="163"/>
        <v>0</v>
      </c>
      <c r="AJ1649" s="2">
        <f t="shared" si="164"/>
        <v>234.63</v>
      </c>
      <c r="AK1649" s="5">
        <f t="shared" si="165"/>
        <v>1</v>
      </c>
    </row>
    <row r="1650" spans="1:37" x14ac:dyDescent="0.2">
      <c r="A1650" s="2">
        <v>2025</v>
      </c>
      <c r="B1650" s="2">
        <v>8</v>
      </c>
      <c r="C1650" s="2" t="s">
        <v>1171</v>
      </c>
      <c r="D1650" s="2" t="s">
        <v>758</v>
      </c>
      <c r="F1650" s="2">
        <v>508199280</v>
      </c>
      <c r="G1650" s="2" t="s">
        <v>40</v>
      </c>
      <c r="H1650" s="2" t="s">
        <v>1172</v>
      </c>
      <c r="K1650" s="2" t="s">
        <v>294</v>
      </c>
      <c r="O1650" s="2" t="s">
        <v>94</v>
      </c>
      <c r="P1650" s="2" t="s">
        <v>95</v>
      </c>
      <c r="Q1650" s="2" t="s">
        <v>96</v>
      </c>
      <c r="R1650" s="2">
        <v>1</v>
      </c>
      <c r="S1650" s="2">
        <v>1.1399999999999999</v>
      </c>
      <c r="T1650" s="2">
        <v>0.26219999999999999</v>
      </c>
      <c r="U1650" s="2">
        <v>1.4021999999999999</v>
      </c>
      <c r="V1650" s="2">
        <v>1.1399999999999999</v>
      </c>
      <c r="W1650" s="5">
        <f t="shared" si="166"/>
        <v>0</v>
      </c>
      <c r="Y1650" s="2" t="s">
        <v>3256</v>
      </c>
      <c r="Z1650" s="2" t="s">
        <v>97</v>
      </c>
      <c r="AA1650" s="2" t="s">
        <v>77</v>
      </c>
      <c r="AB1650" s="2" t="s">
        <v>94</v>
      </c>
      <c r="AE1650" s="2">
        <f t="shared" si="162"/>
        <v>0</v>
      </c>
      <c r="AI1650" s="2">
        <f t="shared" si="163"/>
        <v>0</v>
      </c>
      <c r="AJ1650" s="2">
        <f t="shared" si="164"/>
        <v>0</v>
      </c>
      <c r="AK1650" s="5">
        <f t="shared" si="165"/>
        <v>0</v>
      </c>
    </row>
    <row r="1651" spans="1:37" x14ac:dyDescent="0.2">
      <c r="A1651" s="2">
        <v>2025</v>
      </c>
      <c r="B1651" s="2">
        <v>8</v>
      </c>
      <c r="C1651" s="2" t="s">
        <v>695</v>
      </c>
      <c r="D1651" s="2" t="s">
        <v>109</v>
      </c>
      <c r="E1651" s="2" t="s">
        <v>39</v>
      </c>
      <c r="F1651" s="2">
        <v>503589950</v>
      </c>
      <c r="G1651" s="2" t="s">
        <v>41</v>
      </c>
      <c r="H1651" s="2" t="s">
        <v>615</v>
      </c>
      <c r="I1651" s="2" t="s">
        <v>696</v>
      </c>
      <c r="J1651" s="2">
        <v>913036545</v>
      </c>
      <c r="K1651" s="2" t="s">
        <v>178</v>
      </c>
      <c r="L1651" s="2" t="s">
        <v>41</v>
      </c>
      <c r="N1651" s="2" t="s">
        <v>1771</v>
      </c>
      <c r="O1651" s="2" t="s">
        <v>43</v>
      </c>
      <c r="P1651" s="2" t="s">
        <v>55</v>
      </c>
      <c r="Q1651" s="2" t="s">
        <v>56</v>
      </c>
      <c r="R1651" s="2">
        <v>10</v>
      </c>
      <c r="S1651" s="2">
        <v>140</v>
      </c>
      <c r="T1651" s="2">
        <v>32.200000000000003</v>
      </c>
      <c r="U1651" s="2">
        <v>172.2</v>
      </c>
      <c r="V1651" s="2">
        <f>10.6*R1651</f>
        <v>106</v>
      </c>
      <c r="W1651" s="5">
        <f t="shared" si="166"/>
        <v>0.24285714285714285</v>
      </c>
      <c r="Y1651" s="2" t="s">
        <v>3256</v>
      </c>
      <c r="Z1651" s="2" t="s">
        <v>46</v>
      </c>
      <c r="AA1651" s="2" t="s">
        <v>57</v>
      </c>
      <c r="AB1651" s="2" t="s">
        <v>58</v>
      </c>
      <c r="AE1651" s="2">
        <f t="shared" si="162"/>
        <v>0</v>
      </c>
      <c r="AF1651" s="2">
        <v>10.6</v>
      </c>
      <c r="AG1651" s="2">
        <v>18</v>
      </c>
      <c r="AI1651" s="2">
        <f t="shared" si="163"/>
        <v>0</v>
      </c>
      <c r="AJ1651" s="2">
        <f t="shared" si="164"/>
        <v>34</v>
      </c>
      <c r="AK1651" s="5">
        <f t="shared" si="165"/>
        <v>0.24285714285714285</v>
      </c>
    </row>
    <row r="1652" spans="1:37" x14ac:dyDescent="0.2">
      <c r="A1652" s="2">
        <v>2025</v>
      </c>
      <c r="B1652" s="2">
        <v>8</v>
      </c>
      <c r="C1652" s="2" t="s">
        <v>695</v>
      </c>
      <c r="D1652" s="2" t="s">
        <v>109</v>
      </c>
      <c r="E1652" s="2" t="s">
        <v>39</v>
      </c>
      <c r="F1652" s="2">
        <v>503589950</v>
      </c>
      <c r="G1652" s="2" t="s">
        <v>41</v>
      </c>
      <c r="H1652" s="2" t="s">
        <v>615</v>
      </c>
      <c r="I1652" s="2" t="s">
        <v>696</v>
      </c>
      <c r="J1652" s="2">
        <v>913036545</v>
      </c>
      <c r="K1652" s="2" t="s">
        <v>178</v>
      </c>
      <c r="L1652" s="2" t="s">
        <v>41</v>
      </c>
      <c r="N1652" s="2" t="s">
        <v>1772</v>
      </c>
      <c r="O1652" s="2" t="s">
        <v>43</v>
      </c>
      <c r="P1652" s="2" t="s">
        <v>64</v>
      </c>
      <c r="Q1652" s="2" t="s">
        <v>65</v>
      </c>
      <c r="R1652" s="2">
        <v>20</v>
      </c>
      <c r="S1652" s="2">
        <v>36</v>
      </c>
      <c r="T1652" s="2">
        <v>8.2800000000000011</v>
      </c>
      <c r="U1652" s="2">
        <v>44.28</v>
      </c>
      <c r="V1652" s="2">
        <f>0.8561*R1652</f>
        <v>17.122</v>
      </c>
      <c r="W1652" s="5">
        <f t="shared" si="166"/>
        <v>0.5243888888888889</v>
      </c>
      <c r="Y1652" s="2" t="s">
        <v>3256</v>
      </c>
      <c r="Z1652" s="2" t="s">
        <v>46</v>
      </c>
      <c r="AA1652" s="2" t="s">
        <v>61</v>
      </c>
      <c r="AB1652" s="2" t="s">
        <v>58</v>
      </c>
      <c r="AE1652" s="2">
        <f t="shared" si="162"/>
        <v>0</v>
      </c>
      <c r="AF1652" s="2">
        <v>0.85609999999999997</v>
      </c>
      <c r="AG1652" s="2">
        <v>1.8</v>
      </c>
      <c r="AI1652" s="2">
        <f t="shared" si="163"/>
        <v>0</v>
      </c>
      <c r="AJ1652" s="2">
        <f t="shared" si="164"/>
        <v>18.878</v>
      </c>
      <c r="AK1652" s="5">
        <f t="shared" si="165"/>
        <v>0.5243888888888889</v>
      </c>
    </row>
    <row r="1653" spans="1:37" x14ac:dyDescent="0.2">
      <c r="A1653" s="2">
        <v>2025</v>
      </c>
      <c r="B1653" s="2">
        <v>8</v>
      </c>
      <c r="C1653" s="2" t="s">
        <v>193</v>
      </c>
      <c r="D1653" s="2" t="s">
        <v>109</v>
      </c>
      <c r="E1653" s="2" t="s">
        <v>194</v>
      </c>
      <c r="F1653" s="2">
        <v>502044411</v>
      </c>
      <c r="G1653" s="2" t="s">
        <v>40</v>
      </c>
      <c r="H1653" s="2" t="s">
        <v>157</v>
      </c>
      <c r="I1653" s="2" t="s">
        <v>195</v>
      </c>
      <c r="K1653" s="2" t="s">
        <v>100</v>
      </c>
      <c r="L1653" s="2" t="s">
        <v>40</v>
      </c>
      <c r="N1653" s="2" t="s">
        <v>1773</v>
      </c>
      <c r="O1653" s="2" t="s">
        <v>115</v>
      </c>
      <c r="P1653" s="2" t="s">
        <v>814</v>
      </c>
      <c r="Q1653" s="2" t="s">
        <v>815</v>
      </c>
      <c r="R1653" s="2">
        <v>1</v>
      </c>
      <c r="S1653" s="2">
        <v>83.79</v>
      </c>
      <c r="T1653" s="2">
        <v>19.271699999999999</v>
      </c>
      <c r="U1653" s="2">
        <v>103.0617</v>
      </c>
      <c r="V1653" s="2">
        <v>40.357500000000002</v>
      </c>
      <c r="W1653" s="5">
        <f t="shared" si="166"/>
        <v>0.51834944504117442</v>
      </c>
      <c r="Y1653" s="2" t="s">
        <v>118</v>
      </c>
      <c r="Z1653" s="2" t="s">
        <v>119</v>
      </c>
      <c r="AA1653" s="2" t="s">
        <v>120</v>
      </c>
      <c r="AB1653" s="2" t="s">
        <v>115</v>
      </c>
      <c r="AE1653" s="2">
        <f t="shared" si="162"/>
        <v>0</v>
      </c>
      <c r="AF1653" s="2">
        <v>40.357500000000002</v>
      </c>
      <c r="AI1653" s="2">
        <f t="shared" si="163"/>
        <v>0</v>
      </c>
      <c r="AJ1653" s="2">
        <f t="shared" si="164"/>
        <v>43.432500000000005</v>
      </c>
      <c r="AK1653" s="5">
        <f t="shared" si="165"/>
        <v>0.51834944504117442</v>
      </c>
    </row>
    <row r="1654" spans="1:37" x14ac:dyDescent="0.2">
      <c r="A1654" s="2">
        <v>2025</v>
      </c>
      <c r="B1654" s="2">
        <v>8</v>
      </c>
      <c r="C1654" s="2" t="s">
        <v>193</v>
      </c>
      <c r="D1654" s="2" t="s">
        <v>109</v>
      </c>
      <c r="E1654" s="2" t="s">
        <v>194</v>
      </c>
      <c r="F1654" s="2">
        <v>502044411</v>
      </c>
      <c r="G1654" s="2" t="s">
        <v>40</v>
      </c>
      <c r="H1654" s="2" t="s">
        <v>157</v>
      </c>
      <c r="I1654" s="2" t="s">
        <v>195</v>
      </c>
      <c r="K1654" s="2" t="s">
        <v>100</v>
      </c>
      <c r="L1654" s="2" t="s">
        <v>40</v>
      </c>
      <c r="N1654" s="2" t="s">
        <v>1773</v>
      </c>
      <c r="O1654" s="2" t="s">
        <v>188</v>
      </c>
      <c r="P1654" s="2" t="s">
        <v>189</v>
      </c>
      <c r="Q1654" s="2" t="s">
        <v>190</v>
      </c>
      <c r="R1654" s="2">
        <v>1</v>
      </c>
      <c r="S1654" s="2">
        <v>0</v>
      </c>
      <c r="T1654" s="2">
        <v>0</v>
      </c>
      <c r="U1654" s="2">
        <v>0</v>
      </c>
      <c r="W1654" s="5">
        <v>0</v>
      </c>
      <c r="Y1654" s="2" t="s">
        <v>118</v>
      </c>
      <c r="Z1654" s="2" t="s">
        <v>191</v>
      </c>
      <c r="AE1654" s="2">
        <f t="shared" si="162"/>
        <v>0</v>
      </c>
      <c r="AI1654" s="2">
        <f t="shared" si="163"/>
        <v>0</v>
      </c>
      <c r="AJ1654" s="2">
        <f t="shared" si="164"/>
        <v>0</v>
      </c>
      <c r="AK1654" s="5" t="e">
        <f t="shared" si="165"/>
        <v>#DIV/0!</v>
      </c>
    </row>
    <row r="1655" spans="1:37" x14ac:dyDescent="0.2">
      <c r="A1655" s="2">
        <v>2025</v>
      </c>
      <c r="B1655" s="2">
        <v>8</v>
      </c>
      <c r="C1655" s="2" t="s">
        <v>193</v>
      </c>
      <c r="D1655" s="2" t="s">
        <v>109</v>
      </c>
      <c r="E1655" s="2" t="s">
        <v>194</v>
      </c>
      <c r="F1655" s="2">
        <v>502044411</v>
      </c>
      <c r="G1655" s="2" t="s">
        <v>40</v>
      </c>
      <c r="H1655" s="2" t="s">
        <v>157</v>
      </c>
      <c r="I1655" s="2" t="s">
        <v>195</v>
      </c>
      <c r="K1655" s="2" t="s">
        <v>100</v>
      </c>
      <c r="L1655" s="2" t="s">
        <v>40</v>
      </c>
      <c r="N1655" s="2" t="s">
        <v>1773</v>
      </c>
      <c r="O1655" s="2" t="s">
        <v>188</v>
      </c>
      <c r="P1655" s="2" t="s">
        <v>192</v>
      </c>
      <c r="Q1655" s="2" t="s">
        <v>191</v>
      </c>
      <c r="R1655" s="2">
        <v>0.75</v>
      </c>
      <c r="S1655" s="2">
        <v>37.5</v>
      </c>
      <c r="T1655" s="2">
        <v>8.625</v>
      </c>
      <c r="U1655" s="2">
        <v>46.125</v>
      </c>
      <c r="V1655" s="2">
        <f>S1655*50%</f>
        <v>18.75</v>
      </c>
      <c r="W1655" s="5">
        <f t="shared" ref="W1655:W1686" si="167">(S1655-V1655)/S1655</f>
        <v>0.5</v>
      </c>
      <c r="Y1655" s="2" t="s">
        <v>118</v>
      </c>
      <c r="Z1655" s="2" t="s">
        <v>191</v>
      </c>
      <c r="AE1655" s="2">
        <f t="shared" si="162"/>
        <v>0</v>
      </c>
      <c r="AI1655" s="2">
        <f t="shared" si="163"/>
        <v>0</v>
      </c>
      <c r="AJ1655" s="2">
        <f t="shared" si="164"/>
        <v>18.75</v>
      </c>
      <c r="AK1655" s="5">
        <f t="shared" si="165"/>
        <v>0.5</v>
      </c>
    </row>
    <row r="1656" spans="1:37" x14ac:dyDescent="0.2">
      <c r="A1656" s="2">
        <v>2025</v>
      </c>
      <c r="B1656" s="2">
        <v>8</v>
      </c>
      <c r="C1656" s="2" t="s">
        <v>309</v>
      </c>
      <c r="D1656" s="2" t="s">
        <v>109</v>
      </c>
      <c r="E1656" s="2" t="s">
        <v>39</v>
      </c>
      <c r="F1656" s="2">
        <v>503724300</v>
      </c>
      <c r="G1656" s="2" t="s">
        <v>110</v>
      </c>
      <c r="H1656" s="2" t="s">
        <v>3138</v>
      </c>
      <c r="I1656" s="2" t="s">
        <v>3139</v>
      </c>
      <c r="K1656" s="2" t="s">
        <v>113</v>
      </c>
      <c r="L1656" s="2" t="s">
        <v>40</v>
      </c>
      <c r="N1656" s="2" t="s">
        <v>3141</v>
      </c>
      <c r="O1656" s="2" t="s">
        <v>115</v>
      </c>
      <c r="P1656" s="2" t="s">
        <v>886</v>
      </c>
      <c r="Q1656" s="2" t="s">
        <v>887</v>
      </c>
      <c r="R1656" s="2">
        <v>1</v>
      </c>
      <c r="S1656" s="2">
        <v>4500</v>
      </c>
      <c r="T1656" s="2">
        <v>1035</v>
      </c>
      <c r="U1656" s="2">
        <v>5535</v>
      </c>
      <c r="V1656" s="2">
        <v>3279.19</v>
      </c>
      <c r="W1656" s="5">
        <f t="shared" si="167"/>
        <v>0.27129111111111109</v>
      </c>
      <c r="Y1656" s="2" t="s">
        <v>105</v>
      </c>
      <c r="Z1656" s="2" t="s">
        <v>621</v>
      </c>
      <c r="AA1656" s="2" t="s">
        <v>2530</v>
      </c>
      <c r="AB1656" s="2" t="s">
        <v>115</v>
      </c>
      <c r="AE1656" s="2">
        <f t="shared" si="162"/>
        <v>0</v>
      </c>
      <c r="AF1656" s="2">
        <f>3130.82+148.37</f>
        <v>3279.19</v>
      </c>
      <c r="AI1656" s="2">
        <f t="shared" si="163"/>
        <v>0</v>
      </c>
      <c r="AJ1656" s="2">
        <f t="shared" si="164"/>
        <v>1220.81</v>
      </c>
      <c r="AK1656" s="5">
        <f t="shared" si="165"/>
        <v>0.27129111111111109</v>
      </c>
    </row>
    <row r="1657" spans="1:37" x14ac:dyDescent="0.2">
      <c r="A1657" s="2">
        <v>2025</v>
      </c>
      <c r="B1657" s="2">
        <v>8</v>
      </c>
      <c r="C1657" s="2" t="s">
        <v>1187</v>
      </c>
      <c r="D1657" s="2" t="s">
        <v>38</v>
      </c>
      <c r="E1657" s="2" t="s">
        <v>39</v>
      </c>
      <c r="F1657" s="2">
        <v>502089075</v>
      </c>
      <c r="G1657" s="2" t="s">
        <v>41</v>
      </c>
      <c r="H1657" s="2" t="s">
        <v>1188</v>
      </c>
      <c r="I1657" s="2" t="s">
        <v>1189</v>
      </c>
      <c r="K1657" s="2" t="s">
        <v>465</v>
      </c>
      <c r="L1657" s="2" t="s">
        <v>41</v>
      </c>
      <c r="N1657" s="2" t="s">
        <v>1774</v>
      </c>
      <c r="O1657" s="2" t="s">
        <v>43</v>
      </c>
      <c r="P1657" s="2" t="s">
        <v>55</v>
      </c>
      <c r="Q1657" s="2" t="s">
        <v>56</v>
      </c>
      <c r="R1657" s="2">
        <v>3</v>
      </c>
      <c r="S1657" s="2">
        <v>68.400000000000006</v>
      </c>
      <c r="T1657" s="2">
        <v>15.731999999999999</v>
      </c>
      <c r="U1657" s="2">
        <v>84.132000000000005</v>
      </c>
      <c r="V1657" s="2">
        <f>10.6*R1657</f>
        <v>31.799999999999997</v>
      </c>
      <c r="W1657" s="5">
        <f t="shared" si="167"/>
        <v>0.53508771929824572</v>
      </c>
      <c r="Y1657" s="2" t="s">
        <v>3256</v>
      </c>
      <c r="Z1657" s="2" t="s">
        <v>46</v>
      </c>
      <c r="AA1657" s="2" t="s">
        <v>57</v>
      </c>
      <c r="AB1657" s="2" t="s">
        <v>58</v>
      </c>
      <c r="AE1657" s="2">
        <f t="shared" si="162"/>
        <v>0</v>
      </c>
      <c r="AF1657" s="2">
        <v>10.6</v>
      </c>
      <c r="AG1657" s="2">
        <v>18</v>
      </c>
      <c r="AI1657" s="2">
        <f t="shared" si="163"/>
        <v>0</v>
      </c>
      <c r="AJ1657" s="2">
        <f t="shared" si="164"/>
        <v>36.600000000000009</v>
      </c>
      <c r="AK1657" s="5">
        <f t="shared" si="165"/>
        <v>0.53508771929824572</v>
      </c>
    </row>
    <row r="1658" spans="1:37" x14ac:dyDescent="0.2">
      <c r="A1658" s="2">
        <v>2025</v>
      </c>
      <c r="B1658" s="2">
        <v>8</v>
      </c>
      <c r="C1658" s="2" t="s">
        <v>1187</v>
      </c>
      <c r="D1658" s="2" t="s">
        <v>38</v>
      </c>
      <c r="E1658" s="2" t="s">
        <v>39</v>
      </c>
      <c r="F1658" s="2">
        <v>502089075</v>
      </c>
      <c r="G1658" s="2" t="s">
        <v>41</v>
      </c>
      <c r="H1658" s="2" t="s">
        <v>1188</v>
      </c>
      <c r="I1658" s="2" t="s">
        <v>1189</v>
      </c>
      <c r="K1658" s="2" t="s">
        <v>465</v>
      </c>
      <c r="L1658" s="2" t="s">
        <v>41</v>
      </c>
      <c r="N1658" s="2" t="s">
        <v>1775</v>
      </c>
      <c r="O1658" s="2" t="s">
        <v>43</v>
      </c>
      <c r="P1658" s="2" t="s">
        <v>62</v>
      </c>
      <c r="Q1658" s="2" t="s">
        <v>63</v>
      </c>
      <c r="R1658" s="2">
        <v>100</v>
      </c>
      <c r="S1658" s="2">
        <v>13</v>
      </c>
      <c r="T1658" s="2">
        <v>2.99</v>
      </c>
      <c r="U1658" s="2">
        <v>15.99</v>
      </c>
      <c r="V1658" s="2">
        <f>0.082*R1658</f>
        <v>8.2000000000000011</v>
      </c>
      <c r="W1658" s="5">
        <f t="shared" si="167"/>
        <v>0.36923076923076914</v>
      </c>
      <c r="Y1658" s="2" t="s">
        <v>3256</v>
      </c>
      <c r="Z1658" s="2" t="s">
        <v>46</v>
      </c>
      <c r="AA1658" s="2" t="s">
        <v>61</v>
      </c>
      <c r="AB1658" s="2" t="s">
        <v>58</v>
      </c>
      <c r="AE1658" s="2">
        <f t="shared" si="162"/>
        <v>0</v>
      </c>
      <c r="AF1658" s="2">
        <v>8.1999999999999993</v>
      </c>
      <c r="AG1658" s="2">
        <v>13</v>
      </c>
      <c r="AI1658" s="2">
        <f t="shared" si="163"/>
        <v>0</v>
      </c>
      <c r="AJ1658" s="2">
        <f t="shared" si="164"/>
        <v>4.7999999999999989</v>
      </c>
      <c r="AK1658" s="5">
        <f t="shared" si="165"/>
        <v>0.36923076923076914</v>
      </c>
    </row>
    <row r="1659" spans="1:37" x14ac:dyDescent="0.2">
      <c r="A1659" s="2">
        <v>2025</v>
      </c>
      <c r="B1659" s="2">
        <v>8</v>
      </c>
      <c r="C1659" s="2" t="s">
        <v>1187</v>
      </c>
      <c r="D1659" s="2" t="s">
        <v>38</v>
      </c>
      <c r="E1659" s="2" t="s">
        <v>39</v>
      </c>
      <c r="F1659" s="2">
        <v>502089075</v>
      </c>
      <c r="G1659" s="2" t="s">
        <v>41</v>
      </c>
      <c r="H1659" s="2" t="s">
        <v>1188</v>
      </c>
      <c r="I1659" s="2" t="s">
        <v>1189</v>
      </c>
      <c r="K1659" s="2" t="s">
        <v>465</v>
      </c>
      <c r="L1659" s="2" t="s">
        <v>41</v>
      </c>
      <c r="N1659" s="2" t="s">
        <v>1775</v>
      </c>
      <c r="O1659" s="2" t="s">
        <v>43</v>
      </c>
      <c r="P1659" s="2" t="s">
        <v>255</v>
      </c>
      <c r="Q1659" s="2" t="s">
        <v>256</v>
      </c>
      <c r="R1659" s="2">
        <v>100</v>
      </c>
      <c r="S1659" s="2">
        <v>14</v>
      </c>
      <c r="T1659" s="2">
        <v>3.22</v>
      </c>
      <c r="U1659" s="2">
        <v>17.22</v>
      </c>
      <c r="W1659" s="5">
        <f t="shared" si="167"/>
        <v>1</v>
      </c>
      <c r="Y1659" s="2" t="s">
        <v>3256</v>
      </c>
      <c r="Z1659" s="2" t="s">
        <v>46</v>
      </c>
      <c r="AA1659" s="2" t="s">
        <v>61</v>
      </c>
      <c r="AB1659" s="2" t="s">
        <v>58</v>
      </c>
      <c r="AE1659" s="2">
        <f t="shared" si="162"/>
        <v>0</v>
      </c>
      <c r="AI1659" s="2">
        <f t="shared" si="163"/>
        <v>0</v>
      </c>
      <c r="AJ1659" s="2">
        <f t="shared" si="164"/>
        <v>14</v>
      </c>
      <c r="AK1659" s="5">
        <f t="shared" si="165"/>
        <v>1</v>
      </c>
    </row>
    <row r="1660" spans="1:37" x14ac:dyDescent="0.2">
      <c r="A1660" s="2">
        <v>2025</v>
      </c>
      <c r="B1660" s="2">
        <v>8</v>
      </c>
      <c r="C1660" s="2" t="s">
        <v>1187</v>
      </c>
      <c r="D1660" s="2" t="s">
        <v>38</v>
      </c>
      <c r="F1660" s="2">
        <v>502089075</v>
      </c>
      <c r="G1660" s="2" t="s">
        <v>41</v>
      </c>
      <c r="H1660" s="2" t="s">
        <v>1188</v>
      </c>
      <c r="I1660" s="2" t="s">
        <v>1189</v>
      </c>
      <c r="K1660" s="2" t="s">
        <v>465</v>
      </c>
      <c r="L1660" s="2" t="s">
        <v>41</v>
      </c>
      <c r="N1660" s="2" t="s">
        <v>1774</v>
      </c>
      <c r="O1660" s="2" t="s">
        <v>170</v>
      </c>
      <c r="P1660" s="2" t="s">
        <v>171</v>
      </c>
      <c r="Q1660" s="2" t="s">
        <v>171</v>
      </c>
      <c r="R1660" s="2">
        <v>1</v>
      </c>
      <c r="S1660" s="2">
        <v>8</v>
      </c>
      <c r="T1660" s="2">
        <v>1.84</v>
      </c>
      <c r="U1660" s="2">
        <v>9.84</v>
      </c>
      <c r="W1660" s="5">
        <f t="shared" si="167"/>
        <v>1</v>
      </c>
      <c r="Y1660" s="2" t="s">
        <v>170</v>
      </c>
      <c r="Z1660" s="2" t="s">
        <v>170</v>
      </c>
      <c r="AE1660" s="2">
        <f t="shared" si="162"/>
        <v>0</v>
      </c>
      <c r="AI1660" s="2">
        <f t="shared" si="163"/>
        <v>0</v>
      </c>
      <c r="AJ1660" s="2">
        <f t="shared" si="164"/>
        <v>8</v>
      </c>
      <c r="AK1660" s="5">
        <f t="shared" si="165"/>
        <v>1</v>
      </c>
    </row>
    <row r="1661" spans="1:37" x14ac:dyDescent="0.2">
      <c r="A1661" s="2">
        <v>2025</v>
      </c>
      <c r="B1661" s="2">
        <v>8</v>
      </c>
      <c r="C1661" s="2" t="s">
        <v>320</v>
      </c>
      <c r="D1661" s="2" t="s">
        <v>38</v>
      </c>
      <c r="E1661" s="2" t="s">
        <v>39</v>
      </c>
      <c r="F1661" s="2">
        <v>500883262</v>
      </c>
      <c r="G1661" s="2" t="s">
        <v>40</v>
      </c>
      <c r="H1661" s="2" t="s">
        <v>100</v>
      </c>
      <c r="I1661" s="2" t="s">
        <v>321</v>
      </c>
      <c r="K1661" s="2" t="s">
        <v>100</v>
      </c>
      <c r="L1661" s="2" t="s">
        <v>81</v>
      </c>
      <c r="N1661" s="2" t="s">
        <v>1776</v>
      </c>
      <c r="O1661" s="2" t="s">
        <v>73</v>
      </c>
      <c r="P1661" s="2" t="s">
        <v>1777</v>
      </c>
      <c r="Q1661" s="2" t="s">
        <v>970</v>
      </c>
      <c r="R1661" s="2">
        <v>1</v>
      </c>
      <c r="S1661" s="2">
        <v>400</v>
      </c>
      <c r="T1661" s="2">
        <v>92</v>
      </c>
      <c r="U1661" s="2">
        <v>492</v>
      </c>
      <c r="W1661" s="5">
        <f t="shared" si="167"/>
        <v>1</v>
      </c>
      <c r="Y1661" s="2" t="s">
        <v>3256</v>
      </c>
      <c r="Z1661" s="2" t="s">
        <v>76</v>
      </c>
      <c r="AA1661" s="2" t="s">
        <v>77</v>
      </c>
      <c r="AB1661" s="2" t="s">
        <v>78</v>
      </c>
      <c r="AE1661" s="2">
        <f t="shared" si="162"/>
        <v>0</v>
      </c>
      <c r="AI1661" s="2">
        <f t="shared" si="163"/>
        <v>0</v>
      </c>
      <c r="AJ1661" s="2">
        <f t="shared" si="164"/>
        <v>400</v>
      </c>
      <c r="AK1661" s="5">
        <f t="shared" si="165"/>
        <v>1</v>
      </c>
    </row>
    <row r="1662" spans="1:37" x14ac:dyDescent="0.2">
      <c r="A1662" s="2">
        <v>2025</v>
      </c>
      <c r="B1662" s="2">
        <v>8</v>
      </c>
      <c r="C1662" s="2" t="s">
        <v>320</v>
      </c>
      <c r="D1662" s="2" t="s">
        <v>38</v>
      </c>
      <c r="E1662" s="2" t="s">
        <v>39</v>
      </c>
      <c r="F1662" s="2">
        <v>500883262</v>
      </c>
      <c r="G1662" s="2" t="s">
        <v>40</v>
      </c>
      <c r="H1662" s="2" t="s">
        <v>100</v>
      </c>
      <c r="I1662" s="2" t="s">
        <v>321</v>
      </c>
      <c r="K1662" s="2" t="s">
        <v>100</v>
      </c>
      <c r="L1662" s="2" t="s">
        <v>81</v>
      </c>
      <c r="N1662" s="2" t="s">
        <v>1776</v>
      </c>
      <c r="O1662" s="2" t="s">
        <v>170</v>
      </c>
      <c r="P1662" s="2" t="s">
        <v>171</v>
      </c>
      <c r="Q1662" s="2" t="s">
        <v>171</v>
      </c>
      <c r="R1662" s="2">
        <v>1</v>
      </c>
      <c r="S1662" s="2">
        <v>40</v>
      </c>
      <c r="T1662" s="2">
        <v>9.2000000000000011</v>
      </c>
      <c r="U1662" s="2">
        <v>49.2</v>
      </c>
      <c r="W1662" s="5">
        <f t="shared" si="167"/>
        <v>1</v>
      </c>
      <c r="Y1662" s="2" t="s">
        <v>170</v>
      </c>
      <c r="Z1662" s="2" t="s">
        <v>170</v>
      </c>
      <c r="AE1662" s="2">
        <f t="shared" si="162"/>
        <v>0</v>
      </c>
      <c r="AI1662" s="2">
        <f t="shared" si="163"/>
        <v>0</v>
      </c>
      <c r="AJ1662" s="2">
        <f t="shared" si="164"/>
        <v>40</v>
      </c>
      <c r="AK1662" s="5">
        <f t="shared" si="165"/>
        <v>1</v>
      </c>
    </row>
    <row r="1663" spans="1:37" x14ac:dyDescent="0.2">
      <c r="A1663" s="2">
        <v>2025</v>
      </c>
      <c r="B1663" s="2">
        <v>8</v>
      </c>
      <c r="C1663" s="2" t="s">
        <v>320</v>
      </c>
      <c r="D1663" s="2" t="s">
        <v>38</v>
      </c>
      <c r="E1663" s="2" t="s">
        <v>39</v>
      </c>
      <c r="F1663" s="2">
        <v>500883262</v>
      </c>
      <c r="G1663" s="2" t="s">
        <v>40</v>
      </c>
      <c r="H1663" s="2" t="s">
        <v>100</v>
      </c>
      <c r="I1663" s="2" t="s">
        <v>321</v>
      </c>
      <c r="K1663" s="2" t="s">
        <v>100</v>
      </c>
      <c r="L1663" s="2" t="s">
        <v>81</v>
      </c>
      <c r="N1663" s="2" t="s">
        <v>1776</v>
      </c>
      <c r="O1663" s="2" t="s">
        <v>94</v>
      </c>
      <c r="P1663" s="2" t="s">
        <v>95</v>
      </c>
      <c r="Q1663" s="2" t="s">
        <v>96</v>
      </c>
      <c r="R1663" s="2">
        <v>1</v>
      </c>
      <c r="S1663" s="2">
        <v>1.1399999999999999</v>
      </c>
      <c r="T1663" s="2">
        <v>0.26219999999999999</v>
      </c>
      <c r="U1663" s="2">
        <v>1.4021999999999999</v>
      </c>
      <c r="V1663" s="2">
        <v>1.1399999999999999</v>
      </c>
      <c r="W1663" s="5">
        <f t="shared" si="167"/>
        <v>0</v>
      </c>
      <c r="Y1663" s="2" t="s">
        <v>3256</v>
      </c>
      <c r="Z1663" s="2" t="s">
        <v>97</v>
      </c>
      <c r="AA1663" s="2" t="s">
        <v>77</v>
      </c>
      <c r="AB1663" s="2" t="s">
        <v>94</v>
      </c>
      <c r="AE1663" s="2">
        <f t="shared" si="162"/>
        <v>0</v>
      </c>
      <c r="AI1663" s="2">
        <f t="shared" si="163"/>
        <v>0</v>
      </c>
      <c r="AJ1663" s="2">
        <f t="shared" si="164"/>
        <v>0</v>
      </c>
      <c r="AK1663" s="5">
        <f t="shared" si="165"/>
        <v>0</v>
      </c>
    </row>
    <row r="1664" spans="1:37" x14ac:dyDescent="0.2">
      <c r="A1664" s="2">
        <v>2025</v>
      </c>
      <c r="B1664" s="2">
        <v>8</v>
      </c>
      <c r="C1664" s="2" t="s">
        <v>1778</v>
      </c>
      <c r="O1664" s="2" t="s">
        <v>115</v>
      </c>
      <c r="P1664" s="2" t="s">
        <v>1779</v>
      </c>
      <c r="Q1664" s="2" t="s">
        <v>1780</v>
      </c>
      <c r="R1664" s="2">
        <v>1</v>
      </c>
      <c r="S1664" s="2">
        <v>5750</v>
      </c>
      <c r="T1664" s="2">
        <v>1322.5</v>
      </c>
      <c r="U1664" s="2">
        <v>7072.5</v>
      </c>
      <c r="W1664" s="5">
        <f t="shared" si="167"/>
        <v>1</v>
      </c>
      <c r="AE1664" s="2">
        <f t="shared" si="162"/>
        <v>0</v>
      </c>
      <c r="AI1664" s="2">
        <f t="shared" si="163"/>
        <v>0</v>
      </c>
      <c r="AJ1664" s="2">
        <f t="shared" si="164"/>
        <v>5750</v>
      </c>
      <c r="AK1664" s="5">
        <f t="shared" si="165"/>
        <v>1</v>
      </c>
    </row>
    <row r="1665" spans="1:37" x14ac:dyDescent="0.2">
      <c r="A1665" s="2">
        <v>2025</v>
      </c>
      <c r="B1665" s="2">
        <v>8</v>
      </c>
      <c r="C1665" s="2" t="s">
        <v>1778</v>
      </c>
      <c r="O1665" s="2" t="s">
        <v>115</v>
      </c>
      <c r="P1665" s="2" t="s">
        <v>1781</v>
      </c>
      <c r="Q1665" s="2" t="s">
        <v>1782</v>
      </c>
      <c r="R1665" s="2">
        <v>1</v>
      </c>
      <c r="S1665" s="2">
        <v>6095</v>
      </c>
      <c r="T1665" s="2">
        <v>1401.85</v>
      </c>
      <c r="U1665" s="2">
        <v>7496.85</v>
      </c>
      <c r="W1665" s="5">
        <f t="shared" si="167"/>
        <v>1</v>
      </c>
      <c r="AE1665" s="2">
        <f t="shared" si="162"/>
        <v>0</v>
      </c>
      <c r="AI1665" s="2">
        <f t="shared" si="163"/>
        <v>0</v>
      </c>
      <c r="AJ1665" s="2">
        <f t="shared" si="164"/>
        <v>6095</v>
      </c>
      <c r="AK1665" s="5">
        <f t="shared" si="165"/>
        <v>1</v>
      </c>
    </row>
    <row r="1666" spans="1:37" x14ac:dyDescent="0.2">
      <c r="A1666" s="2">
        <v>2025</v>
      </c>
      <c r="B1666" s="2">
        <v>8</v>
      </c>
      <c r="C1666" s="2" t="s">
        <v>1783</v>
      </c>
      <c r="L1666" s="2" t="s">
        <v>40</v>
      </c>
      <c r="O1666" s="2" t="s">
        <v>188</v>
      </c>
      <c r="P1666" s="2" t="s">
        <v>189</v>
      </c>
      <c r="Q1666" s="2" t="s">
        <v>190</v>
      </c>
      <c r="R1666" s="2">
        <v>1</v>
      </c>
      <c r="S1666" s="2">
        <v>79</v>
      </c>
      <c r="T1666" s="2">
        <v>18.170000000000002</v>
      </c>
      <c r="U1666" s="2">
        <v>97.17</v>
      </c>
      <c r="W1666" s="5">
        <f t="shared" si="167"/>
        <v>1</v>
      </c>
      <c r="Y1666" s="2" t="s">
        <v>118</v>
      </c>
      <c r="Z1666" s="2" t="s">
        <v>191</v>
      </c>
      <c r="AE1666" s="2">
        <f t="shared" si="162"/>
        <v>0</v>
      </c>
      <c r="AI1666" s="2">
        <f t="shared" si="163"/>
        <v>0</v>
      </c>
      <c r="AJ1666" s="2">
        <f t="shared" si="164"/>
        <v>79</v>
      </c>
      <c r="AK1666" s="5">
        <f t="shared" si="165"/>
        <v>1</v>
      </c>
    </row>
    <row r="1667" spans="1:37" x14ac:dyDescent="0.2">
      <c r="A1667" s="2">
        <v>2025</v>
      </c>
      <c r="B1667" s="2">
        <v>8</v>
      </c>
      <c r="C1667" s="2" t="s">
        <v>1783</v>
      </c>
      <c r="L1667" s="2" t="s">
        <v>40</v>
      </c>
      <c r="O1667" s="2" t="s">
        <v>188</v>
      </c>
      <c r="P1667" s="2" t="s">
        <v>192</v>
      </c>
      <c r="Q1667" s="2" t="s">
        <v>191</v>
      </c>
      <c r="R1667" s="2">
        <v>2</v>
      </c>
      <c r="S1667" s="2">
        <v>100</v>
      </c>
      <c r="T1667" s="2">
        <v>23</v>
      </c>
      <c r="U1667" s="2">
        <v>123</v>
      </c>
      <c r="V1667" s="2">
        <f>S1667*50%</f>
        <v>50</v>
      </c>
      <c r="W1667" s="5">
        <f t="shared" si="167"/>
        <v>0.5</v>
      </c>
      <c r="Y1667" s="2" t="s">
        <v>118</v>
      </c>
      <c r="Z1667" s="2" t="s">
        <v>191</v>
      </c>
      <c r="AE1667" s="2">
        <f t="shared" ref="AE1667:AE1730" si="168">AI1667</f>
        <v>0</v>
      </c>
      <c r="AI1667" s="2">
        <f t="shared" ref="AI1667:AI1730" si="169">AH1667*S1667</f>
        <v>0</v>
      </c>
      <c r="AJ1667" s="2">
        <f t="shared" ref="AJ1667:AJ1730" si="170">S1667-V1667</f>
        <v>50</v>
      </c>
      <c r="AK1667" s="5">
        <f t="shared" si="165"/>
        <v>0.5</v>
      </c>
    </row>
    <row r="1668" spans="1:37" x14ac:dyDescent="0.2">
      <c r="A1668" s="2">
        <v>2025</v>
      </c>
      <c r="B1668" s="2">
        <v>8</v>
      </c>
      <c r="C1668" s="2" t="s">
        <v>333</v>
      </c>
      <c r="D1668" s="2" t="s">
        <v>109</v>
      </c>
      <c r="E1668" s="2" t="s">
        <v>39</v>
      </c>
      <c r="F1668" s="2">
        <v>513493557</v>
      </c>
      <c r="G1668" s="2" t="s">
        <v>41</v>
      </c>
      <c r="H1668" s="2" t="s">
        <v>280</v>
      </c>
      <c r="I1668" s="2" t="s">
        <v>334</v>
      </c>
      <c r="K1668" s="2" t="s">
        <v>178</v>
      </c>
      <c r="L1668" s="2" t="s">
        <v>40</v>
      </c>
      <c r="O1668" s="2" t="s">
        <v>188</v>
      </c>
      <c r="P1668" s="2" t="s">
        <v>189</v>
      </c>
      <c r="Q1668" s="2" t="s">
        <v>190</v>
      </c>
      <c r="R1668" s="2">
        <v>1</v>
      </c>
      <c r="S1668" s="2">
        <v>70</v>
      </c>
      <c r="T1668" s="2">
        <v>16.100000000000001</v>
      </c>
      <c r="U1668" s="2">
        <v>86.1</v>
      </c>
      <c r="W1668" s="5">
        <f t="shared" si="167"/>
        <v>1</v>
      </c>
      <c r="Y1668" s="2" t="s">
        <v>118</v>
      </c>
      <c r="Z1668" s="2" t="s">
        <v>191</v>
      </c>
      <c r="AE1668" s="2">
        <f t="shared" si="168"/>
        <v>0</v>
      </c>
      <c r="AI1668" s="2">
        <f t="shared" si="169"/>
        <v>0</v>
      </c>
      <c r="AJ1668" s="2">
        <f t="shared" si="170"/>
        <v>70</v>
      </c>
      <c r="AK1668" s="5">
        <f t="shared" si="165"/>
        <v>1</v>
      </c>
    </row>
    <row r="1669" spans="1:37" x14ac:dyDescent="0.2">
      <c r="A1669" s="2">
        <v>2025</v>
      </c>
      <c r="B1669" s="2">
        <v>8</v>
      </c>
      <c r="C1669" s="2" t="s">
        <v>333</v>
      </c>
      <c r="D1669" s="2" t="s">
        <v>109</v>
      </c>
      <c r="E1669" s="2" t="s">
        <v>39</v>
      </c>
      <c r="F1669" s="2">
        <v>513493557</v>
      </c>
      <c r="G1669" s="2" t="s">
        <v>41</v>
      </c>
      <c r="H1669" s="2" t="s">
        <v>280</v>
      </c>
      <c r="I1669" s="2" t="s">
        <v>334</v>
      </c>
      <c r="K1669" s="2" t="s">
        <v>178</v>
      </c>
      <c r="L1669" s="2" t="s">
        <v>40</v>
      </c>
      <c r="O1669" s="2" t="s">
        <v>188</v>
      </c>
      <c r="P1669" s="2" t="s">
        <v>192</v>
      </c>
      <c r="Q1669" s="2" t="s">
        <v>191</v>
      </c>
      <c r="R1669" s="2">
        <v>1</v>
      </c>
      <c r="S1669" s="2">
        <v>50</v>
      </c>
      <c r="T1669" s="2">
        <v>11.5</v>
      </c>
      <c r="U1669" s="2">
        <v>61.5</v>
      </c>
      <c r="V1669" s="2">
        <f>S1669*50%</f>
        <v>25</v>
      </c>
      <c r="W1669" s="5">
        <f t="shared" si="167"/>
        <v>0.5</v>
      </c>
      <c r="Y1669" s="2" t="s">
        <v>118</v>
      </c>
      <c r="Z1669" s="2" t="s">
        <v>191</v>
      </c>
      <c r="AE1669" s="2">
        <f t="shared" si="168"/>
        <v>0</v>
      </c>
      <c r="AI1669" s="2">
        <f t="shared" si="169"/>
        <v>0</v>
      </c>
      <c r="AJ1669" s="2">
        <f t="shared" si="170"/>
        <v>25</v>
      </c>
      <c r="AK1669" s="5">
        <f t="shared" si="165"/>
        <v>0.5</v>
      </c>
    </row>
    <row r="1670" spans="1:37" x14ac:dyDescent="0.2">
      <c r="A1670" s="2">
        <v>2025</v>
      </c>
      <c r="B1670" s="2">
        <v>8</v>
      </c>
      <c r="C1670" s="2" t="s">
        <v>737</v>
      </c>
      <c r="D1670" s="2" t="s">
        <v>109</v>
      </c>
      <c r="F1670" s="2">
        <v>502757396</v>
      </c>
      <c r="G1670" s="2" t="s">
        <v>40</v>
      </c>
      <c r="H1670" s="2" t="s">
        <v>100</v>
      </c>
      <c r="I1670" s="2" t="s">
        <v>738</v>
      </c>
      <c r="K1670" s="2" t="s">
        <v>100</v>
      </c>
      <c r="L1670" s="2" t="s">
        <v>81</v>
      </c>
      <c r="O1670" s="2" t="s">
        <v>73</v>
      </c>
      <c r="P1670" s="2" t="s">
        <v>74</v>
      </c>
      <c r="Q1670" s="2" t="s">
        <v>75</v>
      </c>
      <c r="R1670" s="2">
        <v>1</v>
      </c>
      <c r="S1670" s="2">
        <v>210</v>
      </c>
      <c r="T1670" s="2">
        <v>48.3</v>
      </c>
      <c r="U1670" s="2">
        <v>258.3</v>
      </c>
      <c r="V1670" s="2">
        <v>117.453</v>
      </c>
      <c r="W1670" s="5">
        <f t="shared" si="167"/>
        <v>0.44069999999999998</v>
      </c>
      <c r="Y1670" s="2" t="s">
        <v>3256</v>
      </c>
      <c r="Z1670" s="2" t="s">
        <v>76</v>
      </c>
      <c r="AA1670" s="2" t="s">
        <v>77</v>
      </c>
      <c r="AB1670" s="2" t="s">
        <v>78</v>
      </c>
      <c r="AE1670" s="2">
        <f t="shared" si="168"/>
        <v>0</v>
      </c>
      <c r="AF1670" s="2">
        <v>117.453</v>
      </c>
      <c r="AG1670" s="2">
        <v>220</v>
      </c>
      <c r="AI1670" s="2">
        <f t="shared" si="169"/>
        <v>0</v>
      </c>
      <c r="AJ1670" s="2">
        <f t="shared" si="170"/>
        <v>92.546999999999997</v>
      </c>
      <c r="AK1670" s="5">
        <f t="shared" si="165"/>
        <v>0.44069999999999998</v>
      </c>
    </row>
    <row r="1671" spans="1:37" x14ac:dyDescent="0.2">
      <c r="A1671" s="2">
        <v>2025</v>
      </c>
      <c r="B1671" s="2">
        <v>8</v>
      </c>
      <c r="C1671" s="2" t="s">
        <v>737</v>
      </c>
      <c r="D1671" s="2" t="s">
        <v>109</v>
      </c>
      <c r="F1671" s="2">
        <v>502757396</v>
      </c>
      <c r="G1671" s="2" t="s">
        <v>40</v>
      </c>
      <c r="H1671" s="2" t="s">
        <v>100</v>
      </c>
      <c r="I1671" s="2" t="s">
        <v>738</v>
      </c>
      <c r="K1671" s="2" t="s">
        <v>100</v>
      </c>
      <c r="L1671" s="2" t="s">
        <v>81</v>
      </c>
      <c r="O1671" s="2" t="s">
        <v>94</v>
      </c>
      <c r="P1671" s="2" t="s">
        <v>95</v>
      </c>
      <c r="Q1671" s="2" t="s">
        <v>96</v>
      </c>
      <c r="R1671" s="2">
        <v>1</v>
      </c>
      <c r="S1671" s="2">
        <v>1.1399999999999999</v>
      </c>
      <c r="T1671" s="2">
        <v>0.26219999999999999</v>
      </c>
      <c r="U1671" s="2">
        <v>1.4021999999999999</v>
      </c>
      <c r="V1671" s="2">
        <v>1.1399999999999999</v>
      </c>
      <c r="W1671" s="5">
        <f t="shared" si="167"/>
        <v>0</v>
      </c>
      <c r="Y1671" s="2" t="s">
        <v>3256</v>
      </c>
      <c r="Z1671" s="2" t="s">
        <v>97</v>
      </c>
      <c r="AA1671" s="2" t="s">
        <v>77</v>
      </c>
      <c r="AB1671" s="2" t="s">
        <v>94</v>
      </c>
      <c r="AE1671" s="2">
        <f t="shared" si="168"/>
        <v>0</v>
      </c>
      <c r="AF1671" s="2">
        <v>1.1399999999999999</v>
      </c>
      <c r="AG1671" s="2">
        <v>1.1399999999999999</v>
      </c>
      <c r="AI1671" s="2">
        <f t="shared" si="169"/>
        <v>0</v>
      </c>
      <c r="AJ1671" s="2">
        <f t="shared" si="170"/>
        <v>0</v>
      </c>
      <c r="AK1671" s="5">
        <f t="shared" si="165"/>
        <v>0</v>
      </c>
    </row>
    <row r="1672" spans="1:37" x14ac:dyDescent="0.2">
      <c r="A1672" s="2">
        <v>2025</v>
      </c>
      <c r="B1672" s="2">
        <v>8</v>
      </c>
      <c r="C1672" s="2" t="s">
        <v>1784</v>
      </c>
      <c r="O1672" s="2" t="s">
        <v>1620</v>
      </c>
      <c r="P1672" s="2" t="s">
        <v>1785</v>
      </c>
      <c r="Q1672" s="2" t="s">
        <v>1786</v>
      </c>
      <c r="R1672" s="2">
        <v>1</v>
      </c>
      <c r="S1672" s="2">
        <v>68.86</v>
      </c>
      <c r="T1672" s="2">
        <v>15.8378</v>
      </c>
      <c r="U1672" s="2">
        <v>84.697800000000001</v>
      </c>
      <c r="W1672" s="5">
        <f t="shared" si="167"/>
        <v>1</v>
      </c>
      <c r="Y1672" s="2" t="s">
        <v>118</v>
      </c>
      <c r="Z1672" s="2" t="s">
        <v>119</v>
      </c>
      <c r="AA1672" s="2" t="s">
        <v>120</v>
      </c>
      <c r="AB1672" s="2" t="s">
        <v>1620</v>
      </c>
      <c r="AE1672" s="2">
        <f t="shared" si="168"/>
        <v>0</v>
      </c>
      <c r="AI1672" s="2">
        <f t="shared" si="169"/>
        <v>0</v>
      </c>
      <c r="AJ1672" s="2">
        <f t="shared" si="170"/>
        <v>68.86</v>
      </c>
      <c r="AK1672" s="5">
        <f t="shared" si="165"/>
        <v>1</v>
      </c>
    </row>
    <row r="1673" spans="1:37" x14ac:dyDescent="0.2">
      <c r="A1673" s="2">
        <v>2025</v>
      </c>
      <c r="B1673" s="2">
        <v>8</v>
      </c>
      <c r="C1673" s="2" t="s">
        <v>1784</v>
      </c>
      <c r="L1673" s="2" t="s">
        <v>40</v>
      </c>
      <c r="O1673" s="2" t="s">
        <v>188</v>
      </c>
      <c r="P1673" s="2" t="s">
        <v>189</v>
      </c>
      <c r="Q1673" s="2" t="s">
        <v>190</v>
      </c>
      <c r="R1673" s="2">
        <v>1</v>
      </c>
      <c r="S1673" s="2">
        <v>115</v>
      </c>
      <c r="T1673" s="2">
        <v>26.45</v>
      </c>
      <c r="U1673" s="2">
        <v>141.44999999999999</v>
      </c>
      <c r="W1673" s="5">
        <f t="shared" si="167"/>
        <v>1</v>
      </c>
      <c r="Y1673" s="2" t="s">
        <v>118</v>
      </c>
      <c r="Z1673" s="2" t="s">
        <v>191</v>
      </c>
      <c r="AE1673" s="2">
        <f t="shared" si="168"/>
        <v>0</v>
      </c>
      <c r="AI1673" s="2">
        <f t="shared" si="169"/>
        <v>0</v>
      </c>
      <c r="AJ1673" s="2">
        <f t="shared" si="170"/>
        <v>115</v>
      </c>
      <c r="AK1673" s="5">
        <f t="shared" si="165"/>
        <v>1</v>
      </c>
    </row>
    <row r="1674" spans="1:37" x14ac:dyDescent="0.2">
      <c r="A1674" s="2">
        <v>2025</v>
      </c>
      <c r="B1674" s="2">
        <v>8</v>
      </c>
      <c r="C1674" s="2" t="s">
        <v>1784</v>
      </c>
      <c r="L1674" s="2" t="s">
        <v>40</v>
      </c>
      <c r="O1674" s="2" t="s">
        <v>188</v>
      </c>
      <c r="P1674" s="2" t="s">
        <v>192</v>
      </c>
      <c r="Q1674" s="2" t="s">
        <v>191</v>
      </c>
      <c r="R1674" s="2">
        <v>1.5</v>
      </c>
      <c r="S1674" s="2">
        <v>75</v>
      </c>
      <c r="T1674" s="2">
        <v>17.25</v>
      </c>
      <c r="U1674" s="2">
        <v>92.25</v>
      </c>
      <c r="V1674" s="2">
        <f>S1674*50%</f>
        <v>37.5</v>
      </c>
      <c r="W1674" s="5">
        <f t="shared" si="167"/>
        <v>0.5</v>
      </c>
      <c r="Y1674" s="2" t="s">
        <v>118</v>
      </c>
      <c r="Z1674" s="2" t="s">
        <v>191</v>
      </c>
      <c r="AE1674" s="2">
        <f t="shared" si="168"/>
        <v>0</v>
      </c>
      <c r="AI1674" s="2">
        <f t="shared" si="169"/>
        <v>0</v>
      </c>
      <c r="AJ1674" s="2">
        <f t="shared" si="170"/>
        <v>37.5</v>
      </c>
      <c r="AK1674" s="5">
        <f t="shared" si="165"/>
        <v>0.5</v>
      </c>
    </row>
    <row r="1675" spans="1:37" x14ac:dyDescent="0.2">
      <c r="A1675" s="2">
        <v>2025</v>
      </c>
      <c r="B1675" s="2">
        <v>8</v>
      </c>
      <c r="C1675" s="2" t="s">
        <v>989</v>
      </c>
      <c r="D1675" s="2" t="s">
        <v>109</v>
      </c>
      <c r="E1675" s="2" t="s">
        <v>723</v>
      </c>
      <c r="F1675" s="2">
        <v>500594309</v>
      </c>
      <c r="G1675" s="2" t="s">
        <v>291</v>
      </c>
      <c r="H1675" s="2" t="s">
        <v>990</v>
      </c>
      <c r="I1675" s="2" t="s">
        <v>991</v>
      </c>
      <c r="K1675" s="2" t="s">
        <v>294</v>
      </c>
      <c r="L1675" s="2" t="s">
        <v>81</v>
      </c>
      <c r="N1675" s="2" t="s">
        <v>1787</v>
      </c>
      <c r="O1675" s="2" t="s">
        <v>73</v>
      </c>
      <c r="P1675" s="2" t="s">
        <v>561</v>
      </c>
      <c r="Q1675" s="2" t="s">
        <v>308</v>
      </c>
      <c r="R1675" s="2">
        <v>1</v>
      </c>
      <c r="S1675" s="2">
        <v>230</v>
      </c>
      <c r="T1675" s="2">
        <v>52.900000000000013</v>
      </c>
      <c r="U1675" s="2">
        <v>282.89999999999998</v>
      </c>
      <c r="V1675" s="2">
        <v>122.446</v>
      </c>
      <c r="W1675" s="5">
        <f t="shared" si="167"/>
        <v>0.46762608695652175</v>
      </c>
      <c r="Y1675" s="2" t="s">
        <v>3256</v>
      </c>
      <c r="Z1675" s="2" t="s">
        <v>76</v>
      </c>
      <c r="AA1675" s="2" t="s">
        <v>77</v>
      </c>
      <c r="AB1675" s="2" t="s">
        <v>78</v>
      </c>
      <c r="AE1675" s="2">
        <f t="shared" si="168"/>
        <v>0</v>
      </c>
      <c r="AF1675" s="2">
        <v>122.446</v>
      </c>
      <c r="AG1675" s="2">
        <v>230</v>
      </c>
      <c r="AI1675" s="2">
        <f t="shared" si="169"/>
        <v>0</v>
      </c>
      <c r="AJ1675" s="2">
        <f t="shared" si="170"/>
        <v>107.554</v>
      </c>
      <c r="AK1675" s="5">
        <f t="shared" si="165"/>
        <v>0.46762608695652175</v>
      </c>
    </row>
    <row r="1676" spans="1:37" x14ac:dyDescent="0.2">
      <c r="A1676" s="2">
        <v>2025</v>
      </c>
      <c r="B1676" s="2">
        <v>8</v>
      </c>
      <c r="C1676" s="2" t="s">
        <v>989</v>
      </c>
      <c r="D1676" s="2" t="s">
        <v>109</v>
      </c>
      <c r="E1676" s="2" t="s">
        <v>723</v>
      </c>
      <c r="F1676" s="2">
        <v>500594309</v>
      </c>
      <c r="G1676" s="2" t="s">
        <v>291</v>
      </c>
      <c r="H1676" s="2" t="s">
        <v>990</v>
      </c>
      <c r="I1676" s="2" t="s">
        <v>991</v>
      </c>
      <c r="K1676" s="2" t="s">
        <v>294</v>
      </c>
      <c r="L1676" s="2" t="s">
        <v>81</v>
      </c>
      <c r="N1676" s="2" t="s">
        <v>1787</v>
      </c>
      <c r="O1676" s="2" t="s">
        <v>94</v>
      </c>
      <c r="P1676" s="2" t="s">
        <v>95</v>
      </c>
      <c r="Q1676" s="2" t="s">
        <v>96</v>
      </c>
      <c r="R1676" s="2">
        <v>1</v>
      </c>
      <c r="S1676" s="2">
        <v>1.1399999999999999</v>
      </c>
      <c r="T1676" s="2">
        <v>0.26219999999999999</v>
      </c>
      <c r="U1676" s="2">
        <v>1.4021999999999999</v>
      </c>
      <c r="V1676" s="2">
        <v>1.1399999999999999</v>
      </c>
      <c r="W1676" s="5">
        <f t="shared" si="167"/>
        <v>0</v>
      </c>
      <c r="Y1676" s="2" t="s">
        <v>3256</v>
      </c>
      <c r="Z1676" s="2" t="s">
        <v>97</v>
      </c>
      <c r="AA1676" s="2" t="s">
        <v>77</v>
      </c>
      <c r="AB1676" s="2" t="s">
        <v>94</v>
      </c>
      <c r="AE1676" s="2">
        <f t="shared" si="168"/>
        <v>0</v>
      </c>
      <c r="AF1676" s="2">
        <v>1.1399999999999999</v>
      </c>
      <c r="AG1676" s="2">
        <v>1.1399999999999999</v>
      </c>
      <c r="AI1676" s="2">
        <f t="shared" si="169"/>
        <v>0</v>
      </c>
      <c r="AJ1676" s="2">
        <f t="shared" si="170"/>
        <v>0</v>
      </c>
      <c r="AK1676" s="5">
        <f t="shared" si="165"/>
        <v>0</v>
      </c>
    </row>
    <row r="1677" spans="1:37" x14ac:dyDescent="0.2">
      <c r="A1677" s="2">
        <v>2025</v>
      </c>
      <c r="B1677" s="2">
        <v>8</v>
      </c>
      <c r="C1677" s="2" t="s">
        <v>1788</v>
      </c>
      <c r="L1677" s="2" t="s">
        <v>40</v>
      </c>
      <c r="O1677" s="2" t="s">
        <v>188</v>
      </c>
      <c r="P1677" s="2" t="s">
        <v>189</v>
      </c>
      <c r="Q1677" s="2" t="s">
        <v>190</v>
      </c>
      <c r="R1677" s="2">
        <v>1</v>
      </c>
      <c r="S1677" s="2">
        <v>50</v>
      </c>
      <c r="T1677" s="2">
        <v>11.5</v>
      </c>
      <c r="U1677" s="2">
        <v>61.5</v>
      </c>
      <c r="W1677" s="5">
        <f t="shared" si="167"/>
        <v>1</v>
      </c>
      <c r="Y1677" s="2" t="s">
        <v>118</v>
      </c>
      <c r="Z1677" s="2" t="s">
        <v>191</v>
      </c>
      <c r="AE1677" s="2">
        <f t="shared" si="168"/>
        <v>0</v>
      </c>
      <c r="AI1677" s="2">
        <f t="shared" si="169"/>
        <v>0</v>
      </c>
      <c r="AJ1677" s="2">
        <f t="shared" si="170"/>
        <v>50</v>
      </c>
      <c r="AK1677" s="5">
        <f t="shared" si="165"/>
        <v>1</v>
      </c>
    </row>
    <row r="1678" spans="1:37" x14ac:dyDescent="0.2">
      <c r="A1678" s="2">
        <v>2025</v>
      </c>
      <c r="B1678" s="2">
        <v>8</v>
      </c>
      <c r="C1678" s="2" t="s">
        <v>1788</v>
      </c>
      <c r="L1678" s="2" t="s">
        <v>40</v>
      </c>
      <c r="O1678" s="2" t="s">
        <v>188</v>
      </c>
      <c r="P1678" s="2" t="s">
        <v>192</v>
      </c>
      <c r="Q1678" s="2" t="s">
        <v>191</v>
      </c>
      <c r="R1678" s="2">
        <v>1.25</v>
      </c>
      <c r="S1678" s="2">
        <v>62.5</v>
      </c>
      <c r="T1678" s="2">
        <v>14.375</v>
      </c>
      <c r="U1678" s="2">
        <v>76.875</v>
      </c>
      <c r="V1678" s="2">
        <f>S1678*50%</f>
        <v>31.25</v>
      </c>
      <c r="W1678" s="5">
        <f t="shared" si="167"/>
        <v>0.5</v>
      </c>
      <c r="Y1678" s="2" t="s">
        <v>118</v>
      </c>
      <c r="Z1678" s="2" t="s">
        <v>191</v>
      </c>
      <c r="AE1678" s="2">
        <f t="shared" si="168"/>
        <v>0</v>
      </c>
      <c r="AI1678" s="2">
        <f t="shared" si="169"/>
        <v>0</v>
      </c>
      <c r="AJ1678" s="2">
        <f t="shared" si="170"/>
        <v>31.25</v>
      </c>
      <c r="AK1678" s="5">
        <f t="shared" si="165"/>
        <v>0.5</v>
      </c>
    </row>
    <row r="1679" spans="1:37" x14ac:dyDescent="0.2">
      <c r="A1679" s="2">
        <v>2025</v>
      </c>
      <c r="B1679" s="2">
        <v>8</v>
      </c>
      <c r="C1679" s="2" t="s">
        <v>1365</v>
      </c>
      <c r="D1679" s="2" t="s">
        <v>758</v>
      </c>
      <c r="E1679" s="2" t="s">
        <v>39</v>
      </c>
      <c r="F1679" s="2">
        <v>518238334</v>
      </c>
      <c r="G1679" s="2" t="s">
        <v>41</v>
      </c>
      <c r="H1679" s="2" t="s">
        <v>768</v>
      </c>
      <c r="I1679" s="2" t="s">
        <v>1366</v>
      </c>
      <c r="K1679" s="2" t="s">
        <v>422</v>
      </c>
      <c r="O1679" s="2" t="s">
        <v>283</v>
      </c>
      <c r="P1679" s="2" t="s">
        <v>1789</v>
      </c>
      <c r="Q1679" s="2" t="s">
        <v>1790</v>
      </c>
      <c r="R1679" s="2">
        <v>1</v>
      </c>
      <c r="S1679" s="2">
        <v>180</v>
      </c>
      <c r="T1679" s="2">
        <v>41.4</v>
      </c>
      <c r="U1679" s="2">
        <v>221.4</v>
      </c>
      <c r="W1679" s="5">
        <f t="shared" si="167"/>
        <v>1</v>
      </c>
      <c r="Y1679" s="2" t="s">
        <v>3256</v>
      </c>
      <c r="AE1679" s="2">
        <f t="shared" si="168"/>
        <v>0</v>
      </c>
      <c r="AI1679" s="2">
        <f t="shared" si="169"/>
        <v>0</v>
      </c>
      <c r="AJ1679" s="2">
        <f t="shared" si="170"/>
        <v>180</v>
      </c>
      <c r="AK1679" s="5">
        <f t="shared" si="165"/>
        <v>1</v>
      </c>
    </row>
    <row r="1680" spans="1:37" x14ac:dyDescent="0.2">
      <c r="A1680" s="2">
        <v>2025</v>
      </c>
      <c r="B1680" s="2">
        <v>8</v>
      </c>
      <c r="C1680" s="2" t="s">
        <v>750</v>
      </c>
      <c r="D1680" s="2" t="s">
        <v>109</v>
      </c>
      <c r="E1680" s="2" t="s">
        <v>39</v>
      </c>
      <c r="F1680" s="2">
        <v>509181163</v>
      </c>
      <c r="G1680" s="2" t="s">
        <v>40</v>
      </c>
      <c r="H1680" s="2" t="s">
        <v>751</v>
      </c>
      <c r="I1680" s="2" t="s">
        <v>752</v>
      </c>
      <c r="J1680" s="2">
        <v>962372760</v>
      </c>
      <c r="K1680" s="2" t="s">
        <v>202</v>
      </c>
      <c r="O1680" s="2" t="s">
        <v>115</v>
      </c>
      <c r="P1680" s="2" t="s">
        <v>1791</v>
      </c>
      <c r="Q1680" s="2" t="s">
        <v>1792</v>
      </c>
      <c r="R1680" s="2">
        <v>1</v>
      </c>
      <c r="S1680" s="2">
        <v>541.59</v>
      </c>
      <c r="T1680" s="2">
        <v>124.56570000000001</v>
      </c>
      <c r="U1680" s="2">
        <v>666.15570000000002</v>
      </c>
      <c r="W1680" s="5">
        <f t="shared" si="167"/>
        <v>1</v>
      </c>
      <c r="AE1680" s="2">
        <f t="shared" si="168"/>
        <v>0</v>
      </c>
      <c r="AI1680" s="2">
        <f t="shared" si="169"/>
        <v>0</v>
      </c>
      <c r="AJ1680" s="2">
        <f t="shared" si="170"/>
        <v>541.59</v>
      </c>
      <c r="AK1680" s="5">
        <f t="shared" ref="AK1680:AK1743" si="171">(S1680-V1680)/S1680</f>
        <v>1</v>
      </c>
    </row>
    <row r="1681" spans="1:37" x14ac:dyDescent="0.2">
      <c r="A1681" s="2">
        <v>2025</v>
      </c>
      <c r="B1681" s="2">
        <v>8</v>
      </c>
      <c r="C1681" s="2" t="s">
        <v>750</v>
      </c>
      <c r="D1681" s="2" t="s">
        <v>109</v>
      </c>
      <c r="E1681" s="2" t="s">
        <v>39</v>
      </c>
      <c r="F1681" s="2">
        <v>509181163</v>
      </c>
      <c r="G1681" s="2" t="s">
        <v>40</v>
      </c>
      <c r="H1681" s="2" t="s">
        <v>751</v>
      </c>
      <c r="I1681" s="2" t="s">
        <v>752</v>
      </c>
      <c r="J1681" s="2">
        <v>962372760</v>
      </c>
      <c r="K1681" s="2" t="s">
        <v>202</v>
      </c>
      <c r="L1681" s="2" t="s">
        <v>40</v>
      </c>
      <c r="O1681" s="2" t="s">
        <v>188</v>
      </c>
      <c r="P1681" s="2" t="s">
        <v>189</v>
      </c>
      <c r="Q1681" s="2" t="s">
        <v>190</v>
      </c>
      <c r="R1681" s="2">
        <v>2</v>
      </c>
      <c r="S1681" s="2">
        <v>132.75</v>
      </c>
      <c r="T1681" s="2">
        <v>30.532499999999999</v>
      </c>
      <c r="U1681" s="2">
        <v>163.2825</v>
      </c>
      <c r="W1681" s="5">
        <f t="shared" si="167"/>
        <v>1</v>
      </c>
      <c r="Y1681" s="2" t="s">
        <v>118</v>
      </c>
      <c r="Z1681" s="2" t="s">
        <v>191</v>
      </c>
      <c r="AE1681" s="2">
        <f t="shared" si="168"/>
        <v>0</v>
      </c>
      <c r="AI1681" s="2">
        <f t="shared" si="169"/>
        <v>0</v>
      </c>
      <c r="AJ1681" s="2">
        <f t="shared" si="170"/>
        <v>132.75</v>
      </c>
      <c r="AK1681" s="5">
        <f t="shared" si="171"/>
        <v>1</v>
      </c>
    </row>
    <row r="1682" spans="1:37" x14ac:dyDescent="0.2">
      <c r="A1682" s="2">
        <v>2025</v>
      </c>
      <c r="B1682" s="2">
        <v>8</v>
      </c>
      <c r="C1682" s="2" t="s">
        <v>750</v>
      </c>
      <c r="D1682" s="2" t="s">
        <v>109</v>
      </c>
      <c r="E1682" s="2" t="s">
        <v>39</v>
      </c>
      <c r="F1682" s="2">
        <v>509181163</v>
      </c>
      <c r="G1682" s="2" t="s">
        <v>40</v>
      </c>
      <c r="H1682" s="2" t="s">
        <v>751</v>
      </c>
      <c r="I1682" s="2" t="s">
        <v>752</v>
      </c>
      <c r="J1682" s="2">
        <v>962372760</v>
      </c>
      <c r="K1682" s="2" t="s">
        <v>202</v>
      </c>
      <c r="L1682" s="2" t="s">
        <v>40</v>
      </c>
      <c r="O1682" s="2" t="s">
        <v>188</v>
      </c>
      <c r="P1682" s="2" t="s">
        <v>192</v>
      </c>
      <c r="Q1682" s="2" t="s">
        <v>191</v>
      </c>
      <c r="R1682" s="2">
        <v>2.75</v>
      </c>
      <c r="S1682" s="2">
        <v>132.5</v>
      </c>
      <c r="T1682" s="2">
        <v>30.475000000000001</v>
      </c>
      <c r="U1682" s="2">
        <v>162.97499999999999</v>
      </c>
      <c r="V1682" s="2">
        <f>S1682*50%</f>
        <v>66.25</v>
      </c>
      <c r="W1682" s="5">
        <f t="shared" si="167"/>
        <v>0.5</v>
      </c>
      <c r="Y1682" s="2" t="s">
        <v>118</v>
      </c>
      <c r="Z1682" s="2" t="s">
        <v>191</v>
      </c>
      <c r="AE1682" s="2">
        <f t="shared" si="168"/>
        <v>0</v>
      </c>
      <c r="AI1682" s="2">
        <f t="shared" si="169"/>
        <v>0</v>
      </c>
      <c r="AJ1682" s="2">
        <f t="shared" si="170"/>
        <v>66.25</v>
      </c>
      <c r="AK1682" s="5">
        <f t="shared" si="171"/>
        <v>0.5</v>
      </c>
    </row>
    <row r="1683" spans="1:37" x14ac:dyDescent="0.2">
      <c r="A1683" s="2">
        <v>2025</v>
      </c>
      <c r="B1683" s="2">
        <v>8</v>
      </c>
      <c r="C1683" s="2" t="s">
        <v>750</v>
      </c>
      <c r="D1683" s="2" t="s">
        <v>109</v>
      </c>
      <c r="E1683" s="2" t="s">
        <v>39</v>
      </c>
      <c r="F1683" s="2">
        <v>509181163</v>
      </c>
      <c r="G1683" s="2" t="s">
        <v>40</v>
      </c>
      <c r="H1683" s="2" t="s">
        <v>751</v>
      </c>
      <c r="I1683" s="2" t="s">
        <v>752</v>
      </c>
      <c r="J1683" s="2">
        <v>962372760</v>
      </c>
      <c r="K1683" s="2" t="s">
        <v>202</v>
      </c>
      <c r="O1683" s="2" t="s">
        <v>40</v>
      </c>
      <c r="P1683" s="2" t="s">
        <v>364</v>
      </c>
      <c r="Q1683" s="2" t="s">
        <v>365</v>
      </c>
      <c r="R1683" s="2">
        <v>1</v>
      </c>
      <c r="S1683" s="2">
        <v>99.75</v>
      </c>
      <c r="T1683" s="2">
        <v>22.942499999999999</v>
      </c>
      <c r="U1683" s="2">
        <v>122.6925</v>
      </c>
      <c r="W1683" s="5">
        <f t="shared" si="167"/>
        <v>1</v>
      </c>
      <c r="Y1683" s="2" t="s">
        <v>120</v>
      </c>
      <c r="AE1683" s="2">
        <f t="shared" si="168"/>
        <v>0</v>
      </c>
      <c r="AI1683" s="2">
        <f t="shared" si="169"/>
        <v>0</v>
      </c>
      <c r="AJ1683" s="2">
        <f t="shared" si="170"/>
        <v>99.75</v>
      </c>
      <c r="AK1683" s="5">
        <f t="shared" si="171"/>
        <v>1</v>
      </c>
    </row>
    <row r="1684" spans="1:37" x14ac:dyDescent="0.2">
      <c r="A1684" s="2">
        <v>2025</v>
      </c>
      <c r="B1684" s="2">
        <v>8</v>
      </c>
      <c r="C1684" s="2" t="s">
        <v>1793</v>
      </c>
      <c r="O1684" s="2" t="s">
        <v>102</v>
      </c>
      <c r="P1684" s="2" t="s">
        <v>1794</v>
      </c>
      <c r="Q1684" s="2" t="s">
        <v>1795</v>
      </c>
      <c r="R1684" s="2">
        <v>1</v>
      </c>
      <c r="S1684" s="2">
        <v>3600</v>
      </c>
      <c r="T1684" s="2">
        <v>828</v>
      </c>
      <c r="U1684" s="2">
        <v>4428</v>
      </c>
      <c r="W1684" s="5">
        <f t="shared" si="167"/>
        <v>1</v>
      </c>
      <c r="Y1684" s="2" t="s">
        <v>105</v>
      </c>
      <c r="AB1684" s="2" t="s">
        <v>102</v>
      </c>
      <c r="AE1684" s="2">
        <f t="shared" si="168"/>
        <v>0</v>
      </c>
      <c r="AI1684" s="2">
        <f t="shared" si="169"/>
        <v>0</v>
      </c>
      <c r="AJ1684" s="2">
        <f t="shared" si="170"/>
        <v>3600</v>
      </c>
      <c r="AK1684" s="5">
        <f t="shared" si="171"/>
        <v>1</v>
      </c>
    </row>
    <row r="1685" spans="1:37" x14ac:dyDescent="0.2">
      <c r="A1685" s="2">
        <v>2025</v>
      </c>
      <c r="B1685" s="2">
        <v>8</v>
      </c>
      <c r="C1685" s="2" t="s">
        <v>360</v>
      </c>
      <c r="D1685" s="2" t="s">
        <v>109</v>
      </c>
      <c r="E1685" s="2" t="s">
        <v>39</v>
      </c>
      <c r="F1685" s="2">
        <v>503413909</v>
      </c>
      <c r="G1685" s="2" t="s">
        <v>110</v>
      </c>
      <c r="H1685" s="2" t="s">
        <v>361</v>
      </c>
      <c r="I1685" s="2" t="s">
        <v>362</v>
      </c>
      <c r="K1685" s="2" t="s">
        <v>361</v>
      </c>
      <c r="L1685" s="2" t="s">
        <v>40</v>
      </c>
      <c r="N1685" s="2" t="s">
        <v>1796</v>
      </c>
      <c r="O1685" s="2" t="s">
        <v>188</v>
      </c>
      <c r="P1685" s="2" t="s">
        <v>189</v>
      </c>
      <c r="Q1685" s="2" t="s">
        <v>190</v>
      </c>
      <c r="R1685" s="2">
        <v>1</v>
      </c>
      <c r="S1685" s="2">
        <v>199</v>
      </c>
      <c r="T1685" s="2">
        <v>45.77</v>
      </c>
      <c r="U1685" s="2">
        <v>244.77</v>
      </c>
      <c r="W1685" s="5">
        <f t="shared" si="167"/>
        <v>1</v>
      </c>
      <c r="Y1685" s="2" t="s">
        <v>118</v>
      </c>
      <c r="Z1685" s="2" t="s">
        <v>191</v>
      </c>
      <c r="AE1685" s="2">
        <f t="shared" si="168"/>
        <v>0</v>
      </c>
      <c r="AI1685" s="2">
        <f t="shared" si="169"/>
        <v>0</v>
      </c>
      <c r="AJ1685" s="2">
        <f t="shared" si="170"/>
        <v>199</v>
      </c>
      <c r="AK1685" s="5">
        <f t="shared" si="171"/>
        <v>1</v>
      </c>
    </row>
    <row r="1686" spans="1:37" x14ac:dyDescent="0.2">
      <c r="A1686" s="2">
        <v>2025</v>
      </c>
      <c r="B1686" s="2">
        <v>8</v>
      </c>
      <c r="C1686" s="2" t="s">
        <v>360</v>
      </c>
      <c r="D1686" s="2" t="s">
        <v>109</v>
      </c>
      <c r="E1686" s="2" t="s">
        <v>39</v>
      </c>
      <c r="F1686" s="2">
        <v>503413909</v>
      </c>
      <c r="G1686" s="2" t="s">
        <v>110</v>
      </c>
      <c r="H1686" s="2" t="s">
        <v>361</v>
      </c>
      <c r="I1686" s="2" t="s">
        <v>362</v>
      </c>
      <c r="K1686" s="2" t="s">
        <v>361</v>
      </c>
      <c r="L1686" s="2" t="s">
        <v>40</v>
      </c>
      <c r="N1686" s="2" t="s">
        <v>1796</v>
      </c>
      <c r="O1686" s="2" t="s">
        <v>188</v>
      </c>
      <c r="P1686" s="2" t="s">
        <v>192</v>
      </c>
      <c r="Q1686" s="2" t="s">
        <v>191</v>
      </c>
      <c r="R1686" s="2">
        <v>1.5</v>
      </c>
      <c r="S1686" s="2">
        <v>75</v>
      </c>
      <c r="T1686" s="2">
        <v>17.25</v>
      </c>
      <c r="U1686" s="2">
        <v>92.25</v>
      </c>
      <c r="V1686" s="2">
        <f>S1686*50%</f>
        <v>37.5</v>
      </c>
      <c r="W1686" s="5">
        <f t="shared" si="167"/>
        <v>0.5</v>
      </c>
      <c r="Y1686" s="2" t="s">
        <v>118</v>
      </c>
      <c r="Z1686" s="2" t="s">
        <v>191</v>
      </c>
      <c r="AE1686" s="2">
        <f t="shared" si="168"/>
        <v>0</v>
      </c>
      <c r="AF1686" s="2">
        <v>37.5</v>
      </c>
      <c r="AI1686" s="2">
        <f t="shared" si="169"/>
        <v>0</v>
      </c>
      <c r="AJ1686" s="2">
        <f t="shared" si="170"/>
        <v>37.5</v>
      </c>
      <c r="AK1686" s="5">
        <f t="shared" si="171"/>
        <v>0.5</v>
      </c>
    </row>
    <row r="1687" spans="1:37" x14ac:dyDescent="0.2">
      <c r="A1687" s="2">
        <v>2025</v>
      </c>
      <c r="B1687" s="2">
        <v>8</v>
      </c>
      <c r="C1687" s="2" t="s">
        <v>1797</v>
      </c>
      <c r="O1687" s="2" t="s">
        <v>283</v>
      </c>
      <c r="P1687" s="2" t="s">
        <v>1798</v>
      </c>
      <c r="Q1687" s="2" t="s">
        <v>1799</v>
      </c>
      <c r="R1687" s="2">
        <v>1</v>
      </c>
      <c r="S1687" s="2">
        <v>2190</v>
      </c>
      <c r="T1687" s="2">
        <v>503.7</v>
      </c>
      <c r="U1687" s="2">
        <v>2693.7</v>
      </c>
      <c r="W1687" s="5">
        <f t="shared" ref="W1687:W1718" si="172">(S1687-V1687)/S1687</f>
        <v>1</v>
      </c>
      <c r="Y1687" s="2" t="s">
        <v>105</v>
      </c>
      <c r="AB1687" s="2" t="s">
        <v>1337</v>
      </c>
      <c r="AE1687" s="2">
        <f t="shared" si="168"/>
        <v>0</v>
      </c>
      <c r="AI1687" s="2">
        <f t="shared" si="169"/>
        <v>0</v>
      </c>
      <c r="AJ1687" s="2">
        <f t="shared" si="170"/>
        <v>2190</v>
      </c>
      <c r="AK1687" s="5">
        <f t="shared" si="171"/>
        <v>1</v>
      </c>
    </row>
    <row r="1688" spans="1:37" x14ac:dyDescent="0.2">
      <c r="A1688" s="2">
        <v>2025</v>
      </c>
      <c r="B1688" s="2">
        <v>8</v>
      </c>
      <c r="C1688" s="2" t="s">
        <v>1797</v>
      </c>
      <c r="O1688" s="2" t="s">
        <v>283</v>
      </c>
      <c r="P1688" s="2" t="s">
        <v>1800</v>
      </c>
      <c r="Q1688" s="2" t="s">
        <v>1801</v>
      </c>
      <c r="R1688" s="2">
        <v>1</v>
      </c>
      <c r="S1688" s="2">
        <v>39</v>
      </c>
      <c r="T1688" s="2">
        <v>8.9700000000000006</v>
      </c>
      <c r="U1688" s="2">
        <v>47.97</v>
      </c>
      <c r="W1688" s="5">
        <f t="shared" si="172"/>
        <v>1</v>
      </c>
      <c r="AE1688" s="2">
        <f t="shared" si="168"/>
        <v>0</v>
      </c>
      <c r="AI1688" s="2">
        <f t="shared" si="169"/>
        <v>0</v>
      </c>
      <c r="AJ1688" s="2">
        <f t="shared" si="170"/>
        <v>39</v>
      </c>
      <c r="AK1688" s="5">
        <f t="shared" si="171"/>
        <v>1</v>
      </c>
    </row>
    <row r="1689" spans="1:37" x14ac:dyDescent="0.2">
      <c r="A1689" s="2">
        <v>2025</v>
      </c>
      <c r="B1689" s="2">
        <v>8</v>
      </c>
      <c r="C1689" s="2" t="s">
        <v>1797</v>
      </c>
      <c r="O1689" s="2" t="s">
        <v>283</v>
      </c>
      <c r="P1689" s="2" t="s">
        <v>1802</v>
      </c>
      <c r="Q1689" s="2" t="s">
        <v>1801</v>
      </c>
      <c r="R1689" s="2">
        <v>1</v>
      </c>
      <c r="S1689" s="2">
        <v>39</v>
      </c>
      <c r="T1689" s="2">
        <v>8.9700000000000006</v>
      </c>
      <c r="U1689" s="2">
        <v>47.97</v>
      </c>
      <c r="W1689" s="5">
        <f t="shared" si="172"/>
        <v>1</v>
      </c>
      <c r="AE1689" s="2">
        <f t="shared" si="168"/>
        <v>0</v>
      </c>
      <c r="AI1689" s="2">
        <f t="shared" si="169"/>
        <v>0</v>
      </c>
      <c r="AJ1689" s="2">
        <f t="shared" si="170"/>
        <v>39</v>
      </c>
      <c r="AK1689" s="5">
        <f t="shared" si="171"/>
        <v>1</v>
      </c>
    </row>
    <row r="1690" spans="1:37" x14ac:dyDescent="0.2">
      <c r="A1690" s="2">
        <v>2025</v>
      </c>
      <c r="B1690" s="2">
        <v>8</v>
      </c>
      <c r="C1690" s="2" t="s">
        <v>1797</v>
      </c>
      <c r="O1690" s="2" t="s">
        <v>170</v>
      </c>
      <c r="P1690" s="2" t="s">
        <v>171</v>
      </c>
      <c r="Q1690" s="2" t="s">
        <v>171</v>
      </c>
      <c r="R1690" s="2">
        <v>1</v>
      </c>
      <c r="S1690" s="2">
        <v>8.5</v>
      </c>
      <c r="T1690" s="2">
        <v>1.9550000000000001</v>
      </c>
      <c r="U1690" s="2">
        <v>10.455</v>
      </c>
      <c r="W1690" s="5">
        <f t="shared" si="172"/>
        <v>1</v>
      </c>
      <c r="Y1690" s="2" t="s">
        <v>170</v>
      </c>
      <c r="Z1690" s="2" t="s">
        <v>170</v>
      </c>
      <c r="AE1690" s="2">
        <f t="shared" si="168"/>
        <v>0</v>
      </c>
      <c r="AI1690" s="2">
        <f t="shared" si="169"/>
        <v>0</v>
      </c>
      <c r="AJ1690" s="2">
        <f t="shared" si="170"/>
        <v>8.5</v>
      </c>
      <c r="AK1690" s="5">
        <f t="shared" si="171"/>
        <v>1</v>
      </c>
    </row>
    <row r="1691" spans="1:37" x14ac:dyDescent="0.2">
      <c r="A1691" s="2">
        <v>2025</v>
      </c>
      <c r="B1691" s="2">
        <v>8</v>
      </c>
      <c r="C1691" s="2" t="s">
        <v>372</v>
      </c>
      <c r="D1691" s="2" t="s">
        <v>38</v>
      </c>
      <c r="F1691" s="2">
        <v>504498886</v>
      </c>
      <c r="G1691" s="2" t="s">
        <v>41</v>
      </c>
      <c r="H1691" s="2" t="s">
        <v>373</v>
      </c>
      <c r="I1691" s="2" t="s">
        <v>374</v>
      </c>
      <c r="J1691" s="2">
        <v>966932738</v>
      </c>
      <c r="K1691" s="2" t="s">
        <v>178</v>
      </c>
      <c r="L1691" s="2" t="s">
        <v>41</v>
      </c>
      <c r="N1691" s="2" t="s">
        <v>1803</v>
      </c>
      <c r="O1691" s="2" t="s">
        <v>73</v>
      </c>
      <c r="P1691" s="2" t="s">
        <v>687</v>
      </c>
      <c r="Q1691" s="2" t="s">
        <v>75</v>
      </c>
      <c r="R1691" s="2">
        <v>1</v>
      </c>
      <c r="S1691" s="2">
        <v>190</v>
      </c>
      <c r="T1691" s="2">
        <v>43.7</v>
      </c>
      <c r="U1691" s="2">
        <v>233.7</v>
      </c>
      <c r="V1691" s="2">
        <v>104.49</v>
      </c>
      <c r="W1691" s="5">
        <f t="shared" si="172"/>
        <v>0.45005263157894737</v>
      </c>
      <c r="Y1691" s="2" t="s">
        <v>3256</v>
      </c>
      <c r="Z1691" s="2" t="s">
        <v>76</v>
      </c>
      <c r="AA1691" s="2" t="s">
        <v>77</v>
      </c>
      <c r="AB1691" s="2" t="s">
        <v>78</v>
      </c>
      <c r="AE1691" s="2">
        <f t="shared" si="168"/>
        <v>0</v>
      </c>
      <c r="AF1691" s="2">
        <v>104.49</v>
      </c>
      <c r="AG1691" s="2">
        <v>220</v>
      </c>
      <c r="AI1691" s="2">
        <f t="shared" si="169"/>
        <v>0</v>
      </c>
      <c r="AJ1691" s="2">
        <f t="shared" si="170"/>
        <v>85.51</v>
      </c>
      <c r="AK1691" s="5">
        <f t="shared" si="171"/>
        <v>0.45005263157894737</v>
      </c>
    </row>
    <row r="1692" spans="1:37" x14ac:dyDescent="0.2">
      <c r="A1692" s="2">
        <v>2025</v>
      </c>
      <c r="B1692" s="2">
        <v>8</v>
      </c>
      <c r="C1692" s="2" t="s">
        <v>372</v>
      </c>
      <c r="D1692" s="2" t="s">
        <v>38</v>
      </c>
      <c r="F1692" s="2">
        <v>504498886</v>
      </c>
      <c r="G1692" s="2" t="s">
        <v>41</v>
      </c>
      <c r="H1692" s="2" t="s">
        <v>373</v>
      </c>
      <c r="I1692" s="2" t="s">
        <v>374</v>
      </c>
      <c r="J1692" s="2">
        <v>966932738</v>
      </c>
      <c r="K1692" s="2" t="s">
        <v>178</v>
      </c>
      <c r="L1692" s="2" t="s">
        <v>41</v>
      </c>
      <c r="O1692" s="2" t="s">
        <v>94</v>
      </c>
      <c r="P1692" s="2" t="s">
        <v>95</v>
      </c>
      <c r="Q1692" s="2" t="s">
        <v>96</v>
      </c>
      <c r="R1692" s="2">
        <v>1</v>
      </c>
      <c r="S1692" s="2">
        <v>1.1399999999999999</v>
      </c>
      <c r="T1692" s="2">
        <v>0.26219999999999999</v>
      </c>
      <c r="U1692" s="2">
        <v>1.4021999999999999</v>
      </c>
      <c r="V1692" s="2">
        <v>1.1399999999999999</v>
      </c>
      <c r="W1692" s="5">
        <f t="shared" si="172"/>
        <v>0</v>
      </c>
      <c r="Y1692" s="2" t="s">
        <v>3256</v>
      </c>
      <c r="Z1692" s="2" t="s">
        <v>97</v>
      </c>
      <c r="AA1692" s="2" t="s">
        <v>77</v>
      </c>
      <c r="AB1692" s="2" t="s">
        <v>94</v>
      </c>
      <c r="AE1692" s="2">
        <f t="shared" si="168"/>
        <v>0</v>
      </c>
      <c r="AI1692" s="2">
        <f t="shared" si="169"/>
        <v>0</v>
      </c>
      <c r="AJ1692" s="2">
        <f t="shared" si="170"/>
        <v>0</v>
      </c>
      <c r="AK1692" s="5">
        <f t="shared" si="171"/>
        <v>0</v>
      </c>
    </row>
    <row r="1693" spans="1:37" x14ac:dyDescent="0.2">
      <c r="A1693" s="2">
        <v>2025</v>
      </c>
      <c r="B1693" s="2">
        <v>8</v>
      </c>
      <c r="C1693" s="2" t="s">
        <v>1804</v>
      </c>
      <c r="O1693" s="2" t="s">
        <v>3260</v>
      </c>
      <c r="P1693" s="2" t="s">
        <v>1805</v>
      </c>
      <c r="Q1693" s="2" t="s">
        <v>1806</v>
      </c>
      <c r="R1693" s="2">
        <v>1</v>
      </c>
      <c r="S1693" s="2">
        <v>1785</v>
      </c>
      <c r="T1693" s="2">
        <v>410.55</v>
      </c>
      <c r="U1693" s="2">
        <v>2195.5500000000002</v>
      </c>
      <c r="V1693" s="2">
        <v>1036.96</v>
      </c>
      <c r="W1693" s="5">
        <f t="shared" si="172"/>
        <v>0.41907002801120447</v>
      </c>
      <c r="Y1693" s="2" t="s">
        <v>105</v>
      </c>
      <c r="Z1693" s="2" t="s">
        <v>106</v>
      </c>
      <c r="AA1693" s="2" t="s">
        <v>107</v>
      </c>
      <c r="AB1693" s="2" t="s">
        <v>3260</v>
      </c>
      <c r="AE1693" s="2">
        <f t="shared" si="168"/>
        <v>0</v>
      </c>
      <c r="AI1693" s="2">
        <f t="shared" si="169"/>
        <v>0</v>
      </c>
      <c r="AJ1693" s="2">
        <f t="shared" si="170"/>
        <v>748.04</v>
      </c>
      <c r="AK1693" s="5">
        <f t="shared" si="171"/>
        <v>0.41907002801120447</v>
      </c>
    </row>
    <row r="1694" spans="1:37" x14ac:dyDescent="0.2">
      <c r="A1694" s="2">
        <v>2025</v>
      </c>
      <c r="B1694" s="2">
        <v>8</v>
      </c>
      <c r="C1694" s="2" t="s">
        <v>1807</v>
      </c>
      <c r="O1694" s="2" t="s">
        <v>115</v>
      </c>
      <c r="P1694" s="2" t="s">
        <v>416</v>
      </c>
      <c r="Q1694" s="2" t="s">
        <v>417</v>
      </c>
      <c r="R1694" s="2">
        <v>1</v>
      </c>
      <c r="S1694" s="2">
        <v>15990</v>
      </c>
      <c r="T1694" s="2">
        <v>3677.7</v>
      </c>
      <c r="U1694" s="2">
        <v>19667.7</v>
      </c>
      <c r="V1694" s="2">
        <v>10669.4</v>
      </c>
      <c r="W1694" s="5">
        <f t="shared" si="172"/>
        <v>0.33274546591619764</v>
      </c>
      <c r="Y1694" s="2" t="s">
        <v>105</v>
      </c>
      <c r="Z1694" s="2" t="s">
        <v>418</v>
      </c>
      <c r="AA1694" s="2" t="s">
        <v>152</v>
      </c>
      <c r="AB1694" s="2" t="s">
        <v>115</v>
      </c>
      <c r="AE1694" s="2">
        <f t="shared" si="168"/>
        <v>0</v>
      </c>
      <c r="AI1694" s="2">
        <f t="shared" si="169"/>
        <v>0</v>
      </c>
      <c r="AJ1694" s="2">
        <f t="shared" si="170"/>
        <v>5320.6</v>
      </c>
      <c r="AK1694" s="5">
        <f t="shared" si="171"/>
        <v>0.33274546591619764</v>
      </c>
    </row>
    <row r="1695" spans="1:37" x14ac:dyDescent="0.2">
      <c r="A1695" s="2">
        <v>2025</v>
      </c>
      <c r="B1695" s="2">
        <v>8</v>
      </c>
      <c r="C1695" s="2" t="s">
        <v>384</v>
      </c>
      <c r="D1695" s="2" t="s">
        <v>38</v>
      </c>
      <c r="E1695" s="2" t="s">
        <v>39</v>
      </c>
      <c r="F1695" s="2">
        <v>212196260</v>
      </c>
      <c r="G1695" s="2" t="s">
        <v>110</v>
      </c>
      <c r="H1695" s="2" t="s">
        <v>385</v>
      </c>
      <c r="I1695" s="2" t="s">
        <v>386</v>
      </c>
      <c r="J1695" s="2">
        <v>926769894</v>
      </c>
      <c r="K1695" s="2" t="s">
        <v>113</v>
      </c>
      <c r="L1695" s="2" t="s">
        <v>40</v>
      </c>
      <c r="O1695" s="2" t="s">
        <v>188</v>
      </c>
      <c r="P1695" s="2" t="s">
        <v>189</v>
      </c>
      <c r="Q1695" s="2" t="s">
        <v>190</v>
      </c>
      <c r="R1695" s="2">
        <v>1</v>
      </c>
      <c r="S1695" s="2">
        <v>171</v>
      </c>
      <c r="T1695" s="2">
        <v>39.33</v>
      </c>
      <c r="U1695" s="2">
        <v>210.33</v>
      </c>
      <c r="W1695" s="5">
        <f t="shared" si="172"/>
        <v>1</v>
      </c>
      <c r="Y1695" s="2" t="s">
        <v>118</v>
      </c>
      <c r="Z1695" s="2" t="s">
        <v>191</v>
      </c>
      <c r="AE1695" s="2">
        <f t="shared" si="168"/>
        <v>0</v>
      </c>
      <c r="AI1695" s="2">
        <f t="shared" si="169"/>
        <v>0</v>
      </c>
      <c r="AJ1695" s="2">
        <f t="shared" si="170"/>
        <v>171</v>
      </c>
      <c r="AK1695" s="5">
        <f t="shared" si="171"/>
        <v>1</v>
      </c>
    </row>
    <row r="1696" spans="1:37" x14ac:dyDescent="0.2">
      <c r="A1696" s="2">
        <v>2025</v>
      </c>
      <c r="B1696" s="2">
        <v>8</v>
      </c>
      <c r="C1696" s="2" t="s">
        <v>384</v>
      </c>
      <c r="D1696" s="2" t="s">
        <v>38</v>
      </c>
      <c r="E1696" s="2" t="s">
        <v>39</v>
      </c>
      <c r="F1696" s="2">
        <v>212196260</v>
      </c>
      <c r="G1696" s="2" t="s">
        <v>110</v>
      </c>
      <c r="H1696" s="2" t="s">
        <v>385</v>
      </c>
      <c r="I1696" s="2" t="s">
        <v>386</v>
      </c>
      <c r="J1696" s="2">
        <v>926769894</v>
      </c>
      <c r="K1696" s="2" t="s">
        <v>113</v>
      </c>
      <c r="L1696" s="2" t="s">
        <v>40</v>
      </c>
      <c r="O1696" s="2" t="s">
        <v>188</v>
      </c>
      <c r="P1696" s="2" t="s">
        <v>192</v>
      </c>
      <c r="Q1696" s="2" t="s">
        <v>191</v>
      </c>
      <c r="R1696" s="2">
        <v>1</v>
      </c>
      <c r="S1696" s="2">
        <v>50</v>
      </c>
      <c r="T1696" s="2">
        <v>11.5</v>
      </c>
      <c r="U1696" s="2">
        <v>61.5</v>
      </c>
      <c r="V1696" s="2">
        <f>S1696*50%</f>
        <v>25</v>
      </c>
      <c r="W1696" s="5">
        <f t="shared" si="172"/>
        <v>0.5</v>
      </c>
      <c r="Y1696" s="2" t="s">
        <v>118</v>
      </c>
      <c r="Z1696" s="2" t="s">
        <v>191</v>
      </c>
      <c r="AE1696" s="2">
        <f t="shared" si="168"/>
        <v>0</v>
      </c>
      <c r="AI1696" s="2">
        <f t="shared" si="169"/>
        <v>0</v>
      </c>
      <c r="AJ1696" s="2">
        <f t="shared" si="170"/>
        <v>25</v>
      </c>
      <c r="AK1696" s="5">
        <f t="shared" si="171"/>
        <v>0.5</v>
      </c>
    </row>
    <row r="1697" spans="1:37" x14ac:dyDescent="0.2">
      <c r="A1697" s="2">
        <v>2025</v>
      </c>
      <c r="B1697" s="2">
        <v>8</v>
      </c>
      <c r="C1697" s="2" t="s">
        <v>384</v>
      </c>
      <c r="D1697" s="2" t="s">
        <v>38</v>
      </c>
      <c r="E1697" s="2" t="s">
        <v>39</v>
      </c>
      <c r="F1697" s="2">
        <v>212196260</v>
      </c>
      <c r="G1697" s="2" t="s">
        <v>110</v>
      </c>
      <c r="H1697" s="2" t="s">
        <v>385</v>
      </c>
      <c r="I1697" s="2" t="s">
        <v>386</v>
      </c>
      <c r="J1697" s="2">
        <v>926769894</v>
      </c>
      <c r="K1697" s="2" t="s">
        <v>113</v>
      </c>
      <c r="O1697" s="2" t="s">
        <v>40</v>
      </c>
      <c r="P1697" s="2" t="s">
        <v>364</v>
      </c>
      <c r="Q1697" s="2" t="s">
        <v>365</v>
      </c>
      <c r="R1697" s="2">
        <v>1</v>
      </c>
      <c r="S1697" s="2">
        <v>267.18</v>
      </c>
      <c r="T1697" s="2">
        <v>61.451400000000007</v>
      </c>
      <c r="U1697" s="2">
        <v>328.63139999999999</v>
      </c>
      <c r="W1697" s="5">
        <f t="shared" si="172"/>
        <v>1</v>
      </c>
      <c r="Y1697" s="2" t="s">
        <v>120</v>
      </c>
      <c r="AE1697" s="2">
        <f t="shared" si="168"/>
        <v>0</v>
      </c>
      <c r="AI1697" s="2">
        <f t="shared" si="169"/>
        <v>0</v>
      </c>
      <c r="AJ1697" s="2">
        <f t="shared" si="170"/>
        <v>267.18</v>
      </c>
      <c r="AK1697" s="5">
        <f t="shared" si="171"/>
        <v>1</v>
      </c>
    </row>
    <row r="1698" spans="1:37" x14ac:dyDescent="0.2">
      <c r="A1698" s="2">
        <v>2025</v>
      </c>
      <c r="B1698" s="2">
        <v>8</v>
      </c>
      <c r="C1698" s="2" t="s">
        <v>1808</v>
      </c>
      <c r="L1698" s="2" t="s">
        <v>40</v>
      </c>
      <c r="O1698" s="2" t="s">
        <v>188</v>
      </c>
      <c r="P1698" s="2" t="s">
        <v>189</v>
      </c>
      <c r="Q1698" s="2" t="s">
        <v>190</v>
      </c>
      <c r="R1698" s="2">
        <v>1</v>
      </c>
      <c r="S1698" s="2">
        <v>55</v>
      </c>
      <c r="T1698" s="2">
        <v>12.65</v>
      </c>
      <c r="U1698" s="2">
        <v>67.650000000000006</v>
      </c>
      <c r="W1698" s="5">
        <f t="shared" si="172"/>
        <v>1</v>
      </c>
      <c r="Y1698" s="2" t="s">
        <v>118</v>
      </c>
      <c r="Z1698" s="2" t="s">
        <v>191</v>
      </c>
      <c r="AE1698" s="2">
        <f t="shared" si="168"/>
        <v>0</v>
      </c>
      <c r="AI1698" s="2">
        <f t="shared" si="169"/>
        <v>0</v>
      </c>
      <c r="AJ1698" s="2">
        <f t="shared" si="170"/>
        <v>55</v>
      </c>
      <c r="AK1698" s="5">
        <f t="shared" si="171"/>
        <v>1</v>
      </c>
    </row>
    <row r="1699" spans="1:37" x14ac:dyDescent="0.2">
      <c r="A1699" s="2">
        <v>2025</v>
      </c>
      <c r="B1699" s="2">
        <v>8</v>
      </c>
      <c r="C1699" s="2" t="s">
        <v>1808</v>
      </c>
      <c r="L1699" s="2" t="s">
        <v>40</v>
      </c>
      <c r="O1699" s="2" t="s">
        <v>188</v>
      </c>
      <c r="P1699" s="2" t="s">
        <v>192</v>
      </c>
      <c r="Q1699" s="2" t="s">
        <v>191</v>
      </c>
      <c r="R1699" s="2">
        <v>1.5</v>
      </c>
      <c r="S1699" s="2">
        <v>75</v>
      </c>
      <c r="T1699" s="2">
        <v>17.25</v>
      </c>
      <c r="U1699" s="2">
        <v>92.25</v>
      </c>
      <c r="V1699" s="2">
        <f>S1699*50%</f>
        <v>37.5</v>
      </c>
      <c r="W1699" s="5">
        <f t="shared" si="172"/>
        <v>0.5</v>
      </c>
      <c r="Y1699" s="2" t="s">
        <v>118</v>
      </c>
      <c r="Z1699" s="2" t="s">
        <v>191</v>
      </c>
      <c r="AE1699" s="2">
        <f t="shared" si="168"/>
        <v>0</v>
      </c>
      <c r="AI1699" s="2">
        <f t="shared" si="169"/>
        <v>0</v>
      </c>
      <c r="AJ1699" s="2">
        <f t="shared" si="170"/>
        <v>37.5</v>
      </c>
      <c r="AK1699" s="5">
        <f t="shared" si="171"/>
        <v>0.5</v>
      </c>
    </row>
    <row r="1700" spans="1:37" x14ac:dyDescent="0.2">
      <c r="A1700" s="2">
        <v>2025</v>
      </c>
      <c r="B1700" s="2">
        <v>8</v>
      </c>
      <c r="C1700" s="2" t="s">
        <v>790</v>
      </c>
      <c r="O1700" s="2" t="s">
        <v>43</v>
      </c>
      <c r="P1700" s="2" t="s">
        <v>49</v>
      </c>
      <c r="Q1700" s="2" t="s">
        <v>50</v>
      </c>
      <c r="R1700" s="2">
        <v>2</v>
      </c>
      <c r="S1700" s="2">
        <v>24</v>
      </c>
      <c r="T1700" s="2">
        <v>5.52</v>
      </c>
      <c r="U1700" s="2">
        <v>29.52</v>
      </c>
      <c r="V1700" s="2">
        <f>6.6267*R1700</f>
        <v>13.253399999999999</v>
      </c>
      <c r="W1700" s="5">
        <f t="shared" si="172"/>
        <v>0.44777500000000003</v>
      </c>
      <c r="Y1700" s="2" t="s">
        <v>3256</v>
      </c>
      <c r="Z1700" s="2" t="s">
        <v>46</v>
      </c>
      <c r="AA1700" s="2" t="s">
        <v>47</v>
      </c>
      <c r="AB1700" s="2" t="s">
        <v>48</v>
      </c>
      <c r="AE1700" s="2">
        <f t="shared" si="168"/>
        <v>0</v>
      </c>
      <c r="AF1700" s="2">
        <v>6.6266999999999996</v>
      </c>
      <c r="AG1700" s="2">
        <v>12</v>
      </c>
      <c r="AI1700" s="2">
        <f t="shared" si="169"/>
        <v>0</v>
      </c>
      <c r="AJ1700" s="2">
        <f t="shared" si="170"/>
        <v>10.746600000000001</v>
      </c>
      <c r="AK1700" s="5">
        <f t="shared" si="171"/>
        <v>0.44777500000000003</v>
      </c>
    </row>
    <row r="1701" spans="1:37" x14ac:dyDescent="0.2">
      <c r="A1701" s="2">
        <v>2025</v>
      </c>
      <c r="B1701" s="2">
        <v>8</v>
      </c>
      <c r="C1701" s="2" t="s">
        <v>790</v>
      </c>
      <c r="O1701" s="2" t="s">
        <v>43</v>
      </c>
      <c r="P1701" s="2" t="s">
        <v>161</v>
      </c>
      <c r="Q1701" s="2" t="s">
        <v>162</v>
      </c>
      <c r="R1701" s="2">
        <v>1</v>
      </c>
      <c r="S1701" s="2">
        <v>7.8</v>
      </c>
      <c r="T1701" s="2">
        <v>1.794</v>
      </c>
      <c r="U1701" s="2">
        <v>9.5939999999999994</v>
      </c>
      <c r="V1701" s="2">
        <f>3.7358*R1701</f>
        <v>3.7357999999999998</v>
      </c>
      <c r="W1701" s="5">
        <f t="shared" si="172"/>
        <v>0.52105128205128204</v>
      </c>
      <c r="Y1701" s="2" t="s">
        <v>3256</v>
      </c>
      <c r="Z1701" s="2" t="s">
        <v>46</v>
      </c>
      <c r="AA1701" s="2" t="s">
        <v>47</v>
      </c>
      <c r="AB1701" s="2" t="s">
        <v>48</v>
      </c>
      <c r="AE1701" s="2">
        <f t="shared" si="168"/>
        <v>0</v>
      </c>
      <c r="AF1701" s="2">
        <v>3.7357999999999998</v>
      </c>
      <c r="AG1701" s="2">
        <v>9</v>
      </c>
      <c r="AI1701" s="2">
        <f t="shared" si="169"/>
        <v>0</v>
      </c>
      <c r="AJ1701" s="2">
        <f t="shared" si="170"/>
        <v>4.0641999999999996</v>
      </c>
      <c r="AK1701" s="5">
        <f t="shared" si="171"/>
        <v>0.52105128205128204</v>
      </c>
    </row>
    <row r="1702" spans="1:37" x14ac:dyDescent="0.2">
      <c r="A1702" s="2">
        <v>2025</v>
      </c>
      <c r="B1702" s="2">
        <v>8</v>
      </c>
      <c r="C1702" s="2" t="s">
        <v>414</v>
      </c>
      <c r="D1702" s="2" t="s">
        <v>38</v>
      </c>
      <c r="F1702" s="2">
        <v>508259509</v>
      </c>
      <c r="G1702" s="2" t="s">
        <v>40</v>
      </c>
      <c r="H1702" s="2" t="s">
        <v>340</v>
      </c>
      <c r="K1702" s="2" t="s">
        <v>340</v>
      </c>
      <c r="L1702" s="2" t="s">
        <v>40</v>
      </c>
      <c r="N1702" s="2" t="s">
        <v>1809</v>
      </c>
      <c r="O1702" s="2" t="s">
        <v>115</v>
      </c>
      <c r="P1702" s="2" t="s">
        <v>1810</v>
      </c>
      <c r="Q1702" s="2" t="s">
        <v>1811</v>
      </c>
      <c r="R1702" s="2">
        <v>1</v>
      </c>
      <c r="S1702" s="2">
        <v>7500</v>
      </c>
      <c r="T1702" s="2">
        <v>1725</v>
      </c>
      <c r="U1702" s="2">
        <v>9225</v>
      </c>
      <c r="V1702" s="2">
        <v>6489.85</v>
      </c>
      <c r="W1702" s="5">
        <f t="shared" si="172"/>
        <v>0.13468666666666662</v>
      </c>
      <c r="Y1702" s="2" t="s">
        <v>105</v>
      </c>
      <c r="Z1702" s="2" t="s">
        <v>151</v>
      </c>
      <c r="AA1702" s="2" t="s">
        <v>152</v>
      </c>
      <c r="AB1702" s="2" t="s">
        <v>115</v>
      </c>
      <c r="AE1702" s="2">
        <f t="shared" si="168"/>
        <v>0</v>
      </c>
      <c r="AF1702" s="2">
        <f>6330+159.85</f>
        <v>6489.85</v>
      </c>
      <c r="AI1702" s="2">
        <f t="shared" si="169"/>
        <v>0</v>
      </c>
      <c r="AJ1702" s="2">
        <f t="shared" si="170"/>
        <v>1010.1499999999996</v>
      </c>
      <c r="AK1702" s="5">
        <f t="shared" si="171"/>
        <v>0.13468666666666662</v>
      </c>
    </row>
    <row r="1703" spans="1:37" x14ac:dyDescent="0.2">
      <c r="A1703" s="2">
        <v>2025</v>
      </c>
      <c r="B1703" s="2">
        <v>8</v>
      </c>
      <c r="C1703" s="2" t="s">
        <v>419</v>
      </c>
      <c r="D1703" s="2" t="s">
        <v>38</v>
      </c>
      <c r="E1703" s="2" t="s">
        <v>39</v>
      </c>
      <c r="F1703" s="2">
        <v>219908800</v>
      </c>
      <c r="G1703" s="2" t="s">
        <v>41</v>
      </c>
      <c r="H1703" s="2" t="s">
        <v>420</v>
      </c>
      <c r="I1703" s="2" t="s">
        <v>421</v>
      </c>
      <c r="K1703" s="2" t="s">
        <v>422</v>
      </c>
      <c r="L1703" s="2" t="s">
        <v>41</v>
      </c>
      <c r="O1703" s="2" t="s">
        <v>43</v>
      </c>
      <c r="P1703" s="2" t="s">
        <v>55</v>
      </c>
      <c r="Q1703" s="2" t="s">
        <v>56</v>
      </c>
      <c r="R1703" s="2">
        <v>4</v>
      </c>
      <c r="S1703" s="2">
        <v>72</v>
      </c>
      <c r="T1703" s="2">
        <v>16.559999999999999</v>
      </c>
      <c r="U1703" s="2">
        <v>88.56</v>
      </c>
      <c r="V1703" s="2">
        <f>10.6*R1703</f>
        <v>42.4</v>
      </c>
      <c r="W1703" s="5">
        <f t="shared" si="172"/>
        <v>0.41111111111111115</v>
      </c>
      <c r="Y1703" s="2" t="s">
        <v>3256</v>
      </c>
      <c r="Z1703" s="2" t="s">
        <v>46</v>
      </c>
      <c r="AA1703" s="2" t="s">
        <v>57</v>
      </c>
      <c r="AB1703" s="2" t="s">
        <v>58</v>
      </c>
      <c r="AE1703" s="2">
        <f t="shared" si="168"/>
        <v>0</v>
      </c>
      <c r="AF1703" s="2">
        <v>10.6</v>
      </c>
      <c r="AG1703" s="2">
        <v>18</v>
      </c>
      <c r="AI1703" s="2">
        <f t="shared" si="169"/>
        <v>0</v>
      </c>
      <c r="AJ1703" s="2">
        <f t="shared" si="170"/>
        <v>29.6</v>
      </c>
      <c r="AK1703" s="5">
        <f t="shared" si="171"/>
        <v>0.41111111111111115</v>
      </c>
    </row>
    <row r="1704" spans="1:37" x14ac:dyDescent="0.2">
      <c r="A1704" s="2">
        <v>2025</v>
      </c>
      <c r="B1704" s="2">
        <v>8</v>
      </c>
      <c r="C1704" s="2" t="s">
        <v>1024</v>
      </c>
      <c r="O1704" s="2" t="s">
        <v>283</v>
      </c>
      <c r="P1704" s="2" t="s">
        <v>1246</v>
      </c>
      <c r="Q1704" s="2" t="s">
        <v>1247</v>
      </c>
      <c r="R1704" s="2">
        <v>2</v>
      </c>
      <c r="S1704" s="2">
        <v>140</v>
      </c>
      <c r="T1704" s="2">
        <v>32.200000000000003</v>
      </c>
      <c r="U1704" s="2">
        <v>172.2</v>
      </c>
      <c r="W1704" s="5">
        <f t="shared" si="172"/>
        <v>1</v>
      </c>
      <c r="Y1704" s="2" t="s">
        <v>3256</v>
      </c>
      <c r="AE1704" s="2">
        <f t="shared" si="168"/>
        <v>0</v>
      </c>
      <c r="AI1704" s="2">
        <f t="shared" si="169"/>
        <v>0</v>
      </c>
      <c r="AJ1704" s="2">
        <f t="shared" si="170"/>
        <v>140</v>
      </c>
      <c r="AK1704" s="5">
        <f t="shared" si="171"/>
        <v>1</v>
      </c>
    </row>
    <row r="1705" spans="1:37" x14ac:dyDescent="0.2">
      <c r="A1705" s="2">
        <v>2025</v>
      </c>
      <c r="B1705" s="2">
        <v>8</v>
      </c>
      <c r="C1705" s="2" t="s">
        <v>1024</v>
      </c>
      <c r="O1705" s="2" t="s">
        <v>283</v>
      </c>
      <c r="P1705" s="2" t="s">
        <v>1548</v>
      </c>
      <c r="Q1705" s="2" t="s">
        <v>1549</v>
      </c>
      <c r="R1705" s="2">
        <v>1</v>
      </c>
      <c r="S1705" s="2">
        <v>27</v>
      </c>
      <c r="T1705" s="2">
        <v>6.21</v>
      </c>
      <c r="U1705" s="2">
        <v>33.21</v>
      </c>
      <c r="W1705" s="5">
        <f t="shared" si="172"/>
        <v>1</v>
      </c>
      <c r="Y1705" s="2" t="s">
        <v>3256</v>
      </c>
      <c r="Z1705" s="2" t="s">
        <v>583</v>
      </c>
      <c r="AA1705" s="2" t="s">
        <v>120</v>
      </c>
      <c r="AB1705" s="2" t="s">
        <v>1337</v>
      </c>
      <c r="AE1705" s="2">
        <f t="shared" si="168"/>
        <v>0</v>
      </c>
      <c r="AI1705" s="2">
        <f t="shared" si="169"/>
        <v>0</v>
      </c>
      <c r="AJ1705" s="2">
        <f t="shared" si="170"/>
        <v>27</v>
      </c>
      <c r="AK1705" s="5">
        <f t="shared" si="171"/>
        <v>1</v>
      </c>
    </row>
    <row r="1706" spans="1:37" x14ac:dyDescent="0.2">
      <c r="A1706" s="2">
        <v>2025</v>
      </c>
      <c r="B1706" s="2">
        <v>8</v>
      </c>
      <c r="C1706" s="2" t="s">
        <v>1024</v>
      </c>
      <c r="O1706" s="2" t="s">
        <v>43</v>
      </c>
      <c r="P1706" s="2" t="s">
        <v>66</v>
      </c>
      <c r="Q1706" s="2" t="s">
        <v>67</v>
      </c>
      <c r="R1706" s="2">
        <v>2</v>
      </c>
      <c r="S1706" s="2">
        <v>48</v>
      </c>
      <c r="T1706" s="2">
        <v>11.04</v>
      </c>
      <c r="U1706" s="2">
        <v>59.04</v>
      </c>
      <c r="V1706" s="2">
        <f>15.0203*R1706</f>
        <v>30.040600000000001</v>
      </c>
      <c r="W1706" s="5">
        <f t="shared" si="172"/>
        <v>0.37415416666666662</v>
      </c>
      <c r="Y1706" s="2" t="s">
        <v>3256</v>
      </c>
      <c r="Z1706" s="2" t="s">
        <v>46</v>
      </c>
      <c r="AA1706" s="2" t="s">
        <v>68</v>
      </c>
      <c r="AB1706" s="2" t="s">
        <v>58</v>
      </c>
      <c r="AE1706" s="2">
        <f t="shared" si="168"/>
        <v>0</v>
      </c>
      <c r="AF1706" s="2">
        <v>15.020300000000001</v>
      </c>
      <c r="AG1706" s="2">
        <v>27.6</v>
      </c>
      <c r="AI1706" s="2">
        <f t="shared" si="169"/>
        <v>0</v>
      </c>
      <c r="AJ1706" s="2">
        <f t="shared" si="170"/>
        <v>17.959399999999999</v>
      </c>
      <c r="AK1706" s="5">
        <f t="shared" si="171"/>
        <v>0.37415416666666662</v>
      </c>
    </row>
    <row r="1707" spans="1:37" x14ac:dyDescent="0.2">
      <c r="A1707" s="2">
        <v>2025</v>
      </c>
      <c r="B1707" s="2">
        <v>8</v>
      </c>
      <c r="C1707" s="2" t="s">
        <v>426</v>
      </c>
      <c r="D1707" s="2" t="s">
        <v>99</v>
      </c>
      <c r="E1707" s="2" t="s">
        <v>39</v>
      </c>
      <c r="F1707" s="2">
        <v>503523470</v>
      </c>
      <c r="G1707" s="2" t="s">
        <v>40</v>
      </c>
      <c r="H1707" s="2" t="s">
        <v>427</v>
      </c>
      <c r="I1707" s="2" t="s">
        <v>428</v>
      </c>
      <c r="K1707" s="2" t="s">
        <v>202</v>
      </c>
      <c r="L1707" s="2" t="s">
        <v>81</v>
      </c>
      <c r="O1707" s="2" t="s">
        <v>43</v>
      </c>
      <c r="P1707" s="2" t="s">
        <v>235</v>
      </c>
      <c r="Q1707" s="2" t="s">
        <v>236</v>
      </c>
      <c r="R1707" s="2">
        <v>1</v>
      </c>
      <c r="S1707" s="2">
        <v>13.2</v>
      </c>
      <c r="T1707" s="2">
        <v>3.036</v>
      </c>
      <c r="U1707" s="2">
        <v>16.236000000000001</v>
      </c>
      <c r="V1707" s="2">
        <v>7.2217000000000002</v>
      </c>
      <c r="W1707" s="5">
        <f t="shared" si="172"/>
        <v>0.45290151515151511</v>
      </c>
      <c r="Y1707" s="2" t="s">
        <v>3256</v>
      </c>
      <c r="Z1707" s="2" t="s">
        <v>46</v>
      </c>
      <c r="AA1707" s="2" t="s">
        <v>57</v>
      </c>
      <c r="AB1707" s="2" t="s">
        <v>58</v>
      </c>
      <c r="AE1707" s="2">
        <f t="shared" si="168"/>
        <v>0</v>
      </c>
      <c r="AF1707" s="2">
        <v>7.2217000000000002</v>
      </c>
      <c r="AG1707" s="2">
        <v>14.4</v>
      </c>
      <c r="AI1707" s="2">
        <f t="shared" si="169"/>
        <v>0</v>
      </c>
      <c r="AJ1707" s="2">
        <f t="shared" si="170"/>
        <v>5.9782999999999991</v>
      </c>
      <c r="AK1707" s="5">
        <f t="shared" si="171"/>
        <v>0.45290151515151511</v>
      </c>
    </row>
    <row r="1708" spans="1:37" x14ac:dyDescent="0.2">
      <c r="A1708" s="2">
        <v>2025</v>
      </c>
      <c r="B1708" s="2">
        <v>8</v>
      </c>
      <c r="C1708" s="2" t="s">
        <v>426</v>
      </c>
      <c r="D1708" s="2" t="s">
        <v>99</v>
      </c>
      <c r="E1708" s="2" t="s">
        <v>39</v>
      </c>
      <c r="F1708" s="2">
        <v>503523470</v>
      </c>
      <c r="G1708" s="2" t="s">
        <v>40</v>
      </c>
      <c r="H1708" s="2" t="s">
        <v>427</v>
      </c>
      <c r="I1708" s="2" t="s">
        <v>428</v>
      </c>
      <c r="K1708" s="2" t="s">
        <v>202</v>
      </c>
      <c r="L1708" s="2" t="s">
        <v>81</v>
      </c>
      <c r="O1708" s="2" t="s">
        <v>43</v>
      </c>
      <c r="P1708" s="2" t="s">
        <v>237</v>
      </c>
      <c r="Q1708" s="2" t="s">
        <v>238</v>
      </c>
      <c r="R1708" s="2">
        <v>1</v>
      </c>
      <c r="S1708" s="2">
        <v>16.2</v>
      </c>
      <c r="T1708" s="2">
        <v>3.726</v>
      </c>
      <c r="U1708" s="2">
        <v>19.925999999999998</v>
      </c>
      <c r="W1708" s="5">
        <f t="shared" si="172"/>
        <v>1</v>
      </c>
      <c r="Y1708" s="2" t="s">
        <v>3256</v>
      </c>
      <c r="Z1708" s="2" t="s">
        <v>46</v>
      </c>
      <c r="AA1708" s="2" t="s">
        <v>57</v>
      </c>
      <c r="AB1708" s="2" t="s">
        <v>58</v>
      </c>
      <c r="AE1708" s="2">
        <f t="shared" si="168"/>
        <v>0</v>
      </c>
      <c r="AI1708" s="2">
        <f t="shared" si="169"/>
        <v>0</v>
      </c>
      <c r="AJ1708" s="2">
        <f t="shared" si="170"/>
        <v>16.2</v>
      </c>
      <c r="AK1708" s="5">
        <f t="shared" si="171"/>
        <v>1</v>
      </c>
    </row>
    <row r="1709" spans="1:37" x14ac:dyDescent="0.2">
      <c r="A1709" s="2">
        <v>2025</v>
      </c>
      <c r="B1709" s="2">
        <v>8</v>
      </c>
      <c r="C1709" s="2" t="s">
        <v>426</v>
      </c>
      <c r="D1709" s="2" t="s">
        <v>99</v>
      </c>
      <c r="E1709" s="2" t="s">
        <v>39</v>
      </c>
      <c r="F1709" s="2">
        <v>503523470</v>
      </c>
      <c r="G1709" s="2" t="s">
        <v>40</v>
      </c>
      <c r="H1709" s="2" t="s">
        <v>427</v>
      </c>
      <c r="I1709" s="2" t="s">
        <v>428</v>
      </c>
      <c r="K1709" s="2" t="s">
        <v>202</v>
      </c>
      <c r="L1709" s="2" t="s">
        <v>81</v>
      </c>
      <c r="O1709" s="2" t="s">
        <v>43</v>
      </c>
      <c r="P1709" s="2" t="s">
        <v>239</v>
      </c>
      <c r="Q1709" s="2" t="s">
        <v>240</v>
      </c>
      <c r="R1709" s="2">
        <v>1</v>
      </c>
      <c r="S1709" s="2">
        <v>19.8</v>
      </c>
      <c r="T1709" s="2">
        <v>4.5540000000000003</v>
      </c>
      <c r="U1709" s="2">
        <v>24.353999999999999</v>
      </c>
      <c r="W1709" s="5">
        <f t="shared" si="172"/>
        <v>1</v>
      </c>
      <c r="Y1709" s="2" t="s">
        <v>3256</v>
      </c>
      <c r="Z1709" s="2" t="s">
        <v>46</v>
      </c>
      <c r="AA1709" s="2" t="s">
        <v>57</v>
      </c>
      <c r="AB1709" s="2" t="s">
        <v>58</v>
      </c>
      <c r="AE1709" s="2">
        <f t="shared" si="168"/>
        <v>0</v>
      </c>
      <c r="AI1709" s="2">
        <f t="shared" si="169"/>
        <v>0</v>
      </c>
      <c r="AJ1709" s="2">
        <f t="shared" si="170"/>
        <v>19.8</v>
      </c>
      <c r="AK1709" s="5">
        <f t="shared" si="171"/>
        <v>1</v>
      </c>
    </row>
    <row r="1710" spans="1:37" x14ac:dyDescent="0.2">
      <c r="A1710" s="2">
        <v>2025</v>
      </c>
      <c r="B1710" s="2">
        <v>8</v>
      </c>
      <c r="C1710" s="2" t="s">
        <v>426</v>
      </c>
      <c r="D1710" s="2" t="s">
        <v>99</v>
      </c>
      <c r="E1710" s="2" t="s">
        <v>39</v>
      </c>
      <c r="F1710" s="2">
        <v>503523470</v>
      </c>
      <c r="G1710" s="2" t="s">
        <v>40</v>
      </c>
      <c r="H1710" s="2" t="s">
        <v>427</v>
      </c>
      <c r="I1710" s="2" t="s">
        <v>428</v>
      </c>
      <c r="K1710" s="2" t="s">
        <v>202</v>
      </c>
      <c r="L1710" s="2" t="s">
        <v>81</v>
      </c>
      <c r="O1710" s="2" t="s">
        <v>43</v>
      </c>
      <c r="P1710" s="2" t="s">
        <v>55</v>
      </c>
      <c r="Q1710" s="2" t="s">
        <v>56</v>
      </c>
      <c r="R1710" s="2">
        <v>1</v>
      </c>
      <c r="S1710" s="2">
        <v>22.8</v>
      </c>
      <c r="T1710" s="2">
        <v>5.2440000000000007</v>
      </c>
      <c r="U1710" s="2">
        <v>28.044</v>
      </c>
      <c r="V1710" s="2">
        <f>10.6*R1710</f>
        <v>10.6</v>
      </c>
      <c r="W1710" s="5">
        <f t="shared" si="172"/>
        <v>0.53508771929824561</v>
      </c>
      <c r="Y1710" s="2" t="s">
        <v>3256</v>
      </c>
      <c r="Z1710" s="2" t="s">
        <v>46</v>
      </c>
      <c r="AA1710" s="2" t="s">
        <v>57</v>
      </c>
      <c r="AB1710" s="2" t="s">
        <v>58</v>
      </c>
      <c r="AE1710" s="2">
        <f t="shared" si="168"/>
        <v>0</v>
      </c>
      <c r="AF1710" s="2">
        <v>10.6</v>
      </c>
      <c r="AG1710" s="2">
        <v>18</v>
      </c>
      <c r="AI1710" s="2">
        <f t="shared" si="169"/>
        <v>0</v>
      </c>
      <c r="AJ1710" s="2">
        <f t="shared" si="170"/>
        <v>12.200000000000001</v>
      </c>
      <c r="AK1710" s="5">
        <f t="shared" si="171"/>
        <v>0.53508771929824561</v>
      </c>
    </row>
    <row r="1711" spans="1:37" x14ac:dyDescent="0.2">
      <c r="A1711" s="2">
        <v>2025</v>
      </c>
      <c r="B1711" s="2">
        <v>8</v>
      </c>
      <c r="C1711" s="2" t="s">
        <v>426</v>
      </c>
      <c r="D1711" s="2" t="s">
        <v>99</v>
      </c>
      <c r="E1711" s="2" t="s">
        <v>39</v>
      </c>
      <c r="F1711" s="2">
        <v>503523470</v>
      </c>
      <c r="G1711" s="2" t="s">
        <v>40</v>
      </c>
      <c r="H1711" s="2" t="s">
        <v>427</v>
      </c>
      <c r="I1711" s="2" t="s">
        <v>428</v>
      </c>
      <c r="K1711" s="2" t="s">
        <v>202</v>
      </c>
      <c r="L1711" s="2" t="s">
        <v>81</v>
      </c>
      <c r="O1711" s="2" t="s">
        <v>43</v>
      </c>
      <c r="P1711" s="2" t="s">
        <v>62</v>
      </c>
      <c r="Q1711" s="2" t="s">
        <v>63</v>
      </c>
      <c r="R1711" s="2">
        <v>100</v>
      </c>
      <c r="S1711" s="2">
        <v>13</v>
      </c>
      <c r="T1711" s="2">
        <v>2.99</v>
      </c>
      <c r="U1711" s="2">
        <v>15.99</v>
      </c>
      <c r="V1711" s="2">
        <f>0.082*R1711</f>
        <v>8.2000000000000011</v>
      </c>
      <c r="W1711" s="5">
        <f t="shared" si="172"/>
        <v>0.36923076923076914</v>
      </c>
      <c r="Y1711" s="2" t="s">
        <v>3256</v>
      </c>
      <c r="Z1711" s="2" t="s">
        <v>46</v>
      </c>
      <c r="AA1711" s="2" t="s">
        <v>61</v>
      </c>
      <c r="AB1711" s="2" t="s">
        <v>58</v>
      </c>
      <c r="AE1711" s="2">
        <f t="shared" si="168"/>
        <v>0</v>
      </c>
      <c r="AF1711" s="2">
        <v>8.1999999999999993</v>
      </c>
      <c r="AG1711" s="2">
        <v>13</v>
      </c>
      <c r="AI1711" s="2">
        <f t="shared" si="169"/>
        <v>0</v>
      </c>
      <c r="AJ1711" s="2">
        <f t="shared" si="170"/>
        <v>4.7999999999999989</v>
      </c>
      <c r="AK1711" s="5">
        <f t="shared" si="171"/>
        <v>0.36923076923076914</v>
      </c>
    </row>
    <row r="1712" spans="1:37" x14ac:dyDescent="0.2">
      <c r="A1712" s="2">
        <v>2025</v>
      </c>
      <c r="B1712" s="2">
        <v>8</v>
      </c>
      <c r="C1712" s="2" t="s">
        <v>426</v>
      </c>
      <c r="D1712" s="2" t="s">
        <v>99</v>
      </c>
      <c r="E1712" s="2" t="s">
        <v>39</v>
      </c>
      <c r="F1712" s="2">
        <v>503523470</v>
      </c>
      <c r="G1712" s="2" t="s">
        <v>40</v>
      </c>
      <c r="H1712" s="2" t="s">
        <v>427</v>
      </c>
      <c r="I1712" s="2" t="s">
        <v>428</v>
      </c>
      <c r="K1712" s="2" t="s">
        <v>202</v>
      </c>
      <c r="L1712" s="2" t="s">
        <v>81</v>
      </c>
      <c r="O1712" s="2" t="s">
        <v>43</v>
      </c>
      <c r="P1712" s="2" t="s">
        <v>257</v>
      </c>
      <c r="Q1712" s="2" t="s">
        <v>258</v>
      </c>
      <c r="R1712" s="2">
        <v>1</v>
      </c>
      <c r="S1712" s="2">
        <v>3</v>
      </c>
      <c r="T1712" s="2">
        <v>0.69000000000000006</v>
      </c>
      <c r="U1712" s="2">
        <v>3.69</v>
      </c>
      <c r="W1712" s="5">
        <f t="shared" si="172"/>
        <v>1</v>
      </c>
      <c r="Y1712" s="2" t="s">
        <v>3256</v>
      </c>
      <c r="Z1712" s="2" t="s">
        <v>46</v>
      </c>
      <c r="AA1712" s="2" t="s">
        <v>91</v>
      </c>
      <c r="AB1712" s="2" t="s">
        <v>58</v>
      </c>
      <c r="AE1712" s="2">
        <f t="shared" si="168"/>
        <v>0</v>
      </c>
      <c r="AI1712" s="2">
        <f t="shared" si="169"/>
        <v>0</v>
      </c>
      <c r="AJ1712" s="2">
        <f t="shared" si="170"/>
        <v>3</v>
      </c>
      <c r="AK1712" s="5">
        <f t="shared" si="171"/>
        <v>1</v>
      </c>
    </row>
    <row r="1713" spans="1:37" x14ac:dyDescent="0.2">
      <c r="A1713" s="2">
        <v>2025</v>
      </c>
      <c r="B1713" s="2">
        <v>8</v>
      </c>
      <c r="C1713" s="2" t="s">
        <v>426</v>
      </c>
      <c r="D1713" s="2" t="s">
        <v>99</v>
      </c>
      <c r="E1713" s="2" t="s">
        <v>39</v>
      </c>
      <c r="F1713" s="2">
        <v>503523470</v>
      </c>
      <c r="G1713" s="2" t="s">
        <v>40</v>
      </c>
      <c r="H1713" s="2" t="s">
        <v>427</v>
      </c>
      <c r="I1713" s="2" t="s">
        <v>428</v>
      </c>
      <c r="K1713" s="2" t="s">
        <v>202</v>
      </c>
      <c r="L1713" s="2" t="s">
        <v>81</v>
      </c>
      <c r="O1713" s="2" t="s">
        <v>85</v>
      </c>
      <c r="P1713" s="2" t="s">
        <v>269</v>
      </c>
      <c r="Q1713" s="2" t="s">
        <v>270</v>
      </c>
      <c r="R1713" s="2">
        <v>1</v>
      </c>
      <c r="S1713" s="2">
        <v>4.8</v>
      </c>
      <c r="T1713" s="2">
        <v>1.1040000000000001</v>
      </c>
      <c r="U1713" s="2">
        <v>5.9039999999999999</v>
      </c>
      <c r="V1713" s="2">
        <v>2.4154</v>
      </c>
      <c r="W1713" s="5">
        <f t="shared" si="172"/>
        <v>0.49679166666666663</v>
      </c>
      <c r="Y1713" s="2" t="s">
        <v>3256</v>
      </c>
      <c r="Z1713" s="2" t="s">
        <v>88</v>
      </c>
      <c r="AA1713" s="2" t="s">
        <v>91</v>
      </c>
      <c r="AB1713" s="2" t="s">
        <v>85</v>
      </c>
      <c r="AE1713" s="2">
        <f t="shared" si="168"/>
        <v>0</v>
      </c>
      <c r="AI1713" s="2">
        <f t="shared" si="169"/>
        <v>0</v>
      </c>
      <c r="AJ1713" s="2">
        <f t="shared" si="170"/>
        <v>2.3845999999999998</v>
      </c>
      <c r="AK1713" s="5">
        <f t="shared" si="171"/>
        <v>0.49679166666666663</v>
      </c>
    </row>
    <row r="1714" spans="1:37" x14ac:dyDescent="0.2">
      <c r="A1714" s="2">
        <v>2025</v>
      </c>
      <c r="B1714" s="2">
        <v>8</v>
      </c>
      <c r="C1714" s="2" t="s">
        <v>429</v>
      </c>
      <c r="D1714" s="2" t="s">
        <v>99</v>
      </c>
      <c r="E1714" s="2" t="s">
        <v>39</v>
      </c>
      <c r="F1714" s="2">
        <v>510613888</v>
      </c>
      <c r="G1714" s="2" t="s">
        <v>40</v>
      </c>
      <c r="H1714" s="2" t="s">
        <v>430</v>
      </c>
      <c r="I1714" s="2" t="s">
        <v>431</v>
      </c>
      <c r="K1714" s="2" t="s">
        <v>100</v>
      </c>
      <c r="L1714" s="2" t="s">
        <v>81</v>
      </c>
      <c r="O1714" s="2" t="s">
        <v>43</v>
      </c>
      <c r="P1714" s="2" t="s">
        <v>62</v>
      </c>
      <c r="Q1714" s="2" t="s">
        <v>63</v>
      </c>
      <c r="R1714" s="2">
        <v>100</v>
      </c>
      <c r="S1714" s="2">
        <v>13</v>
      </c>
      <c r="T1714" s="2">
        <v>2.99</v>
      </c>
      <c r="U1714" s="2">
        <v>15.99</v>
      </c>
      <c r="V1714" s="2">
        <f>0.082*R1714</f>
        <v>8.2000000000000011</v>
      </c>
      <c r="W1714" s="5">
        <f t="shared" si="172"/>
        <v>0.36923076923076914</v>
      </c>
      <c r="Y1714" s="2" t="s">
        <v>3256</v>
      </c>
      <c r="Z1714" s="2" t="s">
        <v>46</v>
      </c>
      <c r="AA1714" s="2" t="s">
        <v>61</v>
      </c>
      <c r="AB1714" s="2" t="s">
        <v>58</v>
      </c>
      <c r="AE1714" s="2">
        <f t="shared" si="168"/>
        <v>0</v>
      </c>
      <c r="AF1714" s="2">
        <v>8.1999999999999993</v>
      </c>
      <c r="AG1714" s="2">
        <v>13</v>
      </c>
      <c r="AI1714" s="2">
        <f t="shared" si="169"/>
        <v>0</v>
      </c>
      <c r="AJ1714" s="2">
        <f t="shared" si="170"/>
        <v>4.7999999999999989</v>
      </c>
      <c r="AK1714" s="5">
        <f t="shared" si="171"/>
        <v>0.36923076923076914</v>
      </c>
    </row>
    <row r="1715" spans="1:37" x14ac:dyDescent="0.2">
      <c r="A1715" s="2">
        <v>2025</v>
      </c>
      <c r="B1715" s="2">
        <v>8</v>
      </c>
      <c r="C1715" s="2" t="s">
        <v>429</v>
      </c>
      <c r="D1715" s="2" t="s">
        <v>99</v>
      </c>
      <c r="E1715" s="2" t="s">
        <v>39</v>
      </c>
      <c r="F1715" s="2">
        <v>510613888</v>
      </c>
      <c r="G1715" s="2" t="s">
        <v>40</v>
      </c>
      <c r="H1715" s="2" t="s">
        <v>430</v>
      </c>
      <c r="I1715" s="2" t="s">
        <v>431</v>
      </c>
      <c r="K1715" s="2" t="s">
        <v>100</v>
      </c>
      <c r="L1715" s="2" t="s">
        <v>81</v>
      </c>
      <c r="O1715" s="2" t="s">
        <v>43</v>
      </c>
      <c r="P1715" s="2" t="s">
        <v>66</v>
      </c>
      <c r="Q1715" s="2" t="s">
        <v>67</v>
      </c>
      <c r="R1715" s="2">
        <v>2</v>
      </c>
      <c r="S1715" s="2">
        <v>42</v>
      </c>
      <c r="T1715" s="2">
        <v>9.66</v>
      </c>
      <c r="U1715" s="2">
        <v>51.66</v>
      </c>
      <c r="V1715" s="2">
        <f>15.0203*R1715</f>
        <v>30.040600000000001</v>
      </c>
      <c r="W1715" s="5">
        <f t="shared" si="172"/>
        <v>0.28474761904761903</v>
      </c>
      <c r="Y1715" s="2" t="s">
        <v>3256</v>
      </c>
      <c r="Z1715" s="2" t="s">
        <v>46</v>
      </c>
      <c r="AA1715" s="2" t="s">
        <v>68</v>
      </c>
      <c r="AB1715" s="2" t="s">
        <v>58</v>
      </c>
      <c r="AE1715" s="2">
        <f t="shared" si="168"/>
        <v>0</v>
      </c>
      <c r="AF1715" s="2">
        <v>15.020300000000001</v>
      </c>
      <c r="AG1715" s="2">
        <v>27.6</v>
      </c>
      <c r="AI1715" s="2">
        <f t="shared" si="169"/>
        <v>0</v>
      </c>
      <c r="AJ1715" s="2">
        <f t="shared" si="170"/>
        <v>11.959399999999999</v>
      </c>
      <c r="AK1715" s="5">
        <f t="shared" si="171"/>
        <v>0.28474761904761903</v>
      </c>
    </row>
    <row r="1716" spans="1:37" x14ac:dyDescent="0.2">
      <c r="A1716" s="2">
        <v>2025</v>
      </c>
      <c r="B1716" s="2">
        <v>8</v>
      </c>
      <c r="C1716" s="2" t="s">
        <v>1569</v>
      </c>
      <c r="D1716" s="2" t="s">
        <v>109</v>
      </c>
      <c r="E1716" s="2" t="s">
        <v>723</v>
      </c>
      <c r="F1716" s="2">
        <v>500975914</v>
      </c>
      <c r="G1716" s="2" t="s">
        <v>41</v>
      </c>
      <c r="H1716" s="2" t="s">
        <v>1570</v>
      </c>
      <c r="I1716" s="2" t="s">
        <v>1571</v>
      </c>
      <c r="K1716" s="2" t="s">
        <v>100</v>
      </c>
      <c r="L1716" s="2" t="s">
        <v>41</v>
      </c>
      <c r="O1716" s="2" t="s">
        <v>283</v>
      </c>
      <c r="P1716" s="2" t="s">
        <v>1563</v>
      </c>
      <c r="Q1716" s="2" t="s">
        <v>1564</v>
      </c>
      <c r="R1716" s="2">
        <v>1</v>
      </c>
      <c r="S1716" s="2">
        <v>0</v>
      </c>
      <c r="T1716" s="2">
        <v>0</v>
      </c>
      <c r="U1716" s="2">
        <v>0</v>
      </c>
      <c r="W1716" s="5" t="e">
        <f t="shared" si="172"/>
        <v>#DIV/0!</v>
      </c>
      <c r="AE1716" s="2">
        <f t="shared" si="168"/>
        <v>0</v>
      </c>
      <c r="AI1716" s="2">
        <f t="shared" si="169"/>
        <v>0</v>
      </c>
      <c r="AJ1716" s="2">
        <f t="shared" si="170"/>
        <v>0</v>
      </c>
      <c r="AK1716" s="5" t="e">
        <f t="shared" si="171"/>
        <v>#DIV/0!</v>
      </c>
    </row>
    <row r="1717" spans="1:37" x14ac:dyDescent="0.2">
      <c r="A1717" s="2">
        <v>2025</v>
      </c>
      <c r="B1717" s="2">
        <v>8</v>
      </c>
      <c r="C1717" s="2" t="s">
        <v>1569</v>
      </c>
      <c r="D1717" s="2" t="s">
        <v>109</v>
      </c>
      <c r="E1717" s="2" t="s">
        <v>723</v>
      </c>
      <c r="F1717" s="2">
        <v>500975914</v>
      </c>
      <c r="G1717" s="2" t="s">
        <v>41</v>
      </c>
      <c r="H1717" s="2" t="s">
        <v>1570</v>
      </c>
      <c r="I1717" s="2" t="s">
        <v>1571</v>
      </c>
      <c r="K1717" s="2" t="s">
        <v>100</v>
      </c>
      <c r="L1717" s="2" t="s">
        <v>41</v>
      </c>
      <c r="O1717" s="2" t="s">
        <v>283</v>
      </c>
      <c r="P1717" s="2" t="s">
        <v>401</v>
      </c>
      <c r="Q1717" s="2" t="s">
        <v>402</v>
      </c>
      <c r="R1717" s="2">
        <v>20</v>
      </c>
      <c r="S1717" s="2">
        <v>580</v>
      </c>
      <c r="T1717" s="2">
        <v>133.4</v>
      </c>
      <c r="U1717" s="2">
        <v>713.4</v>
      </c>
      <c r="W1717" s="5">
        <f t="shared" si="172"/>
        <v>1</v>
      </c>
      <c r="Y1717" s="2" t="s">
        <v>3256</v>
      </c>
      <c r="Z1717" s="2" t="s">
        <v>46</v>
      </c>
      <c r="AA1717" s="2" t="s">
        <v>61</v>
      </c>
      <c r="AB1717" s="2" t="s">
        <v>403</v>
      </c>
      <c r="AE1717" s="2">
        <f t="shared" si="168"/>
        <v>0</v>
      </c>
      <c r="AI1717" s="2">
        <f t="shared" si="169"/>
        <v>0</v>
      </c>
      <c r="AJ1717" s="2">
        <f t="shared" si="170"/>
        <v>580</v>
      </c>
      <c r="AK1717" s="5">
        <f t="shared" si="171"/>
        <v>1</v>
      </c>
    </row>
    <row r="1718" spans="1:37" x14ac:dyDescent="0.2">
      <c r="A1718" s="2">
        <v>2025</v>
      </c>
      <c r="B1718" s="2">
        <v>8</v>
      </c>
      <c r="C1718" s="2" t="s">
        <v>1569</v>
      </c>
      <c r="D1718" s="2" t="s">
        <v>109</v>
      </c>
      <c r="E1718" s="2" t="s">
        <v>723</v>
      </c>
      <c r="F1718" s="2">
        <v>500975914</v>
      </c>
      <c r="G1718" s="2" t="s">
        <v>41</v>
      </c>
      <c r="H1718" s="2" t="s">
        <v>1570</v>
      </c>
      <c r="I1718" s="2" t="s">
        <v>1571</v>
      </c>
      <c r="K1718" s="2" t="s">
        <v>100</v>
      </c>
      <c r="L1718" s="2" t="s">
        <v>41</v>
      </c>
      <c r="O1718" s="2" t="s">
        <v>283</v>
      </c>
      <c r="P1718" s="2" t="s">
        <v>404</v>
      </c>
      <c r="Q1718" s="2" t="s">
        <v>405</v>
      </c>
      <c r="R1718" s="2">
        <v>20</v>
      </c>
      <c r="S1718" s="2">
        <v>580</v>
      </c>
      <c r="T1718" s="2">
        <v>133.4</v>
      </c>
      <c r="U1718" s="2">
        <v>713.4</v>
      </c>
      <c r="W1718" s="5">
        <f t="shared" si="172"/>
        <v>1</v>
      </c>
      <c r="AE1718" s="2">
        <f t="shared" si="168"/>
        <v>0</v>
      </c>
      <c r="AI1718" s="2">
        <f t="shared" si="169"/>
        <v>0</v>
      </c>
      <c r="AJ1718" s="2">
        <f t="shared" si="170"/>
        <v>580</v>
      </c>
      <c r="AK1718" s="5">
        <f t="shared" si="171"/>
        <v>1</v>
      </c>
    </row>
    <row r="1719" spans="1:37" x14ac:dyDescent="0.2">
      <c r="A1719" s="2">
        <v>2025</v>
      </c>
      <c r="B1719" s="2">
        <v>8</v>
      </c>
      <c r="C1719" s="2" t="s">
        <v>1569</v>
      </c>
      <c r="D1719" s="2" t="s">
        <v>109</v>
      </c>
      <c r="E1719" s="2" t="s">
        <v>723</v>
      </c>
      <c r="F1719" s="2">
        <v>500975914</v>
      </c>
      <c r="G1719" s="2" t="s">
        <v>41</v>
      </c>
      <c r="H1719" s="2" t="s">
        <v>1570</v>
      </c>
      <c r="I1719" s="2" t="s">
        <v>1571</v>
      </c>
      <c r="K1719" s="2" t="s">
        <v>100</v>
      </c>
      <c r="L1719" s="2" t="s">
        <v>41</v>
      </c>
      <c r="O1719" s="2" t="s">
        <v>43</v>
      </c>
      <c r="P1719" s="2" t="s">
        <v>49</v>
      </c>
      <c r="Q1719" s="2" t="s">
        <v>50</v>
      </c>
      <c r="R1719" s="2">
        <v>1</v>
      </c>
      <c r="S1719" s="2">
        <v>12</v>
      </c>
      <c r="T1719" s="2">
        <v>2.76</v>
      </c>
      <c r="U1719" s="2">
        <v>14.76</v>
      </c>
      <c r="V1719" s="2">
        <f>6.6267*R1719</f>
        <v>6.6266999999999996</v>
      </c>
      <c r="W1719" s="5">
        <f t="shared" ref="W1719:W1750" si="173">(S1719-V1719)/S1719</f>
        <v>0.44777500000000003</v>
      </c>
      <c r="Y1719" s="2" t="s">
        <v>3256</v>
      </c>
      <c r="Z1719" s="2" t="s">
        <v>46</v>
      </c>
      <c r="AA1719" s="2" t="s">
        <v>47</v>
      </c>
      <c r="AB1719" s="2" t="s">
        <v>48</v>
      </c>
      <c r="AE1719" s="2">
        <f t="shared" si="168"/>
        <v>0</v>
      </c>
      <c r="AF1719" s="2">
        <v>6.6266999999999996</v>
      </c>
      <c r="AG1719" s="2">
        <v>12</v>
      </c>
      <c r="AI1719" s="2">
        <f t="shared" si="169"/>
        <v>0</v>
      </c>
      <c r="AJ1719" s="2">
        <f t="shared" si="170"/>
        <v>5.3733000000000004</v>
      </c>
      <c r="AK1719" s="5">
        <f t="shared" si="171"/>
        <v>0.44777500000000003</v>
      </c>
    </row>
    <row r="1720" spans="1:37" x14ac:dyDescent="0.2">
      <c r="A1720" s="2">
        <v>2025</v>
      </c>
      <c r="B1720" s="2">
        <v>8</v>
      </c>
      <c r="C1720" s="2" t="s">
        <v>1569</v>
      </c>
      <c r="D1720" s="2" t="s">
        <v>109</v>
      </c>
      <c r="E1720" s="2" t="s">
        <v>723</v>
      </c>
      <c r="F1720" s="2">
        <v>500975914</v>
      </c>
      <c r="G1720" s="2" t="s">
        <v>41</v>
      </c>
      <c r="H1720" s="2" t="s">
        <v>1570</v>
      </c>
      <c r="I1720" s="2" t="s">
        <v>1571</v>
      </c>
      <c r="K1720" s="2" t="s">
        <v>100</v>
      </c>
      <c r="L1720" s="2" t="s">
        <v>41</v>
      </c>
      <c r="O1720" s="2" t="s">
        <v>43</v>
      </c>
      <c r="P1720" s="2" t="s">
        <v>161</v>
      </c>
      <c r="Q1720" s="2" t="s">
        <v>162</v>
      </c>
      <c r="R1720" s="2">
        <v>1</v>
      </c>
      <c r="S1720" s="2">
        <v>7.8</v>
      </c>
      <c r="T1720" s="2">
        <v>1.794</v>
      </c>
      <c r="U1720" s="2">
        <v>9.5939999999999994</v>
      </c>
      <c r="V1720" s="2">
        <f>3.7358*R1720</f>
        <v>3.7357999999999998</v>
      </c>
      <c r="W1720" s="5">
        <f t="shared" si="173"/>
        <v>0.52105128205128204</v>
      </c>
      <c r="Y1720" s="2" t="s">
        <v>3256</v>
      </c>
      <c r="Z1720" s="2" t="s">
        <v>46</v>
      </c>
      <c r="AA1720" s="2" t="s">
        <v>47</v>
      </c>
      <c r="AB1720" s="2" t="s">
        <v>48</v>
      </c>
      <c r="AE1720" s="2">
        <f t="shared" si="168"/>
        <v>0</v>
      </c>
      <c r="AF1720" s="2">
        <v>3.7357999999999998</v>
      </c>
      <c r="AG1720" s="2">
        <v>9</v>
      </c>
      <c r="AI1720" s="2">
        <f t="shared" si="169"/>
        <v>0</v>
      </c>
      <c r="AJ1720" s="2">
        <f t="shared" si="170"/>
        <v>4.0641999999999996</v>
      </c>
      <c r="AK1720" s="5">
        <f t="shared" si="171"/>
        <v>0.52105128205128204</v>
      </c>
    </row>
    <row r="1721" spans="1:37" x14ac:dyDescent="0.2">
      <c r="A1721" s="2">
        <v>2025</v>
      </c>
      <c r="B1721" s="2">
        <v>8</v>
      </c>
      <c r="C1721" s="2" t="s">
        <v>1569</v>
      </c>
      <c r="D1721" s="2" t="s">
        <v>109</v>
      </c>
      <c r="E1721" s="2" t="s">
        <v>723</v>
      </c>
      <c r="F1721" s="2">
        <v>500975914</v>
      </c>
      <c r="G1721" s="2" t="s">
        <v>41</v>
      </c>
      <c r="H1721" s="2" t="s">
        <v>1570</v>
      </c>
      <c r="I1721" s="2" t="s">
        <v>1571</v>
      </c>
      <c r="K1721" s="2" t="s">
        <v>100</v>
      </c>
      <c r="L1721" s="2" t="s">
        <v>41</v>
      </c>
      <c r="O1721" s="2" t="s">
        <v>85</v>
      </c>
      <c r="P1721" s="2" t="s">
        <v>1812</v>
      </c>
      <c r="Q1721" s="2" t="s">
        <v>1813</v>
      </c>
      <c r="R1721" s="2">
        <v>6</v>
      </c>
      <c r="S1721" s="2">
        <v>18</v>
      </c>
      <c r="T1721" s="2">
        <v>4.1400000000000006</v>
      </c>
      <c r="U1721" s="2">
        <v>22.14</v>
      </c>
      <c r="V1721" s="2">
        <v>0.35799999999999998</v>
      </c>
      <c r="W1721" s="5">
        <f t="shared" si="173"/>
        <v>0.98011111111111104</v>
      </c>
      <c r="Y1721" s="2" t="s">
        <v>3256</v>
      </c>
      <c r="Z1721" s="2" t="s">
        <v>88</v>
      </c>
      <c r="AA1721" s="2" t="s">
        <v>91</v>
      </c>
      <c r="AB1721" s="2" t="s">
        <v>85</v>
      </c>
      <c r="AE1721" s="2">
        <f t="shared" si="168"/>
        <v>0</v>
      </c>
      <c r="AI1721" s="2">
        <f t="shared" si="169"/>
        <v>0</v>
      </c>
      <c r="AJ1721" s="2">
        <f t="shared" si="170"/>
        <v>17.641999999999999</v>
      </c>
      <c r="AK1721" s="5">
        <f t="shared" si="171"/>
        <v>0.98011111111111104</v>
      </c>
    </row>
    <row r="1722" spans="1:37" x14ac:dyDescent="0.2">
      <c r="A1722" s="2">
        <v>2025</v>
      </c>
      <c r="B1722" s="2">
        <v>8</v>
      </c>
      <c r="C1722" s="2" t="s">
        <v>1569</v>
      </c>
      <c r="D1722" s="2" t="s">
        <v>109</v>
      </c>
      <c r="E1722" s="2" t="s">
        <v>723</v>
      </c>
      <c r="F1722" s="2">
        <v>500975914</v>
      </c>
      <c r="G1722" s="2" t="s">
        <v>41</v>
      </c>
      <c r="H1722" s="2" t="s">
        <v>1570</v>
      </c>
      <c r="I1722" s="2" t="s">
        <v>1571</v>
      </c>
      <c r="K1722" s="2" t="s">
        <v>100</v>
      </c>
      <c r="L1722" s="2" t="s">
        <v>41</v>
      </c>
      <c r="O1722" s="2" t="s">
        <v>85</v>
      </c>
      <c r="P1722" s="2" t="s">
        <v>275</v>
      </c>
      <c r="Q1722" s="2" t="s">
        <v>276</v>
      </c>
      <c r="R1722" s="2">
        <v>1</v>
      </c>
      <c r="S1722" s="2">
        <v>6</v>
      </c>
      <c r="T1722" s="2">
        <v>1.38</v>
      </c>
      <c r="U1722" s="2">
        <v>7.38</v>
      </c>
      <c r="V1722" s="2">
        <v>2.94</v>
      </c>
      <c r="W1722" s="5">
        <f t="shared" si="173"/>
        <v>0.51</v>
      </c>
      <c r="Y1722" s="2" t="s">
        <v>3256</v>
      </c>
      <c r="Z1722" s="2" t="s">
        <v>88</v>
      </c>
      <c r="AA1722" s="2" t="s">
        <v>91</v>
      </c>
      <c r="AB1722" s="2" t="s">
        <v>85</v>
      </c>
      <c r="AE1722" s="2">
        <f t="shared" si="168"/>
        <v>0</v>
      </c>
      <c r="AI1722" s="2">
        <f t="shared" si="169"/>
        <v>0</v>
      </c>
      <c r="AJ1722" s="2">
        <f t="shared" si="170"/>
        <v>3.06</v>
      </c>
      <c r="AK1722" s="5">
        <f t="shared" si="171"/>
        <v>0.51</v>
      </c>
    </row>
    <row r="1723" spans="1:37" x14ac:dyDescent="0.2">
      <c r="A1723" s="2">
        <v>2025</v>
      </c>
      <c r="B1723" s="2">
        <v>8</v>
      </c>
      <c r="C1723" s="2" t="s">
        <v>1569</v>
      </c>
      <c r="D1723" s="2" t="s">
        <v>109</v>
      </c>
      <c r="E1723" s="2" t="s">
        <v>723</v>
      </c>
      <c r="F1723" s="2">
        <v>500975914</v>
      </c>
      <c r="G1723" s="2" t="s">
        <v>41</v>
      </c>
      <c r="H1723" s="2" t="s">
        <v>1570</v>
      </c>
      <c r="I1723" s="2" t="s">
        <v>1571</v>
      </c>
      <c r="K1723" s="2" t="s">
        <v>100</v>
      </c>
      <c r="L1723" s="2" t="s">
        <v>41</v>
      </c>
      <c r="O1723" s="2" t="s">
        <v>85</v>
      </c>
      <c r="P1723" s="2" t="s">
        <v>277</v>
      </c>
      <c r="Q1723" s="2" t="s">
        <v>278</v>
      </c>
      <c r="R1723" s="2">
        <v>1</v>
      </c>
      <c r="S1723" s="2">
        <v>6</v>
      </c>
      <c r="T1723" s="2">
        <v>1.38</v>
      </c>
      <c r="U1723" s="2">
        <v>7.38</v>
      </c>
      <c r="W1723" s="5">
        <f t="shared" si="173"/>
        <v>1</v>
      </c>
      <c r="Y1723" s="2" t="s">
        <v>3256</v>
      </c>
      <c r="Z1723" s="2" t="s">
        <v>88</v>
      </c>
      <c r="AA1723" s="2" t="s">
        <v>91</v>
      </c>
      <c r="AB1723" s="2" t="s">
        <v>85</v>
      </c>
      <c r="AE1723" s="2">
        <f t="shared" si="168"/>
        <v>0</v>
      </c>
      <c r="AI1723" s="2">
        <f t="shared" si="169"/>
        <v>0</v>
      </c>
      <c r="AJ1723" s="2">
        <f t="shared" si="170"/>
        <v>6</v>
      </c>
      <c r="AK1723" s="5">
        <f t="shared" si="171"/>
        <v>1</v>
      </c>
    </row>
    <row r="1724" spans="1:37" x14ac:dyDescent="0.2">
      <c r="A1724" s="2">
        <v>2025</v>
      </c>
      <c r="B1724" s="2">
        <v>8</v>
      </c>
      <c r="C1724" s="2" t="s">
        <v>1814</v>
      </c>
      <c r="O1724" s="2" t="s">
        <v>3260</v>
      </c>
      <c r="P1724" s="2" t="s">
        <v>1805</v>
      </c>
      <c r="Q1724" s="2" t="s">
        <v>1806</v>
      </c>
      <c r="R1724" s="2">
        <v>1</v>
      </c>
      <c r="S1724" s="2">
        <v>1800</v>
      </c>
      <c r="T1724" s="2">
        <v>414</v>
      </c>
      <c r="U1724" s="2">
        <v>2214</v>
      </c>
      <c r="V1724" s="2">
        <v>1036.96</v>
      </c>
      <c r="W1724" s="5">
        <f t="shared" si="173"/>
        <v>0.42391111111111107</v>
      </c>
      <c r="Y1724" s="2" t="s">
        <v>105</v>
      </c>
      <c r="Z1724" s="2" t="s">
        <v>106</v>
      </c>
      <c r="AA1724" s="2" t="s">
        <v>107</v>
      </c>
      <c r="AB1724" s="2" t="s">
        <v>3260</v>
      </c>
      <c r="AE1724" s="2">
        <f t="shared" si="168"/>
        <v>0</v>
      </c>
      <c r="AI1724" s="2">
        <f t="shared" si="169"/>
        <v>0</v>
      </c>
      <c r="AJ1724" s="2">
        <f t="shared" si="170"/>
        <v>763.04</v>
      </c>
      <c r="AK1724" s="5">
        <f t="shared" si="171"/>
        <v>0.42391111111111107</v>
      </c>
    </row>
    <row r="1725" spans="1:37" x14ac:dyDescent="0.2">
      <c r="A1725" s="2">
        <v>2025</v>
      </c>
      <c r="B1725" s="2">
        <v>8</v>
      </c>
      <c r="C1725" s="2" t="s">
        <v>437</v>
      </c>
      <c r="O1725" s="2" t="s">
        <v>283</v>
      </c>
      <c r="P1725" s="2" t="s">
        <v>401</v>
      </c>
      <c r="Q1725" s="2" t="s">
        <v>402</v>
      </c>
      <c r="R1725" s="2">
        <v>4</v>
      </c>
      <c r="S1725" s="2">
        <v>116</v>
      </c>
      <c r="T1725" s="2">
        <v>26.68</v>
      </c>
      <c r="U1725" s="2">
        <v>142.68</v>
      </c>
      <c r="W1725" s="5">
        <f t="shared" si="173"/>
        <v>1</v>
      </c>
      <c r="Y1725" s="2" t="s">
        <v>3256</v>
      </c>
      <c r="Z1725" s="2" t="s">
        <v>46</v>
      </c>
      <c r="AA1725" s="2" t="s">
        <v>61</v>
      </c>
      <c r="AB1725" s="2" t="s">
        <v>403</v>
      </c>
      <c r="AE1725" s="2">
        <f t="shared" si="168"/>
        <v>0</v>
      </c>
      <c r="AI1725" s="2">
        <f t="shared" si="169"/>
        <v>0</v>
      </c>
      <c r="AJ1725" s="2">
        <f t="shared" si="170"/>
        <v>116</v>
      </c>
      <c r="AK1725" s="5">
        <f t="shared" si="171"/>
        <v>1</v>
      </c>
    </row>
    <row r="1726" spans="1:37" x14ac:dyDescent="0.2">
      <c r="A1726" s="2">
        <v>2025</v>
      </c>
      <c r="B1726" s="2">
        <v>8</v>
      </c>
      <c r="C1726" s="2" t="s">
        <v>1249</v>
      </c>
      <c r="D1726" s="2" t="s">
        <v>109</v>
      </c>
      <c r="E1726" s="2" t="s">
        <v>535</v>
      </c>
      <c r="F1726" s="2">
        <v>502421584</v>
      </c>
      <c r="G1726" s="2" t="s">
        <v>40</v>
      </c>
      <c r="H1726" s="2" t="s">
        <v>3249</v>
      </c>
      <c r="I1726" s="2" t="s">
        <v>3250</v>
      </c>
      <c r="K1726" s="2" t="s">
        <v>340</v>
      </c>
      <c r="L1726" s="2" t="s">
        <v>81</v>
      </c>
      <c r="N1726" s="2" t="s">
        <v>3252</v>
      </c>
      <c r="O1726" s="2" t="s">
        <v>73</v>
      </c>
      <c r="P1726" s="2" t="s">
        <v>74</v>
      </c>
      <c r="Q1726" s="2" t="s">
        <v>75</v>
      </c>
      <c r="R1726" s="2">
        <v>1</v>
      </c>
      <c r="S1726" s="2">
        <v>210</v>
      </c>
      <c r="T1726" s="2">
        <v>48.3</v>
      </c>
      <c r="U1726" s="2">
        <v>258.3</v>
      </c>
      <c r="V1726" s="2">
        <v>117.453</v>
      </c>
      <c r="W1726" s="5">
        <f t="shared" si="173"/>
        <v>0.44069999999999998</v>
      </c>
      <c r="Y1726" s="2" t="s">
        <v>3256</v>
      </c>
      <c r="Z1726" s="2" t="s">
        <v>76</v>
      </c>
      <c r="AA1726" s="2" t="s">
        <v>77</v>
      </c>
      <c r="AB1726" s="2" t="s">
        <v>78</v>
      </c>
      <c r="AE1726" s="2">
        <f t="shared" si="168"/>
        <v>0</v>
      </c>
      <c r="AF1726" s="2">
        <v>117.453</v>
      </c>
      <c r="AG1726" s="2">
        <v>220</v>
      </c>
      <c r="AI1726" s="2">
        <f t="shared" si="169"/>
        <v>0</v>
      </c>
      <c r="AJ1726" s="2">
        <f t="shared" si="170"/>
        <v>92.546999999999997</v>
      </c>
      <c r="AK1726" s="5">
        <f t="shared" si="171"/>
        <v>0.44069999999999998</v>
      </c>
    </row>
    <row r="1727" spans="1:37" x14ac:dyDescent="0.2">
      <c r="A1727" s="2">
        <v>2025</v>
      </c>
      <c r="B1727" s="2">
        <v>8</v>
      </c>
      <c r="C1727" s="2" t="s">
        <v>1249</v>
      </c>
      <c r="D1727" s="2" t="s">
        <v>109</v>
      </c>
      <c r="E1727" s="2" t="s">
        <v>535</v>
      </c>
      <c r="F1727" s="2">
        <v>502421584</v>
      </c>
      <c r="G1727" s="2" t="s">
        <v>40</v>
      </c>
      <c r="H1727" s="2" t="s">
        <v>3249</v>
      </c>
      <c r="I1727" s="2" t="s">
        <v>3250</v>
      </c>
      <c r="K1727" s="2" t="s">
        <v>340</v>
      </c>
      <c r="L1727" s="2" t="s">
        <v>81</v>
      </c>
      <c r="N1727" s="2" t="s">
        <v>3252</v>
      </c>
      <c r="O1727" s="2" t="s">
        <v>94</v>
      </c>
      <c r="P1727" s="2" t="s">
        <v>95</v>
      </c>
      <c r="Q1727" s="2" t="s">
        <v>96</v>
      </c>
      <c r="R1727" s="2">
        <v>1</v>
      </c>
      <c r="S1727" s="2">
        <v>1.1399999999999999</v>
      </c>
      <c r="T1727" s="2">
        <v>0.26219999999999999</v>
      </c>
      <c r="U1727" s="2">
        <v>1.4021999999999999</v>
      </c>
      <c r="V1727" s="2">
        <v>1.1399999999999999</v>
      </c>
      <c r="W1727" s="5">
        <f t="shared" si="173"/>
        <v>0</v>
      </c>
      <c r="Y1727" s="2" t="s">
        <v>3256</v>
      </c>
      <c r="Z1727" s="2" t="s">
        <v>97</v>
      </c>
      <c r="AA1727" s="2" t="s">
        <v>77</v>
      </c>
      <c r="AB1727" s="2" t="s">
        <v>94</v>
      </c>
      <c r="AE1727" s="2">
        <f t="shared" si="168"/>
        <v>0</v>
      </c>
      <c r="AF1727" s="2">
        <v>1.1399999999999999</v>
      </c>
      <c r="AG1727" s="2">
        <v>1.1399999999999999</v>
      </c>
      <c r="AI1727" s="2">
        <f t="shared" si="169"/>
        <v>0</v>
      </c>
      <c r="AJ1727" s="2">
        <f t="shared" si="170"/>
        <v>0</v>
      </c>
      <c r="AK1727" s="5">
        <f t="shared" si="171"/>
        <v>0</v>
      </c>
    </row>
    <row r="1728" spans="1:37" x14ac:dyDescent="0.2">
      <c r="A1728" s="2">
        <v>2025</v>
      </c>
      <c r="B1728" s="2">
        <v>8</v>
      </c>
      <c r="C1728" s="2" t="s">
        <v>1815</v>
      </c>
      <c r="O1728" s="2" t="s">
        <v>43</v>
      </c>
      <c r="P1728" s="2" t="s">
        <v>55</v>
      </c>
      <c r="Q1728" s="2" t="s">
        <v>56</v>
      </c>
      <c r="R1728" s="2">
        <v>1</v>
      </c>
      <c r="S1728" s="2">
        <v>18</v>
      </c>
      <c r="T1728" s="2">
        <v>4.1400000000000006</v>
      </c>
      <c r="U1728" s="2">
        <v>22.14</v>
      </c>
      <c r="V1728" s="2">
        <f>10.6*R1728</f>
        <v>10.6</v>
      </c>
      <c r="W1728" s="5">
        <f t="shared" si="173"/>
        <v>0.41111111111111115</v>
      </c>
      <c r="Y1728" s="2" t="s">
        <v>3256</v>
      </c>
      <c r="Z1728" s="2" t="s">
        <v>46</v>
      </c>
      <c r="AA1728" s="2" t="s">
        <v>57</v>
      </c>
      <c r="AB1728" s="2" t="s">
        <v>58</v>
      </c>
      <c r="AE1728" s="2">
        <f t="shared" si="168"/>
        <v>0</v>
      </c>
      <c r="AF1728" s="2">
        <v>10.6</v>
      </c>
      <c r="AG1728" s="2">
        <v>18</v>
      </c>
      <c r="AI1728" s="2">
        <f t="shared" si="169"/>
        <v>0</v>
      </c>
      <c r="AJ1728" s="2">
        <f t="shared" si="170"/>
        <v>7.4</v>
      </c>
      <c r="AK1728" s="5">
        <f t="shared" si="171"/>
        <v>0.41111111111111115</v>
      </c>
    </row>
    <row r="1729" spans="1:37" x14ac:dyDescent="0.2">
      <c r="A1729" s="2">
        <v>2025</v>
      </c>
      <c r="B1729" s="2">
        <v>8</v>
      </c>
      <c r="C1729" s="2" t="s">
        <v>1815</v>
      </c>
      <c r="O1729" s="2" t="s">
        <v>43</v>
      </c>
      <c r="P1729" s="2" t="s">
        <v>59</v>
      </c>
      <c r="Q1729" s="2" t="s">
        <v>60</v>
      </c>
      <c r="R1729" s="2">
        <v>100</v>
      </c>
      <c r="S1729" s="2">
        <v>14</v>
      </c>
      <c r="T1729" s="2">
        <v>3.22</v>
      </c>
      <c r="U1729" s="2">
        <v>17.22</v>
      </c>
      <c r="V1729" s="2">
        <f>0.0914*R1729</f>
        <v>9.1399999999999988</v>
      </c>
      <c r="W1729" s="5">
        <f t="shared" si="173"/>
        <v>0.34714285714285725</v>
      </c>
      <c r="Y1729" s="2" t="s">
        <v>3256</v>
      </c>
      <c r="Z1729" s="2" t="s">
        <v>46</v>
      </c>
      <c r="AA1729" s="2" t="s">
        <v>61</v>
      </c>
      <c r="AB1729" s="2" t="s">
        <v>58</v>
      </c>
      <c r="AE1729" s="2">
        <f t="shared" si="168"/>
        <v>0</v>
      </c>
      <c r="AF1729" s="2">
        <v>9.14</v>
      </c>
      <c r="AG1729" s="2">
        <v>16</v>
      </c>
      <c r="AI1729" s="2">
        <f t="shared" si="169"/>
        <v>0</v>
      </c>
      <c r="AJ1729" s="2">
        <f t="shared" si="170"/>
        <v>4.8600000000000012</v>
      </c>
      <c r="AK1729" s="5">
        <f t="shared" si="171"/>
        <v>0.34714285714285725</v>
      </c>
    </row>
    <row r="1730" spans="1:37" x14ac:dyDescent="0.2">
      <c r="A1730" s="2">
        <v>2025</v>
      </c>
      <c r="B1730" s="2">
        <v>8</v>
      </c>
      <c r="C1730" s="2" t="s">
        <v>1815</v>
      </c>
      <c r="O1730" s="2" t="s">
        <v>85</v>
      </c>
      <c r="P1730" s="2" t="s">
        <v>271</v>
      </c>
      <c r="Q1730" s="2" t="s">
        <v>272</v>
      </c>
      <c r="R1730" s="2">
        <v>1</v>
      </c>
      <c r="S1730" s="2">
        <v>10.199999999999999</v>
      </c>
      <c r="T1730" s="2">
        <v>2.3460000000000001</v>
      </c>
      <c r="U1730" s="2">
        <v>12.545999999999999</v>
      </c>
      <c r="V1730" s="2">
        <v>6.86</v>
      </c>
      <c r="W1730" s="5">
        <f t="shared" si="173"/>
        <v>0.32745098039215681</v>
      </c>
      <c r="Y1730" s="2" t="s">
        <v>3256</v>
      </c>
      <c r="Z1730" s="2" t="s">
        <v>88</v>
      </c>
      <c r="AA1730" s="2" t="s">
        <v>91</v>
      </c>
      <c r="AB1730" s="2" t="s">
        <v>85</v>
      </c>
      <c r="AE1730" s="2">
        <f t="shared" si="168"/>
        <v>0</v>
      </c>
      <c r="AI1730" s="2">
        <f t="shared" si="169"/>
        <v>0</v>
      </c>
      <c r="AJ1730" s="2">
        <f t="shared" si="170"/>
        <v>3.339999999999999</v>
      </c>
      <c r="AK1730" s="5">
        <f t="shared" si="171"/>
        <v>0.32745098039215681</v>
      </c>
    </row>
    <row r="1731" spans="1:37" x14ac:dyDescent="0.2">
      <c r="A1731" s="2">
        <v>2025</v>
      </c>
      <c r="B1731" s="2">
        <v>8</v>
      </c>
      <c r="C1731" s="2" t="s">
        <v>822</v>
      </c>
      <c r="O1731" s="2" t="s">
        <v>283</v>
      </c>
      <c r="P1731" s="2" t="s">
        <v>1816</v>
      </c>
      <c r="Q1731" s="2" t="s">
        <v>1817</v>
      </c>
      <c r="R1731" s="2">
        <v>4</v>
      </c>
      <c r="S1731" s="2">
        <v>156</v>
      </c>
      <c r="T1731" s="2">
        <v>35.880000000000003</v>
      </c>
      <c r="U1731" s="2">
        <v>191.88</v>
      </c>
      <c r="W1731" s="5">
        <f t="shared" si="173"/>
        <v>1</v>
      </c>
      <c r="AE1731" s="2">
        <f t="shared" ref="AE1731:AE1794" si="174">AI1731</f>
        <v>0</v>
      </c>
      <c r="AI1731" s="2">
        <f t="shared" ref="AI1731:AI1794" si="175">AH1731*S1731</f>
        <v>0</v>
      </c>
      <c r="AJ1731" s="2">
        <f t="shared" ref="AJ1731:AJ1794" si="176">S1731-V1731</f>
        <v>156</v>
      </c>
      <c r="AK1731" s="5">
        <f t="shared" si="171"/>
        <v>1</v>
      </c>
    </row>
    <row r="1732" spans="1:37" x14ac:dyDescent="0.2">
      <c r="A1732" s="2">
        <v>2025</v>
      </c>
      <c r="B1732" s="2">
        <v>8</v>
      </c>
      <c r="C1732" s="2" t="s">
        <v>1579</v>
      </c>
      <c r="L1732" s="2" t="s">
        <v>40</v>
      </c>
      <c r="O1732" s="2" t="s">
        <v>188</v>
      </c>
      <c r="P1732" s="2" t="s">
        <v>189</v>
      </c>
      <c r="Q1732" s="2" t="s">
        <v>190</v>
      </c>
      <c r="R1732" s="2">
        <v>-1</v>
      </c>
      <c r="S1732" s="2">
        <v>-55</v>
      </c>
      <c r="T1732" s="2">
        <v>-12.65</v>
      </c>
      <c r="U1732" s="2">
        <v>-67.650000000000006</v>
      </c>
      <c r="W1732" s="5">
        <f t="shared" si="173"/>
        <v>1</v>
      </c>
      <c r="Y1732" s="2" t="s">
        <v>118</v>
      </c>
      <c r="Z1732" s="2" t="s">
        <v>191</v>
      </c>
      <c r="AE1732" s="2">
        <f t="shared" si="174"/>
        <v>0</v>
      </c>
      <c r="AI1732" s="2">
        <f t="shared" si="175"/>
        <v>0</v>
      </c>
      <c r="AJ1732" s="2">
        <f t="shared" si="176"/>
        <v>-55</v>
      </c>
      <c r="AK1732" s="5">
        <f t="shared" si="171"/>
        <v>1</v>
      </c>
    </row>
    <row r="1733" spans="1:37" x14ac:dyDescent="0.2">
      <c r="A1733" s="2">
        <v>2025</v>
      </c>
      <c r="B1733" s="2">
        <v>8</v>
      </c>
      <c r="C1733" s="2" t="s">
        <v>1579</v>
      </c>
      <c r="L1733" s="2" t="s">
        <v>40</v>
      </c>
      <c r="O1733" s="2" t="s">
        <v>188</v>
      </c>
      <c r="P1733" s="2" t="s">
        <v>192</v>
      </c>
      <c r="Q1733" s="2" t="s">
        <v>191</v>
      </c>
      <c r="R1733" s="2">
        <v>-1.5</v>
      </c>
      <c r="S1733" s="2">
        <v>-75</v>
      </c>
      <c r="T1733" s="2">
        <v>-17.25</v>
      </c>
      <c r="U1733" s="2">
        <v>-92.25</v>
      </c>
      <c r="V1733" s="2">
        <f>S1733*50%</f>
        <v>-37.5</v>
      </c>
      <c r="W1733" s="5">
        <f t="shared" si="173"/>
        <v>0.5</v>
      </c>
      <c r="Y1733" s="2" t="s">
        <v>118</v>
      </c>
      <c r="Z1733" s="2" t="s">
        <v>191</v>
      </c>
      <c r="AE1733" s="2">
        <f t="shared" si="174"/>
        <v>0</v>
      </c>
      <c r="AI1733" s="2">
        <f t="shared" si="175"/>
        <v>0</v>
      </c>
      <c r="AJ1733" s="2">
        <f t="shared" si="176"/>
        <v>-37.5</v>
      </c>
      <c r="AK1733" s="5">
        <f t="shared" si="171"/>
        <v>0.5</v>
      </c>
    </row>
    <row r="1734" spans="1:37" x14ac:dyDescent="0.2">
      <c r="A1734" s="2">
        <v>2025</v>
      </c>
      <c r="B1734" s="2">
        <v>8</v>
      </c>
      <c r="C1734" s="2" t="s">
        <v>1400</v>
      </c>
      <c r="O1734" s="2" t="s">
        <v>115</v>
      </c>
      <c r="P1734" s="2" t="s">
        <v>933</v>
      </c>
      <c r="Q1734" s="2" t="s">
        <v>934</v>
      </c>
      <c r="R1734" s="2">
        <v>1</v>
      </c>
      <c r="S1734" s="2">
        <v>420</v>
      </c>
      <c r="T1734" s="2">
        <v>96.600000000000009</v>
      </c>
      <c r="U1734" s="2">
        <v>516.6</v>
      </c>
      <c r="W1734" s="5">
        <f t="shared" si="173"/>
        <v>1</v>
      </c>
      <c r="AE1734" s="2">
        <f t="shared" si="174"/>
        <v>0</v>
      </c>
      <c r="AI1734" s="2">
        <f t="shared" si="175"/>
        <v>0</v>
      </c>
      <c r="AJ1734" s="2">
        <f t="shared" si="176"/>
        <v>420</v>
      </c>
      <c r="AK1734" s="5">
        <f t="shared" si="171"/>
        <v>1</v>
      </c>
    </row>
    <row r="1735" spans="1:37" x14ac:dyDescent="0.2">
      <c r="A1735" s="2">
        <v>2025</v>
      </c>
      <c r="B1735" s="2">
        <v>8</v>
      </c>
      <c r="C1735" s="2" t="s">
        <v>1400</v>
      </c>
      <c r="O1735" s="2" t="s">
        <v>115</v>
      </c>
      <c r="P1735" s="2" t="s">
        <v>962</v>
      </c>
      <c r="Q1735" s="2" t="s">
        <v>716</v>
      </c>
      <c r="R1735" s="2">
        <v>1</v>
      </c>
      <c r="S1735" s="2">
        <v>1690</v>
      </c>
      <c r="T1735" s="2">
        <v>388.7</v>
      </c>
      <c r="U1735" s="2">
        <v>2078.6999999999998</v>
      </c>
      <c r="W1735" s="5">
        <f t="shared" si="173"/>
        <v>1</v>
      </c>
      <c r="Y1735" s="2" t="s">
        <v>105</v>
      </c>
      <c r="Z1735" s="2" t="s">
        <v>583</v>
      </c>
      <c r="AA1735" s="2" t="s">
        <v>707</v>
      </c>
      <c r="AB1735" s="2" t="s">
        <v>115</v>
      </c>
      <c r="AE1735" s="2">
        <f t="shared" si="174"/>
        <v>0</v>
      </c>
      <c r="AI1735" s="2">
        <f t="shared" si="175"/>
        <v>0</v>
      </c>
      <c r="AJ1735" s="2">
        <f t="shared" si="176"/>
        <v>1690</v>
      </c>
      <c r="AK1735" s="5">
        <f t="shared" si="171"/>
        <v>1</v>
      </c>
    </row>
    <row r="1736" spans="1:37" x14ac:dyDescent="0.2">
      <c r="A1736" s="2">
        <v>2025</v>
      </c>
      <c r="B1736" s="2">
        <v>8</v>
      </c>
      <c r="C1736" s="2" t="s">
        <v>1400</v>
      </c>
      <c r="O1736" s="2" t="s">
        <v>115</v>
      </c>
      <c r="P1736" s="2" t="s">
        <v>1818</v>
      </c>
      <c r="Q1736" s="2" t="s">
        <v>1819</v>
      </c>
      <c r="R1736" s="2">
        <v>1</v>
      </c>
      <c r="S1736" s="2">
        <v>4350</v>
      </c>
      <c r="T1736" s="2">
        <v>1000.5</v>
      </c>
      <c r="U1736" s="2">
        <v>5350.5</v>
      </c>
      <c r="W1736" s="5">
        <f t="shared" si="173"/>
        <v>1</v>
      </c>
      <c r="AE1736" s="2">
        <f t="shared" si="174"/>
        <v>0</v>
      </c>
      <c r="AI1736" s="2">
        <f t="shared" si="175"/>
        <v>0</v>
      </c>
      <c r="AJ1736" s="2">
        <f t="shared" si="176"/>
        <v>4350</v>
      </c>
      <c r="AK1736" s="5">
        <f t="shared" si="171"/>
        <v>1</v>
      </c>
    </row>
    <row r="1737" spans="1:37" x14ac:dyDescent="0.2">
      <c r="A1737" s="2">
        <v>2025</v>
      </c>
      <c r="B1737" s="2">
        <v>8</v>
      </c>
      <c r="C1737" s="2" t="s">
        <v>1400</v>
      </c>
      <c r="O1737" s="2" t="s">
        <v>115</v>
      </c>
      <c r="P1737" s="2" t="s">
        <v>1820</v>
      </c>
      <c r="Q1737" s="2" t="s">
        <v>1821</v>
      </c>
      <c r="R1737" s="2">
        <v>1</v>
      </c>
      <c r="S1737" s="2">
        <v>3990</v>
      </c>
      <c r="T1737" s="2">
        <v>917.7</v>
      </c>
      <c r="U1737" s="2">
        <v>4907.7</v>
      </c>
      <c r="W1737" s="5">
        <f t="shared" si="173"/>
        <v>1</v>
      </c>
      <c r="AE1737" s="2">
        <f t="shared" si="174"/>
        <v>0</v>
      </c>
      <c r="AI1737" s="2">
        <f t="shared" si="175"/>
        <v>0</v>
      </c>
      <c r="AJ1737" s="2">
        <f t="shared" si="176"/>
        <v>3990</v>
      </c>
      <c r="AK1737" s="5">
        <f t="shared" si="171"/>
        <v>1</v>
      </c>
    </row>
    <row r="1738" spans="1:37" x14ac:dyDescent="0.2">
      <c r="A1738" s="2">
        <v>2025</v>
      </c>
      <c r="B1738" s="2">
        <v>8</v>
      </c>
      <c r="C1738" s="2" t="s">
        <v>458</v>
      </c>
      <c r="D1738" s="2" t="s">
        <v>38</v>
      </c>
      <c r="E1738" s="2" t="s">
        <v>39</v>
      </c>
      <c r="F1738" s="2">
        <v>515440620</v>
      </c>
      <c r="G1738" s="2" t="s">
        <v>41</v>
      </c>
      <c r="H1738" s="2" t="s">
        <v>459</v>
      </c>
      <c r="I1738" s="2" t="s">
        <v>460</v>
      </c>
      <c r="J1738" s="2">
        <v>963829351</v>
      </c>
      <c r="K1738" s="2" t="s">
        <v>134</v>
      </c>
      <c r="L1738" s="2" t="s">
        <v>40</v>
      </c>
      <c r="N1738" s="2" t="s">
        <v>1822</v>
      </c>
      <c r="O1738" s="2" t="s">
        <v>115</v>
      </c>
      <c r="P1738" s="2" t="s">
        <v>1823</v>
      </c>
      <c r="Q1738" s="2" t="s">
        <v>1824</v>
      </c>
      <c r="R1738" s="2">
        <v>1</v>
      </c>
      <c r="S1738" s="2">
        <v>55.59</v>
      </c>
      <c r="T1738" s="2">
        <v>12.7857</v>
      </c>
      <c r="U1738" s="2">
        <v>68.375700000000009</v>
      </c>
      <c r="V1738" s="2">
        <v>34.119999999999997</v>
      </c>
      <c r="W1738" s="5">
        <f t="shared" si="173"/>
        <v>0.3862205432631769</v>
      </c>
      <c r="Y1738" s="2" t="s">
        <v>118</v>
      </c>
      <c r="Z1738" s="2" t="s">
        <v>119</v>
      </c>
      <c r="AA1738" s="2" t="s">
        <v>120</v>
      </c>
      <c r="AB1738" s="2" t="s">
        <v>115</v>
      </c>
      <c r="AE1738" s="2">
        <f t="shared" si="174"/>
        <v>0</v>
      </c>
      <c r="AF1738" s="2">
        <v>34.119999999999997</v>
      </c>
      <c r="AI1738" s="2">
        <f t="shared" si="175"/>
        <v>0</v>
      </c>
      <c r="AJ1738" s="2">
        <f t="shared" si="176"/>
        <v>21.470000000000006</v>
      </c>
      <c r="AK1738" s="5">
        <f t="shared" si="171"/>
        <v>0.3862205432631769</v>
      </c>
    </row>
    <row r="1739" spans="1:37" x14ac:dyDescent="0.2">
      <c r="A1739" s="2">
        <v>2025</v>
      </c>
      <c r="B1739" s="2">
        <v>8</v>
      </c>
      <c r="C1739" s="2" t="s">
        <v>1825</v>
      </c>
      <c r="O1739" s="2" t="s">
        <v>283</v>
      </c>
      <c r="P1739" s="2" t="s">
        <v>1826</v>
      </c>
      <c r="Q1739" s="2" t="s">
        <v>1827</v>
      </c>
      <c r="R1739" s="2">
        <v>1</v>
      </c>
      <c r="S1739" s="2">
        <v>199</v>
      </c>
      <c r="T1739" s="2">
        <v>45.77</v>
      </c>
      <c r="U1739" s="2">
        <v>244.77</v>
      </c>
      <c r="W1739" s="5">
        <f t="shared" si="173"/>
        <v>1</v>
      </c>
      <c r="AE1739" s="2">
        <f t="shared" si="174"/>
        <v>0</v>
      </c>
      <c r="AI1739" s="2">
        <f t="shared" si="175"/>
        <v>0</v>
      </c>
      <c r="AJ1739" s="2">
        <f t="shared" si="176"/>
        <v>199</v>
      </c>
      <c r="AK1739" s="5">
        <f t="shared" si="171"/>
        <v>1</v>
      </c>
    </row>
    <row r="1740" spans="1:37" x14ac:dyDescent="0.2">
      <c r="A1740" s="2">
        <v>2025</v>
      </c>
      <c r="B1740" s="2">
        <v>8</v>
      </c>
      <c r="C1740" s="2" t="s">
        <v>1825</v>
      </c>
      <c r="O1740" s="2" t="s">
        <v>283</v>
      </c>
      <c r="P1740" s="2" t="s">
        <v>1456</v>
      </c>
      <c r="Q1740" s="2" t="s">
        <v>1457</v>
      </c>
      <c r="R1740" s="2">
        <v>1</v>
      </c>
      <c r="S1740" s="2">
        <v>98</v>
      </c>
      <c r="T1740" s="2">
        <v>22.54</v>
      </c>
      <c r="U1740" s="2">
        <v>120.54</v>
      </c>
      <c r="W1740" s="5">
        <f t="shared" si="173"/>
        <v>1</v>
      </c>
      <c r="AE1740" s="2">
        <f t="shared" si="174"/>
        <v>0</v>
      </c>
      <c r="AI1740" s="2">
        <f t="shared" si="175"/>
        <v>0</v>
      </c>
      <c r="AJ1740" s="2">
        <f t="shared" si="176"/>
        <v>98</v>
      </c>
      <c r="AK1740" s="5">
        <f t="shared" si="171"/>
        <v>1</v>
      </c>
    </row>
    <row r="1741" spans="1:37" x14ac:dyDescent="0.2">
      <c r="A1741" s="2">
        <v>2025</v>
      </c>
      <c r="B1741" s="2">
        <v>8</v>
      </c>
      <c r="C1741" s="2" t="s">
        <v>473</v>
      </c>
      <c r="D1741" s="2" t="s">
        <v>38</v>
      </c>
      <c r="E1741" s="2" t="s">
        <v>474</v>
      </c>
      <c r="F1741" s="2">
        <v>513626930</v>
      </c>
      <c r="G1741" s="2" t="s">
        <v>40</v>
      </c>
      <c r="H1741" s="2" t="s">
        <v>340</v>
      </c>
      <c r="I1741" s="2" t="s">
        <v>475</v>
      </c>
      <c r="K1741" s="2" t="s">
        <v>340</v>
      </c>
      <c r="L1741" s="2" t="s">
        <v>40</v>
      </c>
      <c r="O1741" s="2" t="s">
        <v>115</v>
      </c>
      <c r="P1741" s="2" t="s">
        <v>416</v>
      </c>
      <c r="Q1741" s="2" t="s">
        <v>417</v>
      </c>
      <c r="R1741" s="2">
        <v>1</v>
      </c>
      <c r="S1741" s="2">
        <v>15527.99</v>
      </c>
      <c r="T1741" s="2">
        <v>3571.4376999999999</v>
      </c>
      <c r="U1741" s="2">
        <v>19099.4277</v>
      </c>
      <c r="V1741" s="2">
        <v>10669.4</v>
      </c>
      <c r="W1741" s="5">
        <f t="shared" si="173"/>
        <v>0.31289239624703519</v>
      </c>
      <c r="Y1741" s="2" t="s">
        <v>105</v>
      </c>
      <c r="Z1741" s="2" t="s">
        <v>418</v>
      </c>
      <c r="AA1741" s="2" t="s">
        <v>152</v>
      </c>
      <c r="AB1741" s="2" t="s">
        <v>115</v>
      </c>
      <c r="AE1741" s="2">
        <f t="shared" si="174"/>
        <v>0</v>
      </c>
      <c r="AI1741" s="2">
        <f t="shared" si="175"/>
        <v>0</v>
      </c>
      <c r="AJ1741" s="2">
        <f t="shared" si="176"/>
        <v>4858.59</v>
      </c>
      <c r="AK1741" s="5">
        <f t="shared" si="171"/>
        <v>0.31289239624703519</v>
      </c>
    </row>
    <row r="1742" spans="1:37" x14ac:dyDescent="0.2">
      <c r="A1742" s="2">
        <v>2025</v>
      </c>
      <c r="B1742" s="2">
        <v>8</v>
      </c>
      <c r="C1742" s="2" t="s">
        <v>480</v>
      </c>
      <c r="D1742" s="2" t="s">
        <v>109</v>
      </c>
      <c r="E1742" s="2" t="s">
        <v>481</v>
      </c>
      <c r="F1742" s="2">
        <v>500864365</v>
      </c>
      <c r="G1742" s="2" t="s">
        <v>41</v>
      </c>
      <c r="H1742" s="2" t="s">
        <v>482</v>
      </c>
      <c r="I1742" s="2" t="s">
        <v>483</v>
      </c>
      <c r="K1742" s="2" t="s">
        <v>484</v>
      </c>
      <c r="L1742" s="2" t="s">
        <v>41</v>
      </c>
      <c r="O1742" s="2" t="s">
        <v>73</v>
      </c>
      <c r="P1742" s="2" t="s">
        <v>74</v>
      </c>
      <c r="Q1742" s="2" t="s">
        <v>75</v>
      </c>
      <c r="R1742" s="2">
        <v>2</v>
      </c>
      <c r="S1742" s="2">
        <v>420</v>
      </c>
      <c r="T1742" s="2">
        <v>96.600000000000009</v>
      </c>
      <c r="U1742" s="2">
        <v>516.6</v>
      </c>
      <c r="V1742" s="2">
        <v>234.90600000000001</v>
      </c>
      <c r="W1742" s="5">
        <f t="shared" si="173"/>
        <v>0.44069999999999998</v>
      </c>
      <c r="Y1742" s="2" t="s">
        <v>3256</v>
      </c>
      <c r="Z1742" s="2" t="s">
        <v>76</v>
      </c>
      <c r="AA1742" s="2" t="s">
        <v>77</v>
      </c>
      <c r="AB1742" s="2" t="s">
        <v>78</v>
      </c>
      <c r="AE1742" s="2">
        <f t="shared" si="174"/>
        <v>0</v>
      </c>
      <c r="AF1742" s="2">
        <v>117.453</v>
      </c>
      <c r="AG1742" s="2">
        <v>220</v>
      </c>
      <c r="AI1742" s="2">
        <f t="shared" si="175"/>
        <v>0</v>
      </c>
      <c r="AJ1742" s="2">
        <f t="shared" si="176"/>
        <v>185.09399999999999</v>
      </c>
      <c r="AK1742" s="5">
        <f t="shared" si="171"/>
        <v>0.44069999999999998</v>
      </c>
    </row>
    <row r="1743" spans="1:37" x14ac:dyDescent="0.2">
      <c r="A1743" s="2">
        <v>2025</v>
      </c>
      <c r="B1743" s="2">
        <v>8</v>
      </c>
      <c r="C1743" s="2" t="s">
        <v>480</v>
      </c>
      <c r="D1743" s="2" t="s">
        <v>109</v>
      </c>
      <c r="E1743" s="2" t="s">
        <v>481</v>
      </c>
      <c r="F1743" s="2">
        <v>500864365</v>
      </c>
      <c r="G1743" s="2" t="s">
        <v>41</v>
      </c>
      <c r="H1743" s="2" t="s">
        <v>482</v>
      </c>
      <c r="I1743" s="2" t="s">
        <v>483</v>
      </c>
      <c r="K1743" s="2" t="s">
        <v>484</v>
      </c>
      <c r="O1743" s="2" t="s">
        <v>94</v>
      </c>
      <c r="P1743" s="2" t="s">
        <v>95</v>
      </c>
      <c r="Q1743" s="2" t="s">
        <v>96</v>
      </c>
      <c r="R1743" s="2">
        <v>2</v>
      </c>
      <c r="S1743" s="2">
        <v>2.2799999999999998</v>
      </c>
      <c r="T1743" s="2">
        <v>0.52439999999999998</v>
      </c>
      <c r="U1743" s="2">
        <v>2.8043999999999998</v>
      </c>
      <c r="V1743" s="2">
        <v>2.2799999999999998</v>
      </c>
      <c r="W1743" s="5">
        <f t="shared" si="173"/>
        <v>0</v>
      </c>
      <c r="Y1743" s="2" t="s">
        <v>3256</v>
      </c>
      <c r="Z1743" s="2" t="s">
        <v>97</v>
      </c>
      <c r="AA1743" s="2" t="s">
        <v>77</v>
      </c>
      <c r="AB1743" s="2" t="s">
        <v>94</v>
      </c>
      <c r="AE1743" s="2">
        <f t="shared" si="174"/>
        <v>0</v>
      </c>
      <c r="AI1743" s="2">
        <f t="shared" si="175"/>
        <v>0</v>
      </c>
      <c r="AJ1743" s="2">
        <f t="shared" si="176"/>
        <v>0</v>
      </c>
      <c r="AK1743" s="5">
        <f t="shared" si="171"/>
        <v>0</v>
      </c>
    </row>
    <row r="1744" spans="1:37" x14ac:dyDescent="0.2">
      <c r="A1744" s="2">
        <v>2025</v>
      </c>
      <c r="B1744" s="2">
        <v>8</v>
      </c>
      <c r="C1744" s="2" t="s">
        <v>850</v>
      </c>
      <c r="D1744" s="2" t="s">
        <v>38</v>
      </c>
      <c r="E1744" s="2" t="s">
        <v>39</v>
      </c>
      <c r="F1744" s="2">
        <v>161685080</v>
      </c>
      <c r="G1744" s="2" t="s">
        <v>41</v>
      </c>
      <c r="H1744" s="2" t="s">
        <v>422</v>
      </c>
      <c r="J1744" s="2" t="s">
        <v>851</v>
      </c>
      <c r="K1744" s="2" t="s">
        <v>422</v>
      </c>
      <c r="L1744" s="2" t="s">
        <v>41</v>
      </c>
      <c r="N1744" s="2" t="s">
        <v>1828</v>
      </c>
      <c r="O1744" s="2" t="s">
        <v>43</v>
      </c>
      <c r="P1744" s="2" t="s">
        <v>49</v>
      </c>
      <c r="Q1744" s="2" t="s">
        <v>50</v>
      </c>
      <c r="R1744" s="2">
        <v>1</v>
      </c>
      <c r="S1744" s="2">
        <v>12</v>
      </c>
      <c r="T1744" s="2">
        <v>2.76</v>
      </c>
      <c r="U1744" s="2">
        <v>14.76</v>
      </c>
      <c r="V1744" s="2">
        <f>6.6267*R1744</f>
        <v>6.6266999999999996</v>
      </c>
      <c r="W1744" s="5">
        <f t="shared" si="173"/>
        <v>0.44777500000000003</v>
      </c>
      <c r="Y1744" s="2" t="s">
        <v>3256</v>
      </c>
      <c r="Z1744" s="2" t="s">
        <v>46</v>
      </c>
      <c r="AA1744" s="2" t="s">
        <v>47</v>
      </c>
      <c r="AB1744" s="2" t="s">
        <v>48</v>
      </c>
      <c r="AE1744" s="2">
        <f t="shared" si="174"/>
        <v>0</v>
      </c>
      <c r="AF1744" s="2">
        <v>6.6266999999999996</v>
      </c>
      <c r="AG1744" s="2">
        <v>12</v>
      </c>
      <c r="AI1744" s="2">
        <f t="shared" si="175"/>
        <v>0</v>
      </c>
      <c r="AJ1744" s="2">
        <f t="shared" si="176"/>
        <v>5.3733000000000004</v>
      </c>
      <c r="AK1744" s="5">
        <f t="shared" ref="AK1744:AK1787" si="177">(S1744-V1744)/S1744</f>
        <v>0.44777500000000003</v>
      </c>
    </row>
    <row r="1745" spans="1:37" x14ac:dyDescent="0.2">
      <c r="A1745" s="2">
        <v>2025</v>
      </c>
      <c r="B1745" s="2">
        <v>8</v>
      </c>
      <c r="C1745" s="2" t="s">
        <v>850</v>
      </c>
      <c r="D1745" s="2" t="s">
        <v>38</v>
      </c>
      <c r="E1745" s="2" t="s">
        <v>39</v>
      </c>
      <c r="F1745" s="2">
        <v>161685080</v>
      </c>
      <c r="G1745" s="2" t="s">
        <v>41</v>
      </c>
      <c r="H1745" s="2" t="s">
        <v>422</v>
      </c>
      <c r="J1745" s="2" t="s">
        <v>851</v>
      </c>
      <c r="K1745" s="2" t="s">
        <v>422</v>
      </c>
      <c r="L1745" s="2" t="s">
        <v>41</v>
      </c>
      <c r="N1745" s="2" t="s">
        <v>1828</v>
      </c>
      <c r="O1745" s="2" t="s">
        <v>43</v>
      </c>
      <c r="P1745" s="2" t="s">
        <v>55</v>
      </c>
      <c r="Q1745" s="2" t="s">
        <v>56</v>
      </c>
      <c r="R1745" s="2">
        <v>2</v>
      </c>
      <c r="S1745" s="2">
        <v>36</v>
      </c>
      <c r="T1745" s="2">
        <v>8.2800000000000011</v>
      </c>
      <c r="U1745" s="2">
        <v>44.28</v>
      </c>
      <c r="V1745" s="2">
        <f>10.6*R1745</f>
        <v>21.2</v>
      </c>
      <c r="W1745" s="5">
        <f t="shared" si="173"/>
        <v>0.41111111111111115</v>
      </c>
      <c r="Y1745" s="2" t="s">
        <v>3256</v>
      </c>
      <c r="Z1745" s="2" t="s">
        <v>46</v>
      </c>
      <c r="AA1745" s="2" t="s">
        <v>57</v>
      </c>
      <c r="AB1745" s="2" t="s">
        <v>58</v>
      </c>
      <c r="AE1745" s="2">
        <f t="shared" si="174"/>
        <v>0</v>
      </c>
      <c r="AF1745" s="2">
        <v>10.6</v>
      </c>
      <c r="AG1745" s="2">
        <v>18</v>
      </c>
      <c r="AI1745" s="2">
        <f t="shared" si="175"/>
        <v>0</v>
      </c>
      <c r="AJ1745" s="2">
        <f t="shared" si="176"/>
        <v>14.8</v>
      </c>
      <c r="AK1745" s="5">
        <f t="shared" si="177"/>
        <v>0.41111111111111115</v>
      </c>
    </row>
    <row r="1746" spans="1:37" x14ac:dyDescent="0.2">
      <c r="A1746" s="2">
        <v>2025</v>
      </c>
      <c r="B1746" s="2">
        <v>8</v>
      </c>
      <c r="C1746" s="2" t="s">
        <v>492</v>
      </c>
      <c r="D1746" s="2" t="s">
        <v>38</v>
      </c>
      <c r="E1746" s="2" t="s">
        <v>39</v>
      </c>
      <c r="F1746" s="2">
        <v>507380312</v>
      </c>
      <c r="G1746" s="2" t="s">
        <v>40</v>
      </c>
      <c r="H1746" s="2" t="s">
        <v>493</v>
      </c>
      <c r="I1746" s="2" t="s">
        <v>494</v>
      </c>
      <c r="J1746" s="2">
        <v>912293443</v>
      </c>
      <c r="K1746" s="2" t="s">
        <v>100</v>
      </c>
      <c r="L1746" s="2" t="s">
        <v>40</v>
      </c>
      <c r="O1746" s="2" t="s">
        <v>40</v>
      </c>
      <c r="P1746" s="2" t="s">
        <v>495</v>
      </c>
      <c r="Q1746" s="2" t="s">
        <v>496</v>
      </c>
      <c r="R1746" s="2">
        <v>1</v>
      </c>
      <c r="S1746" s="2">
        <v>664.04</v>
      </c>
      <c r="T1746" s="2">
        <v>152.72919999999999</v>
      </c>
      <c r="U1746" s="2">
        <v>816.76919999999996</v>
      </c>
      <c r="W1746" s="5">
        <f t="shared" si="173"/>
        <v>1</v>
      </c>
      <c r="Y1746" s="2" t="s">
        <v>120</v>
      </c>
      <c r="AE1746" s="2">
        <f t="shared" si="174"/>
        <v>0</v>
      </c>
      <c r="AI1746" s="2">
        <f t="shared" si="175"/>
        <v>0</v>
      </c>
      <c r="AJ1746" s="2">
        <f t="shared" si="176"/>
        <v>664.04</v>
      </c>
      <c r="AK1746" s="5">
        <f t="shared" si="177"/>
        <v>1</v>
      </c>
    </row>
    <row r="1747" spans="1:37" x14ac:dyDescent="0.2">
      <c r="A1747" s="2">
        <v>2025</v>
      </c>
      <c r="B1747" s="2">
        <v>8</v>
      </c>
      <c r="C1747" s="2" t="s">
        <v>1266</v>
      </c>
      <c r="O1747" s="2" t="s">
        <v>73</v>
      </c>
      <c r="P1747" s="2" t="s">
        <v>203</v>
      </c>
      <c r="Q1747" s="2" t="s">
        <v>198</v>
      </c>
      <c r="R1747" s="8">
        <v>1</v>
      </c>
      <c r="S1747" s="2">
        <v>260</v>
      </c>
      <c r="T1747" s="2">
        <v>59.8</v>
      </c>
      <c r="U1747" s="2">
        <v>319.8</v>
      </c>
      <c r="V1747" s="2">
        <v>152.85</v>
      </c>
      <c r="W1747" s="5">
        <f t="shared" si="173"/>
        <v>0.41211538461538466</v>
      </c>
      <c r="Y1747" s="2" t="s">
        <v>3256</v>
      </c>
      <c r="Z1747" s="2" t="s">
        <v>76</v>
      </c>
      <c r="AA1747" s="2" t="s">
        <v>77</v>
      </c>
      <c r="AB1747" s="2" t="s">
        <v>78</v>
      </c>
      <c r="AE1747" s="2">
        <f t="shared" si="174"/>
        <v>0</v>
      </c>
      <c r="AF1747" s="2">
        <v>152.85</v>
      </c>
      <c r="AG1747" s="2">
        <v>260</v>
      </c>
      <c r="AI1747" s="2">
        <f t="shared" si="175"/>
        <v>0</v>
      </c>
      <c r="AJ1747" s="2">
        <f t="shared" si="176"/>
        <v>107.15</v>
      </c>
      <c r="AK1747" s="5">
        <f t="shared" si="177"/>
        <v>0.41211538461538466</v>
      </c>
    </row>
    <row r="1748" spans="1:37" x14ac:dyDescent="0.2">
      <c r="A1748" s="2">
        <v>2025</v>
      </c>
      <c r="B1748" s="2">
        <v>8</v>
      </c>
      <c r="C1748" s="2" t="s">
        <v>1266</v>
      </c>
      <c r="O1748" s="2" t="s">
        <v>94</v>
      </c>
      <c r="P1748" s="2" t="s">
        <v>95</v>
      </c>
      <c r="Q1748" s="2" t="s">
        <v>96</v>
      </c>
      <c r="R1748" s="2">
        <v>1</v>
      </c>
      <c r="S1748" s="2">
        <v>1.1399999999999999</v>
      </c>
      <c r="T1748" s="2">
        <v>0.26219999999999999</v>
      </c>
      <c r="U1748" s="2">
        <v>1.4021999999999999</v>
      </c>
      <c r="V1748" s="2">
        <v>1.1399999999999999</v>
      </c>
      <c r="W1748" s="5">
        <f t="shared" si="173"/>
        <v>0</v>
      </c>
      <c r="Y1748" s="2" t="s">
        <v>3256</v>
      </c>
      <c r="Z1748" s="2" t="s">
        <v>97</v>
      </c>
      <c r="AA1748" s="2" t="s">
        <v>77</v>
      </c>
      <c r="AB1748" s="2" t="s">
        <v>94</v>
      </c>
      <c r="AE1748" s="2">
        <f t="shared" si="174"/>
        <v>0</v>
      </c>
      <c r="AI1748" s="2">
        <f t="shared" si="175"/>
        <v>0</v>
      </c>
      <c r="AJ1748" s="2">
        <f t="shared" si="176"/>
        <v>0</v>
      </c>
      <c r="AK1748" s="5">
        <f t="shared" si="177"/>
        <v>0</v>
      </c>
    </row>
    <row r="1749" spans="1:37" x14ac:dyDescent="0.2">
      <c r="A1749" s="2">
        <v>2025</v>
      </c>
      <c r="B1749" s="2">
        <v>8</v>
      </c>
      <c r="C1749" s="2" t="s">
        <v>857</v>
      </c>
      <c r="O1749" s="2" t="s">
        <v>73</v>
      </c>
      <c r="P1749" s="2" t="s">
        <v>560</v>
      </c>
      <c r="Q1749" s="2" t="s">
        <v>383</v>
      </c>
      <c r="R1749" s="2">
        <v>1</v>
      </c>
      <c r="S1749" s="2">
        <v>230</v>
      </c>
      <c r="T1749" s="2">
        <v>52.900000000000013</v>
      </c>
      <c r="U1749" s="2">
        <v>282.89999999999998</v>
      </c>
      <c r="W1749" s="5">
        <f t="shared" si="173"/>
        <v>1</v>
      </c>
      <c r="Y1749" s="2" t="s">
        <v>3256</v>
      </c>
      <c r="Z1749" s="2" t="s">
        <v>76</v>
      </c>
      <c r="AA1749" s="2" t="s">
        <v>77</v>
      </c>
      <c r="AB1749" s="2" t="s">
        <v>78</v>
      </c>
      <c r="AE1749" s="2">
        <f t="shared" si="174"/>
        <v>0</v>
      </c>
      <c r="AI1749" s="2">
        <f t="shared" si="175"/>
        <v>0</v>
      </c>
      <c r="AJ1749" s="2">
        <f t="shared" si="176"/>
        <v>230</v>
      </c>
      <c r="AK1749" s="5">
        <f t="shared" si="177"/>
        <v>1</v>
      </c>
    </row>
    <row r="1750" spans="1:37" x14ac:dyDescent="0.2">
      <c r="A1750" s="2">
        <v>2025</v>
      </c>
      <c r="B1750" s="2">
        <v>8</v>
      </c>
      <c r="C1750" s="2" t="s">
        <v>857</v>
      </c>
      <c r="L1750" s="2" t="s">
        <v>40</v>
      </c>
      <c r="O1750" s="2" t="s">
        <v>188</v>
      </c>
      <c r="P1750" s="2" t="s">
        <v>1318</v>
      </c>
      <c r="Q1750" s="2" t="s">
        <v>1319</v>
      </c>
      <c r="R1750" s="2">
        <v>1</v>
      </c>
      <c r="S1750" s="2">
        <v>0</v>
      </c>
      <c r="T1750" s="2">
        <v>0</v>
      </c>
      <c r="U1750" s="2">
        <v>0</v>
      </c>
      <c r="W1750" s="5" t="e">
        <f t="shared" si="173"/>
        <v>#DIV/0!</v>
      </c>
      <c r="Y1750" s="2" t="s">
        <v>118</v>
      </c>
      <c r="Z1750" s="2" t="s">
        <v>1320</v>
      </c>
      <c r="AE1750" s="2">
        <f t="shared" si="174"/>
        <v>0</v>
      </c>
      <c r="AI1750" s="2">
        <f t="shared" si="175"/>
        <v>0</v>
      </c>
      <c r="AJ1750" s="2">
        <f t="shared" si="176"/>
        <v>0</v>
      </c>
      <c r="AK1750" s="5" t="e">
        <f t="shared" si="177"/>
        <v>#DIV/0!</v>
      </c>
    </row>
    <row r="1751" spans="1:37" x14ac:dyDescent="0.2">
      <c r="A1751" s="2">
        <v>2025</v>
      </c>
      <c r="B1751" s="2">
        <v>8</v>
      </c>
      <c r="C1751" s="2" t="s">
        <v>857</v>
      </c>
      <c r="O1751" s="2" t="s">
        <v>94</v>
      </c>
      <c r="P1751" s="2" t="s">
        <v>95</v>
      </c>
      <c r="Q1751" s="2" t="s">
        <v>96</v>
      </c>
      <c r="R1751" s="2">
        <v>1</v>
      </c>
      <c r="S1751" s="2">
        <v>1.1399999999999999</v>
      </c>
      <c r="T1751" s="2">
        <v>0.26219999999999999</v>
      </c>
      <c r="U1751" s="2">
        <v>1.4021999999999999</v>
      </c>
      <c r="V1751" s="2">
        <v>1.1399999999999999</v>
      </c>
      <c r="W1751" s="5">
        <f t="shared" ref="W1751:W1782" si="178">(S1751-V1751)/S1751</f>
        <v>0</v>
      </c>
      <c r="Y1751" s="2" t="s">
        <v>3256</v>
      </c>
      <c r="Z1751" s="2" t="s">
        <v>97</v>
      </c>
      <c r="AA1751" s="2" t="s">
        <v>77</v>
      </c>
      <c r="AB1751" s="2" t="s">
        <v>94</v>
      </c>
      <c r="AE1751" s="2">
        <f t="shared" si="174"/>
        <v>0</v>
      </c>
      <c r="AI1751" s="2">
        <f t="shared" si="175"/>
        <v>0</v>
      </c>
      <c r="AJ1751" s="2">
        <f t="shared" si="176"/>
        <v>0</v>
      </c>
      <c r="AK1751" s="5">
        <f t="shared" si="177"/>
        <v>0</v>
      </c>
    </row>
    <row r="1752" spans="1:37" x14ac:dyDescent="0.2">
      <c r="A1752" s="2">
        <v>2025</v>
      </c>
      <c r="B1752" s="2">
        <v>8</v>
      </c>
      <c r="C1752" s="2" t="s">
        <v>860</v>
      </c>
      <c r="D1752" s="2" t="s">
        <v>109</v>
      </c>
      <c r="E1752" s="2" t="s">
        <v>39</v>
      </c>
      <c r="F1752" s="2">
        <v>505128128</v>
      </c>
      <c r="G1752" s="2" t="s">
        <v>41</v>
      </c>
      <c r="H1752" s="2" t="s">
        <v>861</v>
      </c>
      <c r="I1752" s="2" t="s">
        <v>862</v>
      </c>
      <c r="J1752" s="2">
        <v>917665950</v>
      </c>
      <c r="K1752" s="2" t="s">
        <v>100</v>
      </c>
      <c r="L1752" s="2" t="s">
        <v>41</v>
      </c>
      <c r="N1752" s="2" t="s">
        <v>1829</v>
      </c>
      <c r="O1752" s="2" t="s">
        <v>43</v>
      </c>
      <c r="P1752" s="2" t="s">
        <v>161</v>
      </c>
      <c r="Q1752" s="2" t="s">
        <v>162</v>
      </c>
      <c r="R1752" s="2">
        <v>1</v>
      </c>
      <c r="S1752" s="2">
        <v>7.8</v>
      </c>
      <c r="T1752" s="2">
        <v>1.794</v>
      </c>
      <c r="U1752" s="2">
        <v>9.5939999999999994</v>
      </c>
      <c r="V1752" s="2">
        <f>3.7358*R1752</f>
        <v>3.7357999999999998</v>
      </c>
      <c r="W1752" s="5">
        <f t="shared" si="178"/>
        <v>0.52105128205128204</v>
      </c>
      <c r="Y1752" s="2" t="s">
        <v>3256</v>
      </c>
      <c r="Z1752" s="2" t="s">
        <v>46</v>
      </c>
      <c r="AA1752" s="2" t="s">
        <v>47</v>
      </c>
      <c r="AB1752" s="2" t="s">
        <v>48</v>
      </c>
      <c r="AE1752" s="2">
        <f t="shared" si="174"/>
        <v>0</v>
      </c>
      <c r="AF1752" s="2">
        <v>3.7357999999999998</v>
      </c>
      <c r="AG1752" s="2">
        <v>9</v>
      </c>
      <c r="AI1752" s="2">
        <f t="shared" si="175"/>
        <v>0</v>
      </c>
      <c r="AJ1752" s="2">
        <f t="shared" si="176"/>
        <v>4.0641999999999996</v>
      </c>
      <c r="AK1752" s="5">
        <f t="shared" si="177"/>
        <v>0.52105128205128204</v>
      </c>
    </row>
    <row r="1753" spans="1:37" x14ac:dyDescent="0.2">
      <c r="A1753" s="2">
        <v>2025</v>
      </c>
      <c r="B1753" s="2">
        <v>8</v>
      </c>
      <c r="C1753" s="2" t="s">
        <v>868</v>
      </c>
      <c r="O1753" s="2" t="s">
        <v>283</v>
      </c>
      <c r="P1753" s="2" t="s">
        <v>1830</v>
      </c>
      <c r="Q1753" s="2" t="s">
        <v>1831</v>
      </c>
      <c r="R1753" s="2">
        <v>1</v>
      </c>
      <c r="S1753" s="2">
        <v>1190</v>
      </c>
      <c r="T1753" s="2">
        <v>273.7</v>
      </c>
      <c r="U1753" s="2">
        <v>1463.7</v>
      </c>
      <c r="W1753" s="5">
        <f t="shared" si="178"/>
        <v>1</v>
      </c>
      <c r="Y1753" s="2" t="s">
        <v>3256</v>
      </c>
      <c r="Z1753" s="2" t="s">
        <v>72</v>
      </c>
      <c r="AA1753" s="2" t="s">
        <v>1616</v>
      </c>
      <c r="AB1753" s="2" t="s">
        <v>1616</v>
      </c>
      <c r="AE1753" s="2">
        <f t="shared" si="174"/>
        <v>0</v>
      </c>
      <c r="AI1753" s="2">
        <f t="shared" si="175"/>
        <v>0</v>
      </c>
      <c r="AJ1753" s="2">
        <f t="shared" si="176"/>
        <v>1190</v>
      </c>
      <c r="AK1753" s="5">
        <f t="shared" si="177"/>
        <v>1</v>
      </c>
    </row>
    <row r="1754" spans="1:37" x14ac:dyDescent="0.2">
      <c r="A1754" s="2">
        <v>2025</v>
      </c>
      <c r="B1754" s="2">
        <v>8</v>
      </c>
      <c r="C1754" s="2" t="s">
        <v>504</v>
      </c>
      <c r="D1754" s="2" t="s">
        <v>38</v>
      </c>
      <c r="E1754" s="2" t="s">
        <v>39</v>
      </c>
      <c r="F1754" s="2">
        <v>513244468</v>
      </c>
      <c r="G1754" s="2" t="s">
        <v>41</v>
      </c>
      <c r="H1754" s="2" t="s">
        <v>505</v>
      </c>
      <c r="I1754" s="2" t="s">
        <v>506</v>
      </c>
      <c r="J1754" s="2">
        <v>918010109</v>
      </c>
      <c r="K1754" s="2" t="s">
        <v>100</v>
      </c>
      <c r="L1754" s="2" t="s">
        <v>41</v>
      </c>
      <c r="O1754" s="2" t="s">
        <v>283</v>
      </c>
      <c r="P1754" s="2" t="s">
        <v>1832</v>
      </c>
      <c r="Q1754" s="2" t="s">
        <v>1833</v>
      </c>
      <c r="R1754" s="2">
        <v>1</v>
      </c>
      <c r="S1754" s="2">
        <v>21.9</v>
      </c>
      <c r="T1754" s="2">
        <v>5.0369999999999999</v>
      </c>
      <c r="U1754" s="2">
        <v>26.937000000000001</v>
      </c>
      <c r="W1754" s="5">
        <f t="shared" si="178"/>
        <v>1</v>
      </c>
      <c r="Y1754" s="2" t="s">
        <v>3256</v>
      </c>
      <c r="Z1754" s="2" t="s">
        <v>72</v>
      </c>
      <c r="AA1754" s="2" t="s">
        <v>1616</v>
      </c>
      <c r="AB1754" s="2" t="s">
        <v>1616</v>
      </c>
      <c r="AE1754" s="2">
        <f t="shared" si="174"/>
        <v>0</v>
      </c>
      <c r="AI1754" s="2">
        <f t="shared" si="175"/>
        <v>0</v>
      </c>
      <c r="AJ1754" s="2">
        <f t="shared" si="176"/>
        <v>21.9</v>
      </c>
      <c r="AK1754" s="5">
        <f t="shared" si="177"/>
        <v>1</v>
      </c>
    </row>
    <row r="1755" spans="1:37" x14ac:dyDescent="0.2">
      <c r="A1755" s="2">
        <v>2025</v>
      </c>
      <c r="B1755" s="2">
        <v>8</v>
      </c>
      <c r="C1755" s="2" t="s">
        <v>504</v>
      </c>
      <c r="D1755" s="2" t="s">
        <v>38</v>
      </c>
      <c r="E1755" s="2" t="s">
        <v>39</v>
      </c>
      <c r="F1755" s="2">
        <v>513244468</v>
      </c>
      <c r="G1755" s="2" t="s">
        <v>41</v>
      </c>
      <c r="H1755" s="2" t="s">
        <v>505</v>
      </c>
      <c r="I1755" s="2" t="s">
        <v>506</v>
      </c>
      <c r="J1755" s="2">
        <v>918010109</v>
      </c>
      <c r="K1755" s="2" t="s">
        <v>100</v>
      </c>
      <c r="L1755" s="2" t="s">
        <v>41</v>
      </c>
      <c r="O1755" s="2" t="s">
        <v>283</v>
      </c>
      <c r="P1755" s="2" t="s">
        <v>1834</v>
      </c>
      <c r="Q1755" s="2" t="s">
        <v>1835</v>
      </c>
      <c r="R1755" s="2">
        <v>1</v>
      </c>
      <c r="S1755" s="2">
        <v>36.9</v>
      </c>
      <c r="T1755" s="2">
        <v>8.4870000000000001</v>
      </c>
      <c r="U1755" s="2">
        <v>45.387</v>
      </c>
      <c r="W1755" s="5">
        <f t="shared" si="178"/>
        <v>1</v>
      </c>
      <c r="Y1755" s="2" t="s">
        <v>3256</v>
      </c>
      <c r="Z1755" s="2" t="s">
        <v>72</v>
      </c>
      <c r="AA1755" s="2" t="s">
        <v>1616</v>
      </c>
      <c r="AB1755" s="2" t="s">
        <v>1616</v>
      </c>
      <c r="AE1755" s="2">
        <f t="shared" si="174"/>
        <v>0</v>
      </c>
      <c r="AI1755" s="2">
        <f t="shared" si="175"/>
        <v>0</v>
      </c>
      <c r="AJ1755" s="2">
        <f t="shared" si="176"/>
        <v>36.9</v>
      </c>
      <c r="AK1755" s="5">
        <f t="shared" si="177"/>
        <v>1</v>
      </c>
    </row>
    <row r="1756" spans="1:37" x14ac:dyDescent="0.2">
      <c r="A1756" s="2">
        <v>2025</v>
      </c>
      <c r="B1756" s="2">
        <v>8</v>
      </c>
      <c r="C1756" s="2" t="s">
        <v>504</v>
      </c>
      <c r="D1756" s="2" t="s">
        <v>38</v>
      </c>
      <c r="E1756" s="2" t="s">
        <v>39</v>
      </c>
      <c r="F1756" s="2">
        <v>513244468</v>
      </c>
      <c r="G1756" s="2" t="s">
        <v>41</v>
      </c>
      <c r="H1756" s="2" t="s">
        <v>505</v>
      </c>
      <c r="I1756" s="2" t="s">
        <v>506</v>
      </c>
      <c r="J1756" s="2">
        <v>918010109</v>
      </c>
      <c r="K1756" s="2" t="s">
        <v>100</v>
      </c>
      <c r="L1756" s="2" t="s">
        <v>41</v>
      </c>
      <c r="O1756" s="2" t="s">
        <v>283</v>
      </c>
      <c r="P1756" s="2" t="s">
        <v>1836</v>
      </c>
      <c r="Q1756" s="2" t="s">
        <v>1837</v>
      </c>
      <c r="R1756" s="2">
        <v>1</v>
      </c>
      <c r="S1756" s="2">
        <v>8.1999999999999993</v>
      </c>
      <c r="T1756" s="2">
        <v>1.8859999999999999</v>
      </c>
      <c r="U1756" s="2">
        <v>10.086</v>
      </c>
      <c r="W1756" s="5">
        <f t="shared" si="178"/>
        <v>1</v>
      </c>
      <c r="Y1756" s="2" t="s">
        <v>3256</v>
      </c>
      <c r="AE1756" s="2">
        <f t="shared" si="174"/>
        <v>0</v>
      </c>
      <c r="AI1756" s="2">
        <f t="shared" si="175"/>
        <v>0</v>
      </c>
      <c r="AJ1756" s="2">
        <f t="shared" si="176"/>
        <v>8.1999999999999993</v>
      </c>
      <c r="AK1756" s="5">
        <f t="shared" si="177"/>
        <v>1</v>
      </c>
    </row>
    <row r="1757" spans="1:37" x14ac:dyDescent="0.2">
      <c r="A1757" s="2">
        <v>2025</v>
      </c>
      <c r="B1757" s="2">
        <v>8</v>
      </c>
      <c r="C1757" s="2" t="s">
        <v>504</v>
      </c>
      <c r="D1757" s="2" t="s">
        <v>38</v>
      </c>
      <c r="E1757" s="2" t="s">
        <v>39</v>
      </c>
      <c r="F1757" s="2">
        <v>513244468</v>
      </c>
      <c r="G1757" s="2" t="s">
        <v>41</v>
      </c>
      <c r="H1757" s="2" t="s">
        <v>505</v>
      </c>
      <c r="I1757" s="2" t="s">
        <v>506</v>
      </c>
      <c r="J1757" s="2">
        <v>918010109</v>
      </c>
      <c r="K1757" s="2" t="s">
        <v>100</v>
      </c>
      <c r="L1757" s="2" t="s">
        <v>41</v>
      </c>
      <c r="O1757" s="2" t="s">
        <v>283</v>
      </c>
      <c r="P1757" s="2" t="s">
        <v>1838</v>
      </c>
      <c r="Q1757" s="2" t="s">
        <v>1839</v>
      </c>
      <c r="R1757" s="2">
        <v>1</v>
      </c>
      <c r="S1757" s="2">
        <v>7.2</v>
      </c>
      <c r="T1757" s="2">
        <v>1.6559999999999999</v>
      </c>
      <c r="U1757" s="2">
        <v>8.8559999999999999</v>
      </c>
      <c r="W1757" s="5">
        <f t="shared" si="178"/>
        <v>1</v>
      </c>
      <c r="Y1757" s="2" t="s">
        <v>3256</v>
      </c>
      <c r="AE1757" s="2">
        <f t="shared" si="174"/>
        <v>0</v>
      </c>
      <c r="AI1757" s="2">
        <f t="shared" si="175"/>
        <v>0</v>
      </c>
      <c r="AJ1757" s="2">
        <f t="shared" si="176"/>
        <v>7.2</v>
      </c>
      <c r="AK1757" s="5">
        <f t="shared" si="177"/>
        <v>1</v>
      </c>
    </row>
    <row r="1758" spans="1:37" x14ac:dyDescent="0.2">
      <c r="A1758" s="2">
        <v>2025</v>
      </c>
      <c r="B1758" s="2">
        <v>8</v>
      </c>
      <c r="C1758" s="2" t="s">
        <v>504</v>
      </c>
      <c r="D1758" s="2" t="s">
        <v>38</v>
      </c>
      <c r="E1758" s="2" t="s">
        <v>39</v>
      </c>
      <c r="F1758" s="2">
        <v>513244468</v>
      </c>
      <c r="G1758" s="2" t="s">
        <v>41</v>
      </c>
      <c r="H1758" s="2" t="s">
        <v>505</v>
      </c>
      <c r="I1758" s="2" t="s">
        <v>506</v>
      </c>
      <c r="J1758" s="2">
        <v>918010109</v>
      </c>
      <c r="K1758" s="2" t="s">
        <v>100</v>
      </c>
      <c r="L1758" s="2" t="s">
        <v>41</v>
      </c>
      <c r="O1758" s="2" t="s">
        <v>283</v>
      </c>
      <c r="P1758" s="2" t="s">
        <v>1072</v>
      </c>
      <c r="Q1758" s="2" t="s">
        <v>1073</v>
      </c>
      <c r="R1758" s="2">
        <v>1</v>
      </c>
      <c r="S1758" s="2">
        <v>28.9</v>
      </c>
      <c r="T1758" s="2">
        <v>6.6470000000000002</v>
      </c>
      <c r="U1758" s="2">
        <v>35.546999999999997</v>
      </c>
      <c r="W1758" s="5">
        <f t="shared" si="178"/>
        <v>1</v>
      </c>
      <c r="Y1758" s="2" t="s">
        <v>3256</v>
      </c>
      <c r="AE1758" s="2">
        <f t="shared" si="174"/>
        <v>0</v>
      </c>
      <c r="AI1758" s="2">
        <f t="shared" si="175"/>
        <v>0</v>
      </c>
      <c r="AJ1758" s="2">
        <f t="shared" si="176"/>
        <v>28.9</v>
      </c>
      <c r="AK1758" s="5">
        <f t="shared" si="177"/>
        <v>1</v>
      </c>
    </row>
    <row r="1759" spans="1:37" x14ac:dyDescent="0.2">
      <c r="A1759" s="2">
        <v>2025</v>
      </c>
      <c r="B1759" s="2">
        <v>8</v>
      </c>
      <c r="C1759" s="2" t="s">
        <v>1074</v>
      </c>
      <c r="O1759" s="2" t="s">
        <v>43</v>
      </c>
      <c r="P1759" s="2" t="s">
        <v>62</v>
      </c>
      <c r="Q1759" s="2" t="s">
        <v>63</v>
      </c>
      <c r="R1759" s="2">
        <v>1000</v>
      </c>
      <c r="S1759" s="2">
        <v>105</v>
      </c>
      <c r="T1759" s="2">
        <v>24.15</v>
      </c>
      <c r="U1759" s="2">
        <v>129.15</v>
      </c>
      <c r="V1759" s="2">
        <f>0.082*R1759</f>
        <v>82</v>
      </c>
      <c r="W1759" s="5">
        <f t="shared" si="178"/>
        <v>0.21904761904761905</v>
      </c>
      <c r="Y1759" s="2" t="s">
        <v>3256</v>
      </c>
      <c r="Z1759" s="2" t="s">
        <v>46</v>
      </c>
      <c r="AA1759" s="2" t="s">
        <v>61</v>
      </c>
      <c r="AB1759" s="2" t="s">
        <v>58</v>
      </c>
      <c r="AE1759" s="2">
        <f t="shared" si="174"/>
        <v>0</v>
      </c>
      <c r="AF1759" s="2">
        <v>8.1999999999999993</v>
      </c>
      <c r="AG1759" s="2">
        <v>13</v>
      </c>
      <c r="AI1759" s="2">
        <f t="shared" si="175"/>
        <v>0</v>
      </c>
      <c r="AJ1759" s="2">
        <f t="shared" si="176"/>
        <v>23</v>
      </c>
      <c r="AK1759" s="5">
        <f t="shared" si="177"/>
        <v>0.21904761904761905</v>
      </c>
    </row>
    <row r="1760" spans="1:37" x14ac:dyDescent="0.2">
      <c r="A1760" s="2">
        <v>2025</v>
      </c>
      <c r="B1760" s="2">
        <v>8</v>
      </c>
      <c r="C1760" s="2" t="s">
        <v>1074</v>
      </c>
      <c r="O1760" s="2" t="s">
        <v>43</v>
      </c>
      <c r="P1760" s="2" t="s">
        <v>66</v>
      </c>
      <c r="Q1760" s="2" t="s">
        <v>67</v>
      </c>
      <c r="R1760" s="2">
        <v>6</v>
      </c>
      <c r="S1760" s="2">
        <v>126</v>
      </c>
      <c r="T1760" s="2">
        <v>28.98</v>
      </c>
      <c r="U1760" s="2">
        <v>154.97999999999999</v>
      </c>
      <c r="V1760" s="2">
        <f>15.0203*R1760</f>
        <v>90.121800000000007</v>
      </c>
      <c r="W1760" s="5">
        <f t="shared" si="178"/>
        <v>0.28474761904761897</v>
      </c>
      <c r="Y1760" s="2" t="s">
        <v>3256</v>
      </c>
      <c r="Z1760" s="2" t="s">
        <v>46</v>
      </c>
      <c r="AA1760" s="2" t="s">
        <v>68</v>
      </c>
      <c r="AB1760" s="2" t="s">
        <v>58</v>
      </c>
      <c r="AE1760" s="2">
        <f t="shared" si="174"/>
        <v>0</v>
      </c>
      <c r="AF1760" s="2">
        <v>15.020300000000001</v>
      </c>
      <c r="AG1760" s="2">
        <v>27.6</v>
      </c>
      <c r="AI1760" s="2">
        <f t="shared" si="175"/>
        <v>0</v>
      </c>
      <c r="AJ1760" s="2">
        <f t="shared" si="176"/>
        <v>35.878199999999993</v>
      </c>
      <c r="AK1760" s="5">
        <f t="shared" si="177"/>
        <v>0.28474761904761897</v>
      </c>
    </row>
    <row r="1761" spans="1:37" x14ac:dyDescent="0.2">
      <c r="A1761" s="2">
        <v>2025</v>
      </c>
      <c r="B1761" s="2">
        <v>8</v>
      </c>
      <c r="C1761" s="2" t="s">
        <v>1840</v>
      </c>
      <c r="L1761" s="2" t="s">
        <v>40</v>
      </c>
      <c r="O1761" s="2" t="s">
        <v>188</v>
      </c>
      <c r="P1761" s="2" t="s">
        <v>189</v>
      </c>
      <c r="Q1761" s="2" t="s">
        <v>190</v>
      </c>
      <c r="R1761" s="2">
        <v>1</v>
      </c>
      <c r="S1761" s="2">
        <v>50</v>
      </c>
      <c r="T1761" s="2">
        <v>11.5</v>
      </c>
      <c r="U1761" s="2">
        <v>61.5</v>
      </c>
      <c r="W1761" s="5">
        <f t="shared" si="178"/>
        <v>1</v>
      </c>
      <c r="Y1761" s="2" t="s">
        <v>118</v>
      </c>
      <c r="Z1761" s="2" t="s">
        <v>191</v>
      </c>
      <c r="AE1761" s="2">
        <f t="shared" si="174"/>
        <v>0</v>
      </c>
      <c r="AI1761" s="2">
        <f t="shared" si="175"/>
        <v>0</v>
      </c>
      <c r="AJ1761" s="2">
        <f t="shared" si="176"/>
        <v>50</v>
      </c>
      <c r="AK1761" s="5">
        <f t="shared" si="177"/>
        <v>1</v>
      </c>
    </row>
    <row r="1762" spans="1:37" x14ac:dyDescent="0.2">
      <c r="A1762" s="2">
        <v>2025</v>
      </c>
      <c r="B1762" s="2">
        <v>8</v>
      </c>
      <c r="C1762" s="2" t="s">
        <v>1840</v>
      </c>
      <c r="L1762" s="2" t="s">
        <v>40</v>
      </c>
      <c r="O1762" s="2" t="s">
        <v>188</v>
      </c>
      <c r="P1762" s="2" t="s">
        <v>192</v>
      </c>
      <c r="Q1762" s="2" t="s">
        <v>191</v>
      </c>
      <c r="R1762" s="2">
        <v>1</v>
      </c>
      <c r="S1762" s="2">
        <v>50</v>
      </c>
      <c r="T1762" s="2">
        <v>11.5</v>
      </c>
      <c r="U1762" s="2">
        <v>61.5</v>
      </c>
      <c r="V1762" s="2">
        <f>S1762*50%</f>
        <v>25</v>
      </c>
      <c r="W1762" s="5">
        <f t="shared" si="178"/>
        <v>0.5</v>
      </c>
      <c r="Y1762" s="2" t="s">
        <v>118</v>
      </c>
      <c r="Z1762" s="2" t="s">
        <v>191</v>
      </c>
      <c r="AE1762" s="2">
        <f t="shared" si="174"/>
        <v>0</v>
      </c>
      <c r="AI1762" s="2">
        <f t="shared" si="175"/>
        <v>0</v>
      </c>
      <c r="AJ1762" s="2">
        <f t="shared" si="176"/>
        <v>25</v>
      </c>
      <c r="AK1762" s="5">
        <f t="shared" si="177"/>
        <v>0.5</v>
      </c>
    </row>
    <row r="1763" spans="1:37" x14ac:dyDescent="0.2">
      <c r="A1763" s="2">
        <v>2025</v>
      </c>
      <c r="B1763" s="2">
        <v>8</v>
      </c>
      <c r="C1763" s="2" t="s">
        <v>513</v>
      </c>
      <c r="D1763" s="2" t="s">
        <v>38</v>
      </c>
      <c r="E1763" s="2" t="s">
        <v>39</v>
      </c>
      <c r="F1763" s="2">
        <v>513405020</v>
      </c>
      <c r="G1763" s="2" t="s">
        <v>40</v>
      </c>
      <c r="H1763" s="2" t="s">
        <v>157</v>
      </c>
      <c r="I1763" s="2" t="s">
        <v>514</v>
      </c>
      <c r="J1763" s="2">
        <v>919770433</v>
      </c>
      <c r="K1763" s="2" t="s">
        <v>100</v>
      </c>
      <c r="O1763" s="2" t="s">
        <v>43</v>
      </c>
      <c r="P1763" s="2" t="s">
        <v>233</v>
      </c>
      <c r="Q1763" s="2" t="s">
        <v>234</v>
      </c>
      <c r="R1763" s="2">
        <v>1</v>
      </c>
      <c r="S1763" s="2">
        <v>12</v>
      </c>
      <c r="T1763" s="2">
        <v>2.76</v>
      </c>
      <c r="U1763" s="2">
        <v>14.76</v>
      </c>
      <c r="V1763" s="2">
        <v>5.9066999999999998</v>
      </c>
      <c r="W1763" s="5">
        <f t="shared" si="178"/>
        <v>0.50777499999999998</v>
      </c>
      <c r="Y1763" s="2" t="s">
        <v>3256</v>
      </c>
      <c r="Z1763" s="2" t="s">
        <v>46</v>
      </c>
      <c r="AA1763" s="2" t="s">
        <v>57</v>
      </c>
      <c r="AB1763" s="2" t="s">
        <v>58</v>
      </c>
      <c r="AE1763" s="2">
        <f t="shared" si="174"/>
        <v>0</v>
      </c>
      <c r="AF1763" s="2">
        <v>5.9066999999999998</v>
      </c>
      <c r="AG1763" s="2">
        <v>12.6</v>
      </c>
      <c r="AI1763" s="2">
        <f t="shared" si="175"/>
        <v>0</v>
      </c>
      <c r="AJ1763" s="2">
        <f t="shared" si="176"/>
        <v>6.0933000000000002</v>
      </c>
      <c r="AK1763" s="5">
        <f t="shared" si="177"/>
        <v>0.50777499999999998</v>
      </c>
    </row>
    <row r="1764" spans="1:37" x14ac:dyDescent="0.2">
      <c r="A1764" s="2">
        <v>2025</v>
      </c>
      <c r="B1764" s="2">
        <v>8</v>
      </c>
      <c r="C1764" s="2" t="s">
        <v>513</v>
      </c>
      <c r="D1764" s="2" t="s">
        <v>38</v>
      </c>
      <c r="E1764" s="2" t="s">
        <v>39</v>
      </c>
      <c r="F1764" s="2">
        <v>513405020</v>
      </c>
      <c r="G1764" s="2" t="s">
        <v>40</v>
      </c>
      <c r="H1764" s="2" t="s">
        <v>157</v>
      </c>
      <c r="I1764" s="2" t="s">
        <v>514</v>
      </c>
      <c r="J1764" s="2">
        <v>919770433</v>
      </c>
      <c r="K1764" s="2" t="s">
        <v>100</v>
      </c>
      <c r="O1764" s="2" t="s">
        <v>43</v>
      </c>
      <c r="P1764" s="2" t="s">
        <v>235</v>
      </c>
      <c r="Q1764" s="2" t="s">
        <v>236</v>
      </c>
      <c r="R1764" s="2">
        <v>1</v>
      </c>
      <c r="S1764" s="2">
        <v>13.2</v>
      </c>
      <c r="T1764" s="2">
        <v>3.036</v>
      </c>
      <c r="U1764" s="2">
        <v>16.236000000000001</v>
      </c>
      <c r="V1764" s="2">
        <v>7.2217000000000002</v>
      </c>
      <c r="W1764" s="5">
        <f t="shared" si="178"/>
        <v>0.45290151515151511</v>
      </c>
      <c r="Y1764" s="2" t="s">
        <v>3256</v>
      </c>
      <c r="Z1764" s="2" t="s">
        <v>46</v>
      </c>
      <c r="AA1764" s="2" t="s">
        <v>57</v>
      </c>
      <c r="AB1764" s="2" t="s">
        <v>58</v>
      </c>
      <c r="AE1764" s="2">
        <f t="shared" si="174"/>
        <v>0</v>
      </c>
      <c r="AF1764" s="2">
        <v>7.2217000000000002</v>
      </c>
      <c r="AG1764" s="2">
        <v>14.4</v>
      </c>
      <c r="AI1764" s="2">
        <f t="shared" si="175"/>
        <v>0</v>
      </c>
      <c r="AJ1764" s="2">
        <f t="shared" si="176"/>
        <v>5.9782999999999991</v>
      </c>
      <c r="AK1764" s="5">
        <f t="shared" si="177"/>
        <v>0.45290151515151511</v>
      </c>
    </row>
    <row r="1765" spans="1:37" x14ac:dyDescent="0.2">
      <c r="A1765" s="2">
        <v>2025</v>
      </c>
      <c r="B1765" s="2">
        <v>8</v>
      </c>
      <c r="C1765" s="2" t="s">
        <v>513</v>
      </c>
      <c r="D1765" s="2" t="s">
        <v>38</v>
      </c>
      <c r="E1765" s="2" t="s">
        <v>39</v>
      </c>
      <c r="F1765" s="2">
        <v>513405020</v>
      </c>
      <c r="G1765" s="2" t="s">
        <v>40</v>
      </c>
      <c r="H1765" s="2" t="s">
        <v>157</v>
      </c>
      <c r="I1765" s="2" t="s">
        <v>514</v>
      </c>
      <c r="J1765" s="2">
        <v>919770433</v>
      </c>
      <c r="K1765" s="2" t="s">
        <v>100</v>
      </c>
      <c r="O1765" s="2" t="s">
        <v>43</v>
      </c>
      <c r="P1765" s="2" t="s">
        <v>66</v>
      </c>
      <c r="Q1765" s="2" t="s">
        <v>67</v>
      </c>
      <c r="R1765" s="2">
        <v>1</v>
      </c>
      <c r="S1765" s="2">
        <v>26.4</v>
      </c>
      <c r="T1765" s="2">
        <v>6.0720000000000001</v>
      </c>
      <c r="U1765" s="2">
        <v>32.472000000000001</v>
      </c>
      <c r="V1765" s="2">
        <f>15.0203*R1765</f>
        <v>15.020300000000001</v>
      </c>
      <c r="W1765" s="5">
        <f t="shared" si="178"/>
        <v>0.43104924242424236</v>
      </c>
      <c r="Y1765" s="2" t="s">
        <v>3256</v>
      </c>
      <c r="Z1765" s="2" t="s">
        <v>46</v>
      </c>
      <c r="AA1765" s="2" t="s">
        <v>68</v>
      </c>
      <c r="AB1765" s="2" t="s">
        <v>58</v>
      </c>
      <c r="AE1765" s="2">
        <f t="shared" si="174"/>
        <v>0</v>
      </c>
      <c r="AF1765" s="2">
        <v>15.020300000000001</v>
      </c>
      <c r="AG1765" s="2">
        <v>27.6</v>
      </c>
      <c r="AI1765" s="2">
        <f t="shared" si="175"/>
        <v>0</v>
      </c>
      <c r="AJ1765" s="2">
        <f t="shared" si="176"/>
        <v>11.379699999999998</v>
      </c>
      <c r="AK1765" s="5">
        <f t="shared" si="177"/>
        <v>0.43104924242424236</v>
      </c>
    </row>
    <row r="1766" spans="1:37" x14ac:dyDescent="0.2">
      <c r="A1766" s="2">
        <v>2025</v>
      </c>
      <c r="B1766" s="2">
        <v>8</v>
      </c>
      <c r="C1766" s="2" t="s">
        <v>1606</v>
      </c>
      <c r="O1766" s="2" t="s">
        <v>115</v>
      </c>
      <c r="P1766" s="2" t="s">
        <v>1607</v>
      </c>
      <c r="Q1766" s="2" t="s">
        <v>1608</v>
      </c>
      <c r="R1766" s="2">
        <v>1</v>
      </c>
      <c r="S1766" s="2">
        <v>46.59</v>
      </c>
      <c r="T1766" s="2">
        <v>10.7157</v>
      </c>
      <c r="U1766" s="2">
        <v>57.305700000000002</v>
      </c>
      <c r="W1766" s="5">
        <f t="shared" si="178"/>
        <v>1</v>
      </c>
      <c r="Y1766" s="2" t="s">
        <v>118</v>
      </c>
      <c r="AE1766" s="2">
        <f t="shared" si="174"/>
        <v>0</v>
      </c>
      <c r="AI1766" s="2">
        <f t="shared" si="175"/>
        <v>0</v>
      </c>
      <c r="AJ1766" s="2">
        <f t="shared" si="176"/>
        <v>46.59</v>
      </c>
      <c r="AK1766" s="5">
        <f t="shared" si="177"/>
        <v>1</v>
      </c>
    </row>
    <row r="1767" spans="1:37" x14ac:dyDescent="0.2">
      <c r="A1767" s="2">
        <v>2025</v>
      </c>
      <c r="B1767" s="2">
        <v>8</v>
      </c>
      <c r="C1767" s="2" t="s">
        <v>871</v>
      </c>
      <c r="O1767" s="2" t="s">
        <v>283</v>
      </c>
      <c r="P1767" s="2" t="s">
        <v>1841</v>
      </c>
      <c r="Q1767" s="2" t="s">
        <v>1842</v>
      </c>
      <c r="R1767" s="2">
        <v>1</v>
      </c>
      <c r="S1767" s="2">
        <v>100</v>
      </c>
      <c r="T1767" s="2">
        <v>23</v>
      </c>
      <c r="U1767" s="2">
        <v>123</v>
      </c>
      <c r="W1767" s="5">
        <f t="shared" si="178"/>
        <v>1</v>
      </c>
      <c r="Y1767" s="2" t="s">
        <v>3256</v>
      </c>
      <c r="AE1767" s="2">
        <f t="shared" si="174"/>
        <v>0</v>
      </c>
      <c r="AI1767" s="2">
        <f t="shared" si="175"/>
        <v>0</v>
      </c>
      <c r="AJ1767" s="2">
        <f t="shared" si="176"/>
        <v>100</v>
      </c>
      <c r="AK1767" s="5">
        <f t="shared" si="177"/>
        <v>1</v>
      </c>
    </row>
    <row r="1768" spans="1:37" x14ac:dyDescent="0.2">
      <c r="A1768" s="2">
        <v>2025</v>
      </c>
      <c r="B1768" s="2">
        <v>8</v>
      </c>
      <c r="C1768" s="2" t="s">
        <v>871</v>
      </c>
      <c r="O1768" s="2" t="s">
        <v>43</v>
      </c>
      <c r="P1768" s="2" t="s">
        <v>49</v>
      </c>
      <c r="Q1768" s="2" t="s">
        <v>50</v>
      </c>
      <c r="R1768" s="2">
        <v>1</v>
      </c>
      <c r="S1768" s="2">
        <v>12</v>
      </c>
      <c r="T1768" s="2">
        <v>2.76</v>
      </c>
      <c r="U1768" s="2">
        <v>14.76</v>
      </c>
      <c r="V1768" s="2">
        <f>6.6267*R1768</f>
        <v>6.6266999999999996</v>
      </c>
      <c r="W1768" s="5">
        <f t="shared" si="178"/>
        <v>0.44777500000000003</v>
      </c>
      <c r="Y1768" s="2" t="s">
        <v>3256</v>
      </c>
      <c r="Z1768" s="2" t="s">
        <v>46</v>
      </c>
      <c r="AA1768" s="2" t="s">
        <v>47</v>
      </c>
      <c r="AB1768" s="2" t="s">
        <v>48</v>
      </c>
      <c r="AE1768" s="2">
        <f t="shared" si="174"/>
        <v>0</v>
      </c>
      <c r="AF1768" s="2">
        <v>6.6266999999999996</v>
      </c>
      <c r="AG1768" s="2">
        <v>12</v>
      </c>
      <c r="AI1768" s="2">
        <f t="shared" si="175"/>
        <v>0</v>
      </c>
      <c r="AJ1768" s="2">
        <f t="shared" si="176"/>
        <v>5.3733000000000004</v>
      </c>
      <c r="AK1768" s="5">
        <f t="shared" si="177"/>
        <v>0.44777500000000003</v>
      </c>
    </row>
    <row r="1769" spans="1:37" x14ac:dyDescent="0.2">
      <c r="A1769" s="2">
        <v>2025</v>
      </c>
      <c r="B1769" s="2">
        <v>8</v>
      </c>
      <c r="C1769" s="2" t="s">
        <v>871</v>
      </c>
      <c r="O1769" s="2" t="s">
        <v>43</v>
      </c>
      <c r="P1769" s="2" t="s">
        <v>55</v>
      </c>
      <c r="Q1769" s="2" t="s">
        <v>56</v>
      </c>
      <c r="R1769" s="2">
        <v>1</v>
      </c>
      <c r="S1769" s="2">
        <v>18</v>
      </c>
      <c r="T1769" s="2">
        <v>4.1400000000000006</v>
      </c>
      <c r="U1769" s="2">
        <v>22.14</v>
      </c>
      <c r="V1769" s="2">
        <f>10.6*R1769</f>
        <v>10.6</v>
      </c>
      <c r="W1769" s="5">
        <f t="shared" si="178"/>
        <v>0.41111111111111115</v>
      </c>
      <c r="Y1769" s="2" t="s">
        <v>3256</v>
      </c>
      <c r="Z1769" s="2" t="s">
        <v>46</v>
      </c>
      <c r="AA1769" s="2" t="s">
        <v>57</v>
      </c>
      <c r="AB1769" s="2" t="s">
        <v>58</v>
      </c>
      <c r="AE1769" s="2">
        <f t="shared" si="174"/>
        <v>0</v>
      </c>
      <c r="AF1769" s="2">
        <v>10.6</v>
      </c>
      <c r="AG1769" s="2">
        <v>18</v>
      </c>
      <c r="AI1769" s="2">
        <f t="shared" si="175"/>
        <v>0</v>
      </c>
      <c r="AJ1769" s="2">
        <f t="shared" si="176"/>
        <v>7.4</v>
      </c>
      <c r="AK1769" s="5">
        <f t="shared" si="177"/>
        <v>0.41111111111111115</v>
      </c>
    </row>
    <row r="1770" spans="1:37" x14ac:dyDescent="0.2">
      <c r="A1770" s="2">
        <v>2025</v>
      </c>
      <c r="B1770" s="2">
        <v>8</v>
      </c>
      <c r="C1770" s="2" t="s">
        <v>1080</v>
      </c>
      <c r="O1770" s="2" t="s">
        <v>283</v>
      </c>
      <c r="P1770" s="2" t="s">
        <v>1338</v>
      </c>
      <c r="Q1770" s="2" t="s">
        <v>1339</v>
      </c>
      <c r="R1770" s="2">
        <v>1</v>
      </c>
      <c r="S1770" s="2">
        <v>2390</v>
      </c>
      <c r="T1770" s="2">
        <v>549.70000000000005</v>
      </c>
      <c r="U1770" s="2">
        <v>2939.7</v>
      </c>
      <c r="W1770" s="5">
        <f t="shared" si="178"/>
        <v>1</v>
      </c>
      <c r="Y1770" s="2" t="s">
        <v>105</v>
      </c>
      <c r="AE1770" s="2">
        <f t="shared" si="174"/>
        <v>0</v>
      </c>
      <c r="AI1770" s="2">
        <f t="shared" si="175"/>
        <v>0</v>
      </c>
      <c r="AJ1770" s="2">
        <f t="shared" si="176"/>
        <v>2390</v>
      </c>
      <c r="AK1770" s="5">
        <f t="shared" si="177"/>
        <v>1</v>
      </c>
    </row>
    <row r="1771" spans="1:37" x14ac:dyDescent="0.2">
      <c r="A1771" s="2">
        <v>2025</v>
      </c>
      <c r="B1771" s="2">
        <v>8</v>
      </c>
      <c r="C1771" s="2" t="s">
        <v>1080</v>
      </c>
      <c r="D1771" s="2" t="s">
        <v>38</v>
      </c>
      <c r="E1771" s="2" t="s">
        <v>39</v>
      </c>
      <c r="F1771" s="2">
        <v>503843091</v>
      </c>
      <c r="G1771" s="2" t="s">
        <v>41</v>
      </c>
      <c r="H1771" s="2" t="s">
        <v>1570</v>
      </c>
      <c r="I1771" s="2" t="s">
        <v>1843</v>
      </c>
      <c r="K1771" s="2" t="s">
        <v>178</v>
      </c>
      <c r="L1771" s="2" t="s">
        <v>41</v>
      </c>
      <c r="N1771" s="2" t="s">
        <v>1844</v>
      </c>
      <c r="O1771" s="2" t="s">
        <v>43</v>
      </c>
      <c r="P1771" s="2" t="s">
        <v>675</v>
      </c>
      <c r="Q1771" s="2" t="s">
        <v>676</v>
      </c>
      <c r="R1771" s="2">
        <v>1</v>
      </c>
      <c r="S1771" s="2">
        <v>40</v>
      </c>
      <c r="T1771" s="2">
        <v>9.2000000000000011</v>
      </c>
      <c r="U1771" s="2">
        <v>49.2</v>
      </c>
      <c r="V1771" s="2">
        <v>29.27</v>
      </c>
      <c r="W1771" s="5">
        <f t="shared" si="178"/>
        <v>0.26824999999999999</v>
      </c>
      <c r="Y1771" s="2" t="s">
        <v>3256</v>
      </c>
      <c r="Z1771" s="2" t="s">
        <v>46</v>
      </c>
      <c r="AA1771" s="2" t="s">
        <v>57</v>
      </c>
      <c r="AB1771" s="2" t="s">
        <v>58</v>
      </c>
      <c r="AE1771" s="2">
        <f t="shared" si="174"/>
        <v>0</v>
      </c>
      <c r="AF1771" s="2">
        <v>29.27</v>
      </c>
      <c r="AG1771" s="2">
        <v>60</v>
      </c>
      <c r="AI1771" s="2">
        <f t="shared" si="175"/>
        <v>0</v>
      </c>
      <c r="AJ1771" s="2">
        <f t="shared" si="176"/>
        <v>10.73</v>
      </c>
      <c r="AK1771" s="5">
        <f t="shared" si="177"/>
        <v>0.26824999999999999</v>
      </c>
    </row>
    <row r="1772" spans="1:37" x14ac:dyDescent="0.2">
      <c r="A1772" s="2">
        <v>2025</v>
      </c>
      <c r="B1772" s="2">
        <v>8</v>
      </c>
      <c r="C1772" s="2" t="s">
        <v>1080</v>
      </c>
      <c r="O1772" s="2" t="s">
        <v>43</v>
      </c>
      <c r="P1772" s="2" t="s">
        <v>62</v>
      </c>
      <c r="Q1772" s="2" t="s">
        <v>63</v>
      </c>
      <c r="R1772" s="2">
        <v>100</v>
      </c>
      <c r="S1772" s="2">
        <v>13</v>
      </c>
      <c r="T1772" s="2">
        <v>2.99</v>
      </c>
      <c r="U1772" s="2">
        <v>15.99</v>
      </c>
      <c r="V1772" s="2">
        <f>0.082*R1772</f>
        <v>8.2000000000000011</v>
      </c>
      <c r="W1772" s="5">
        <f t="shared" si="178"/>
        <v>0.36923076923076914</v>
      </c>
      <c r="Y1772" s="2" t="s">
        <v>3256</v>
      </c>
      <c r="Z1772" s="2" t="s">
        <v>46</v>
      </c>
      <c r="AA1772" s="2" t="s">
        <v>61</v>
      </c>
      <c r="AB1772" s="2" t="s">
        <v>58</v>
      </c>
      <c r="AE1772" s="2">
        <f t="shared" si="174"/>
        <v>0</v>
      </c>
      <c r="AF1772" s="2">
        <v>8.1999999999999993</v>
      </c>
      <c r="AG1772" s="2">
        <v>13</v>
      </c>
      <c r="AI1772" s="2">
        <f t="shared" si="175"/>
        <v>0</v>
      </c>
      <c r="AJ1772" s="2">
        <f t="shared" si="176"/>
        <v>4.7999999999999989</v>
      </c>
      <c r="AK1772" s="5">
        <f t="shared" si="177"/>
        <v>0.36923076923076914</v>
      </c>
    </row>
    <row r="1773" spans="1:37" x14ac:dyDescent="0.2">
      <c r="A1773" s="2">
        <v>2025</v>
      </c>
      <c r="B1773" s="2">
        <v>8</v>
      </c>
      <c r="C1773" s="2" t="s">
        <v>1080</v>
      </c>
      <c r="O1773" s="2" t="s">
        <v>43</v>
      </c>
      <c r="P1773" s="2" t="s">
        <v>66</v>
      </c>
      <c r="Q1773" s="2" t="s">
        <v>67</v>
      </c>
      <c r="R1773" s="2">
        <v>1</v>
      </c>
      <c r="S1773" s="2">
        <v>22</v>
      </c>
      <c r="T1773" s="2">
        <v>5.0599999999999996</v>
      </c>
      <c r="U1773" s="2">
        <v>27.06</v>
      </c>
      <c r="V1773" s="2">
        <f>15.0203*R1773</f>
        <v>15.020300000000001</v>
      </c>
      <c r="W1773" s="5">
        <f t="shared" si="178"/>
        <v>0.31725909090909088</v>
      </c>
      <c r="Y1773" s="2" t="s">
        <v>3256</v>
      </c>
      <c r="Z1773" s="2" t="s">
        <v>46</v>
      </c>
      <c r="AA1773" s="2" t="s">
        <v>68</v>
      </c>
      <c r="AB1773" s="2" t="s">
        <v>58</v>
      </c>
      <c r="AE1773" s="2">
        <f t="shared" si="174"/>
        <v>0</v>
      </c>
      <c r="AF1773" s="2">
        <v>15.020300000000001</v>
      </c>
      <c r="AG1773" s="2">
        <v>27.6</v>
      </c>
      <c r="AI1773" s="2">
        <f t="shared" si="175"/>
        <v>0</v>
      </c>
      <c r="AJ1773" s="2">
        <f t="shared" si="176"/>
        <v>6.9796999999999993</v>
      </c>
      <c r="AK1773" s="5">
        <f t="shared" si="177"/>
        <v>0.31725909090909088</v>
      </c>
    </row>
    <row r="1774" spans="1:37" x14ac:dyDescent="0.2">
      <c r="A1774" s="2">
        <v>2025</v>
      </c>
      <c r="B1774" s="2">
        <v>8</v>
      </c>
      <c r="C1774" s="2" t="s">
        <v>534</v>
      </c>
      <c r="D1774" s="2" t="s">
        <v>109</v>
      </c>
      <c r="E1774" s="2" t="s">
        <v>535</v>
      </c>
      <c r="F1774" s="2">
        <v>502139552</v>
      </c>
      <c r="G1774" s="2" t="s">
        <v>40</v>
      </c>
      <c r="H1774" s="2" t="s">
        <v>340</v>
      </c>
      <c r="I1774" s="2" t="s">
        <v>536</v>
      </c>
      <c r="K1774" s="2" t="s">
        <v>340</v>
      </c>
      <c r="L1774" s="2" t="s">
        <v>81</v>
      </c>
      <c r="O1774" s="2" t="s">
        <v>73</v>
      </c>
      <c r="P1774" s="2" t="s">
        <v>74</v>
      </c>
      <c r="Q1774" s="2" t="s">
        <v>75</v>
      </c>
      <c r="R1774" s="2">
        <v>1</v>
      </c>
      <c r="S1774" s="2">
        <v>219.88</v>
      </c>
      <c r="T1774" s="2">
        <v>50.572400000000002</v>
      </c>
      <c r="U1774" s="2">
        <v>270.45240000000001</v>
      </c>
      <c r="V1774" s="2">
        <v>117.453</v>
      </c>
      <c r="W1774" s="5">
        <f t="shared" si="178"/>
        <v>0.46583136256139712</v>
      </c>
      <c r="Y1774" s="2" t="s">
        <v>3256</v>
      </c>
      <c r="Z1774" s="2" t="s">
        <v>76</v>
      </c>
      <c r="AA1774" s="2" t="s">
        <v>77</v>
      </c>
      <c r="AB1774" s="2" t="s">
        <v>78</v>
      </c>
      <c r="AE1774" s="2">
        <f t="shared" si="174"/>
        <v>0</v>
      </c>
      <c r="AF1774" s="2">
        <v>117.453</v>
      </c>
      <c r="AG1774" s="2">
        <v>220</v>
      </c>
      <c r="AI1774" s="2">
        <f t="shared" si="175"/>
        <v>0</v>
      </c>
      <c r="AJ1774" s="2">
        <f t="shared" si="176"/>
        <v>102.42699999999999</v>
      </c>
      <c r="AK1774" s="5">
        <f t="shared" si="177"/>
        <v>0.46583136256139712</v>
      </c>
    </row>
    <row r="1775" spans="1:37" x14ac:dyDescent="0.2">
      <c r="A1775" s="2">
        <v>2025</v>
      </c>
      <c r="B1775" s="2">
        <v>8</v>
      </c>
      <c r="C1775" s="2" t="s">
        <v>534</v>
      </c>
      <c r="D1775" s="2" t="s">
        <v>109</v>
      </c>
      <c r="E1775" s="2" t="s">
        <v>535</v>
      </c>
      <c r="F1775" s="2">
        <v>502139552</v>
      </c>
      <c r="G1775" s="2" t="s">
        <v>40</v>
      </c>
      <c r="H1775" s="2" t="s">
        <v>340</v>
      </c>
      <c r="I1775" s="2" t="s">
        <v>536</v>
      </c>
      <c r="K1775" s="2" t="s">
        <v>340</v>
      </c>
      <c r="L1775" s="2" t="s">
        <v>81</v>
      </c>
      <c r="N1775" s="2" t="s">
        <v>3235</v>
      </c>
      <c r="O1775" s="2" t="s">
        <v>73</v>
      </c>
      <c r="P1775" s="2" t="s">
        <v>79</v>
      </c>
      <c r="Q1775" s="2" t="s">
        <v>80</v>
      </c>
      <c r="R1775" s="2">
        <v>1</v>
      </c>
      <c r="S1775" s="2">
        <v>204.24</v>
      </c>
      <c r="T1775" s="2">
        <v>46.975200000000001</v>
      </c>
      <c r="U1775" s="2">
        <v>251.21520000000001</v>
      </c>
      <c r="V1775" s="2">
        <v>111.98</v>
      </c>
      <c r="W1775" s="5">
        <f t="shared" si="178"/>
        <v>0.45172346259302781</v>
      </c>
      <c r="Y1775" s="2" t="s">
        <v>3256</v>
      </c>
      <c r="Z1775" s="2" t="s">
        <v>76</v>
      </c>
      <c r="AA1775" s="2" t="s">
        <v>77</v>
      </c>
      <c r="AB1775" s="2" t="s">
        <v>78</v>
      </c>
      <c r="AE1775" s="2">
        <f t="shared" si="174"/>
        <v>0</v>
      </c>
      <c r="AF1775" s="2">
        <v>111.98</v>
      </c>
      <c r="AG1775" s="2">
        <v>210</v>
      </c>
      <c r="AI1775" s="2">
        <f t="shared" si="175"/>
        <v>0</v>
      </c>
      <c r="AJ1775" s="2">
        <f t="shared" si="176"/>
        <v>92.26</v>
      </c>
      <c r="AK1775" s="5">
        <f t="shared" si="177"/>
        <v>0.45172346259302781</v>
      </c>
    </row>
    <row r="1776" spans="1:37" x14ac:dyDescent="0.2">
      <c r="A1776" s="2">
        <v>2025</v>
      </c>
      <c r="B1776" s="2">
        <v>8</v>
      </c>
      <c r="C1776" s="2" t="s">
        <v>534</v>
      </c>
      <c r="D1776" s="2" t="s">
        <v>109</v>
      </c>
      <c r="E1776" s="2" t="s">
        <v>535</v>
      </c>
      <c r="F1776" s="2">
        <v>502139552</v>
      </c>
      <c r="G1776" s="2" t="s">
        <v>40</v>
      </c>
      <c r="H1776" s="2" t="s">
        <v>340</v>
      </c>
      <c r="I1776" s="2" t="s">
        <v>536</v>
      </c>
      <c r="K1776" s="2" t="s">
        <v>340</v>
      </c>
      <c r="L1776" s="2" t="s">
        <v>81</v>
      </c>
      <c r="N1776" s="2" t="s">
        <v>3223</v>
      </c>
      <c r="O1776" s="2" t="s">
        <v>73</v>
      </c>
      <c r="P1776" s="2" t="s">
        <v>537</v>
      </c>
      <c r="Q1776" s="2" t="s">
        <v>538</v>
      </c>
      <c r="R1776" s="2">
        <v>1</v>
      </c>
      <c r="S1776" s="2">
        <v>205</v>
      </c>
      <c r="T1776" s="2">
        <v>47.15</v>
      </c>
      <c r="U1776" s="2">
        <v>252.15</v>
      </c>
      <c r="V1776" s="2">
        <f>110.125+11.77</f>
        <v>121.895</v>
      </c>
      <c r="W1776" s="5">
        <f t="shared" si="178"/>
        <v>0.40539024390243905</v>
      </c>
      <c r="Y1776" s="2" t="s">
        <v>3256</v>
      </c>
      <c r="Z1776" s="2" t="s">
        <v>76</v>
      </c>
      <c r="AA1776" s="2" t="s">
        <v>77</v>
      </c>
      <c r="AB1776" s="2" t="s">
        <v>78</v>
      </c>
      <c r="AE1776" s="2">
        <f t="shared" si="174"/>
        <v>0</v>
      </c>
      <c r="AF1776" s="2">
        <f>110.125+11.77</f>
        <v>121.895</v>
      </c>
      <c r="AI1776" s="2">
        <f t="shared" si="175"/>
        <v>0</v>
      </c>
      <c r="AJ1776" s="2">
        <f t="shared" si="176"/>
        <v>83.105000000000004</v>
      </c>
      <c r="AK1776" s="5">
        <f t="shared" si="177"/>
        <v>0.40539024390243905</v>
      </c>
    </row>
    <row r="1777" spans="1:37" x14ac:dyDescent="0.2">
      <c r="A1777" s="2">
        <v>2025</v>
      </c>
      <c r="B1777" s="2">
        <v>8</v>
      </c>
      <c r="C1777" s="2" t="s">
        <v>534</v>
      </c>
      <c r="D1777" s="2" t="s">
        <v>109</v>
      </c>
      <c r="E1777" s="2" t="s">
        <v>535</v>
      </c>
      <c r="F1777" s="2">
        <v>502139552</v>
      </c>
      <c r="G1777" s="2" t="s">
        <v>40</v>
      </c>
      <c r="H1777" s="2" t="s">
        <v>340</v>
      </c>
      <c r="I1777" s="2" t="s">
        <v>536</v>
      </c>
      <c r="K1777" s="2" t="s">
        <v>340</v>
      </c>
      <c r="L1777" s="2" t="s">
        <v>81</v>
      </c>
      <c r="O1777" s="2" t="s">
        <v>94</v>
      </c>
      <c r="P1777" s="2" t="s">
        <v>95</v>
      </c>
      <c r="Q1777" s="2" t="s">
        <v>96</v>
      </c>
      <c r="R1777" s="2">
        <v>3</v>
      </c>
      <c r="S1777" s="2">
        <v>3.42</v>
      </c>
      <c r="T1777" s="2">
        <v>0.78659999999999997</v>
      </c>
      <c r="U1777" s="2">
        <v>4.2065999999999999</v>
      </c>
      <c r="V1777" s="2">
        <v>3.42</v>
      </c>
      <c r="W1777" s="5">
        <f t="shared" si="178"/>
        <v>0</v>
      </c>
      <c r="Y1777" s="2" t="s">
        <v>3256</v>
      </c>
      <c r="Z1777" s="2" t="s">
        <v>97</v>
      </c>
      <c r="AA1777" s="2" t="s">
        <v>77</v>
      </c>
      <c r="AB1777" s="2" t="s">
        <v>94</v>
      </c>
      <c r="AE1777" s="2">
        <f t="shared" si="174"/>
        <v>0</v>
      </c>
      <c r="AI1777" s="2">
        <f t="shared" si="175"/>
        <v>0</v>
      </c>
      <c r="AJ1777" s="2">
        <f t="shared" si="176"/>
        <v>0</v>
      </c>
      <c r="AK1777" s="5">
        <f t="shared" si="177"/>
        <v>0</v>
      </c>
    </row>
    <row r="1778" spans="1:37" x14ac:dyDescent="0.2">
      <c r="A1778" s="2">
        <v>2025</v>
      </c>
      <c r="B1778" s="2">
        <v>8</v>
      </c>
      <c r="C1778" s="2" t="s">
        <v>553</v>
      </c>
      <c r="D1778" s="2" t="s">
        <v>109</v>
      </c>
      <c r="E1778" s="2" t="s">
        <v>397</v>
      </c>
      <c r="F1778" s="2">
        <v>503641790</v>
      </c>
      <c r="G1778" s="2" t="s">
        <v>40</v>
      </c>
      <c r="H1778" s="2" t="s">
        <v>554</v>
      </c>
      <c r="I1778" s="2" t="s">
        <v>555</v>
      </c>
      <c r="J1778" s="2">
        <v>917753665</v>
      </c>
      <c r="K1778" s="2" t="s">
        <v>100</v>
      </c>
      <c r="L1778" s="2" t="s">
        <v>40</v>
      </c>
      <c r="N1778" s="2" t="s">
        <v>1845</v>
      </c>
      <c r="O1778" s="2" t="s">
        <v>115</v>
      </c>
      <c r="P1778" s="2" t="s">
        <v>375</v>
      </c>
      <c r="Q1778" s="2" t="s">
        <v>376</v>
      </c>
      <c r="R1778" s="2">
        <v>1</v>
      </c>
      <c r="S1778" s="2">
        <v>38.630000000000003</v>
      </c>
      <c r="T1778" s="2">
        <v>8.8849000000000018</v>
      </c>
      <c r="U1778" s="2">
        <v>47.514899999999997</v>
      </c>
      <c r="V1778" s="2">
        <v>22.2</v>
      </c>
      <c r="W1778" s="5">
        <f t="shared" si="178"/>
        <v>0.42531711105358533</v>
      </c>
      <c r="Y1778" s="2" t="s">
        <v>118</v>
      </c>
      <c r="Z1778" s="2" t="s">
        <v>119</v>
      </c>
      <c r="AA1778" s="2" t="s">
        <v>120</v>
      </c>
      <c r="AB1778" s="2" t="s">
        <v>115</v>
      </c>
      <c r="AE1778" s="2">
        <f t="shared" si="174"/>
        <v>0</v>
      </c>
      <c r="AF1778" s="2">
        <v>22.2</v>
      </c>
      <c r="AI1778" s="2">
        <f t="shared" si="175"/>
        <v>0</v>
      </c>
      <c r="AJ1778" s="2">
        <f t="shared" si="176"/>
        <v>16.430000000000003</v>
      </c>
      <c r="AK1778" s="5">
        <f t="shared" si="177"/>
        <v>0.42531711105358533</v>
      </c>
    </row>
    <row r="1779" spans="1:37" x14ac:dyDescent="0.2">
      <c r="A1779" s="2">
        <v>2025</v>
      </c>
      <c r="B1779" s="2">
        <v>8</v>
      </c>
      <c r="C1779" s="2" t="s">
        <v>1846</v>
      </c>
      <c r="D1779" s="2" t="s">
        <v>109</v>
      </c>
      <c r="E1779" s="2" t="s">
        <v>481</v>
      </c>
      <c r="F1779" s="2">
        <v>509194850</v>
      </c>
      <c r="G1779" s="2" t="s">
        <v>110</v>
      </c>
      <c r="H1779" s="2" t="s">
        <v>1135</v>
      </c>
      <c r="I1779" s="2" t="s">
        <v>3262</v>
      </c>
      <c r="K1779" s="2" t="s">
        <v>465</v>
      </c>
      <c r="L1779" s="2" t="s">
        <v>41</v>
      </c>
      <c r="N1779" s="2" t="s">
        <v>3263</v>
      </c>
      <c r="O1779" s="2" t="s">
        <v>115</v>
      </c>
      <c r="P1779" s="2" t="s">
        <v>288</v>
      </c>
      <c r="Q1779" s="2" t="s">
        <v>289</v>
      </c>
      <c r="R1779" s="2">
        <v>1</v>
      </c>
      <c r="S1779" s="2">
        <v>5350</v>
      </c>
      <c r="T1779" s="2">
        <v>1230.5</v>
      </c>
      <c r="U1779" s="2">
        <v>6580.5</v>
      </c>
      <c r="V1779" s="2">
        <f>4131.6+144.38</f>
        <v>4275.9800000000005</v>
      </c>
      <c r="W1779" s="5">
        <f t="shared" si="178"/>
        <v>0.2007514018691588</v>
      </c>
      <c r="Y1779" s="2" t="s">
        <v>105</v>
      </c>
      <c r="Z1779" s="2" t="s">
        <v>621</v>
      </c>
      <c r="AA1779" s="2" t="s">
        <v>3202</v>
      </c>
      <c r="AB1779" s="2" t="s">
        <v>115</v>
      </c>
      <c r="AE1779" s="2">
        <f t="shared" si="174"/>
        <v>0</v>
      </c>
      <c r="AI1779" s="2">
        <f t="shared" si="175"/>
        <v>0</v>
      </c>
      <c r="AJ1779" s="2">
        <f t="shared" si="176"/>
        <v>1074.0199999999995</v>
      </c>
      <c r="AK1779" s="5">
        <f t="shared" si="177"/>
        <v>0.2007514018691588</v>
      </c>
    </row>
    <row r="1780" spans="1:37" x14ac:dyDescent="0.2">
      <c r="A1780" s="2">
        <v>2025</v>
      </c>
      <c r="B1780" s="2">
        <v>8</v>
      </c>
      <c r="C1780" s="2" t="s">
        <v>1637</v>
      </c>
      <c r="O1780" s="2" t="s">
        <v>43</v>
      </c>
      <c r="P1780" s="2" t="s">
        <v>233</v>
      </c>
      <c r="Q1780" s="2" t="s">
        <v>234</v>
      </c>
      <c r="R1780" s="2">
        <v>1</v>
      </c>
      <c r="S1780" s="2">
        <v>12</v>
      </c>
      <c r="T1780" s="2">
        <v>2.76</v>
      </c>
      <c r="U1780" s="2">
        <v>14.76</v>
      </c>
      <c r="V1780" s="2">
        <v>5.9066999999999998</v>
      </c>
      <c r="W1780" s="5">
        <f t="shared" si="178"/>
        <v>0.50777499999999998</v>
      </c>
      <c r="Y1780" s="2" t="s">
        <v>3256</v>
      </c>
      <c r="Z1780" s="2" t="s">
        <v>46</v>
      </c>
      <c r="AA1780" s="2" t="s">
        <v>57</v>
      </c>
      <c r="AB1780" s="2" t="s">
        <v>58</v>
      </c>
      <c r="AE1780" s="2">
        <f t="shared" si="174"/>
        <v>0</v>
      </c>
      <c r="AF1780" s="2">
        <v>5.9066999999999998</v>
      </c>
      <c r="AG1780" s="2">
        <v>12.6</v>
      </c>
      <c r="AI1780" s="2">
        <f t="shared" si="175"/>
        <v>0</v>
      </c>
      <c r="AJ1780" s="2">
        <f t="shared" si="176"/>
        <v>6.0933000000000002</v>
      </c>
      <c r="AK1780" s="5">
        <f t="shared" si="177"/>
        <v>0.50777499999999998</v>
      </c>
    </row>
    <row r="1781" spans="1:37" x14ac:dyDescent="0.2">
      <c r="A1781" s="2">
        <v>2025</v>
      </c>
      <c r="B1781" s="2">
        <v>8</v>
      </c>
      <c r="C1781" s="2" t="s">
        <v>1637</v>
      </c>
      <c r="O1781" s="2" t="s">
        <v>43</v>
      </c>
      <c r="P1781" s="2" t="s">
        <v>235</v>
      </c>
      <c r="Q1781" s="2" t="s">
        <v>236</v>
      </c>
      <c r="R1781" s="2">
        <v>2</v>
      </c>
      <c r="S1781" s="2">
        <v>26.4</v>
      </c>
      <c r="T1781" s="2">
        <v>6.0720000000000001</v>
      </c>
      <c r="U1781" s="2">
        <v>32.472000000000001</v>
      </c>
      <c r="V1781" s="2">
        <f>7.2217*R1781</f>
        <v>14.4434</v>
      </c>
      <c r="W1781" s="5">
        <f t="shared" si="178"/>
        <v>0.45290151515151511</v>
      </c>
      <c r="Y1781" s="2" t="s">
        <v>3256</v>
      </c>
      <c r="Z1781" s="2" t="s">
        <v>46</v>
      </c>
      <c r="AA1781" s="2" t="s">
        <v>57</v>
      </c>
      <c r="AB1781" s="2" t="s">
        <v>58</v>
      </c>
      <c r="AE1781" s="2">
        <f t="shared" si="174"/>
        <v>0</v>
      </c>
      <c r="AF1781" s="2">
        <v>7.2217000000000002</v>
      </c>
      <c r="AG1781" s="2">
        <v>14.4</v>
      </c>
      <c r="AI1781" s="2">
        <f t="shared" si="175"/>
        <v>0</v>
      </c>
      <c r="AJ1781" s="2">
        <f t="shared" si="176"/>
        <v>11.956599999999998</v>
      </c>
      <c r="AK1781" s="5">
        <f t="shared" si="177"/>
        <v>0.45290151515151511</v>
      </c>
    </row>
    <row r="1782" spans="1:37" x14ac:dyDescent="0.2">
      <c r="A1782" s="2">
        <v>2025</v>
      </c>
      <c r="B1782" s="2">
        <v>8</v>
      </c>
      <c r="C1782" s="2" t="s">
        <v>579</v>
      </c>
      <c r="D1782" s="2" t="s">
        <v>38</v>
      </c>
      <c r="E1782" s="2" t="s">
        <v>39</v>
      </c>
      <c r="F1782" s="2">
        <v>504811029</v>
      </c>
      <c r="G1782" s="2" t="s">
        <v>41</v>
      </c>
      <c r="H1782" s="2" t="s">
        <v>178</v>
      </c>
      <c r="I1782" s="2" t="s">
        <v>580</v>
      </c>
      <c r="K1782" s="2" t="s">
        <v>178</v>
      </c>
      <c r="L1782" s="2" t="s">
        <v>41</v>
      </c>
      <c r="O1782" s="2" t="s">
        <v>115</v>
      </c>
      <c r="P1782" s="2" t="s">
        <v>581</v>
      </c>
      <c r="Q1782" s="2" t="s">
        <v>582</v>
      </c>
      <c r="R1782" s="2">
        <v>1</v>
      </c>
      <c r="S1782" s="2">
        <v>68.12</v>
      </c>
      <c r="T1782" s="2">
        <v>15.6676</v>
      </c>
      <c r="U1782" s="2">
        <v>83.787600000000012</v>
      </c>
      <c r="W1782" s="5">
        <f t="shared" si="178"/>
        <v>1</v>
      </c>
      <c r="AE1782" s="2">
        <f t="shared" si="174"/>
        <v>0</v>
      </c>
      <c r="AI1782" s="2">
        <f t="shared" si="175"/>
        <v>0</v>
      </c>
      <c r="AJ1782" s="2">
        <f t="shared" si="176"/>
        <v>68.12</v>
      </c>
      <c r="AK1782" s="5">
        <f t="shared" si="177"/>
        <v>1</v>
      </c>
    </row>
    <row r="1783" spans="1:37" x14ac:dyDescent="0.2">
      <c r="A1783" s="2">
        <v>2025</v>
      </c>
      <c r="B1783" s="2">
        <v>8</v>
      </c>
      <c r="C1783" s="2" t="s">
        <v>579</v>
      </c>
      <c r="D1783" s="2" t="s">
        <v>38</v>
      </c>
      <c r="E1783" s="2" t="s">
        <v>39</v>
      </c>
      <c r="F1783" s="2">
        <v>504811029</v>
      </c>
      <c r="G1783" s="2" t="s">
        <v>41</v>
      </c>
      <c r="H1783" s="2" t="s">
        <v>178</v>
      </c>
      <c r="I1783" s="2" t="s">
        <v>580</v>
      </c>
      <c r="K1783" s="2" t="s">
        <v>178</v>
      </c>
      <c r="L1783" s="2" t="s">
        <v>41</v>
      </c>
      <c r="O1783" s="2" t="s">
        <v>283</v>
      </c>
      <c r="P1783" s="2" t="s">
        <v>1847</v>
      </c>
      <c r="Q1783" s="2" t="s">
        <v>1848</v>
      </c>
      <c r="R1783" s="2">
        <v>1</v>
      </c>
      <c r="S1783" s="2">
        <v>125</v>
      </c>
      <c r="T1783" s="2">
        <v>28.75</v>
      </c>
      <c r="U1783" s="2">
        <v>153.75</v>
      </c>
      <c r="W1783" s="5">
        <f>(S1783-V1783)/S1783</f>
        <v>1</v>
      </c>
      <c r="Y1783" s="2" t="s">
        <v>3256</v>
      </c>
      <c r="AE1783" s="2">
        <f t="shared" si="174"/>
        <v>0</v>
      </c>
      <c r="AI1783" s="2">
        <f t="shared" si="175"/>
        <v>0</v>
      </c>
      <c r="AJ1783" s="2">
        <f t="shared" si="176"/>
        <v>125</v>
      </c>
      <c r="AK1783" s="5">
        <f t="shared" si="177"/>
        <v>1</v>
      </c>
    </row>
    <row r="1784" spans="1:37" x14ac:dyDescent="0.2">
      <c r="A1784" s="2">
        <v>2025</v>
      </c>
      <c r="B1784" s="2">
        <v>8</v>
      </c>
      <c r="C1784" s="2" t="s">
        <v>579</v>
      </c>
      <c r="D1784" s="2" t="s">
        <v>38</v>
      </c>
      <c r="E1784" s="2" t="s">
        <v>39</v>
      </c>
      <c r="F1784" s="2">
        <v>504811029</v>
      </c>
      <c r="G1784" s="2" t="s">
        <v>41</v>
      </c>
      <c r="H1784" s="2" t="s">
        <v>178</v>
      </c>
      <c r="I1784" s="2" t="s">
        <v>580</v>
      </c>
      <c r="K1784" s="2" t="s">
        <v>178</v>
      </c>
      <c r="L1784" s="2" t="s">
        <v>41</v>
      </c>
      <c r="O1784" s="2" t="s">
        <v>283</v>
      </c>
      <c r="P1784" s="2" t="s">
        <v>1849</v>
      </c>
      <c r="Q1784" s="2" t="s">
        <v>1850</v>
      </c>
      <c r="R1784" s="2">
        <v>1</v>
      </c>
      <c r="S1784" s="2">
        <v>52.9</v>
      </c>
      <c r="T1784" s="2">
        <v>12.167</v>
      </c>
      <c r="U1784" s="2">
        <v>65.066999999999993</v>
      </c>
      <c r="W1784" s="5">
        <f>(S1784-V1784)/S1784</f>
        <v>1</v>
      </c>
      <c r="Y1784" s="2" t="s">
        <v>3256</v>
      </c>
      <c r="AE1784" s="2">
        <f t="shared" si="174"/>
        <v>0</v>
      </c>
      <c r="AI1784" s="2">
        <f t="shared" si="175"/>
        <v>0</v>
      </c>
      <c r="AJ1784" s="2">
        <f t="shared" si="176"/>
        <v>52.9</v>
      </c>
      <c r="AK1784" s="5">
        <f t="shared" si="177"/>
        <v>1</v>
      </c>
    </row>
    <row r="1785" spans="1:37" x14ac:dyDescent="0.2">
      <c r="A1785" s="2">
        <v>2025</v>
      </c>
      <c r="B1785" s="2">
        <v>8</v>
      </c>
      <c r="C1785" s="2" t="s">
        <v>579</v>
      </c>
      <c r="D1785" s="2" t="s">
        <v>38</v>
      </c>
      <c r="E1785" s="2" t="s">
        <v>39</v>
      </c>
      <c r="F1785" s="2">
        <v>504811029</v>
      </c>
      <c r="G1785" s="2" t="s">
        <v>41</v>
      </c>
      <c r="H1785" s="2" t="s">
        <v>178</v>
      </c>
      <c r="I1785" s="2" t="s">
        <v>580</v>
      </c>
      <c r="K1785" s="2" t="s">
        <v>178</v>
      </c>
      <c r="L1785" s="2" t="s">
        <v>41</v>
      </c>
      <c r="O1785" s="2" t="s">
        <v>43</v>
      </c>
      <c r="P1785" s="2" t="s">
        <v>64</v>
      </c>
      <c r="Q1785" s="2" t="s">
        <v>65</v>
      </c>
      <c r="R1785" s="2">
        <v>20</v>
      </c>
      <c r="S1785" s="2">
        <v>36</v>
      </c>
      <c r="T1785" s="2">
        <v>8.2800000000000011</v>
      </c>
      <c r="U1785" s="2">
        <v>44.28</v>
      </c>
      <c r="V1785" s="2">
        <f>0.8561*R1785</f>
        <v>17.122</v>
      </c>
      <c r="W1785" s="5">
        <f>(S1785-V1785)/S1785</f>
        <v>0.5243888888888889</v>
      </c>
      <c r="Y1785" s="2" t="s">
        <v>3256</v>
      </c>
      <c r="Z1785" s="2" t="s">
        <v>46</v>
      </c>
      <c r="AA1785" s="2" t="s">
        <v>61</v>
      </c>
      <c r="AB1785" s="2" t="s">
        <v>58</v>
      </c>
      <c r="AE1785" s="2">
        <f t="shared" si="174"/>
        <v>0</v>
      </c>
      <c r="AF1785" s="2">
        <v>0.85609999999999997</v>
      </c>
      <c r="AG1785" s="2">
        <v>1.8</v>
      </c>
      <c r="AI1785" s="2">
        <f t="shared" si="175"/>
        <v>0</v>
      </c>
      <c r="AJ1785" s="2">
        <f t="shared" si="176"/>
        <v>18.878</v>
      </c>
      <c r="AK1785" s="5">
        <f t="shared" si="177"/>
        <v>0.5243888888888889</v>
      </c>
    </row>
    <row r="1786" spans="1:37" x14ac:dyDescent="0.2">
      <c r="A1786" s="2">
        <v>2025</v>
      </c>
      <c r="B1786" s="2">
        <v>8</v>
      </c>
      <c r="C1786" s="2" t="s">
        <v>587</v>
      </c>
      <c r="D1786" s="2" t="s">
        <v>109</v>
      </c>
      <c r="F1786" s="2">
        <v>503850276</v>
      </c>
      <c r="G1786" s="2" t="s">
        <v>40</v>
      </c>
      <c r="H1786" s="2" t="s">
        <v>588</v>
      </c>
      <c r="I1786" s="2" t="s">
        <v>589</v>
      </c>
      <c r="K1786" s="2" t="s">
        <v>202</v>
      </c>
      <c r="L1786" s="2" t="s">
        <v>81</v>
      </c>
      <c r="O1786" s="2" t="s">
        <v>43</v>
      </c>
      <c r="P1786" s="2" t="s">
        <v>66</v>
      </c>
      <c r="Q1786" s="2" t="s">
        <v>67</v>
      </c>
      <c r="R1786" s="2">
        <v>20</v>
      </c>
      <c r="S1786" s="2">
        <v>400</v>
      </c>
      <c r="T1786" s="2">
        <v>92</v>
      </c>
      <c r="U1786" s="2">
        <v>492</v>
      </c>
      <c r="V1786" s="2">
        <f>15.0203*R1786</f>
        <v>300.40600000000001</v>
      </c>
      <c r="W1786" s="5">
        <f>(S1786-V1786)/S1786</f>
        <v>0.24898499999999998</v>
      </c>
      <c r="Y1786" s="2" t="s">
        <v>3256</v>
      </c>
      <c r="Z1786" s="2" t="s">
        <v>46</v>
      </c>
      <c r="AA1786" s="2" t="s">
        <v>68</v>
      </c>
      <c r="AB1786" s="2" t="s">
        <v>58</v>
      </c>
      <c r="AE1786" s="2">
        <f t="shared" si="174"/>
        <v>0</v>
      </c>
      <c r="AF1786" s="2">
        <v>15.020300000000001</v>
      </c>
      <c r="AG1786" s="2">
        <v>27.6</v>
      </c>
      <c r="AI1786" s="2">
        <f t="shared" si="175"/>
        <v>0</v>
      </c>
      <c r="AJ1786" s="2">
        <f t="shared" si="176"/>
        <v>99.593999999999994</v>
      </c>
      <c r="AK1786" s="5">
        <f t="shared" si="177"/>
        <v>0.24898499999999998</v>
      </c>
    </row>
    <row r="1787" spans="1:37" x14ac:dyDescent="0.2">
      <c r="A1787" s="2">
        <v>2025</v>
      </c>
      <c r="B1787" s="2">
        <v>8</v>
      </c>
      <c r="C1787" s="2" t="s">
        <v>593</v>
      </c>
      <c r="D1787" s="2" t="s">
        <v>38</v>
      </c>
      <c r="E1787" s="2" t="s">
        <v>39</v>
      </c>
      <c r="F1787" s="2">
        <v>510339298</v>
      </c>
      <c r="G1787" s="2" t="s">
        <v>41</v>
      </c>
      <c r="H1787" s="2" t="s">
        <v>178</v>
      </c>
      <c r="I1787" s="2" t="s">
        <v>594</v>
      </c>
      <c r="K1787" s="2" t="s">
        <v>178</v>
      </c>
      <c r="O1787" s="2" t="s">
        <v>43</v>
      </c>
      <c r="P1787" s="2" t="s">
        <v>55</v>
      </c>
      <c r="Q1787" s="2" t="s">
        <v>56</v>
      </c>
      <c r="R1787" s="2">
        <v>10</v>
      </c>
      <c r="S1787" s="2">
        <v>140</v>
      </c>
      <c r="T1787" s="2">
        <v>32.200000000000003</v>
      </c>
      <c r="U1787" s="2">
        <v>172.2</v>
      </c>
      <c r="V1787" s="2">
        <f>10.6*R1787</f>
        <v>106</v>
      </c>
      <c r="W1787" s="5">
        <f>(S1787-V1787)/S1787</f>
        <v>0.24285714285714285</v>
      </c>
      <c r="Y1787" s="2" t="s">
        <v>3256</v>
      </c>
      <c r="Z1787" s="2" t="s">
        <v>46</v>
      </c>
      <c r="AA1787" s="2" t="s">
        <v>57</v>
      </c>
      <c r="AB1787" s="2" t="s">
        <v>58</v>
      </c>
      <c r="AE1787" s="2">
        <f t="shared" si="174"/>
        <v>0</v>
      </c>
      <c r="AF1787" s="2">
        <v>10.6</v>
      </c>
      <c r="AG1787" s="2">
        <v>18</v>
      </c>
      <c r="AI1787" s="2">
        <f t="shared" si="175"/>
        <v>0</v>
      </c>
      <c r="AJ1787" s="2">
        <f t="shared" si="176"/>
        <v>34</v>
      </c>
      <c r="AK1787" s="5">
        <f t="shared" si="177"/>
        <v>0.24285714285714285</v>
      </c>
    </row>
    <row r="1788" spans="1:37" x14ac:dyDescent="0.2">
      <c r="A1788" s="2">
        <v>2025</v>
      </c>
      <c r="B1788" s="2">
        <v>8</v>
      </c>
      <c r="C1788" s="2" t="s">
        <v>602</v>
      </c>
      <c r="D1788" s="2" t="s">
        <v>38</v>
      </c>
      <c r="E1788" s="2" t="s">
        <v>39</v>
      </c>
      <c r="F1788" s="2">
        <v>509680364</v>
      </c>
      <c r="G1788" s="2" t="s">
        <v>41</v>
      </c>
      <c r="H1788" s="2" t="s">
        <v>603</v>
      </c>
      <c r="I1788" s="2" t="s">
        <v>604</v>
      </c>
      <c r="J1788" s="2">
        <v>919603867</v>
      </c>
      <c r="K1788" s="2" t="s">
        <v>605</v>
      </c>
      <c r="L1788" s="2" t="s">
        <v>41</v>
      </c>
      <c r="N1788" s="2" t="s">
        <v>1851</v>
      </c>
      <c r="O1788" s="2" t="s">
        <v>43</v>
      </c>
      <c r="P1788" s="2" t="s">
        <v>49</v>
      </c>
      <c r="Q1788" s="2" t="s">
        <v>50</v>
      </c>
      <c r="R1788" s="2">
        <v>2</v>
      </c>
      <c r="S1788" s="2">
        <v>0</v>
      </c>
      <c r="T1788" s="2">
        <v>0</v>
      </c>
      <c r="U1788" s="2">
        <v>0</v>
      </c>
      <c r="V1788" s="2">
        <f>6.6267*R1788</f>
        <v>13.253399999999999</v>
      </c>
      <c r="W1788" s="5">
        <f>IF(S1788=0,IF(V1788&gt;0,-100%,0%),(S1788-V1788)/S1788)</f>
        <v>-1</v>
      </c>
      <c r="Y1788" s="2" t="s">
        <v>3256</v>
      </c>
      <c r="Z1788" s="2" t="s">
        <v>46</v>
      </c>
      <c r="AA1788" s="2" t="s">
        <v>47</v>
      </c>
      <c r="AB1788" s="2" t="s">
        <v>48</v>
      </c>
      <c r="AE1788" s="2">
        <f t="shared" si="174"/>
        <v>0</v>
      </c>
      <c r="AF1788" s="2">
        <v>6.6266999999999996</v>
      </c>
      <c r="AG1788" s="2">
        <v>12</v>
      </c>
      <c r="AI1788" s="2">
        <f t="shared" si="175"/>
        <v>0</v>
      </c>
      <c r="AJ1788" s="2">
        <f t="shared" si="176"/>
        <v>-13.253399999999999</v>
      </c>
      <c r="AK1788" s="5">
        <f>IF(S1788=0,IF(V1788&gt;0,-100%,0%),(S1788-V1788)/S1788)</f>
        <v>-1</v>
      </c>
    </row>
    <row r="1789" spans="1:37" x14ac:dyDescent="0.2">
      <c r="A1789" s="2">
        <v>2025</v>
      </c>
      <c r="B1789" s="2">
        <v>8</v>
      </c>
      <c r="C1789" s="2" t="s">
        <v>602</v>
      </c>
      <c r="D1789" s="2" t="s">
        <v>38</v>
      </c>
      <c r="E1789" s="2" t="s">
        <v>39</v>
      </c>
      <c r="F1789" s="2">
        <v>509680364</v>
      </c>
      <c r="G1789" s="2" t="s">
        <v>41</v>
      </c>
      <c r="H1789" s="2" t="s">
        <v>603</v>
      </c>
      <c r="I1789" s="2" t="s">
        <v>604</v>
      </c>
      <c r="J1789" s="2">
        <v>919603867</v>
      </c>
      <c r="K1789" s="2" t="s">
        <v>605</v>
      </c>
      <c r="L1789" s="2" t="s">
        <v>41</v>
      </c>
      <c r="N1789" s="2" t="s">
        <v>1851</v>
      </c>
      <c r="O1789" s="2" t="s">
        <v>43</v>
      </c>
      <c r="P1789" s="2" t="s">
        <v>51</v>
      </c>
      <c r="Q1789" s="2" t="s">
        <v>52</v>
      </c>
      <c r="R1789" s="2">
        <v>1</v>
      </c>
      <c r="S1789" s="2">
        <v>0</v>
      </c>
      <c r="T1789" s="2">
        <v>0</v>
      </c>
      <c r="U1789" s="2">
        <v>0</v>
      </c>
      <c r="V1789" s="2">
        <f>10.2346*R1789</f>
        <v>10.2346</v>
      </c>
      <c r="W1789" s="5">
        <f>IF(S1789=0,IF(V1789&gt;0,-100%,0%),(S1789-V1789)/S1789)</f>
        <v>-1</v>
      </c>
      <c r="Y1789" s="2" t="s">
        <v>3256</v>
      </c>
      <c r="Z1789" s="2" t="s">
        <v>46</v>
      </c>
      <c r="AA1789" s="2" t="s">
        <v>47</v>
      </c>
      <c r="AB1789" s="2" t="s">
        <v>48</v>
      </c>
      <c r="AE1789" s="2">
        <f t="shared" si="174"/>
        <v>0</v>
      </c>
      <c r="AF1789" s="2">
        <v>10.2346</v>
      </c>
      <c r="AG1789" s="2">
        <v>18</v>
      </c>
      <c r="AI1789" s="2">
        <f t="shared" si="175"/>
        <v>0</v>
      </c>
      <c r="AJ1789" s="2">
        <f t="shared" si="176"/>
        <v>-10.2346</v>
      </c>
      <c r="AK1789" s="5">
        <f>IF(S1789=0,IF(V1789&gt;0,-100%,0%),(S1789-V1789)/S1789)</f>
        <v>-1</v>
      </c>
    </row>
    <row r="1790" spans="1:37" x14ac:dyDescent="0.2">
      <c r="A1790" s="2">
        <v>2025</v>
      </c>
      <c r="B1790" s="2">
        <v>8</v>
      </c>
      <c r="C1790" s="2" t="s">
        <v>602</v>
      </c>
      <c r="D1790" s="2" t="s">
        <v>38</v>
      </c>
      <c r="E1790" s="2" t="s">
        <v>39</v>
      </c>
      <c r="F1790" s="2">
        <v>509680364</v>
      </c>
      <c r="G1790" s="2" t="s">
        <v>41</v>
      </c>
      <c r="H1790" s="2" t="s">
        <v>603</v>
      </c>
      <c r="I1790" s="2" t="s">
        <v>604</v>
      </c>
      <c r="J1790" s="2">
        <v>919603867</v>
      </c>
      <c r="K1790" s="2" t="s">
        <v>605</v>
      </c>
      <c r="L1790" s="2" t="s">
        <v>41</v>
      </c>
      <c r="N1790" s="2" t="s">
        <v>1851</v>
      </c>
      <c r="O1790" s="2" t="s">
        <v>43</v>
      </c>
      <c r="P1790" s="2" t="s">
        <v>161</v>
      </c>
      <c r="Q1790" s="2" t="s">
        <v>162</v>
      </c>
      <c r="R1790" s="2">
        <v>2</v>
      </c>
      <c r="S1790" s="2">
        <v>0</v>
      </c>
      <c r="T1790" s="2">
        <v>0</v>
      </c>
      <c r="U1790" s="2">
        <v>0</v>
      </c>
      <c r="V1790" s="2">
        <f>3.7358*R1790</f>
        <v>7.4715999999999996</v>
      </c>
      <c r="W1790" s="5">
        <f>IF(S1790=0,IF(V1790&gt;0,-100%,0%),(S1790-V1790)/S1790)</f>
        <v>-1</v>
      </c>
      <c r="Y1790" s="2" t="s">
        <v>3256</v>
      </c>
      <c r="Z1790" s="2" t="s">
        <v>46</v>
      </c>
      <c r="AA1790" s="2" t="s">
        <v>47</v>
      </c>
      <c r="AB1790" s="2" t="s">
        <v>48</v>
      </c>
      <c r="AE1790" s="2">
        <f t="shared" si="174"/>
        <v>0</v>
      </c>
      <c r="AF1790" s="2">
        <v>3.7357999999999998</v>
      </c>
      <c r="AG1790" s="2">
        <v>9</v>
      </c>
      <c r="AI1790" s="2">
        <f t="shared" si="175"/>
        <v>0</v>
      </c>
      <c r="AJ1790" s="2">
        <f t="shared" si="176"/>
        <v>-7.4715999999999996</v>
      </c>
      <c r="AK1790" s="5">
        <f>IF(S1790=0,IF(V1790&gt;0,-100%,0%),(S1790-V1790)/S1790)</f>
        <v>-1</v>
      </c>
    </row>
    <row r="1791" spans="1:37" x14ac:dyDescent="0.2">
      <c r="A1791" s="2">
        <v>2025</v>
      </c>
      <c r="B1791" s="2">
        <v>8</v>
      </c>
      <c r="C1791" s="2" t="s">
        <v>602</v>
      </c>
      <c r="D1791" s="2" t="s">
        <v>38</v>
      </c>
      <c r="E1791" s="2" t="s">
        <v>39</v>
      </c>
      <c r="F1791" s="2">
        <v>509680364</v>
      </c>
      <c r="G1791" s="2" t="s">
        <v>41</v>
      </c>
      <c r="H1791" s="2" t="s">
        <v>603</v>
      </c>
      <c r="I1791" s="2" t="s">
        <v>604</v>
      </c>
      <c r="J1791" s="2">
        <v>919603867</v>
      </c>
      <c r="K1791" s="2" t="s">
        <v>605</v>
      </c>
      <c r="L1791" s="2" t="s">
        <v>41</v>
      </c>
      <c r="N1791" s="2" t="s">
        <v>1851</v>
      </c>
      <c r="O1791" s="2" t="s">
        <v>43</v>
      </c>
      <c r="P1791" s="2" t="s">
        <v>53</v>
      </c>
      <c r="Q1791" s="2" t="s">
        <v>54</v>
      </c>
      <c r="R1791" s="2">
        <v>2</v>
      </c>
      <c r="S1791" s="2">
        <v>0</v>
      </c>
      <c r="T1791" s="2">
        <v>0</v>
      </c>
      <c r="U1791" s="2">
        <v>0</v>
      </c>
      <c r="V1791" s="2">
        <f>5.2973*R1791</f>
        <v>10.5946</v>
      </c>
      <c r="W1791" s="5">
        <f>IF(S1791=0,IF(V1791&gt;0,-100%,0%),(S1791-V1791)/S1791)</f>
        <v>-1</v>
      </c>
      <c r="Y1791" s="2" t="s">
        <v>3256</v>
      </c>
      <c r="Z1791" s="2" t="s">
        <v>46</v>
      </c>
      <c r="AA1791" s="2" t="s">
        <v>47</v>
      </c>
      <c r="AB1791" s="2" t="s">
        <v>48</v>
      </c>
      <c r="AE1791" s="2">
        <f t="shared" si="174"/>
        <v>0</v>
      </c>
      <c r="AF1791" s="2">
        <v>5.2972999999999999</v>
      </c>
      <c r="AG1791" s="2">
        <v>10.8</v>
      </c>
      <c r="AI1791" s="2">
        <f t="shared" si="175"/>
        <v>0</v>
      </c>
      <c r="AJ1791" s="2">
        <f t="shared" si="176"/>
        <v>-10.5946</v>
      </c>
      <c r="AK1791" s="5">
        <f>IF(S1791=0,IF(V1791&gt;0,-100%,0%),(S1791-V1791)/S1791)</f>
        <v>-1</v>
      </c>
    </row>
    <row r="1792" spans="1:37" x14ac:dyDescent="0.2">
      <c r="A1792" s="2">
        <v>2025</v>
      </c>
      <c r="B1792" s="2">
        <v>8</v>
      </c>
      <c r="C1792" s="2" t="s">
        <v>602</v>
      </c>
      <c r="D1792" s="2" t="s">
        <v>38</v>
      </c>
      <c r="E1792" s="2" t="s">
        <v>39</v>
      </c>
      <c r="F1792" s="2">
        <v>509680364</v>
      </c>
      <c r="G1792" s="2" t="s">
        <v>41</v>
      </c>
      <c r="H1792" s="2" t="s">
        <v>603</v>
      </c>
      <c r="I1792" s="2" t="s">
        <v>604</v>
      </c>
      <c r="J1792" s="2">
        <v>919603867</v>
      </c>
      <c r="K1792" s="2" t="s">
        <v>605</v>
      </c>
      <c r="L1792" s="2" t="s">
        <v>41</v>
      </c>
      <c r="N1792" s="2" t="s">
        <v>1851</v>
      </c>
      <c r="O1792" s="2" t="s">
        <v>85</v>
      </c>
      <c r="P1792" s="2" t="s">
        <v>275</v>
      </c>
      <c r="Q1792" s="2" t="s">
        <v>276</v>
      </c>
      <c r="R1792" s="2">
        <v>1</v>
      </c>
      <c r="S1792" s="2">
        <v>0</v>
      </c>
      <c r="T1792" s="2">
        <v>0</v>
      </c>
      <c r="U1792" s="2">
        <v>0</v>
      </c>
      <c r="V1792" s="2">
        <v>2.94</v>
      </c>
      <c r="W1792" s="5" t="e">
        <f t="shared" ref="W1792:W1839" si="179">(S1792-V1792)/S1792</f>
        <v>#DIV/0!</v>
      </c>
      <c r="Y1792" s="2" t="s">
        <v>3256</v>
      </c>
      <c r="Z1792" s="2" t="s">
        <v>88</v>
      </c>
      <c r="AA1792" s="2" t="s">
        <v>91</v>
      </c>
      <c r="AB1792" s="2" t="s">
        <v>85</v>
      </c>
      <c r="AE1792" s="2">
        <f t="shared" si="174"/>
        <v>0</v>
      </c>
      <c r="AI1792" s="2">
        <f t="shared" si="175"/>
        <v>0</v>
      </c>
      <c r="AJ1792" s="2">
        <f t="shared" si="176"/>
        <v>-2.94</v>
      </c>
      <c r="AK1792" s="5" t="e">
        <f t="shared" ref="AK1792:AK1823" si="180">(S1792-V1792)/S1792</f>
        <v>#DIV/0!</v>
      </c>
    </row>
    <row r="1793" spans="1:37" x14ac:dyDescent="0.2">
      <c r="A1793" s="2">
        <v>2025</v>
      </c>
      <c r="B1793" s="2">
        <v>8</v>
      </c>
      <c r="C1793" s="2" t="s">
        <v>1651</v>
      </c>
      <c r="O1793" s="2" t="s">
        <v>283</v>
      </c>
      <c r="P1793" s="2" t="s">
        <v>1652</v>
      </c>
      <c r="Q1793" s="2" t="s">
        <v>1653</v>
      </c>
      <c r="R1793" s="2">
        <v>-1</v>
      </c>
      <c r="S1793" s="2">
        <v>-66.900000000000006</v>
      </c>
      <c r="T1793" s="2">
        <v>-15.387</v>
      </c>
      <c r="U1793" s="2">
        <v>-82.287000000000006</v>
      </c>
      <c r="W1793" s="5">
        <f t="shared" si="179"/>
        <v>1</v>
      </c>
      <c r="Y1793" s="2" t="s">
        <v>3256</v>
      </c>
      <c r="AE1793" s="2">
        <f t="shared" si="174"/>
        <v>0</v>
      </c>
      <c r="AI1793" s="2">
        <f t="shared" si="175"/>
        <v>0</v>
      </c>
      <c r="AJ1793" s="2">
        <f t="shared" si="176"/>
        <v>-66.900000000000006</v>
      </c>
      <c r="AK1793" s="5">
        <f t="shared" si="180"/>
        <v>1</v>
      </c>
    </row>
    <row r="1794" spans="1:37" x14ac:dyDescent="0.2">
      <c r="A1794" s="2">
        <v>2025</v>
      </c>
      <c r="B1794" s="2">
        <v>8</v>
      </c>
      <c r="C1794" s="2" t="s">
        <v>618</v>
      </c>
      <c r="F1794" s="2">
        <v>518447626</v>
      </c>
      <c r="H1794" s="2" t="s">
        <v>3177</v>
      </c>
      <c r="L1794" s="2" t="s">
        <v>41</v>
      </c>
      <c r="N1794" s="2" t="s">
        <v>3176</v>
      </c>
      <c r="O1794" s="2" t="s">
        <v>1047</v>
      </c>
      <c r="P1794" s="2" t="s">
        <v>1852</v>
      </c>
      <c r="Q1794" s="2" t="s">
        <v>1853</v>
      </c>
      <c r="R1794" s="2">
        <v>1</v>
      </c>
      <c r="S1794" s="2">
        <v>260</v>
      </c>
      <c r="T1794" s="2">
        <v>59.8</v>
      </c>
      <c r="U1794" s="2">
        <v>319.8</v>
      </c>
      <c r="V1794" s="2">
        <v>157.85</v>
      </c>
      <c r="W1794" s="5">
        <f t="shared" si="179"/>
        <v>0.39288461538461539</v>
      </c>
      <c r="Y1794" s="2" t="s">
        <v>3256</v>
      </c>
      <c r="Z1794" s="2" t="s">
        <v>76</v>
      </c>
      <c r="AA1794" s="2" t="s">
        <v>77</v>
      </c>
      <c r="AB1794" s="2" t="s">
        <v>1047</v>
      </c>
      <c r="AE1794" s="2">
        <f t="shared" si="174"/>
        <v>0</v>
      </c>
      <c r="AF1794" s="2">
        <v>157.85</v>
      </c>
      <c r="AI1794" s="2">
        <f t="shared" si="175"/>
        <v>0</v>
      </c>
      <c r="AJ1794" s="2">
        <f t="shared" si="176"/>
        <v>102.15</v>
      </c>
      <c r="AK1794" s="5">
        <f t="shared" si="180"/>
        <v>0.39288461538461539</v>
      </c>
    </row>
    <row r="1795" spans="1:37" x14ac:dyDescent="0.2">
      <c r="A1795" s="2">
        <v>2025</v>
      </c>
      <c r="B1795" s="2">
        <v>8</v>
      </c>
      <c r="C1795" s="2" t="s">
        <v>618</v>
      </c>
      <c r="O1795" s="2" t="s">
        <v>94</v>
      </c>
      <c r="P1795" s="2" t="s">
        <v>95</v>
      </c>
      <c r="Q1795" s="2" t="s">
        <v>96</v>
      </c>
      <c r="R1795" s="2">
        <v>1</v>
      </c>
      <c r="S1795" s="2">
        <v>1.1399999999999999</v>
      </c>
      <c r="T1795" s="2">
        <v>0.26219999999999999</v>
      </c>
      <c r="U1795" s="2">
        <v>1.4021999999999999</v>
      </c>
      <c r="V1795" s="2">
        <v>1.1399999999999999</v>
      </c>
      <c r="W1795" s="5">
        <f t="shared" si="179"/>
        <v>0</v>
      </c>
      <c r="Y1795" s="2" t="s">
        <v>3256</v>
      </c>
      <c r="Z1795" s="2" t="s">
        <v>97</v>
      </c>
      <c r="AA1795" s="2" t="s">
        <v>77</v>
      </c>
      <c r="AB1795" s="2" t="s">
        <v>94</v>
      </c>
      <c r="AE1795" s="2">
        <f t="shared" ref="AE1795:AE1858" si="181">AI1795</f>
        <v>0</v>
      </c>
      <c r="AI1795" s="2">
        <f t="shared" ref="AI1795:AI1858" si="182">AH1795*S1795</f>
        <v>0</v>
      </c>
      <c r="AJ1795" s="2">
        <f t="shared" ref="AJ1795:AJ1858" si="183">S1795-V1795</f>
        <v>0</v>
      </c>
      <c r="AK1795" s="5">
        <f t="shared" si="180"/>
        <v>0</v>
      </c>
    </row>
    <row r="1796" spans="1:37" x14ac:dyDescent="0.2">
      <c r="A1796" s="2">
        <v>2025</v>
      </c>
      <c r="B1796" s="2">
        <v>8</v>
      </c>
      <c r="C1796" s="2" t="s">
        <v>1305</v>
      </c>
      <c r="D1796" s="2" t="s">
        <v>184</v>
      </c>
      <c r="E1796" s="2" t="s">
        <v>368</v>
      </c>
      <c r="F1796" s="2">
        <v>500625654</v>
      </c>
      <c r="G1796" s="2" t="s">
        <v>291</v>
      </c>
      <c r="H1796" s="2" t="s">
        <v>340</v>
      </c>
      <c r="I1796" s="2" t="s">
        <v>1306</v>
      </c>
      <c r="K1796" s="2" t="s">
        <v>340</v>
      </c>
      <c r="L1796" s="2" t="s">
        <v>81</v>
      </c>
      <c r="O1796" s="2" t="s">
        <v>40</v>
      </c>
      <c r="P1796" s="2" t="s">
        <v>1854</v>
      </c>
      <c r="Q1796" s="2" t="s">
        <v>1855</v>
      </c>
      <c r="R1796" s="2">
        <v>1</v>
      </c>
      <c r="S1796" s="2">
        <v>210</v>
      </c>
      <c r="T1796" s="2">
        <v>48.3</v>
      </c>
      <c r="U1796" s="2">
        <v>258.3</v>
      </c>
      <c r="W1796" s="5">
        <f t="shared" si="179"/>
        <v>1</v>
      </c>
      <c r="Y1796" s="2" t="s">
        <v>3256</v>
      </c>
      <c r="Z1796" s="2" t="s">
        <v>76</v>
      </c>
      <c r="AA1796" s="2" t="s">
        <v>77</v>
      </c>
      <c r="AB1796" s="2" t="s">
        <v>40</v>
      </c>
      <c r="AE1796" s="2">
        <f t="shared" si="181"/>
        <v>0</v>
      </c>
      <c r="AI1796" s="2">
        <f t="shared" si="182"/>
        <v>0</v>
      </c>
      <c r="AJ1796" s="2">
        <f t="shared" si="183"/>
        <v>210</v>
      </c>
      <c r="AK1796" s="5">
        <f t="shared" si="180"/>
        <v>1</v>
      </c>
    </row>
    <row r="1797" spans="1:37" x14ac:dyDescent="0.2">
      <c r="A1797" s="2">
        <v>2025</v>
      </c>
      <c r="B1797" s="2">
        <v>8</v>
      </c>
      <c r="C1797" s="2" t="s">
        <v>1305</v>
      </c>
      <c r="D1797" s="2" t="s">
        <v>184</v>
      </c>
      <c r="E1797" s="2" t="s">
        <v>368</v>
      </c>
      <c r="F1797" s="2">
        <v>500625654</v>
      </c>
      <c r="G1797" s="2" t="s">
        <v>291</v>
      </c>
      <c r="H1797" s="2" t="s">
        <v>340</v>
      </c>
      <c r="I1797" s="2" t="s">
        <v>1306</v>
      </c>
      <c r="K1797" s="2" t="s">
        <v>340</v>
      </c>
      <c r="L1797" s="2" t="s">
        <v>291</v>
      </c>
      <c r="N1797" s="2" t="s">
        <v>3234</v>
      </c>
      <c r="O1797" s="2" t="s">
        <v>73</v>
      </c>
      <c r="P1797" s="2" t="s">
        <v>79</v>
      </c>
      <c r="Q1797" s="2" t="s">
        <v>80</v>
      </c>
      <c r="R1797" s="2">
        <v>1</v>
      </c>
      <c r="S1797" s="2">
        <v>205</v>
      </c>
      <c r="T1797" s="2">
        <v>47.15</v>
      </c>
      <c r="U1797" s="2">
        <v>252.15</v>
      </c>
      <c r="V1797" s="2">
        <v>111.98</v>
      </c>
      <c r="W1797" s="5">
        <f t="shared" si="179"/>
        <v>0.45375609756097557</v>
      </c>
      <c r="Y1797" s="2" t="s">
        <v>3256</v>
      </c>
      <c r="Z1797" s="2" t="s">
        <v>76</v>
      </c>
      <c r="AA1797" s="2" t="s">
        <v>77</v>
      </c>
      <c r="AB1797" s="2" t="s">
        <v>78</v>
      </c>
      <c r="AE1797" s="2">
        <f t="shared" si="181"/>
        <v>0</v>
      </c>
      <c r="AF1797" s="2">
        <v>111.98</v>
      </c>
      <c r="AG1797" s="2">
        <v>210</v>
      </c>
      <c r="AI1797" s="2">
        <f t="shared" si="182"/>
        <v>0</v>
      </c>
      <c r="AJ1797" s="2">
        <f t="shared" si="183"/>
        <v>93.02</v>
      </c>
      <c r="AK1797" s="5">
        <f t="shared" si="180"/>
        <v>0.45375609756097557</v>
      </c>
    </row>
    <row r="1798" spans="1:37" x14ac:dyDescent="0.2">
      <c r="A1798" s="2">
        <v>2025</v>
      </c>
      <c r="B1798" s="2">
        <v>8</v>
      </c>
      <c r="C1798" s="2" t="s">
        <v>1305</v>
      </c>
      <c r="D1798" s="2" t="s">
        <v>184</v>
      </c>
      <c r="E1798" s="2" t="s">
        <v>368</v>
      </c>
      <c r="F1798" s="2">
        <v>500625654</v>
      </c>
      <c r="G1798" s="2" t="s">
        <v>291</v>
      </c>
      <c r="H1798" s="2" t="s">
        <v>340</v>
      </c>
      <c r="I1798" s="2" t="s">
        <v>1306</v>
      </c>
      <c r="K1798" s="2" t="s">
        <v>340</v>
      </c>
      <c r="O1798" s="2" t="s">
        <v>94</v>
      </c>
      <c r="P1798" s="2" t="s">
        <v>95</v>
      </c>
      <c r="Q1798" s="2" t="s">
        <v>96</v>
      </c>
      <c r="R1798" s="2">
        <v>2</v>
      </c>
      <c r="S1798" s="2">
        <v>2.2799999999999998</v>
      </c>
      <c r="T1798" s="2">
        <v>0.52439999999999998</v>
      </c>
      <c r="U1798" s="2">
        <v>2.8043999999999998</v>
      </c>
      <c r="V1798" s="2">
        <v>2.2799999999999998</v>
      </c>
      <c r="W1798" s="5">
        <f t="shared" si="179"/>
        <v>0</v>
      </c>
      <c r="Y1798" s="2" t="s">
        <v>3256</v>
      </c>
      <c r="Z1798" s="2" t="s">
        <v>97</v>
      </c>
      <c r="AA1798" s="2" t="s">
        <v>77</v>
      </c>
      <c r="AB1798" s="2" t="s">
        <v>94</v>
      </c>
      <c r="AE1798" s="2">
        <f t="shared" si="181"/>
        <v>0</v>
      </c>
      <c r="AI1798" s="2">
        <f t="shared" si="182"/>
        <v>0</v>
      </c>
      <c r="AJ1798" s="2">
        <f t="shared" si="183"/>
        <v>0</v>
      </c>
      <c r="AK1798" s="5">
        <f t="shared" si="180"/>
        <v>0</v>
      </c>
    </row>
    <row r="1799" spans="1:37" x14ac:dyDescent="0.2">
      <c r="A1799" s="2">
        <v>2025</v>
      </c>
      <c r="B1799" s="2">
        <v>8</v>
      </c>
      <c r="C1799" s="2" t="s">
        <v>623</v>
      </c>
      <c r="D1799" s="2" t="s">
        <v>38</v>
      </c>
      <c r="E1799" s="2" t="s">
        <v>39</v>
      </c>
      <c r="F1799" s="2">
        <v>513759654</v>
      </c>
      <c r="G1799" s="2" t="s">
        <v>41</v>
      </c>
      <c r="H1799" s="2" t="s">
        <v>624</v>
      </c>
      <c r="I1799" s="2" t="s">
        <v>625</v>
      </c>
      <c r="K1799" s="2" t="s">
        <v>422</v>
      </c>
      <c r="L1799" s="2" t="s">
        <v>41</v>
      </c>
      <c r="N1799" s="2" t="s">
        <v>1856</v>
      </c>
      <c r="O1799" s="2" t="s">
        <v>43</v>
      </c>
      <c r="P1799" s="2" t="s">
        <v>159</v>
      </c>
      <c r="Q1799" s="2" t="s">
        <v>160</v>
      </c>
      <c r="R1799" s="2">
        <v>1</v>
      </c>
      <c r="S1799" s="2">
        <v>18.600000000000001</v>
      </c>
      <c r="T1799" s="2">
        <v>4.2779999999999996</v>
      </c>
      <c r="U1799" s="2">
        <v>22.878</v>
      </c>
      <c r="V1799" s="2">
        <f>9.3*R1799</f>
        <v>9.3000000000000007</v>
      </c>
      <c r="W1799" s="5">
        <f t="shared" si="179"/>
        <v>0.5</v>
      </c>
      <c r="Y1799" s="2" t="s">
        <v>3256</v>
      </c>
      <c r="Z1799" s="2" t="s">
        <v>46</v>
      </c>
      <c r="AA1799" s="2" t="s">
        <v>47</v>
      </c>
      <c r="AB1799" s="2" t="s">
        <v>48</v>
      </c>
      <c r="AE1799" s="2">
        <f t="shared" si="181"/>
        <v>0</v>
      </c>
      <c r="AF1799" s="2">
        <v>9.3000000000000007</v>
      </c>
      <c r="AG1799" s="2">
        <v>21</v>
      </c>
      <c r="AI1799" s="2">
        <f t="shared" si="182"/>
        <v>0</v>
      </c>
      <c r="AJ1799" s="2">
        <f t="shared" si="183"/>
        <v>9.3000000000000007</v>
      </c>
      <c r="AK1799" s="5">
        <f t="shared" si="180"/>
        <v>0.5</v>
      </c>
    </row>
    <row r="1800" spans="1:37" x14ac:dyDescent="0.2">
      <c r="A1800" s="2">
        <v>2025</v>
      </c>
      <c r="B1800" s="2">
        <v>8</v>
      </c>
      <c r="C1800" s="2" t="s">
        <v>623</v>
      </c>
      <c r="D1800" s="2" t="s">
        <v>38</v>
      </c>
      <c r="E1800" s="2" t="s">
        <v>39</v>
      </c>
      <c r="F1800" s="2">
        <v>513759654</v>
      </c>
      <c r="G1800" s="2" t="s">
        <v>41</v>
      </c>
      <c r="H1800" s="2" t="s">
        <v>624</v>
      </c>
      <c r="I1800" s="2" t="s">
        <v>625</v>
      </c>
      <c r="K1800" s="2" t="s">
        <v>422</v>
      </c>
      <c r="O1800" s="2" t="s">
        <v>43</v>
      </c>
      <c r="P1800" s="2" t="s">
        <v>55</v>
      </c>
      <c r="Q1800" s="2" t="s">
        <v>56</v>
      </c>
      <c r="R1800" s="2">
        <v>10</v>
      </c>
      <c r="S1800" s="2">
        <v>140</v>
      </c>
      <c r="T1800" s="2">
        <v>32.200000000000003</v>
      </c>
      <c r="U1800" s="2">
        <v>172.2</v>
      </c>
      <c r="V1800" s="2">
        <f>10.6*R1800</f>
        <v>106</v>
      </c>
      <c r="W1800" s="5">
        <f t="shared" si="179"/>
        <v>0.24285714285714285</v>
      </c>
      <c r="Y1800" s="2" t="s">
        <v>3256</v>
      </c>
      <c r="Z1800" s="2" t="s">
        <v>46</v>
      </c>
      <c r="AA1800" s="2" t="s">
        <v>57</v>
      </c>
      <c r="AB1800" s="2" t="s">
        <v>58</v>
      </c>
      <c r="AE1800" s="2">
        <f t="shared" si="181"/>
        <v>0</v>
      </c>
      <c r="AF1800" s="2">
        <v>10.6</v>
      </c>
      <c r="AG1800" s="2">
        <v>18</v>
      </c>
      <c r="AI1800" s="2">
        <f t="shared" si="182"/>
        <v>0</v>
      </c>
      <c r="AJ1800" s="2">
        <f t="shared" si="183"/>
        <v>34</v>
      </c>
      <c r="AK1800" s="5">
        <f t="shared" si="180"/>
        <v>0.24285714285714285</v>
      </c>
    </row>
    <row r="1801" spans="1:37" x14ac:dyDescent="0.2">
      <c r="A1801" s="2">
        <v>2025</v>
      </c>
      <c r="B1801" s="2">
        <v>8</v>
      </c>
      <c r="C1801" s="2" t="s">
        <v>623</v>
      </c>
      <c r="D1801" s="2" t="s">
        <v>38</v>
      </c>
      <c r="E1801" s="2" t="s">
        <v>39</v>
      </c>
      <c r="F1801" s="2">
        <v>513759654</v>
      </c>
      <c r="G1801" s="2" t="s">
        <v>41</v>
      </c>
      <c r="H1801" s="2" t="s">
        <v>624</v>
      </c>
      <c r="I1801" s="2" t="s">
        <v>625</v>
      </c>
      <c r="K1801" s="2" t="s">
        <v>422</v>
      </c>
      <c r="O1801" s="2" t="s">
        <v>43</v>
      </c>
      <c r="P1801" s="2" t="s">
        <v>59</v>
      </c>
      <c r="Q1801" s="2" t="s">
        <v>60</v>
      </c>
      <c r="R1801" s="2">
        <v>300</v>
      </c>
      <c r="S1801" s="2">
        <v>39</v>
      </c>
      <c r="T1801" s="2">
        <v>8.9700000000000006</v>
      </c>
      <c r="U1801" s="2">
        <v>47.97</v>
      </c>
      <c r="V1801" s="2">
        <f>0.0914*R1801</f>
        <v>27.419999999999998</v>
      </c>
      <c r="W1801" s="5">
        <f t="shared" si="179"/>
        <v>0.29692307692307696</v>
      </c>
      <c r="Y1801" s="2" t="s">
        <v>3256</v>
      </c>
      <c r="Z1801" s="2" t="s">
        <v>46</v>
      </c>
      <c r="AA1801" s="2" t="s">
        <v>61</v>
      </c>
      <c r="AB1801" s="2" t="s">
        <v>58</v>
      </c>
      <c r="AE1801" s="2">
        <f t="shared" si="181"/>
        <v>0</v>
      </c>
      <c r="AF1801" s="2">
        <v>9.14</v>
      </c>
      <c r="AG1801" s="2">
        <v>16</v>
      </c>
      <c r="AI1801" s="2">
        <f t="shared" si="182"/>
        <v>0</v>
      </c>
      <c r="AJ1801" s="2">
        <f t="shared" si="183"/>
        <v>11.580000000000002</v>
      </c>
      <c r="AK1801" s="5">
        <f t="shared" si="180"/>
        <v>0.29692307692307696</v>
      </c>
    </row>
    <row r="1802" spans="1:37" x14ac:dyDescent="0.2">
      <c r="A1802" s="2">
        <v>2025</v>
      </c>
      <c r="B1802" s="2">
        <v>8</v>
      </c>
      <c r="C1802" s="2" t="s">
        <v>623</v>
      </c>
      <c r="D1802" s="2" t="s">
        <v>38</v>
      </c>
      <c r="E1802" s="2" t="s">
        <v>39</v>
      </c>
      <c r="F1802" s="2">
        <v>513759654</v>
      </c>
      <c r="G1802" s="2" t="s">
        <v>41</v>
      </c>
      <c r="H1802" s="2" t="s">
        <v>624</v>
      </c>
      <c r="I1802" s="2" t="s">
        <v>625</v>
      </c>
      <c r="K1802" s="2" t="s">
        <v>422</v>
      </c>
      <c r="O1802" s="2" t="s">
        <v>43</v>
      </c>
      <c r="P1802" s="2" t="s">
        <v>62</v>
      </c>
      <c r="Q1802" s="2" t="s">
        <v>63</v>
      </c>
      <c r="R1802" s="2">
        <v>300</v>
      </c>
      <c r="S1802" s="2">
        <v>36</v>
      </c>
      <c r="T1802" s="2">
        <v>8.2800000000000011</v>
      </c>
      <c r="U1802" s="2">
        <v>44.28</v>
      </c>
      <c r="V1802" s="2">
        <f>0.082*R1802</f>
        <v>24.6</v>
      </c>
      <c r="W1802" s="5">
        <f t="shared" si="179"/>
        <v>0.31666666666666665</v>
      </c>
      <c r="Y1802" s="2" t="s">
        <v>3256</v>
      </c>
      <c r="Z1802" s="2" t="s">
        <v>46</v>
      </c>
      <c r="AA1802" s="2" t="s">
        <v>61</v>
      </c>
      <c r="AB1802" s="2" t="s">
        <v>58</v>
      </c>
      <c r="AE1802" s="2">
        <f t="shared" si="181"/>
        <v>0</v>
      </c>
      <c r="AF1802" s="2">
        <v>8.1999999999999993</v>
      </c>
      <c r="AG1802" s="2">
        <v>13</v>
      </c>
      <c r="AI1802" s="2">
        <f t="shared" si="182"/>
        <v>0</v>
      </c>
      <c r="AJ1802" s="2">
        <f t="shared" si="183"/>
        <v>11.399999999999999</v>
      </c>
      <c r="AK1802" s="5">
        <f t="shared" si="180"/>
        <v>0.31666666666666665</v>
      </c>
    </row>
    <row r="1803" spans="1:37" x14ac:dyDescent="0.2">
      <c r="A1803" s="2">
        <v>2025</v>
      </c>
      <c r="B1803" s="2">
        <v>8</v>
      </c>
      <c r="C1803" s="2" t="s">
        <v>1857</v>
      </c>
      <c r="L1803" s="2" t="s">
        <v>40</v>
      </c>
      <c r="O1803" s="2" t="s">
        <v>188</v>
      </c>
      <c r="P1803" s="2" t="s">
        <v>189</v>
      </c>
      <c r="Q1803" s="2" t="s">
        <v>190</v>
      </c>
      <c r="R1803" s="2">
        <v>1</v>
      </c>
      <c r="S1803" s="2">
        <v>0</v>
      </c>
      <c r="T1803" s="2">
        <v>0</v>
      </c>
      <c r="U1803" s="2">
        <v>0</v>
      </c>
      <c r="W1803" s="5" t="e">
        <f t="shared" si="179"/>
        <v>#DIV/0!</v>
      </c>
      <c r="Y1803" s="2" t="s">
        <v>118</v>
      </c>
      <c r="Z1803" s="2" t="s">
        <v>191</v>
      </c>
      <c r="AE1803" s="2">
        <f t="shared" si="181"/>
        <v>0</v>
      </c>
      <c r="AI1803" s="2">
        <f t="shared" si="182"/>
        <v>0</v>
      </c>
      <c r="AJ1803" s="2">
        <f t="shared" si="183"/>
        <v>0</v>
      </c>
      <c r="AK1803" s="5" t="e">
        <f t="shared" si="180"/>
        <v>#DIV/0!</v>
      </c>
    </row>
    <row r="1804" spans="1:37" x14ac:dyDescent="0.2">
      <c r="A1804" s="2">
        <v>2025</v>
      </c>
      <c r="B1804" s="2">
        <v>8</v>
      </c>
      <c r="C1804" s="2" t="s">
        <v>1857</v>
      </c>
      <c r="L1804" s="2" t="s">
        <v>40</v>
      </c>
      <c r="O1804" s="2" t="s">
        <v>188</v>
      </c>
      <c r="P1804" s="2" t="s">
        <v>192</v>
      </c>
      <c r="Q1804" s="2" t="s">
        <v>191</v>
      </c>
      <c r="R1804" s="2">
        <v>0.5</v>
      </c>
      <c r="S1804" s="2">
        <v>25</v>
      </c>
      <c r="T1804" s="2">
        <v>5.75</v>
      </c>
      <c r="U1804" s="2">
        <v>30.75</v>
      </c>
      <c r="V1804" s="2">
        <f>S1804*50%</f>
        <v>12.5</v>
      </c>
      <c r="W1804" s="5">
        <f t="shared" si="179"/>
        <v>0.5</v>
      </c>
      <c r="Y1804" s="2" t="s">
        <v>118</v>
      </c>
      <c r="Z1804" s="2" t="s">
        <v>191</v>
      </c>
      <c r="AE1804" s="2">
        <f t="shared" si="181"/>
        <v>0</v>
      </c>
      <c r="AI1804" s="2">
        <f t="shared" si="182"/>
        <v>0</v>
      </c>
      <c r="AJ1804" s="2">
        <f t="shared" si="183"/>
        <v>12.5</v>
      </c>
      <c r="AK1804" s="5">
        <f t="shared" si="180"/>
        <v>0.5</v>
      </c>
    </row>
    <row r="1805" spans="1:37" x14ac:dyDescent="0.2">
      <c r="A1805" s="2">
        <v>2025</v>
      </c>
      <c r="B1805" s="2">
        <v>8</v>
      </c>
      <c r="C1805" s="2" t="s">
        <v>1122</v>
      </c>
      <c r="D1805" s="2" t="s">
        <v>38</v>
      </c>
      <c r="E1805" s="2" t="s">
        <v>39</v>
      </c>
      <c r="F1805" s="2">
        <v>210420588</v>
      </c>
      <c r="G1805" s="2" t="s">
        <v>40</v>
      </c>
      <c r="H1805" s="2" t="s">
        <v>1123</v>
      </c>
      <c r="I1805" s="2" t="s">
        <v>1124</v>
      </c>
      <c r="J1805" s="2">
        <v>914550474</v>
      </c>
      <c r="K1805" s="2" t="s">
        <v>100</v>
      </c>
      <c r="L1805" s="2" t="s">
        <v>81</v>
      </c>
      <c r="N1805" s="2" t="s">
        <v>1858</v>
      </c>
      <c r="O1805" s="2" t="s">
        <v>43</v>
      </c>
      <c r="P1805" s="2" t="s">
        <v>161</v>
      </c>
      <c r="Q1805" s="2" t="s">
        <v>162</v>
      </c>
      <c r="R1805" s="2">
        <v>6</v>
      </c>
      <c r="S1805" s="2">
        <v>46.8</v>
      </c>
      <c r="T1805" s="2">
        <v>10.763999999999999</v>
      </c>
      <c r="U1805" s="2">
        <v>57.563999999999993</v>
      </c>
      <c r="V1805" s="2">
        <f>3.7358*R1805</f>
        <v>22.4148</v>
      </c>
      <c r="W1805" s="5">
        <f t="shared" si="179"/>
        <v>0.52105128205128204</v>
      </c>
      <c r="Y1805" s="2" t="s">
        <v>3256</v>
      </c>
      <c r="Z1805" s="2" t="s">
        <v>46</v>
      </c>
      <c r="AA1805" s="2" t="s">
        <v>47</v>
      </c>
      <c r="AB1805" s="2" t="s">
        <v>48</v>
      </c>
      <c r="AE1805" s="2">
        <f t="shared" si="181"/>
        <v>0</v>
      </c>
      <c r="AF1805" s="2">
        <v>3.7357999999999998</v>
      </c>
      <c r="AG1805" s="2">
        <v>9</v>
      </c>
      <c r="AI1805" s="2">
        <f t="shared" si="182"/>
        <v>0</v>
      </c>
      <c r="AJ1805" s="2">
        <f t="shared" si="183"/>
        <v>24.385199999999998</v>
      </c>
      <c r="AK1805" s="5">
        <f t="shared" si="180"/>
        <v>0.52105128205128204</v>
      </c>
    </row>
    <row r="1806" spans="1:37" x14ac:dyDescent="0.2">
      <c r="A1806" s="2">
        <v>2025</v>
      </c>
      <c r="B1806" s="2">
        <v>8</v>
      </c>
      <c r="C1806" s="2" t="s">
        <v>1668</v>
      </c>
      <c r="D1806" s="2" t="s">
        <v>38</v>
      </c>
      <c r="E1806" s="2" t="s">
        <v>39</v>
      </c>
      <c r="G1806" s="2" t="s">
        <v>41</v>
      </c>
      <c r="H1806" s="2" t="s">
        <v>1669</v>
      </c>
      <c r="I1806" s="2" t="s">
        <v>1670</v>
      </c>
      <c r="K1806" s="2" t="s">
        <v>113</v>
      </c>
      <c r="L1806" s="2" t="s">
        <v>40</v>
      </c>
      <c r="N1806" s="2" t="s">
        <v>1859</v>
      </c>
      <c r="O1806" s="2" t="s">
        <v>188</v>
      </c>
      <c r="P1806" s="2" t="s">
        <v>189</v>
      </c>
      <c r="Q1806" s="2" t="s">
        <v>190</v>
      </c>
      <c r="R1806" s="2">
        <v>-1</v>
      </c>
      <c r="S1806" s="2">
        <v>-121</v>
      </c>
      <c r="T1806" s="2">
        <v>-27.83</v>
      </c>
      <c r="U1806" s="2">
        <v>-148.83000000000001</v>
      </c>
      <c r="W1806" s="5">
        <f t="shared" si="179"/>
        <v>1</v>
      </c>
      <c r="Y1806" s="2" t="s">
        <v>118</v>
      </c>
      <c r="Z1806" s="2" t="s">
        <v>191</v>
      </c>
      <c r="AE1806" s="2">
        <f t="shared" si="181"/>
        <v>0</v>
      </c>
      <c r="AI1806" s="2">
        <f t="shared" si="182"/>
        <v>0</v>
      </c>
      <c r="AJ1806" s="2">
        <f t="shared" si="183"/>
        <v>-121</v>
      </c>
      <c r="AK1806" s="5">
        <f t="shared" si="180"/>
        <v>1</v>
      </c>
    </row>
    <row r="1807" spans="1:37" x14ac:dyDescent="0.2">
      <c r="A1807" s="2">
        <v>2025</v>
      </c>
      <c r="B1807" s="2">
        <v>8</v>
      </c>
      <c r="C1807" s="2" t="s">
        <v>1668</v>
      </c>
      <c r="D1807" s="2" t="s">
        <v>38</v>
      </c>
      <c r="E1807" s="2" t="s">
        <v>39</v>
      </c>
      <c r="G1807" s="2" t="s">
        <v>41</v>
      </c>
      <c r="H1807" s="2" t="s">
        <v>1669</v>
      </c>
      <c r="I1807" s="2" t="s">
        <v>1670</v>
      </c>
      <c r="K1807" s="2" t="s">
        <v>113</v>
      </c>
      <c r="L1807" s="2" t="s">
        <v>40</v>
      </c>
      <c r="N1807" s="2" t="s">
        <v>1859</v>
      </c>
      <c r="O1807" s="2" t="s">
        <v>188</v>
      </c>
      <c r="P1807" s="2" t="s">
        <v>192</v>
      </c>
      <c r="Q1807" s="2" t="s">
        <v>191</v>
      </c>
      <c r="R1807" s="2">
        <v>-2</v>
      </c>
      <c r="S1807" s="2">
        <v>-100</v>
      </c>
      <c r="T1807" s="2">
        <v>-23</v>
      </c>
      <c r="U1807" s="2">
        <v>-123</v>
      </c>
      <c r="V1807" s="2">
        <f>S1807*50%</f>
        <v>-50</v>
      </c>
      <c r="W1807" s="5">
        <f t="shared" si="179"/>
        <v>0.5</v>
      </c>
      <c r="Y1807" s="2" t="s">
        <v>118</v>
      </c>
      <c r="Z1807" s="2" t="s">
        <v>191</v>
      </c>
      <c r="AE1807" s="2">
        <f t="shared" si="181"/>
        <v>0</v>
      </c>
      <c r="AI1807" s="2">
        <f t="shared" si="182"/>
        <v>0</v>
      </c>
      <c r="AJ1807" s="2">
        <f t="shared" si="183"/>
        <v>-50</v>
      </c>
      <c r="AK1807" s="5">
        <f t="shared" si="180"/>
        <v>0.5</v>
      </c>
    </row>
    <row r="1808" spans="1:37" x14ac:dyDescent="0.2">
      <c r="A1808" s="2">
        <v>2025</v>
      </c>
      <c r="B1808" s="2">
        <v>8</v>
      </c>
      <c r="C1808" s="2" t="s">
        <v>1668</v>
      </c>
      <c r="D1808" s="2" t="s">
        <v>38</v>
      </c>
      <c r="E1808" s="2" t="s">
        <v>39</v>
      </c>
      <c r="G1808" s="2" t="s">
        <v>41</v>
      </c>
      <c r="H1808" s="2" t="s">
        <v>1669</v>
      </c>
      <c r="I1808" s="2" t="s">
        <v>1670</v>
      </c>
      <c r="K1808" s="2" t="s">
        <v>113</v>
      </c>
      <c r="L1808" s="2" t="s">
        <v>40</v>
      </c>
      <c r="N1808" s="2" t="s">
        <v>1859</v>
      </c>
      <c r="O1808" s="2" t="s">
        <v>40</v>
      </c>
      <c r="P1808" s="2" t="s">
        <v>141</v>
      </c>
      <c r="Q1808" s="2" t="s">
        <v>142</v>
      </c>
      <c r="R1808" s="2">
        <v>-1</v>
      </c>
      <c r="S1808" s="2">
        <v>-790.67</v>
      </c>
      <c r="T1808" s="2">
        <v>-181.85409999999999</v>
      </c>
      <c r="U1808" s="2">
        <v>-972.52409999999998</v>
      </c>
      <c r="W1808" s="5">
        <f t="shared" si="179"/>
        <v>1</v>
      </c>
      <c r="Y1808" s="2" t="s">
        <v>120</v>
      </c>
      <c r="Z1808" s="2" t="s">
        <v>143</v>
      </c>
      <c r="AE1808" s="2">
        <f t="shared" si="181"/>
        <v>0</v>
      </c>
      <c r="AI1808" s="2">
        <f t="shared" si="182"/>
        <v>0</v>
      </c>
      <c r="AJ1808" s="2">
        <f t="shared" si="183"/>
        <v>-790.67</v>
      </c>
      <c r="AK1808" s="5">
        <f t="shared" si="180"/>
        <v>1</v>
      </c>
    </row>
    <row r="1809" spans="1:37" x14ac:dyDescent="0.2">
      <c r="A1809" s="2">
        <v>2025</v>
      </c>
      <c r="B1809" s="2">
        <v>8</v>
      </c>
      <c r="C1809" s="2" t="s">
        <v>1676</v>
      </c>
      <c r="O1809" s="2" t="s">
        <v>115</v>
      </c>
      <c r="P1809" s="2" t="s">
        <v>565</v>
      </c>
      <c r="Q1809" s="2" t="s">
        <v>566</v>
      </c>
      <c r="R1809" s="2">
        <v>1</v>
      </c>
      <c r="S1809" s="2">
        <v>14.29</v>
      </c>
      <c r="T1809" s="2">
        <v>3.2867000000000002</v>
      </c>
      <c r="U1809" s="2">
        <v>17.576699999999999</v>
      </c>
      <c r="W1809" s="5">
        <f t="shared" si="179"/>
        <v>1</v>
      </c>
      <c r="AE1809" s="2">
        <f t="shared" si="181"/>
        <v>0</v>
      </c>
      <c r="AI1809" s="2">
        <f t="shared" si="182"/>
        <v>0</v>
      </c>
      <c r="AJ1809" s="2">
        <f t="shared" si="183"/>
        <v>14.29</v>
      </c>
      <c r="AK1809" s="5">
        <f t="shared" si="180"/>
        <v>1</v>
      </c>
    </row>
    <row r="1810" spans="1:37" x14ac:dyDescent="0.2">
      <c r="A1810" s="2">
        <v>2025</v>
      </c>
      <c r="B1810" s="2">
        <v>8</v>
      </c>
      <c r="C1810" s="2" t="s">
        <v>1676</v>
      </c>
      <c r="O1810" s="2" t="s">
        <v>170</v>
      </c>
      <c r="P1810" s="2" t="s">
        <v>171</v>
      </c>
      <c r="Q1810" s="2" t="s">
        <v>171</v>
      </c>
      <c r="R1810" s="2">
        <v>1</v>
      </c>
      <c r="S1810" s="2">
        <v>8</v>
      </c>
      <c r="T1810" s="2">
        <v>1.84</v>
      </c>
      <c r="U1810" s="2">
        <v>9.84</v>
      </c>
      <c r="W1810" s="5">
        <f t="shared" si="179"/>
        <v>1</v>
      </c>
      <c r="Y1810" s="2" t="s">
        <v>170</v>
      </c>
      <c r="Z1810" s="2" t="s">
        <v>170</v>
      </c>
      <c r="AE1810" s="2">
        <f t="shared" si="181"/>
        <v>0</v>
      </c>
      <c r="AI1810" s="2">
        <f t="shared" si="182"/>
        <v>0</v>
      </c>
      <c r="AJ1810" s="2">
        <f t="shared" si="183"/>
        <v>8</v>
      </c>
      <c r="AK1810" s="5">
        <f t="shared" si="180"/>
        <v>1</v>
      </c>
    </row>
    <row r="1811" spans="1:37" x14ac:dyDescent="0.2">
      <c r="A1811" s="2">
        <v>2025</v>
      </c>
      <c r="B1811" s="2">
        <v>8</v>
      </c>
      <c r="C1811" s="2" t="s">
        <v>924</v>
      </c>
      <c r="D1811" s="2" t="s">
        <v>758</v>
      </c>
      <c r="E1811" s="2" t="s">
        <v>925</v>
      </c>
      <c r="F1811" s="2">
        <v>505973960</v>
      </c>
      <c r="G1811" s="2" t="s">
        <v>40</v>
      </c>
      <c r="H1811" s="2" t="s">
        <v>157</v>
      </c>
      <c r="I1811" s="2" t="s">
        <v>926</v>
      </c>
      <c r="K1811" s="2" t="s">
        <v>100</v>
      </c>
      <c r="L1811" s="2" t="s">
        <v>81</v>
      </c>
      <c r="N1811" s="2" t="s">
        <v>1860</v>
      </c>
      <c r="O1811" s="2" t="s">
        <v>43</v>
      </c>
      <c r="P1811" s="2" t="s">
        <v>55</v>
      </c>
      <c r="Q1811" s="2" t="s">
        <v>56</v>
      </c>
      <c r="R1811" s="2">
        <v>1</v>
      </c>
      <c r="S1811" s="2">
        <v>22.8</v>
      </c>
      <c r="T1811" s="2">
        <v>5.2440000000000007</v>
      </c>
      <c r="U1811" s="2">
        <v>28.044</v>
      </c>
      <c r="V1811" s="2">
        <f>10.6*R1811</f>
        <v>10.6</v>
      </c>
      <c r="W1811" s="5">
        <f t="shared" si="179"/>
        <v>0.53508771929824561</v>
      </c>
      <c r="Y1811" s="2" t="s">
        <v>3256</v>
      </c>
      <c r="Z1811" s="2" t="s">
        <v>46</v>
      </c>
      <c r="AA1811" s="2" t="s">
        <v>57</v>
      </c>
      <c r="AB1811" s="2" t="s">
        <v>58</v>
      </c>
      <c r="AE1811" s="2">
        <f t="shared" si="181"/>
        <v>0</v>
      </c>
      <c r="AF1811" s="2">
        <v>10.6</v>
      </c>
      <c r="AG1811" s="2">
        <v>18</v>
      </c>
      <c r="AI1811" s="2">
        <f t="shared" si="182"/>
        <v>0</v>
      </c>
      <c r="AJ1811" s="2">
        <f t="shared" si="183"/>
        <v>12.200000000000001</v>
      </c>
      <c r="AK1811" s="5">
        <f t="shared" si="180"/>
        <v>0.53508771929824561</v>
      </c>
    </row>
    <row r="1812" spans="1:37" x14ac:dyDescent="0.2">
      <c r="A1812" s="2">
        <v>2025</v>
      </c>
      <c r="B1812" s="2">
        <v>8</v>
      </c>
      <c r="C1812" s="2" t="s">
        <v>1861</v>
      </c>
      <c r="O1812" s="2" t="s">
        <v>283</v>
      </c>
      <c r="P1812" s="2" t="s">
        <v>1862</v>
      </c>
      <c r="Q1812" s="2" t="s">
        <v>1863</v>
      </c>
      <c r="R1812" s="2">
        <v>2</v>
      </c>
      <c r="S1812" s="2">
        <v>698</v>
      </c>
      <c r="T1812" s="2">
        <v>160.54</v>
      </c>
      <c r="U1812" s="2">
        <v>858.54</v>
      </c>
      <c r="W1812" s="5">
        <f t="shared" si="179"/>
        <v>1</v>
      </c>
      <c r="AE1812" s="2">
        <f t="shared" si="181"/>
        <v>0</v>
      </c>
      <c r="AI1812" s="2">
        <f t="shared" si="182"/>
        <v>0</v>
      </c>
      <c r="AJ1812" s="2">
        <f t="shared" si="183"/>
        <v>698</v>
      </c>
      <c r="AK1812" s="5">
        <f t="shared" si="180"/>
        <v>1</v>
      </c>
    </row>
    <row r="1813" spans="1:37" x14ac:dyDescent="0.2">
      <c r="A1813" s="2">
        <v>2025</v>
      </c>
      <c r="B1813" s="2">
        <v>8</v>
      </c>
      <c r="C1813" s="2" t="s">
        <v>1322</v>
      </c>
      <c r="D1813" s="2" t="s">
        <v>38</v>
      </c>
      <c r="E1813" s="2" t="s">
        <v>39</v>
      </c>
      <c r="F1813" s="2">
        <v>509512739</v>
      </c>
      <c r="G1813" s="2" t="s">
        <v>41</v>
      </c>
      <c r="H1813" s="2" t="s">
        <v>178</v>
      </c>
      <c r="I1813" s="2" t="s">
        <v>1323</v>
      </c>
      <c r="K1813" s="2" t="s">
        <v>178</v>
      </c>
      <c r="L1813" s="2" t="s">
        <v>41</v>
      </c>
      <c r="N1813" s="2" t="s">
        <v>1864</v>
      </c>
      <c r="O1813" s="2" t="s">
        <v>43</v>
      </c>
      <c r="P1813" s="2" t="s">
        <v>55</v>
      </c>
      <c r="Q1813" s="2" t="s">
        <v>56</v>
      </c>
      <c r="R1813" s="2">
        <v>3</v>
      </c>
      <c r="S1813" s="2">
        <v>48</v>
      </c>
      <c r="T1813" s="2">
        <v>11.04</v>
      </c>
      <c r="U1813" s="2">
        <v>59.04</v>
      </c>
      <c r="V1813" s="2">
        <f>10.6*R1813</f>
        <v>31.799999999999997</v>
      </c>
      <c r="W1813" s="5">
        <f t="shared" si="179"/>
        <v>0.33750000000000008</v>
      </c>
      <c r="Y1813" s="2" t="s">
        <v>3256</v>
      </c>
      <c r="Z1813" s="2" t="s">
        <v>46</v>
      </c>
      <c r="AA1813" s="2" t="s">
        <v>57</v>
      </c>
      <c r="AB1813" s="2" t="s">
        <v>58</v>
      </c>
      <c r="AE1813" s="2">
        <f t="shared" si="181"/>
        <v>0</v>
      </c>
      <c r="AF1813" s="2">
        <v>10.6</v>
      </c>
      <c r="AG1813" s="2">
        <v>18</v>
      </c>
      <c r="AI1813" s="2">
        <f t="shared" si="182"/>
        <v>0</v>
      </c>
      <c r="AJ1813" s="2">
        <f t="shared" si="183"/>
        <v>16.200000000000003</v>
      </c>
      <c r="AK1813" s="5">
        <f t="shared" si="180"/>
        <v>0.33750000000000008</v>
      </c>
    </row>
    <row r="1814" spans="1:37" x14ac:dyDescent="0.2">
      <c r="A1814" s="2">
        <v>2025</v>
      </c>
      <c r="B1814" s="2">
        <v>8</v>
      </c>
      <c r="C1814" s="2" t="s">
        <v>1322</v>
      </c>
      <c r="D1814" s="2" t="s">
        <v>38</v>
      </c>
      <c r="E1814" s="2" t="s">
        <v>39</v>
      </c>
      <c r="F1814" s="2">
        <v>509512739</v>
      </c>
      <c r="G1814" s="2" t="s">
        <v>41</v>
      </c>
      <c r="H1814" s="2" t="s">
        <v>178</v>
      </c>
      <c r="I1814" s="2" t="s">
        <v>1323</v>
      </c>
      <c r="K1814" s="2" t="s">
        <v>178</v>
      </c>
      <c r="L1814" s="2" t="s">
        <v>41</v>
      </c>
      <c r="N1814" s="2" t="s">
        <v>1864</v>
      </c>
      <c r="O1814" s="2" t="s">
        <v>43</v>
      </c>
      <c r="P1814" s="2" t="s">
        <v>62</v>
      </c>
      <c r="Q1814" s="2" t="s">
        <v>63</v>
      </c>
      <c r="R1814" s="2">
        <v>200</v>
      </c>
      <c r="S1814" s="2">
        <v>24</v>
      </c>
      <c r="T1814" s="2">
        <v>5.52</v>
      </c>
      <c r="U1814" s="2">
        <v>29.52</v>
      </c>
      <c r="V1814" s="2">
        <f>0.082*R1814</f>
        <v>16.400000000000002</v>
      </c>
      <c r="W1814" s="5">
        <f t="shared" si="179"/>
        <v>0.3166666666666666</v>
      </c>
      <c r="Y1814" s="2" t="s">
        <v>3256</v>
      </c>
      <c r="Z1814" s="2" t="s">
        <v>46</v>
      </c>
      <c r="AA1814" s="2" t="s">
        <v>61</v>
      </c>
      <c r="AB1814" s="2" t="s">
        <v>58</v>
      </c>
      <c r="AE1814" s="2">
        <f t="shared" si="181"/>
        <v>0</v>
      </c>
      <c r="AF1814" s="2">
        <v>8.1999999999999993</v>
      </c>
      <c r="AG1814" s="2">
        <v>13</v>
      </c>
      <c r="AI1814" s="2">
        <f t="shared" si="182"/>
        <v>0</v>
      </c>
      <c r="AJ1814" s="2">
        <f t="shared" si="183"/>
        <v>7.5999999999999979</v>
      </c>
      <c r="AK1814" s="5">
        <f t="shared" si="180"/>
        <v>0.3166666666666666</v>
      </c>
    </row>
    <row r="1815" spans="1:37" x14ac:dyDescent="0.2">
      <c r="A1815" s="2">
        <v>2025</v>
      </c>
      <c r="B1815" s="2">
        <v>8</v>
      </c>
      <c r="C1815" s="2" t="s">
        <v>1322</v>
      </c>
      <c r="D1815" s="2" t="s">
        <v>38</v>
      </c>
      <c r="E1815" s="2" t="s">
        <v>39</v>
      </c>
      <c r="F1815" s="2">
        <v>509512739</v>
      </c>
      <c r="G1815" s="2" t="s">
        <v>41</v>
      </c>
      <c r="H1815" s="2" t="s">
        <v>178</v>
      </c>
      <c r="I1815" s="2" t="s">
        <v>1323</v>
      </c>
      <c r="K1815" s="2" t="s">
        <v>178</v>
      </c>
      <c r="L1815" s="2" t="s">
        <v>41</v>
      </c>
      <c r="N1815" s="2" t="s">
        <v>1864</v>
      </c>
      <c r="O1815" s="2" t="s">
        <v>43</v>
      </c>
      <c r="P1815" s="2" t="s">
        <v>255</v>
      </c>
      <c r="Q1815" s="2" t="s">
        <v>256</v>
      </c>
      <c r="R1815" s="2">
        <v>100</v>
      </c>
      <c r="S1815" s="2">
        <v>14</v>
      </c>
      <c r="T1815" s="2">
        <v>3.22</v>
      </c>
      <c r="U1815" s="2">
        <v>17.22</v>
      </c>
      <c r="W1815" s="5">
        <f t="shared" si="179"/>
        <v>1</v>
      </c>
      <c r="Y1815" s="2" t="s">
        <v>3256</v>
      </c>
      <c r="Z1815" s="2" t="s">
        <v>46</v>
      </c>
      <c r="AA1815" s="2" t="s">
        <v>61</v>
      </c>
      <c r="AB1815" s="2" t="s">
        <v>58</v>
      </c>
      <c r="AE1815" s="2">
        <f t="shared" si="181"/>
        <v>0</v>
      </c>
      <c r="AI1815" s="2">
        <f t="shared" si="182"/>
        <v>0</v>
      </c>
      <c r="AJ1815" s="2">
        <f t="shared" si="183"/>
        <v>14</v>
      </c>
      <c r="AK1815" s="5">
        <f t="shared" si="180"/>
        <v>1</v>
      </c>
    </row>
    <row r="1816" spans="1:37" x14ac:dyDescent="0.2">
      <c r="A1816" s="2">
        <v>2025</v>
      </c>
      <c r="B1816" s="2">
        <v>10</v>
      </c>
      <c r="C1816" s="2" t="s">
        <v>37</v>
      </c>
      <c r="D1816" s="2" t="s">
        <v>38</v>
      </c>
      <c r="E1816" s="2" t="s">
        <v>39</v>
      </c>
      <c r="G1816" s="2" t="s">
        <v>40</v>
      </c>
      <c r="O1816" s="2" t="s">
        <v>153</v>
      </c>
      <c r="P1816" s="2" t="s">
        <v>154</v>
      </c>
      <c r="Q1816" s="2" t="s">
        <v>155</v>
      </c>
      <c r="R1816" s="2">
        <v>14</v>
      </c>
      <c r="S1816" s="2">
        <v>35</v>
      </c>
      <c r="T1816" s="2">
        <v>8.0500000000000007</v>
      </c>
      <c r="U1816" s="2">
        <v>43.05</v>
      </c>
      <c r="W1816" s="5">
        <f t="shared" si="179"/>
        <v>1</v>
      </c>
      <c r="Y1816" s="2" t="s">
        <v>3256</v>
      </c>
      <c r="AE1816" s="2">
        <f t="shared" si="181"/>
        <v>0</v>
      </c>
      <c r="AI1816" s="2">
        <f t="shared" si="182"/>
        <v>0</v>
      </c>
      <c r="AJ1816" s="2">
        <f t="shared" si="183"/>
        <v>35</v>
      </c>
      <c r="AK1816" s="5">
        <f t="shared" si="180"/>
        <v>1</v>
      </c>
    </row>
    <row r="1817" spans="1:37" x14ac:dyDescent="0.2">
      <c r="A1817" s="2">
        <v>2025</v>
      </c>
      <c r="B1817" s="2">
        <v>10</v>
      </c>
      <c r="C1817" s="2" t="s">
        <v>37</v>
      </c>
      <c r="D1817" s="2" t="s">
        <v>38</v>
      </c>
      <c r="E1817" s="2" t="s">
        <v>39</v>
      </c>
      <c r="G1817" s="2" t="s">
        <v>40</v>
      </c>
      <c r="O1817" s="2" t="s">
        <v>283</v>
      </c>
      <c r="P1817" s="2" t="s">
        <v>1865</v>
      </c>
      <c r="Q1817" s="2" t="s">
        <v>1866</v>
      </c>
      <c r="R1817" s="2">
        <v>1</v>
      </c>
      <c r="S1817" s="2">
        <v>36.9</v>
      </c>
      <c r="T1817" s="2">
        <v>8.4870000000000001</v>
      </c>
      <c r="U1817" s="2">
        <v>45.387</v>
      </c>
      <c r="W1817" s="5">
        <f t="shared" si="179"/>
        <v>1</v>
      </c>
      <c r="Y1817" s="2" t="s">
        <v>3256</v>
      </c>
      <c r="AE1817" s="2">
        <f t="shared" si="181"/>
        <v>0</v>
      </c>
      <c r="AI1817" s="2">
        <f t="shared" si="182"/>
        <v>0</v>
      </c>
      <c r="AJ1817" s="2">
        <f t="shared" si="183"/>
        <v>36.9</v>
      </c>
      <c r="AK1817" s="5">
        <f t="shared" si="180"/>
        <v>1</v>
      </c>
    </row>
    <row r="1818" spans="1:37" x14ac:dyDescent="0.2">
      <c r="A1818" s="2">
        <v>2025</v>
      </c>
      <c r="B1818" s="2">
        <v>10</v>
      </c>
      <c r="C1818" s="2" t="s">
        <v>37</v>
      </c>
      <c r="D1818" s="2" t="s">
        <v>38</v>
      </c>
      <c r="E1818" s="2" t="s">
        <v>39</v>
      </c>
      <c r="G1818" s="2" t="s">
        <v>40</v>
      </c>
      <c r="O1818" s="2" t="s">
        <v>283</v>
      </c>
      <c r="P1818" s="2" t="s">
        <v>1604</v>
      </c>
      <c r="Q1818" s="2" t="s">
        <v>1605</v>
      </c>
      <c r="R1818" s="2">
        <v>1</v>
      </c>
      <c r="S1818" s="2">
        <v>7</v>
      </c>
      <c r="T1818" s="2">
        <v>1.61</v>
      </c>
      <c r="U1818" s="2">
        <v>8.61</v>
      </c>
      <c r="W1818" s="5">
        <f t="shared" si="179"/>
        <v>1</v>
      </c>
      <c r="Y1818" s="2" t="s">
        <v>3256</v>
      </c>
      <c r="AE1818" s="2">
        <f t="shared" si="181"/>
        <v>0</v>
      </c>
      <c r="AI1818" s="2">
        <f t="shared" si="182"/>
        <v>0</v>
      </c>
      <c r="AJ1818" s="2">
        <f t="shared" si="183"/>
        <v>7</v>
      </c>
      <c r="AK1818" s="5">
        <f t="shared" si="180"/>
        <v>1</v>
      </c>
    </row>
    <row r="1819" spans="1:37" x14ac:dyDescent="0.2">
      <c r="A1819" s="2">
        <v>2025</v>
      </c>
      <c r="B1819" s="2">
        <v>10</v>
      </c>
      <c r="C1819" s="2" t="s">
        <v>37</v>
      </c>
      <c r="D1819" s="2" t="s">
        <v>38</v>
      </c>
      <c r="E1819" s="2" t="s">
        <v>39</v>
      </c>
      <c r="G1819" s="2" t="s">
        <v>40</v>
      </c>
      <c r="O1819" s="2" t="s">
        <v>283</v>
      </c>
      <c r="P1819" s="2" t="s">
        <v>1867</v>
      </c>
      <c r="Q1819" s="2" t="s">
        <v>1868</v>
      </c>
      <c r="R1819" s="2">
        <v>1</v>
      </c>
      <c r="S1819" s="2">
        <v>10.9</v>
      </c>
      <c r="T1819" s="2">
        <v>2.5070000000000001</v>
      </c>
      <c r="U1819" s="2">
        <v>13.407</v>
      </c>
      <c r="W1819" s="5">
        <f t="shared" si="179"/>
        <v>1</v>
      </c>
      <c r="AE1819" s="2">
        <f t="shared" si="181"/>
        <v>0</v>
      </c>
      <c r="AI1819" s="2">
        <f t="shared" si="182"/>
        <v>0</v>
      </c>
      <c r="AJ1819" s="2">
        <f t="shared" si="183"/>
        <v>10.9</v>
      </c>
      <c r="AK1819" s="5">
        <f t="shared" si="180"/>
        <v>1</v>
      </c>
    </row>
    <row r="1820" spans="1:37" x14ac:dyDescent="0.2">
      <c r="A1820" s="2">
        <v>2025</v>
      </c>
      <c r="B1820" s="2">
        <v>10</v>
      </c>
      <c r="C1820" s="2" t="s">
        <v>37</v>
      </c>
      <c r="D1820" s="2" t="s">
        <v>38</v>
      </c>
      <c r="E1820" s="2" t="s">
        <v>39</v>
      </c>
      <c r="G1820" s="2" t="s">
        <v>40</v>
      </c>
      <c r="O1820" s="2" t="s">
        <v>283</v>
      </c>
      <c r="P1820" s="2" t="s">
        <v>1869</v>
      </c>
      <c r="Q1820" s="2" t="s">
        <v>1870</v>
      </c>
      <c r="R1820" s="2">
        <v>2</v>
      </c>
      <c r="S1820" s="2">
        <v>56.91</v>
      </c>
      <c r="T1820" s="2">
        <v>13.0893</v>
      </c>
      <c r="U1820" s="2">
        <v>69.999299999999991</v>
      </c>
      <c r="W1820" s="5">
        <f t="shared" si="179"/>
        <v>1</v>
      </c>
      <c r="AE1820" s="2">
        <f t="shared" si="181"/>
        <v>0</v>
      </c>
      <c r="AI1820" s="2">
        <f t="shared" si="182"/>
        <v>0</v>
      </c>
      <c r="AJ1820" s="2">
        <f t="shared" si="183"/>
        <v>56.91</v>
      </c>
      <c r="AK1820" s="5">
        <f t="shared" si="180"/>
        <v>1</v>
      </c>
    </row>
    <row r="1821" spans="1:37" x14ac:dyDescent="0.2">
      <c r="A1821" s="2">
        <v>2025</v>
      </c>
      <c r="B1821" s="2">
        <v>10</v>
      </c>
      <c r="C1821" s="2" t="s">
        <v>37</v>
      </c>
      <c r="D1821" s="2" t="s">
        <v>38</v>
      </c>
      <c r="E1821" s="2" t="s">
        <v>39</v>
      </c>
      <c r="G1821" s="2" t="s">
        <v>40</v>
      </c>
      <c r="O1821" s="2" t="s">
        <v>283</v>
      </c>
      <c r="P1821" s="2" t="s">
        <v>1456</v>
      </c>
      <c r="Q1821" s="2" t="s">
        <v>1457</v>
      </c>
      <c r="R1821" s="2">
        <v>1</v>
      </c>
      <c r="S1821" s="2">
        <v>80</v>
      </c>
      <c r="T1821" s="2">
        <v>18.399999999999999</v>
      </c>
      <c r="U1821" s="2">
        <v>98.4</v>
      </c>
      <c r="W1821" s="5">
        <f t="shared" si="179"/>
        <v>1</v>
      </c>
      <c r="Y1821" s="2" t="s">
        <v>3256</v>
      </c>
      <c r="AE1821" s="2">
        <f t="shared" si="181"/>
        <v>0</v>
      </c>
      <c r="AI1821" s="2">
        <f t="shared" si="182"/>
        <v>0</v>
      </c>
      <c r="AJ1821" s="2">
        <f t="shared" si="183"/>
        <v>80</v>
      </c>
      <c r="AK1821" s="5">
        <f t="shared" si="180"/>
        <v>1</v>
      </c>
    </row>
    <row r="1822" spans="1:37" x14ac:dyDescent="0.2">
      <c r="A1822" s="2">
        <v>2025</v>
      </c>
      <c r="B1822" s="2">
        <v>10</v>
      </c>
      <c r="C1822" s="2" t="s">
        <v>37</v>
      </c>
      <c r="D1822" s="2" t="s">
        <v>38</v>
      </c>
      <c r="E1822" s="2" t="s">
        <v>39</v>
      </c>
      <c r="G1822" s="2" t="s">
        <v>40</v>
      </c>
      <c r="O1822" s="2" t="s">
        <v>43</v>
      </c>
      <c r="P1822" s="2" t="s">
        <v>55</v>
      </c>
      <c r="Q1822" s="2" t="s">
        <v>56</v>
      </c>
      <c r="R1822" s="2">
        <v>3</v>
      </c>
      <c r="S1822" s="2">
        <v>54</v>
      </c>
      <c r="T1822" s="2">
        <v>12.42</v>
      </c>
      <c r="U1822" s="2">
        <v>66.42</v>
      </c>
      <c r="V1822" s="2">
        <f>10.6*R1822</f>
        <v>31.799999999999997</v>
      </c>
      <c r="W1822" s="5">
        <f t="shared" si="179"/>
        <v>0.41111111111111115</v>
      </c>
      <c r="Y1822" s="2" t="s">
        <v>3256</v>
      </c>
      <c r="Z1822" s="2" t="s">
        <v>46</v>
      </c>
      <c r="AA1822" s="2" t="s">
        <v>57</v>
      </c>
      <c r="AB1822" s="2" t="s">
        <v>58</v>
      </c>
      <c r="AE1822" s="2">
        <f t="shared" si="181"/>
        <v>0</v>
      </c>
      <c r="AF1822" s="2">
        <v>10.6</v>
      </c>
      <c r="AG1822" s="2">
        <v>18</v>
      </c>
      <c r="AI1822" s="2">
        <f t="shared" si="182"/>
        <v>0</v>
      </c>
      <c r="AJ1822" s="2">
        <f t="shared" si="183"/>
        <v>22.200000000000003</v>
      </c>
      <c r="AK1822" s="5">
        <f t="shared" si="180"/>
        <v>0.41111111111111115</v>
      </c>
    </row>
    <row r="1823" spans="1:37" x14ac:dyDescent="0.2">
      <c r="A1823" s="2">
        <v>2025</v>
      </c>
      <c r="B1823" s="2">
        <v>10</v>
      </c>
      <c r="C1823" s="2" t="s">
        <v>37</v>
      </c>
      <c r="D1823" s="2" t="s">
        <v>38</v>
      </c>
      <c r="E1823" s="2" t="s">
        <v>39</v>
      </c>
      <c r="G1823" s="2" t="s">
        <v>40</v>
      </c>
      <c r="H1823" s="2" t="s">
        <v>1871</v>
      </c>
      <c r="K1823" s="2" t="s">
        <v>100</v>
      </c>
      <c r="L1823" s="2" t="s">
        <v>81</v>
      </c>
      <c r="N1823" s="2" t="s">
        <v>1872</v>
      </c>
      <c r="O1823" s="2" t="s">
        <v>43</v>
      </c>
      <c r="P1823" s="2" t="s">
        <v>675</v>
      </c>
      <c r="Q1823" s="2" t="s">
        <v>676</v>
      </c>
      <c r="R1823" s="2">
        <v>1</v>
      </c>
      <c r="S1823" s="2">
        <v>70</v>
      </c>
      <c r="T1823" s="2">
        <v>16.100000000000001</v>
      </c>
      <c r="U1823" s="2">
        <v>86.1</v>
      </c>
      <c r="V1823" s="2">
        <v>29.27</v>
      </c>
      <c r="W1823" s="5">
        <f t="shared" si="179"/>
        <v>0.58185714285714296</v>
      </c>
      <c r="Y1823" s="2" t="s">
        <v>3256</v>
      </c>
      <c r="Z1823" s="2" t="s">
        <v>46</v>
      </c>
      <c r="AA1823" s="2" t="s">
        <v>57</v>
      </c>
      <c r="AB1823" s="2" t="s">
        <v>58</v>
      </c>
      <c r="AE1823" s="2">
        <f t="shared" si="181"/>
        <v>0</v>
      </c>
      <c r="AF1823" s="2">
        <v>29.27</v>
      </c>
      <c r="AG1823" s="2">
        <v>60</v>
      </c>
      <c r="AI1823" s="2">
        <f t="shared" si="182"/>
        <v>0</v>
      </c>
      <c r="AJ1823" s="2">
        <f t="shared" si="183"/>
        <v>40.730000000000004</v>
      </c>
      <c r="AK1823" s="5">
        <f t="shared" si="180"/>
        <v>0.58185714285714296</v>
      </c>
    </row>
    <row r="1824" spans="1:37" x14ac:dyDescent="0.2">
      <c r="A1824" s="2">
        <v>2025</v>
      </c>
      <c r="B1824" s="2">
        <v>10</v>
      </c>
      <c r="C1824" s="2" t="s">
        <v>37</v>
      </c>
      <c r="D1824" s="2" t="s">
        <v>38</v>
      </c>
      <c r="E1824" s="2" t="s">
        <v>39</v>
      </c>
      <c r="G1824" s="2" t="s">
        <v>40</v>
      </c>
      <c r="O1824" s="2" t="s">
        <v>43</v>
      </c>
      <c r="P1824" s="2" t="s">
        <v>64</v>
      </c>
      <c r="Q1824" s="2" t="s">
        <v>65</v>
      </c>
      <c r="R1824" s="2">
        <v>20</v>
      </c>
      <c r="S1824" s="2">
        <v>36</v>
      </c>
      <c r="T1824" s="2">
        <v>8.2800000000000011</v>
      </c>
      <c r="U1824" s="2">
        <v>44.28</v>
      </c>
      <c r="V1824" s="2">
        <f>0.8561*R1824</f>
        <v>17.122</v>
      </c>
      <c r="W1824" s="5">
        <f t="shared" si="179"/>
        <v>0.5243888888888889</v>
      </c>
      <c r="Y1824" s="2" t="s">
        <v>3256</v>
      </c>
      <c r="Z1824" s="2" t="s">
        <v>46</v>
      </c>
      <c r="AA1824" s="2" t="s">
        <v>61</v>
      </c>
      <c r="AB1824" s="2" t="s">
        <v>58</v>
      </c>
      <c r="AE1824" s="2">
        <f t="shared" si="181"/>
        <v>0</v>
      </c>
      <c r="AF1824" s="2">
        <v>0.85609999999999997</v>
      </c>
      <c r="AG1824" s="2">
        <v>1.8</v>
      </c>
      <c r="AI1824" s="2">
        <f t="shared" si="182"/>
        <v>0</v>
      </c>
      <c r="AJ1824" s="2">
        <f t="shared" si="183"/>
        <v>18.878</v>
      </c>
      <c r="AK1824" s="5">
        <f t="shared" ref="AK1824:AK1840" si="184">(S1824-V1824)/S1824</f>
        <v>0.5243888888888889</v>
      </c>
    </row>
    <row r="1825" spans="1:37" x14ac:dyDescent="0.2">
      <c r="A1825" s="2">
        <v>2025</v>
      </c>
      <c r="B1825" s="2">
        <v>10</v>
      </c>
      <c r="C1825" s="2" t="s">
        <v>37</v>
      </c>
      <c r="D1825" s="2" t="s">
        <v>38</v>
      </c>
      <c r="E1825" s="2" t="s">
        <v>39</v>
      </c>
      <c r="G1825" s="2" t="s">
        <v>40</v>
      </c>
      <c r="O1825" s="2" t="s">
        <v>43</v>
      </c>
      <c r="P1825" s="2" t="s">
        <v>165</v>
      </c>
      <c r="Q1825" s="2" t="s">
        <v>166</v>
      </c>
      <c r="R1825" s="2">
        <v>1</v>
      </c>
      <c r="S1825" s="2">
        <v>15</v>
      </c>
      <c r="T1825" s="2">
        <v>3.45</v>
      </c>
      <c r="U1825" s="2">
        <v>18.45</v>
      </c>
      <c r="V1825" s="2">
        <f>7.9612*R1825</f>
        <v>7.9611999999999998</v>
      </c>
      <c r="W1825" s="5">
        <f t="shared" si="179"/>
        <v>0.46925333333333336</v>
      </c>
      <c r="Y1825" s="2" t="s">
        <v>3256</v>
      </c>
      <c r="Z1825" s="2" t="s">
        <v>46</v>
      </c>
      <c r="AA1825" s="2" t="s">
        <v>68</v>
      </c>
      <c r="AB1825" s="2" t="s">
        <v>58</v>
      </c>
      <c r="AE1825" s="2">
        <f t="shared" si="181"/>
        <v>0</v>
      </c>
      <c r="AF1825" s="2">
        <v>7.9611999999999998</v>
      </c>
      <c r="AG1825" s="2">
        <v>14.4</v>
      </c>
      <c r="AI1825" s="2">
        <f t="shared" si="182"/>
        <v>0</v>
      </c>
      <c r="AJ1825" s="2">
        <f t="shared" si="183"/>
        <v>7.0388000000000002</v>
      </c>
      <c r="AK1825" s="5">
        <f t="shared" si="184"/>
        <v>0.46925333333333336</v>
      </c>
    </row>
    <row r="1826" spans="1:37" x14ac:dyDescent="0.2">
      <c r="A1826" s="2">
        <v>2025</v>
      </c>
      <c r="B1826" s="2">
        <v>10</v>
      </c>
      <c r="C1826" s="2" t="s">
        <v>37</v>
      </c>
      <c r="D1826" s="2" t="s">
        <v>38</v>
      </c>
      <c r="E1826" s="2" t="s">
        <v>39</v>
      </c>
      <c r="G1826" s="2" t="s">
        <v>40</v>
      </c>
      <c r="O1826" s="2" t="s">
        <v>43</v>
      </c>
      <c r="P1826" s="2" t="s">
        <v>261</v>
      </c>
      <c r="Q1826" s="2" t="s">
        <v>262</v>
      </c>
      <c r="R1826" s="2">
        <v>2</v>
      </c>
      <c r="S1826" s="2">
        <v>24</v>
      </c>
      <c r="T1826" s="2">
        <v>5.52</v>
      </c>
      <c r="U1826" s="2">
        <v>29.52</v>
      </c>
      <c r="V1826" s="2">
        <f>8.3145*R1826</f>
        <v>16.629000000000001</v>
      </c>
      <c r="W1826" s="5">
        <f t="shared" si="179"/>
        <v>0.30712499999999993</v>
      </c>
      <c r="Y1826" s="2" t="s">
        <v>3256</v>
      </c>
      <c r="Z1826" s="2" t="s">
        <v>46</v>
      </c>
      <c r="AA1826" s="2" t="s">
        <v>68</v>
      </c>
      <c r="AB1826" s="2" t="s">
        <v>58</v>
      </c>
      <c r="AE1826" s="2">
        <f t="shared" si="181"/>
        <v>0</v>
      </c>
      <c r="AF1826" s="2">
        <v>8.3145000000000007</v>
      </c>
      <c r="AG1826" s="2">
        <v>15</v>
      </c>
      <c r="AI1826" s="2">
        <f t="shared" si="182"/>
        <v>0</v>
      </c>
      <c r="AJ1826" s="2">
        <f t="shared" si="183"/>
        <v>7.3709999999999987</v>
      </c>
      <c r="AK1826" s="5">
        <f t="shared" si="184"/>
        <v>0.30712499999999993</v>
      </c>
    </row>
    <row r="1827" spans="1:37" x14ac:dyDescent="0.2">
      <c r="A1827" s="2">
        <v>2025</v>
      </c>
      <c r="B1827" s="2">
        <v>10</v>
      </c>
      <c r="C1827" s="2" t="s">
        <v>37</v>
      </c>
      <c r="D1827" s="2" t="s">
        <v>38</v>
      </c>
      <c r="E1827" s="2" t="s">
        <v>39</v>
      </c>
      <c r="G1827" s="2" t="s">
        <v>40</v>
      </c>
      <c r="O1827" s="2" t="s">
        <v>73</v>
      </c>
      <c r="P1827" s="2" t="s">
        <v>919</v>
      </c>
      <c r="Q1827" s="2" t="s">
        <v>75</v>
      </c>
      <c r="R1827" s="2">
        <v>1</v>
      </c>
      <c r="S1827" s="2">
        <v>255</v>
      </c>
      <c r="T1827" s="2">
        <v>58.650000000000013</v>
      </c>
      <c r="U1827" s="2">
        <v>313.64999999999998</v>
      </c>
      <c r="W1827" s="5">
        <f t="shared" si="179"/>
        <v>1</v>
      </c>
      <c r="Y1827" s="2" t="s">
        <v>3256</v>
      </c>
      <c r="Z1827" s="2" t="s">
        <v>76</v>
      </c>
      <c r="AA1827" s="2" t="s">
        <v>77</v>
      </c>
      <c r="AB1827" s="2" t="s">
        <v>78</v>
      </c>
      <c r="AE1827" s="2">
        <f t="shared" si="181"/>
        <v>0</v>
      </c>
      <c r="AI1827" s="2">
        <f t="shared" si="182"/>
        <v>0</v>
      </c>
      <c r="AJ1827" s="2">
        <f t="shared" si="183"/>
        <v>255</v>
      </c>
      <c r="AK1827" s="5">
        <f t="shared" si="184"/>
        <v>1</v>
      </c>
    </row>
    <row r="1828" spans="1:37" x14ac:dyDescent="0.2">
      <c r="A1828" s="2">
        <v>2025</v>
      </c>
      <c r="B1828" s="2">
        <v>10</v>
      </c>
      <c r="C1828" s="2" t="s">
        <v>37</v>
      </c>
      <c r="D1828" s="2" t="s">
        <v>38</v>
      </c>
      <c r="E1828" s="2" t="s">
        <v>39</v>
      </c>
      <c r="G1828" s="2" t="s">
        <v>40</v>
      </c>
      <c r="O1828" s="2" t="s">
        <v>1047</v>
      </c>
      <c r="P1828" s="2" t="s">
        <v>1873</v>
      </c>
      <c r="Q1828" s="2" t="s">
        <v>1874</v>
      </c>
      <c r="R1828" s="2">
        <v>1</v>
      </c>
      <c r="S1828" s="2">
        <v>405.36</v>
      </c>
      <c r="T1828" s="2">
        <v>93.232800000000012</v>
      </c>
      <c r="U1828" s="2">
        <v>498.59280000000001</v>
      </c>
      <c r="W1828" s="5">
        <f t="shared" si="179"/>
        <v>1</v>
      </c>
      <c r="Y1828" s="2" t="s">
        <v>3256</v>
      </c>
      <c r="Z1828" s="2" t="s">
        <v>76</v>
      </c>
      <c r="AA1828" s="2" t="s">
        <v>77</v>
      </c>
      <c r="AB1828" s="2" t="s">
        <v>1047</v>
      </c>
      <c r="AE1828" s="2">
        <f t="shared" si="181"/>
        <v>0</v>
      </c>
      <c r="AI1828" s="2">
        <f t="shared" si="182"/>
        <v>0</v>
      </c>
      <c r="AJ1828" s="2">
        <f t="shared" si="183"/>
        <v>405.36</v>
      </c>
      <c r="AK1828" s="5">
        <f t="shared" si="184"/>
        <v>1</v>
      </c>
    </row>
    <row r="1829" spans="1:37" x14ac:dyDescent="0.2">
      <c r="A1829" s="2">
        <v>2025</v>
      </c>
      <c r="B1829" s="2">
        <v>10</v>
      </c>
      <c r="C1829" s="2" t="s">
        <v>37</v>
      </c>
      <c r="D1829" s="2" t="s">
        <v>38</v>
      </c>
      <c r="E1829" s="2" t="s">
        <v>39</v>
      </c>
      <c r="G1829" s="2" t="s">
        <v>40</v>
      </c>
      <c r="O1829" s="2" t="s">
        <v>1047</v>
      </c>
      <c r="P1829" s="2" t="s">
        <v>1875</v>
      </c>
      <c r="Q1829" s="2" t="s">
        <v>1876</v>
      </c>
      <c r="R1829" s="2">
        <v>4</v>
      </c>
      <c r="S1829" s="2">
        <v>691.06</v>
      </c>
      <c r="T1829" s="2">
        <v>158.94380000000001</v>
      </c>
      <c r="U1829" s="2">
        <v>850.00379999999996</v>
      </c>
      <c r="W1829" s="5">
        <f t="shared" si="179"/>
        <v>1</v>
      </c>
      <c r="Y1829" s="2" t="s">
        <v>3256</v>
      </c>
      <c r="Z1829" s="2" t="s">
        <v>1050</v>
      </c>
      <c r="AA1829" s="2" t="s">
        <v>1328</v>
      </c>
      <c r="AB1829" s="2" t="s">
        <v>1047</v>
      </c>
      <c r="AE1829" s="2">
        <f t="shared" si="181"/>
        <v>0</v>
      </c>
      <c r="AI1829" s="2">
        <f t="shared" si="182"/>
        <v>0</v>
      </c>
      <c r="AJ1829" s="2">
        <f t="shared" si="183"/>
        <v>691.06</v>
      </c>
      <c r="AK1829" s="5">
        <f t="shared" si="184"/>
        <v>1</v>
      </c>
    </row>
    <row r="1830" spans="1:37" x14ac:dyDescent="0.2">
      <c r="A1830" s="2">
        <v>2025</v>
      </c>
      <c r="B1830" s="2">
        <v>10</v>
      </c>
      <c r="C1830" s="2" t="s">
        <v>37</v>
      </c>
      <c r="D1830" s="2" t="s">
        <v>38</v>
      </c>
      <c r="E1830" s="2" t="s">
        <v>39</v>
      </c>
      <c r="G1830" s="2" t="s">
        <v>40</v>
      </c>
      <c r="O1830" s="2" t="s">
        <v>94</v>
      </c>
      <c r="P1830" s="2" t="s">
        <v>95</v>
      </c>
      <c r="Q1830" s="2" t="s">
        <v>96</v>
      </c>
      <c r="R1830" s="2">
        <v>2</v>
      </c>
      <c r="S1830" s="2">
        <v>2.2799999999999998</v>
      </c>
      <c r="T1830" s="2">
        <v>0.52439999999999998</v>
      </c>
      <c r="U1830" s="2">
        <v>2.8043999999999998</v>
      </c>
      <c r="V1830" s="2">
        <v>2.2799999999999998</v>
      </c>
      <c r="W1830" s="5">
        <f t="shared" si="179"/>
        <v>0</v>
      </c>
      <c r="Y1830" s="2" t="s">
        <v>3256</v>
      </c>
      <c r="Z1830" s="2" t="s">
        <v>97</v>
      </c>
      <c r="AA1830" s="2" t="s">
        <v>77</v>
      </c>
      <c r="AB1830" s="2" t="s">
        <v>94</v>
      </c>
      <c r="AE1830" s="2">
        <f t="shared" si="181"/>
        <v>0</v>
      </c>
      <c r="AI1830" s="2">
        <f t="shared" si="182"/>
        <v>0</v>
      </c>
      <c r="AJ1830" s="2">
        <f t="shared" si="183"/>
        <v>0</v>
      </c>
      <c r="AK1830" s="5">
        <f t="shared" si="184"/>
        <v>0</v>
      </c>
    </row>
    <row r="1831" spans="1:37" x14ac:dyDescent="0.2">
      <c r="A1831" s="2">
        <v>2025</v>
      </c>
      <c r="B1831" s="2">
        <v>10</v>
      </c>
      <c r="C1831" s="2" t="s">
        <v>1877</v>
      </c>
      <c r="D1831" s="2" t="s">
        <v>109</v>
      </c>
      <c r="F1831" s="2">
        <v>515549134</v>
      </c>
      <c r="G1831" s="2" t="s">
        <v>41</v>
      </c>
      <c r="H1831" s="2" t="s">
        <v>1878</v>
      </c>
      <c r="I1831" s="2" t="s">
        <v>1879</v>
      </c>
      <c r="K1831" s="2" t="s">
        <v>178</v>
      </c>
      <c r="L1831" s="2" t="s">
        <v>41</v>
      </c>
      <c r="N1831" s="2" t="s">
        <v>1880</v>
      </c>
      <c r="O1831" s="2" t="s">
        <v>43</v>
      </c>
      <c r="P1831" s="2" t="s">
        <v>215</v>
      </c>
      <c r="Q1831" s="2" t="s">
        <v>216</v>
      </c>
      <c r="R1831" s="2">
        <v>1</v>
      </c>
      <c r="S1831" s="2">
        <v>13.8</v>
      </c>
      <c r="T1831" s="2">
        <v>3.1739999999999999</v>
      </c>
      <c r="U1831" s="2">
        <v>16.974</v>
      </c>
      <c r="V1831" s="2">
        <v>7.915</v>
      </c>
      <c r="W1831" s="5">
        <f t="shared" si="179"/>
        <v>0.42644927536231886</v>
      </c>
      <c r="Y1831" s="2" t="s">
        <v>3256</v>
      </c>
      <c r="Z1831" s="2" t="s">
        <v>46</v>
      </c>
      <c r="AA1831" s="2" t="s">
        <v>57</v>
      </c>
      <c r="AB1831" s="2" t="s">
        <v>58</v>
      </c>
      <c r="AE1831" s="2">
        <f t="shared" si="181"/>
        <v>0</v>
      </c>
      <c r="AF1831" s="2">
        <v>7.915</v>
      </c>
      <c r="AI1831" s="2">
        <f t="shared" si="182"/>
        <v>0</v>
      </c>
      <c r="AJ1831" s="2">
        <f t="shared" si="183"/>
        <v>5.8850000000000007</v>
      </c>
      <c r="AK1831" s="5">
        <f t="shared" si="184"/>
        <v>0.42644927536231886</v>
      </c>
    </row>
    <row r="1832" spans="1:37" x14ac:dyDescent="0.2">
      <c r="A1832" s="2">
        <v>2025</v>
      </c>
      <c r="B1832" s="2">
        <v>10</v>
      </c>
      <c r="C1832" s="2" t="s">
        <v>1877</v>
      </c>
      <c r="D1832" s="2" t="s">
        <v>109</v>
      </c>
      <c r="F1832" s="2">
        <v>515549134</v>
      </c>
      <c r="G1832" s="2" t="s">
        <v>41</v>
      </c>
      <c r="H1832" s="2" t="s">
        <v>1878</v>
      </c>
      <c r="I1832" s="2" t="s">
        <v>1879</v>
      </c>
      <c r="K1832" s="2" t="s">
        <v>178</v>
      </c>
      <c r="L1832" s="2" t="s">
        <v>41</v>
      </c>
      <c r="N1832" s="2" t="s">
        <v>1880</v>
      </c>
      <c r="O1832" s="2" t="s">
        <v>43</v>
      </c>
      <c r="P1832" s="2" t="s">
        <v>217</v>
      </c>
      <c r="Q1832" s="2" t="s">
        <v>218</v>
      </c>
      <c r="R1832" s="2">
        <v>1</v>
      </c>
      <c r="S1832" s="2">
        <v>17.399999999999999</v>
      </c>
      <c r="T1832" s="2">
        <v>4.0019999999999998</v>
      </c>
      <c r="U1832" s="2">
        <v>21.402000000000001</v>
      </c>
      <c r="V1832" s="2">
        <v>10.035</v>
      </c>
      <c r="W1832" s="5">
        <f t="shared" si="179"/>
        <v>0.42327586206896545</v>
      </c>
      <c r="Y1832" s="2" t="s">
        <v>3256</v>
      </c>
      <c r="Z1832" s="2" t="s">
        <v>46</v>
      </c>
      <c r="AA1832" s="2" t="s">
        <v>57</v>
      </c>
      <c r="AB1832" s="2" t="s">
        <v>58</v>
      </c>
      <c r="AE1832" s="2">
        <f t="shared" si="181"/>
        <v>0</v>
      </c>
      <c r="AF1832" s="2">
        <v>10.035</v>
      </c>
      <c r="AI1832" s="2">
        <f t="shared" si="182"/>
        <v>0</v>
      </c>
      <c r="AJ1832" s="2">
        <f t="shared" si="183"/>
        <v>7.3649999999999984</v>
      </c>
      <c r="AK1832" s="5">
        <f t="shared" si="184"/>
        <v>0.42327586206896545</v>
      </c>
    </row>
    <row r="1833" spans="1:37" x14ac:dyDescent="0.2">
      <c r="A1833" s="2">
        <v>2025</v>
      </c>
      <c r="B1833" s="2">
        <v>10</v>
      </c>
      <c r="C1833" s="2" t="s">
        <v>1877</v>
      </c>
      <c r="D1833" s="2" t="s">
        <v>109</v>
      </c>
      <c r="F1833" s="2">
        <v>515549134</v>
      </c>
      <c r="G1833" s="2" t="s">
        <v>41</v>
      </c>
      <c r="H1833" s="2" t="s">
        <v>1878</v>
      </c>
      <c r="I1833" s="2" t="s">
        <v>1879</v>
      </c>
      <c r="K1833" s="2" t="s">
        <v>178</v>
      </c>
      <c r="L1833" s="2" t="s">
        <v>41</v>
      </c>
      <c r="N1833" s="2" t="s">
        <v>1880</v>
      </c>
      <c r="O1833" s="2" t="s">
        <v>43</v>
      </c>
      <c r="P1833" s="2" t="s">
        <v>219</v>
      </c>
      <c r="Q1833" s="2" t="s">
        <v>220</v>
      </c>
      <c r="R1833" s="2">
        <v>1</v>
      </c>
      <c r="S1833" s="2">
        <v>21</v>
      </c>
      <c r="T1833" s="2">
        <v>4.83</v>
      </c>
      <c r="U1833" s="2">
        <v>25.83</v>
      </c>
      <c r="V1833" s="2">
        <v>12.4434</v>
      </c>
      <c r="W1833" s="5">
        <f t="shared" si="179"/>
        <v>0.40745714285714285</v>
      </c>
      <c r="Y1833" s="2" t="s">
        <v>3256</v>
      </c>
      <c r="Z1833" s="2" t="s">
        <v>46</v>
      </c>
      <c r="AA1833" s="2" t="s">
        <v>57</v>
      </c>
      <c r="AB1833" s="2" t="s">
        <v>58</v>
      </c>
      <c r="AE1833" s="2">
        <f t="shared" si="181"/>
        <v>0</v>
      </c>
      <c r="AF1833" s="2">
        <v>12.4434</v>
      </c>
      <c r="AI1833" s="2">
        <f t="shared" si="182"/>
        <v>0</v>
      </c>
      <c r="AJ1833" s="2">
        <f t="shared" si="183"/>
        <v>8.5565999999999995</v>
      </c>
      <c r="AK1833" s="5">
        <f t="shared" si="184"/>
        <v>0.40745714285714285</v>
      </c>
    </row>
    <row r="1834" spans="1:37" x14ac:dyDescent="0.2">
      <c r="A1834" s="2">
        <v>2025</v>
      </c>
      <c r="B1834" s="2">
        <v>10</v>
      </c>
      <c r="C1834" s="2" t="s">
        <v>1877</v>
      </c>
      <c r="D1834" s="2" t="s">
        <v>109</v>
      </c>
      <c r="F1834" s="2">
        <v>515549134</v>
      </c>
      <c r="G1834" s="2" t="s">
        <v>41</v>
      </c>
      <c r="H1834" s="2" t="s">
        <v>1878</v>
      </c>
      <c r="I1834" s="2" t="s">
        <v>1879</v>
      </c>
      <c r="K1834" s="2" t="s">
        <v>178</v>
      </c>
      <c r="L1834" s="2" t="s">
        <v>41</v>
      </c>
      <c r="N1834" s="2" t="s">
        <v>1880</v>
      </c>
      <c r="O1834" s="2" t="s">
        <v>43</v>
      </c>
      <c r="P1834" s="2" t="s">
        <v>239</v>
      </c>
      <c r="Q1834" s="2" t="s">
        <v>240</v>
      </c>
      <c r="R1834" s="2">
        <v>1</v>
      </c>
      <c r="S1834" s="2">
        <v>19.8</v>
      </c>
      <c r="T1834" s="2">
        <v>4.5540000000000003</v>
      </c>
      <c r="U1834" s="2">
        <v>24.353999999999999</v>
      </c>
      <c r="V1834" s="2">
        <v>11.087999999999999</v>
      </c>
      <c r="W1834" s="5">
        <f t="shared" si="179"/>
        <v>0.44000000000000006</v>
      </c>
      <c r="Y1834" s="2" t="s">
        <v>3256</v>
      </c>
      <c r="Z1834" s="2" t="s">
        <v>46</v>
      </c>
      <c r="AA1834" s="2" t="s">
        <v>57</v>
      </c>
      <c r="AB1834" s="2" t="s">
        <v>58</v>
      </c>
      <c r="AE1834" s="2">
        <f t="shared" si="181"/>
        <v>0</v>
      </c>
      <c r="AF1834" s="2">
        <v>11.087999999999999</v>
      </c>
      <c r="AI1834" s="2">
        <f t="shared" si="182"/>
        <v>0</v>
      </c>
      <c r="AJ1834" s="2">
        <f t="shared" si="183"/>
        <v>8.7120000000000015</v>
      </c>
      <c r="AK1834" s="5">
        <f t="shared" si="184"/>
        <v>0.44000000000000006</v>
      </c>
    </row>
    <row r="1835" spans="1:37" x14ac:dyDescent="0.2">
      <c r="A1835" s="2">
        <v>2025</v>
      </c>
      <c r="B1835" s="2">
        <v>10</v>
      </c>
      <c r="C1835" s="2" t="s">
        <v>1877</v>
      </c>
      <c r="D1835" s="2" t="s">
        <v>109</v>
      </c>
      <c r="F1835" s="2">
        <v>515549134</v>
      </c>
      <c r="G1835" s="2" t="s">
        <v>41</v>
      </c>
      <c r="H1835" s="2" t="s">
        <v>1878</v>
      </c>
      <c r="I1835" s="2" t="s">
        <v>1879</v>
      </c>
      <c r="K1835" s="2" t="s">
        <v>178</v>
      </c>
      <c r="L1835" s="2" t="s">
        <v>41</v>
      </c>
      <c r="N1835" s="2" t="s">
        <v>1880</v>
      </c>
      <c r="O1835" s="2" t="s">
        <v>43</v>
      </c>
      <c r="P1835" s="2" t="s">
        <v>66</v>
      </c>
      <c r="Q1835" s="2" t="s">
        <v>67</v>
      </c>
      <c r="R1835" s="2">
        <v>4</v>
      </c>
      <c r="S1835" s="2">
        <v>84</v>
      </c>
      <c r="T1835" s="2">
        <v>19.32</v>
      </c>
      <c r="U1835" s="2">
        <v>103.32</v>
      </c>
      <c r="V1835" s="2">
        <f>15.0203*R1835</f>
        <v>60.081200000000003</v>
      </c>
      <c r="W1835" s="5">
        <f t="shared" si="179"/>
        <v>0.28474761904761903</v>
      </c>
      <c r="Y1835" s="2" t="s">
        <v>3256</v>
      </c>
      <c r="Z1835" s="2" t="s">
        <v>46</v>
      </c>
      <c r="AA1835" s="2" t="s">
        <v>68</v>
      </c>
      <c r="AB1835" s="2" t="s">
        <v>58</v>
      </c>
      <c r="AE1835" s="2">
        <f t="shared" si="181"/>
        <v>0</v>
      </c>
      <c r="AF1835" s="2">
        <v>15.020300000000001</v>
      </c>
      <c r="AG1835" s="2">
        <v>27.6</v>
      </c>
      <c r="AI1835" s="2">
        <f t="shared" si="182"/>
        <v>0</v>
      </c>
      <c r="AJ1835" s="2">
        <f t="shared" si="183"/>
        <v>23.918799999999997</v>
      </c>
      <c r="AK1835" s="5">
        <f t="shared" si="184"/>
        <v>0.28474761904761903</v>
      </c>
    </row>
    <row r="1836" spans="1:37" x14ac:dyDescent="0.2">
      <c r="A1836" s="2">
        <v>2025</v>
      </c>
      <c r="B1836" s="2">
        <v>10</v>
      </c>
      <c r="C1836" s="2" t="s">
        <v>1462</v>
      </c>
      <c r="O1836" s="2" t="s">
        <v>115</v>
      </c>
      <c r="P1836" s="2" t="s">
        <v>416</v>
      </c>
      <c r="Q1836" s="2" t="s">
        <v>417</v>
      </c>
      <c r="R1836" s="2">
        <v>1</v>
      </c>
      <c r="S1836" s="2">
        <v>14000</v>
      </c>
      <c r="T1836" s="2">
        <v>3220</v>
      </c>
      <c r="U1836" s="2">
        <v>17220</v>
      </c>
      <c r="V1836" s="2">
        <v>10669.4</v>
      </c>
      <c r="W1836" s="5">
        <f t="shared" si="179"/>
        <v>0.23790000000000003</v>
      </c>
      <c r="Y1836" s="2" t="s">
        <v>105</v>
      </c>
      <c r="Z1836" s="2" t="s">
        <v>418</v>
      </c>
      <c r="AA1836" s="2" t="s">
        <v>152</v>
      </c>
      <c r="AB1836" s="2" t="s">
        <v>115</v>
      </c>
      <c r="AE1836" s="2">
        <f t="shared" si="181"/>
        <v>0</v>
      </c>
      <c r="AI1836" s="2">
        <f t="shared" si="182"/>
        <v>0</v>
      </c>
      <c r="AJ1836" s="2">
        <f t="shared" si="183"/>
        <v>3330.6000000000004</v>
      </c>
      <c r="AK1836" s="5">
        <f t="shared" si="184"/>
        <v>0.23790000000000003</v>
      </c>
    </row>
    <row r="1837" spans="1:37" x14ac:dyDescent="0.2">
      <c r="A1837" s="2">
        <v>2025</v>
      </c>
      <c r="B1837" s="2">
        <v>10</v>
      </c>
      <c r="C1837" s="2" t="s">
        <v>1881</v>
      </c>
      <c r="O1837" s="2" t="s">
        <v>73</v>
      </c>
      <c r="P1837" s="2" t="s">
        <v>1044</v>
      </c>
      <c r="Q1837" s="2" t="s">
        <v>80</v>
      </c>
      <c r="R1837" s="2">
        <v>1</v>
      </c>
      <c r="S1837" s="2">
        <v>210</v>
      </c>
      <c r="T1837" s="2">
        <v>48.3</v>
      </c>
      <c r="U1837" s="2">
        <v>258.3</v>
      </c>
      <c r="V1837" s="2">
        <v>113.33</v>
      </c>
      <c r="W1837" s="5">
        <f t="shared" si="179"/>
        <v>0.46033333333333332</v>
      </c>
      <c r="Y1837" s="2" t="s">
        <v>3256</v>
      </c>
      <c r="Z1837" s="2" t="s">
        <v>76</v>
      </c>
      <c r="AA1837" s="2" t="s">
        <v>77</v>
      </c>
      <c r="AB1837" s="2" t="s">
        <v>78</v>
      </c>
      <c r="AE1837" s="2">
        <f t="shared" si="181"/>
        <v>0</v>
      </c>
      <c r="AF1837" s="2">
        <v>113.33</v>
      </c>
      <c r="AG1837" s="2">
        <v>220</v>
      </c>
      <c r="AI1837" s="2">
        <f t="shared" si="182"/>
        <v>0</v>
      </c>
      <c r="AJ1837" s="2">
        <f t="shared" si="183"/>
        <v>96.67</v>
      </c>
      <c r="AK1837" s="5">
        <f t="shared" si="184"/>
        <v>0.46033333333333332</v>
      </c>
    </row>
    <row r="1838" spans="1:37" x14ac:dyDescent="0.2">
      <c r="A1838" s="2">
        <v>2025</v>
      </c>
      <c r="B1838" s="2">
        <v>10</v>
      </c>
      <c r="C1838" s="2" t="s">
        <v>1881</v>
      </c>
      <c r="O1838" s="2" t="s">
        <v>94</v>
      </c>
      <c r="P1838" s="2" t="s">
        <v>95</v>
      </c>
      <c r="Q1838" s="2" t="s">
        <v>96</v>
      </c>
      <c r="R1838" s="2">
        <v>1</v>
      </c>
      <c r="S1838" s="2">
        <v>1.1399999999999999</v>
      </c>
      <c r="T1838" s="2">
        <v>0.26219999999999999</v>
      </c>
      <c r="U1838" s="2">
        <v>1.4021999999999999</v>
      </c>
      <c r="V1838" s="2">
        <v>1.1399999999999999</v>
      </c>
      <c r="W1838" s="5">
        <f t="shared" si="179"/>
        <v>0</v>
      </c>
      <c r="Y1838" s="2" t="s">
        <v>3256</v>
      </c>
      <c r="Z1838" s="2" t="s">
        <v>97</v>
      </c>
      <c r="AA1838" s="2" t="s">
        <v>77</v>
      </c>
      <c r="AB1838" s="2" t="s">
        <v>94</v>
      </c>
      <c r="AE1838" s="2">
        <f t="shared" si="181"/>
        <v>0</v>
      </c>
      <c r="AI1838" s="2">
        <f t="shared" si="182"/>
        <v>0</v>
      </c>
      <c r="AJ1838" s="2">
        <f t="shared" si="183"/>
        <v>0</v>
      </c>
      <c r="AK1838" s="5">
        <f t="shared" si="184"/>
        <v>0</v>
      </c>
    </row>
    <row r="1839" spans="1:37" x14ac:dyDescent="0.2">
      <c r="A1839" s="2">
        <v>2025</v>
      </c>
      <c r="B1839" s="2">
        <v>10</v>
      </c>
      <c r="C1839" s="2" t="s">
        <v>1470</v>
      </c>
      <c r="O1839" s="2" t="s">
        <v>283</v>
      </c>
      <c r="P1839" s="2" t="s">
        <v>1563</v>
      </c>
      <c r="Q1839" s="2" t="s">
        <v>1564</v>
      </c>
      <c r="R1839" s="2">
        <v>1</v>
      </c>
      <c r="S1839" s="2">
        <v>595</v>
      </c>
      <c r="T1839" s="2">
        <v>136.85</v>
      </c>
      <c r="U1839" s="2">
        <v>731.85</v>
      </c>
      <c r="W1839" s="5">
        <f t="shared" si="179"/>
        <v>1</v>
      </c>
      <c r="AE1839" s="2">
        <f t="shared" si="181"/>
        <v>0</v>
      </c>
      <c r="AI1839" s="2">
        <f t="shared" si="182"/>
        <v>0</v>
      </c>
      <c r="AJ1839" s="2">
        <f t="shared" si="183"/>
        <v>595</v>
      </c>
      <c r="AK1839" s="5">
        <f t="shared" si="184"/>
        <v>1</v>
      </c>
    </row>
    <row r="1840" spans="1:37" x14ac:dyDescent="0.2">
      <c r="A1840" s="2">
        <v>2025</v>
      </c>
      <c r="B1840" s="2">
        <v>10</v>
      </c>
      <c r="C1840" s="2" t="s">
        <v>1470</v>
      </c>
      <c r="O1840" s="2" t="s">
        <v>283</v>
      </c>
      <c r="P1840" s="2" t="s">
        <v>404</v>
      </c>
      <c r="Q1840" s="2" t="s">
        <v>405</v>
      </c>
      <c r="R1840" s="2">
        <v>4</v>
      </c>
      <c r="S1840" s="2">
        <v>0</v>
      </c>
      <c r="T1840" s="2">
        <v>0</v>
      </c>
      <c r="U1840" s="2">
        <v>0</v>
      </c>
      <c r="W1840" s="5">
        <v>0</v>
      </c>
      <c r="AE1840" s="2">
        <f t="shared" si="181"/>
        <v>0</v>
      </c>
      <c r="AI1840" s="2">
        <f t="shared" si="182"/>
        <v>0</v>
      </c>
      <c r="AJ1840" s="2">
        <f t="shared" si="183"/>
        <v>0</v>
      </c>
      <c r="AK1840" s="5" t="e">
        <f t="shared" si="184"/>
        <v>#DIV/0!</v>
      </c>
    </row>
    <row r="1841" spans="1:37" x14ac:dyDescent="0.2">
      <c r="A1841" s="2">
        <v>2025</v>
      </c>
      <c r="B1841" s="2">
        <v>10</v>
      </c>
      <c r="C1841" s="2" t="s">
        <v>1470</v>
      </c>
      <c r="O1841" s="2" t="s">
        <v>43</v>
      </c>
      <c r="P1841" s="2" t="s">
        <v>977</v>
      </c>
      <c r="Q1841" s="2" t="s">
        <v>978</v>
      </c>
      <c r="R1841" s="2">
        <v>-6</v>
      </c>
      <c r="S1841" s="2">
        <v>-174</v>
      </c>
      <c r="T1841" s="2">
        <v>-40.020000000000003</v>
      </c>
      <c r="U1841" s="2">
        <v>-214.02</v>
      </c>
      <c r="W1841" s="5">
        <f>SIGN(S1841)*((ABS(S1841)-V1841)/ABS(S1841))</f>
        <v>-1</v>
      </c>
      <c r="Y1841" s="2" t="s">
        <v>3256</v>
      </c>
      <c r="Z1841" s="2" t="s">
        <v>46</v>
      </c>
      <c r="AA1841" s="2" t="s">
        <v>61</v>
      </c>
      <c r="AB1841" s="2" t="s">
        <v>58</v>
      </c>
      <c r="AE1841" s="2">
        <f t="shared" si="181"/>
        <v>0</v>
      </c>
      <c r="AI1841" s="2">
        <f t="shared" si="182"/>
        <v>0</v>
      </c>
      <c r="AJ1841" s="2">
        <f t="shared" si="183"/>
        <v>-174</v>
      </c>
      <c r="AK1841" s="5">
        <f>SIGN(S1841)*((ABS(S1841)-V1841)/ABS(S1841))</f>
        <v>-1</v>
      </c>
    </row>
    <row r="1842" spans="1:37" x14ac:dyDescent="0.2">
      <c r="A1842" s="2">
        <v>2025</v>
      </c>
      <c r="B1842" s="2">
        <v>10</v>
      </c>
      <c r="C1842" s="2" t="s">
        <v>1470</v>
      </c>
      <c r="O1842" s="2" t="s">
        <v>43</v>
      </c>
      <c r="P1842" s="2" t="s">
        <v>979</v>
      </c>
      <c r="Q1842" s="2" t="s">
        <v>980</v>
      </c>
      <c r="R1842" s="2">
        <v>-6</v>
      </c>
      <c r="S1842" s="2">
        <v>-174</v>
      </c>
      <c r="T1842" s="2">
        <v>-40.020000000000003</v>
      </c>
      <c r="U1842" s="2">
        <v>-214.02</v>
      </c>
      <c r="W1842" s="5">
        <f>SIGN(S1842)*((ABS(S1842)-V1842)/ABS(S1842))</f>
        <v>-1</v>
      </c>
      <c r="Y1842" s="2" t="s">
        <v>3256</v>
      </c>
      <c r="Z1842" s="2" t="s">
        <v>46</v>
      </c>
      <c r="AA1842" s="2" t="s">
        <v>61</v>
      </c>
      <c r="AB1842" s="2" t="s">
        <v>58</v>
      </c>
      <c r="AE1842" s="2">
        <f t="shared" si="181"/>
        <v>0</v>
      </c>
      <c r="AI1842" s="2">
        <f t="shared" si="182"/>
        <v>0</v>
      </c>
      <c r="AJ1842" s="2">
        <f t="shared" si="183"/>
        <v>-174</v>
      </c>
      <c r="AK1842" s="5">
        <f>SIGN(S1842)*((ABS(S1842)-V1842)/ABS(S1842))</f>
        <v>-1</v>
      </c>
    </row>
    <row r="1843" spans="1:37" x14ac:dyDescent="0.2">
      <c r="A1843" s="2">
        <v>2025</v>
      </c>
      <c r="B1843" s="2">
        <v>10</v>
      </c>
      <c r="C1843" s="2" t="s">
        <v>948</v>
      </c>
      <c r="O1843" s="2" t="s">
        <v>43</v>
      </c>
      <c r="P1843" s="2" t="s">
        <v>161</v>
      </c>
      <c r="Q1843" s="2" t="s">
        <v>162</v>
      </c>
      <c r="R1843" s="2">
        <v>1</v>
      </c>
      <c r="S1843" s="2">
        <v>7.8</v>
      </c>
      <c r="T1843" s="2">
        <v>1.794</v>
      </c>
      <c r="U1843" s="2">
        <v>9.5939999999999994</v>
      </c>
      <c r="V1843" s="2">
        <f>3.7358*R1843</f>
        <v>3.7357999999999998</v>
      </c>
      <c r="W1843" s="5">
        <f t="shared" ref="W1843:W1862" si="185">(S1843-V1843)/S1843</f>
        <v>0.52105128205128204</v>
      </c>
      <c r="Y1843" s="2" t="s">
        <v>3256</v>
      </c>
      <c r="Z1843" s="2" t="s">
        <v>46</v>
      </c>
      <c r="AA1843" s="2" t="s">
        <v>47</v>
      </c>
      <c r="AB1843" s="2" t="s">
        <v>48</v>
      </c>
      <c r="AE1843" s="2">
        <f t="shared" si="181"/>
        <v>0</v>
      </c>
      <c r="AF1843" s="2">
        <v>3.7357999999999998</v>
      </c>
      <c r="AG1843" s="2">
        <v>9</v>
      </c>
      <c r="AI1843" s="2">
        <f t="shared" si="182"/>
        <v>0</v>
      </c>
      <c r="AJ1843" s="2">
        <f t="shared" si="183"/>
        <v>4.0641999999999996</v>
      </c>
      <c r="AK1843" s="5">
        <f t="shared" ref="AK1843:AK1906" si="186">(S1843-V1843)/S1843</f>
        <v>0.52105128205128204</v>
      </c>
    </row>
    <row r="1844" spans="1:37" x14ac:dyDescent="0.2">
      <c r="A1844" s="2">
        <v>2025</v>
      </c>
      <c r="B1844" s="2">
        <v>10</v>
      </c>
      <c r="C1844" s="2" t="s">
        <v>948</v>
      </c>
      <c r="O1844" s="2" t="s">
        <v>43</v>
      </c>
      <c r="P1844" s="2" t="s">
        <v>235</v>
      </c>
      <c r="Q1844" s="2" t="s">
        <v>236</v>
      </c>
      <c r="R1844" s="2">
        <v>1</v>
      </c>
      <c r="S1844" s="2">
        <v>13.2</v>
      </c>
      <c r="T1844" s="2">
        <v>3.036</v>
      </c>
      <c r="U1844" s="2">
        <v>16.236000000000001</v>
      </c>
      <c r="V1844" s="2">
        <v>7.2217000000000002</v>
      </c>
      <c r="W1844" s="5">
        <f t="shared" si="185"/>
        <v>0.45290151515151511</v>
      </c>
      <c r="Y1844" s="2" t="s">
        <v>3256</v>
      </c>
      <c r="Z1844" s="2" t="s">
        <v>46</v>
      </c>
      <c r="AA1844" s="2" t="s">
        <v>57</v>
      </c>
      <c r="AB1844" s="2" t="s">
        <v>58</v>
      </c>
      <c r="AE1844" s="2">
        <f t="shared" si="181"/>
        <v>0</v>
      </c>
      <c r="AF1844" s="2">
        <v>7.2217000000000002</v>
      </c>
      <c r="AG1844" s="2">
        <v>14.4</v>
      </c>
      <c r="AI1844" s="2">
        <f t="shared" si="182"/>
        <v>0</v>
      </c>
      <c r="AJ1844" s="2">
        <f t="shared" si="183"/>
        <v>5.9782999999999991</v>
      </c>
      <c r="AK1844" s="5">
        <f t="shared" si="186"/>
        <v>0.45290151515151511</v>
      </c>
    </row>
    <row r="1845" spans="1:37" x14ac:dyDescent="0.2">
      <c r="A1845" s="2">
        <v>2025</v>
      </c>
      <c r="B1845" s="2">
        <v>10</v>
      </c>
      <c r="C1845" s="2" t="s">
        <v>948</v>
      </c>
      <c r="O1845" s="2" t="s">
        <v>43</v>
      </c>
      <c r="P1845" s="2" t="s">
        <v>55</v>
      </c>
      <c r="Q1845" s="2" t="s">
        <v>56</v>
      </c>
      <c r="R1845" s="2">
        <v>1</v>
      </c>
      <c r="S1845" s="2">
        <v>18</v>
      </c>
      <c r="T1845" s="2">
        <v>4.1400000000000006</v>
      </c>
      <c r="U1845" s="2">
        <v>22.14</v>
      </c>
      <c r="V1845" s="2">
        <f>10.6*R1845</f>
        <v>10.6</v>
      </c>
      <c r="W1845" s="5">
        <f t="shared" si="185"/>
        <v>0.41111111111111115</v>
      </c>
      <c r="Y1845" s="2" t="s">
        <v>3256</v>
      </c>
      <c r="Z1845" s="2" t="s">
        <v>46</v>
      </c>
      <c r="AA1845" s="2" t="s">
        <v>57</v>
      </c>
      <c r="AB1845" s="2" t="s">
        <v>58</v>
      </c>
      <c r="AE1845" s="2">
        <f t="shared" si="181"/>
        <v>0</v>
      </c>
      <c r="AF1845" s="2">
        <v>10.6</v>
      </c>
      <c r="AG1845" s="2">
        <v>18</v>
      </c>
      <c r="AI1845" s="2">
        <f t="shared" si="182"/>
        <v>0</v>
      </c>
      <c r="AJ1845" s="2">
        <f t="shared" si="183"/>
        <v>7.4</v>
      </c>
      <c r="AK1845" s="5">
        <f t="shared" si="186"/>
        <v>0.41111111111111115</v>
      </c>
    </row>
    <row r="1846" spans="1:37" x14ac:dyDescent="0.2">
      <c r="A1846" s="2">
        <v>2025</v>
      </c>
      <c r="B1846" s="2">
        <v>10</v>
      </c>
      <c r="C1846" s="2" t="s">
        <v>948</v>
      </c>
      <c r="O1846" s="2" t="s">
        <v>43</v>
      </c>
      <c r="P1846" s="2" t="s">
        <v>62</v>
      </c>
      <c r="Q1846" s="2" t="s">
        <v>63</v>
      </c>
      <c r="R1846" s="2">
        <v>100</v>
      </c>
      <c r="S1846" s="2">
        <v>13</v>
      </c>
      <c r="T1846" s="2">
        <v>2.99</v>
      </c>
      <c r="U1846" s="2">
        <v>15.99</v>
      </c>
      <c r="V1846" s="2">
        <f>0.082*R1846</f>
        <v>8.2000000000000011</v>
      </c>
      <c r="W1846" s="5">
        <f t="shared" si="185"/>
        <v>0.36923076923076914</v>
      </c>
      <c r="Y1846" s="2" t="s">
        <v>3256</v>
      </c>
      <c r="Z1846" s="2" t="s">
        <v>46</v>
      </c>
      <c r="AA1846" s="2" t="s">
        <v>61</v>
      </c>
      <c r="AB1846" s="2" t="s">
        <v>58</v>
      </c>
      <c r="AE1846" s="2">
        <f t="shared" si="181"/>
        <v>0</v>
      </c>
      <c r="AF1846" s="2">
        <v>8.1999999999999993</v>
      </c>
      <c r="AG1846" s="2">
        <v>13</v>
      </c>
      <c r="AI1846" s="2">
        <f t="shared" si="182"/>
        <v>0</v>
      </c>
      <c r="AJ1846" s="2">
        <f t="shared" si="183"/>
        <v>4.7999999999999989</v>
      </c>
      <c r="AK1846" s="5">
        <f t="shared" si="186"/>
        <v>0.36923076923076914</v>
      </c>
    </row>
    <row r="1847" spans="1:37" x14ac:dyDescent="0.2">
      <c r="A1847" s="2">
        <v>2025</v>
      </c>
      <c r="B1847" s="2">
        <v>10</v>
      </c>
      <c r="C1847" s="2" t="s">
        <v>1882</v>
      </c>
      <c r="L1847" s="2" t="s">
        <v>40</v>
      </c>
      <c r="O1847" s="2" t="s">
        <v>115</v>
      </c>
      <c r="P1847" s="2" t="s">
        <v>180</v>
      </c>
      <c r="Q1847" s="2" t="s">
        <v>181</v>
      </c>
      <c r="R1847" s="2">
        <v>1</v>
      </c>
      <c r="S1847" s="2">
        <v>699.3</v>
      </c>
      <c r="T1847" s="2">
        <v>160.839</v>
      </c>
      <c r="U1847" s="2">
        <v>860.1389999999999</v>
      </c>
      <c r="V1847" s="2">
        <v>346.57</v>
      </c>
      <c r="W1847" s="5">
        <f t="shared" si="185"/>
        <v>0.50440440440440437</v>
      </c>
      <c r="Y1847" s="2" t="s">
        <v>118</v>
      </c>
      <c r="Z1847" s="2" t="s">
        <v>182</v>
      </c>
      <c r="AE1847" s="2">
        <f t="shared" si="181"/>
        <v>0</v>
      </c>
      <c r="AI1847" s="2">
        <f t="shared" si="182"/>
        <v>0</v>
      </c>
      <c r="AJ1847" s="2">
        <f t="shared" si="183"/>
        <v>352.72999999999996</v>
      </c>
      <c r="AK1847" s="5">
        <f t="shared" si="186"/>
        <v>0.50440440440440437</v>
      </c>
    </row>
    <row r="1848" spans="1:37" x14ac:dyDescent="0.2">
      <c r="A1848" s="2">
        <v>2025</v>
      </c>
      <c r="B1848" s="2">
        <v>10</v>
      </c>
      <c r="C1848" s="2" t="s">
        <v>1882</v>
      </c>
      <c r="L1848" s="2" t="s">
        <v>40</v>
      </c>
      <c r="O1848" s="2" t="s">
        <v>188</v>
      </c>
      <c r="P1848" s="2" t="s">
        <v>189</v>
      </c>
      <c r="Q1848" s="2" t="s">
        <v>190</v>
      </c>
      <c r="R1848" s="2">
        <v>1</v>
      </c>
      <c r="S1848" s="2">
        <v>107</v>
      </c>
      <c r="T1848" s="2">
        <v>24.61</v>
      </c>
      <c r="U1848" s="2">
        <v>131.61000000000001</v>
      </c>
      <c r="W1848" s="5">
        <f t="shared" si="185"/>
        <v>1</v>
      </c>
      <c r="Y1848" s="2" t="s">
        <v>118</v>
      </c>
      <c r="Z1848" s="2" t="s">
        <v>191</v>
      </c>
      <c r="AE1848" s="2">
        <f t="shared" si="181"/>
        <v>0</v>
      </c>
      <c r="AI1848" s="2">
        <f t="shared" si="182"/>
        <v>0</v>
      </c>
      <c r="AJ1848" s="2">
        <f t="shared" si="183"/>
        <v>107</v>
      </c>
      <c r="AK1848" s="5">
        <f t="shared" si="186"/>
        <v>1</v>
      </c>
    </row>
    <row r="1849" spans="1:37" x14ac:dyDescent="0.2">
      <c r="A1849" s="2">
        <v>2025</v>
      </c>
      <c r="B1849" s="2">
        <v>10</v>
      </c>
      <c r="C1849" s="2" t="s">
        <v>1882</v>
      </c>
      <c r="L1849" s="2" t="s">
        <v>40</v>
      </c>
      <c r="O1849" s="2" t="s">
        <v>188</v>
      </c>
      <c r="P1849" s="2" t="s">
        <v>192</v>
      </c>
      <c r="Q1849" s="2" t="s">
        <v>191</v>
      </c>
      <c r="R1849" s="2">
        <v>1</v>
      </c>
      <c r="S1849" s="2">
        <v>0</v>
      </c>
      <c r="T1849" s="2">
        <v>0</v>
      </c>
      <c r="U1849" s="2">
        <v>0</v>
      </c>
      <c r="V1849" s="2">
        <f>S1849*50%</f>
        <v>0</v>
      </c>
      <c r="W1849" s="5" t="e">
        <f t="shared" si="185"/>
        <v>#DIV/0!</v>
      </c>
      <c r="Y1849" s="2" t="s">
        <v>118</v>
      </c>
      <c r="Z1849" s="2" t="s">
        <v>191</v>
      </c>
      <c r="AE1849" s="2">
        <f t="shared" si="181"/>
        <v>0</v>
      </c>
      <c r="AI1849" s="2">
        <f t="shared" si="182"/>
        <v>0</v>
      </c>
      <c r="AJ1849" s="2">
        <f t="shared" si="183"/>
        <v>0</v>
      </c>
      <c r="AK1849" s="5" t="e">
        <f t="shared" si="186"/>
        <v>#DIV/0!</v>
      </c>
    </row>
    <row r="1850" spans="1:37" x14ac:dyDescent="0.2">
      <c r="A1850" s="2">
        <v>2025</v>
      </c>
      <c r="B1850" s="2">
        <v>10</v>
      </c>
      <c r="C1850" s="2" t="s">
        <v>1883</v>
      </c>
      <c r="O1850" s="2" t="s">
        <v>69</v>
      </c>
      <c r="P1850" s="2" t="s">
        <v>1169</v>
      </c>
      <c r="Q1850" s="2" t="s">
        <v>1170</v>
      </c>
      <c r="R1850" s="2">
        <v>1</v>
      </c>
      <c r="S1850" s="2">
        <v>64</v>
      </c>
      <c r="T1850" s="2">
        <v>14.72</v>
      </c>
      <c r="U1850" s="2">
        <v>78.72</v>
      </c>
      <c r="V1850" s="2">
        <v>47.4</v>
      </c>
      <c r="W1850" s="5">
        <f t="shared" si="185"/>
        <v>0.25937500000000002</v>
      </c>
      <c r="Y1850" s="2" t="s">
        <v>3256</v>
      </c>
      <c r="Z1850" s="2" t="s">
        <v>72</v>
      </c>
      <c r="AA1850" s="2" t="s">
        <v>69</v>
      </c>
      <c r="AB1850" s="2" t="s">
        <v>3261</v>
      </c>
      <c r="AE1850" s="2">
        <f t="shared" si="181"/>
        <v>0</v>
      </c>
      <c r="AI1850" s="2">
        <f t="shared" si="182"/>
        <v>0</v>
      </c>
      <c r="AJ1850" s="2">
        <f t="shared" si="183"/>
        <v>16.600000000000001</v>
      </c>
      <c r="AK1850" s="5">
        <f t="shared" si="186"/>
        <v>0.25937500000000002</v>
      </c>
    </row>
    <row r="1851" spans="1:37" x14ac:dyDescent="0.2">
      <c r="A1851" s="2">
        <v>2025</v>
      </c>
      <c r="B1851" s="2">
        <v>10</v>
      </c>
      <c r="C1851" s="2" t="s">
        <v>1883</v>
      </c>
      <c r="O1851" s="2" t="s">
        <v>170</v>
      </c>
      <c r="P1851" s="2" t="s">
        <v>171</v>
      </c>
      <c r="Q1851" s="2" t="s">
        <v>171</v>
      </c>
      <c r="R1851" s="2">
        <v>1</v>
      </c>
      <c r="S1851" s="2">
        <v>8</v>
      </c>
      <c r="T1851" s="2">
        <v>1.84</v>
      </c>
      <c r="U1851" s="2">
        <v>9.84</v>
      </c>
      <c r="W1851" s="5">
        <f t="shared" si="185"/>
        <v>1</v>
      </c>
      <c r="Y1851" s="2" t="s">
        <v>170</v>
      </c>
      <c r="Z1851" s="2" t="s">
        <v>170</v>
      </c>
      <c r="AE1851" s="2">
        <f t="shared" si="181"/>
        <v>0</v>
      </c>
      <c r="AI1851" s="2">
        <f t="shared" si="182"/>
        <v>0</v>
      </c>
      <c r="AJ1851" s="2">
        <f t="shared" si="183"/>
        <v>8</v>
      </c>
      <c r="AK1851" s="5">
        <f t="shared" si="186"/>
        <v>1</v>
      </c>
    </row>
    <row r="1852" spans="1:37" x14ac:dyDescent="0.2">
      <c r="A1852" s="2">
        <v>2025</v>
      </c>
      <c r="B1852" s="2">
        <v>10</v>
      </c>
      <c r="C1852" s="2" t="s">
        <v>290</v>
      </c>
      <c r="D1852" s="2" t="s">
        <v>109</v>
      </c>
      <c r="E1852" s="2" t="s">
        <v>39</v>
      </c>
      <c r="F1852" s="2">
        <v>508428300</v>
      </c>
      <c r="G1852" s="2" t="s">
        <v>291</v>
      </c>
      <c r="H1852" s="2" t="s">
        <v>292</v>
      </c>
      <c r="I1852" s="2" t="s">
        <v>293</v>
      </c>
      <c r="J1852" s="2">
        <v>917165642</v>
      </c>
      <c r="K1852" s="2" t="s">
        <v>294</v>
      </c>
      <c r="L1852" s="2" t="s">
        <v>40</v>
      </c>
      <c r="N1852" s="2" t="s">
        <v>1884</v>
      </c>
      <c r="O1852" s="2" t="s">
        <v>115</v>
      </c>
      <c r="P1852" s="2" t="s">
        <v>814</v>
      </c>
      <c r="Q1852" s="2" t="s">
        <v>815</v>
      </c>
      <c r="R1852" s="2">
        <v>1</v>
      </c>
      <c r="S1852" s="2">
        <v>71.819999999999993</v>
      </c>
      <c r="T1852" s="2">
        <v>16.518599999999999</v>
      </c>
      <c r="U1852" s="2">
        <v>88.338599999999985</v>
      </c>
      <c r="V1852" s="2">
        <v>40.357500000000002</v>
      </c>
      <c r="W1852" s="5">
        <f t="shared" si="185"/>
        <v>0.43807435254803667</v>
      </c>
      <c r="Y1852" s="2" t="s">
        <v>118</v>
      </c>
      <c r="Z1852" s="2" t="s">
        <v>119</v>
      </c>
      <c r="AA1852" s="2" t="s">
        <v>120</v>
      </c>
      <c r="AB1852" s="2" t="s">
        <v>115</v>
      </c>
      <c r="AE1852" s="2">
        <f t="shared" si="181"/>
        <v>0</v>
      </c>
      <c r="AF1852" s="2">
        <v>40.357500000000002</v>
      </c>
      <c r="AI1852" s="2">
        <f t="shared" si="182"/>
        <v>0</v>
      </c>
      <c r="AJ1852" s="2">
        <f t="shared" si="183"/>
        <v>31.462499999999991</v>
      </c>
      <c r="AK1852" s="5">
        <f t="shared" si="186"/>
        <v>0.43807435254803667</v>
      </c>
    </row>
    <row r="1853" spans="1:37" x14ac:dyDescent="0.2">
      <c r="A1853" s="2">
        <v>2025</v>
      </c>
      <c r="B1853" s="2">
        <v>10</v>
      </c>
      <c r="C1853" s="2" t="s">
        <v>290</v>
      </c>
      <c r="D1853" s="2" t="s">
        <v>109</v>
      </c>
      <c r="E1853" s="2" t="s">
        <v>39</v>
      </c>
      <c r="F1853" s="2">
        <v>508428300</v>
      </c>
      <c r="G1853" s="2" t="s">
        <v>291</v>
      </c>
      <c r="H1853" s="2" t="s">
        <v>292</v>
      </c>
      <c r="I1853" s="2" t="s">
        <v>293</v>
      </c>
      <c r="J1853" s="2">
        <v>917165642</v>
      </c>
      <c r="K1853" s="2" t="s">
        <v>294</v>
      </c>
      <c r="L1853" s="2" t="s">
        <v>40</v>
      </c>
      <c r="N1853" s="2" t="s">
        <v>1885</v>
      </c>
      <c r="O1853" s="2" t="s">
        <v>115</v>
      </c>
      <c r="P1853" s="2" t="s">
        <v>960</v>
      </c>
      <c r="Q1853" s="2" t="s">
        <v>961</v>
      </c>
      <c r="R1853" s="2">
        <v>1</v>
      </c>
      <c r="S1853" s="2">
        <v>20.88</v>
      </c>
      <c r="T1853" s="2">
        <v>4.8023999999999996</v>
      </c>
      <c r="U1853" s="2">
        <v>25.682400000000001</v>
      </c>
      <c r="V1853" s="2">
        <v>14.4</v>
      </c>
      <c r="W1853" s="5">
        <f t="shared" si="185"/>
        <v>0.31034482758620685</v>
      </c>
      <c r="Y1853" s="2" t="s">
        <v>118</v>
      </c>
      <c r="Z1853" s="2" t="s">
        <v>583</v>
      </c>
      <c r="AA1853" s="2" t="s">
        <v>120</v>
      </c>
      <c r="AB1853" s="2" t="s">
        <v>115</v>
      </c>
      <c r="AE1853" s="2">
        <f t="shared" si="181"/>
        <v>0</v>
      </c>
      <c r="AF1853" s="2">
        <v>14.4</v>
      </c>
      <c r="AI1853" s="2">
        <f t="shared" si="182"/>
        <v>0</v>
      </c>
      <c r="AJ1853" s="2">
        <f t="shared" si="183"/>
        <v>6.4799999999999986</v>
      </c>
      <c r="AK1853" s="5">
        <f t="shared" si="186"/>
        <v>0.31034482758620685</v>
      </c>
    </row>
    <row r="1854" spans="1:37" x14ac:dyDescent="0.2">
      <c r="A1854" s="2">
        <v>2025</v>
      </c>
      <c r="B1854" s="2">
        <v>10</v>
      </c>
      <c r="C1854" s="2" t="s">
        <v>290</v>
      </c>
      <c r="D1854" s="2" t="s">
        <v>109</v>
      </c>
      <c r="E1854" s="2" t="s">
        <v>39</v>
      </c>
      <c r="F1854" s="2">
        <v>508428300</v>
      </c>
      <c r="G1854" s="2" t="s">
        <v>291</v>
      </c>
      <c r="H1854" s="2" t="s">
        <v>292</v>
      </c>
      <c r="I1854" s="2" t="s">
        <v>293</v>
      </c>
      <c r="J1854" s="2">
        <v>917165642</v>
      </c>
      <c r="K1854" s="2" t="s">
        <v>294</v>
      </c>
      <c r="L1854" s="2" t="s">
        <v>40</v>
      </c>
      <c r="N1854" s="2" t="s">
        <v>1885</v>
      </c>
      <c r="O1854" s="2" t="s">
        <v>115</v>
      </c>
      <c r="P1854" s="2" t="s">
        <v>375</v>
      </c>
      <c r="Q1854" s="2" t="s">
        <v>376</v>
      </c>
      <c r="R1854" s="2">
        <v>1</v>
      </c>
      <c r="S1854" s="2">
        <v>41.96</v>
      </c>
      <c r="T1854" s="2">
        <v>9.6508000000000003</v>
      </c>
      <c r="U1854" s="2">
        <v>51.610799999999998</v>
      </c>
      <c r="V1854" s="2">
        <v>22.2</v>
      </c>
      <c r="W1854" s="5">
        <f t="shared" si="185"/>
        <v>0.47092469018112493</v>
      </c>
      <c r="Y1854" s="2" t="s">
        <v>118</v>
      </c>
      <c r="Z1854" s="2" t="s">
        <v>119</v>
      </c>
      <c r="AA1854" s="2" t="s">
        <v>120</v>
      </c>
      <c r="AB1854" s="2" t="s">
        <v>115</v>
      </c>
      <c r="AE1854" s="2">
        <f t="shared" si="181"/>
        <v>0</v>
      </c>
      <c r="AF1854" s="2">
        <v>22.2</v>
      </c>
      <c r="AI1854" s="2">
        <f t="shared" si="182"/>
        <v>0</v>
      </c>
      <c r="AJ1854" s="2">
        <f t="shared" si="183"/>
        <v>19.760000000000002</v>
      </c>
      <c r="AK1854" s="5">
        <f t="shared" si="186"/>
        <v>0.47092469018112493</v>
      </c>
    </row>
    <row r="1855" spans="1:37" x14ac:dyDescent="0.2">
      <c r="A1855" s="2">
        <v>2025</v>
      </c>
      <c r="B1855" s="2">
        <v>10</v>
      </c>
      <c r="C1855" s="2" t="s">
        <v>290</v>
      </c>
      <c r="D1855" s="2" t="s">
        <v>109</v>
      </c>
      <c r="E1855" s="2" t="s">
        <v>39</v>
      </c>
      <c r="F1855" s="2">
        <v>508428300</v>
      </c>
      <c r="G1855" s="2" t="s">
        <v>291</v>
      </c>
      <c r="H1855" s="2" t="s">
        <v>292</v>
      </c>
      <c r="I1855" s="2" t="s">
        <v>293</v>
      </c>
      <c r="J1855" s="2">
        <v>917165642</v>
      </c>
      <c r="K1855" s="2" t="s">
        <v>294</v>
      </c>
      <c r="L1855" s="2" t="s">
        <v>40</v>
      </c>
      <c r="N1855" s="2" t="s">
        <v>1884</v>
      </c>
      <c r="O1855" s="2" t="s">
        <v>188</v>
      </c>
      <c r="P1855" s="2" t="s">
        <v>192</v>
      </c>
      <c r="Q1855" s="2" t="s">
        <v>191</v>
      </c>
      <c r="R1855" s="2">
        <v>1</v>
      </c>
      <c r="S1855" s="2">
        <v>45</v>
      </c>
      <c r="T1855" s="2">
        <v>10.35</v>
      </c>
      <c r="U1855" s="2">
        <v>55.35</v>
      </c>
      <c r="V1855" s="2">
        <f>S1855*50%</f>
        <v>22.5</v>
      </c>
      <c r="W1855" s="5">
        <f t="shared" si="185"/>
        <v>0.5</v>
      </c>
      <c r="Y1855" s="2" t="s">
        <v>118</v>
      </c>
      <c r="Z1855" s="2" t="s">
        <v>191</v>
      </c>
      <c r="AE1855" s="2">
        <f t="shared" si="181"/>
        <v>0</v>
      </c>
      <c r="AF1855" s="2">
        <v>11.246700000000001</v>
      </c>
      <c r="AI1855" s="2">
        <f t="shared" si="182"/>
        <v>0</v>
      </c>
      <c r="AJ1855" s="2">
        <f t="shared" si="183"/>
        <v>22.5</v>
      </c>
      <c r="AK1855" s="5">
        <f t="shared" si="186"/>
        <v>0.5</v>
      </c>
    </row>
    <row r="1856" spans="1:37" x14ac:dyDescent="0.2">
      <c r="A1856" s="2">
        <v>2025</v>
      </c>
      <c r="B1856" s="2">
        <v>10</v>
      </c>
      <c r="C1856" s="2" t="s">
        <v>199</v>
      </c>
      <c r="D1856" s="2" t="s">
        <v>109</v>
      </c>
      <c r="F1856" s="2">
        <v>507541120</v>
      </c>
      <c r="G1856" s="2" t="s">
        <v>40</v>
      </c>
      <c r="H1856" s="2" t="s">
        <v>200</v>
      </c>
      <c r="I1856" s="2" t="s">
        <v>201</v>
      </c>
      <c r="K1856" s="2" t="s">
        <v>202</v>
      </c>
      <c r="L1856" s="2" t="s">
        <v>41</v>
      </c>
      <c r="O1856" s="2" t="s">
        <v>73</v>
      </c>
      <c r="P1856" s="2" t="s">
        <v>74</v>
      </c>
      <c r="Q1856" s="2" t="s">
        <v>75</v>
      </c>
      <c r="R1856" s="2">
        <v>1</v>
      </c>
      <c r="S1856" s="2">
        <v>220</v>
      </c>
      <c r="T1856" s="2">
        <v>50.6</v>
      </c>
      <c r="U1856" s="2">
        <v>270.60000000000002</v>
      </c>
      <c r="V1856" s="2">
        <v>117.453</v>
      </c>
      <c r="W1856" s="5">
        <f t="shared" si="185"/>
        <v>0.46612272727272724</v>
      </c>
      <c r="Y1856" s="2" t="s">
        <v>3256</v>
      </c>
      <c r="Z1856" s="2" t="s">
        <v>76</v>
      </c>
      <c r="AA1856" s="2" t="s">
        <v>77</v>
      </c>
      <c r="AB1856" s="2" t="s">
        <v>78</v>
      </c>
      <c r="AE1856" s="2">
        <f t="shared" si="181"/>
        <v>0</v>
      </c>
      <c r="AF1856" s="2">
        <v>117.453</v>
      </c>
      <c r="AG1856" s="2">
        <v>220</v>
      </c>
      <c r="AI1856" s="2">
        <f t="shared" si="182"/>
        <v>0</v>
      </c>
      <c r="AJ1856" s="2">
        <f t="shared" si="183"/>
        <v>102.547</v>
      </c>
      <c r="AK1856" s="5">
        <f t="shared" si="186"/>
        <v>0.46612272727272724</v>
      </c>
    </row>
    <row r="1857" spans="1:37" x14ac:dyDescent="0.2">
      <c r="A1857" s="2">
        <v>2025</v>
      </c>
      <c r="B1857" s="2">
        <v>10</v>
      </c>
      <c r="C1857" s="2" t="s">
        <v>199</v>
      </c>
      <c r="D1857" s="2" t="s">
        <v>109</v>
      </c>
      <c r="F1857" s="2">
        <v>507541120</v>
      </c>
      <c r="G1857" s="2" t="s">
        <v>40</v>
      </c>
      <c r="H1857" s="2" t="s">
        <v>200</v>
      </c>
      <c r="I1857" s="2" t="s">
        <v>201</v>
      </c>
      <c r="K1857" s="2" t="s">
        <v>202</v>
      </c>
      <c r="O1857" s="2" t="s">
        <v>94</v>
      </c>
      <c r="P1857" s="2" t="s">
        <v>95</v>
      </c>
      <c r="Q1857" s="2" t="s">
        <v>96</v>
      </c>
      <c r="R1857" s="2">
        <v>1</v>
      </c>
      <c r="S1857" s="2">
        <v>1.1399999999999999</v>
      </c>
      <c r="T1857" s="2">
        <v>0.26219999999999999</v>
      </c>
      <c r="U1857" s="2">
        <v>1.4021999999999999</v>
      </c>
      <c r="V1857" s="2">
        <v>1.1399999999999999</v>
      </c>
      <c r="W1857" s="5">
        <f t="shared" si="185"/>
        <v>0</v>
      </c>
      <c r="Y1857" s="2" t="s">
        <v>3256</v>
      </c>
      <c r="Z1857" s="2" t="s">
        <v>97</v>
      </c>
      <c r="AA1857" s="2" t="s">
        <v>77</v>
      </c>
      <c r="AB1857" s="2" t="s">
        <v>94</v>
      </c>
      <c r="AE1857" s="2">
        <f t="shared" si="181"/>
        <v>0</v>
      </c>
      <c r="AI1857" s="2">
        <f t="shared" si="182"/>
        <v>0</v>
      </c>
      <c r="AJ1857" s="2">
        <f t="shared" si="183"/>
        <v>0</v>
      </c>
      <c r="AK1857" s="5">
        <f t="shared" si="186"/>
        <v>0</v>
      </c>
    </row>
    <row r="1858" spans="1:37" x14ac:dyDescent="0.2">
      <c r="A1858" s="2">
        <v>2025</v>
      </c>
      <c r="B1858" s="2">
        <v>10</v>
      </c>
      <c r="C1858" s="2" t="s">
        <v>312</v>
      </c>
      <c r="O1858" s="2" t="s">
        <v>43</v>
      </c>
      <c r="P1858" s="2" t="s">
        <v>165</v>
      </c>
      <c r="Q1858" s="2" t="s">
        <v>166</v>
      </c>
      <c r="R1858" s="2">
        <v>1</v>
      </c>
      <c r="S1858" s="2">
        <v>15</v>
      </c>
      <c r="T1858" s="2">
        <v>3.45</v>
      </c>
      <c r="U1858" s="2">
        <v>18.45</v>
      </c>
      <c r="V1858" s="2">
        <f>7.9612*R1858</f>
        <v>7.9611999999999998</v>
      </c>
      <c r="W1858" s="5">
        <f t="shared" si="185"/>
        <v>0.46925333333333336</v>
      </c>
      <c r="Y1858" s="2" t="s">
        <v>3256</v>
      </c>
      <c r="Z1858" s="2" t="s">
        <v>46</v>
      </c>
      <c r="AA1858" s="2" t="s">
        <v>68</v>
      </c>
      <c r="AB1858" s="2" t="s">
        <v>58</v>
      </c>
      <c r="AE1858" s="2">
        <f t="shared" si="181"/>
        <v>0</v>
      </c>
      <c r="AF1858" s="2">
        <v>7.9611999999999998</v>
      </c>
      <c r="AG1858" s="2">
        <v>14.4</v>
      </c>
      <c r="AI1858" s="2">
        <f t="shared" si="182"/>
        <v>0</v>
      </c>
      <c r="AJ1858" s="2">
        <f t="shared" si="183"/>
        <v>7.0388000000000002</v>
      </c>
      <c r="AK1858" s="5">
        <f t="shared" si="186"/>
        <v>0.46925333333333336</v>
      </c>
    </row>
    <row r="1859" spans="1:37" x14ac:dyDescent="0.2">
      <c r="A1859" s="2">
        <v>2025</v>
      </c>
      <c r="B1859" s="2">
        <v>10</v>
      </c>
      <c r="C1859" s="2" t="s">
        <v>312</v>
      </c>
      <c r="O1859" s="2" t="s">
        <v>170</v>
      </c>
      <c r="P1859" s="2" t="s">
        <v>171</v>
      </c>
      <c r="Q1859" s="2" t="s">
        <v>171</v>
      </c>
      <c r="R1859" s="2">
        <v>1</v>
      </c>
      <c r="S1859" s="2">
        <v>8</v>
      </c>
      <c r="T1859" s="2">
        <v>1.84</v>
      </c>
      <c r="U1859" s="2">
        <v>9.84</v>
      </c>
      <c r="W1859" s="5">
        <f t="shared" si="185"/>
        <v>1</v>
      </c>
      <c r="Y1859" s="2" t="s">
        <v>170</v>
      </c>
      <c r="Z1859" s="2" t="s">
        <v>170</v>
      </c>
      <c r="AE1859" s="2">
        <f t="shared" ref="AE1859:AE1922" si="187">AI1859</f>
        <v>0</v>
      </c>
      <c r="AI1859" s="2">
        <f t="shared" ref="AI1859:AI1922" si="188">AH1859*S1859</f>
        <v>0</v>
      </c>
      <c r="AJ1859" s="2">
        <f t="shared" ref="AJ1859:AJ1922" si="189">S1859-V1859</f>
        <v>8</v>
      </c>
      <c r="AK1859" s="5">
        <f t="shared" si="186"/>
        <v>1</v>
      </c>
    </row>
    <row r="1860" spans="1:37" x14ac:dyDescent="0.2">
      <c r="A1860" s="2">
        <v>2025</v>
      </c>
      <c r="B1860" s="2">
        <v>10</v>
      </c>
      <c r="C1860" s="2" t="s">
        <v>699</v>
      </c>
      <c r="D1860" s="2" t="s">
        <v>38</v>
      </c>
      <c r="E1860" s="2" t="s">
        <v>39</v>
      </c>
      <c r="F1860" s="2">
        <v>508574358</v>
      </c>
      <c r="G1860" s="2" t="s">
        <v>41</v>
      </c>
      <c r="H1860" s="2" t="s">
        <v>700</v>
      </c>
      <c r="I1860" s="2" t="s">
        <v>701</v>
      </c>
      <c r="J1860" s="2">
        <v>917295518</v>
      </c>
      <c r="K1860" s="2" t="s">
        <v>178</v>
      </c>
      <c r="L1860" s="2" t="s">
        <v>41</v>
      </c>
      <c r="O1860" s="2" t="s">
        <v>43</v>
      </c>
      <c r="P1860" s="2" t="s">
        <v>335</v>
      </c>
      <c r="Q1860" s="2" t="s">
        <v>336</v>
      </c>
      <c r="R1860" s="2">
        <v>20</v>
      </c>
      <c r="S1860" s="2">
        <v>60</v>
      </c>
      <c r="T1860" s="2">
        <v>13.8</v>
      </c>
      <c r="U1860" s="2">
        <v>73.8</v>
      </c>
      <c r="V1860" s="2">
        <f>1.1122*R1860</f>
        <v>22.244</v>
      </c>
      <c r="W1860" s="5">
        <f t="shared" si="185"/>
        <v>0.62926666666666664</v>
      </c>
      <c r="Y1860" s="2" t="s">
        <v>3256</v>
      </c>
      <c r="Z1860" s="2" t="s">
        <v>46</v>
      </c>
      <c r="AA1860" s="2" t="s">
        <v>61</v>
      </c>
      <c r="AB1860" s="2" t="s">
        <v>58</v>
      </c>
      <c r="AE1860" s="2">
        <f t="shared" si="187"/>
        <v>0</v>
      </c>
      <c r="AF1860" s="2">
        <v>1.1122000000000001</v>
      </c>
      <c r="AG1860" s="2">
        <v>3</v>
      </c>
      <c r="AI1860" s="2">
        <f t="shared" si="188"/>
        <v>0</v>
      </c>
      <c r="AJ1860" s="2">
        <f t="shared" si="189"/>
        <v>37.756</v>
      </c>
      <c r="AK1860" s="5">
        <f t="shared" si="186"/>
        <v>0.62926666666666664</v>
      </c>
    </row>
    <row r="1861" spans="1:37" x14ac:dyDescent="0.2">
      <c r="A1861" s="2">
        <v>2025</v>
      </c>
      <c r="B1861" s="2">
        <v>10</v>
      </c>
      <c r="C1861" s="2" t="s">
        <v>1498</v>
      </c>
      <c r="O1861" s="2" t="s">
        <v>40</v>
      </c>
      <c r="P1861" s="2" t="s">
        <v>364</v>
      </c>
      <c r="Q1861" s="2" t="s">
        <v>365</v>
      </c>
      <c r="R1861" s="2">
        <v>1</v>
      </c>
      <c r="S1861" s="2">
        <v>8000</v>
      </c>
      <c r="T1861" s="2">
        <v>1840</v>
      </c>
      <c r="U1861" s="2">
        <v>9840</v>
      </c>
      <c r="W1861" s="5">
        <f t="shared" si="185"/>
        <v>1</v>
      </c>
      <c r="Y1861" s="2" t="s">
        <v>120</v>
      </c>
      <c r="AE1861" s="2">
        <f t="shared" si="187"/>
        <v>0</v>
      </c>
      <c r="AI1861" s="2">
        <f t="shared" si="188"/>
        <v>0</v>
      </c>
      <c r="AJ1861" s="2">
        <f t="shared" si="189"/>
        <v>8000</v>
      </c>
      <c r="AK1861" s="5">
        <f t="shared" si="186"/>
        <v>1</v>
      </c>
    </row>
    <row r="1862" spans="1:37" x14ac:dyDescent="0.2">
      <c r="A1862" s="2">
        <v>2025</v>
      </c>
      <c r="B1862" s="2">
        <v>10</v>
      </c>
      <c r="C1862" s="2" t="s">
        <v>1502</v>
      </c>
      <c r="O1862" s="2" t="s">
        <v>115</v>
      </c>
      <c r="P1862" s="2" t="s">
        <v>1594</v>
      </c>
      <c r="Q1862" s="2" t="s">
        <v>1595</v>
      </c>
      <c r="R1862" s="2">
        <v>-1</v>
      </c>
      <c r="S1862" s="2">
        <v>-6680</v>
      </c>
      <c r="T1862" s="2">
        <v>-1536.4</v>
      </c>
      <c r="U1862" s="2">
        <v>-8216.4</v>
      </c>
      <c r="W1862" s="5">
        <f t="shared" si="185"/>
        <v>1</v>
      </c>
      <c r="AE1862" s="2">
        <f t="shared" si="187"/>
        <v>0</v>
      </c>
      <c r="AI1862" s="2">
        <f t="shared" si="188"/>
        <v>0</v>
      </c>
      <c r="AJ1862" s="2">
        <f t="shared" si="189"/>
        <v>-6680</v>
      </c>
      <c r="AK1862" s="5">
        <f t="shared" si="186"/>
        <v>1</v>
      </c>
    </row>
    <row r="1863" spans="1:37" x14ac:dyDescent="0.2">
      <c r="A1863" s="2">
        <v>2025</v>
      </c>
      <c r="B1863" s="2">
        <v>10</v>
      </c>
      <c r="C1863" s="2" t="s">
        <v>1502</v>
      </c>
      <c r="L1863" s="2" t="s">
        <v>40</v>
      </c>
      <c r="O1863" s="2" t="s">
        <v>188</v>
      </c>
      <c r="P1863" s="2" t="s">
        <v>1318</v>
      </c>
      <c r="Q1863" s="2" t="s">
        <v>1319</v>
      </c>
      <c r="R1863" s="2">
        <v>-1</v>
      </c>
      <c r="S1863" s="2">
        <v>0</v>
      </c>
      <c r="T1863" s="2">
        <v>0</v>
      </c>
      <c r="U1863" s="2">
        <v>0</v>
      </c>
      <c r="W1863" s="5">
        <v>0</v>
      </c>
      <c r="Y1863" s="2" t="s">
        <v>118</v>
      </c>
      <c r="Z1863" s="2" t="s">
        <v>1320</v>
      </c>
      <c r="AE1863" s="2">
        <f t="shared" si="187"/>
        <v>0</v>
      </c>
      <c r="AI1863" s="2">
        <f t="shared" si="188"/>
        <v>0</v>
      </c>
      <c r="AJ1863" s="2">
        <f t="shared" si="189"/>
        <v>0</v>
      </c>
      <c r="AK1863" s="5" t="e">
        <f t="shared" si="186"/>
        <v>#DIV/0!</v>
      </c>
    </row>
    <row r="1864" spans="1:37" x14ac:dyDescent="0.2">
      <c r="A1864" s="2">
        <v>2025</v>
      </c>
      <c r="B1864" s="2">
        <v>10</v>
      </c>
      <c r="C1864" s="2" t="s">
        <v>298</v>
      </c>
      <c r="D1864" s="2" t="s">
        <v>38</v>
      </c>
      <c r="E1864" s="2" t="s">
        <v>39</v>
      </c>
      <c r="F1864" s="2">
        <v>510939570</v>
      </c>
      <c r="G1864" s="2" t="s">
        <v>41</v>
      </c>
      <c r="H1864" s="2" t="s">
        <v>299</v>
      </c>
      <c r="I1864" s="2" t="s">
        <v>300</v>
      </c>
      <c r="J1864" s="2">
        <v>962678129</v>
      </c>
      <c r="K1864" s="2" t="s">
        <v>178</v>
      </c>
      <c r="N1864" s="2" t="s">
        <v>1886</v>
      </c>
      <c r="O1864" s="2" t="s">
        <v>115</v>
      </c>
      <c r="P1864" s="2" t="s">
        <v>1887</v>
      </c>
      <c r="Q1864" s="2" t="s">
        <v>1888</v>
      </c>
      <c r="R1864" s="2">
        <v>1</v>
      </c>
      <c r="S1864" s="2">
        <v>1495.7</v>
      </c>
      <c r="T1864" s="2">
        <v>344.01100000000002</v>
      </c>
      <c r="U1864" s="2">
        <v>1839.711</v>
      </c>
      <c r="W1864" s="5">
        <f t="shared" ref="W1864:W1895" si="190">(S1864-V1864)/S1864</f>
        <v>1</v>
      </c>
      <c r="AE1864" s="2">
        <f t="shared" si="187"/>
        <v>0</v>
      </c>
      <c r="AI1864" s="2">
        <f t="shared" si="188"/>
        <v>0</v>
      </c>
      <c r="AJ1864" s="2">
        <f t="shared" si="189"/>
        <v>1495.7</v>
      </c>
      <c r="AK1864" s="5">
        <f t="shared" si="186"/>
        <v>1</v>
      </c>
    </row>
    <row r="1865" spans="1:37" x14ac:dyDescent="0.2">
      <c r="A1865" s="2">
        <v>2025</v>
      </c>
      <c r="B1865" s="2">
        <v>10</v>
      </c>
      <c r="C1865" s="2" t="s">
        <v>298</v>
      </c>
      <c r="D1865" s="2" t="s">
        <v>38</v>
      </c>
      <c r="E1865" s="2" t="s">
        <v>39</v>
      </c>
      <c r="F1865" s="2">
        <v>510939570</v>
      </c>
      <c r="G1865" s="2" t="s">
        <v>41</v>
      </c>
      <c r="H1865" s="2" t="s">
        <v>299</v>
      </c>
      <c r="I1865" s="2" t="s">
        <v>300</v>
      </c>
      <c r="J1865" s="2">
        <v>962678129</v>
      </c>
      <c r="K1865" s="2" t="s">
        <v>178</v>
      </c>
      <c r="L1865" s="2" t="s">
        <v>40</v>
      </c>
      <c r="N1865" s="2" t="s">
        <v>1886</v>
      </c>
      <c r="O1865" s="2" t="s">
        <v>188</v>
      </c>
      <c r="P1865" s="2" t="s">
        <v>189</v>
      </c>
      <c r="Q1865" s="2" t="s">
        <v>190</v>
      </c>
      <c r="R1865" s="2">
        <v>2</v>
      </c>
      <c r="S1865" s="2">
        <v>158</v>
      </c>
      <c r="T1865" s="2">
        <v>36.340000000000003</v>
      </c>
      <c r="U1865" s="2">
        <v>194.34</v>
      </c>
      <c r="W1865" s="5">
        <f t="shared" si="190"/>
        <v>1</v>
      </c>
      <c r="Y1865" s="2" t="s">
        <v>118</v>
      </c>
      <c r="Z1865" s="2" t="s">
        <v>191</v>
      </c>
      <c r="AE1865" s="2">
        <f t="shared" si="187"/>
        <v>0</v>
      </c>
      <c r="AI1865" s="2">
        <f t="shared" si="188"/>
        <v>0</v>
      </c>
      <c r="AJ1865" s="2">
        <f t="shared" si="189"/>
        <v>158</v>
      </c>
      <c r="AK1865" s="5">
        <f t="shared" si="186"/>
        <v>1</v>
      </c>
    </row>
    <row r="1866" spans="1:37" x14ac:dyDescent="0.2">
      <c r="A1866" s="2">
        <v>2025</v>
      </c>
      <c r="B1866" s="2">
        <v>10</v>
      </c>
      <c r="C1866" s="2" t="s">
        <v>298</v>
      </c>
      <c r="D1866" s="2" t="s">
        <v>38</v>
      </c>
      <c r="E1866" s="2" t="s">
        <v>39</v>
      </c>
      <c r="F1866" s="2">
        <v>510939570</v>
      </c>
      <c r="G1866" s="2" t="s">
        <v>41</v>
      </c>
      <c r="H1866" s="2" t="s">
        <v>299</v>
      </c>
      <c r="I1866" s="2" t="s">
        <v>300</v>
      </c>
      <c r="J1866" s="2">
        <v>962678129</v>
      </c>
      <c r="K1866" s="2" t="s">
        <v>178</v>
      </c>
      <c r="L1866" s="2" t="s">
        <v>40</v>
      </c>
      <c r="N1866" s="2" t="s">
        <v>1886</v>
      </c>
      <c r="O1866" s="2" t="s">
        <v>188</v>
      </c>
      <c r="P1866" s="2" t="s">
        <v>192</v>
      </c>
      <c r="Q1866" s="2" t="s">
        <v>191</v>
      </c>
      <c r="R1866" s="2">
        <v>4</v>
      </c>
      <c r="S1866" s="2">
        <v>200</v>
      </c>
      <c r="T1866" s="2">
        <v>46</v>
      </c>
      <c r="U1866" s="2">
        <v>246</v>
      </c>
      <c r="V1866" s="2">
        <f>S1866*50%</f>
        <v>100</v>
      </c>
      <c r="W1866" s="5">
        <f t="shared" si="190"/>
        <v>0.5</v>
      </c>
      <c r="Y1866" s="2" t="s">
        <v>118</v>
      </c>
      <c r="Z1866" s="2" t="s">
        <v>191</v>
      </c>
      <c r="AE1866" s="2">
        <f t="shared" si="187"/>
        <v>0</v>
      </c>
      <c r="AI1866" s="2">
        <f t="shared" si="188"/>
        <v>0</v>
      </c>
      <c r="AJ1866" s="2">
        <f t="shared" si="189"/>
        <v>100</v>
      </c>
      <c r="AK1866" s="5">
        <f t="shared" si="186"/>
        <v>0.5</v>
      </c>
    </row>
    <row r="1867" spans="1:37" x14ac:dyDescent="0.2">
      <c r="A1867" s="2">
        <v>2025</v>
      </c>
      <c r="B1867" s="2">
        <v>10</v>
      </c>
      <c r="C1867" s="2" t="s">
        <v>298</v>
      </c>
      <c r="D1867" s="2" t="s">
        <v>38</v>
      </c>
      <c r="E1867" s="2" t="s">
        <v>39</v>
      </c>
      <c r="F1867" s="2">
        <v>510939570</v>
      </c>
      <c r="G1867" s="2" t="s">
        <v>41</v>
      </c>
      <c r="H1867" s="2" t="s">
        <v>299</v>
      </c>
      <c r="I1867" s="2" t="s">
        <v>300</v>
      </c>
      <c r="J1867" s="2">
        <v>962678129</v>
      </c>
      <c r="K1867" s="2" t="s">
        <v>178</v>
      </c>
      <c r="N1867" s="2" t="s">
        <v>1886</v>
      </c>
      <c r="O1867" s="2" t="s">
        <v>40</v>
      </c>
      <c r="P1867" s="2" t="s">
        <v>364</v>
      </c>
      <c r="Q1867" s="2" t="s">
        <v>365</v>
      </c>
      <c r="R1867" s="2">
        <v>1</v>
      </c>
      <c r="S1867" s="2">
        <v>698.32</v>
      </c>
      <c r="T1867" s="2">
        <v>160.61359999999999</v>
      </c>
      <c r="U1867" s="2">
        <v>858.93360000000007</v>
      </c>
      <c r="W1867" s="5">
        <f t="shared" si="190"/>
        <v>1</v>
      </c>
      <c r="Y1867" s="2" t="s">
        <v>118</v>
      </c>
      <c r="Z1867" s="2" t="s">
        <v>119</v>
      </c>
      <c r="AA1867" s="2" t="s">
        <v>120</v>
      </c>
      <c r="AB1867" s="2" t="s">
        <v>115</v>
      </c>
      <c r="AE1867" s="2">
        <f t="shared" si="187"/>
        <v>0</v>
      </c>
      <c r="AI1867" s="2">
        <f t="shared" si="188"/>
        <v>0</v>
      </c>
      <c r="AJ1867" s="2">
        <f t="shared" si="189"/>
        <v>698.32</v>
      </c>
      <c r="AK1867" s="5">
        <f t="shared" si="186"/>
        <v>1</v>
      </c>
    </row>
    <row r="1868" spans="1:37" x14ac:dyDescent="0.2">
      <c r="A1868" s="2">
        <v>2025</v>
      </c>
      <c r="B1868" s="2">
        <v>10</v>
      </c>
      <c r="C1868" s="2" t="s">
        <v>320</v>
      </c>
      <c r="D1868" s="2" t="s">
        <v>38</v>
      </c>
      <c r="E1868" s="2" t="s">
        <v>39</v>
      </c>
      <c r="F1868" s="2">
        <v>500883262</v>
      </c>
      <c r="G1868" s="2" t="s">
        <v>40</v>
      </c>
      <c r="H1868" s="2" t="s">
        <v>100</v>
      </c>
      <c r="I1868" s="2" t="s">
        <v>321</v>
      </c>
      <c r="K1868" s="2" t="s">
        <v>100</v>
      </c>
      <c r="L1868" s="2" t="s">
        <v>81</v>
      </c>
      <c r="N1868" s="2" t="s">
        <v>1889</v>
      </c>
      <c r="O1868" s="2" t="s">
        <v>43</v>
      </c>
      <c r="P1868" s="2" t="s">
        <v>977</v>
      </c>
      <c r="Q1868" s="2" t="s">
        <v>978</v>
      </c>
      <c r="R1868" s="2">
        <v>18</v>
      </c>
      <c r="S1868" s="2">
        <v>498</v>
      </c>
      <c r="T1868" s="2">
        <v>114.54</v>
      </c>
      <c r="U1868" s="2">
        <v>612.54</v>
      </c>
      <c r="W1868" s="5">
        <f t="shared" si="190"/>
        <v>1</v>
      </c>
      <c r="Y1868" s="2" t="s">
        <v>3256</v>
      </c>
      <c r="Z1868" s="2" t="s">
        <v>46</v>
      </c>
      <c r="AA1868" s="2" t="s">
        <v>61</v>
      </c>
      <c r="AB1868" s="2" t="s">
        <v>58</v>
      </c>
      <c r="AE1868" s="2">
        <f t="shared" si="187"/>
        <v>0</v>
      </c>
      <c r="AI1868" s="2">
        <f t="shared" si="188"/>
        <v>0</v>
      </c>
      <c r="AJ1868" s="2">
        <f t="shared" si="189"/>
        <v>498</v>
      </c>
      <c r="AK1868" s="5">
        <f t="shared" si="186"/>
        <v>1</v>
      </c>
    </row>
    <row r="1869" spans="1:37" x14ac:dyDescent="0.2">
      <c r="A1869" s="2">
        <v>2025</v>
      </c>
      <c r="B1869" s="2">
        <v>10</v>
      </c>
      <c r="C1869" s="2" t="s">
        <v>320</v>
      </c>
      <c r="D1869" s="2" t="s">
        <v>38</v>
      </c>
      <c r="E1869" s="2" t="s">
        <v>39</v>
      </c>
      <c r="F1869" s="2">
        <v>500883262</v>
      </c>
      <c r="G1869" s="2" t="s">
        <v>40</v>
      </c>
      <c r="H1869" s="2" t="s">
        <v>100</v>
      </c>
      <c r="I1869" s="2" t="s">
        <v>321</v>
      </c>
      <c r="K1869" s="2" t="s">
        <v>100</v>
      </c>
      <c r="L1869" s="2" t="s">
        <v>81</v>
      </c>
      <c r="N1869" s="2" t="s">
        <v>1889</v>
      </c>
      <c r="O1869" s="2" t="s">
        <v>43</v>
      </c>
      <c r="P1869" s="2" t="s">
        <v>979</v>
      </c>
      <c r="Q1869" s="2" t="s">
        <v>980</v>
      </c>
      <c r="R1869" s="2">
        <v>18</v>
      </c>
      <c r="S1869" s="2">
        <v>498</v>
      </c>
      <c r="T1869" s="2">
        <v>114.54</v>
      </c>
      <c r="U1869" s="2">
        <v>612.54</v>
      </c>
      <c r="W1869" s="5">
        <f t="shared" si="190"/>
        <v>1</v>
      </c>
      <c r="Y1869" s="2" t="s">
        <v>3256</v>
      </c>
      <c r="Z1869" s="2" t="s">
        <v>46</v>
      </c>
      <c r="AA1869" s="2" t="s">
        <v>61</v>
      </c>
      <c r="AB1869" s="2" t="s">
        <v>58</v>
      </c>
      <c r="AE1869" s="2">
        <f t="shared" si="187"/>
        <v>0</v>
      </c>
      <c r="AI1869" s="2">
        <f t="shared" si="188"/>
        <v>0</v>
      </c>
      <c r="AJ1869" s="2">
        <f t="shared" si="189"/>
        <v>498</v>
      </c>
      <c r="AK1869" s="5">
        <f t="shared" si="186"/>
        <v>1</v>
      </c>
    </row>
    <row r="1870" spans="1:37" x14ac:dyDescent="0.2">
      <c r="A1870" s="2">
        <v>2025</v>
      </c>
      <c r="B1870" s="2">
        <v>10</v>
      </c>
      <c r="C1870" s="2" t="s">
        <v>323</v>
      </c>
      <c r="D1870" s="2" t="s">
        <v>184</v>
      </c>
      <c r="F1870" s="2">
        <v>500048894</v>
      </c>
      <c r="G1870" s="2" t="s">
        <v>40</v>
      </c>
      <c r="H1870" s="2" t="s">
        <v>100</v>
      </c>
      <c r="I1870" s="2" t="s">
        <v>324</v>
      </c>
      <c r="K1870" s="2" t="s">
        <v>100</v>
      </c>
      <c r="L1870" s="2" t="s">
        <v>81</v>
      </c>
      <c r="N1870" s="2" t="s">
        <v>1890</v>
      </c>
      <c r="O1870" s="2" t="s">
        <v>73</v>
      </c>
      <c r="P1870" s="2" t="s">
        <v>919</v>
      </c>
      <c r="Q1870" s="2" t="s">
        <v>75</v>
      </c>
      <c r="R1870" s="2">
        <v>1</v>
      </c>
      <c r="S1870" s="2">
        <v>220</v>
      </c>
      <c r="T1870" s="2">
        <v>50.6</v>
      </c>
      <c r="U1870" s="2">
        <v>270.60000000000002</v>
      </c>
      <c r="V1870" s="2">
        <v>121.0733</v>
      </c>
      <c r="W1870" s="5">
        <f t="shared" si="190"/>
        <v>0.44966681818181814</v>
      </c>
      <c r="Y1870" s="2" t="s">
        <v>3256</v>
      </c>
      <c r="Z1870" s="2" t="s">
        <v>76</v>
      </c>
      <c r="AA1870" s="2" t="s">
        <v>77</v>
      </c>
      <c r="AB1870" s="2" t="s">
        <v>78</v>
      </c>
      <c r="AE1870" s="2">
        <f t="shared" si="187"/>
        <v>0</v>
      </c>
      <c r="AF1870" s="2">
        <v>121.0733</v>
      </c>
      <c r="AG1870" s="2">
        <v>220</v>
      </c>
      <c r="AI1870" s="2">
        <f t="shared" si="188"/>
        <v>0</v>
      </c>
      <c r="AJ1870" s="2">
        <f t="shared" si="189"/>
        <v>98.926699999999997</v>
      </c>
      <c r="AK1870" s="5">
        <f t="shared" si="186"/>
        <v>0.44966681818181814</v>
      </c>
    </row>
    <row r="1871" spans="1:37" x14ac:dyDescent="0.2">
      <c r="A1871" s="2">
        <v>2025</v>
      </c>
      <c r="B1871" s="2">
        <v>10</v>
      </c>
      <c r="C1871" s="2" t="s">
        <v>323</v>
      </c>
      <c r="D1871" s="2" t="s">
        <v>184</v>
      </c>
      <c r="F1871" s="2">
        <v>500048894</v>
      </c>
      <c r="G1871" s="2" t="s">
        <v>40</v>
      </c>
      <c r="H1871" s="2" t="s">
        <v>100</v>
      </c>
      <c r="I1871" s="2" t="s">
        <v>324</v>
      </c>
      <c r="K1871" s="2" t="s">
        <v>100</v>
      </c>
      <c r="L1871" s="2" t="s">
        <v>81</v>
      </c>
      <c r="N1871" s="2" t="s">
        <v>1891</v>
      </c>
      <c r="O1871" s="2" t="s">
        <v>73</v>
      </c>
      <c r="P1871" s="2" t="s">
        <v>1461</v>
      </c>
      <c r="Q1871" s="2" t="s">
        <v>308</v>
      </c>
      <c r="R1871" s="2">
        <v>1</v>
      </c>
      <c r="S1871" s="2">
        <v>220</v>
      </c>
      <c r="T1871" s="2">
        <v>50.6</v>
      </c>
      <c r="U1871" s="2">
        <v>270.60000000000002</v>
      </c>
      <c r="V1871" s="2">
        <v>122.446</v>
      </c>
      <c r="W1871" s="5">
        <f t="shared" si="190"/>
        <v>0.44342727272727273</v>
      </c>
      <c r="Y1871" s="2" t="s">
        <v>3256</v>
      </c>
      <c r="Z1871" s="2" t="s">
        <v>76</v>
      </c>
      <c r="AA1871" s="2" t="s">
        <v>77</v>
      </c>
      <c r="AB1871" s="2" t="s">
        <v>78</v>
      </c>
      <c r="AE1871" s="2">
        <f t="shared" si="187"/>
        <v>0</v>
      </c>
      <c r="AF1871" s="2">
        <v>122.446</v>
      </c>
      <c r="AG1871" s="2">
        <v>230</v>
      </c>
      <c r="AI1871" s="2">
        <f t="shared" si="188"/>
        <v>0</v>
      </c>
      <c r="AJ1871" s="2">
        <f t="shared" si="189"/>
        <v>97.554000000000002</v>
      </c>
      <c r="AK1871" s="5">
        <f t="shared" si="186"/>
        <v>0.44342727272727273</v>
      </c>
    </row>
    <row r="1872" spans="1:37" x14ac:dyDescent="0.2">
      <c r="A1872" s="2">
        <v>2025</v>
      </c>
      <c r="B1872" s="2">
        <v>10</v>
      </c>
      <c r="C1872" s="2" t="s">
        <v>323</v>
      </c>
      <c r="D1872" s="2" t="s">
        <v>184</v>
      </c>
      <c r="F1872" s="2">
        <v>500048894</v>
      </c>
      <c r="G1872" s="2" t="s">
        <v>40</v>
      </c>
      <c r="H1872" s="2" t="s">
        <v>100</v>
      </c>
      <c r="I1872" s="2" t="s">
        <v>324</v>
      </c>
      <c r="K1872" s="2" t="s">
        <v>100</v>
      </c>
      <c r="L1872" s="2" t="s">
        <v>81</v>
      </c>
      <c r="N1872" s="2" t="s">
        <v>1892</v>
      </c>
      <c r="O1872" s="2" t="s">
        <v>73</v>
      </c>
      <c r="P1872" s="2" t="s">
        <v>326</v>
      </c>
      <c r="Q1872" s="2" t="s">
        <v>80</v>
      </c>
      <c r="R1872" s="2">
        <v>1</v>
      </c>
      <c r="S1872" s="2">
        <v>200</v>
      </c>
      <c r="T1872" s="2">
        <v>46</v>
      </c>
      <c r="U1872" s="2">
        <v>246</v>
      </c>
      <c r="V1872" s="2">
        <f>110.68*R1872</f>
        <v>110.68</v>
      </c>
      <c r="W1872" s="5">
        <f t="shared" si="190"/>
        <v>0.44659999999999994</v>
      </c>
      <c r="Y1872" s="2" t="s">
        <v>3256</v>
      </c>
      <c r="Z1872" s="2" t="s">
        <v>76</v>
      </c>
      <c r="AA1872" s="2" t="s">
        <v>77</v>
      </c>
      <c r="AB1872" s="2" t="s">
        <v>78</v>
      </c>
      <c r="AE1872" s="2">
        <f t="shared" si="187"/>
        <v>0</v>
      </c>
      <c r="AF1872" s="2">
        <v>110.68</v>
      </c>
      <c r="AG1872" s="2">
        <v>210</v>
      </c>
      <c r="AI1872" s="2">
        <f t="shared" si="188"/>
        <v>0</v>
      </c>
      <c r="AJ1872" s="2">
        <f t="shared" si="189"/>
        <v>89.32</v>
      </c>
      <c r="AK1872" s="5">
        <f t="shared" si="186"/>
        <v>0.44659999999999994</v>
      </c>
    </row>
    <row r="1873" spans="1:37" x14ac:dyDescent="0.2">
      <c r="A1873" s="2">
        <v>2025</v>
      </c>
      <c r="B1873" s="2">
        <v>10</v>
      </c>
      <c r="C1873" s="2" t="s">
        <v>323</v>
      </c>
      <c r="D1873" s="2" t="s">
        <v>184</v>
      </c>
      <c r="F1873" s="2">
        <v>500048894</v>
      </c>
      <c r="G1873" s="2" t="s">
        <v>40</v>
      </c>
      <c r="H1873" s="2" t="s">
        <v>100</v>
      </c>
      <c r="I1873" s="2" t="s">
        <v>324</v>
      </c>
      <c r="K1873" s="2" t="s">
        <v>100</v>
      </c>
      <c r="L1873" s="2" t="s">
        <v>81</v>
      </c>
      <c r="N1873" s="2" t="s">
        <v>1890</v>
      </c>
      <c r="O1873" s="2" t="s">
        <v>94</v>
      </c>
      <c r="P1873" s="2" t="s">
        <v>95</v>
      </c>
      <c r="Q1873" s="2" t="s">
        <v>96</v>
      </c>
      <c r="R1873" s="2">
        <v>3</v>
      </c>
      <c r="S1873" s="2">
        <v>3.42</v>
      </c>
      <c r="T1873" s="2">
        <v>0.78659999999999997</v>
      </c>
      <c r="U1873" s="2">
        <v>4.2065999999999999</v>
      </c>
      <c r="V1873" s="2">
        <v>3.42</v>
      </c>
      <c r="W1873" s="5">
        <f t="shared" si="190"/>
        <v>0</v>
      </c>
      <c r="Y1873" s="2" t="s">
        <v>3256</v>
      </c>
      <c r="Z1873" s="2" t="s">
        <v>97</v>
      </c>
      <c r="AA1873" s="2" t="s">
        <v>77</v>
      </c>
      <c r="AB1873" s="2" t="s">
        <v>94</v>
      </c>
      <c r="AE1873" s="2">
        <f t="shared" si="187"/>
        <v>0</v>
      </c>
      <c r="AF1873" s="2">
        <v>1.1399999999999999</v>
      </c>
      <c r="AG1873" s="2">
        <v>1.1399999999999999</v>
      </c>
      <c r="AI1873" s="2">
        <f t="shared" si="188"/>
        <v>0</v>
      </c>
      <c r="AJ1873" s="2">
        <f t="shared" si="189"/>
        <v>0</v>
      </c>
      <c r="AK1873" s="5">
        <f t="shared" si="186"/>
        <v>0</v>
      </c>
    </row>
    <row r="1874" spans="1:37" x14ac:dyDescent="0.2">
      <c r="A1874" s="2">
        <v>2025</v>
      </c>
      <c r="B1874" s="2">
        <v>10</v>
      </c>
      <c r="C1874" s="2" t="s">
        <v>1893</v>
      </c>
      <c r="L1874" s="2" t="s">
        <v>40</v>
      </c>
      <c r="O1874" s="2" t="s">
        <v>188</v>
      </c>
      <c r="P1874" s="2" t="s">
        <v>189</v>
      </c>
      <c r="Q1874" s="2" t="s">
        <v>190</v>
      </c>
      <c r="R1874" s="2">
        <v>1</v>
      </c>
      <c r="S1874" s="2">
        <v>54</v>
      </c>
      <c r="T1874" s="2">
        <v>12.42</v>
      </c>
      <c r="U1874" s="2">
        <v>66.42</v>
      </c>
      <c r="W1874" s="5">
        <f t="shared" si="190"/>
        <v>1</v>
      </c>
      <c r="Y1874" s="2" t="s">
        <v>118</v>
      </c>
      <c r="Z1874" s="2" t="s">
        <v>191</v>
      </c>
      <c r="AE1874" s="2">
        <f t="shared" si="187"/>
        <v>0</v>
      </c>
      <c r="AI1874" s="2">
        <f t="shared" si="188"/>
        <v>0</v>
      </c>
      <c r="AJ1874" s="2">
        <f t="shared" si="189"/>
        <v>54</v>
      </c>
      <c r="AK1874" s="5">
        <f t="shared" si="186"/>
        <v>1</v>
      </c>
    </row>
    <row r="1875" spans="1:37" x14ac:dyDescent="0.2">
      <c r="A1875" s="2">
        <v>2025</v>
      </c>
      <c r="B1875" s="2">
        <v>10</v>
      </c>
      <c r="C1875" s="2" t="s">
        <v>1893</v>
      </c>
      <c r="L1875" s="2" t="s">
        <v>40</v>
      </c>
      <c r="O1875" s="2" t="s">
        <v>188</v>
      </c>
      <c r="P1875" s="2" t="s">
        <v>192</v>
      </c>
      <c r="Q1875" s="2" t="s">
        <v>191</v>
      </c>
      <c r="R1875" s="2">
        <v>1.5</v>
      </c>
      <c r="S1875" s="2">
        <v>75</v>
      </c>
      <c r="T1875" s="2">
        <v>17.25</v>
      </c>
      <c r="U1875" s="2">
        <v>92.25</v>
      </c>
      <c r="V1875" s="2">
        <f>S1875*50%</f>
        <v>37.5</v>
      </c>
      <c r="W1875" s="5">
        <f t="shared" si="190"/>
        <v>0.5</v>
      </c>
      <c r="Y1875" s="2" t="s">
        <v>118</v>
      </c>
      <c r="Z1875" s="2" t="s">
        <v>191</v>
      </c>
      <c r="AE1875" s="2">
        <f t="shared" si="187"/>
        <v>0</v>
      </c>
      <c r="AI1875" s="2">
        <f t="shared" si="188"/>
        <v>0</v>
      </c>
      <c r="AJ1875" s="2">
        <f t="shared" si="189"/>
        <v>37.5</v>
      </c>
      <c r="AK1875" s="5">
        <f t="shared" si="186"/>
        <v>0.5</v>
      </c>
    </row>
    <row r="1876" spans="1:37" x14ac:dyDescent="0.2">
      <c r="A1876" s="2">
        <v>2025</v>
      </c>
      <c r="B1876" s="2">
        <v>10</v>
      </c>
      <c r="C1876" s="2" t="s">
        <v>333</v>
      </c>
      <c r="D1876" s="2" t="s">
        <v>109</v>
      </c>
      <c r="E1876" s="2" t="s">
        <v>39</v>
      </c>
      <c r="F1876" s="2">
        <v>513493557</v>
      </c>
      <c r="G1876" s="2" t="s">
        <v>41</v>
      </c>
      <c r="H1876" s="2" t="s">
        <v>280</v>
      </c>
      <c r="I1876" s="2" t="s">
        <v>334</v>
      </c>
      <c r="K1876" s="2" t="s">
        <v>178</v>
      </c>
      <c r="L1876" s="2" t="s">
        <v>41</v>
      </c>
      <c r="O1876" s="2" t="s">
        <v>43</v>
      </c>
      <c r="P1876" s="2" t="s">
        <v>584</v>
      </c>
      <c r="Q1876" s="2" t="s">
        <v>585</v>
      </c>
      <c r="R1876" s="2">
        <v>4</v>
      </c>
      <c r="S1876" s="2">
        <v>9.6</v>
      </c>
      <c r="T1876" s="2">
        <v>2.2080000000000002</v>
      </c>
      <c r="U1876" s="2">
        <v>11.808</v>
      </c>
      <c r="V1876" s="2">
        <f>1.4114*R1876</f>
        <v>5.6456</v>
      </c>
      <c r="W1876" s="5">
        <f t="shared" si="190"/>
        <v>0.41191666666666665</v>
      </c>
      <c r="Y1876" s="2" t="s">
        <v>3256</v>
      </c>
      <c r="Z1876" s="2" t="s">
        <v>46</v>
      </c>
      <c r="AA1876" s="2" t="s">
        <v>61</v>
      </c>
      <c r="AB1876" s="2" t="s">
        <v>58</v>
      </c>
      <c r="AE1876" s="2">
        <f t="shared" si="187"/>
        <v>0</v>
      </c>
      <c r="AF1876" s="2">
        <v>1.4114</v>
      </c>
      <c r="AG1876" s="2">
        <v>3</v>
      </c>
      <c r="AI1876" s="2">
        <f t="shared" si="188"/>
        <v>0</v>
      </c>
      <c r="AJ1876" s="2">
        <f t="shared" si="189"/>
        <v>3.9543999999999997</v>
      </c>
      <c r="AK1876" s="5">
        <f t="shared" si="186"/>
        <v>0.41191666666666665</v>
      </c>
    </row>
    <row r="1877" spans="1:37" x14ac:dyDescent="0.2">
      <c r="A1877" s="2">
        <v>2025</v>
      </c>
      <c r="B1877" s="2">
        <v>10</v>
      </c>
      <c r="C1877" s="2" t="s">
        <v>333</v>
      </c>
      <c r="D1877" s="2" t="s">
        <v>109</v>
      </c>
      <c r="E1877" s="2" t="s">
        <v>39</v>
      </c>
      <c r="F1877" s="2">
        <v>513493557</v>
      </c>
      <c r="G1877" s="2" t="s">
        <v>41</v>
      </c>
      <c r="H1877" s="2" t="s">
        <v>280</v>
      </c>
      <c r="I1877" s="2" t="s">
        <v>334</v>
      </c>
      <c r="K1877" s="2" t="s">
        <v>178</v>
      </c>
      <c r="L1877" s="2" t="s">
        <v>41</v>
      </c>
      <c r="O1877" s="2" t="s">
        <v>43</v>
      </c>
      <c r="P1877" s="2" t="s">
        <v>507</v>
      </c>
      <c r="Q1877" s="2" t="s">
        <v>508</v>
      </c>
      <c r="R1877" s="2">
        <v>20</v>
      </c>
      <c r="S1877" s="2">
        <v>18</v>
      </c>
      <c r="T1877" s="2">
        <v>4.1400000000000006</v>
      </c>
      <c r="U1877" s="2">
        <v>22.14</v>
      </c>
      <c r="W1877" s="5">
        <f t="shared" si="190"/>
        <v>1</v>
      </c>
      <c r="Y1877" s="2" t="s">
        <v>3256</v>
      </c>
      <c r="Z1877" s="2" t="s">
        <v>46</v>
      </c>
      <c r="AA1877" s="2" t="s">
        <v>61</v>
      </c>
      <c r="AB1877" s="2" t="s">
        <v>58</v>
      </c>
      <c r="AE1877" s="2">
        <f t="shared" si="187"/>
        <v>0</v>
      </c>
      <c r="AI1877" s="2">
        <f t="shared" si="188"/>
        <v>0</v>
      </c>
      <c r="AJ1877" s="2">
        <f t="shared" si="189"/>
        <v>18</v>
      </c>
      <c r="AK1877" s="5">
        <f t="shared" si="186"/>
        <v>1</v>
      </c>
    </row>
    <row r="1878" spans="1:37" x14ac:dyDescent="0.2">
      <c r="A1878" s="2">
        <v>2025</v>
      </c>
      <c r="B1878" s="2">
        <v>10</v>
      </c>
      <c r="C1878" s="2" t="s">
        <v>737</v>
      </c>
      <c r="D1878" s="2" t="s">
        <v>109</v>
      </c>
      <c r="F1878" s="2">
        <v>502757396</v>
      </c>
      <c r="G1878" s="2" t="s">
        <v>40</v>
      </c>
      <c r="H1878" s="2" t="s">
        <v>100</v>
      </c>
      <c r="I1878" s="2" t="s">
        <v>738</v>
      </c>
      <c r="K1878" s="2" t="s">
        <v>100</v>
      </c>
      <c r="L1878" s="2" t="s">
        <v>81</v>
      </c>
      <c r="O1878" s="2" t="s">
        <v>73</v>
      </c>
      <c r="P1878" s="2" t="s">
        <v>74</v>
      </c>
      <c r="Q1878" s="2" t="s">
        <v>75</v>
      </c>
      <c r="R1878" s="2">
        <v>1</v>
      </c>
      <c r="S1878" s="2">
        <v>220</v>
      </c>
      <c r="T1878" s="2">
        <v>50.6</v>
      </c>
      <c r="U1878" s="2">
        <v>270.60000000000002</v>
      </c>
      <c r="V1878" s="2">
        <v>117.453</v>
      </c>
      <c r="W1878" s="5">
        <f t="shared" si="190"/>
        <v>0.46612272727272724</v>
      </c>
      <c r="Y1878" s="2" t="s">
        <v>3256</v>
      </c>
      <c r="Z1878" s="2" t="s">
        <v>76</v>
      </c>
      <c r="AA1878" s="2" t="s">
        <v>77</v>
      </c>
      <c r="AB1878" s="2" t="s">
        <v>78</v>
      </c>
      <c r="AE1878" s="2">
        <f t="shared" si="187"/>
        <v>0</v>
      </c>
      <c r="AF1878" s="2">
        <v>117.453</v>
      </c>
      <c r="AG1878" s="2">
        <v>220</v>
      </c>
      <c r="AI1878" s="2">
        <f t="shared" si="188"/>
        <v>0</v>
      </c>
      <c r="AJ1878" s="2">
        <f t="shared" si="189"/>
        <v>102.547</v>
      </c>
      <c r="AK1878" s="5">
        <f t="shared" si="186"/>
        <v>0.46612272727272724</v>
      </c>
    </row>
    <row r="1879" spans="1:37" x14ac:dyDescent="0.2">
      <c r="A1879" s="2">
        <v>2025</v>
      </c>
      <c r="B1879" s="2">
        <v>10</v>
      </c>
      <c r="C1879" s="2" t="s">
        <v>737</v>
      </c>
      <c r="D1879" s="2" t="s">
        <v>109</v>
      </c>
      <c r="F1879" s="2">
        <v>502757396</v>
      </c>
      <c r="G1879" s="2" t="s">
        <v>40</v>
      </c>
      <c r="H1879" s="2" t="s">
        <v>100</v>
      </c>
      <c r="I1879" s="2" t="s">
        <v>738</v>
      </c>
      <c r="K1879" s="2" t="s">
        <v>100</v>
      </c>
      <c r="L1879" s="2" t="s">
        <v>81</v>
      </c>
      <c r="O1879" s="2" t="s">
        <v>94</v>
      </c>
      <c r="P1879" s="2" t="s">
        <v>95</v>
      </c>
      <c r="Q1879" s="2" t="s">
        <v>96</v>
      </c>
      <c r="R1879" s="2">
        <v>1</v>
      </c>
      <c r="S1879" s="2">
        <v>1.1399999999999999</v>
      </c>
      <c r="T1879" s="2">
        <v>0.26219999999999999</v>
      </c>
      <c r="U1879" s="2">
        <v>1.4021999999999999</v>
      </c>
      <c r="V1879" s="2">
        <v>1.1399999999999999</v>
      </c>
      <c r="W1879" s="5">
        <f t="shared" si="190"/>
        <v>0</v>
      </c>
      <c r="Y1879" s="2" t="s">
        <v>3256</v>
      </c>
      <c r="Z1879" s="2" t="s">
        <v>97</v>
      </c>
      <c r="AA1879" s="2" t="s">
        <v>77</v>
      </c>
      <c r="AB1879" s="2" t="s">
        <v>94</v>
      </c>
      <c r="AE1879" s="2">
        <f t="shared" si="187"/>
        <v>0</v>
      </c>
      <c r="AF1879" s="2">
        <v>1.1399999999999999</v>
      </c>
      <c r="AG1879" s="2">
        <v>1.1399999999999999</v>
      </c>
      <c r="AI1879" s="2">
        <f t="shared" si="188"/>
        <v>0</v>
      </c>
      <c r="AJ1879" s="2">
        <f t="shared" si="189"/>
        <v>0</v>
      </c>
      <c r="AK1879" s="5">
        <f t="shared" si="186"/>
        <v>0</v>
      </c>
    </row>
    <row r="1880" spans="1:37" x14ac:dyDescent="0.2">
      <c r="A1880" s="2">
        <v>2025</v>
      </c>
      <c r="B1880" s="2">
        <v>10</v>
      </c>
      <c r="C1880" s="2" t="s">
        <v>1360</v>
      </c>
      <c r="O1880" s="2" t="s">
        <v>115</v>
      </c>
      <c r="P1880" s="2" t="s">
        <v>1894</v>
      </c>
      <c r="Q1880" s="2" t="s">
        <v>1895</v>
      </c>
      <c r="R1880" s="2">
        <v>2</v>
      </c>
      <c r="S1880" s="2">
        <v>438.9</v>
      </c>
      <c r="T1880" s="2">
        <v>100.947</v>
      </c>
      <c r="U1880" s="2">
        <v>539.84699999999998</v>
      </c>
      <c r="W1880" s="5">
        <f t="shared" si="190"/>
        <v>1</v>
      </c>
      <c r="AE1880" s="2">
        <f t="shared" si="187"/>
        <v>0</v>
      </c>
      <c r="AI1880" s="2">
        <f t="shared" si="188"/>
        <v>0</v>
      </c>
      <c r="AJ1880" s="2">
        <f t="shared" si="189"/>
        <v>438.9</v>
      </c>
      <c r="AK1880" s="5">
        <f t="shared" si="186"/>
        <v>1</v>
      </c>
    </row>
    <row r="1881" spans="1:37" x14ac:dyDescent="0.2">
      <c r="A1881" s="2">
        <v>2025</v>
      </c>
      <c r="B1881" s="2">
        <v>10</v>
      </c>
      <c r="C1881" s="2" t="s">
        <v>1360</v>
      </c>
      <c r="O1881" s="2" t="s">
        <v>115</v>
      </c>
      <c r="P1881" s="2" t="s">
        <v>785</v>
      </c>
      <c r="Q1881" s="2" t="s">
        <v>786</v>
      </c>
      <c r="R1881" s="2">
        <v>2</v>
      </c>
      <c r="S1881" s="2">
        <v>153.34</v>
      </c>
      <c r="T1881" s="2">
        <v>35.2682</v>
      </c>
      <c r="U1881" s="2">
        <v>188.60820000000001</v>
      </c>
      <c r="W1881" s="5">
        <f t="shared" si="190"/>
        <v>1</v>
      </c>
      <c r="AE1881" s="2">
        <f t="shared" si="187"/>
        <v>0</v>
      </c>
      <c r="AI1881" s="2">
        <f t="shared" si="188"/>
        <v>0</v>
      </c>
      <c r="AJ1881" s="2">
        <f t="shared" si="189"/>
        <v>153.34</v>
      </c>
      <c r="AK1881" s="5">
        <f t="shared" si="186"/>
        <v>1</v>
      </c>
    </row>
    <row r="1882" spans="1:37" x14ac:dyDescent="0.2">
      <c r="A1882" s="2">
        <v>2025</v>
      </c>
      <c r="B1882" s="2">
        <v>10</v>
      </c>
      <c r="C1882" s="2" t="s">
        <v>1360</v>
      </c>
      <c r="O1882" s="2" t="s">
        <v>115</v>
      </c>
      <c r="P1882" s="2" t="s">
        <v>565</v>
      </c>
      <c r="Q1882" s="2" t="s">
        <v>566</v>
      </c>
      <c r="R1882" s="2">
        <v>4</v>
      </c>
      <c r="S1882" s="2">
        <v>57.15</v>
      </c>
      <c r="T1882" s="2">
        <v>13.144500000000001</v>
      </c>
      <c r="U1882" s="2">
        <v>70.294499999999999</v>
      </c>
      <c r="W1882" s="5">
        <f t="shared" si="190"/>
        <v>1</v>
      </c>
      <c r="AE1882" s="2">
        <f t="shared" si="187"/>
        <v>0</v>
      </c>
      <c r="AI1882" s="2">
        <f t="shared" si="188"/>
        <v>0</v>
      </c>
      <c r="AJ1882" s="2">
        <f t="shared" si="189"/>
        <v>57.15</v>
      </c>
      <c r="AK1882" s="5">
        <f t="shared" si="186"/>
        <v>1</v>
      </c>
    </row>
    <row r="1883" spans="1:37" x14ac:dyDescent="0.2">
      <c r="A1883" s="2">
        <v>2025</v>
      </c>
      <c r="B1883" s="2">
        <v>10</v>
      </c>
      <c r="C1883" s="2" t="s">
        <v>1360</v>
      </c>
      <c r="O1883" s="2" t="s">
        <v>115</v>
      </c>
      <c r="P1883" s="2" t="s">
        <v>911</v>
      </c>
      <c r="Q1883" s="2" t="s">
        <v>912</v>
      </c>
      <c r="R1883" s="2">
        <v>1</v>
      </c>
      <c r="S1883" s="2">
        <v>699.3</v>
      </c>
      <c r="T1883" s="2">
        <v>160.839</v>
      </c>
      <c r="U1883" s="2">
        <v>860.1389999999999</v>
      </c>
      <c r="W1883" s="5">
        <f t="shared" si="190"/>
        <v>1</v>
      </c>
      <c r="AE1883" s="2">
        <f t="shared" si="187"/>
        <v>0</v>
      </c>
      <c r="AI1883" s="2">
        <f t="shared" si="188"/>
        <v>0</v>
      </c>
      <c r="AJ1883" s="2">
        <f t="shared" si="189"/>
        <v>699.3</v>
      </c>
      <c r="AK1883" s="5">
        <f t="shared" si="186"/>
        <v>1</v>
      </c>
    </row>
    <row r="1884" spans="1:37" x14ac:dyDescent="0.2">
      <c r="A1884" s="2">
        <v>2025</v>
      </c>
      <c r="B1884" s="2">
        <v>10</v>
      </c>
      <c r="C1884" s="2" t="s">
        <v>1360</v>
      </c>
      <c r="L1884" s="2" t="s">
        <v>40</v>
      </c>
      <c r="O1884" s="2" t="s">
        <v>188</v>
      </c>
      <c r="P1884" s="2" t="s">
        <v>189</v>
      </c>
      <c r="Q1884" s="2" t="s">
        <v>190</v>
      </c>
      <c r="R1884" s="2">
        <v>1</v>
      </c>
      <c r="S1884" s="2">
        <v>55</v>
      </c>
      <c r="T1884" s="2">
        <v>12.65</v>
      </c>
      <c r="U1884" s="2">
        <v>67.650000000000006</v>
      </c>
      <c r="W1884" s="5">
        <f t="shared" si="190"/>
        <v>1</v>
      </c>
      <c r="Y1884" s="2" t="s">
        <v>118</v>
      </c>
      <c r="Z1884" s="2" t="s">
        <v>191</v>
      </c>
      <c r="AE1884" s="2">
        <f t="shared" si="187"/>
        <v>0</v>
      </c>
      <c r="AI1884" s="2">
        <f t="shared" si="188"/>
        <v>0</v>
      </c>
      <c r="AJ1884" s="2">
        <f t="shared" si="189"/>
        <v>55</v>
      </c>
      <c r="AK1884" s="5">
        <f t="shared" si="186"/>
        <v>1</v>
      </c>
    </row>
    <row r="1885" spans="1:37" x14ac:dyDescent="0.2">
      <c r="A1885" s="2">
        <v>2025</v>
      </c>
      <c r="B1885" s="2">
        <v>10</v>
      </c>
      <c r="C1885" s="2" t="s">
        <v>1360</v>
      </c>
      <c r="L1885" s="2" t="s">
        <v>40</v>
      </c>
      <c r="O1885" s="2" t="s">
        <v>188</v>
      </c>
      <c r="P1885" s="2" t="s">
        <v>192</v>
      </c>
      <c r="Q1885" s="2" t="s">
        <v>191</v>
      </c>
      <c r="R1885" s="2">
        <v>1</v>
      </c>
      <c r="S1885" s="2">
        <v>50</v>
      </c>
      <c r="T1885" s="2">
        <v>11.5</v>
      </c>
      <c r="U1885" s="2">
        <v>61.5</v>
      </c>
      <c r="V1885" s="2">
        <f>S1885*50%</f>
        <v>25</v>
      </c>
      <c r="W1885" s="5">
        <f t="shared" si="190"/>
        <v>0.5</v>
      </c>
      <c r="Y1885" s="2" t="s">
        <v>118</v>
      </c>
      <c r="Z1885" s="2" t="s">
        <v>191</v>
      </c>
      <c r="AE1885" s="2">
        <f t="shared" si="187"/>
        <v>0</v>
      </c>
      <c r="AI1885" s="2">
        <f t="shared" si="188"/>
        <v>0</v>
      </c>
      <c r="AJ1885" s="2">
        <f t="shared" si="189"/>
        <v>25</v>
      </c>
      <c r="AK1885" s="5">
        <f t="shared" si="186"/>
        <v>0.5</v>
      </c>
    </row>
    <row r="1886" spans="1:37" x14ac:dyDescent="0.2">
      <c r="A1886" s="2">
        <v>2025</v>
      </c>
      <c r="B1886" s="2">
        <v>10</v>
      </c>
      <c r="C1886" s="2" t="s">
        <v>1896</v>
      </c>
      <c r="O1886" s="2" t="s">
        <v>115</v>
      </c>
      <c r="P1886" s="2" t="s">
        <v>785</v>
      </c>
      <c r="Q1886" s="2" t="s">
        <v>786</v>
      </c>
      <c r="R1886" s="2">
        <v>2</v>
      </c>
      <c r="S1886" s="2">
        <v>153.34</v>
      </c>
      <c r="T1886" s="2">
        <v>35.2682</v>
      </c>
      <c r="U1886" s="2">
        <v>188.60820000000001</v>
      </c>
      <c r="W1886" s="5">
        <f t="shared" si="190"/>
        <v>1</v>
      </c>
      <c r="AE1886" s="2">
        <f t="shared" si="187"/>
        <v>0</v>
      </c>
      <c r="AI1886" s="2">
        <f t="shared" si="188"/>
        <v>0</v>
      </c>
      <c r="AJ1886" s="2">
        <f t="shared" si="189"/>
        <v>153.34</v>
      </c>
      <c r="AK1886" s="5">
        <f t="shared" si="186"/>
        <v>1</v>
      </c>
    </row>
    <row r="1887" spans="1:37" x14ac:dyDescent="0.2">
      <c r="A1887" s="2">
        <v>2025</v>
      </c>
      <c r="B1887" s="2">
        <v>10</v>
      </c>
      <c r="C1887" s="2" t="s">
        <v>1516</v>
      </c>
      <c r="D1887" s="2" t="s">
        <v>38</v>
      </c>
      <c r="E1887" s="2" t="s">
        <v>39</v>
      </c>
      <c r="F1887" s="2">
        <v>505483335</v>
      </c>
      <c r="G1887" s="2" t="s">
        <v>40</v>
      </c>
      <c r="H1887" s="2" t="s">
        <v>1517</v>
      </c>
      <c r="I1887" s="2" t="s">
        <v>1518</v>
      </c>
      <c r="J1887" s="2">
        <v>961386655</v>
      </c>
      <c r="K1887" s="2" t="s">
        <v>134</v>
      </c>
      <c r="L1887" s="2" t="s">
        <v>40</v>
      </c>
      <c r="N1887" s="2" t="s">
        <v>1897</v>
      </c>
      <c r="O1887" s="2" t="s">
        <v>85</v>
      </c>
      <c r="P1887" s="2" t="s">
        <v>269</v>
      </c>
      <c r="Q1887" s="2" t="s">
        <v>270</v>
      </c>
      <c r="R1887" s="2">
        <v>1</v>
      </c>
      <c r="S1887" s="2">
        <v>4.8</v>
      </c>
      <c r="T1887" s="2">
        <v>1.1040000000000001</v>
      </c>
      <c r="U1887" s="2">
        <v>5.9039999999999999</v>
      </c>
      <c r="V1887" s="2">
        <v>2.4154</v>
      </c>
      <c r="W1887" s="5">
        <f t="shared" si="190"/>
        <v>0.49679166666666663</v>
      </c>
      <c r="Y1887" s="2" t="s">
        <v>3256</v>
      </c>
      <c r="Z1887" s="2" t="s">
        <v>88</v>
      </c>
      <c r="AA1887" s="2" t="s">
        <v>91</v>
      </c>
      <c r="AB1887" s="2" t="s">
        <v>85</v>
      </c>
      <c r="AE1887" s="2">
        <f t="shared" si="187"/>
        <v>0</v>
      </c>
      <c r="AI1887" s="2">
        <f t="shared" si="188"/>
        <v>0</v>
      </c>
      <c r="AJ1887" s="2">
        <f t="shared" si="189"/>
        <v>2.3845999999999998</v>
      </c>
      <c r="AK1887" s="5">
        <f t="shared" si="186"/>
        <v>0.49679166666666663</v>
      </c>
    </row>
    <row r="1888" spans="1:37" x14ac:dyDescent="0.2">
      <c r="A1888" s="2">
        <v>2025</v>
      </c>
      <c r="B1888" s="2">
        <v>10</v>
      </c>
      <c r="C1888" s="2" t="s">
        <v>750</v>
      </c>
      <c r="D1888" s="2" t="s">
        <v>109</v>
      </c>
      <c r="E1888" s="2" t="s">
        <v>39</v>
      </c>
      <c r="F1888" s="2">
        <v>509181163</v>
      </c>
      <c r="G1888" s="2" t="s">
        <v>40</v>
      </c>
      <c r="H1888" s="2" t="s">
        <v>751</v>
      </c>
      <c r="I1888" s="2" t="s">
        <v>752</v>
      </c>
      <c r="J1888" s="2">
        <v>962372760</v>
      </c>
      <c r="K1888" s="2" t="s">
        <v>202</v>
      </c>
      <c r="O1888" s="2" t="s">
        <v>115</v>
      </c>
      <c r="P1888" s="2" t="s">
        <v>1898</v>
      </c>
      <c r="Q1888" s="2" t="s">
        <v>1899</v>
      </c>
      <c r="R1888" s="2">
        <v>1</v>
      </c>
      <c r="S1888" s="2">
        <v>913.93</v>
      </c>
      <c r="T1888" s="2">
        <v>210.2039</v>
      </c>
      <c r="U1888" s="2">
        <v>1124.1339</v>
      </c>
      <c r="W1888" s="5">
        <f t="shared" si="190"/>
        <v>1</v>
      </c>
      <c r="AE1888" s="2">
        <f t="shared" si="187"/>
        <v>0</v>
      </c>
      <c r="AI1888" s="2">
        <f t="shared" si="188"/>
        <v>0</v>
      </c>
      <c r="AJ1888" s="2">
        <f t="shared" si="189"/>
        <v>913.93</v>
      </c>
      <c r="AK1888" s="5">
        <f t="shared" si="186"/>
        <v>1</v>
      </c>
    </row>
    <row r="1889" spans="1:37" x14ac:dyDescent="0.2">
      <c r="A1889" s="2">
        <v>2025</v>
      </c>
      <c r="B1889" s="2">
        <v>10</v>
      </c>
      <c r="C1889" s="2" t="s">
        <v>999</v>
      </c>
      <c r="D1889" s="2" t="s">
        <v>38</v>
      </c>
      <c r="E1889" s="2" t="s">
        <v>39</v>
      </c>
      <c r="F1889" s="2">
        <v>513796878</v>
      </c>
      <c r="G1889" s="2" t="s">
        <v>40</v>
      </c>
      <c r="H1889" s="2" t="s">
        <v>1000</v>
      </c>
      <c r="I1889" s="2" t="s">
        <v>1001</v>
      </c>
      <c r="J1889" s="2">
        <v>964159861</v>
      </c>
      <c r="K1889" s="2" t="s">
        <v>202</v>
      </c>
      <c r="L1889" s="2" t="s">
        <v>81</v>
      </c>
      <c r="N1889" s="2" t="s">
        <v>1900</v>
      </c>
      <c r="O1889" s="2" t="s">
        <v>43</v>
      </c>
      <c r="P1889" s="2" t="s">
        <v>49</v>
      </c>
      <c r="Q1889" s="2" t="s">
        <v>50</v>
      </c>
      <c r="R1889" s="2">
        <v>3</v>
      </c>
      <c r="S1889" s="2">
        <v>36</v>
      </c>
      <c r="T1889" s="2">
        <v>8.2800000000000011</v>
      </c>
      <c r="U1889" s="2">
        <v>44.28</v>
      </c>
      <c r="V1889" s="2">
        <f>6.6267*R1889</f>
        <v>19.880099999999999</v>
      </c>
      <c r="W1889" s="5">
        <f t="shared" si="190"/>
        <v>0.44777500000000003</v>
      </c>
      <c r="Y1889" s="2" t="s">
        <v>3256</v>
      </c>
      <c r="Z1889" s="2" t="s">
        <v>46</v>
      </c>
      <c r="AA1889" s="2" t="s">
        <v>47</v>
      </c>
      <c r="AB1889" s="2" t="s">
        <v>48</v>
      </c>
      <c r="AE1889" s="2">
        <f t="shared" si="187"/>
        <v>0</v>
      </c>
      <c r="AF1889" s="2">
        <v>6.6266999999999996</v>
      </c>
      <c r="AG1889" s="2">
        <v>12</v>
      </c>
      <c r="AI1889" s="2">
        <f t="shared" si="188"/>
        <v>0</v>
      </c>
      <c r="AJ1889" s="2">
        <f t="shared" si="189"/>
        <v>16.119900000000001</v>
      </c>
      <c r="AK1889" s="5">
        <f t="shared" si="186"/>
        <v>0.44777500000000003</v>
      </c>
    </row>
    <row r="1890" spans="1:37" x14ac:dyDescent="0.2">
      <c r="A1890" s="2">
        <v>2025</v>
      </c>
      <c r="B1890" s="2">
        <v>10</v>
      </c>
      <c r="C1890" s="2" t="s">
        <v>999</v>
      </c>
      <c r="D1890" s="2" t="s">
        <v>38</v>
      </c>
      <c r="E1890" s="2" t="s">
        <v>39</v>
      </c>
      <c r="F1890" s="2">
        <v>513796878</v>
      </c>
      <c r="G1890" s="2" t="s">
        <v>40</v>
      </c>
      <c r="H1890" s="2" t="s">
        <v>1000</v>
      </c>
      <c r="I1890" s="2" t="s">
        <v>1001</v>
      </c>
      <c r="J1890" s="2">
        <v>964159861</v>
      </c>
      <c r="K1890" s="2" t="s">
        <v>202</v>
      </c>
      <c r="L1890" s="2" t="s">
        <v>81</v>
      </c>
      <c r="N1890" s="2" t="s">
        <v>1900</v>
      </c>
      <c r="O1890" s="2" t="s">
        <v>43</v>
      </c>
      <c r="P1890" s="2" t="s">
        <v>161</v>
      </c>
      <c r="Q1890" s="2" t="s">
        <v>162</v>
      </c>
      <c r="R1890" s="2">
        <v>1</v>
      </c>
      <c r="S1890" s="2">
        <v>7.8</v>
      </c>
      <c r="T1890" s="2">
        <v>1.794</v>
      </c>
      <c r="U1890" s="2">
        <v>9.5939999999999994</v>
      </c>
      <c r="V1890" s="2">
        <f>3.7358*R1890</f>
        <v>3.7357999999999998</v>
      </c>
      <c r="W1890" s="5">
        <f t="shared" si="190"/>
        <v>0.52105128205128204</v>
      </c>
      <c r="Y1890" s="2" t="s">
        <v>3256</v>
      </c>
      <c r="Z1890" s="2" t="s">
        <v>46</v>
      </c>
      <c r="AA1890" s="2" t="s">
        <v>47</v>
      </c>
      <c r="AB1890" s="2" t="s">
        <v>48</v>
      </c>
      <c r="AE1890" s="2">
        <f t="shared" si="187"/>
        <v>0</v>
      </c>
      <c r="AF1890" s="2">
        <v>3.7357999999999998</v>
      </c>
      <c r="AG1890" s="2">
        <v>9</v>
      </c>
      <c r="AI1890" s="2">
        <f t="shared" si="188"/>
        <v>0</v>
      </c>
      <c r="AJ1890" s="2">
        <f t="shared" si="189"/>
        <v>4.0641999999999996</v>
      </c>
      <c r="AK1890" s="5">
        <f t="shared" si="186"/>
        <v>0.52105128205128204</v>
      </c>
    </row>
    <row r="1891" spans="1:37" x14ac:dyDescent="0.2">
      <c r="A1891" s="2">
        <v>2025</v>
      </c>
      <c r="B1891" s="2">
        <v>10</v>
      </c>
      <c r="C1891" s="2" t="s">
        <v>999</v>
      </c>
      <c r="D1891" s="2" t="s">
        <v>38</v>
      </c>
      <c r="E1891" s="2" t="s">
        <v>39</v>
      </c>
      <c r="F1891" s="2">
        <v>513796878</v>
      </c>
      <c r="G1891" s="2" t="s">
        <v>40</v>
      </c>
      <c r="H1891" s="2" t="s">
        <v>1000</v>
      </c>
      <c r="I1891" s="2" t="s">
        <v>1001</v>
      </c>
      <c r="J1891" s="2">
        <v>964159861</v>
      </c>
      <c r="K1891" s="2" t="s">
        <v>202</v>
      </c>
      <c r="L1891" s="2" t="s">
        <v>81</v>
      </c>
      <c r="N1891" s="2" t="s">
        <v>1900</v>
      </c>
      <c r="O1891" s="2" t="s">
        <v>43</v>
      </c>
      <c r="P1891" s="2" t="s">
        <v>55</v>
      </c>
      <c r="Q1891" s="2" t="s">
        <v>56</v>
      </c>
      <c r="R1891" s="2">
        <v>2</v>
      </c>
      <c r="S1891" s="2">
        <v>36</v>
      </c>
      <c r="T1891" s="2">
        <v>8.2800000000000011</v>
      </c>
      <c r="U1891" s="2">
        <v>44.28</v>
      </c>
      <c r="V1891" s="2">
        <f>10.6*R1891</f>
        <v>21.2</v>
      </c>
      <c r="W1891" s="5">
        <f t="shared" si="190"/>
        <v>0.41111111111111115</v>
      </c>
      <c r="Y1891" s="2" t="s">
        <v>3256</v>
      </c>
      <c r="Z1891" s="2" t="s">
        <v>46</v>
      </c>
      <c r="AA1891" s="2" t="s">
        <v>57</v>
      </c>
      <c r="AB1891" s="2" t="s">
        <v>58</v>
      </c>
      <c r="AE1891" s="2">
        <f t="shared" si="187"/>
        <v>0</v>
      </c>
      <c r="AF1891" s="2">
        <v>10.6</v>
      </c>
      <c r="AG1891" s="2">
        <v>18</v>
      </c>
      <c r="AI1891" s="2">
        <f t="shared" si="188"/>
        <v>0</v>
      </c>
      <c r="AJ1891" s="2">
        <f t="shared" si="189"/>
        <v>14.8</v>
      </c>
      <c r="AK1891" s="5">
        <f t="shared" si="186"/>
        <v>0.41111111111111115</v>
      </c>
    </row>
    <row r="1892" spans="1:37" x14ac:dyDescent="0.2">
      <c r="A1892" s="2">
        <v>2025</v>
      </c>
      <c r="B1892" s="2">
        <v>10</v>
      </c>
      <c r="C1892" s="2" t="s">
        <v>999</v>
      </c>
      <c r="D1892" s="2" t="s">
        <v>38</v>
      </c>
      <c r="E1892" s="2" t="s">
        <v>39</v>
      </c>
      <c r="F1892" s="2">
        <v>513796878</v>
      </c>
      <c r="G1892" s="2" t="s">
        <v>40</v>
      </c>
      <c r="H1892" s="2" t="s">
        <v>1000</v>
      </c>
      <c r="I1892" s="2" t="s">
        <v>1001</v>
      </c>
      <c r="J1892" s="2">
        <v>964159861</v>
      </c>
      <c r="K1892" s="2" t="s">
        <v>202</v>
      </c>
      <c r="L1892" s="2" t="s">
        <v>81</v>
      </c>
      <c r="N1892" s="2" t="s">
        <v>1900</v>
      </c>
      <c r="O1892" s="2" t="s">
        <v>43</v>
      </c>
      <c r="P1892" s="2" t="s">
        <v>165</v>
      </c>
      <c r="Q1892" s="2" t="s">
        <v>166</v>
      </c>
      <c r="R1892" s="2">
        <v>1</v>
      </c>
      <c r="S1892" s="2">
        <v>15</v>
      </c>
      <c r="T1892" s="2">
        <v>3.45</v>
      </c>
      <c r="U1892" s="2">
        <v>18.45</v>
      </c>
      <c r="V1892" s="2">
        <f>7.9612*R1892</f>
        <v>7.9611999999999998</v>
      </c>
      <c r="W1892" s="5">
        <f t="shared" si="190"/>
        <v>0.46925333333333336</v>
      </c>
      <c r="Y1892" s="2" t="s">
        <v>3256</v>
      </c>
      <c r="Z1892" s="2" t="s">
        <v>46</v>
      </c>
      <c r="AA1892" s="2" t="s">
        <v>68</v>
      </c>
      <c r="AB1892" s="2" t="s">
        <v>58</v>
      </c>
      <c r="AE1892" s="2">
        <f t="shared" si="187"/>
        <v>0</v>
      </c>
      <c r="AF1892" s="2">
        <v>7.9611999999999998</v>
      </c>
      <c r="AG1892" s="2">
        <v>14.4</v>
      </c>
      <c r="AI1892" s="2">
        <f t="shared" si="188"/>
        <v>0</v>
      </c>
      <c r="AJ1892" s="2">
        <f t="shared" si="189"/>
        <v>7.0388000000000002</v>
      </c>
      <c r="AK1892" s="5">
        <f t="shared" si="186"/>
        <v>0.46925333333333336</v>
      </c>
    </row>
    <row r="1893" spans="1:37" x14ac:dyDescent="0.2">
      <c r="A1893" s="2">
        <v>2025</v>
      </c>
      <c r="B1893" s="2">
        <v>10</v>
      </c>
      <c r="C1893" s="2" t="s">
        <v>999</v>
      </c>
      <c r="D1893" s="2" t="s">
        <v>38</v>
      </c>
      <c r="E1893" s="2" t="s">
        <v>39</v>
      </c>
      <c r="F1893" s="2">
        <v>513796878</v>
      </c>
      <c r="G1893" s="2" t="s">
        <v>40</v>
      </c>
      <c r="H1893" s="2" t="s">
        <v>1000</v>
      </c>
      <c r="I1893" s="2" t="s">
        <v>1001</v>
      </c>
      <c r="J1893" s="2">
        <v>964159861</v>
      </c>
      <c r="K1893" s="2" t="s">
        <v>202</v>
      </c>
      <c r="L1893" s="2" t="s">
        <v>81</v>
      </c>
      <c r="N1893" s="2" t="s">
        <v>1900</v>
      </c>
      <c r="O1893" s="2" t="s">
        <v>85</v>
      </c>
      <c r="P1893" s="2" t="s">
        <v>275</v>
      </c>
      <c r="Q1893" s="2" t="s">
        <v>276</v>
      </c>
      <c r="R1893" s="2">
        <v>1</v>
      </c>
      <c r="S1893" s="2">
        <v>9</v>
      </c>
      <c r="T1893" s="2">
        <v>2.0699999999999998</v>
      </c>
      <c r="U1893" s="2">
        <v>11.07</v>
      </c>
      <c r="V1893" s="2">
        <v>2.94</v>
      </c>
      <c r="W1893" s="5">
        <f t="shared" si="190"/>
        <v>0.67333333333333334</v>
      </c>
      <c r="Y1893" s="2" t="s">
        <v>3256</v>
      </c>
      <c r="Z1893" s="2" t="s">
        <v>88</v>
      </c>
      <c r="AA1893" s="2" t="s">
        <v>91</v>
      </c>
      <c r="AB1893" s="2" t="s">
        <v>85</v>
      </c>
      <c r="AE1893" s="2">
        <f t="shared" si="187"/>
        <v>0</v>
      </c>
      <c r="AI1893" s="2">
        <f t="shared" si="188"/>
        <v>0</v>
      </c>
      <c r="AJ1893" s="2">
        <f t="shared" si="189"/>
        <v>6.0600000000000005</v>
      </c>
      <c r="AK1893" s="5">
        <f t="shared" si="186"/>
        <v>0.67333333333333334</v>
      </c>
    </row>
    <row r="1894" spans="1:37" x14ac:dyDescent="0.2">
      <c r="A1894" s="2">
        <v>2025</v>
      </c>
      <c r="B1894" s="2">
        <v>10</v>
      </c>
      <c r="C1894" s="2" t="s">
        <v>999</v>
      </c>
      <c r="D1894" s="2" t="s">
        <v>38</v>
      </c>
      <c r="E1894" s="2" t="s">
        <v>39</v>
      </c>
      <c r="F1894" s="2">
        <v>513796878</v>
      </c>
      <c r="G1894" s="2" t="s">
        <v>40</v>
      </c>
      <c r="H1894" s="2" t="s">
        <v>1000</v>
      </c>
      <c r="I1894" s="2" t="s">
        <v>1001</v>
      </c>
      <c r="J1894" s="2">
        <v>964159861</v>
      </c>
      <c r="K1894" s="2" t="s">
        <v>202</v>
      </c>
      <c r="L1894" s="2" t="s">
        <v>81</v>
      </c>
      <c r="N1894" s="2" t="s">
        <v>1900</v>
      </c>
      <c r="O1894" s="2" t="s">
        <v>85</v>
      </c>
      <c r="P1894" s="2" t="s">
        <v>277</v>
      </c>
      <c r="Q1894" s="2" t="s">
        <v>278</v>
      </c>
      <c r="R1894" s="2">
        <v>1</v>
      </c>
      <c r="S1894" s="2">
        <v>9</v>
      </c>
      <c r="T1894" s="2">
        <v>2.0699999999999998</v>
      </c>
      <c r="U1894" s="2">
        <v>11.07</v>
      </c>
      <c r="W1894" s="5">
        <f t="shared" si="190"/>
        <v>1</v>
      </c>
      <c r="Y1894" s="2" t="s">
        <v>3256</v>
      </c>
      <c r="Z1894" s="2" t="s">
        <v>88</v>
      </c>
      <c r="AA1894" s="2" t="s">
        <v>91</v>
      </c>
      <c r="AB1894" s="2" t="s">
        <v>85</v>
      </c>
      <c r="AE1894" s="2">
        <f t="shared" si="187"/>
        <v>0</v>
      </c>
      <c r="AI1894" s="2">
        <f t="shared" si="188"/>
        <v>0</v>
      </c>
      <c r="AJ1894" s="2">
        <f t="shared" si="189"/>
        <v>9</v>
      </c>
      <c r="AK1894" s="5">
        <f t="shared" si="186"/>
        <v>1</v>
      </c>
    </row>
    <row r="1895" spans="1:37" x14ac:dyDescent="0.2">
      <c r="A1895" s="2">
        <v>2025</v>
      </c>
      <c r="B1895" s="2">
        <v>10</v>
      </c>
      <c r="C1895" s="2" t="s">
        <v>755</v>
      </c>
      <c r="D1895" s="2" t="s">
        <v>109</v>
      </c>
      <c r="E1895" s="2" t="s">
        <v>39</v>
      </c>
      <c r="F1895" s="2">
        <v>510039537</v>
      </c>
      <c r="G1895" s="2" t="s">
        <v>40</v>
      </c>
      <c r="H1895" s="2" t="s">
        <v>576</v>
      </c>
      <c r="I1895" s="2" t="s">
        <v>756</v>
      </c>
      <c r="J1895" s="2">
        <v>969042927</v>
      </c>
      <c r="K1895" s="2" t="s">
        <v>576</v>
      </c>
      <c r="O1895" s="2" t="s">
        <v>283</v>
      </c>
      <c r="P1895" s="2" t="s">
        <v>806</v>
      </c>
      <c r="Q1895" s="2" t="s">
        <v>807</v>
      </c>
      <c r="R1895" s="2">
        <v>60</v>
      </c>
      <c r="S1895" s="2">
        <v>5400</v>
      </c>
      <c r="T1895" s="2">
        <v>1242</v>
      </c>
      <c r="U1895" s="2">
        <v>6642</v>
      </c>
      <c r="W1895" s="5">
        <f t="shared" si="190"/>
        <v>1</v>
      </c>
      <c r="AE1895" s="2">
        <f t="shared" si="187"/>
        <v>0</v>
      </c>
      <c r="AI1895" s="2">
        <f t="shared" si="188"/>
        <v>0</v>
      </c>
      <c r="AJ1895" s="2">
        <f t="shared" si="189"/>
        <v>5400</v>
      </c>
      <c r="AK1895" s="5">
        <f t="shared" si="186"/>
        <v>1</v>
      </c>
    </row>
    <row r="1896" spans="1:37" x14ac:dyDescent="0.2">
      <c r="A1896" s="2">
        <v>2025</v>
      </c>
      <c r="B1896" s="2">
        <v>10</v>
      </c>
      <c r="C1896" s="2" t="s">
        <v>1793</v>
      </c>
      <c r="O1896" s="2" t="s">
        <v>3260</v>
      </c>
      <c r="P1896" s="2" t="s">
        <v>1901</v>
      </c>
      <c r="Q1896" s="2" t="s">
        <v>1902</v>
      </c>
      <c r="R1896" s="2">
        <v>1</v>
      </c>
      <c r="S1896" s="2">
        <v>2900</v>
      </c>
      <c r="T1896" s="2">
        <v>667</v>
      </c>
      <c r="U1896" s="2">
        <v>3567</v>
      </c>
      <c r="V1896" s="2">
        <v>987.72270000000003</v>
      </c>
      <c r="W1896" s="5">
        <f t="shared" ref="W1896:W1927" si="191">(S1896-V1896)/S1896</f>
        <v>0.6594059655172414</v>
      </c>
      <c r="Y1896" s="2" t="s">
        <v>105</v>
      </c>
      <c r="Z1896" s="2" t="s">
        <v>106</v>
      </c>
      <c r="AA1896" s="2" t="s">
        <v>107</v>
      </c>
      <c r="AB1896" s="2" t="s">
        <v>3260</v>
      </c>
      <c r="AE1896" s="2">
        <f t="shared" si="187"/>
        <v>0</v>
      </c>
      <c r="AI1896" s="2">
        <f t="shared" si="188"/>
        <v>0</v>
      </c>
      <c r="AJ1896" s="2">
        <f t="shared" si="189"/>
        <v>1912.2773</v>
      </c>
      <c r="AK1896" s="5">
        <f t="shared" si="186"/>
        <v>0.6594059655172414</v>
      </c>
    </row>
    <row r="1897" spans="1:37" x14ac:dyDescent="0.2">
      <c r="A1897" s="2">
        <v>2025</v>
      </c>
      <c r="B1897" s="2">
        <v>10</v>
      </c>
      <c r="C1897" s="2" t="s">
        <v>1005</v>
      </c>
      <c r="O1897" s="2" t="s">
        <v>73</v>
      </c>
      <c r="P1897" s="2" t="s">
        <v>74</v>
      </c>
      <c r="Q1897" s="2" t="s">
        <v>75</v>
      </c>
      <c r="R1897" s="2">
        <v>1</v>
      </c>
      <c r="S1897" s="2">
        <v>210</v>
      </c>
      <c r="T1897" s="2">
        <v>48.3</v>
      </c>
      <c r="U1897" s="2">
        <v>258.3</v>
      </c>
      <c r="V1897" s="2">
        <v>117.453</v>
      </c>
      <c r="W1897" s="5">
        <f t="shared" si="191"/>
        <v>0.44069999999999998</v>
      </c>
      <c r="Y1897" s="2" t="s">
        <v>3256</v>
      </c>
      <c r="Z1897" s="2" t="s">
        <v>76</v>
      </c>
      <c r="AA1897" s="2" t="s">
        <v>77</v>
      </c>
      <c r="AB1897" s="2" t="s">
        <v>78</v>
      </c>
      <c r="AE1897" s="2">
        <f t="shared" si="187"/>
        <v>0</v>
      </c>
      <c r="AF1897" s="2">
        <v>117.453</v>
      </c>
      <c r="AG1897" s="2">
        <v>220</v>
      </c>
      <c r="AI1897" s="2">
        <f t="shared" si="188"/>
        <v>0</v>
      </c>
      <c r="AJ1897" s="2">
        <f t="shared" si="189"/>
        <v>92.546999999999997</v>
      </c>
      <c r="AK1897" s="5">
        <f t="shared" si="186"/>
        <v>0.44069999999999998</v>
      </c>
    </row>
    <row r="1898" spans="1:37" x14ac:dyDescent="0.2">
      <c r="A1898" s="2">
        <v>2025</v>
      </c>
      <c r="B1898" s="2">
        <v>10</v>
      </c>
      <c r="C1898" s="2" t="s">
        <v>1005</v>
      </c>
      <c r="O1898" s="2" t="s">
        <v>94</v>
      </c>
      <c r="P1898" s="2" t="s">
        <v>95</v>
      </c>
      <c r="Q1898" s="2" t="s">
        <v>96</v>
      </c>
      <c r="R1898" s="2">
        <v>1</v>
      </c>
      <c r="S1898" s="2">
        <v>1.1399999999999999</v>
      </c>
      <c r="T1898" s="2">
        <v>0.26219999999999999</v>
      </c>
      <c r="U1898" s="2">
        <v>1.4021999999999999</v>
      </c>
      <c r="V1898" s="2">
        <v>1.1399999999999999</v>
      </c>
      <c r="W1898" s="5">
        <f t="shared" si="191"/>
        <v>0</v>
      </c>
      <c r="Y1898" s="2" t="s">
        <v>3256</v>
      </c>
      <c r="Z1898" s="2" t="s">
        <v>97</v>
      </c>
      <c r="AA1898" s="2" t="s">
        <v>77</v>
      </c>
      <c r="AB1898" s="2" t="s">
        <v>94</v>
      </c>
      <c r="AE1898" s="2">
        <f t="shared" si="187"/>
        <v>0</v>
      </c>
      <c r="AI1898" s="2">
        <f t="shared" si="188"/>
        <v>0</v>
      </c>
      <c r="AJ1898" s="2">
        <f t="shared" si="189"/>
        <v>0</v>
      </c>
      <c r="AK1898" s="5">
        <f t="shared" si="186"/>
        <v>0</v>
      </c>
    </row>
    <row r="1899" spans="1:37" x14ac:dyDescent="0.2">
      <c r="A1899" s="2">
        <v>2025</v>
      </c>
      <c r="B1899" s="2">
        <v>10</v>
      </c>
      <c r="C1899" s="2" t="s">
        <v>1903</v>
      </c>
      <c r="O1899" s="2" t="s">
        <v>115</v>
      </c>
      <c r="P1899" s="2" t="s">
        <v>911</v>
      </c>
      <c r="Q1899" s="2" t="s">
        <v>912</v>
      </c>
      <c r="R1899" s="2">
        <v>1</v>
      </c>
      <c r="S1899" s="2">
        <v>0</v>
      </c>
      <c r="T1899" s="2">
        <v>0</v>
      </c>
      <c r="U1899" s="2">
        <v>0</v>
      </c>
      <c r="W1899" s="5" t="e">
        <f t="shared" si="191"/>
        <v>#DIV/0!</v>
      </c>
      <c r="AE1899" s="2">
        <f t="shared" si="187"/>
        <v>0</v>
      </c>
      <c r="AI1899" s="2">
        <f t="shared" si="188"/>
        <v>0</v>
      </c>
      <c r="AJ1899" s="2">
        <f t="shared" si="189"/>
        <v>0</v>
      </c>
      <c r="AK1899" s="5" t="e">
        <f t="shared" si="186"/>
        <v>#DIV/0!</v>
      </c>
    </row>
    <row r="1900" spans="1:37" x14ac:dyDescent="0.2">
      <c r="A1900" s="2">
        <v>2025</v>
      </c>
      <c r="B1900" s="2">
        <v>10</v>
      </c>
      <c r="C1900" s="2" t="s">
        <v>1903</v>
      </c>
      <c r="O1900" s="2" t="s">
        <v>115</v>
      </c>
      <c r="P1900" s="2" t="s">
        <v>1904</v>
      </c>
      <c r="Q1900" s="2" t="s">
        <v>1905</v>
      </c>
      <c r="R1900" s="2">
        <v>1</v>
      </c>
      <c r="S1900" s="2">
        <v>6770</v>
      </c>
      <c r="T1900" s="2">
        <v>1557.1</v>
      </c>
      <c r="U1900" s="2">
        <v>8327.1</v>
      </c>
      <c r="W1900" s="5">
        <f t="shared" si="191"/>
        <v>1</v>
      </c>
      <c r="Y1900" s="2" t="s">
        <v>105</v>
      </c>
      <c r="AE1900" s="2">
        <f t="shared" si="187"/>
        <v>0</v>
      </c>
      <c r="AI1900" s="2">
        <f t="shared" si="188"/>
        <v>0</v>
      </c>
      <c r="AJ1900" s="2">
        <f t="shared" si="189"/>
        <v>6770</v>
      </c>
      <c r="AK1900" s="5">
        <f t="shared" si="186"/>
        <v>1</v>
      </c>
    </row>
    <row r="1901" spans="1:37" x14ac:dyDescent="0.2">
      <c r="A1901" s="2">
        <v>2025</v>
      </c>
      <c r="B1901" s="2">
        <v>10</v>
      </c>
      <c r="C1901" s="2" t="s">
        <v>1906</v>
      </c>
      <c r="O1901" s="2" t="s">
        <v>115</v>
      </c>
      <c r="P1901" s="2" t="s">
        <v>1907</v>
      </c>
      <c r="Q1901" s="2" t="s">
        <v>1908</v>
      </c>
      <c r="R1901" s="2">
        <v>1</v>
      </c>
      <c r="S1901" s="2">
        <v>97.81</v>
      </c>
      <c r="T1901" s="2">
        <v>22.496300000000002</v>
      </c>
      <c r="U1901" s="2">
        <v>120.30629999999999</v>
      </c>
      <c r="W1901" s="5">
        <f t="shared" si="191"/>
        <v>1</v>
      </c>
      <c r="AE1901" s="2">
        <f t="shared" si="187"/>
        <v>0</v>
      </c>
      <c r="AI1901" s="2">
        <f t="shared" si="188"/>
        <v>0</v>
      </c>
      <c r="AJ1901" s="2">
        <f t="shared" si="189"/>
        <v>97.81</v>
      </c>
      <c r="AK1901" s="5">
        <f t="shared" si="186"/>
        <v>1</v>
      </c>
    </row>
    <row r="1902" spans="1:37" x14ac:dyDescent="0.2">
      <c r="A1902" s="2">
        <v>2025</v>
      </c>
      <c r="B1902" s="2">
        <v>10</v>
      </c>
      <c r="C1902" s="2" t="s">
        <v>1906</v>
      </c>
      <c r="L1902" s="2" t="s">
        <v>40</v>
      </c>
      <c r="O1902" s="2" t="s">
        <v>188</v>
      </c>
      <c r="P1902" s="2" t="s">
        <v>189</v>
      </c>
      <c r="Q1902" s="2" t="s">
        <v>190</v>
      </c>
      <c r="R1902" s="2">
        <v>1</v>
      </c>
      <c r="S1902" s="2">
        <v>60.75</v>
      </c>
      <c r="T1902" s="2">
        <v>13.9725</v>
      </c>
      <c r="U1902" s="2">
        <v>74.722499999999997</v>
      </c>
      <c r="W1902" s="5">
        <f t="shared" si="191"/>
        <v>1</v>
      </c>
      <c r="Y1902" s="2" t="s">
        <v>118</v>
      </c>
      <c r="Z1902" s="2" t="s">
        <v>191</v>
      </c>
      <c r="AE1902" s="2">
        <f t="shared" si="187"/>
        <v>0</v>
      </c>
      <c r="AI1902" s="2">
        <f t="shared" si="188"/>
        <v>0</v>
      </c>
      <c r="AJ1902" s="2">
        <f t="shared" si="189"/>
        <v>60.75</v>
      </c>
      <c r="AK1902" s="5">
        <f t="shared" si="186"/>
        <v>1</v>
      </c>
    </row>
    <row r="1903" spans="1:37" x14ac:dyDescent="0.2">
      <c r="A1903" s="2">
        <v>2025</v>
      </c>
      <c r="B1903" s="2">
        <v>10</v>
      </c>
      <c r="C1903" s="2" t="s">
        <v>1906</v>
      </c>
      <c r="L1903" s="2" t="s">
        <v>40</v>
      </c>
      <c r="O1903" s="2" t="s">
        <v>188</v>
      </c>
      <c r="P1903" s="2" t="s">
        <v>192</v>
      </c>
      <c r="Q1903" s="2" t="s">
        <v>191</v>
      </c>
      <c r="R1903" s="2">
        <v>1</v>
      </c>
      <c r="S1903" s="2">
        <v>45</v>
      </c>
      <c r="T1903" s="2">
        <v>10.35</v>
      </c>
      <c r="U1903" s="2">
        <v>55.35</v>
      </c>
      <c r="V1903" s="2">
        <f>S1903*50%</f>
        <v>22.5</v>
      </c>
      <c r="W1903" s="5">
        <f t="shared" si="191"/>
        <v>0.5</v>
      </c>
      <c r="Y1903" s="2" t="s">
        <v>118</v>
      </c>
      <c r="Z1903" s="2" t="s">
        <v>191</v>
      </c>
      <c r="AE1903" s="2">
        <f t="shared" si="187"/>
        <v>0</v>
      </c>
      <c r="AI1903" s="2">
        <f t="shared" si="188"/>
        <v>0</v>
      </c>
      <c r="AJ1903" s="2">
        <f t="shared" si="189"/>
        <v>22.5</v>
      </c>
      <c r="AK1903" s="5">
        <f t="shared" si="186"/>
        <v>0.5</v>
      </c>
    </row>
    <row r="1904" spans="1:37" x14ac:dyDescent="0.2">
      <c r="A1904" s="2">
        <v>2025</v>
      </c>
      <c r="B1904" s="2">
        <v>10</v>
      </c>
      <c r="C1904" s="2" t="s">
        <v>392</v>
      </c>
      <c r="L1904" s="2" t="s">
        <v>81</v>
      </c>
      <c r="O1904" s="2" t="s">
        <v>73</v>
      </c>
      <c r="P1904" s="2" t="s">
        <v>1355</v>
      </c>
      <c r="Q1904" s="2" t="s">
        <v>80</v>
      </c>
      <c r="R1904" s="2">
        <v>1</v>
      </c>
      <c r="S1904" s="2">
        <v>200</v>
      </c>
      <c r="T1904" s="2">
        <v>46</v>
      </c>
      <c r="U1904" s="2">
        <v>246</v>
      </c>
      <c r="W1904" s="5">
        <f t="shared" si="191"/>
        <v>1</v>
      </c>
      <c r="Y1904" s="2" t="s">
        <v>3256</v>
      </c>
      <c r="Z1904" s="2" t="s">
        <v>76</v>
      </c>
      <c r="AA1904" s="2" t="s">
        <v>77</v>
      </c>
      <c r="AB1904" s="2" t="s">
        <v>78</v>
      </c>
      <c r="AE1904" s="2">
        <f t="shared" si="187"/>
        <v>0</v>
      </c>
      <c r="AI1904" s="2">
        <f t="shared" si="188"/>
        <v>0</v>
      </c>
      <c r="AJ1904" s="2">
        <f t="shared" si="189"/>
        <v>200</v>
      </c>
      <c r="AK1904" s="5">
        <f t="shared" si="186"/>
        <v>1</v>
      </c>
    </row>
    <row r="1905" spans="1:37" x14ac:dyDescent="0.2">
      <c r="A1905" s="2">
        <v>2025</v>
      </c>
      <c r="B1905" s="2">
        <v>10</v>
      </c>
      <c r="C1905" s="2" t="s">
        <v>392</v>
      </c>
      <c r="L1905" s="2" t="s">
        <v>81</v>
      </c>
      <c r="O1905" s="2" t="s">
        <v>94</v>
      </c>
      <c r="P1905" s="2" t="s">
        <v>95</v>
      </c>
      <c r="Q1905" s="2" t="s">
        <v>96</v>
      </c>
      <c r="R1905" s="2">
        <v>1</v>
      </c>
      <c r="S1905" s="2">
        <v>1.1399999999999999</v>
      </c>
      <c r="T1905" s="2">
        <v>0.26219999999999999</v>
      </c>
      <c r="U1905" s="2">
        <v>1.4021999999999999</v>
      </c>
      <c r="V1905" s="2">
        <v>1.1399999999999999</v>
      </c>
      <c r="W1905" s="5">
        <f t="shared" si="191"/>
        <v>0</v>
      </c>
      <c r="Y1905" s="2" t="s">
        <v>3256</v>
      </c>
      <c r="Z1905" s="2" t="s">
        <v>97</v>
      </c>
      <c r="AA1905" s="2" t="s">
        <v>77</v>
      </c>
      <c r="AB1905" s="2" t="s">
        <v>94</v>
      </c>
      <c r="AE1905" s="2">
        <f t="shared" si="187"/>
        <v>0</v>
      </c>
      <c r="AI1905" s="2">
        <f t="shared" si="188"/>
        <v>0</v>
      </c>
      <c r="AJ1905" s="2">
        <f t="shared" si="189"/>
        <v>0</v>
      </c>
      <c r="AK1905" s="5">
        <f t="shared" si="186"/>
        <v>0</v>
      </c>
    </row>
    <row r="1906" spans="1:37" x14ac:dyDescent="0.2">
      <c r="A1906" s="2">
        <v>2025</v>
      </c>
      <c r="B1906" s="2">
        <v>10</v>
      </c>
      <c r="C1906" s="2" t="s">
        <v>1017</v>
      </c>
      <c r="O1906" s="2" t="s">
        <v>43</v>
      </c>
      <c r="P1906" s="2" t="s">
        <v>55</v>
      </c>
      <c r="Q1906" s="2" t="s">
        <v>56</v>
      </c>
      <c r="R1906" s="2">
        <v>2</v>
      </c>
      <c r="S1906" s="2">
        <v>36</v>
      </c>
      <c r="T1906" s="2">
        <v>8.2800000000000011</v>
      </c>
      <c r="U1906" s="2">
        <v>44.28</v>
      </c>
      <c r="V1906" s="2">
        <f>10.6*R1906</f>
        <v>21.2</v>
      </c>
      <c r="W1906" s="5">
        <f t="shared" si="191"/>
        <v>0.41111111111111115</v>
      </c>
      <c r="Y1906" s="2" t="s">
        <v>3256</v>
      </c>
      <c r="Z1906" s="2" t="s">
        <v>46</v>
      </c>
      <c r="AA1906" s="2" t="s">
        <v>57</v>
      </c>
      <c r="AB1906" s="2" t="s">
        <v>58</v>
      </c>
      <c r="AE1906" s="2">
        <f t="shared" si="187"/>
        <v>0</v>
      </c>
      <c r="AF1906" s="2">
        <v>10.6</v>
      </c>
      <c r="AG1906" s="2">
        <v>18</v>
      </c>
      <c r="AI1906" s="2">
        <f t="shared" si="188"/>
        <v>0</v>
      </c>
      <c r="AJ1906" s="2">
        <f t="shared" si="189"/>
        <v>14.8</v>
      </c>
      <c r="AK1906" s="5">
        <f t="shared" si="186"/>
        <v>0.41111111111111115</v>
      </c>
    </row>
    <row r="1907" spans="1:37" x14ac:dyDescent="0.2">
      <c r="A1907" s="2">
        <v>2025</v>
      </c>
      <c r="B1907" s="2">
        <v>10</v>
      </c>
      <c r="C1907" s="2" t="s">
        <v>1017</v>
      </c>
      <c r="O1907" s="2" t="s">
        <v>43</v>
      </c>
      <c r="P1907" s="2" t="s">
        <v>62</v>
      </c>
      <c r="Q1907" s="2" t="s">
        <v>63</v>
      </c>
      <c r="R1907" s="2">
        <v>200</v>
      </c>
      <c r="S1907" s="2">
        <v>26</v>
      </c>
      <c r="T1907" s="2">
        <v>5.98</v>
      </c>
      <c r="U1907" s="2">
        <v>31.98</v>
      </c>
      <c r="V1907" s="2">
        <f>0.082*R1907</f>
        <v>16.400000000000002</v>
      </c>
      <c r="W1907" s="5">
        <f t="shared" si="191"/>
        <v>0.36923076923076914</v>
      </c>
      <c r="Y1907" s="2" t="s">
        <v>3256</v>
      </c>
      <c r="Z1907" s="2" t="s">
        <v>46</v>
      </c>
      <c r="AA1907" s="2" t="s">
        <v>61</v>
      </c>
      <c r="AB1907" s="2" t="s">
        <v>58</v>
      </c>
      <c r="AE1907" s="2">
        <f t="shared" si="187"/>
        <v>0</v>
      </c>
      <c r="AF1907" s="2">
        <v>8.1999999999999993</v>
      </c>
      <c r="AG1907" s="2">
        <v>13</v>
      </c>
      <c r="AI1907" s="2">
        <f t="shared" si="188"/>
        <v>0</v>
      </c>
      <c r="AJ1907" s="2">
        <f t="shared" si="189"/>
        <v>9.5999999999999979</v>
      </c>
      <c r="AK1907" s="5">
        <f t="shared" ref="AK1907:AK1970" si="192">(S1907-V1907)/S1907</f>
        <v>0.36923076923076914</v>
      </c>
    </row>
    <row r="1908" spans="1:37" x14ac:dyDescent="0.2">
      <c r="A1908" s="2">
        <v>2025</v>
      </c>
      <c r="B1908" s="2">
        <v>10</v>
      </c>
      <c r="C1908" s="2" t="s">
        <v>1017</v>
      </c>
      <c r="O1908" s="2" t="s">
        <v>69</v>
      </c>
      <c r="P1908" s="2" t="s">
        <v>267</v>
      </c>
      <c r="Q1908" s="2" t="s">
        <v>268</v>
      </c>
      <c r="R1908" s="2">
        <v>2</v>
      </c>
      <c r="S1908" s="2">
        <v>36</v>
      </c>
      <c r="T1908" s="2">
        <v>8.2800000000000011</v>
      </c>
      <c r="U1908" s="2">
        <v>44.28</v>
      </c>
      <c r="W1908" s="5">
        <f t="shared" si="191"/>
        <v>1</v>
      </c>
      <c r="Y1908" s="2" t="s">
        <v>3256</v>
      </c>
      <c r="AB1908" s="2" t="s">
        <v>3261</v>
      </c>
      <c r="AE1908" s="2">
        <f t="shared" si="187"/>
        <v>0</v>
      </c>
      <c r="AI1908" s="2">
        <f t="shared" si="188"/>
        <v>0</v>
      </c>
      <c r="AJ1908" s="2">
        <f t="shared" si="189"/>
        <v>36</v>
      </c>
      <c r="AK1908" s="5">
        <f t="shared" si="192"/>
        <v>1</v>
      </c>
    </row>
    <row r="1909" spans="1:37" x14ac:dyDescent="0.2">
      <c r="A1909" s="2">
        <v>2025</v>
      </c>
      <c r="B1909" s="2">
        <v>10</v>
      </c>
      <c r="C1909" s="2" t="s">
        <v>787</v>
      </c>
      <c r="D1909" s="2" t="s">
        <v>38</v>
      </c>
      <c r="E1909" s="2" t="s">
        <v>39</v>
      </c>
      <c r="F1909" s="2">
        <v>510219675</v>
      </c>
      <c r="G1909" s="2" t="s">
        <v>40</v>
      </c>
      <c r="H1909" s="2" t="s">
        <v>788</v>
      </c>
      <c r="I1909" s="2" t="s">
        <v>789</v>
      </c>
      <c r="J1909" s="2">
        <v>917341136</v>
      </c>
      <c r="K1909" s="2" t="s">
        <v>100</v>
      </c>
      <c r="O1909" s="2" t="s">
        <v>283</v>
      </c>
      <c r="P1909" s="2" t="s">
        <v>1163</v>
      </c>
      <c r="Q1909" s="2" t="s">
        <v>1164</v>
      </c>
      <c r="R1909" s="2">
        <v>1</v>
      </c>
      <c r="S1909" s="2">
        <v>2190</v>
      </c>
      <c r="T1909" s="2">
        <v>503.7</v>
      </c>
      <c r="U1909" s="2">
        <v>2693.7</v>
      </c>
      <c r="W1909" s="5">
        <f t="shared" si="191"/>
        <v>1</v>
      </c>
      <c r="AE1909" s="2">
        <f t="shared" si="187"/>
        <v>0</v>
      </c>
      <c r="AI1909" s="2">
        <f t="shared" si="188"/>
        <v>0</v>
      </c>
      <c r="AJ1909" s="2">
        <f t="shared" si="189"/>
        <v>2190</v>
      </c>
      <c r="AK1909" s="5">
        <f t="shared" si="192"/>
        <v>1</v>
      </c>
    </row>
    <row r="1910" spans="1:37" x14ac:dyDescent="0.2">
      <c r="A1910" s="2">
        <v>2025</v>
      </c>
      <c r="B1910" s="2">
        <v>10</v>
      </c>
      <c r="C1910" s="2" t="s">
        <v>787</v>
      </c>
      <c r="D1910" s="2" t="s">
        <v>38</v>
      </c>
      <c r="E1910" s="2" t="s">
        <v>39</v>
      </c>
      <c r="F1910" s="2">
        <v>510219675</v>
      </c>
      <c r="G1910" s="2" t="s">
        <v>40</v>
      </c>
      <c r="H1910" s="2" t="s">
        <v>788</v>
      </c>
      <c r="I1910" s="2" t="s">
        <v>789</v>
      </c>
      <c r="J1910" s="2">
        <v>917341136</v>
      </c>
      <c r="K1910" s="2" t="s">
        <v>100</v>
      </c>
      <c r="O1910" s="2" t="s">
        <v>283</v>
      </c>
      <c r="P1910" s="2" t="s">
        <v>1167</v>
      </c>
      <c r="Q1910" s="2" t="s">
        <v>1168</v>
      </c>
      <c r="R1910" s="2">
        <v>1</v>
      </c>
      <c r="S1910" s="2">
        <v>330</v>
      </c>
      <c r="T1910" s="2">
        <v>75.900000000000006</v>
      </c>
      <c r="U1910" s="2">
        <v>405.9</v>
      </c>
      <c r="W1910" s="5">
        <f t="shared" si="191"/>
        <v>1</v>
      </c>
      <c r="AE1910" s="2">
        <f t="shared" si="187"/>
        <v>0</v>
      </c>
      <c r="AI1910" s="2">
        <f t="shared" si="188"/>
        <v>0</v>
      </c>
      <c r="AJ1910" s="2">
        <f t="shared" si="189"/>
        <v>330</v>
      </c>
      <c r="AK1910" s="5">
        <f t="shared" si="192"/>
        <v>1</v>
      </c>
    </row>
    <row r="1911" spans="1:37" x14ac:dyDescent="0.2">
      <c r="A1911" s="2">
        <v>2025</v>
      </c>
      <c r="B1911" s="2">
        <v>10</v>
      </c>
      <c r="C1911" s="2" t="s">
        <v>406</v>
      </c>
      <c r="D1911" s="2" t="s">
        <v>38</v>
      </c>
      <c r="E1911" s="2" t="s">
        <v>39</v>
      </c>
      <c r="F1911" s="2">
        <v>109095197</v>
      </c>
      <c r="G1911" s="2" t="s">
        <v>40</v>
      </c>
      <c r="H1911" s="2" t="s">
        <v>2498</v>
      </c>
      <c r="I1911" s="2" t="s">
        <v>3147</v>
      </c>
      <c r="J1911" s="2">
        <v>965864665</v>
      </c>
      <c r="K1911" s="2" t="s">
        <v>345</v>
      </c>
      <c r="L1911" s="2" t="s">
        <v>81</v>
      </c>
      <c r="N1911" s="2" t="s">
        <v>3150</v>
      </c>
      <c r="O1911" s="2" t="s">
        <v>73</v>
      </c>
      <c r="P1911" s="2" t="s">
        <v>74</v>
      </c>
      <c r="Q1911" s="2" t="s">
        <v>75</v>
      </c>
      <c r="R1911" s="2">
        <v>1</v>
      </c>
      <c r="S1911" s="2">
        <v>220</v>
      </c>
      <c r="T1911" s="2">
        <v>50.6</v>
      </c>
      <c r="U1911" s="2">
        <v>270.60000000000002</v>
      </c>
      <c r="V1911" s="2">
        <v>117.453</v>
      </c>
      <c r="W1911" s="5">
        <f t="shared" si="191"/>
        <v>0.46612272727272724</v>
      </c>
      <c r="Y1911" s="2" t="s">
        <v>3256</v>
      </c>
      <c r="Z1911" s="2" t="s">
        <v>76</v>
      </c>
      <c r="AA1911" s="2" t="s">
        <v>77</v>
      </c>
      <c r="AB1911" s="2" t="s">
        <v>78</v>
      </c>
      <c r="AE1911" s="2">
        <f t="shared" si="187"/>
        <v>0</v>
      </c>
      <c r="AF1911" s="2">
        <v>117.453</v>
      </c>
      <c r="AG1911" s="2">
        <v>220</v>
      </c>
      <c r="AI1911" s="2">
        <f t="shared" si="188"/>
        <v>0</v>
      </c>
      <c r="AJ1911" s="2">
        <f t="shared" si="189"/>
        <v>102.547</v>
      </c>
      <c r="AK1911" s="5">
        <f t="shared" si="192"/>
        <v>0.46612272727272724</v>
      </c>
    </row>
    <row r="1912" spans="1:37" x14ac:dyDescent="0.2">
      <c r="A1912" s="2">
        <v>2025</v>
      </c>
      <c r="B1912" s="2">
        <v>10</v>
      </c>
      <c r="C1912" s="2" t="s">
        <v>406</v>
      </c>
      <c r="D1912" s="2" t="s">
        <v>38</v>
      </c>
      <c r="E1912" s="2" t="s">
        <v>39</v>
      </c>
      <c r="F1912" s="2">
        <v>109095197</v>
      </c>
      <c r="G1912" s="2" t="s">
        <v>40</v>
      </c>
      <c r="H1912" s="2" t="s">
        <v>2498</v>
      </c>
      <c r="I1912" s="2" t="s">
        <v>3147</v>
      </c>
      <c r="J1912" s="2">
        <v>965864665</v>
      </c>
      <c r="K1912" s="2" t="s">
        <v>345</v>
      </c>
      <c r="L1912" s="2" t="s">
        <v>81</v>
      </c>
      <c r="N1912" s="2" t="s">
        <v>3150</v>
      </c>
      <c r="O1912" s="2" t="s">
        <v>94</v>
      </c>
      <c r="P1912" s="2" t="s">
        <v>95</v>
      </c>
      <c r="Q1912" s="2" t="s">
        <v>96</v>
      </c>
      <c r="R1912" s="2">
        <v>1</v>
      </c>
      <c r="S1912" s="2">
        <v>1.1399999999999999</v>
      </c>
      <c r="T1912" s="2">
        <v>0.26219999999999999</v>
      </c>
      <c r="U1912" s="2">
        <v>1.4021999999999999</v>
      </c>
      <c r="V1912" s="2">
        <v>1.1399999999999999</v>
      </c>
      <c r="W1912" s="5">
        <f t="shared" si="191"/>
        <v>0</v>
      </c>
      <c r="Y1912" s="2" t="s">
        <v>3256</v>
      </c>
      <c r="Z1912" s="2" t="s">
        <v>97</v>
      </c>
      <c r="AA1912" s="2" t="s">
        <v>77</v>
      </c>
      <c r="AB1912" s="2" t="s">
        <v>94</v>
      </c>
      <c r="AE1912" s="2">
        <f t="shared" si="187"/>
        <v>0</v>
      </c>
      <c r="AI1912" s="2">
        <f t="shared" si="188"/>
        <v>0</v>
      </c>
      <c r="AJ1912" s="2">
        <f t="shared" si="189"/>
        <v>0</v>
      </c>
      <c r="AK1912" s="5">
        <f t="shared" si="192"/>
        <v>0</v>
      </c>
    </row>
    <row r="1913" spans="1:37" x14ac:dyDescent="0.2">
      <c r="A1913" s="2">
        <v>2025</v>
      </c>
      <c r="B1913" s="2">
        <v>10</v>
      </c>
      <c r="C1913" s="2" t="s">
        <v>419</v>
      </c>
      <c r="D1913" s="2" t="s">
        <v>38</v>
      </c>
      <c r="E1913" s="2" t="s">
        <v>39</v>
      </c>
      <c r="F1913" s="2">
        <v>219908800</v>
      </c>
      <c r="G1913" s="2" t="s">
        <v>41</v>
      </c>
      <c r="H1913" s="2" t="s">
        <v>420</v>
      </c>
      <c r="I1913" s="2" t="s">
        <v>421</v>
      </c>
      <c r="K1913" s="2" t="s">
        <v>422</v>
      </c>
      <c r="L1913" s="2" t="s">
        <v>41</v>
      </c>
      <c r="O1913" s="2" t="s">
        <v>43</v>
      </c>
      <c r="P1913" s="2" t="s">
        <v>62</v>
      </c>
      <c r="Q1913" s="2" t="s">
        <v>63</v>
      </c>
      <c r="R1913" s="2">
        <v>200</v>
      </c>
      <c r="S1913" s="2">
        <v>26</v>
      </c>
      <c r="T1913" s="2">
        <v>5.98</v>
      </c>
      <c r="U1913" s="2">
        <v>31.98</v>
      </c>
      <c r="V1913" s="2">
        <f>0.082*R1913</f>
        <v>16.400000000000002</v>
      </c>
      <c r="W1913" s="5">
        <f t="shared" si="191"/>
        <v>0.36923076923076914</v>
      </c>
      <c r="Y1913" s="2" t="s">
        <v>3256</v>
      </c>
      <c r="Z1913" s="2" t="s">
        <v>46</v>
      </c>
      <c r="AA1913" s="2" t="s">
        <v>61</v>
      </c>
      <c r="AB1913" s="2" t="s">
        <v>58</v>
      </c>
      <c r="AE1913" s="2">
        <f t="shared" si="187"/>
        <v>0</v>
      </c>
      <c r="AF1913" s="2">
        <v>8.1999999999999993</v>
      </c>
      <c r="AG1913" s="2">
        <v>13</v>
      </c>
      <c r="AI1913" s="2">
        <f t="shared" si="188"/>
        <v>0</v>
      </c>
      <c r="AJ1913" s="2">
        <f t="shared" si="189"/>
        <v>9.5999999999999979</v>
      </c>
      <c r="AK1913" s="5">
        <f t="shared" si="192"/>
        <v>0.36923076923076914</v>
      </c>
    </row>
    <row r="1914" spans="1:37" x14ac:dyDescent="0.2">
      <c r="A1914" s="2">
        <v>2025</v>
      </c>
      <c r="B1914" s="2">
        <v>10</v>
      </c>
      <c r="C1914" s="2" t="s">
        <v>419</v>
      </c>
      <c r="D1914" s="2" t="s">
        <v>38</v>
      </c>
      <c r="E1914" s="2" t="s">
        <v>39</v>
      </c>
      <c r="F1914" s="2">
        <v>219908800</v>
      </c>
      <c r="G1914" s="2" t="s">
        <v>41</v>
      </c>
      <c r="H1914" s="2" t="s">
        <v>420</v>
      </c>
      <c r="I1914" s="2" t="s">
        <v>421</v>
      </c>
      <c r="K1914" s="2" t="s">
        <v>422</v>
      </c>
      <c r="L1914" s="2" t="s">
        <v>41</v>
      </c>
      <c r="O1914" s="2" t="s">
        <v>43</v>
      </c>
      <c r="P1914" s="2" t="s">
        <v>165</v>
      </c>
      <c r="Q1914" s="2" t="s">
        <v>166</v>
      </c>
      <c r="R1914" s="2">
        <v>1</v>
      </c>
      <c r="S1914" s="2">
        <v>14.5</v>
      </c>
      <c r="T1914" s="2">
        <v>3.335</v>
      </c>
      <c r="U1914" s="2">
        <v>17.835000000000001</v>
      </c>
      <c r="V1914" s="2">
        <f>7.9612*R1914</f>
        <v>7.9611999999999998</v>
      </c>
      <c r="W1914" s="5">
        <f t="shared" si="191"/>
        <v>0.45095172413793105</v>
      </c>
      <c r="Y1914" s="2" t="s">
        <v>3256</v>
      </c>
      <c r="Z1914" s="2" t="s">
        <v>46</v>
      </c>
      <c r="AA1914" s="2" t="s">
        <v>68</v>
      </c>
      <c r="AB1914" s="2" t="s">
        <v>58</v>
      </c>
      <c r="AE1914" s="2">
        <f t="shared" si="187"/>
        <v>0</v>
      </c>
      <c r="AF1914" s="2">
        <v>7.9611999999999998</v>
      </c>
      <c r="AG1914" s="2">
        <v>14.4</v>
      </c>
      <c r="AI1914" s="2">
        <f t="shared" si="188"/>
        <v>0</v>
      </c>
      <c r="AJ1914" s="2">
        <f t="shared" si="189"/>
        <v>6.5388000000000002</v>
      </c>
      <c r="AK1914" s="5">
        <f t="shared" si="192"/>
        <v>0.45095172413793105</v>
      </c>
    </row>
    <row r="1915" spans="1:37" x14ac:dyDescent="0.2">
      <c r="A1915" s="2">
        <v>2025</v>
      </c>
      <c r="B1915" s="2">
        <v>10</v>
      </c>
      <c r="C1915" s="2" t="s">
        <v>426</v>
      </c>
      <c r="D1915" s="2" t="s">
        <v>99</v>
      </c>
      <c r="E1915" s="2" t="s">
        <v>39</v>
      </c>
      <c r="F1915" s="2">
        <v>503523470</v>
      </c>
      <c r="G1915" s="2" t="s">
        <v>40</v>
      </c>
      <c r="H1915" s="2" t="s">
        <v>427</v>
      </c>
      <c r="I1915" s="2" t="s">
        <v>428</v>
      </c>
      <c r="K1915" s="2" t="s">
        <v>202</v>
      </c>
      <c r="L1915" s="2" t="s">
        <v>81</v>
      </c>
      <c r="O1915" s="2" t="s">
        <v>43</v>
      </c>
      <c r="P1915" s="2" t="s">
        <v>55</v>
      </c>
      <c r="Q1915" s="2" t="s">
        <v>56</v>
      </c>
      <c r="R1915" s="2">
        <v>3</v>
      </c>
      <c r="S1915" s="2">
        <v>54</v>
      </c>
      <c r="T1915" s="2">
        <v>12.42</v>
      </c>
      <c r="U1915" s="2">
        <v>66.42</v>
      </c>
      <c r="V1915" s="2">
        <f>10.6*R1915</f>
        <v>31.799999999999997</v>
      </c>
      <c r="W1915" s="5">
        <f t="shared" si="191"/>
        <v>0.41111111111111115</v>
      </c>
      <c r="Y1915" s="2" t="s">
        <v>3256</v>
      </c>
      <c r="Z1915" s="2" t="s">
        <v>46</v>
      </c>
      <c r="AA1915" s="2" t="s">
        <v>57</v>
      </c>
      <c r="AB1915" s="2" t="s">
        <v>58</v>
      </c>
      <c r="AE1915" s="2">
        <f t="shared" si="187"/>
        <v>0</v>
      </c>
      <c r="AF1915" s="2">
        <v>10.6</v>
      </c>
      <c r="AG1915" s="2">
        <v>18</v>
      </c>
      <c r="AI1915" s="2">
        <f t="shared" si="188"/>
        <v>0</v>
      </c>
      <c r="AJ1915" s="2">
        <f t="shared" si="189"/>
        <v>22.200000000000003</v>
      </c>
      <c r="AK1915" s="5">
        <f t="shared" si="192"/>
        <v>0.41111111111111115</v>
      </c>
    </row>
    <row r="1916" spans="1:37" x14ac:dyDescent="0.2">
      <c r="A1916" s="2">
        <v>2025</v>
      </c>
      <c r="B1916" s="2">
        <v>10</v>
      </c>
      <c r="C1916" s="2" t="s">
        <v>426</v>
      </c>
      <c r="D1916" s="2" t="s">
        <v>99</v>
      </c>
      <c r="E1916" s="2" t="s">
        <v>39</v>
      </c>
      <c r="F1916" s="2">
        <v>503523470</v>
      </c>
      <c r="G1916" s="2" t="s">
        <v>40</v>
      </c>
      <c r="H1916" s="2" t="s">
        <v>427</v>
      </c>
      <c r="I1916" s="2" t="s">
        <v>428</v>
      </c>
      <c r="K1916" s="2" t="s">
        <v>202</v>
      </c>
      <c r="L1916" s="2" t="s">
        <v>81</v>
      </c>
      <c r="O1916" s="2" t="s">
        <v>43</v>
      </c>
      <c r="P1916" s="2" t="s">
        <v>62</v>
      </c>
      <c r="Q1916" s="2" t="s">
        <v>63</v>
      </c>
      <c r="R1916" s="2">
        <v>100</v>
      </c>
      <c r="S1916" s="2">
        <v>13</v>
      </c>
      <c r="T1916" s="2">
        <v>2.99</v>
      </c>
      <c r="U1916" s="2">
        <v>15.99</v>
      </c>
      <c r="V1916" s="2">
        <f>0.082*R1916</f>
        <v>8.2000000000000011</v>
      </c>
      <c r="W1916" s="5">
        <f t="shared" si="191"/>
        <v>0.36923076923076914</v>
      </c>
      <c r="Y1916" s="2" t="s">
        <v>3256</v>
      </c>
      <c r="Z1916" s="2" t="s">
        <v>46</v>
      </c>
      <c r="AA1916" s="2" t="s">
        <v>61</v>
      </c>
      <c r="AB1916" s="2" t="s">
        <v>58</v>
      </c>
      <c r="AE1916" s="2">
        <f t="shared" si="187"/>
        <v>0</v>
      </c>
      <c r="AF1916" s="2">
        <v>8.1999999999999993</v>
      </c>
      <c r="AG1916" s="2">
        <v>13</v>
      </c>
      <c r="AI1916" s="2">
        <f t="shared" si="188"/>
        <v>0</v>
      </c>
      <c r="AJ1916" s="2">
        <f t="shared" si="189"/>
        <v>4.7999999999999989</v>
      </c>
      <c r="AK1916" s="5">
        <f t="shared" si="192"/>
        <v>0.36923076923076914</v>
      </c>
    </row>
    <row r="1917" spans="1:37" x14ac:dyDescent="0.2">
      <c r="A1917" s="2">
        <v>2025</v>
      </c>
      <c r="B1917" s="2">
        <v>10</v>
      </c>
      <c r="C1917" s="2" t="s">
        <v>426</v>
      </c>
      <c r="D1917" s="2" t="s">
        <v>99</v>
      </c>
      <c r="E1917" s="2" t="s">
        <v>39</v>
      </c>
      <c r="F1917" s="2">
        <v>503523470</v>
      </c>
      <c r="G1917" s="2" t="s">
        <v>40</v>
      </c>
      <c r="H1917" s="2" t="s">
        <v>427</v>
      </c>
      <c r="I1917" s="2" t="s">
        <v>428</v>
      </c>
      <c r="K1917" s="2" t="s">
        <v>202</v>
      </c>
      <c r="L1917" s="2" t="s">
        <v>81</v>
      </c>
      <c r="O1917" s="2" t="s">
        <v>43</v>
      </c>
      <c r="P1917" s="2" t="s">
        <v>255</v>
      </c>
      <c r="Q1917" s="2" t="s">
        <v>256</v>
      </c>
      <c r="R1917" s="2">
        <v>100</v>
      </c>
      <c r="S1917" s="2">
        <v>16</v>
      </c>
      <c r="T1917" s="2">
        <v>3.68</v>
      </c>
      <c r="U1917" s="2">
        <v>19.68</v>
      </c>
      <c r="W1917" s="5">
        <f t="shared" si="191"/>
        <v>1</v>
      </c>
      <c r="Y1917" s="2" t="s">
        <v>3256</v>
      </c>
      <c r="Z1917" s="2" t="s">
        <v>46</v>
      </c>
      <c r="AA1917" s="2" t="s">
        <v>61</v>
      </c>
      <c r="AB1917" s="2" t="s">
        <v>58</v>
      </c>
      <c r="AE1917" s="2">
        <f t="shared" si="187"/>
        <v>0</v>
      </c>
      <c r="AI1917" s="2">
        <f t="shared" si="188"/>
        <v>0</v>
      </c>
      <c r="AJ1917" s="2">
        <f t="shared" si="189"/>
        <v>16</v>
      </c>
      <c r="AK1917" s="5">
        <f t="shared" si="192"/>
        <v>1</v>
      </c>
    </row>
    <row r="1918" spans="1:37" x14ac:dyDescent="0.2">
      <c r="A1918" s="2">
        <v>2025</v>
      </c>
      <c r="B1918" s="2">
        <v>10</v>
      </c>
      <c r="C1918" s="2" t="s">
        <v>429</v>
      </c>
      <c r="D1918" s="2" t="s">
        <v>99</v>
      </c>
      <c r="E1918" s="2" t="s">
        <v>39</v>
      </c>
      <c r="F1918" s="2">
        <v>510613888</v>
      </c>
      <c r="G1918" s="2" t="s">
        <v>40</v>
      </c>
      <c r="H1918" s="2" t="s">
        <v>430</v>
      </c>
      <c r="I1918" s="2" t="s">
        <v>431</v>
      </c>
      <c r="K1918" s="2" t="s">
        <v>100</v>
      </c>
      <c r="L1918" s="2" t="s">
        <v>81</v>
      </c>
      <c r="O1918" s="2" t="s">
        <v>43</v>
      </c>
      <c r="P1918" s="2" t="s">
        <v>55</v>
      </c>
      <c r="Q1918" s="2" t="s">
        <v>56</v>
      </c>
      <c r="R1918" s="2">
        <v>1</v>
      </c>
      <c r="S1918" s="2">
        <v>18</v>
      </c>
      <c r="T1918" s="2">
        <v>4.1400000000000006</v>
      </c>
      <c r="U1918" s="2">
        <v>22.14</v>
      </c>
      <c r="V1918" s="2">
        <f>10.6*R1918</f>
        <v>10.6</v>
      </c>
      <c r="W1918" s="5">
        <f t="shared" si="191"/>
        <v>0.41111111111111115</v>
      </c>
      <c r="Y1918" s="2" t="s">
        <v>3256</v>
      </c>
      <c r="Z1918" s="2" t="s">
        <v>46</v>
      </c>
      <c r="AA1918" s="2" t="s">
        <v>57</v>
      </c>
      <c r="AB1918" s="2" t="s">
        <v>58</v>
      </c>
      <c r="AE1918" s="2">
        <f t="shared" si="187"/>
        <v>0</v>
      </c>
      <c r="AF1918" s="2">
        <v>10.6</v>
      </c>
      <c r="AG1918" s="2">
        <v>18</v>
      </c>
      <c r="AI1918" s="2">
        <f t="shared" si="188"/>
        <v>0</v>
      </c>
      <c r="AJ1918" s="2">
        <f t="shared" si="189"/>
        <v>7.4</v>
      </c>
      <c r="AK1918" s="5">
        <f t="shared" si="192"/>
        <v>0.41111111111111115</v>
      </c>
    </row>
    <row r="1919" spans="1:37" x14ac:dyDescent="0.2">
      <c r="A1919" s="2">
        <v>2025</v>
      </c>
      <c r="B1919" s="2">
        <v>10</v>
      </c>
      <c r="C1919" s="2" t="s">
        <v>1383</v>
      </c>
      <c r="O1919" s="2" t="s">
        <v>115</v>
      </c>
      <c r="P1919" s="2" t="s">
        <v>678</v>
      </c>
      <c r="Q1919" s="2" t="s">
        <v>679</v>
      </c>
      <c r="R1919" s="2">
        <v>1</v>
      </c>
      <c r="S1919" s="2">
        <v>12.81</v>
      </c>
      <c r="T1919" s="2">
        <v>2.9462999999999999</v>
      </c>
      <c r="U1919" s="2">
        <v>15.7563</v>
      </c>
      <c r="W1919" s="5">
        <f t="shared" si="191"/>
        <v>1</v>
      </c>
      <c r="AE1919" s="2">
        <f t="shared" si="187"/>
        <v>0</v>
      </c>
      <c r="AI1919" s="2">
        <f t="shared" si="188"/>
        <v>0</v>
      </c>
      <c r="AJ1919" s="2">
        <f t="shared" si="189"/>
        <v>12.81</v>
      </c>
      <c r="AK1919" s="5">
        <f t="shared" si="192"/>
        <v>1</v>
      </c>
    </row>
    <row r="1920" spans="1:37" x14ac:dyDescent="0.2">
      <c r="A1920" s="2">
        <v>2025</v>
      </c>
      <c r="B1920" s="2">
        <v>10</v>
      </c>
      <c r="C1920" s="2" t="s">
        <v>1383</v>
      </c>
      <c r="O1920" s="2" t="s">
        <v>115</v>
      </c>
      <c r="P1920" s="2" t="s">
        <v>986</v>
      </c>
      <c r="Q1920" s="2" t="s">
        <v>987</v>
      </c>
      <c r="R1920" s="2">
        <v>1</v>
      </c>
      <c r="S1920" s="2">
        <v>68.42</v>
      </c>
      <c r="T1920" s="2">
        <v>15.736599999999999</v>
      </c>
      <c r="U1920" s="2">
        <v>84.156599999999997</v>
      </c>
      <c r="W1920" s="5">
        <f t="shared" si="191"/>
        <v>1</v>
      </c>
      <c r="AE1920" s="2">
        <f t="shared" si="187"/>
        <v>0</v>
      </c>
      <c r="AI1920" s="2">
        <f t="shared" si="188"/>
        <v>0</v>
      </c>
      <c r="AJ1920" s="2">
        <f t="shared" si="189"/>
        <v>68.42</v>
      </c>
      <c r="AK1920" s="5">
        <f t="shared" si="192"/>
        <v>1</v>
      </c>
    </row>
    <row r="1921" spans="1:37" x14ac:dyDescent="0.2">
      <c r="A1921" s="2">
        <v>2025</v>
      </c>
      <c r="B1921" s="2">
        <v>10</v>
      </c>
      <c r="C1921" s="2" t="s">
        <v>1909</v>
      </c>
      <c r="O1921" s="2" t="s">
        <v>73</v>
      </c>
      <c r="P1921" s="2" t="s">
        <v>1910</v>
      </c>
      <c r="Q1921" s="2" t="s">
        <v>1004</v>
      </c>
      <c r="R1921" s="2">
        <v>1</v>
      </c>
      <c r="S1921" s="2">
        <v>365</v>
      </c>
      <c r="T1921" s="2">
        <v>83.95</v>
      </c>
      <c r="U1921" s="2">
        <v>448.95</v>
      </c>
      <c r="W1921" s="5">
        <f t="shared" si="191"/>
        <v>1</v>
      </c>
      <c r="Y1921" s="2" t="s">
        <v>3256</v>
      </c>
      <c r="Z1921" s="2" t="s">
        <v>76</v>
      </c>
      <c r="AA1921" s="2" t="s">
        <v>77</v>
      </c>
      <c r="AB1921" s="2" t="s">
        <v>78</v>
      </c>
      <c r="AE1921" s="2">
        <f t="shared" si="187"/>
        <v>0</v>
      </c>
      <c r="AI1921" s="2">
        <f t="shared" si="188"/>
        <v>0</v>
      </c>
      <c r="AJ1921" s="2">
        <f t="shared" si="189"/>
        <v>365</v>
      </c>
      <c r="AK1921" s="5">
        <f t="shared" si="192"/>
        <v>1</v>
      </c>
    </row>
    <row r="1922" spans="1:37" x14ac:dyDescent="0.2">
      <c r="A1922" s="2">
        <v>2025</v>
      </c>
      <c r="B1922" s="2">
        <v>10</v>
      </c>
      <c r="C1922" s="2" t="s">
        <v>1909</v>
      </c>
      <c r="O1922" s="2" t="s">
        <v>94</v>
      </c>
      <c r="P1922" s="2" t="s">
        <v>95</v>
      </c>
      <c r="Q1922" s="2" t="s">
        <v>96</v>
      </c>
      <c r="R1922" s="2">
        <v>1</v>
      </c>
      <c r="S1922" s="2">
        <v>1.1399999999999999</v>
      </c>
      <c r="T1922" s="2">
        <v>0.26219999999999999</v>
      </c>
      <c r="U1922" s="2">
        <v>1.4021999999999999</v>
      </c>
      <c r="V1922" s="2">
        <v>1.1399999999999999</v>
      </c>
      <c r="W1922" s="5">
        <f t="shared" si="191"/>
        <v>0</v>
      </c>
      <c r="Y1922" s="2" t="s">
        <v>3256</v>
      </c>
      <c r="Z1922" s="2" t="s">
        <v>97</v>
      </c>
      <c r="AA1922" s="2" t="s">
        <v>77</v>
      </c>
      <c r="AB1922" s="2" t="s">
        <v>94</v>
      </c>
      <c r="AE1922" s="2">
        <f t="shared" si="187"/>
        <v>0</v>
      </c>
      <c r="AI1922" s="2">
        <f t="shared" si="188"/>
        <v>0</v>
      </c>
      <c r="AJ1922" s="2">
        <f t="shared" si="189"/>
        <v>0</v>
      </c>
      <c r="AK1922" s="5">
        <f t="shared" si="192"/>
        <v>0</v>
      </c>
    </row>
    <row r="1923" spans="1:37" x14ac:dyDescent="0.2">
      <c r="A1923" s="2">
        <v>2025</v>
      </c>
      <c r="B1923" s="2">
        <v>10</v>
      </c>
      <c r="C1923" s="2" t="s">
        <v>432</v>
      </c>
      <c r="D1923" s="2" t="s">
        <v>38</v>
      </c>
      <c r="F1923" s="2">
        <v>500820384</v>
      </c>
      <c r="G1923" s="2" t="s">
        <v>40</v>
      </c>
      <c r="H1923" s="2" t="s">
        <v>433</v>
      </c>
      <c r="I1923" s="2" t="s">
        <v>434</v>
      </c>
      <c r="K1923" s="2" t="s">
        <v>100</v>
      </c>
      <c r="L1923" s="2" t="s">
        <v>81</v>
      </c>
      <c r="N1923" s="2" t="s">
        <v>1911</v>
      </c>
      <c r="O1923" s="2" t="s">
        <v>73</v>
      </c>
      <c r="P1923" s="2" t="s">
        <v>79</v>
      </c>
      <c r="Q1923" s="2" t="s">
        <v>80</v>
      </c>
      <c r="R1923" s="2">
        <v>2</v>
      </c>
      <c r="S1923" s="2">
        <v>378.3</v>
      </c>
      <c r="T1923" s="2">
        <v>87.009</v>
      </c>
      <c r="U1923" s="2">
        <v>465.30900000000003</v>
      </c>
      <c r="V1923" s="2">
        <f>111.98*R1923</f>
        <v>223.96</v>
      </c>
      <c r="W1923" s="5">
        <f t="shared" si="191"/>
        <v>0.40798308220988633</v>
      </c>
      <c r="Y1923" s="2" t="s">
        <v>3256</v>
      </c>
      <c r="Z1923" s="2" t="s">
        <v>76</v>
      </c>
      <c r="AA1923" s="2" t="s">
        <v>77</v>
      </c>
      <c r="AB1923" s="2" t="s">
        <v>78</v>
      </c>
      <c r="AE1923" s="2">
        <f t="shared" ref="AE1923:AE1986" si="193">AI1923</f>
        <v>0</v>
      </c>
      <c r="AF1923" s="2">
        <v>111.98</v>
      </c>
      <c r="AG1923" s="2">
        <v>210</v>
      </c>
      <c r="AI1923" s="2">
        <f t="shared" ref="AI1923:AI1986" si="194">AH1923*S1923</f>
        <v>0</v>
      </c>
      <c r="AJ1923" s="2">
        <f t="shared" ref="AJ1923:AJ1986" si="195">S1923-V1923</f>
        <v>154.34</v>
      </c>
      <c r="AK1923" s="5">
        <f t="shared" si="192"/>
        <v>0.40798308220988633</v>
      </c>
    </row>
    <row r="1924" spans="1:37" x14ac:dyDescent="0.2">
      <c r="A1924" s="2">
        <v>2025</v>
      </c>
      <c r="B1924" s="2">
        <v>10</v>
      </c>
      <c r="C1924" s="2" t="s">
        <v>432</v>
      </c>
      <c r="D1924" s="2" t="s">
        <v>38</v>
      </c>
      <c r="F1924" s="2">
        <v>500820384</v>
      </c>
      <c r="G1924" s="2" t="s">
        <v>40</v>
      </c>
      <c r="H1924" s="2" t="s">
        <v>433</v>
      </c>
      <c r="I1924" s="2" t="s">
        <v>434</v>
      </c>
      <c r="K1924" s="2" t="s">
        <v>100</v>
      </c>
      <c r="L1924" s="2" t="s">
        <v>81</v>
      </c>
      <c r="N1924" s="2" t="s">
        <v>1912</v>
      </c>
      <c r="O1924" s="2" t="s">
        <v>73</v>
      </c>
      <c r="P1924" s="2" t="s">
        <v>537</v>
      </c>
      <c r="Q1924" s="2" t="s">
        <v>538</v>
      </c>
      <c r="R1924" s="2">
        <v>1</v>
      </c>
      <c r="S1924" s="2">
        <v>271.60000000000002</v>
      </c>
      <c r="T1924" s="2">
        <v>62.468000000000011</v>
      </c>
      <c r="U1924" s="2">
        <v>334.06799999999998</v>
      </c>
      <c r="V1924" s="2">
        <f>110.125+11.77</f>
        <v>121.895</v>
      </c>
      <c r="W1924" s="5">
        <f t="shared" si="191"/>
        <v>0.55119661266568498</v>
      </c>
      <c r="Y1924" s="2" t="s">
        <v>3256</v>
      </c>
      <c r="Z1924" s="2" t="s">
        <v>76</v>
      </c>
      <c r="AA1924" s="2" t="s">
        <v>77</v>
      </c>
      <c r="AB1924" s="2" t="s">
        <v>78</v>
      </c>
      <c r="AE1924" s="2">
        <f t="shared" si="193"/>
        <v>0</v>
      </c>
      <c r="AF1924" s="2">
        <f>110.125+11.77</f>
        <v>121.895</v>
      </c>
      <c r="AI1924" s="2">
        <f t="shared" si="194"/>
        <v>0</v>
      </c>
      <c r="AJ1924" s="2">
        <f t="shared" si="195"/>
        <v>149.70500000000004</v>
      </c>
      <c r="AK1924" s="5">
        <f t="shared" si="192"/>
        <v>0.55119661266568498</v>
      </c>
    </row>
    <row r="1925" spans="1:37" x14ac:dyDescent="0.2">
      <c r="A1925" s="2">
        <v>2025</v>
      </c>
      <c r="B1925" s="2">
        <v>10</v>
      </c>
      <c r="C1925" s="2" t="s">
        <v>432</v>
      </c>
      <c r="D1925" s="2" t="s">
        <v>38</v>
      </c>
      <c r="F1925" s="2">
        <v>500820384</v>
      </c>
      <c r="G1925" s="2" t="s">
        <v>40</v>
      </c>
      <c r="H1925" s="2" t="s">
        <v>433</v>
      </c>
      <c r="I1925" s="2" t="s">
        <v>434</v>
      </c>
      <c r="K1925" s="2" t="s">
        <v>100</v>
      </c>
      <c r="L1925" s="2" t="s">
        <v>81</v>
      </c>
      <c r="N1925" s="2" t="s">
        <v>1912</v>
      </c>
      <c r="O1925" s="2" t="s">
        <v>170</v>
      </c>
      <c r="P1925" s="2" t="s">
        <v>171</v>
      </c>
      <c r="Q1925" s="2" t="s">
        <v>171</v>
      </c>
      <c r="R1925" s="2">
        <v>1</v>
      </c>
      <c r="S1925" s="2">
        <v>120</v>
      </c>
      <c r="T1925" s="2">
        <v>27.6</v>
      </c>
      <c r="U1925" s="2">
        <v>147.6</v>
      </c>
      <c r="W1925" s="5">
        <f t="shared" si="191"/>
        <v>1</v>
      </c>
      <c r="Y1925" s="2" t="s">
        <v>170</v>
      </c>
      <c r="Z1925" s="2" t="s">
        <v>170</v>
      </c>
      <c r="AE1925" s="2">
        <f t="shared" si="193"/>
        <v>0</v>
      </c>
      <c r="AI1925" s="2">
        <f t="shared" si="194"/>
        <v>0</v>
      </c>
      <c r="AJ1925" s="2">
        <f t="shared" si="195"/>
        <v>120</v>
      </c>
      <c r="AK1925" s="5">
        <f t="shared" si="192"/>
        <v>1</v>
      </c>
    </row>
    <row r="1926" spans="1:37" x14ac:dyDescent="0.2">
      <c r="A1926" s="2">
        <v>2025</v>
      </c>
      <c r="B1926" s="2">
        <v>10</v>
      </c>
      <c r="C1926" s="2" t="s">
        <v>432</v>
      </c>
      <c r="D1926" s="2" t="s">
        <v>38</v>
      </c>
      <c r="F1926" s="2">
        <v>500820384</v>
      </c>
      <c r="G1926" s="2" t="s">
        <v>40</v>
      </c>
      <c r="H1926" s="2" t="s">
        <v>433</v>
      </c>
      <c r="I1926" s="2" t="s">
        <v>434</v>
      </c>
      <c r="K1926" s="2" t="s">
        <v>100</v>
      </c>
      <c r="L1926" s="2" t="s">
        <v>81</v>
      </c>
      <c r="N1926" s="2" t="s">
        <v>1913</v>
      </c>
      <c r="O1926" s="2" t="s">
        <v>94</v>
      </c>
      <c r="P1926" s="2" t="s">
        <v>95</v>
      </c>
      <c r="Q1926" s="2" t="s">
        <v>96</v>
      </c>
      <c r="R1926" s="2">
        <v>3</v>
      </c>
      <c r="S1926" s="2">
        <v>3.42</v>
      </c>
      <c r="T1926" s="2">
        <v>0.78659999999999997</v>
      </c>
      <c r="U1926" s="2">
        <v>4.2065999999999999</v>
      </c>
      <c r="V1926" s="2">
        <v>3.42</v>
      </c>
      <c r="W1926" s="5">
        <f t="shared" si="191"/>
        <v>0</v>
      </c>
      <c r="Y1926" s="2" t="s">
        <v>3256</v>
      </c>
      <c r="Z1926" s="2" t="s">
        <v>97</v>
      </c>
      <c r="AA1926" s="2" t="s">
        <v>77</v>
      </c>
      <c r="AB1926" s="2" t="s">
        <v>94</v>
      </c>
      <c r="AE1926" s="2">
        <f t="shared" si="193"/>
        <v>0</v>
      </c>
      <c r="AI1926" s="2">
        <f t="shared" si="194"/>
        <v>0</v>
      </c>
      <c r="AJ1926" s="2">
        <f t="shared" si="195"/>
        <v>0</v>
      </c>
      <c r="AK1926" s="5">
        <f t="shared" si="192"/>
        <v>0</v>
      </c>
    </row>
    <row r="1927" spans="1:37" x14ac:dyDescent="0.2">
      <c r="A1927" s="2">
        <v>2025</v>
      </c>
      <c r="B1927" s="2">
        <v>10</v>
      </c>
      <c r="C1927" s="2" t="s">
        <v>1569</v>
      </c>
      <c r="D1927" s="2" t="s">
        <v>109</v>
      </c>
      <c r="E1927" s="2" t="s">
        <v>723</v>
      </c>
      <c r="F1927" s="2">
        <v>500975914</v>
      </c>
      <c r="G1927" s="2" t="s">
        <v>41</v>
      </c>
      <c r="H1927" s="2" t="s">
        <v>1570</v>
      </c>
      <c r="I1927" s="2" t="s">
        <v>1571</v>
      </c>
      <c r="K1927" s="2" t="s">
        <v>100</v>
      </c>
      <c r="L1927" s="2" t="s">
        <v>41</v>
      </c>
      <c r="O1927" s="2" t="s">
        <v>283</v>
      </c>
      <c r="P1927" s="2" t="s">
        <v>401</v>
      </c>
      <c r="Q1927" s="2" t="s">
        <v>402</v>
      </c>
      <c r="R1927" s="2">
        <v>20</v>
      </c>
      <c r="S1927" s="2">
        <v>400</v>
      </c>
      <c r="T1927" s="2">
        <v>92</v>
      </c>
      <c r="U1927" s="2">
        <v>492</v>
      </c>
      <c r="W1927" s="5">
        <f t="shared" si="191"/>
        <v>1</v>
      </c>
      <c r="Y1927" s="2" t="s">
        <v>3256</v>
      </c>
      <c r="Z1927" s="2" t="s">
        <v>46</v>
      </c>
      <c r="AA1927" s="2" t="s">
        <v>61</v>
      </c>
      <c r="AB1927" s="2" t="s">
        <v>403</v>
      </c>
      <c r="AE1927" s="2">
        <f t="shared" si="193"/>
        <v>0</v>
      </c>
      <c r="AI1927" s="2">
        <f t="shared" si="194"/>
        <v>0</v>
      </c>
      <c r="AJ1927" s="2">
        <f t="shared" si="195"/>
        <v>400</v>
      </c>
      <c r="AK1927" s="5">
        <f t="shared" si="192"/>
        <v>1</v>
      </c>
    </row>
    <row r="1928" spans="1:37" x14ac:dyDescent="0.2">
      <c r="A1928" s="2">
        <v>2025</v>
      </c>
      <c r="B1928" s="2">
        <v>10</v>
      </c>
      <c r="C1928" s="2" t="s">
        <v>1569</v>
      </c>
      <c r="D1928" s="2" t="s">
        <v>109</v>
      </c>
      <c r="E1928" s="2" t="s">
        <v>723</v>
      </c>
      <c r="F1928" s="2">
        <v>500975914</v>
      </c>
      <c r="G1928" s="2" t="s">
        <v>41</v>
      </c>
      <c r="H1928" s="2" t="s">
        <v>1570</v>
      </c>
      <c r="I1928" s="2" t="s">
        <v>1571</v>
      </c>
      <c r="K1928" s="2" t="s">
        <v>100</v>
      </c>
      <c r="L1928" s="2" t="s">
        <v>41</v>
      </c>
      <c r="O1928" s="2" t="s">
        <v>283</v>
      </c>
      <c r="P1928" s="2" t="s">
        <v>404</v>
      </c>
      <c r="Q1928" s="2" t="s">
        <v>405</v>
      </c>
      <c r="R1928" s="2">
        <v>20</v>
      </c>
      <c r="S1928" s="2">
        <v>400</v>
      </c>
      <c r="T1928" s="2">
        <v>92</v>
      </c>
      <c r="U1928" s="2">
        <v>492</v>
      </c>
      <c r="W1928" s="5">
        <f t="shared" ref="W1928:W1959" si="196">(S1928-V1928)/S1928</f>
        <v>1</v>
      </c>
      <c r="Y1928" s="2" t="s">
        <v>3256</v>
      </c>
      <c r="AE1928" s="2">
        <f t="shared" si="193"/>
        <v>0</v>
      </c>
      <c r="AI1928" s="2">
        <f t="shared" si="194"/>
        <v>0</v>
      </c>
      <c r="AJ1928" s="2">
        <f t="shared" si="195"/>
        <v>400</v>
      </c>
      <c r="AK1928" s="5">
        <f t="shared" si="192"/>
        <v>1</v>
      </c>
    </row>
    <row r="1929" spans="1:37" x14ac:dyDescent="0.2">
      <c r="A1929" s="2">
        <v>2025</v>
      </c>
      <c r="B1929" s="2">
        <v>10</v>
      </c>
      <c r="C1929" s="2" t="s">
        <v>1914</v>
      </c>
      <c r="O1929" s="2" t="s">
        <v>3260</v>
      </c>
      <c r="P1929" s="2" t="s">
        <v>1915</v>
      </c>
      <c r="Q1929" s="2" t="s">
        <v>1916</v>
      </c>
      <c r="R1929" s="2">
        <v>1</v>
      </c>
      <c r="S1929" s="2">
        <v>2800</v>
      </c>
      <c r="T1929" s="2">
        <v>644</v>
      </c>
      <c r="U1929" s="2">
        <v>3444</v>
      </c>
      <c r="V1929" s="2">
        <v>1901.597</v>
      </c>
      <c r="W1929" s="5">
        <f t="shared" si="196"/>
        <v>0.32085821428571432</v>
      </c>
      <c r="Y1929" s="2" t="s">
        <v>105</v>
      </c>
      <c r="Z1929" s="2" t="s">
        <v>265</v>
      </c>
      <c r="AA1929" s="2" t="s">
        <v>1917</v>
      </c>
      <c r="AB1929" s="2" t="s">
        <v>3260</v>
      </c>
      <c r="AE1929" s="2">
        <f t="shared" si="193"/>
        <v>0</v>
      </c>
      <c r="AI1929" s="2">
        <f t="shared" si="194"/>
        <v>0</v>
      </c>
      <c r="AJ1929" s="2">
        <f t="shared" si="195"/>
        <v>898.40300000000002</v>
      </c>
      <c r="AK1929" s="5">
        <f t="shared" si="192"/>
        <v>0.32085821428571432</v>
      </c>
    </row>
    <row r="1930" spans="1:37" x14ac:dyDescent="0.2">
      <c r="A1930" s="2">
        <v>2025</v>
      </c>
      <c r="B1930" s="2">
        <v>10</v>
      </c>
      <c r="C1930" s="2" t="s">
        <v>1914</v>
      </c>
      <c r="O1930" s="2" t="s">
        <v>69</v>
      </c>
      <c r="P1930" s="2" t="s">
        <v>1918</v>
      </c>
      <c r="Q1930" s="2" t="s">
        <v>1919</v>
      </c>
      <c r="R1930" s="2">
        <v>1</v>
      </c>
      <c r="S1930" s="2">
        <v>3800</v>
      </c>
      <c r="T1930" s="2">
        <v>874</v>
      </c>
      <c r="U1930" s="2">
        <v>4674</v>
      </c>
      <c r="W1930" s="5">
        <f t="shared" si="196"/>
        <v>1</v>
      </c>
      <c r="Y1930" s="2" t="s">
        <v>105</v>
      </c>
      <c r="AB1930" s="2" t="s">
        <v>3261</v>
      </c>
      <c r="AE1930" s="2">
        <f t="shared" si="193"/>
        <v>0</v>
      </c>
      <c r="AI1930" s="2">
        <f t="shared" si="194"/>
        <v>0</v>
      </c>
      <c r="AJ1930" s="2">
        <f t="shared" si="195"/>
        <v>3800</v>
      </c>
      <c r="AK1930" s="5">
        <f t="shared" si="192"/>
        <v>1</v>
      </c>
    </row>
    <row r="1931" spans="1:37" x14ac:dyDescent="0.2">
      <c r="A1931" s="2">
        <v>2025</v>
      </c>
      <c r="B1931" s="2">
        <v>10</v>
      </c>
      <c r="C1931" s="2" t="s">
        <v>1920</v>
      </c>
      <c r="O1931" s="2" t="s">
        <v>115</v>
      </c>
      <c r="P1931" s="2" t="s">
        <v>1921</v>
      </c>
      <c r="Q1931" s="2" t="s">
        <v>1922</v>
      </c>
      <c r="R1931" s="2">
        <v>1</v>
      </c>
      <c r="S1931" s="2">
        <v>1031.94</v>
      </c>
      <c r="T1931" s="2">
        <v>237.34620000000001</v>
      </c>
      <c r="U1931" s="2">
        <v>1269.2862</v>
      </c>
      <c r="W1931" s="5">
        <f t="shared" si="196"/>
        <v>1</v>
      </c>
      <c r="AE1931" s="2">
        <f t="shared" si="193"/>
        <v>0</v>
      </c>
      <c r="AI1931" s="2">
        <f t="shared" si="194"/>
        <v>0</v>
      </c>
      <c r="AJ1931" s="2">
        <f t="shared" si="195"/>
        <v>1031.94</v>
      </c>
      <c r="AK1931" s="5">
        <f t="shared" si="192"/>
        <v>1</v>
      </c>
    </row>
    <row r="1932" spans="1:37" x14ac:dyDescent="0.2">
      <c r="A1932" s="2">
        <v>2025</v>
      </c>
      <c r="B1932" s="2">
        <v>10</v>
      </c>
      <c r="C1932" s="2" t="s">
        <v>1920</v>
      </c>
      <c r="L1932" s="2" t="s">
        <v>40</v>
      </c>
      <c r="O1932" s="2" t="s">
        <v>188</v>
      </c>
      <c r="P1932" s="2" t="s">
        <v>189</v>
      </c>
      <c r="Q1932" s="2" t="s">
        <v>190</v>
      </c>
      <c r="R1932" s="2">
        <v>1</v>
      </c>
      <c r="S1932" s="2">
        <v>65</v>
      </c>
      <c r="T1932" s="2">
        <v>14.95</v>
      </c>
      <c r="U1932" s="2">
        <v>79.95</v>
      </c>
      <c r="W1932" s="5">
        <f t="shared" si="196"/>
        <v>1</v>
      </c>
      <c r="Y1932" s="2" t="s">
        <v>118</v>
      </c>
      <c r="Z1932" s="2" t="s">
        <v>191</v>
      </c>
      <c r="AE1932" s="2">
        <f t="shared" si="193"/>
        <v>0</v>
      </c>
      <c r="AI1932" s="2">
        <f t="shared" si="194"/>
        <v>0</v>
      </c>
      <c r="AJ1932" s="2">
        <f t="shared" si="195"/>
        <v>65</v>
      </c>
      <c r="AK1932" s="5">
        <f t="shared" si="192"/>
        <v>1</v>
      </c>
    </row>
    <row r="1933" spans="1:37" x14ac:dyDescent="0.2">
      <c r="A1933" s="2">
        <v>2025</v>
      </c>
      <c r="B1933" s="2">
        <v>10</v>
      </c>
      <c r="C1933" s="2" t="s">
        <v>1920</v>
      </c>
      <c r="L1933" s="2" t="s">
        <v>40</v>
      </c>
      <c r="O1933" s="2" t="s">
        <v>188</v>
      </c>
      <c r="P1933" s="2" t="s">
        <v>192</v>
      </c>
      <c r="Q1933" s="2" t="s">
        <v>191</v>
      </c>
      <c r="R1933" s="2">
        <v>1</v>
      </c>
      <c r="S1933" s="2">
        <v>0</v>
      </c>
      <c r="T1933" s="2">
        <v>0</v>
      </c>
      <c r="U1933" s="2">
        <v>0</v>
      </c>
      <c r="V1933" s="2">
        <f>S1933*50%</f>
        <v>0</v>
      </c>
      <c r="W1933" s="5" t="e">
        <f t="shared" si="196"/>
        <v>#DIV/0!</v>
      </c>
      <c r="Y1933" s="2" t="s">
        <v>118</v>
      </c>
      <c r="Z1933" s="2" t="s">
        <v>191</v>
      </c>
      <c r="AE1933" s="2">
        <f t="shared" si="193"/>
        <v>0</v>
      </c>
      <c r="AI1933" s="2">
        <f t="shared" si="194"/>
        <v>0</v>
      </c>
      <c r="AJ1933" s="2">
        <f t="shared" si="195"/>
        <v>0</v>
      </c>
      <c r="AK1933" s="5" t="e">
        <f t="shared" si="192"/>
        <v>#DIV/0!</v>
      </c>
    </row>
    <row r="1934" spans="1:37" x14ac:dyDescent="0.2">
      <c r="A1934" s="2">
        <v>2025</v>
      </c>
      <c r="B1934" s="2">
        <v>10</v>
      </c>
      <c r="C1934" s="2" t="s">
        <v>473</v>
      </c>
      <c r="D1934" s="2" t="s">
        <v>38</v>
      </c>
      <c r="E1934" s="2" t="s">
        <v>474</v>
      </c>
      <c r="F1934" s="2">
        <v>513626930</v>
      </c>
      <c r="G1934" s="2" t="s">
        <v>40</v>
      </c>
      <c r="H1934" s="2" t="s">
        <v>340</v>
      </c>
      <c r="I1934" s="2" t="s">
        <v>475</v>
      </c>
      <c r="K1934" s="2" t="s">
        <v>340</v>
      </c>
      <c r="L1934" s="2" t="s">
        <v>40</v>
      </c>
      <c r="O1934" s="2" t="s">
        <v>115</v>
      </c>
      <c r="P1934" s="2" t="s">
        <v>962</v>
      </c>
      <c r="Q1934" s="2" t="s">
        <v>716</v>
      </c>
      <c r="R1934" s="2">
        <v>1</v>
      </c>
      <c r="S1934" s="2">
        <v>1452</v>
      </c>
      <c r="T1934" s="2">
        <v>333.96</v>
      </c>
      <c r="U1934" s="2">
        <v>1785.96</v>
      </c>
      <c r="W1934" s="5">
        <f t="shared" si="196"/>
        <v>1</v>
      </c>
      <c r="Y1934" s="2" t="s">
        <v>105</v>
      </c>
      <c r="Z1934" s="2" t="s">
        <v>583</v>
      </c>
      <c r="AA1934" s="2" t="s">
        <v>707</v>
      </c>
      <c r="AB1934" s="2" t="s">
        <v>115</v>
      </c>
      <c r="AE1934" s="2">
        <f t="shared" si="193"/>
        <v>0</v>
      </c>
      <c r="AI1934" s="2">
        <f t="shared" si="194"/>
        <v>0</v>
      </c>
      <c r="AJ1934" s="2">
        <f t="shared" si="195"/>
        <v>1452</v>
      </c>
      <c r="AK1934" s="5">
        <f t="shared" si="192"/>
        <v>1</v>
      </c>
    </row>
    <row r="1935" spans="1:37" x14ac:dyDescent="0.2">
      <c r="A1935" s="2">
        <v>2025</v>
      </c>
      <c r="B1935" s="2">
        <v>10</v>
      </c>
      <c r="C1935" s="2" t="s">
        <v>473</v>
      </c>
      <c r="D1935" s="2" t="s">
        <v>38</v>
      </c>
      <c r="E1935" s="2" t="s">
        <v>474</v>
      </c>
      <c r="F1935" s="2">
        <v>513626930</v>
      </c>
      <c r="G1935" s="2" t="s">
        <v>40</v>
      </c>
      <c r="H1935" s="2" t="s">
        <v>340</v>
      </c>
      <c r="I1935" s="2" t="s">
        <v>475</v>
      </c>
      <c r="K1935" s="2" t="s">
        <v>340</v>
      </c>
      <c r="L1935" s="2" t="s">
        <v>40</v>
      </c>
      <c r="O1935" s="2" t="s">
        <v>115</v>
      </c>
      <c r="P1935" s="2" t="s">
        <v>1923</v>
      </c>
      <c r="Q1935" s="2" t="s">
        <v>1924</v>
      </c>
      <c r="R1935" s="2">
        <v>1</v>
      </c>
      <c r="S1935" s="2">
        <v>19863</v>
      </c>
      <c r="T1935" s="2">
        <v>4568.49</v>
      </c>
      <c r="U1935" s="2">
        <v>24431.49</v>
      </c>
      <c r="V1935" s="2">
        <v>17000.97</v>
      </c>
      <c r="W1935" s="5">
        <f t="shared" si="196"/>
        <v>0.14408850626793529</v>
      </c>
      <c r="Y1935" s="2" t="s">
        <v>105</v>
      </c>
      <c r="Z1935" s="2" t="s">
        <v>418</v>
      </c>
      <c r="AA1935" s="2" t="s">
        <v>152</v>
      </c>
      <c r="AB1935" s="2" t="s">
        <v>115</v>
      </c>
      <c r="AE1935" s="2">
        <f t="shared" si="193"/>
        <v>0</v>
      </c>
      <c r="AI1935" s="2">
        <f t="shared" si="194"/>
        <v>0</v>
      </c>
      <c r="AJ1935" s="2">
        <f t="shared" si="195"/>
        <v>2862.0299999999988</v>
      </c>
      <c r="AK1935" s="5">
        <f t="shared" si="192"/>
        <v>0.14408850626793529</v>
      </c>
    </row>
    <row r="1936" spans="1:37" x14ac:dyDescent="0.2">
      <c r="A1936" s="2">
        <v>2025</v>
      </c>
      <c r="B1936" s="2">
        <v>10</v>
      </c>
      <c r="C1936" s="2" t="s">
        <v>473</v>
      </c>
      <c r="D1936" s="2" t="s">
        <v>38</v>
      </c>
      <c r="E1936" s="2" t="s">
        <v>474</v>
      </c>
      <c r="F1936" s="2">
        <v>513626930</v>
      </c>
      <c r="G1936" s="2" t="s">
        <v>40</v>
      </c>
      <c r="H1936" s="2" t="s">
        <v>340</v>
      </c>
      <c r="I1936" s="2" t="s">
        <v>475</v>
      </c>
      <c r="K1936" s="2" t="s">
        <v>340</v>
      </c>
      <c r="L1936" s="2" t="s">
        <v>40</v>
      </c>
      <c r="O1936" s="2" t="s">
        <v>115</v>
      </c>
      <c r="P1936" s="2" t="s">
        <v>844</v>
      </c>
      <c r="Q1936" s="2" t="s">
        <v>845</v>
      </c>
      <c r="R1936" s="2">
        <v>1</v>
      </c>
      <c r="S1936" s="2">
        <v>3685</v>
      </c>
      <c r="T1936" s="2">
        <v>847.55000000000007</v>
      </c>
      <c r="U1936" s="2">
        <v>4532.55</v>
      </c>
      <c r="W1936" s="5">
        <f t="shared" si="196"/>
        <v>1</v>
      </c>
      <c r="Y1936" s="2" t="s">
        <v>105</v>
      </c>
      <c r="AE1936" s="2">
        <f t="shared" si="193"/>
        <v>0</v>
      </c>
      <c r="AI1936" s="2">
        <f t="shared" si="194"/>
        <v>0</v>
      </c>
      <c r="AJ1936" s="2">
        <f t="shared" si="195"/>
        <v>3685</v>
      </c>
      <c r="AK1936" s="5">
        <f t="shared" si="192"/>
        <v>1</v>
      </c>
    </row>
    <row r="1937" spans="1:37" x14ac:dyDescent="0.2">
      <c r="A1937" s="2">
        <v>2025</v>
      </c>
      <c r="B1937" s="2">
        <v>10</v>
      </c>
      <c r="C1937" s="2" t="s">
        <v>480</v>
      </c>
      <c r="D1937" s="2" t="s">
        <v>109</v>
      </c>
      <c r="E1937" s="2" t="s">
        <v>481</v>
      </c>
      <c r="F1937" s="2">
        <v>500864365</v>
      </c>
      <c r="G1937" s="2" t="s">
        <v>41</v>
      </c>
      <c r="H1937" s="2" t="s">
        <v>482</v>
      </c>
      <c r="I1937" s="2" t="s">
        <v>483</v>
      </c>
      <c r="K1937" s="2" t="s">
        <v>484</v>
      </c>
      <c r="L1937" s="2" t="s">
        <v>41</v>
      </c>
      <c r="O1937" s="2" t="s">
        <v>73</v>
      </c>
      <c r="P1937" s="2" t="s">
        <v>74</v>
      </c>
      <c r="Q1937" s="2" t="s">
        <v>75</v>
      </c>
      <c r="R1937" s="2">
        <v>1</v>
      </c>
      <c r="S1937" s="2">
        <v>220</v>
      </c>
      <c r="T1937" s="2">
        <v>50.6</v>
      </c>
      <c r="U1937" s="2">
        <v>270.60000000000002</v>
      </c>
      <c r="V1937" s="2">
        <v>117.453</v>
      </c>
      <c r="W1937" s="5">
        <f t="shared" si="196"/>
        <v>0.46612272727272724</v>
      </c>
      <c r="Y1937" s="2" t="s">
        <v>3256</v>
      </c>
      <c r="Z1937" s="2" t="s">
        <v>76</v>
      </c>
      <c r="AA1937" s="2" t="s">
        <v>77</v>
      </c>
      <c r="AB1937" s="2" t="s">
        <v>78</v>
      </c>
      <c r="AE1937" s="2">
        <f t="shared" si="193"/>
        <v>0</v>
      </c>
      <c r="AF1937" s="2">
        <v>117.453</v>
      </c>
      <c r="AG1937" s="2">
        <v>220</v>
      </c>
      <c r="AI1937" s="2">
        <f t="shared" si="194"/>
        <v>0</v>
      </c>
      <c r="AJ1937" s="2">
        <f t="shared" si="195"/>
        <v>102.547</v>
      </c>
      <c r="AK1937" s="5">
        <f t="shared" si="192"/>
        <v>0.46612272727272724</v>
      </c>
    </row>
    <row r="1938" spans="1:37" x14ac:dyDescent="0.2">
      <c r="A1938" s="2">
        <v>2025</v>
      </c>
      <c r="B1938" s="2">
        <v>10</v>
      </c>
      <c r="C1938" s="2" t="s">
        <v>480</v>
      </c>
      <c r="D1938" s="2" t="s">
        <v>109</v>
      </c>
      <c r="E1938" s="2" t="s">
        <v>481</v>
      </c>
      <c r="F1938" s="2">
        <v>500864365</v>
      </c>
      <c r="G1938" s="2" t="s">
        <v>41</v>
      </c>
      <c r="H1938" s="2" t="s">
        <v>482</v>
      </c>
      <c r="I1938" s="2" t="s">
        <v>483</v>
      </c>
      <c r="K1938" s="2" t="s">
        <v>484</v>
      </c>
      <c r="O1938" s="2" t="s">
        <v>94</v>
      </c>
      <c r="P1938" s="2" t="s">
        <v>95</v>
      </c>
      <c r="Q1938" s="2" t="s">
        <v>96</v>
      </c>
      <c r="R1938" s="2">
        <v>1</v>
      </c>
      <c r="S1938" s="2">
        <v>1.1399999999999999</v>
      </c>
      <c r="T1938" s="2">
        <v>0.26219999999999999</v>
      </c>
      <c r="U1938" s="2">
        <v>1.4021999999999999</v>
      </c>
      <c r="V1938" s="2">
        <v>1.1399999999999999</v>
      </c>
      <c r="W1938" s="5">
        <f t="shared" si="196"/>
        <v>0</v>
      </c>
      <c r="Y1938" s="2" t="s">
        <v>3256</v>
      </c>
      <c r="Z1938" s="2" t="s">
        <v>97</v>
      </c>
      <c r="AA1938" s="2" t="s">
        <v>77</v>
      </c>
      <c r="AB1938" s="2" t="s">
        <v>94</v>
      </c>
      <c r="AE1938" s="2">
        <f t="shared" si="193"/>
        <v>0</v>
      </c>
      <c r="AI1938" s="2">
        <f t="shared" si="194"/>
        <v>0</v>
      </c>
      <c r="AJ1938" s="2">
        <f t="shared" si="195"/>
        <v>0</v>
      </c>
      <c r="AK1938" s="5">
        <f t="shared" si="192"/>
        <v>0</v>
      </c>
    </row>
    <row r="1939" spans="1:37" x14ac:dyDescent="0.2">
      <c r="A1939" s="2">
        <v>2025</v>
      </c>
      <c r="B1939" s="2">
        <v>10</v>
      </c>
      <c r="C1939" s="2" t="s">
        <v>850</v>
      </c>
      <c r="D1939" s="2" t="s">
        <v>38</v>
      </c>
      <c r="E1939" s="2" t="s">
        <v>39</v>
      </c>
      <c r="F1939" s="2">
        <v>161685080</v>
      </c>
      <c r="G1939" s="2" t="s">
        <v>41</v>
      </c>
      <c r="H1939" s="2" t="s">
        <v>422</v>
      </c>
      <c r="J1939" s="2" t="s">
        <v>851</v>
      </c>
      <c r="K1939" s="2" t="s">
        <v>422</v>
      </c>
      <c r="L1939" s="2" t="s">
        <v>41</v>
      </c>
      <c r="N1939" s="2" t="s">
        <v>1925</v>
      </c>
      <c r="O1939" s="2" t="s">
        <v>43</v>
      </c>
      <c r="P1939" s="2" t="s">
        <v>49</v>
      </c>
      <c r="Q1939" s="2" t="s">
        <v>50</v>
      </c>
      <c r="R1939" s="2">
        <v>1</v>
      </c>
      <c r="S1939" s="2">
        <v>12</v>
      </c>
      <c r="T1939" s="2">
        <v>2.76</v>
      </c>
      <c r="U1939" s="2">
        <v>14.76</v>
      </c>
      <c r="V1939" s="2">
        <f>6.6267*R1939</f>
        <v>6.6266999999999996</v>
      </c>
      <c r="W1939" s="5">
        <f t="shared" si="196"/>
        <v>0.44777500000000003</v>
      </c>
      <c r="Y1939" s="2" t="s">
        <v>3256</v>
      </c>
      <c r="Z1939" s="2" t="s">
        <v>46</v>
      </c>
      <c r="AA1939" s="2" t="s">
        <v>47</v>
      </c>
      <c r="AB1939" s="2" t="s">
        <v>48</v>
      </c>
      <c r="AE1939" s="2">
        <f t="shared" si="193"/>
        <v>0</v>
      </c>
      <c r="AF1939" s="2">
        <v>6.6266999999999996</v>
      </c>
      <c r="AG1939" s="2">
        <v>12</v>
      </c>
      <c r="AI1939" s="2">
        <f t="shared" si="194"/>
        <v>0</v>
      </c>
      <c r="AJ1939" s="2">
        <f t="shared" si="195"/>
        <v>5.3733000000000004</v>
      </c>
      <c r="AK1939" s="5">
        <f t="shared" si="192"/>
        <v>0.44777500000000003</v>
      </c>
    </row>
    <row r="1940" spans="1:37" x14ac:dyDescent="0.2">
      <c r="A1940" s="2">
        <v>2025</v>
      </c>
      <c r="B1940" s="2">
        <v>10</v>
      </c>
      <c r="C1940" s="2" t="s">
        <v>850</v>
      </c>
      <c r="D1940" s="2" t="s">
        <v>38</v>
      </c>
      <c r="E1940" s="2" t="s">
        <v>39</v>
      </c>
      <c r="F1940" s="2">
        <v>161685080</v>
      </c>
      <c r="G1940" s="2" t="s">
        <v>41</v>
      </c>
      <c r="H1940" s="2" t="s">
        <v>422</v>
      </c>
      <c r="J1940" s="2" t="s">
        <v>851</v>
      </c>
      <c r="K1940" s="2" t="s">
        <v>422</v>
      </c>
      <c r="L1940" s="2" t="s">
        <v>41</v>
      </c>
      <c r="N1940" s="2" t="s">
        <v>1925</v>
      </c>
      <c r="O1940" s="2" t="s">
        <v>43</v>
      </c>
      <c r="P1940" s="2" t="s">
        <v>55</v>
      </c>
      <c r="Q1940" s="2" t="s">
        <v>56</v>
      </c>
      <c r="R1940" s="2">
        <v>2</v>
      </c>
      <c r="S1940" s="2">
        <v>36</v>
      </c>
      <c r="T1940" s="2">
        <v>8.2800000000000011</v>
      </c>
      <c r="U1940" s="2">
        <v>44.28</v>
      </c>
      <c r="V1940" s="2">
        <f>10.6*R1940</f>
        <v>21.2</v>
      </c>
      <c r="W1940" s="5">
        <f t="shared" si="196"/>
        <v>0.41111111111111115</v>
      </c>
      <c r="Y1940" s="2" t="s">
        <v>3256</v>
      </c>
      <c r="Z1940" s="2" t="s">
        <v>46</v>
      </c>
      <c r="AA1940" s="2" t="s">
        <v>57</v>
      </c>
      <c r="AB1940" s="2" t="s">
        <v>58</v>
      </c>
      <c r="AE1940" s="2">
        <f t="shared" si="193"/>
        <v>0</v>
      </c>
      <c r="AF1940" s="2">
        <v>10.6</v>
      </c>
      <c r="AG1940" s="2">
        <v>18</v>
      </c>
      <c r="AI1940" s="2">
        <f t="shared" si="194"/>
        <v>0</v>
      </c>
      <c r="AJ1940" s="2">
        <f t="shared" si="195"/>
        <v>14.8</v>
      </c>
      <c r="AK1940" s="5">
        <f t="shared" si="192"/>
        <v>0.41111111111111115</v>
      </c>
    </row>
    <row r="1941" spans="1:37" x14ac:dyDescent="0.2">
      <c r="A1941" s="2">
        <v>2025</v>
      </c>
      <c r="B1941" s="2">
        <v>10</v>
      </c>
      <c r="C1941" s="2" t="s">
        <v>850</v>
      </c>
      <c r="D1941" s="2" t="s">
        <v>38</v>
      </c>
      <c r="E1941" s="2" t="s">
        <v>39</v>
      </c>
      <c r="F1941" s="2">
        <v>161685080</v>
      </c>
      <c r="G1941" s="2" t="s">
        <v>41</v>
      </c>
      <c r="H1941" s="2" t="s">
        <v>422</v>
      </c>
      <c r="J1941" s="2" t="s">
        <v>851</v>
      </c>
      <c r="K1941" s="2" t="s">
        <v>422</v>
      </c>
      <c r="L1941" s="2" t="s">
        <v>41</v>
      </c>
      <c r="N1941" s="2" t="s">
        <v>1925</v>
      </c>
      <c r="O1941" s="2" t="s">
        <v>170</v>
      </c>
      <c r="P1941" s="2" t="s">
        <v>171</v>
      </c>
      <c r="Q1941" s="2" t="s">
        <v>171</v>
      </c>
      <c r="R1941" s="2">
        <v>1</v>
      </c>
      <c r="S1941" s="2">
        <v>8</v>
      </c>
      <c r="T1941" s="2">
        <v>1.84</v>
      </c>
      <c r="U1941" s="2">
        <v>9.84</v>
      </c>
      <c r="W1941" s="5">
        <f t="shared" si="196"/>
        <v>1</v>
      </c>
      <c r="Y1941" s="2" t="s">
        <v>170</v>
      </c>
      <c r="Z1941" s="2" t="s">
        <v>170</v>
      </c>
      <c r="AE1941" s="2">
        <f t="shared" si="193"/>
        <v>0</v>
      </c>
      <c r="AI1941" s="2">
        <f t="shared" si="194"/>
        <v>0</v>
      </c>
      <c r="AJ1941" s="2">
        <f t="shared" si="195"/>
        <v>8</v>
      </c>
      <c r="AK1941" s="5">
        <f t="shared" si="192"/>
        <v>1</v>
      </c>
    </row>
    <row r="1942" spans="1:37" x14ac:dyDescent="0.2">
      <c r="A1942" s="2">
        <v>2025</v>
      </c>
      <c r="B1942" s="2">
        <v>10</v>
      </c>
      <c r="C1942" s="2" t="s">
        <v>489</v>
      </c>
      <c r="D1942" s="2" t="s">
        <v>109</v>
      </c>
      <c r="E1942" s="2" t="s">
        <v>39</v>
      </c>
      <c r="F1942" s="2">
        <v>506834689</v>
      </c>
      <c r="G1942" s="2" t="s">
        <v>41</v>
      </c>
      <c r="H1942" s="2" t="s">
        <v>490</v>
      </c>
      <c r="I1942" s="2" t="s">
        <v>491</v>
      </c>
      <c r="J1942" s="2">
        <v>919866237</v>
      </c>
      <c r="K1942" s="2" t="s">
        <v>465</v>
      </c>
      <c r="O1942" s="2" t="s">
        <v>43</v>
      </c>
      <c r="P1942" s="2" t="s">
        <v>62</v>
      </c>
      <c r="Q1942" s="2" t="s">
        <v>63</v>
      </c>
      <c r="R1942" s="2">
        <v>2000</v>
      </c>
      <c r="S1942" s="2">
        <v>210</v>
      </c>
      <c r="T1942" s="2">
        <v>48.3</v>
      </c>
      <c r="U1942" s="2">
        <v>258.3</v>
      </c>
      <c r="V1942" s="2">
        <f>0.082*R1942</f>
        <v>164</v>
      </c>
      <c r="W1942" s="5">
        <f t="shared" si="196"/>
        <v>0.21904761904761905</v>
      </c>
      <c r="Y1942" s="2" t="s">
        <v>3256</v>
      </c>
      <c r="Z1942" s="2" t="s">
        <v>46</v>
      </c>
      <c r="AA1942" s="2" t="s">
        <v>61</v>
      </c>
      <c r="AB1942" s="2" t="s">
        <v>58</v>
      </c>
      <c r="AE1942" s="2">
        <f t="shared" si="193"/>
        <v>0</v>
      </c>
      <c r="AF1942" s="2">
        <v>8.1999999999999993</v>
      </c>
      <c r="AG1942" s="2">
        <v>13</v>
      </c>
      <c r="AI1942" s="2">
        <f t="shared" si="194"/>
        <v>0</v>
      </c>
      <c r="AJ1942" s="2">
        <f t="shared" si="195"/>
        <v>46</v>
      </c>
      <c r="AK1942" s="5">
        <f t="shared" si="192"/>
        <v>0.21904761904761905</v>
      </c>
    </row>
    <row r="1943" spans="1:37" x14ac:dyDescent="0.2">
      <c r="A1943" s="2">
        <v>2025</v>
      </c>
      <c r="B1943" s="2">
        <v>10</v>
      </c>
      <c r="C1943" s="2" t="s">
        <v>489</v>
      </c>
      <c r="D1943" s="2" t="s">
        <v>109</v>
      </c>
      <c r="E1943" s="2" t="s">
        <v>39</v>
      </c>
      <c r="F1943" s="2">
        <v>506834689</v>
      </c>
      <c r="G1943" s="2" t="s">
        <v>41</v>
      </c>
      <c r="H1943" s="2" t="s">
        <v>490</v>
      </c>
      <c r="I1943" s="2" t="s">
        <v>491</v>
      </c>
      <c r="J1943" s="2">
        <v>919866237</v>
      </c>
      <c r="K1943" s="2" t="s">
        <v>465</v>
      </c>
      <c r="O1943" s="2" t="s">
        <v>43</v>
      </c>
      <c r="P1943" s="2" t="s">
        <v>66</v>
      </c>
      <c r="Q1943" s="2" t="s">
        <v>67</v>
      </c>
      <c r="R1943" s="2">
        <v>4</v>
      </c>
      <c r="S1943" s="2">
        <v>88</v>
      </c>
      <c r="T1943" s="2">
        <v>20.239999999999998</v>
      </c>
      <c r="U1943" s="2">
        <v>108.24</v>
      </c>
      <c r="V1943" s="2">
        <f>15.0203*R1943</f>
        <v>60.081200000000003</v>
      </c>
      <c r="W1943" s="5">
        <f t="shared" si="196"/>
        <v>0.31725909090909088</v>
      </c>
      <c r="Y1943" s="2" t="s">
        <v>3256</v>
      </c>
      <c r="Z1943" s="2" t="s">
        <v>46</v>
      </c>
      <c r="AA1943" s="2" t="s">
        <v>68</v>
      </c>
      <c r="AB1943" s="2" t="s">
        <v>58</v>
      </c>
      <c r="AE1943" s="2">
        <f t="shared" si="193"/>
        <v>0</v>
      </c>
      <c r="AF1943" s="2">
        <v>15.020300000000001</v>
      </c>
      <c r="AG1943" s="2">
        <v>27.6</v>
      </c>
      <c r="AI1943" s="2">
        <f t="shared" si="194"/>
        <v>0</v>
      </c>
      <c r="AJ1943" s="2">
        <f t="shared" si="195"/>
        <v>27.918799999999997</v>
      </c>
      <c r="AK1943" s="5">
        <f t="shared" si="192"/>
        <v>0.31725909090909088</v>
      </c>
    </row>
    <row r="1944" spans="1:37" x14ac:dyDescent="0.2">
      <c r="A1944" s="2">
        <v>2025</v>
      </c>
      <c r="B1944" s="2">
        <v>10</v>
      </c>
      <c r="C1944" s="2" t="s">
        <v>1926</v>
      </c>
      <c r="O1944" s="2" t="s">
        <v>115</v>
      </c>
      <c r="P1944" s="2" t="s">
        <v>840</v>
      </c>
      <c r="Q1944" s="2" t="s">
        <v>841</v>
      </c>
      <c r="R1944" s="2">
        <v>1</v>
      </c>
      <c r="S1944" s="2">
        <v>0</v>
      </c>
      <c r="T1944" s="2">
        <v>0</v>
      </c>
      <c r="U1944" s="2">
        <v>0</v>
      </c>
      <c r="W1944" s="5" t="e">
        <f t="shared" si="196"/>
        <v>#DIV/0!</v>
      </c>
      <c r="AE1944" s="2">
        <f t="shared" si="193"/>
        <v>0</v>
      </c>
      <c r="AI1944" s="2">
        <f t="shared" si="194"/>
        <v>0</v>
      </c>
      <c r="AJ1944" s="2">
        <f t="shared" si="195"/>
        <v>0</v>
      </c>
      <c r="AK1944" s="5" t="e">
        <f t="shared" si="192"/>
        <v>#DIV/0!</v>
      </c>
    </row>
    <row r="1945" spans="1:37" x14ac:dyDescent="0.2">
      <c r="A1945" s="2">
        <v>2025</v>
      </c>
      <c r="B1945" s="2">
        <v>10</v>
      </c>
      <c r="C1945" s="2" t="s">
        <v>1926</v>
      </c>
      <c r="O1945" s="2" t="s">
        <v>115</v>
      </c>
      <c r="P1945" s="2" t="s">
        <v>842</v>
      </c>
      <c r="Q1945" s="2" t="s">
        <v>843</v>
      </c>
      <c r="R1945" s="2">
        <v>1</v>
      </c>
      <c r="S1945" s="2">
        <v>13990</v>
      </c>
      <c r="T1945" s="2">
        <v>3217.7</v>
      </c>
      <c r="U1945" s="2">
        <v>17207.7</v>
      </c>
      <c r="W1945" s="5">
        <f t="shared" si="196"/>
        <v>1</v>
      </c>
      <c r="Y1945" s="2" t="s">
        <v>105</v>
      </c>
      <c r="AE1945" s="2">
        <f t="shared" si="193"/>
        <v>0</v>
      </c>
      <c r="AI1945" s="2">
        <f t="shared" si="194"/>
        <v>0</v>
      </c>
      <c r="AJ1945" s="2">
        <f t="shared" si="195"/>
        <v>13990</v>
      </c>
      <c r="AK1945" s="5">
        <f t="shared" si="192"/>
        <v>1</v>
      </c>
    </row>
    <row r="1946" spans="1:37" x14ac:dyDescent="0.2">
      <c r="A1946" s="2">
        <v>2025</v>
      </c>
      <c r="B1946" s="2">
        <v>10</v>
      </c>
      <c r="C1946" s="2" t="s">
        <v>1926</v>
      </c>
      <c r="O1946" s="2" t="s">
        <v>69</v>
      </c>
      <c r="P1946" s="2" t="s">
        <v>1927</v>
      </c>
      <c r="Q1946" s="2" t="s">
        <v>1928</v>
      </c>
      <c r="R1946" s="2">
        <v>2</v>
      </c>
      <c r="S1946" s="2">
        <v>1450</v>
      </c>
      <c r="T1946" s="2">
        <v>333.5</v>
      </c>
      <c r="U1946" s="2">
        <v>1783.5</v>
      </c>
      <c r="W1946" s="5">
        <f t="shared" si="196"/>
        <v>1</v>
      </c>
      <c r="Y1946" s="2" t="s">
        <v>3256</v>
      </c>
      <c r="AB1946" s="2" t="s">
        <v>3261</v>
      </c>
      <c r="AE1946" s="2">
        <f t="shared" si="193"/>
        <v>0</v>
      </c>
      <c r="AI1946" s="2">
        <f t="shared" si="194"/>
        <v>0</v>
      </c>
      <c r="AJ1946" s="2">
        <f t="shared" si="195"/>
        <v>1450</v>
      </c>
      <c r="AK1946" s="5">
        <f t="shared" si="192"/>
        <v>1</v>
      </c>
    </row>
    <row r="1947" spans="1:37" x14ac:dyDescent="0.2">
      <c r="A1947" s="2">
        <v>2025</v>
      </c>
      <c r="B1947" s="2">
        <v>10</v>
      </c>
      <c r="C1947" s="2" t="s">
        <v>492</v>
      </c>
      <c r="D1947" s="2" t="s">
        <v>38</v>
      </c>
      <c r="E1947" s="2" t="s">
        <v>39</v>
      </c>
      <c r="F1947" s="2">
        <v>507380312</v>
      </c>
      <c r="G1947" s="2" t="s">
        <v>40</v>
      </c>
      <c r="H1947" s="2" t="s">
        <v>493</v>
      </c>
      <c r="I1947" s="2" t="s">
        <v>494</v>
      </c>
      <c r="J1947" s="2">
        <v>912293443</v>
      </c>
      <c r="K1947" s="2" t="s">
        <v>100</v>
      </c>
      <c r="L1947" s="2" t="s">
        <v>40</v>
      </c>
      <c r="O1947" s="2" t="s">
        <v>40</v>
      </c>
      <c r="P1947" s="2" t="s">
        <v>495</v>
      </c>
      <c r="Q1947" s="2" t="s">
        <v>496</v>
      </c>
      <c r="R1947" s="2">
        <v>1</v>
      </c>
      <c r="S1947" s="2">
        <v>664.04</v>
      </c>
      <c r="T1947" s="2">
        <v>152.72919999999999</v>
      </c>
      <c r="U1947" s="2">
        <v>816.76919999999996</v>
      </c>
      <c r="W1947" s="5">
        <f t="shared" si="196"/>
        <v>1</v>
      </c>
      <c r="Y1947" s="2" t="s">
        <v>120</v>
      </c>
      <c r="AE1947" s="2">
        <f t="shared" si="193"/>
        <v>0</v>
      </c>
      <c r="AI1947" s="2">
        <f t="shared" si="194"/>
        <v>0</v>
      </c>
      <c r="AJ1947" s="2">
        <f t="shared" si="195"/>
        <v>664.04</v>
      </c>
      <c r="AK1947" s="5">
        <f t="shared" si="192"/>
        <v>1</v>
      </c>
    </row>
    <row r="1948" spans="1:37" x14ac:dyDescent="0.2">
      <c r="A1948" s="2">
        <v>2025</v>
      </c>
      <c r="B1948" s="2">
        <v>10</v>
      </c>
      <c r="C1948" s="2" t="s">
        <v>1062</v>
      </c>
      <c r="D1948" s="2" t="s">
        <v>184</v>
      </c>
      <c r="E1948" s="2" t="s">
        <v>1063</v>
      </c>
      <c r="F1948" s="2">
        <v>500199523</v>
      </c>
      <c r="G1948" s="2" t="s">
        <v>291</v>
      </c>
      <c r="H1948" s="2" t="s">
        <v>294</v>
      </c>
      <c r="I1948" s="2" t="s">
        <v>1064</v>
      </c>
      <c r="K1948" s="2" t="s">
        <v>294</v>
      </c>
      <c r="L1948" s="2" t="s">
        <v>81</v>
      </c>
      <c r="N1948" s="2" t="s">
        <v>1929</v>
      </c>
      <c r="O1948" s="2" t="s">
        <v>73</v>
      </c>
      <c r="P1948" s="2" t="s">
        <v>779</v>
      </c>
      <c r="Q1948" s="2" t="s">
        <v>487</v>
      </c>
      <c r="R1948" s="2">
        <v>1</v>
      </c>
      <c r="S1948" s="2">
        <v>200</v>
      </c>
      <c r="T1948" s="2">
        <v>46</v>
      </c>
      <c r="U1948" s="2">
        <v>246</v>
      </c>
      <c r="V1948" s="2">
        <v>106.1</v>
      </c>
      <c r="W1948" s="5">
        <f t="shared" si="196"/>
        <v>0.46950000000000003</v>
      </c>
      <c r="Y1948" s="2" t="s">
        <v>3256</v>
      </c>
      <c r="Z1948" s="2" t="s">
        <v>76</v>
      </c>
      <c r="AA1948" s="2" t="s">
        <v>77</v>
      </c>
      <c r="AB1948" s="2" t="s">
        <v>78</v>
      </c>
      <c r="AE1948" s="2">
        <f t="shared" si="193"/>
        <v>0</v>
      </c>
      <c r="AF1948" s="2">
        <f>98.28+7.82</f>
        <v>106.1</v>
      </c>
      <c r="AI1948" s="2">
        <f t="shared" si="194"/>
        <v>0</v>
      </c>
      <c r="AJ1948" s="2">
        <f t="shared" si="195"/>
        <v>93.9</v>
      </c>
      <c r="AK1948" s="5">
        <f t="shared" si="192"/>
        <v>0.46950000000000003</v>
      </c>
    </row>
    <row r="1949" spans="1:37" x14ac:dyDescent="0.2">
      <c r="A1949" s="2">
        <v>2025</v>
      </c>
      <c r="B1949" s="2">
        <v>10</v>
      </c>
      <c r="C1949" s="2" t="s">
        <v>1062</v>
      </c>
      <c r="D1949" s="2" t="s">
        <v>184</v>
      </c>
      <c r="E1949" s="2" t="s">
        <v>1063</v>
      </c>
      <c r="F1949" s="2">
        <v>500199523</v>
      </c>
      <c r="G1949" s="2" t="s">
        <v>291</v>
      </c>
      <c r="H1949" s="2" t="s">
        <v>294</v>
      </c>
      <c r="I1949" s="2" t="s">
        <v>1064</v>
      </c>
      <c r="K1949" s="2" t="s">
        <v>294</v>
      </c>
      <c r="L1949" s="2" t="s">
        <v>81</v>
      </c>
      <c r="N1949" s="2" t="s">
        <v>1930</v>
      </c>
      <c r="O1949" s="2" t="s">
        <v>73</v>
      </c>
      <c r="P1949" s="2" t="s">
        <v>1461</v>
      </c>
      <c r="Q1949" s="2" t="s">
        <v>308</v>
      </c>
      <c r="R1949" s="2">
        <v>1</v>
      </c>
      <c r="S1949" s="2">
        <v>230</v>
      </c>
      <c r="T1949" s="2">
        <v>52.900000000000013</v>
      </c>
      <c r="U1949" s="2">
        <v>282.89999999999998</v>
      </c>
      <c r="V1949" s="2">
        <v>122.446</v>
      </c>
      <c r="W1949" s="5">
        <f t="shared" si="196"/>
        <v>0.46762608695652175</v>
      </c>
      <c r="Y1949" s="2" t="s">
        <v>3256</v>
      </c>
      <c r="Z1949" s="2" t="s">
        <v>76</v>
      </c>
      <c r="AA1949" s="2" t="s">
        <v>77</v>
      </c>
      <c r="AB1949" s="2" t="s">
        <v>78</v>
      </c>
      <c r="AE1949" s="2">
        <f t="shared" si="193"/>
        <v>0</v>
      </c>
      <c r="AF1949" s="2">
        <v>122.446</v>
      </c>
      <c r="AG1949" s="2">
        <v>230</v>
      </c>
      <c r="AI1949" s="2">
        <f t="shared" si="194"/>
        <v>0</v>
      </c>
      <c r="AJ1949" s="2">
        <f t="shared" si="195"/>
        <v>107.554</v>
      </c>
      <c r="AK1949" s="5">
        <f t="shared" si="192"/>
        <v>0.46762608695652175</v>
      </c>
    </row>
    <row r="1950" spans="1:37" x14ac:dyDescent="0.2">
      <c r="A1950" s="2">
        <v>2025</v>
      </c>
      <c r="B1950" s="2">
        <v>10</v>
      </c>
      <c r="C1950" s="2" t="s">
        <v>1062</v>
      </c>
      <c r="D1950" s="2" t="s">
        <v>184</v>
      </c>
      <c r="E1950" s="2" t="s">
        <v>1063</v>
      </c>
      <c r="F1950" s="2">
        <v>500199523</v>
      </c>
      <c r="G1950" s="2" t="s">
        <v>291</v>
      </c>
      <c r="H1950" s="2" t="s">
        <v>294</v>
      </c>
      <c r="I1950" s="2" t="s">
        <v>1064</v>
      </c>
      <c r="K1950" s="2" t="s">
        <v>294</v>
      </c>
      <c r="L1950" s="2" t="s">
        <v>81</v>
      </c>
      <c r="N1950" s="2" t="s">
        <v>1930</v>
      </c>
      <c r="O1950" s="2" t="s">
        <v>170</v>
      </c>
      <c r="P1950" s="2" t="s">
        <v>171</v>
      </c>
      <c r="Q1950" s="2" t="s">
        <v>171</v>
      </c>
      <c r="R1950" s="2">
        <v>1</v>
      </c>
      <c r="S1950" s="2">
        <v>30</v>
      </c>
      <c r="T1950" s="2">
        <v>6.9</v>
      </c>
      <c r="U1950" s="2">
        <v>36.9</v>
      </c>
      <c r="W1950" s="5">
        <f t="shared" si="196"/>
        <v>1</v>
      </c>
      <c r="Y1950" s="2" t="s">
        <v>170</v>
      </c>
      <c r="Z1950" s="2" t="s">
        <v>170</v>
      </c>
      <c r="AE1950" s="2">
        <f t="shared" si="193"/>
        <v>0</v>
      </c>
      <c r="AI1950" s="2">
        <f t="shared" si="194"/>
        <v>0</v>
      </c>
      <c r="AJ1950" s="2">
        <f t="shared" si="195"/>
        <v>30</v>
      </c>
      <c r="AK1950" s="5">
        <f t="shared" si="192"/>
        <v>1</v>
      </c>
    </row>
    <row r="1951" spans="1:37" x14ac:dyDescent="0.2">
      <c r="A1951" s="2">
        <v>2025</v>
      </c>
      <c r="B1951" s="2">
        <v>10</v>
      </c>
      <c r="C1951" s="2" t="s">
        <v>1062</v>
      </c>
      <c r="D1951" s="2" t="s">
        <v>184</v>
      </c>
      <c r="E1951" s="2" t="s">
        <v>1063</v>
      </c>
      <c r="F1951" s="2">
        <v>500199523</v>
      </c>
      <c r="G1951" s="2" t="s">
        <v>291</v>
      </c>
      <c r="H1951" s="2" t="s">
        <v>294</v>
      </c>
      <c r="I1951" s="2" t="s">
        <v>1064</v>
      </c>
      <c r="K1951" s="2" t="s">
        <v>294</v>
      </c>
      <c r="L1951" s="2" t="s">
        <v>81</v>
      </c>
      <c r="N1951" s="2" t="s">
        <v>1931</v>
      </c>
      <c r="O1951" s="2" t="s">
        <v>94</v>
      </c>
      <c r="P1951" s="2" t="s">
        <v>95</v>
      </c>
      <c r="Q1951" s="2" t="s">
        <v>96</v>
      </c>
      <c r="R1951" s="2">
        <v>2</v>
      </c>
      <c r="S1951" s="2">
        <v>2.2799999999999998</v>
      </c>
      <c r="T1951" s="2">
        <v>0.52439999999999998</v>
      </c>
      <c r="U1951" s="2">
        <v>2.8043999999999998</v>
      </c>
      <c r="V1951" s="2">
        <v>2.2799999999999998</v>
      </c>
      <c r="W1951" s="5">
        <f t="shared" si="196"/>
        <v>0</v>
      </c>
      <c r="Y1951" s="2" t="s">
        <v>3256</v>
      </c>
      <c r="Z1951" s="2" t="s">
        <v>97</v>
      </c>
      <c r="AA1951" s="2" t="s">
        <v>77</v>
      </c>
      <c r="AB1951" s="2" t="s">
        <v>94</v>
      </c>
      <c r="AE1951" s="2">
        <f t="shared" si="193"/>
        <v>0</v>
      </c>
      <c r="AI1951" s="2">
        <f t="shared" si="194"/>
        <v>0</v>
      </c>
      <c r="AJ1951" s="2">
        <f t="shared" si="195"/>
        <v>0</v>
      </c>
      <c r="AK1951" s="5">
        <f t="shared" si="192"/>
        <v>0</v>
      </c>
    </row>
    <row r="1952" spans="1:37" x14ac:dyDescent="0.2">
      <c r="A1952" s="2">
        <v>2025</v>
      </c>
      <c r="B1952" s="2">
        <v>10</v>
      </c>
      <c r="C1952" s="2" t="s">
        <v>1074</v>
      </c>
      <c r="O1952" s="2" t="s">
        <v>43</v>
      </c>
      <c r="P1952" s="2" t="s">
        <v>66</v>
      </c>
      <c r="Q1952" s="2" t="s">
        <v>67</v>
      </c>
      <c r="R1952" s="2">
        <v>2</v>
      </c>
      <c r="S1952" s="2">
        <v>44</v>
      </c>
      <c r="T1952" s="2">
        <v>10.119999999999999</v>
      </c>
      <c r="U1952" s="2">
        <v>54.12</v>
      </c>
      <c r="V1952" s="2">
        <f>15.0203*R1952</f>
        <v>30.040600000000001</v>
      </c>
      <c r="W1952" s="5">
        <f t="shared" si="196"/>
        <v>0.31725909090909088</v>
      </c>
      <c r="Y1952" s="2" t="s">
        <v>3256</v>
      </c>
      <c r="Z1952" s="2" t="s">
        <v>46</v>
      </c>
      <c r="AA1952" s="2" t="s">
        <v>68</v>
      </c>
      <c r="AB1952" s="2" t="s">
        <v>58</v>
      </c>
      <c r="AE1952" s="2">
        <f t="shared" si="193"/>
        <v>0</v>
      </c>
      <c r="AF1952" s="2">
        <v>15.020300000000001</v>
      </c>
      <c r="AG1952" s="2">
        <v>27.6</v>
      </c>
      <c r="AI1952" s="2">
        <f t="shared" si="194"/>
        <v>0</v>
      </c>
      <c r="AJ1952" s="2">
        <f t="shared" si="195"/>
        <v>13.959399999999999</v>
      </c>
      <c r="AK1952" s="5">
        <f t="shared" si="192"/>
        <v>0.31725909090909088</v>
      </c>
    </row>
    <row r="1953" spans="1:37" x14ac:dyDescent="0.2">
      <c r="A1953" s="2">
        <v>2025</v>
      </c>
      <c r="B1953" s="2">
        <v>10</v>
      </c>
      <c r="C1953" s="2" t="s">
        <v>511</v>
      </c>
      <c r="D1953" s="2" t="s">
        <v>38</v>
      </c>
      <c r="E1953" s="2" t="s">
        <v>39</v>
      </c>
      <c r="F1953" s="2">
        <v>514446170</v>
      </c>
      <c r="G1953" s="2" t="s">
        <v>41</v>
      </c>
      <c r="H1953" s="2" t="s">
        <v>178</v>
      </c>
      <c r="I1953" s="2" t="s">
        <v>3158</v>
      </c>
      <c r="K1953" s="2" t="s">
        <v>178</v>
      </c>
      <c r="L1953" s="2" t="s">
        <v>41</v>
      </c>
      <c r="N1953" s="2" t="s">
        <v>3164</v>
      </c>
      <c r="O1953" s="2" t="s">
        <v>43</v>
      </c>
      <c r="P1953" s="2" t="s">
        <v>49</v>
      </c>
      <c r="Q1953" s="2" t="s">
        <v>50</v>
      </c>
      <c r="R1953" s="2">
        <v>1</v>
      </c>
      <c r="S1953" s="2">
        <v>12</v>
      </c>
      <c r="T1953" s="2">
        <v>2.76</v>
      </c>
      <c r="U1953" s="2">
        <v>14.76</v>
      </c>
      <c r="V1953" s="2">
        <f>6.6267*R1953</f>
        <v>6.6266999999999996</v>
      </c>
      <c r="W1953" s="5">
        <f t="shared" si="196"/>
        <v>0.44777500000000003</v>
      </c>
      <c r="Y1953" s="2" t="s">
        <v>3256</v>
      </c>
      <c r="Z1953" s="2" t="s">
        <v>46</v>
      </c>
      <c r="AA1953" s="2" t="s">
        <v>47</v>
      </c>
      <c r="AB1953" s="2" t="s">
        <v>48</v>
      </c>
      <c r="AE1953" s="2">
        <f t="shared" si="193"/>
        <v>0</v>
      </c>
      <c r="AF1953" s="2">
        <v>6.6266999999999996</v>
      </c>
      <c r="AG1953" s="2">
        <v>12</v>
      </c>
      <c r="AI1953" s="2">
        <f t="shared" si="194"/>
        <v>0</v>
      </c>
      <c r="AJ1953" s="2">
        <f t="shared" si="195"/>
        <v>5.3733000000000004</v>
      </c>
      <c r="AK1953" s="5">
        <f t="shared" si="192"/>
        <v>0.44777500000000003</v>
      </c>
    </row>
    <row r="1954" spans="1:37" x14ac:dyDescent="0.2">
      <c r="A1954" s="2">
        <v>2025</v>
      </c>
      <c r="B1954" s="2">
        <v>10</v>
      </c>
      <c r="C1954" s="2" t="s">
        <v>511</v>
      </c>
      <c r="D1954" s="2" t="s">
        <v>38</v>
      </c>
      <c r="E1954" s="2" t="s">
        <v>39</v>
      </c>
      <c r="F1954" s="2">
        <v>514446170</v>
      </c>
      <c r="G1954" s="2" t="s">
        <v>41</v>
      </c>
      <c r="H1954" s="2" t="s">
        <v>178</v>
      </c>
      <c r="I1954" s="2" t="s">
        <v>3158</v>
      </c>
      <c r="K1954" s="2" t="s">
        <v>178</v>
      </c>
      <c r="L1954" s="2" t="s">
        <v>41</v>
      </c>
      <c r="N1954" s="2" t="s">
        <v>3164</v>
      </c>
      <c r="O1954" s="2" t="s">
        <v>43</v>
      </c>
      <c r="P1954" s="2" t="s">
        <v>53</v>
      </c>
      <c r="Q1954" s="2" t="s">
        <v>54</v>
      </c>
      <c r="R1954" s="2">
        <v>2</v>
      </c>
      <c r="S1954" s="2">
        <v>19.2</v>
      </c>
      <c r="T1954" s="2">
        <v>4.4160000000000004</v>
      </c>
      <c r="U1954" s="2">
        <v>23.616</v>
      </c>
      <c r="V1954" s="2">
        <f>5.2973*R1954</f>
        <v>10.5946</v>
      </c>
      <c r="W1954" s="5">
        <f t="shared" si="196"/>
        <v>0.44819791666666664</v>
      </c>
      <c r="Y1954" s="2" t="s">
        <v>3256</v>
      </c>
      <c r="Z1954" s="2" t="s">
        <v>46</v>
      </c>
      <c r="AA1954" s="2" t="s">
        <v>47</v>
      </c>
      <c r="AB1954" s="2" t="s">
        <v>48</v>
      </c>
      <c r="AE1954" s="2">
        <f t="shared" si="193"/>
        <v>0</v>
      </c>
      <c r="AF1954" s="2">
        <v>5.2972999999999999</v>
      </c>
      <c r="AG1954" s="2">
        <v>10.8</v>
      </c>
      <c r="AI1954" s="2">
        <f t="shared" si="194"/>
        <v>0</v>
      </c>
      <c r="AJ1954" s="2">
        <f t="shared" si="195"/>
        <v>8.6053999999999995</v>
      </c>
      <c r="AK1954" s="5">
        <f t="shared" si="192"/>
        <v>0.44819791666666664</v>
      </c>
    </row>
    <row r="1955" spans="1:37" x14ac:dyDescent="0.2">
      <c r="A1955" s="2">
        <v>2025</v>
      </c>
      <c r="B1955" s="2">
        <v>10</v>
      </c>
      <c r="C1955" s="2" t="s">
        <v>1932</v>
      </c>
      <c r="O1955" s="2" t="s">
        <v>115</v>
      </c>
      <c r="P1955" s="2" t="s">
        <v>962</v>
      </c>
      <c r="Q1955" s="2" t="s">
        <v>716</v>
      </c>
      <c r="R1955" s="2">
        <v>1</v>
      </c>
      <c r="S1955" s="2">
        <v>1870</v>
      </c>
      <c r="T1955" s="2">
        <v>430.1</v>
      </c>
      <c r="U1955" s="2">
        <v>2300.1</v>
      </c>
      <c r="W1955" s="5">
        <f t="shared" si="196"/>
        <v>1</v>
      </c>
      <c r="Y1955" s="2" t="s">
        <v>105</v>
      </c>
      <c r="Z1955" s="2" t="s">
        <v>583</v>
      </c>
      <c r="AA1955" s="2" t="s">
        <v>707</v>
      </c>
      <c r="AB1955" s="2" t="s">
        <v>115</v>
      </c>
      <c r="AE1955" s="2">
        <f t="shared" si="193"/>
        <v>0</v>
      </c>
      <c r="AI1955" s="2">
        <f t="shared" si="194"/>
        <v>0</v>
      </c>
      <c r="AJ1955" s="2">
        <f t="shared" si="195"/>
        <v>1870</v>
      </c>
      <c r="AK1955" s="5">
        <f t="shared" si="192"/>
        <v>1</v>
      </c>
    </row>
    <row r="1956" spans="1:37" x14ac:dyDescent="0.2">
      <c r="A1956" s="2">
        <v>2025</v>
      </c>
      <c r="B1956" s="2">
        <v>10</v>
      </c>
      <c r="C1956" s="2" t="s">
        <v>1933</v>
      </c>
      <c r="O1956" s="2" t="s">
        <v>115</v>
      </c>
      <c r="P1956" s="2" t="s">
        <v>1934</v>
      </c>
      <c r="Q1956" s="2" t="s">
        <v>1935</v>
      </c>
      <c r="R1956" s="2">
        <v>1</v>
      </c>
      <c r="S1956" s="2">
        <v>523.41999999999996</v>
      </c>
      <c r="T1956" s="2">
        <v>120.3866</v>
      </c>
      <c r="U1956" s="2">
        <v>643.8066</v>
      </c>
      <c r="W1956" s="5">
        <f t="shared" si="196"/>
        <v>1</v>
      </c>
      <c r="AE1956" s="2">
        <f t="shared" si="193"/>
        <v>0</v>
      </c>
      <c r="AI1956" s="2">
        <f t="shared" si="194"/>
        <v>0</v>
      </c>
      <c r="AJ1956" s="2">
        <f t="shared" si="195"/>
        <v>523.41999999999996</v>
      </c>
      <c r="AK1956" s="5">
        <f t="shared" si="192"/>
        <v>1</v>
      </c>
    </row>
    <row r="1957" spans="1:37" x14ac:dyDescent="0.2">
      <c r="A1957" s="2">
        <v>2025</v>
      </c>
      <c r="B1957" s="2">
        <v>10</v>
      </c>
      <c r="C1957" s="2" t="s">
        <v>1609</v>
      </c>
      <c r="D1957" s="2" t="s">
        <v>109</v>
      </c>
      <c r="E1957" s="2" t="s">
        <v>397</v>
      </c>
      <c r="F1957" s="2">
        <v>500314594</v>
      </c>
      <c r="G1957" s="2" t="s">
        <v>40</v>
      </c>
      <c r="H1957" s="2" t="s">
        <v>1610</v>
      </c>
      <c r="I1957" s="2" t="s">
        <v>1611</v>
      </c>
      <c r="K1957" s="2" t="s">
        <v>202</v>
      </c>
      <c r="L1957" s="2" t="s">
        <v>41</v>
      </c>
      <c r="N1957" s="2" t="s">
        <v>1936</v>
      </c>
      <c r="O1957" s="2" t="s">
        <v>283</v>
      </c>
      <c r="P1957" s="2" t="s">
        <v>401</v>
      </c>
      <c r="Q1957" s="2" t="s">
        <v>402</v>
      </c>
      <c r="R1957" s="2">
        <v>12</v>
      </c>
      <c r="S1957" s="2">
        <v>240</v>
      </c>
      <c r="T1957" s="2">
        <v>55.2</v>
      </c>
      <c r="U1957" s="2">
        <v>295.2</v>
      </c>
      <c r="W1957" s="5">
        <f t="shared" si="196"/>
        <v>1</v>
      </c>
      <c r="Y1957" s="2" t="s">
        <v>3256</v>
      </c>
      <c r="Z1957" s="2" t="s">
        <v>46</v>
      </c>
      <c r="AA1957" s="2" t="s">
        <v>61</v>
      </c>
      <c r="AB1957" s="2" t="s">
        <v>403</v>
      </c>
      <c r="AE1957" s="2">
        <f t="shared" si="193"/>
        <v>0</v>
      </c>
      <c r="AI1957" s="2">
        <f t="shared" si="194"/>
        <v>0</v>
      </c>
      <c r="AJ1957" s="2">
        <f t="shared" si="195"/>
        <v>240</v>
      </c>
      <c r="AK1957" s="5">
        <f t="shared" si="192"/>
        <v>1</v>
      </c>
    </row>
    <row r="1958" spans="1:37" x14ac:dyDescent="0.2">
      <c r="A1958" s="2">
        <v>2025</v>
      </c>
      <c r="B1958" s="2">
        <v>10</v>
      </c>
      <c r="C1958" s="2" t="s">
        <v>1609</v>
      </c>
      <c r="D1958" s="2" t="s">
        <v>109</v>
      </c>
      <c r="E1958" s="2" t="s">
        <v>397</v>
      </c>
      <c r="F1958" s="2">
        <v>500314594</v>
      </c>
      <c r="G1958" s="2" t="s">
        <v>40</v>
      </c>
      <c r="H1958" s="2" t="s">
        <v>1610</v>
      </c>
      <c r="I1958" s="2" t="s">
        <v>1611</v>
      </c>
      <c r="K1958" s="2" t="s">
        <v>202</v>
      </c>
      <c r="L1958" s="2" t="s">
        <v>41</v>
      </c>
      <c r="N1958" s="2" t="s">
        <v>1936</v>
      </c>
      <c r="O1958" s="2" t="s">
        <v>283</v>
      </c>
      <c r="P1958" s="2" t="s">
        <v>404</v>
      </c>
      <c r="Q1958" s="2" t="s">
        <v>405</v>
      </c>
      <c r="R1958" s="2">
        <v>8</v>
      </c>
      <c r="S1958" s="2">
        <v>160</v>
      </c>
      <c r="T1958" s="2">
        <v>36.799999999999997</v>
      </c>
      <c r="U1958" s="2">
        <v>196.8</v>
      </c>
      <c r="W1958" s="5">
        <f t="shared" si="196"/>
        <v>1</v>
      </c>
      <c r="Y1958" s="2" t="s">
        <v>3256</v>
      </c>
      <c r="Z1958" s="2" t="s">
        <v>46</v>
      </c>
      <c r="AA1958" s="2" t="s">
        <v>61</v>
      </c>
      <c r="AB1958" s="2" t="s">
        <v>403</v>
      </c>
      <c r="AE1958" s="2">
        <f t="shared" si="193"/>
        <v>0</v>
      </c>
      <c r="AI1958" s="2">
        <f t="shared" si="194"/>
        <v>0</v>
      </c>
      <c r="AJ1958" s="2">
        <f t="shared" si="195"/>
        <v>160</v>
      </c>
      <c r="AK1958" s="5">
        <f t="shared" si="192"/>
        <v>1</v>
      </c>
    </row>
    <row r="1959" spans="1:37" x14ac:dyDescent="0.2">
      <c r="A1959" s="2">
        <v>2025</v>
      </c>
      <c r="B1959" s="2">
        <v>10</v>
      </c>
      <c r="C1959" s="2" t="s">
        <v>874</v>
      </c>
      <c r="D1959" s="2" t="s">
        <v>38</v>
      </c>
      <c r="E1959" s="2" t="s">
        <v>39</v>
      </c>
      <c r="F1959" s="2">
        <v>226546594</v>
      </c>
      <c r="G1959" s="2" t="s">
        <v>41</v>
      </c>
      <c r="H1959" s="2" t="s">
        <v>875</v>
      </c>
      <c r="I1959" s="2" t="s">
        <v>876</v>
      </c>
      <c r="J1959" s="2">
        <v>933599817</v>
      </c>
      <c r="K1959" s="2" t="s">
        <v>100</v>
      </c>
      <c r="O1959" s="2" t="s">
        <v>43</v>
      </c>
      <c r="P1959" s="2" t="s">
        <v>62</v>
      </c>
      <c r="Q1959" s="2" t="s">
        <v>63</v>
      </c>
      <c r="R1959" s="2">
        <v>1000</v>
      </c>
      <c r="S1959" s="2">
        <v>105</v>
      </c>
      <c r="T1959" s="2">
        <v>24.15</v>
      </c>
      <c r="U1959" s="2">
        <v>129.15</v>
      </c>
      <c r="V1959" s="2">
        <f>0.082*R1959</f>
        <v>82</v>
      </c>
      <c r="W1959" s="5">
        <f t="shared" si="196"/>
        <v>0.21904761904761905</v>
      </c>
      <c r="Y1959" s="2" t="s">
        <v>3256</v>
      </c>
      <c r="Z1959" s="2" t="s">
        <v>46</v>
      </c>
      <c r="AA1959" s="2" t="s">
        <v>61</v>
      </c>
      <c r="AB1959" s="2" t="s">
        <v>58</v>
      </c>
      <c r="AE1959" s="2">
        <f t="shared" si="193"/>
        <v>0</v>
      </c>
      <c r="AF1959" s="2">
        <v>8.1999999999999993</v>
      </c>
      <c r="AG1959" s="2">
        <v>13</v>
      </c>
      <c r="AI1959" s="2">
        <f t="shared" si="194"/>
        <v>0</v>
      </c>
      <c r="AJ1959" s="2">
        <f t="shared" si="195"/>
        <v>23</v>
      </c>
      <c r="AK1959" s="5">
        <f t="shared" si="192"/>
        <v>0.21904761904761905</v>
      </c>
    </row>
    <row r="1960" spans="1:37" x14ac:dyDescent="0.2">
      <c r="A1960" s="2">
        <v>2025</v>
      </c>
      <c r="B1960" s="2">
        <v>10</v>
      </c>
      <c r="C1960" s="2" t="s">
        <v>534</v>
      </c>
      <c r="D1960" s="2" t="s">
        <v>109</v>
      </c>
      <c r="E1960" s="2" t="s">
        <v>535</v>
      </c>
      <c r="F1960" s="2">
        <v>502139552</v>
      </c>
      <c r="G1960" s="2" t="s">
        <v>40</v>
      </c>
      <c r="H1960" s="2" t="s">
        <v>340</v>
      </c>
      <c r="I1960" s="2" t="s">
        <v>536</v>
      </c>
      <c r="K1960" s="2" t="s">
        <v>340</v>
      </c>
      <c r="L1960" s="2" t="s">
        <v>81</v>
      </c>
      <c r="O1960" s="2" t="s">
        <v>73</v>
      </c>
      <c r="P1960" s="2" t="s">
        <v>838</v>
      </c>
      <c r="Q1960" s="2" t="s">
        <v>75</v>
      </c>
      <c r="R1960" s="2">
        <v>1</v>
      </c>
      <c r="S1960" s="2">
        <v>219.88</v>
      </c>
      <c r="T1960" s="2">
        <v>50.572400000000002</v>
      </c>
      <c r="U1960" s="2">
        <v>270.45240000000001</v>
      </c>
      <c r="V1960" s="2">
        <v>120.636</v>
      </c>
      <c r="W1960" s="5">
        <f t="shared" ref="W1960:W1991" si="197">(S1960-V1960)/S1960</f>
        <v>0.45135528470074587</v>
      </c>
      <c r="Y1960" s="2" t="s">
        <v>3256</v>
      </c>
      <c r="Z1960" s="2" t="s">
        <v>76</v>
      </c>
      <c r="AA1960" s="2" t="s">
        <v>77</v>
      </c>
      <c r="AB1960" s="2" t="s">
        <v>78</v>
      </c>
      <c r="AE1960" s="2">
        <f t="shared" si="193"/>
        <v>0</v>
      </c>
      <c r="AF1960" s="2">
        <v>120.636</v>
      </c>
      <c r="AG1960" s="2">
        <v>220</v>
      </c>
      <c r="AI1960" s="2">
        <f t="shared" si="194"/>
        <v>0</v>
      </c>
      <c r="AJ1960" s="2">
        <f t="shared" si="195"/>
        <v>99.244</v>
      </c>
      <c r="AK1960" s="5">
        <f t="shared" si="192"/>
        <v>0.45135528470074587</v>
      </c>
    </row>
    <row r="1961" spans="1:37" x14ac:dyDescent="0.2">
      <c r="A1961" s="2">
        <v>2025</v>
      </c>
      <c r="B1961" s="2">
        <v>10</v>
      </c>
      <c r="C1961" s="2" t="s">
        <v>534</v>
      </c>
      <c r="D1961" s="2" t="s">
        <v>109</v>
      </c>
      <c r="E1961" s="2" t="s">
        <v>535</v>
      </c>
      <c r="F1961" s="2">
        <v>502139552</v>
      </c>
      <c r="G1961" s="2" t="s">
        <v>40</v>
      </c>
      <c r="H1961" s="2" t="s">
        <v>340</v>
      </c>
      <c r="I1961" s="2" t="s">
        <v>536</v>
      </c>
      <c r="K1961" s="2" t="s">
        <v>340</v>
      </c>
      <c r="L1961" s="2" t="s">
        <v>40</v>
      </c>
      <c r="O1961" s="2" t="s">
        <v>40</v>
      </c>
      <c r="P1961" s="2" t="s">
        <v>141</v>
      </c>
      <c r="Q1961" s="2" t="s">
        <v>142</v>
      </c>
      <c r="R1961" s="2">
        <v>-4</v>
      </c>
      <c r="S1961" s="2">
        <v>-39.68</v>
      </c>
      <c r="T1961" s="2">
        <v>-9.1264000000000003</v>
      </c>
      <c r="U1961" s="2">
        <v>-48.806399999999996</v>
      </c>
      <c r="W1961" s="5">
        <f t="shared" si="197"/>
        <v>1</v>
      </c>
      <c r="Y1961" s="2" t="s">
        <v>120</v>
      </c>
      <c r="Z1961" s="2" t="s">
        <v>143</v>
      </c>
      <c r="AE1961" s="2">
        <f t="shared" si="193"/>
        <v>0</v>
      </c>
      <c r="AI1961" s="2">
        <f t="shared" si="194"/>
        <v>0</v>
      </c>
      <c r="AJ1961" s="2">
        <f t="shared" si="195"/>
        <v>-39.68</v>
      </c>
      <c r="AK1961" s="5">
        <f t="shared" si="192"/>
        <v>1</v>
      </c>
    </row>
    <row r="1962" spans="1:37" x14ac:dyDescent="0.2">
      <c r="A1962" s="2">
        <v>2025</v>
      </c>
      <c r="B1962" s="2">
        <v>10</v>
      </c>
      <c r="C1962" s="2" t="s">
        <v>534</v>
      </c>
      <c r="D1962" s="2" t="s">
        <v>109</v>
      </c>
      <c r="E1962" s="2" t="s">
        <v>535</v>
      </c>
      <c r="F1962" s="2">
        <v>502139552</v>
      </c>
      <c r="G1962" s="2" t="s">
        <v>40</v>
      </c>
      <c r="H1962" s="2" t="s">
        <v>340</v>
      </c>
      <c r="I1962" s="2" t="s">
        <v>536</v>
      </c>
      <c r="K1962" s="2" t="s">
        <v>340</v>
      </c>
      <c r="L1962" s="2" t="s">
        <v>81</v>
      </c>
      <c r="O1962" s="2" t="s">
        <v>94</v>
      </c>
      <c r="P1962" s="2" t="s">
        <v>95</v>
      </c>
      <c r="Q1962" s="2" t="s">
        <v>96</v>
      </c>
      <c r="R1962" s="2">
        <v>1</v>
      </c>
      <c r="S1962" s="2">
        <v>1.1399999999999999</v>
      </c>
      <c r="T1962" s="2">
        <v>0.26219999999999999</v>
      </c>
      <c r="U1962" s="2">
        <v>1.4021999999999999</v>
      </c>
      <c r="V1962" s="2">
        <v>1.1399999999999999</v>
      </c>
      <c r="W1962" s="5">
        <f t="shared" si="197"/>
        <v>0</v>
      </c>
      <c r="Y1962" s="2" t="s">
        <v>3256</v>
      </c>
      <c r="Z1962" s="2" t="s">
        <v>97</v>
      </c>
      <c r="AA1962" s="2" t="s">
        <v>77</v>
      </c>
      <c r="AB1962" s="2" t="s">
        <v>94</v>
      </c>
      <c r="AE1962" s="2">
        <f t="shared" si="193"/>
        <v>0</v>
      </c>
      <c r="AI1962" s="2">
        <f t="shared" si="194"/>
        <v>0</v>
      </c>
      <c r="AJ1962" s="2">
        <f t="shared" si="195"/>
        <v>0</v>
      </c>
      <c r="AK1962" s="5">
        <f t="shared" si="192"/>
        <v>0</v>
      </c>
    </row>
    <row r="1963" spans="1:37" x14ac:dyDescent="0.2">
      <c r="A1963" s="2">
        <v>2025</v>
      </c>
      <c r="B1963" s="2">
        <v>10</v>
      </c>
      <c r="C1963" s="2" t="s">
        <v>1430</v>
      </c>
      <c r="O1963" s="2" t="s">
        <v>1047</v>
      </c>
      <c r="P1963" s="2" t="s">
        <v>1937</v>
      </c>
      <c r="Q1963" s="2" t="s">
        <v>1938</v>
      </c>
      <c r="R1963" s="2">
        <v>4</v>
      </c>
      <c r="S1963" s="2">
        <v>691.06</v>
      </c>
      <c r="T1963" s="2">
        <v>158.94380000000001</v>
      </c>
      <c r="U1963" s="2">
        <v>850.00379999999996</v>
      </c>
      <c r="W1963" s="5">
        <f t="shared" si="197"/>
        <v>1</v>
      </c>
      <c r="Y1963" s="2" t="s">
        <v>3256</v>
      </c>
      <c r="Z1963" s="2" t="s">
        <v>1050</v>
      </c>
      <c r="AA1963" s="2" t="s">
        <v>1328</v>
      </c>
      <c r="AB1963" s="2" t="s">
        <v>1047</v>
      </c>
      <c r="AE1963" s="2">
        <f t="shared" si="193"/>
        <v>0</v>
      </c>
      <c r="AI1963" s="2">
        <f t="shared" si="194"/>
        <v>0</v>
      </c>
      <c r="AJ1963" s="2">
        <f t="shared" si="195"/>
        <v>691.06</v>
      </c>
      <c r="AK1963" s="5">
        <f t="shared" si="192"/>
        <v>1</v>
      </c>
    </row>
    <row r="1964" spans="1:37" x14ac:dyDescent="0.2">
      <c r="A1964" s="2">
        <v>2025</v>
      </c>
      <c r="B1964" s="2">
        <v>10</v>
      </c>
      <c r="C1964" s="2" t="s">
        <v>1430</v>
      </c>
      <c r="L1964" s="2" t="s">
        <v>81</v>
      </c>
      <c r="O1964" s="2" t="s">
        <v>170</v>
      </c>
      <c r="P1964" s="2" t="s">
        <v>171</v>
      </c>
      <c r="Q1964" s="2" t="s">
        <v>171</v>
      </c>
      <c r="R1964" s="2">
        <v>1</v>
      </c>
      <c r="S1964" s="2">
        <v>25</v>
      </c>
      <c r="T1964" s="2">
        <v>5.75</v>
      </c>
      <c r="U1964" s="2">
        <v>30.75</v>
      </c>
      <c r="W1964" s="5">
        <f t="shared" si="197"/>
        <v>1</v>
      </c>
      <c r="Y1964" s="2" t="s">
        <v>170</v>
      </c>
      <c r="Z1964" s="2" t="s">
        <v>170</v>
      </c>
      <c r="AE1964" s="2">
        <f t="shared" si="193"/>
        <v>0</v>
      </c>
      <c r="AI1964" s="2">
        <f t="shared" si="194"/>
        <v>0</v>
      </c>
      <c r="AJ1964" s="2">
        <f t="shared" si="195"/>
        <v>25</v>
      </c>
      <c r="AK1964" s="5">
        <f t="shared" si="192"/>
        <v>1</v>
      </c>
    </row>
    <row r="1965" spans="1:37" x14ac:dyDescent="0.2">
      <c r="A1965" s="2">
        <v>2025</v>
      </c>
      <c r="B1965" s="2">
        <v>10</v>
      </c>
      <c r="C1965" s="2" t="s">
        <v>562</v>
      </c>
      <c r="D1965" s="2" t="s">
        <v>109</v>
      </c>
      <c r="E1965" s="2" t="s">
        <v>39</v>
      </c>
      <c r="F1965" s="2">
        <v>506517233</v>
      </c>
      <c r="G1965" s="2" t="s">
        <v>81</v>
      </c>
      <c r="H1965" s="2" t="s">
        <v>563</v>
      </c>
      <c r="I1965" s="2" t="s">
        <v>564</v>
      </c>
      <c r="K1965" s="2" t="s">
        <v>134</v>
      </c>
      <c r="O1965" s="2" t="s">
        <v>115</v>
      </c>
      <c r="P1965" s="2" t="s">
        <v>1923</v>
      </c>
      <c r="Q1965" s="2" t="s">
        <v>1924</v>
      </c>
      <c r="R1965" s="2">
        <v>1</v>
      </c>
      <c r="S1965" s="2">
        <v>19650</v>
      </c>
      <c r="T1965" s="2">
        <v>4519.5</v>
      </c>
      <c r="U1965" s="2">
        <v>24169.5</v>
      </c>
      <c r="V1965" s="2">
        <v>17000.97</v>
      </c>
      <c r="W1965" s="5">
        <f t="shared" si="197"/>
        <v>0.13481068702290069</v>
      </c>
      <c r="Y1965" s="2" t="s">
        <v>105</v>
      </c>
      <c r="Z1965" s="2" t="s">
        <v>418</v>
      </c>
      <c r="AA1965" s="2" t="s">
        <v>152</v>
      </c>
      <c r="AB1965" s="2" t="s">
        <v>115</v>
      </c>
      <c r="AE1965" s="2">
        <f t="shared" si="193"/>
        <v>0</v>
      </c>
      <c r="AI1965" s="2">
        <f t="shared" si="194"/>
        <v>0</v>
      </c>
      <c r="AJ1965" s="2">
        <f t="shared" si="195"/>
        <v>2649.0299999999988</v>
      </c>
      <c r="AK1965" s="5">
        <f t="shared" si="192"/>
        <v>0.13481068702290069</v>
      </c>
    </row>
    <row r="1966" spans="1:37" x14ac:dyDescent="0.2">
      <c r="A1966" s="2">
        <v>2025</v>
      </c>
      <c r="B1966" s="2">
        <v>10</v>
      </c>
      <c r="C1966" s="2" t="s">
        <v>562</v>
      </c>
      <c r="D1966" s="2" t="s">
        <v>109</v>
      </c>
      <c r="E1966" s="2" t="s">
        <v>39</v>
      </c>
      <c r="F1966" s="2">
        <v>506517233</v>
      </c>
      <c r="G1966" s="2" t="s">
        <v>81</v>
      </c>
      <c r="H1966" s="2" t="s">
        <v>563</v>
      </c>
      <c r="I1966" s="2" t="s">
        <v>564</v>
      </c>
      <c r="K1966" s="2" t="s">
        <v>134</v>
      </c>
      <c r="L1966" s="2" t="s">
        <v>40</v>
      </c>
      <c r="O1966" s="2" t="s">
        <v>115</v>
      </c>
      <c r="P1966" s="2" t="s">
        <v>1939</v>
      </c>
      <c r="Q1966" s="2" t="s">
        <v>1940</v>
      </c>
      <c r="R1966" s="2">
        <v>1</v>
      </c>
      <c r="S1966" s="2">
        <v>21000.41</v>
      </c>
      <c r="T1966" s="2">
        <v>4830.0942999999997</v>
      </c>
      <c r="U1966" s="2">
        <v>25830.504300000001</v>
      </c>
      <c r="V1966" s="2">
        <v>19993.59</v>
      </c>
      <c r="W1966" s="5">
        <f t="shared" si="197"/>
        <v>4.7942873496279348E-2</v>
      </c>
      <c r="Y1966" s="2" t="s">
        <v>105</v>
      </c>
      <c r="Z1966" s="2" t="s">
        <v>151</v>
      </c>
      <c r="AA1966" s="2" t="s">
        <v>152</v>
      </c>
      <c r="AB1966" s="2" t="s">
        <v>115</v>
      </c>
      <c r="AE1966" s="2">
        <f t="shared" si="193"/>
        <v>0</v>
      </c>
      <c r="AF1966" s="2">
        <f>19501.14+492.45</f>
        <v>19993.59</v>
      </c>
      <c r="AI1966" s="2">
        <f t="shared" si="194"/>
        <v>0</v>
      </c>
      <c r="AJ1966" s="2">
        <f t="shared" si="195"/>
        <v>1006.8199999999997</v>
      </c>
      <c r="AK1966" s="5">
        <f t="shared" si="192"/>
        <v>4.7942873496279348E-2</v>
      </c>
    </row>
    <row r="1967" spans="1:37" x14ac:dyDescent="0.2">
      <c r="A1967" s="2">
        <v>2025</v>
      </c>
      <c r="B1967" s="2">
        <v>10</v>
      </c>
      <c r="C1967" s="2" t="s">
        <v>562</v>
      </c>
      <c r="D1967" s="2" t="s">
        <v>109</v>
      </c>
      <c r="E1967" s="2" t="s">
        <v>39</v>
      </c>
      <c r="F1967" s="2">
        <v>506517233</v>
      </c>
      <c r="G1967" s="2" t="s">
        <v>81</v>
      </c>
      <c r="H1967" s="2" t="s">
        <v>563</v>
      </c>
      <c r="I1967" s="2" t="s">
        <v>564</v>
      </c>
      <c r="K1967" s="2" t="s">
        <v>134</v>
      </c>
      <c r="L1967" s="2" t="s">
        <v>40</v>
      </c>
      <c r="N1967" s="2" t="s">
        <v>3253</v>
      </c>
      <c r="O1967" s="2" t="s">
        <v>283</v>
      </c>
      <c r="P1967" s="2" t="s">
        <v>1403</v>
      </c>
      <c r="Q1967" s="2" t="s">
        <v>1404</v>
      </c>
      <c r="R1967" s="2">
        <v>1</v>
      </c>
      <c r="S1967" s="2">
        <v>2499</v>
      </c>
      <c r="T1967" s="2">
        <v>574.77</v>
      </c>
      <c r="U1967" s="2">
        <v>3073.77</v>
      </c>
      <c r="V1967" s="2">
        <v>1990</v>
      </c>
      <c r="W1967" s="5">
        <f t="shared" si="197"/>
        <v>0.20368147258903563</v>
      </c>
      <c r="Y1967" s="2" t="s">
        <v>3256</v>
      </c>
      <c r="Z1967" s="2" t="s">
        <v>72</v>
      </c>
      <c r="AA1967" s="2" t="s">
        <v>1616</v>
      </c>
      <c r="AB1967" s="2" t="s">
        <v>1616</v>
      </c>
      <c r="AE1967" s="2">
        <f t="shared" si="193"/>
        <v>0</v>
      </c>
      <c r="AF1967" s="2">
        <v>1990</v>
      </c>
      <c r="AI1967" s="2">
        <f t="shared" si="194"/>
        <v>0</v>
      </c>
      <c r="AJ1967" s="2">
        <f t="shared" si="195"/>
        <v>509</v>
      </c>
      <c r="AK1967" s="5">
        <f t="shared" si="192"/>
        <v>0.20368147258903563</v>
      </c>
    </row>
    <row r="1968" spans="1:37" x14ac:dyDescent="0.2">
      <c r="A1968" s="2">
        <v>2025</v>
      </c>
      <c r="B1968" s="2">
        <v>10</v>
      </c>
      <c r="C1968" s="2" t="s">
        <v>562</v>
      </c>
      <c r="D1968" s="2" t="s">
        <v>109</v>
      </c>
      <c r="E1968" s="2" t="s">
        <v>39</v>
      </c>
      <c r="F1968" s="2">
        <v>506517233</v>
      </c>
      <c r="G1968" s="2" t="s">
        <v>81</v>
      </c>
      <c r="H1968" s="2" t="s">
        <v>563</v>
      </c>
      <c r="I1968" s="2" t="s">
        <v>564</v>
      </c>
      <c r="K1968" s="2" t="s">
        <v>134</v>
      </c>
      <c r="L1968" s="2" t="s">
        <v>81</v>
      </c>
      <c r="N1968" s="2" t="s">
        <v>3254</v>
      </c>
      <c r="O1968" s="2" t="s">
        <v>283</v>
      </c>
      <c r="P1968" s="2" t="s">
        <v>1456</v>
      </c>
      <c r="Q1968" s="2" t="s">
        <v>1457</v>
      </c>
      <c r="R1968" s="2">
        <v>1</v>
      </c>
      <c r="S1968" s="2">
        <v>100</v>
      </c>
      <c r="T1968" s="2">
        <v>23</v>
      </c>
      <c r="U1968" s="2">
        <v>123</v>
      </c>
      <c r="V1968" s="2">
        <v>71.94</v>
      </c>
      <c r="W1968" s="5">
        <f t="shared" si="197"/>
        <v>0.28060000000000002</v>
      </c>
      <c r="Y1968" s="2" t="s">
        <v>3256</v>
      </c>
      <c r="Z1968" s="2" t="s">
        <v>72</v>
      </c>
      <c r="AA1968" s="2" t="s">
        <v>1616</v>
      </c>
      <c r="AB1968" s="2" t="s">
        <v>1616</v>
      </c>
      <c r="AE1968" s="2">
        <f t="shared" si="193"/>
        <v>0</v>
      </c>
      <c r="AF1968" s="2">
        <v>71.94</v>
      </c>
      <c r="AI1968" s="2">
        <f t="shared" si="194"/>
        <v>0</v>
      </c>
      <c r="AJ1968" s="2">
        <f t="shared" si="195"/>
        <v>28.060000000000002</v>
      </c>
      <c r="AK1968" s="5">
        <f t="shared" si="192"/>
        <v>0.28060000000000002</v>
      </c>
    </row>
    <row r="1969" spans="1:37" x14ac:dyDescent="0.2">
      <c r="A1969" s="2">
        <v>2025</v>
      </c>
      <c r="B1969" s="2">
        <v>10</v>
      </c>
      <c r="C1969" s="2" t="s">
        <v>562</v>
      </c>
      <c r="D1969" s="2" t="s">
        <v>109</v>
      </c>
      <c r="E1969" s="2" t="s">
        <v>39</v>
      </c>
      <c r="F1969" s="2">
        <v>506517233</v>
      </c>
      <c r="G1969" s="2" t="s">
        <v>81</v>
      </c>
      <c r="H1969" s="2" t="s">
        <v>563</v>
      </c>
      <c r="I1969" s="2" t="s">
        <v>564</v>
      </c>
      <c r="K1969" s="2" t="s">
        <v>134</v>
      </c>
      <c r="L1969" s="2" t="s">
        <v>81</v>
      </c>
      <c r="O1969" s="2" t="s">
        <v>1047</v>
      </c>
      <c r="P1969" s="2" t="s">
        <v>1941</v>
      </c>
      <c r="Q1969" s="2" t="s">
        <v>1942</v>
      </c>
      <c r="R1969" s="2">
        <v>4</v>
      </c>
      <c r="S1969" s="2">
        <v>486.6</v>
      </c>
      <c r="T1969" s="2">
        <v>111.91800000000001</v>
      </c>
      <c r="U1969" s="2">
        <v>598.51800000000003</v>
      </c>
      <c r="W1969" s="5">
        <f t="shared" si="197"/>
        <v>1</v>
      </c>
      <c r="Y1969" s="2" t="s">
        <v>3256</v>
      </c>
      <c r="Z1969" s="2" t="s">
        <v>1050</v>
      </c>
      <c r="AA1969" s="2" t="s">
        <v>1280</v>
      </c>
      <c r="AB1969" s="2" t="s">
        <v>1047</v>
      </c>
      <c r="AE1969" s="2">
        <f t="shared" si="193"/>
        <v>0</v>
      </c>
      <c r="AI1969" s="2">
        <f t="shared" si="194"/>
        <v>0</v>
      </c>
      <c r="AJ1969" s="2">
        <f t="shared" si="195"/>
        <v>486.6</v>
      </c>
      <c r="AK1969" s="5">
        <f t="shared" si="192"/>
        <v>1</v>
      </c>
    </row>
    <row r="1970" spans="1:37" x14ac:dyDescent="0.2">
      <c r="A1970" s="2">
        <v>2025</v>
      </c>
      <c r="B1970" s="2">
        <v>10</v>
      </c>
      <c r="C1970" s="2" t="s">
        <v>562</v>
      </c>
      <c r="D1970" s="2" t="s">
        <v>109</v>
      </c>
      <c r="E1970" s="2" t="s">
        <v>39</v>
      </c>
      <c r="F1970" s="2">
        <v>506517233</v>
      </c>
      <c r="G1970" s="2" t="s">
        <v>81</v>
      </c>
      <c r="H1970" s="2" t="s">
        <v>563</v>
      </c>
      <c r="I1970" s="2" t="s">
        <v>564</v>
      </c>
      <c r="K1970" s="2" t="s">
        <v>134</v>
      </c>
      <c r="L1970" s="2" t="s">
        <v>81</v>
      </c>
      <c r="O1970" s="2" t="s">
        <v>1047</v>
      </c>
      <c r="P1970" s="2" t="s">
        <v>1943</v>
      </c>
      <c r="Q1970" s="2" t="s">
        <v>1944</v>
      </c>
      <c r="R1970" s="2">
        <v>4</v>
      </c>
      <c r="S1970" s="2">
        <v>486.6</v>
      </c>
      <c r="T1970" s="2">
        <v>111.91800000000001</v>
      </c>
      <c r="U1970" s="2">
        <v>598.51800000000003</v>
      </c>
      <c r="W1970" s="5">
        <f t="shared" si="197"/>
        <v>1</v>
      </c>
      <c r="Y1970" s="2" t="s">
        <v>3256</v>
      </c>
      <c r="Z1970" s="2" t="s">
        <v>1050</v>
      </c>
      <c r="AA1970" s="2" t="s">
        <v>1280</v>
      </c>
      <c r="AB1970" s="2" t="s">
        <v>1047</v>
      </c>
      <c r="AE1970" s="2">
        <f t="shared" si="193"/>
        <v>0</v>
      </c>
      <c r="AI1970" s="2">
        <f t="shared" si="194"/>
        <v>0</v>
      </c>
      <c r="AJ1970" s="2">
        <f t="shared" si="195"/>
        <v>486.6</v>
      </c>
      <c r="AK1970" s="5">
        <f t="shared" si="192"/>
        <v>1</v>
      </c>
    </row>
    <row r="1971" spans="1:37" x14ac:dyDescent="0.2">
      <c r="A1971" s="2">
        <v>2025</v>
      </c>
      <c r="B1971" s="2">
        <v>10</v>
      </c>
      <c r="C1971" s="2" t="s">
        <v>562</v>
      </c>
      <c r="D1971" s="2" t="s">
        <v>109</v>
      </c>
      <c r="E1971" s="2" t="s">
        <v>39</v>
      </c>
      <c r="F1971" s="2">
        <v>506517233</v>
      </c>
      <c r="G1971" s="2" t="s">
        <v>81</v>
      </c>
      <c r="H1971" s="2" t="s">
        <v>563</v>
      </c>
      <c r="I1971" s="2" t="s">
        <v>564</v>
      </c>
      <c r="K1971" s="2" t="s">
        <v>134</v>
      </c>
      <c r="L1971" s="2" t="s">
        <v>81</v>
      </c>
      <c r="O1971" s="2" t="s">
        <v>1047</v>
      </c>
      <c r="P1971" s="2" t="s">
        <v>1945</v>
      </c>
      <c r="Q1971" s="2" t="s">
        <v>1946</v>
      </c>
      <c r="R1971" s="2">
        <v>4</v>
      </c>
      <c r="S1971" s="2">
        <v>519</v>
      </c>
      <c r="T1971" s="2">
        <v>119.37</v>
      </c>
      <c r="U1971" s="2">
        <v>638.37</v>
      </c>
      <c r="W1971" s="5">
        <f t="shared" si="197"/>
        <v>1</v>
      </c>
      <c r="Y1971" s="2" t="s">
        <v>3256</v>
      </c>
      <c r="Z1971" s="2" t="s">
        <v>1050</v>
      </c>
      <c r="AA1971" s="2" t="s">
        <v>1328</v>
      </c>
      <c r="AB1971" s="2" t="s">
        <v>1047</v>
      </c>
      <c r="AE1971" s="2">
        <f t="shared" si="193"/>
        <v>0</v>
      </c>
      <c r="AI1971" s="2">
        <f t="shared" si="194"/>
        <v>0</v>
      </c>
      <c r="AJ1971" s="2">
        <f t="shared" si="195"/>
        <v>519</v>
      </c>
      <c r="AK1971" s="5">
        <f t="shared" ref="AK1971:AK2034" si="198">(S1971-V1971)/S1971</f>
        <v>1</v>
      </c>
    </row>
    <row r="1972" spans="1:37" x14ac:dyDescent="0.2">
      <c r="A1972" s="2">
        <v>2025</v>
      </c>
      <c r="B1972" s="2">
        <v>10</v>
      </c>
      <c r="C1972" s="2" t="s">
        <v>562</v>
      </c>
      <c r="D1972" s="2" t="s">
        <v>109</v>
      </c>
      <c r="E1972" s="2" t="s">
        <v>39</v>
      </c>
      <c r="F1972" s="2">
        <v>506517233</v>
      </c>
      <c r="G1972" s="2" t="s">
        <v>81</v>
      </c>
      <c r="H1972" s="2" t="s">
        <v>563</v>
      </c>
      <c r="I1972" s="2" t="s">
        <v>564</v>
      </c>
      <c r="K1972" s="2" t="s">
        <v>134</v>
      </c>
      <c r="L1972" s="2" t="s">
        <v>81</v>
      </c>
      <c r="O1972" s="2" t="s">
        <v>1047</v>
      </c>
      <c r="P1972" s="2" t="s">
        <v>1947</v>
      </c>
      <c r="Q1972" s="2" t="s">
        <v>1948</v>
      </c>
      <c r="R1972" s="2">
        <v>4</v>
      </c>
      <c r="S1972" s="2">
        <v>519</v>
      </c>
      <c r="T1972" s="2">
        <v>119.37</v>
      </c>
      <c r="U1972" s="2">
        <v>638.37</v>
      </c>
      <c r="W1972" s="5">
        <f t="shared" si="197"/>
        <v>1</v>
      </c>
      <c r="Y1972" s="2" t="s">
        <v>3256</v>
      </c>
      <c r="Z1972" s="2" t="s">
        <v>1050</v>
      </c>
      <c r="AA1972" s="2" t="s">
        <v>1328</v>
      </c>
      <c r="AB1972" s="2" t="s">
        <v>1047</v>
      </c>
      <c r="AE1972" s="2">
        <f t="shared" si="193"/>
        <v>0</v>
      </c>
      <c r="AI1972" s="2">
        <f t="shared" si="194"/>
        <v>0</v>
      </c>
      <c r="AJ1972" s="2">
        <f t="shared" si="195"/>
        <v>519</v>
      </c>
      <c r="AK1972" s="5">
        <f t="shared" si="198"/>
        <v>1</v>
      </c>
    </row>
    <row r="1973" spans="1:37" x14ac:dyDescent="0.2">
      <c r="A1973" s="2">
        <v>2025</v>
      </c>
      <c r="B1973" s="2">
        <v>10</v>
      </c>
      <c r="C1973" s="2" t="s">
        <v>562</v>
      </c>
      <c r="D1973" s="2" t="s">
        <v>109</v>
      </c>
      <c r="E1973" s="2" t="s">
        <v>39</v>
      </c>
      <c r="F1973" s="2">
        <v>506517233</v>
      </c>
      <c r="G1973" s="2" t="s">
        <v>81</v>
      </c>
      <c r="H1973" s="2" t="s">
        <v>563</v>
      </c>
      <c r="I1973" s="2" t="s">
        <v>564</v>
      </c>
      <c r="K1973" s="2" t="s">
        <v>134</v>
      </c>
      <c r="L1973" s="2" t="s">
        <v>81</v>
      </c>
      <c r="O1973" s="2" t="s">
        <v>1047</v>
      </c>
      <c r="P1973" s="2" t="s">
        <v>1949</v>
      </c>
      <c r="Q1973" s="2" t="s">
        <v>1950</v>
      </c>
      <c r="R1973" s="2">
        <v>4</v>
      </c>
      <c r="S1973" s="2">
        <v>519</v>
      </c>
      <c r="T1973" s="2">
        <v>119.37</v>
      </c>
      <c r="U1973" s="2">
        <v>638.37</v>
      </c>
      <c r="W1973" s="5">
        <f t="shared" si="197"/>
        <v>1</v>
      </c>
      <c r="Y1973" s="2" t="s">
        <v>3256</v>
      </c>
      <c r="Z1973" s="2" t="s">
        <v>1050</v>
      </c>
      <c r="AA1973" s="2" t="s">
        <v>1328</v>
      </c>
      <c r="AB1973" s="2" t="s">
        <v>1047</v>
      </c>
      <c r="AE1973" s="2">
        <f t="shared" si="193"/>
        <v>0</v>
      </c>
      <c r="AI1973" s="2">
        <f t="shared" si="194"/>
        <v>0</v>
      </c>
      <c r="AJ1973" s="2">
        <f t="shared" si="195"/>
        <v>519</v>
      </c>
      <c r="AK1973" s="5">
        <f t="shared" si="198"/>
        <v>1</v>
      </c>
    </row>
    <row r="1974" spans="1:37" x14ac:dyDescent="0.2">
      <c r="A1974" s="2">
        <v>2025</v>
      </c>
      <c r="B1974" s="2">
        <v>10</v>
      </c>
      <c r="C1974" s="2" t="s">
        <v>562</v>
      </c>
      <c r="D1974" s="2" t="s">
        <v>109</v>
      </c>
      <c r="E1974" s="2" t="s">
        <v>39</v>
      </c>
      <c r="F1974" s="2">
        <v>506517233</v>
      </c>
      <c r="G1974" s="2" t="s">
        <v>81</v>
      </c>
      <c r="H1974" s="2" t="s">
        <v>563</v>
      </c>
      <c r="I1974" s="2" t="s">
        <v>564</v>
      </c>
      <c r="K1974" s="2" t="s">
        <v>134</v>
      </c>
      <c r="L1974" s="2" t="s">
        <v>81</v>
      </c>
      <c r="O1974" s="2" t="s">
        <v>1047</v>
      </c>
      <c r="P1974" s="2" t="s">
        <v>1951</v>
      </c>
      <c r="Q1974" s="2" t="s">
        <v>1952</v>
      </c>
      <c r="R1974" s="2">
        <v>4</v>
      </c>
      <c r="S1974" s="2">
        <v>519</v>
      </c>
      <c r="T1974" s="2">
        <v>119.37</v>
      </c>
      <c r="U1974" s="2">
        <v>638.37</v>
      </c>
      <c r="W1974" s="5">
        <f t="shared" si="197"/>
        <v>1</v>
      </c>
      <c r="Y1974" s="2" t="s">
        <v>3256</v>
      </c>
      <c r="Z1974" s="2" t="s">
        <v>1050</v>
      </c>
      <c r="AA1974" s="2" t="s">
        <v>1328</v>
      </c>
      <c r="AB1974" s="2" t="s">
        <v>1047</v>
      </c>
      <c r="AE1974" s="2">
        <f t="shared" si="193"/>
        <v>0</v>
      </c>
      <c r="AI1974" s="2">
        <f t="shared" si="194"/>
        <v>0</v>
      </c>
      <c r="AJ1974" s="2">
        <f t="shared" si="195"/>
        <v>519</v>
      </c>
      <c r="AK1974" s="5">
        <f t="shared" si="198"/>
        <v>1</v>
      </c>
    </row>
    <row r="1975" spans="1:37" x14ac:dyDescent="0.2">
      <c r="A1975" s="2">
        <v>2025</v>
      </c>
      <c r="B1975" s="2">
        <v>10</v>
      </c>
      <c r="C1975" s="2" t="s">
        <v>562</v>
      </c>
      <c r="D1975" s="2" t="s">
        <v>109</v>
      </c>
      <c r="E1975" s="2" t="s">
        <v>39</v>
      </c>
      <c r="F1975" s="2">
        <v>506517233</v>
      </c>
      <c r="G1975" s="2" t="s">
        <v>81</v>
      </c>
      <c r="H1975" s="2" t="s">
        <v>563</v>
      </c>
      <c r="I1975" s="2" t="s">
        <v>564</v>
      </c>
      <c r="K1975" s="2" t="s">
        <v>134</v>
      </c>
      <c r="L1975" s="2" t="s">
        <v>81</v>
      </c>
      <c r="O1975" s="2" t="s">
        <v>170</v>
      </c>
      <c r="P1975" s="2" t="s">
        <v>171</v>
      </c>
      <c r="Q1975" s="2" t="s">
        <v>171</v>
      </c>
      <c r="R1975" s="2">
        <v>1</v>
      </c>
      <c r="S1975" s="2">
        <v>115</v>
      </c>
      <c r="T1975" s="2">
        <v>26.45</v>
      </c>
      <c r="U1975" s="2">
        <v>141.44999999999999</v>
      </c>
      <c r="W1975" s="5">
        <f t="shared" si="197"/>
        <v>1</v>
      </c>
      <c r="Y1975" s="2" t="s">
        <v>170</v>
      </c>
      <c r="Z1975" s="2" t="s">
        <v>170</v>
      </c>
      <c r="AE1975" s="2">
        <f t="shared" si="193"/>
        <v>0</v>
      </c>
      <c r="AI1975" s="2">
        <f t="shared" si="194"/>
        <v>0</v>
      </c>
      <c r="AJ1975" s="2">
        <f t="shared" si="195"/>
        <v>115</v>
      </c>
      <c r="AK1975" s="5">
        <f t="shared" si="198"/>
        <v>1</v>
      </c>
    </row>
    <row r="1976" spans="1:37" x14ac:dyDescent="0.2">
      <c r="A1976" s="2">
        <v>2025</v>
      </c>
      <c r="B1976" s="2">
        <v>10</v>
      </c>
      <c r="C1976" s="2" t="s">
        <v>1097</v>
      </c>
      <c r="D1976" s="2" t="s">
        <v>109</v>
      </c>
      <c r="E1976" s="2" t="s">
        <v>39</v>
      </c>
      <c r="F1976" s="2">
        <v>505194147</v>
      </c>
      <c r="G1976" s="2" t="s">
        <v>110</v>
      </c>
      <c r="H1976" s="2" t="s">
        <v>1098</v>
      </c>
      <c r="I1976" s="2" t="s">
        <v>1099</v>
      </c>
      <c r="J1976" s="2">
        <v>917523997</v>
      </c>
      <c r="K1976" s="2" t="s">
        <v>113</v>
      </c>
      <c r="L1976" s="2" t="s">
        <v>40</v>
      </c>
      <c r="N1976" s="2" t="s">
        <v>1953</v>
      </c>
      <c r="O1976" s="2" t="s">
        <v>115</v>
      </c>
      <c r="P1976" s="2" t="s">
        <v>1395</v>
      </c>
      <c r="Q1976" s="2" t="s">
        <v>1396</v>
      </c>
      <c r="R1976" s="2">
        <v>1</v>
      </c>
      <c r="S1976" s="2">
        <v>152.41</v>
      </c>
      <c r="T1976" s="2">
        <v>35.054299999999998</v>
      </c>
      <c r="U1976" s="2">
        <v>187.46430000000001</v>
      </c>
      <c r="W1976" s="5">
        <f t="shared" si="197"/>
        <v>1</v>
      </c>
      <c r="Y1976" s="2" t="s">
        <v>118</v>
      </c>
      <c r="Z1976" s="2" t="s">
        <v>119</v>
      </c>
      <c r="AE1976" s="2">
        <f t="shared" si="193"/>
        <v>0</v>
      </c>
      <c r="AI1976" s="2">
        <f t="shared" si="194"/>
        <v>0</v>
      </c>
      <c r="AJ1976" s="2">
        <f t="shared" si="195"/>
        <v>152.41</v>
      </c>
      <c r="AK1976" s="5">
        <f t="shared" si="198"/>
        <v>1</v>
      </c>
    </row>
    <row r="1977" spans="1:37" x14ac:dyDescent="0.2">
      <c r="A1977" s="2">
        <v>2025</v>
      </c>
      <c r="B1977" s="2">
        <v>10</v>
      </c>
      <c r="C1977" s="2" t="s">
        <v>1954</v>
      </c>
      <c r="D1977" s="2" t="s">
        <v>109</v>
      </c>
      <c r="E1977" s="2" t="s">
        <v>723</v>
      </c>
      <c r="F1977" s="2">
        <v>500219877</v>
      </c>
      <c r="G1977" s="2" t="s">
        <v>291</v>
      </c>
      <c r="H1977" s="2" t="s">
        <v>484</v>
      </c>
      <c r="I1977" s="2" t="s">
        <v>3192</v>
      </c>
      <c r="K1977" s="2" t="s">
        <v>484</v>
      </c>
      <c r="N1977" s="2" t="s">
        <v>3193</v>
      </c>
      <c r="O1977" s="2" t="s">
        <v>1047</v>
      </c>
      <c r="P1977" s="2" t="s">
        <v>1955</v>
      </c>
      <c r="Q1977" s="2" t="s">
        <v>1956</v>
      </c>
      <c r="R1977" s="2">
        <v>2</v>
      </c>
      <c r="S1977" s="2">
        <v>447.16</v>
      </c>
      <c r="T1977" s="2">
        <v>102.8468</v>
      </c>
      <c r="U1977" s="2">
        <v>550.0068</v>
      </c>
      <c r="V1977" s="2">
        <f>130.08*R1977</f>
        <v>260.16000000000003</v>
      </c>
      <c r="W1977" s="5">
        <f t="shared" si="197"/>
        <v>0.41819482959119775</v>
      </c>
      <c r="Y1977" s="2" t="s">
        <v>3256</v>
      </c>
      <c r="Z1977" s="2" t="s">
        <v>1050</v>
      </c>
      <c r="AA1977" s="2" t="s">
        <v>1051</v>
      </c>
      <c r="AB1977" s="2" t="s">
        <v>1047</v>
      </c>
      <c r="AE1977" s="2">
        <f t="shared" si="193"/>
        <v>0</v>
      </c>
      <c r="AF1977" s="2">
        <v>130.08000000000001</v>
      </c>
      <c r="AI1977" s="2">
        <f t="shared" si="194"/>
        <v>0</v>
      </c>
      <c r="AJ1977" s="2">
        <f t="shared" si="195"/>
        <v>187</v>
      </c>
      <c r="AK1977" s="5">
        <f t="shared" si="198"/>
        <v>0.41819482959119775</v>
      </c>
    </row>
    <row r="1978" spans="1:37" x14ac:dyDescent="0.2">
      <c r="A1978" s="2">
        <v>2025</v>
      </c>
      <c r="B1978" s="2">
        <v>10</v>
      </c>
      <c r="C1978" s="2" t="s">
        <v>1954</v>
      </c>
      <c r="D1978" s="2" t="s">
        <v>109</v>
      </c>
      <c r="E1978" s="2" t="s">
        <v>723</v>
      </c>
      <c r="F1978" s="2">
        <v>500219877</v>
      </c>
      <c r="G1978" s="2" t="s">
        <v>291</v>
      </c>
      <c r="H1978" s="2" t="s">
        <v>484</v>
      </c>
      <c r="I1978" s="2" t="s">
        <v>3192</v>
      </c>
      <c r="K1978" s="2" t="s">
        <v>484</v>
      </c>
      <c r="N1978" s="2" t="s">
        <v>3193</v>
      </c>
      <c r="O1978" s="2" t="s">
        <v>1047</v>
      </c>
      <c r="P1978" s="2" t="s">
        <v>1957</v>
      </c>
      <c r="Q1978" s="2" t="s">
        <v>1958</v>
      </c>
      <c r="R1978" s="2">
        <v>2</v>
      </c>
      <c r="S1978" s="2">
        <v>447.15</v>
      </c>
      <c r="T1978" s="2">
        <v>102.8445</v>
      </c>
      <c r="U1978" s="2">
        <v>549.99450000000002</v>
      </c>
      <c r="V1978" s="2">
        <f>134.85*R1978</f>
        <v>269.7</v>
      </c>
      <c r="W1978" s="5">
        <f t="shared" si="197"/>
        <v>0.39684669573968467</v>
      </c>
      <c r="Y1978" s="2" t="s">
        <v>3256</v>
      </c>
      <c r="Z1978" s="2" t="s">
        <v>1050</v>
      </c>
      <c r="AA1978" s="2" t="s">
        <v>1051</v>
      </c>
      <c r="AB1978" s="2" t="s">
        <v>1047</v>
      </c>
      <c r="AE1978" s="2">
        <f t="shared" si="193"/>
        <v>0</v>
      </c>
      <c r="AF1978" s="2">
        <v>134.85</v>
      </c>
      <c r="AI1978" s="2">
        <f t="shared" si="194"/>
        <v>0</v>
      </c>
      <c r="AJ1978" s="2">
        <f t="shared" si="195"/>
        <v>177.45</v>
      </c>
      <c r="AK1978" s="5">
        <f t="shared" si="198"/>
        <v>0.39684669573968467</v>
      </c>
    </row>
    <row r="1979" spans="1:37" x14ac:dyDescent="0.2">
      <c r="A1979" s="2">
        <v>2025</v>
      </c>
      <c r="B1979" s="2">
        <v>10</v>
      </c>
      <c r="C1979" s="2" t="s">
        <v>1285</v>
      </c>
      <c r="O1979" s="2" t="s">
        <v>115</v>
      </c>
      <c r="P1979" s="2" t="s">
        <v>647</v>
      </c>
      <c r="Q1979" s="2" t="s">
        <v>648</v>
      </c>
      <c r="R1979" s="2">
        <v>1</v>
      </c>
      <c r="S1979" s="2">
        <v>91.11</v>
      </c>
      <c r="T1979" s="2">
        <v>20.955300000000001</v>
      </c>
      <c r="U1979" s="2">
        <v>112.06529999999999</v>
      </c>
      <c r="W1979" s="5">
        <f t="shared" si="197"/>
        <v>1</v>
      </c>
      <c r="AE1979" s="2">
        <f t="shared" si="193"/>
        <v>0</v>
      </c>
      <c r="AI1979" s="2">
        <f t="shared" si="194"/>
        <v>0</v>
      </c>
      <c r="AJ1979" s="2">
        <f t="shared" si="195"/>
        <v>91.11</v>
      </c>
      <c r="AK1979" s="5">
        <f t="shared" si="198"/>
        <v>1</v>
      </c>
    </row>
    <row r="1980" spans="1:37" x14ac:dyDescent="0.2">
      <c r="A1980" s="2">
        <v>2025</v>
      </c>
      <c r="B1980" s="2">
        <v>10</v>
      </c>
      <c r="C1980" s="2" t="s">
        <v>1756</v>
      </c>
      <c r="O1980" s="2" t="s">
        <v>153</v>
      </c>
      <c r="P1980" s="2" t="s">
        <v>1959</v>
      </c>
      <c r="Q1980" s="2" t="s">
        <v>1960</v>
      </c>
      <c r="R1980" s="2">
        <v>8</v>
      </c>
      <c r="S1980" s="2">
        <v>20</v>
      </c>
      <c r="T1980" s="2">
        <v>4.6000000000000014</v>
      </c>
      <c r="U1980" s="2">
        <v>24.6</v>
      </c>
      <c r="W1980" s="5">
        <f t="shared" si="197"/>
        <v>1</v>
      </c>
      <c r="Y1980" s="2" t="s">
        <v>3256</v>
      </c>
      <c r="Z1980" s="2" t="s">
        <v>156</v>
      </c>
      <c r="AA1980" s="2" t="s">
        <v>1960</v>
      </c>
      <c r="AB1980" s="2" t="s">
        <v>153</v>
      </c>
      <c r="AE1980" s="2">
        <f t="shared" si="193"/>
        <v>0</v>
      </c>
      <c r="AI1980" s="2">
        <f t="shared" si="194"/>
        <v>0</v>
      </c>
      <c r="AJ1980" s="2">
        <f t="shared" si="195"/>
        <v>20</v>
      </c>
      <c r="AK1980" s="5">
        <f t="shared" si="198"/>
        <v>1</v>
      </c>
    </row>
    <row r="1981" spans="1:37" x14ac:dyDescent="0.2">
      <c r="A1981" s="2">
        <v>2025</v>
      </c>
      <c r="B1981" s="2">
        <v>10</v>
      </c>
      <c r="C1981" s="2" t="s">
        <v>1756</v>
      </c>
      <c r="L1981" s="2" t="s">
        <v>81</v>
      </c>
      <c r="O1981" s="2" t="s">
        <v>170</v>
      </c>
      <c r="P1981" s="2" t="s">
        <v>171</v>
      </c>
      <c r="Q1981" s="2" t="s">
        <v>171</v>
      </c>
      <c r="R1981" s="2">
        <v>1</v>
      </c>
      <c r="S1981" s="2">
        <v>8.5</v>
      </c>
      <c r="T1981" s="2">
        <v>1.9550000000000001</v>
      </c>
      <c r="U1981" s="2">
        <v>10.455</v>
      </c>
      <c r="W1981" s="5">
        <f t="shared" si="197"/>
        <v>1</v>
      </c>
      <c r="Y1981" s="2" t="s">
        <v>170</v>
      </c>
      <c r="Z1981" s="2" t="s">
        <v>170</v>
      </c>
      <c r="AE1981" s="2">
        <f t="shared" si="193"/>
        <v>0</v>
      </c>
      <c r="AI1981" s="2">
        <f t="shared" si="194"/>
        <v>0</v>
      </c>
      <c r="AJ1981" s="2">
        <f t="shared" si="195"/>
        <v>8.5</v>
      </c>
      <c r="AK1981" s="5">
        <f t="shared" si="198"/>
        <v>1</v>
      </c>
    </row>
    <row r="1982" spans="1:37" x14ac:dyDescent="0.2">
      <c r="A1982" s="2">
        <v>2025</v>
      </c>
      <c r="B1982" s="2">
        <v>10</v>
      </c>
      <c r="C1982" s="2" t="s">
        <v>1961</v>
      </c>
      <c r="O1982" s="2" t="s">
        <v>73</v>
      </c>
      <c r="P1982" s="2" t="s">
        <v>74</v>
      </c>
      <c r="Q1982" s="2" t="s">
        <v>75</v>
      </c>
      <c r="R1982" s="2">
        <v>1</v>
      </c>
      <c r="S1982" s="2">
        <v>220</v>
      </c>
      <c r="T1982" s="2">
        <v>50.6</v>
      </c>
      <c r="U1982" s="2">
        <v>270.60000000000002</v>
      </c>
      <c r="V1982" s="2">
        <v>117.453</v>
      </c>
      <c r="W1982" s="5">
        <f t="shared" si="197"/>
        <v>0.46612272727272724</v>
      </c>
      <c r="Y1982" s="2" t="s">
        <v>3256</v>
      </c>
      <c r="Z1982" s="2" t="s">
        <v>76</v>
      </c>
      <c r="AA1982" s="2" t="s">
        <v>77</v>
      </c>
      <c r="AB1982" s="2" t="s">
        <v>78</v>
      </c>
      <c r="AE1982" s="2">
        <f t="shared" si="193"/>
        <v>0</v>
      </c>
      <c r="AF1982" s="2">
        <v>117.453</v>
      </c>
      <c r="AG1982" s="2">
        <v>220</v>
      </c>
      <c r="AI1982" s="2">
        <f t="shared" si="194"/>
        <v>0</v>
      </c>
      <c r="AJ1982" s="2">
        <f t="shared" si="195"/>
        <v>102.547</v>
      </c>
      <c r="AK1982" s="5">
        <f t="shared" si="198"/>
        <v>0.46612272727272724</v>
      </c>
    </row>
    <row r="1983" spans="1:37" x14ac:dyDescent="0.2">
      <c r="A1983" s="2">
        <v>2025</v>
      </c>
      <c r="B1983" s="2">
        <v>10</v>
      </c>
      <c r="C1983" s="2" t="s">
        <v>1961</v>
      </c>
      <c r="O1983" s="2" t="s">
        <v>94</v>
      </c>
      <c r="P1983" s="2" t="s">
        <v>95</v>
      </c>
      <c r="Q1983" s="2" t="s">
        <v>96</v>
      </c>
      <c r="R1983" s="2">
        <v>1</v>
      </c>
      <c r="S1983" s="2">
        <v>1.1399999999999999</v>
      </c>
      <c r="T1983" s="2">
        <v>0.26219999999999999</v>
      </c>
      <c r="U1983" s="2">
        <v>1.4021999999999999</v>
      </c>
      <c r="V1983" s="2">
        <v>1.1399999999999999</v>
      </c>
      <c r="W1983" s="5">
        <f t="shared" si="197"/>
        <v>0</v>
      </c>
      <c r="Y1983" s="2" t="s">
        <v>3256</v>
      </c>
      <c r="Z1983" s="2" t="s">
        <v>97</v>
      </c>
      <c r="AA1983" s="2" t="s">
        <v>77</v>
      </c>
      <c r="AB1983" s="2" t="s">
        <v>94</v>
      </c>
      <c r="AE1983" s="2">
        <f t="shared" si="193"/>
        <v>0</v>
      </c>
      <c r="AI1983" s="2">
        <f t="shared" si="194"/>
        <v>0</v>
      </c>
      <c r="AJ1983" s="2">
        <f t="shared" si="195"/>
        <v>0</v>
      </c>
      <c r="AK1983" s="5">
        <f t="shared" si="198"/>
        <v>0</v>
      </c>
    </row>
    <row r="1984" spans="1:37" x14ac:dyDescent="0.2">
      <c r="A1984" s="2">
        <v>2025</v>
      </c>
      <c r="B1984" s="2">
        <v>10</v>
      </c>
      <c r="C1984" s="2" t="s">
        <v>1962</v>
      </c>
      <c r="O1984" s="2" t="s">
        <v>69</v>
      </c>
      <c r="P1984" s="2" t="s">
        <v>1169</v>
      </c>
      <c r="Q1984" s="2" t="s">
        <v>1170</v>
      </c>
      <c r="R1984" s="2">
        <v>1</v>
      </c>
      <c r="S1984" s="2">
        <v>75</v>
      </c>
      <c r="T1984" s="2">
        <v>17.25</v>
      </c>
      <c r="U1984" s="2">
        <v>92.25</v>
      </c>
      <c r="V1984" s="2">
        <v>47.4</v>
      </c>
      <c r="W1984" s="5">
        <f t="shared" si="197"/>
        <v>0.36799999999999999</v>
      </c>
      <c r="Y1984" s="2" t="s">
        <v>3256</v>
      </c>
      <c r="Z1984" s="2" t="s">
        <v>72</v>
      </c>
      <c r="AA1984" s="2" t="s">
        <v>69</v>
      </c>
      <c r="AB1984" s="2" t="s">
        <v>3261</v>
      </c>
      <c r="AE1984" s="2">
        <f t="shared" si="193"/>
        <v>0</v>
      </c>
      <c r="AI1984" s="2">
        <f t="shared" si="194"/>
        <v>0</v>
      </c>
      <c r="AJ1984" s="2">
        <f t="shared" si="195"/>
        <v>27.6</v>
      </c>
      <c r="AK1984" s="5">
        <f t="shared" si="198"/>
        <v>0.36799999999999999</v>
      </c>
    </row>
    <row r="1985" spans="1:37" x14ac:dyDescent="0.2">
      <c r="A1985" s="2">
        <v>2025</v>
      </c>
      <c r="B1985" s="2">
        <v>10</v>
      </c>
      <c r="C1985" s="2" t="s">
        <v>579</v>
      </c>
      <c r="D1985" s="2" t="s">
        <v>38</v>
      </c>
      <c r="E1985" s="2" t="s">
        <v>39</v>
      </c>
      <c r="F1985" s="2">
        <v>504811029</v>
      </c>
      <c r="G1985" s="2" t="s">
        <v>41</v>
      </c>
      <c r="H1985" s="2" t="s">
        <v>178</v>
      </c>
      <c r="I1985" s="2" t="s">
        <v>580</v>
      </c>
      <c r="K1985" s="2" t="s">
        <v>178</v>
      </c>
      <c r="L1985" s="2" t="s">
        <v>41</v>
      </c>
      <c r="O1985" s="2" t="s">
        <v>43</v>
      </c>
      <c r="P1985" s="2" t="s">
        <v>424</v>
      </c>
      <c r="Q1985" s="2" t="s">
        <v>425</v>
      </c>
      <c r="R1985" s="2">
        <v>20</v>
      </c>
      <c r="S1985" s="2">
        <v>132</v>
      </c>
      <c r="T1985" s="2">
        <v>30.36</v>
      </c>
      <c r="U1985" s="2">
        <v>162.36000000000001</v>
      </c>
      <c r="V1985" s="2">
        <f>3.7556*R1985</f>
        <v>75.111999999999995</v>
      </c>
      <c r="W1985" s="5">
        <f t="shared" si="197"/>
        <v>0.430969696969697</v>
      </c>
      <c r="Y1985" s="2" t="s">
        <v>3256</v>
      </c>
      <c r="Z1985" s="2" t="s">
        <v>46</v>
      </c>
      <c r="AA1985" s="2" t="s">
        <v>61</v>
      </c>
      <c r="AB1985" s="2" t="s">
        <v>58</v>
      </c>
      <c r="AE1985" s="2">
        <f t="shared" si="193"/>
        <v>0</v>
      </c>
      <c r="AF1985" s="2">
        <v>3.7555999999999998</v>
      </c>
      <c r="AG1985" s="2">
        <v>7.2</v>
      </c>
      <c r="AI1985" s="2">
        <f t="shared" si="194"/>
        <v>0</v>
      </c>
      <c r="AJ1985" s="2">
        <f t="shared" si="195"/>
        <v>56.888000000000005</v>
      </c>
      <c r="AK1985" s="5">
        <f t="shared" si="198"/>
        <v>0.430969696969697</v>
      </c>
    </row>
    <row r="1986" spans="1:37" x14ac:dyDescent="0.2">
      <c r="A1986" s="2">
        <v>2025</v>
      </c>
      <c r="B1986" s="2">
        <v>10</v>
      </c>
      <c r="C1986" s="2" t="s">
        <v>579</v>
      </c>
      <c r="D1986" s="2" t="s">
        <v>38</v>
      </c>
      <c r="E1986" s="2" t="s">
        <v>39</v>
      </c>
      <c r="F1986" s="2">
        <v>504811029</v>
      </c>
      <c r="G1986" s="2" t="s">
        <v>41</v>
      </c>
      <c r="H1986" s="2" t="s">
        <v>178</v>
      </c>
      <c r="I1986" s="2" t="s">
        <v>580</v>
      </c>
      <c r="K1986" s="2" t="s">
        <v>178</v>
      </c>
      <c r="L1986" s="2" t="s">
        <v>41</v>
      </c>
      <c r="O1986" s="2" t="s">
        <v>43</v>
      </c>
      <c r="P1986" s="2" t="s">
        <v>64</v>
      </c>
      <c r="Q1986" s="2" t="s">
        <v>65</v>
      </c>
      <c r="R1986" s="2">
        <v>40</v>
      </c>
      <c r="S1986" s="2">
        <v>72</v>
      </c>
      <c r="T1986" s="2">
        <v>16.559999999999999</v>
      </c>
      <c r="U1986" s="2">
        <v>88.56</v>
      </c>
      <c r="V1986" s="2">
        <f>0.8561*R1986</f>
        <v>34.244</v>
      </c>
      <c r="W1986" s="5">
        <f t="shared" si="197"/>
        <v>0.5243888888888889</v>
      </c>
      <c r="Y1986" s="2" t="s">
        <v>3256</v>
      </c>
      <c r="Z1986" s="2" t="s">
        <v>46</v>
      </c>
      <c r="AA1986" s="2" t="s">
        <v>61</v>
      </c>
      <c r="AB1986" s="2" t="s">
        <v>58</v>
      </c>
      <c r="AE1986" s="2">
        <f t="shared" si="193"/>
        <v>0</v>
      </c>
      <c r="AF1986" s="2">
        <v>0.85609999999999997</v>
      </c>
      <c r="AG1986" s="2">
        <v>1.8</v>
      </c>
      <c r="AI1986" s="2">
        <f t="shared" si="194"/>
        <v>0</v>
      </c>
      <c r="AJ1986" s="2">
        <f t="shared" si="195"/>
        <v>37.756</v>
      </c>
      <c r="AK1986" s="5">
        <f t="shared" si="198"/>
        <v>0.5243888888888889</v>
      </c>
    </row>
    <row r="1987" spans="1:37" x14ac:dyDescent="0.2">
      <c r="A1987" s="2">
        <v>2025</v>
      </c>
      <c r="B1987" s="2">
        <v>10</v>
      </c>
      <c r="C1987" s="2" t="s">
        <v>579</v>
      </c>
      <c r="D1987" s="2" t="s">
        <v>38</v>
      </c>
      <c r="E1987" s="2" t="s">
        <v>39</v>
      </c>
      <c r="F1987" s="2">
        <v>504811029</v>
      </c>
      <c r="G1987" s="2" t="s">
        <v>41</v>
      </c>
      <c r="H1987" s="2" t="s">
        <v>178</v>
      </c>
      <c r="I1987" s="2" t="s">
        <v>580</v>
      </c>
      <c r="K1987" s="2" t="s">
        <v>178</v>
      </c>
      <c r="L1987" s="2" t="s">
        <v>41</v>
      </c>
      <c r="O1987" s="2" t="s">
        <v>43</v>
      </c>
      <c r="P1987" s="2" t="s">
        <v>335</v>
      </c>
      <c r="Q1987" s="2" t="s">
        <v>336</v>
      </c>
      <c r="R1987" s="2">
        <v>20</v>
      </c>
      <c r="S1987" s="2">
        <v>60</v>
      </c>
      <c r="T1987" s="2">
        <v>13.8</v>
      </c>
      <c r="U1987" s="2">
        <v>73.8</v>
      </c>
      <c r="V1987" s="2">
        <f>1.1122*R1987</f>
        <v>22.244</v>
      </c>
      <c r="W1987" s="5">
        <f t="shared" si="197"/>
        <v>0.62926666666666664</v>
      </c>
      <c r="Y1987" s="2" t="s">
        <v>3256</v>
      </c>
      <c r="Z1987" s="2" t="s">
        <v>46</v>
      </c>
      <c r="AA1987" s="2" t="s">
        <v>61</v>
      </c>
      <c r="AB1987" s="2" t="s">
        <v>58</v>
      </c>
      <c r="AE1987" s="2">
        <f t="shared" ref="AE1987:AE2050" si="199">AI1987</f>
        <v>0</v>
      </c>
      <c r="AF1987" s="2">
        <v>1.1122000000000001</v>
      </c>
      <c r="AG1987" s="2">
        <v>3</v>
      </c>
      <c r="AI1987" s="2">
        <f t="shared" ref="AI1987:AI2050" si="200">AH1987*S1987</f>
        <v>0</v>
      </c>
      <c r="AJ1987" s="2">
        <f t="shared" ref="AJ1987:AJ2050" si="201">S1987-V1987</f>
        <v>37.756</v>
      </c>
      <c r="AK1987" s="5">
        <f t="shared" si="198"/>
        <v>0.62926666666666664</v>
      </c>
    </row>
    <row r="1988" spans="1:37" x14ac:dyDescent="0.2">
      <c r="A1988" s="2">
        <v>2025</v>
      </c>
      <c r="B1988" s="2">
        <v>10</v>
      </c>
      <c r="C1988" s="2" t="s">
        <v>579</v>
      </c>
      <c r="D1988" s="2" t="s">
        <v>38</v>
      </c>
      <c r="E1988" s="2" t="s">
        <v>39</v>
      </c>
      <c r="F1988" s="2">
        <v>504811029</v>
      </c>
      <c r="G1988" s="2" t="s">
        <v>41</v>
      </c>
      <c r="H1988" s="2" t="s">
        <v>178</v>
      </c>
      <c r="I1988" s="2" t="s">
        <v>580</v>
      </c>
      <c r="K1988" s="2" t="s">
        <v>178</v>
      </c>
      <c r="L1988" s="2" t="s">
        <v>41</v>
      </c>
      <c r="O1988" s="2" t="s">
        <v>43</v>
      </c>
      <c r="P1988" s="2" t="s">
        <v>584</v>
      </c>
      <c r="Q1988" s="2" t="s">
        <v>585</v>
      </c>
      <c r="R1988" s="2">
        <v>40</v>
      </c>
      <c r="S1988" s="2">
        <v>96</v>
      </c>
      <c r="T1988" s="2">
        <v>22.08</v>
      </c>
      <c r="U1988" s="2">
        <v>118.08</v>
      </c>
      <c r="V1988" s="2">
        <f>1.4114*R1988</f>
        <v>56.456000000000003</v>
      </c>
      <c r="W1988" s="5">
        <f t="shared" si="197"/>
        <v>0.41191666666666665</v>
      </c>
      <c r="Y1988" s="2" t="s">
        <v>3256</v>
      </c>
      <c r="Z1988" s="2" t="s">
        <v>46</v>
      </c>
      <c r="AA1988" s="2" t="s">
        <v>61</v>
      </c>
      <c r="AB1988" s="2" t="s">
        <v>58</v>
      </c>
      <c r="AE1988" s="2">
        <f t="shared" si="199"/>
        <v>0</v>
      </c>
      <c r="AF1988" s="2">
        <v>1.4114</v>
      </c>
      <c r="AG1988" s="2">
        <v>3</v>
      </c>
      <c r="AI1988" s="2">
        <f t="shared" si="200"/>
        <v>0</v>
      </c>
      <c r="AJ1988" s="2">
        <f t="shared" si="201"/>
        <v>39.543999999999997</v>
      </c>
      <c r="AK1988" s="5">
        <f t="shared" si="198"/>
        <v>0.41191666666666665</v>
      </c>
    </row>
    <row r="1989" spans="1:37" x14ac:dyDescent="0.2">
      <c r="A1989" s="2">
        <v>2025</v>
      </c>
      <c r="B1989" s="2">
        <v>10</v>
      </c>
      <c r="C1989" s="2" t="s">
        <v>579</v>
      </c>
      <c r="D1989" s="2" t="s">
        <v>38</v>
      </c>
      <c r="E1989" s="2" t="s">
        <v>39</v>
      </c>
      <c r="F1989" s="2">
        <v>504811029</v>
      </c>
      <c r="G1989" s="2" t="s">
        <v>41</v>
      </c>
      <c r="H1989" s="2" t="s">
        <v>178</v>
      </c>
      <c r="I1989" s="2" t="s">
        <v>580</v>
      </c>
      <c r="K1989" s="2" t="s">
        <v>178</v>
      </c>
      <c r="L1989" s="2" t="s">
        <v>41</v>
      </c>
      <c r="O1989" s="2" t="s">
        <v>43</v>
      </c>
      <c r="P1989" s="2" t="s">
        <v>66</v>
      </c>
      <c r="Q1989" s="2" t="s">
        <v>67</v>
      </c>
      <c r="R1989" s="2">
        <v>2</v>
      </c>
      <c r="S1989" s="2">
        <v>44</v>
      </c>
      <c r="T1989" s="2">
        <v>10.119999999999999</v>
      </c>
      <c r="U1989" s="2">
        <v>54.12</v>
      </c>
      <c r="V1989" s="2">
        <f>15.0203*R1989</f>
        <v>30.040600000000001</v>
      </c>
      <c r="W1989" s="5">
        <f t="shared" si="197"/>
        <v>0.31725909090909088</v>
      </c>
      <c r="Y1989" s="2" t="s">
        <v>3256</v>
      </c>
      <c r="Z1989" s="2" t="s">
        <v>46</v>
      </c>
      <c r="AA1989" s="2" t="s">
        <v>68</v>
      </c>
      <c r="AB1989" s="2" t="s">
        <v>58</v>
      </c>
      <c r="AE1989" s="2">
        <f t="shared" si="199"/>
        <v>0</v>
      </c>
      <c r="AF1989" s="2">
        <v>15.020300000000001</v>
      </c>
      <c r="AG1989" s="2">
        <v>27.6</v>
      </c>
      <c r="AI1989" s="2">
        <f t="shared" si="200"/>
        <v>0</v>
      </c>
      <c r="AJ1989" s="2">
        <f t="shared" si="201"/>
        <v>13.959399999999999</v>
      </c>
      <c r="AK1989" s="5">
        <f t="shared" si="198"/>
        <v>0.31725909090909088</v>
      </c>
    </row>
    <row r="1990" spans="1:37" x14ac:dyDescent="0.2">
      <c r="A1990" s="2">
        <v>2025</v>
      </c>
      <c r="B1990" s="2">
        <v>10</v>
      </c>
      <c r="C1990" s="2" t="s">
        <v>586</v>
      </c>
      <c r="O1990" s="2" t="s">
        <v>43</v>
      </c>
      <c r="P1990" s="2" t="s">
        <v>597</v>
      </c>
      <c r="Q1990" s="2" t="s">
        <v>598</v>
      </c>
      <c r="R1990" s="2">
        <v>1</v>
      </c>
      <c r="S1990" s="2">
        <v>30</v>
      </c>
      <c r="T1990" s="2">
        <v>6.9</v>
      </c>
      <c r="U1990" s="2">
        <v>36.9</v>
      </c>
      <c r="W1990" s="5">
        <f t="shared" si="197"/>
        <v>1</v>
      </c>
      <c r="Y1990" s="2" t="s">
        <v>3256</v>
      </c>
      <c r="Z1990" s="2" t="s">
        <v>46</v>
      </c>
      <c r="AA1990" s="2" t="s">
        <v>47</v>
      </c>
      <c r="AB1990" s="2" t="s">
        <v>48</v>
      </c>
      <c r="AE1990" s="2">
        <f t="shared" si="199"/>
        <v>0</v>
      </c>
      <c r="AI1990" s="2">
        <f t="shared" si="200"/>
        <v>0</v>
      </c>
      <c r="AJ1990" s="2">
        <f t="shared" si="201"/>
        <v>30</v>
      </c>
      <c r="AK1990" s="5">
        <f t="shared" si="198"/>
        <v>1</v>
      </c>
    </row>
    <row r="1991" spans="1:37" x14ac:dyDescent="0.2">
      <c r="A1991" s="2">
        <v>2025</v>
      </c>
      <c r="B1991" s="2">
        <v>10</v>
      </c>
      <c r="C1991" s="2" t="s">
        <v>586</v>
      </c>
      <c r="O1991" s="2" t="s">
        <v>43</v>
      </c>
      <c r="P1991" s="2" t="s">
        <v>51</v>
      </c>
      <c r="Q1991" s="2" t="s">
        <v>52</v>
      </c>
      <c r="R1991" s="2">
        <v>1</v>
      </c>
      <c r="S1991" s="2">
        <v>19.2</v>
      </c>
      <c r="T1991" s="2">
        <v>4.4160000000000004</v>
      </c>
      <c r="U1991" s="2">
        <v>23.616</v>
      </c>
      <c r="V1991" s="2">
        <f>10.2346*R1991</f>
        <v>10.2346</v>
      </c>
      <c r="W1991" s="5">
        <f t="shared" si="197"/>
        <v>0.46694791666666663</v>
      </c>
      <c r="Y1991" s="2" t="s">
        <v>3256</v>
      </c>
      <c r="Z1991" s="2" t="s">
        <v>46</v>
      </c>
      <c r="AA1991" s="2" t="s">
        <v>47</v>
      </c>
      <c r="AB1991" s="2" t="s">
        <v>48</v>
      </c>
      <c r="AE1991" s="2">
        <f t="shared" si="199"/>
        <v>0</v>
      </c>
      <c r="AF1991" s="2">
        <v>10.2346</v>
      </c>
      <c r="AG1991" s="2">
        <v>18</v>
      </c>
      <c r="AI1991" s="2">
        <f t="shared" si="200"/>
        <v>0</v>
      </c>
      <c r="AJ1991" s="2">
        <f t="shared" si="201"/>
        <v>8.9653999999999989</v>
      </c>
      <c r="AK1991" s="5">
        <f t="shared" si="198"/>
        <v>0.46694791666666663</v>
      </c>
    </row>
    <row r="1992" spans="1:37" x14ac:dyDescent="0.2">
      <c r="A1992" s="2">
        <v>2025</v>
      </c>
      <c r="B1992" s="2">
        <v>10</v>
      </c>
      <c r="C1992" s="2" t="s">
        <v>586</v>
      </c>
      <c r="O1992" s="2" t="s">
        <v>43</v>
      </c>
      <c r="P1992" s="2" t="s">
        <v>59</v>
      </c>
      <c r="Q1992" s="2" t="s">
        <v>60</v>
      </c>
      <c r="R1992" s="2">
        <v>100</v>
      </c>
      <c r="S1992" s="2">
        <v>14</v>
      </c>
      <c r="T1992" s="2">
        <v>3.22</v>
      </c>
      <c r="U1992" s="2">
        <v>17.22</v>
      </c>
      <c r="V1992" s="2">
        <f>0.0914*R1992</f>
        <v>9.1399999999999988</v>
      </c>
      <c r="W1992" s="5">
        <f t="shared" ref="W1992:W2001" si="202">(S1992-V1992)/S1992</f>
        <v>0.34714285714285725</v>
      </c>
      <c r="Y1992" s="2" t="s">
        <v>3256</v>
      </c>
      <c r="Z1992" s="2" t="s">
        <v>46</v>
      </c>
      <c r="AA1992" s="2" t="s">
        <v>61</v>
      </c>
      <c r="AB1992" s="2" t="s">
        <v>58</v>
      </c>
      <c r="AE1992" s="2">
        <f t="shared" si="199"/>
        <v>0</v>
      </c>
      <c r="AF1992" s="2">
        <v>9.14</v>
      </c>
      <c r="AG1992" s="2">
        <v>16</v>
      </c>
      <c r="AI1992" s="2">
        <f t="shared" si="200"/>
        <v>0</v>
      </c>
      <c r="AJ1992" s="2">
        <f t="shared" si="201"/>
        <v>4.8600000000000012</v>
      </c>
      <c r="AK1992" s="5">
        <f t="shared" si="198"/>
        <v>0.34714285714285725</v>
      </c>
    </row>
    <row r="1993" spans="1:37" x14ac:dyDescent="0.2">
      <c r="A1993" s="2">
        <v>2025</v>
      </c>
      <c r="B1993" s="2">
        <v>10</v>
      </c>
      <c r="C1993" s="2" t="s">
        <v>586</v>
      </c>
      <c r="O1993" s="2" t="s">
        <v>43</v>
      </c>
      <c r="P1993" s="2" t="s">
        <v>62</v>
      </c>
      <c r="Q1993" s="2" t="s">
        <v>63</v>
      </c>
      <c r="R1993" s="2">
        <v>1200</v>
      </c>
      <c r="S1993" s="2">
        <v>126</v>
      </c>
      <c r="T1993" s="2">
        <v>28.98</v>
      </c>
      <c r="U1993" s="2">
        <v>154.97999999999999</v>
      </c>
      <c r="V1993" s="2">
        <f>0.082*R1993</f>
        <v>98.4</v>
      </c>
      <c r="W1993" s="5">
        <f t="shared" si="202"/>
        <v>0.21904761904761899</v>
      </c>
      <c r="Y1993" s="2" t="s">
        <v>3256</v>
      </c>
      <c r="Z1993" s="2" t="s">
        <v>46</v>
      </c>
      <c r="AA1993" s="2" t="s">
        <v>61</v>
      </c>
      <c r="AB1993" s="2" t="s">
        <v>58</v>
      </c>
      <c r="AE1993" s="2">
        <f t="shared" si="199"/>
        <v>0</v>
      </c>
      <c r="AF1993" s="2">
        <v>8.1999999999999993</v>
      </c>
      <c r="AG1993" s="2">
        <v>13</v>
      </c>
      <c r="AI1993" s="2">
        <f t="shared" si="200"/>
        <v>0</v>
      </c>
      <c r="AJ1993" s="2">
        <f t="shared" si="201"/>
        <v>27.599999999999994</v>
      </c>
      <c r="AK1993" s="5">
        <f t="shared" si="198"/>
        <v>0.21904761904761899</v>
      </c>
    </row>
    <row r="1994" spans="1:37" x14ac:dyDescent="0.2">
      <c r="A1994" s="2">
        <v>2025</v>
      </c>
      <c r="B1994" s="2">
        <v>10</v>
      </c>
      <c r="C1994" s="2" t="s">
        <v>1963</v>
      </c>
      <c r="O1994" s="2" t="s">
        <v>3260</v>
      </c>
      <c r="P1994" s="2" t="s">
        <v>1964</v>
      </c>
      <c r="Q1994" s="2" t="s">
        <v>1965</v>
      </c>
      <c r="R1994" s="2">
        <v>1</v>
      </c>
      <c r="S1994" s="2">
        <v>8000</v>
      </c>
      <c r="T1994" s="2">
        <v>1840</v>
      </c>
      <c r="U1994" s="2">
        <v>9840</v>
      </c>
      <c r="V1994" s="2">
        <v>4152.3100000000004</v>
      </c>
      <c r="W1994" s="5">
        <f t="shared" si="202"/>
        <v>0.48096124999999995</v>
      </c>
      <c r="Y1994" s="2" t="s">
        <v>105</v>
      </c>
      <c r="Z1994" s="2" t="s">
        <v>265</v>
      </c>
      <c r="AA1994" s="2" t="s">
        <v>266</v>
      </c>
      <c r="AB1994" s="2" t="s">
        <v>3260</v>
      </c>
      <c r="AE1994" s="2">
        <f t="shared" si="199"/>
        <v>0</v>
      </c>
      <c r="AI1994" s="2">
        <f t="shared" si="200"/>
        <v>0</v>
      </c>
      <c r="AJ1994" s="2">
        <f t="shared" si="201"/>
        <v>3847.6899999999996</v>
      </c>
      <c r="AK1994" s="5">
        <f t="shared" si="198"/>
        <v>0.48096124999999995</v>
      </c>
    </row>
    <row r="1995" spans="1:37" x14ac:dyDescent="0.2">
      <c r="A1995" s="2">
        <v>2025</v>
      </c>
      <c r="B1995" s="2">
        <v>10</v>
      </c>
      <c r="C1995" s="2" t="s">
        <v>587</v>
      </c>
      <c r="D1995" s="2" t="s">
        <v>109</v>
      </c>
      <c r="F1995" s="2">
        <v>503850276</v>
      </c>
      <c r="G1995" s="2" t="s">
        <v>40</v>
      </c>
      <c r="H1995" s="2" t="s">
        <v>588</v>
      </c>
      <c r="I1995" s="2" t="s">
        <v>589</v>
      </c>
      <c r="K1995" s="2" t="s">
        <v>202</v>
      </c>
      <c r="L1995" s="2" t="s">
        <v>81</v>
      </c>
      <c r="O1995" s="2" t="s">
        <v>43</v>
      </c>
      <c r="P1995" s="2" t="s">
        <v>66</v>
      </c>
      <c r="Q1995" s="2" t="s">
        <v>67</v>
      </c>
      <c r="R1995" s="2">
        <v>8</v>
      </c>
      <c r="S1995" s="2">
        <v>176</v>
      </c>
      <c r="T1995" s="2">
        <v>40.479999999999997</v>
      </c>
      <c r="U1995" s="2">
        <v>216.48</v>
      </c>
      <c r="V1995" s="2">
        <f>15.0203*R1995</f>
        <v>120.16240000000001</v>
      </c>
      <c r="W1995" s="5">
        <f t="shared" si="202"/>
        <v>0.31725909090909088</v>
      </c>
      <c r="Y1995" s="2" t="s">
        <v>3256</v>
      </c>
      <c r="Z1995" s="2" t="s">
        <v>46</v>
      </c>
      <c r="AA1995" s="2" t="s">
        <v>68</v>
      </c>
      <c r="AB1995" s="2" t="s">
        <v>58</v>
      </c>
      <c r="AE1995" s="2">
        <f t="shared" si="199"/>
        <v>0</v>
      </c>
      <c r="AF1995" s="2">
        <v>15.020300000000001</v>
      </c>
      <c r="AG1995" s="2">
        <v>27.6</v>
      </c>
      <c r="AI1995" s="2">
        <f t="shared" si="200"/>
        <v>0</v>
      </c>
      <c r="AJ1995" s="2">
        <f t="shared" si="201"/>
        <v>55.837599999999995</v>
      </c>
      <c r="AK1995" s="5">
        <f t="shared" si="198"/>
        <v>0.31725909090909088</v>
      </c>
    </row>
    <row r="1996" spans="1:37" x14ac:dyDescent="0.2">
      <c r="A1996" s="2">
        <v>2025</v>
      </c>
      <c r="B1996" s="2">
        <v>10</v>
      </c>
      <c r="C1996" s="2" t="s">
        <v>614</v>
      </c>
      <c r="D1996" s="2" t="s">
        <v>38</v>
      </c>
      <c r="E1996" s="2" t="s">
        <v>39</v>
      </c>
      <c r="F1996" s="2">
        <v>509037054</v>
      </c>
      <c r="G1996" s="2" t="s">
        <v>41</v>
      </c>
      <c r="H1996" s="2" t="s">
        <v>615</v>
      </c>
      <c r="I1996" s="2" t="s">
        <v>616</v>
      </c>
      <c r="J1996" s="2">
        <v>962616315</v>
      </c>
      <c r="K1996" s="2" t="s">
        <v>178</v>
      </c>
      <c r="L1996" s="2" t="s">
        <v>41</v>
      </c>
      <c r="N1996" s="2" t="s">
        <v>1966</v>
      </c>
      <c r="O1996" s="2" t="s">
        <v>43</v>
      </c>
      <c r="P1996" s="2" t="s">
        <v>235</v>
      </c>
      <c r="Q1996" s="2" t="s">
        <v>236</v>
      </c>
      <c r="R1996" s="2">
        <v>1</v>
      </c>
      <c r="S1996" s="2">
        <v>13.2</v>
      </c>
      <c r="T1996" s="2">
        <v>3.036</v>
      </c>
      <c r="U1996" s="2">
        <v>16.236000000000001</v>
      </c>
      <c r="V1996" s="2">
        <v>7.2217000000000002</v>
      </c>
      <c r="W1996" s="5">
        <f t="shared" si="202"/>
        <v>0.45290151515151511</v>
      </c>
      <c r="Y1996" s="2" t="s">
        <v>3256</v>
      </c>
      <c r="Z1996" s="2" t="s">
        <v>46</v>
      </c>
      <c r="AA1996" s="2" t="s">
        <v>57</v>
      </c>
      <c r="AB1996" s="2" t="s">
        <v>58</v>
      </c>
      <c r="AE1996" s="2">
        <f t="shared" si="199"/>
        <v>0</v>
      </c>
      <c r="AF1996" s="2">
        <v>7.2217000000000002</v>
      </c>
      <c r="AG1996" s="2">
        <v>14.4</v>
      </c>
      <c r="AI1996" s="2">
        <f t="shared" si="200"/>
        <v>0</v>
      </c>
      <c r="AJ1996" s="2">
        <f t="shared" si="201"/>
        <v>5.9782999999999991</v>
      </c>
      <c r="AK1996" s="5">
        <f t="shared" si="198"/>
        <v>0.45290151515151511</v>
      </c>
    </row>
    <row r="1997" spans="1:37" x14ac:dyDescent="0.2">
      <c r="A1997" s="2">
        <v>2025</v>
      </c>
      <c r="B1997" s="2">
        <v>10</v>
      </c>
      <c r="C1997" s="2" t="s">
        <v>614</v>
      </c>
      <c r="D1997" s="2" t="s">
        <v>38</v>
      </c>
      <c r="E1997" s="2" t="s">
        <v>39</v>
      </c>
      <c r="F1997" s="2">
        <v>509037054</v>
      </c>
      <c r="G1997" s="2" t="s">
        <v>41</v>
      </c>
      <c r="H1997" s="2" t="s">
        <v>615</v>
      </c>
      <c r="I1997" s="2" t="s">
        <v>616</v>
      </c>
      <c r="J1997" s="2">
        <v>962616315</v>
      </c>
      <c r="K1997" s="2" t="s">
        <v>178</v>
      </c>
      <c r="L1997" s="2" t="s">
        <v>41</v>
      </c>
      <c r="N1997" s="2" t="s">
        <v>1966</v>
      </c>
      <c r="O1997" s="2" t="s">
        <v>43</v>
      </c>
      <c r="P1997" s="2" t="s">
        <v>243</v>
      </c>
      <c r="Q1997" s="2" t="s">
        <v>244</v>
      </c>
      <c r="R1997" s="2">
        <v>1</v>
      </c>
      <c r="S1997" s="2">
        <v>28.8</v>
      </c>
      <c r="T1997" s="2">
        <v>6.6240000000000014</v>
      </c>
      <c r="U1997" s="2">
        <v>35.423999999999999</v>
      </c>
      <c r="W1997" s="5">
        <f t="shared" si="202"/>
        <v>1</v>
      </c>
      <c r="Y1997" s="2" t="s">
        <v>3256</v>
      </c>
      <c r="Z1997" s="2" t="s">
        <v>46</v>
      </c>
      <c r="AA1997" s="2" t="s">
        <v>57</v>
      </c>
      <c r="AB1997" s="2" t="s">
        <v>58</v>
      </c>
      <c r="AE1997" s="2">
        <f t="shared" si="199"/>
        <v>0</v>
      </c>
      <c r="AI1997" s="2">
        <f t="shared" si="200"/>
        <v>0</v>
      </c>
      <c r="AJ1997" s="2">
        <f t="shared" si="201"/>
        <v>28.8</v>
      </c>
      <c r="AK1997" s="5">
        <f t="shared" si="198"/>
        <v>1</v>
      </c>
    </row>
    <row r="1998" spans="1:37" x14ac:dyDescent="0.2">
      <c r="A1998" s="2">
        <v>2025</v>
      </c>
      <c r="B1998" s="2">
        <v>10</v>
      </c>
      <c r="C1998" s="2" t="s">
        <v>614</v>
      </c>
      <c r="D1998" s="2" t="s">
        <v>38</v>
      </c>
      <c r="E1998" s="2" t="s">
        <v>39</v>
      </c>
      <c r="F1998" s="2">
        <v>509037054</v>
      </c>
      <c r="G1998" s="2" t="s">
        <v>41</v>
      </c>
      <c r="H1998" s="2" t="s">
        <v>615</v>
      </c>
      <c r="I1998" s="2" t="s">
        <v>616</v>
      </c>
      <c r="J1998" s="2">
        <v>962616315</v>
      </c>
      <c r="K1998" s="2" t="s">
        <v>178</v>
      </c>
      <c r="L1998" s="2" t="s">
        <v>41</v>
      </c>
      <c r="N1998" s="2" t="s">
        <v>1966</v>
      </c>
      <c r="O1998" s="2" t="s">
        <v>43</v>
      </c>
      <c r="P1998" s="2" t="s">
        <v>55</v>
      </c>
      <c r="Q1998" s="2" t="s">
        <v>56</v>
      </c>
      <c r="R1998" s="2">
        <v>1</v>
      </c>
      <c r="S1998" s="2">
        <v>18</v>
      </c>
      <c r="T1998" s="2">
        <v>4.1400000000000006</v>
      </c>
      <c r="U1998" s="2">
        <v>22.14</v>
      </c>
      <c r="V1998" s="2">
        <f>10.6*R1998</f>
        <v>10.6</v>
      </c>
      <c r="W1998" s="5">
        <f t="shared" si="202"/>
        <v>0.41111111111111115</v>
      </c>
      <c r="Y1998" s="2" t="s">
        <v>3256</v>
      </c>
      <c r="Z1998" s="2" t="s">
        <v>46</v>
      </c>
      <c r="AA1998" s="2" t="s">
        <v>57</v>
      </c>
      <c r="AB1998" s="2" t="s">
        <v>58</v>
      </c>
      <c r="AE1998" s="2">
        <f t="shared" si="199"/>
        <v>0</v>
      </c>
      <c r="AF1998" s="2">
        <v>10.6</v>
      </c>
      <c r="AG1998" s="2">
        <v>18</v>
      </c>
      <c r="AI1998" s="2">
        <f t="shared" si="200"/>
        <v>0</v>
      </c>
      <c r="AJ1998" s="2">
        <f t="shared" si="201"/>
        <v>7.4</v>
      </c>
      <c r="AK1998" s="5">
        <f t="shared" si="198"/>
        <v>0.41111111111111115</v>
      </c>
    </row>
    <row r="1999" spans="1:37" x14ac:dyDescent="0.2">
      <c r="A1999" s="2">
        <v>2025</v>
      </c>
      <c r="B1999" s="2">
        <v>10</v>
      </c>
      <c r="C1999" s="2" t="s">
        <v>614</v>
      </c>
      <c r="D1999" s="2" t="s">
        <v>38</v>
      </c>
      <c r="E1999" s="2" t="s">
        <v>39</v>
      </c>
      <c r="F1999" s="2">
        <v>509037054</v>
      </c>
      <c r="G1999" s="2" t="s">
        <v>41</v>
      </c>
      <c r="H1999" s="2" t="s">
        <v>615</v>
      </c>
      <c r="I1999" s="2" t="s">
        <v>616</v>
      </c>
      <c r="J1999" s="2">
        <v>962616315</v>
      </c>
      <c r="K1999" s="2" t="s">
        <v>178</v>
      </c>
      <c r="L1999" s="2" t="s">
        <v>41</v>
      </c>
      <c r="N1999" s="2" t="s">
        <v>1966</v>
      </c>
      <c r="O1999" s="2" t="s">
        <v>43</v>
      </c>
      <c r="P1999" s="2" t="s">
        <v>62</v>
      </c>
      <c r="Q1999" s="2" t="s">
        <v>63</v>
      </c>
      <c r="R1999" s="2">
        <v>100</v>
      </c>
      <c r="S1999" s="2">
        <v>13</v>
      </c>
      <c r="T1999" s="2">
        <v>2.99</v>
      </c>
      <c r="U1999" s="2">
        <v>15.99</v>
      </c>
      <c r="V1999" s="2">
        <f>0.082*R1999</f>
        <v>8.2000000000000011</v>
      </c>
      <c r="W1999" s="5">
        <f t="shared" si="202"/>
        <v>0.36923076923076914</v>
      </c>
      <c r="Y1999" s="2" t="s">
        <v>3256</v>
      </c>
      <c r="Z1999" s="2" t="s">
        <v>46</v>
      </c>
      <c r="AA1999" s="2" t="s">
        <v>61</v>
      </c>
      <c r="AB1999" s="2" t="s">
        <v>58</v>
      </c>
      <c r="AE1999" s="2">
        <f t="shared" si="199"/>
        <v>0</v>
      </c>
      <c r="AF1999" s="2">
        <v>8.1999999999999993</v>
      </c>
      <c r="AG1999" s="2">
        <v>13</v>
      </c>
      <c r="AI1999" s="2">
        <f t="shared" si="200"/>
        <v>0</v>
      </c>
      <c r="AJ1999" s="2">
        <f t="shared" si="201"/>
        <v>4.7999999999999989</v>
      </c>
      <c r="AK1999" s="5">
        <f t="shared" si="198"/>
        <v>0.36923076923076914</v>
      </c>
    </row>
    <row r="2000" spans="1:37" x14ac:dyDescent="0.2">
      <c r="A2000" s="2">
        <v>2025</v>
      </c>
      <c r="B2000" s="2">
        <v>10</v>
      </c>
      <c r="C2000" s="2" t="s">
        <v>905</v>
      </c>
      <c r="D2000" s="2" t="s">
        <v>109</v>
      </c>
      <c r="E2000" s="2" t="s">
        <v>39</v>
      </c>
      <c r="G2000" s="2" t="s">
        <v>40</v>
      </c>
      <c r="H2000" s="2" t="s">
        <v>157</v>
      </c>
      <c r="I2000" s="2" t="s">
        <v>906</v>
      </c>
      <c r="J2000" s="2">
        <v>912047019</v>
      </c>
      <c r="K2000" s="2" t="s">
        <v>100</v>
      </c>
      <c r="L2000" s="2" t="s">
        <v>40</v>
      </c>
      <c r="N2000" s="2" t="s">
        <v>1967</v>
      </c>
      <c r="O2000" s="2" t="s">
        <v>115</v>
      </c>
      <c r="P2000" s="2" t="s">
        <v>829</v>
      </c>
      <c r="Q2000" s="2" t="s">
        <v>830</v>
      </c>
      <c r="R2000" s="2">
        <v>1</v>
      </c>
      <c r="S2000" s="2">
        <v>273.13</v>
      </c>
      <c r="T2000" s="2">
        <v>62.819899999999997</v>
      </c>
      <c r="U2000" s="2">
        <v>335.94990000000001</v>
      </c>
      <c r="W2000" s="5">
        <f t="shared" si="202"/>
        <v>1</v>
      </c>
      <c r="Y2000" s="2" t="s">
        <v>118</v>
      </c>
      <c r="Z2000" s="2" t="s">
        <v>119</v>
      </c>
      <c r="AA2000" s="2" t="s">
        <v>120</v>
      </c>
      <c r="AB2000" s="2" t="s">
        <v>115</v>
      </c>
      <c r="AE2000" s="2">
        <f t="shared" si="199"/>
        <v>0</v>
      </c>
      <c r="AI2000" s="2">
        <f t="shared" si="200"/>
        <v>0</v>
      </c>
      <c r="AJ2000" s="2">
        <f t="shared" si="201"/>
        <v>273.13</v>
      </c>
      <c r="AK2000" s="5">
        <f t="shared" si="198"/>
        <v>1</v>
      </c>
    </row>
    <row r="2001" spans="1:37" x14ac:dyDescent="0.2">
      <c r="A2001" s="2">
        <v>2025</v>
      </c>
      <c r="B2001" s="2">
        <v>10</v>
      </c>
      <c r="C2001" s="2" t="s">
        <v>905</v>
      </c>
      <c r="D2001" s="2" t="s">
        <v>109</v>
      </c>
      <c r="E2001" s="2" t="s">
        <v>39</v>
      </c>
      <c r="G2001" s="2" t="s">
        <v>40</v>
      </c>
      <c r="H2001" s="2" t="s">
        <v>157</v>
      </c>
      <c r="I2001" s="2" t="s">
        <v>906</v>
      </c>
      <c r="J2001" s="2">
        <v>912047019</v>
      </c>
      <c r="K2001" s="2" t="s">
        <v>100</v>
      </c>
      <c r="L2001" s="2" t="s">
        <v>1655</v>
      </c>
      <c r="N2001" s="2" t="s">
        <v>1968</v>
      </c>
      <c r="O2001" s="2" t="s">
        <v>283</v>
      </c>
      <c r="P2001" s="2" t="s">
        <v>1969</v>
      </c>
      <c r="Q2001" s="2" t="s">
        <v>1970</v>
      </c>
      <c r="R2001" s="2">
        <v>1</v>
      </c>
      <c r="S2001" s="2">
        <v>270</v>
      </c>
      <c r="T2001" s="2">
        <v>62.1</v>
      </c>
      <c r="U2001" s="2">
        <v>332.1</v>
      </c>
      <c r="W2001" s="5">
        <f t="shared" si="202"/>
        <v>1</v>
      </c>
      <c r="Y2001" s="2" t="s">
        <v>3256</v>
      </c>
      <c r="AE2001" s="2">
        <f t="shared" si="199"/>
        <v>0</v>
      </c>
      <c r="AI2001" s="2">
        <f t="shared" si="200"/>
        <v>0</v>
      </c>
      <c r="AJ2001" s="2">
        <f t="shared" si="201"/>
        <v>270</v>
      </c>
      <c r="AK2001" s="5">
        <f t="shared" si="198"/>
        <v>1</v>
      </c>
    </row>
    <row r="2002" spans="1:37" x14ac:dyDescent="0.2">
      <c r="A2002" s="2">
        <v>2025</v>
      </c>
      <c r="B2002" s="2">
        <v>10</v>
      </c>
      <c r="C2002" s="2" t="s">
        <v>905</v>
      </c>
      <c r="D2002" s="2" t="s">
        <v>109</v>
      </c>
      <c r="E2002" s="2" t="s">
        <v>39</v>
      </c>
      <c r="G2002" s="2" t="s">
        <v>40</v>
      </c>
      <c r="H2002" s="2" t="s">
        <v>157</v>
      </c>
      <c r="I2002" s="2" t="s">
        <v>906</v>
      </c>
      <c r="J2002" s="2">
        <v>912047019</v>
      </c>
      <c r="K2002" s="2" t="s">
        <v>100</v>
      </c>
      <c r="L2002" s="2" t="s">
        <v>1655</v>
      </c>
      <c r="N2002" s="2" t="s">
        <v>1971</v>
      </c>
      <c r="O2002" s="2" t="s">
        <v>283</v>
      </c>
      <c r="P2002" s="2" t="s">
        <v>1657</v>
      </c>
      <c r="Q2002" s="2" t="s">
        <v>1658</v>
      </c>
      <c r="R2002" s="2">
        <v>-1</v>
      </c>
      <c r="S2002" s="2">
        <v>-335</v>
      </c>
      <c r="T2002" s="2">
        <v>-77.05</v>
      </c>
      <c r="U2002" s="2">
        <v>-412.05</v>
      </c>
      <c r="W2002" s="5">
        <v>0</v>
      </c>
      <c r="Y2002" s="2" t="s">
        <v>3256</v>
      </c>
      <c r="AE2002" s="2">
        <f t="shared" si="199"/>
        <v>0</v>
      </c>
      <c r="AI2002" s="2">
        <f t="shared" si="200"/>
        <v>0</v>
      </c>
      <c r="AJ2002" s="2">
        <f t="shared" si="201"/>
        <v>-335</v>
      </c>
      <c r="AK2002" s="5">
        <f t="shared" si="198"/>
        <v>1</v>
      </c>
    </row>
    <row r="2003" spans="1:37" x14ac:dyDescent="0.2">
      <c r="A2003" s="2">
        <v>2025</v>
      </c>
      <c r="B2003" s="2">
        <v>10</v>
      </c>
      <c r="C2003" s="2" t="s">
        <v>1305</v>
      </c>
      <c r="D2003" s="2" t="s">
        <v>184</v>
      </c>
      <c r="E2003" s="2" t="s">
        <v>368</v>
      </c>
      <c r="F2003" s="2">
        <v>500625654</v>
      </c>
      <c r="G2003" s="2" t="s">
        <v>291</v>
      </c>
      <c r="H2003" s="2" t="s">
        <v>340</v>
      </c>
      <c r="I2003" s="2" t="s">
        <v>1306</v>
      </c>
      <c r="K2003" s="2" t="s">
        <v>340</v>
      </c>
      <c r="L2003" s="2" t="s">
        <v>81</v>
      </c>
      <c r="N2003" s="2" t="s">
        <v>3231</v>
      </c>
      <c r="O2003" s="2" t="s">
        <v>73</v>
      </c>
      <c r="P2003" s="2" t="s">
        <v>79</v>
      </c>
      <c r="Q2003" s="2" t="s">
        <v>80</v>
      </c>
      <c r="R2003" s="2">
        <v>1</v>
      </c>
      <c r="S2003" s="2">
        <v>203.7</v>
      </c>
      <c r="T2003" s="2">
        <v>46.850999999999999</v>
      </c>
      <c r="U2003" s="2">
        <v>250.55099999999999</v>
      </c>
      <c r="V2003" s="2">
        <f>111.98*R2003</f>
        <v>111.98</v>
      </c>
      <c r="W2003" s="5">
        <f t="shared" ref="W2003:W2066" si="203">(S2003-V2003)/S2003</f>
        <v>0.45027000490918012</v>
      </c>
      <c r="Y2003" s="2" t="s">
        <v>3256</v>
      </c>
      <c r="Z2003" s="2" t="s">
        <v>76</v>
      </c>
      <c r="AA2003" s="2" t="s">
        <v>77</v>
      </c>
      <c r="AB2003" s="2" t="s">
        <v>78</v>
      </c>
      <c r="AE2003" s="2">
        <f t="shared" si="199"/>
        <v>0</v>
      </c>
      <c r="AF2003" s="2">
        <v>111.98</v>
      </c>
      <c r="AG2003" s="2">
        <v>210</v>
      </c>
      <c r="AI2003" s="2">
        <f t="shared" si="200"/>
        <v>0</v>
      </c>
      <c r="AJ2003" s="2">
        <f t="shared" si="201"/>
        <v>91.719999999999985</v>
      </c>
      <c r="AK2003" s="5">
        <f t="shared" si="198"/>
        <v>0.45027000490918012</v>
      </c>
    </row>
    <row r="2004" spans="1:37" x14ac:dyDescent="0.2">
      <c r="A2004" s="2">
        <v>2025</v>
      </c>
      <c r="B2004" s="2">
        <v>10</v>
      </c>
      <c r="C2004" s="2" t="s">
        <v>1305</v>
      </c>
      <c r="D2004" s="2" t="s">
        <v>184</v>
      </c>
      <c r="E2004" s="2" t="s">
        <v>368</v>
      </c>
      <c r="F2004" s="2">
        <v>500625654</v>
      </c>
      <c r="G2004" s="2" t="s">
        <v>291</v>
      </c>
      <c r="H2004" s="2" t="s">
        <v>340</v>
      </c>
      <c r="I2004" s="2" t="s">
        <v>1306</v>
      </c>
      <c r="K2004" s="2" t="s">
        <v>340</v>
      </c>
      <c r="L2004" s="2" t="s">
        <v>81</v>
      </c>
      <c r="O2004" s="2" t="s">
        <v>1047</v>
      </c>
      <c r="P2004" s="2" t="s">
        <v>1972</v>
      </c>
      <c r="Q2004" s="2" t="s">
        <v>1973</v>
      </c>
      <c r="R2004" s="2">
        <v>1</v>
      </c>
      <c r="S2004" s="2">
        <v>213.4</v>
      </c>
      <c r="T2004" s="2">
        <v>49.082000000000001</v>
      </c>
      <c r="U2004" s="2">
        <v>262.48200000000003</v>
      </c>
      <c r="W2004" s="5">
        <f t="shared" si="203"/>
        <v>1</v>
      </c>
      <c r="Y2004" s="2" t="s">
        <v>3256</v>
      </c>
      <c r="Z2004" s="2" t="s">
        <v>76</v>
      </c>
      <c r="AA2004" s="2" t="s">
        <v>77</v>
      </c>
      <c r="AB2004" s="2" t="s">
        <v>1047</v>
      </c>
      <c r="AE2004" s="2">
        <f t="shared" si="199"/>
        <v>0</v>
      </c>
      <c r="AI2004" s="2">
        <f t="shared" si="200"/>
        <v>0</v>
      </c>
      <c r="AJ2004" s="2">
        <f t="shared" si="201"/>
        <v>213.4</v>
      </c>
      <c r="AK2004" s="5">
        <f t="shared" si="198"/>
        <v>1</v>
      </c>
    </row>
    <row r="2005" spans="1:37" x14ac:dyDescent="0.2">
      <c r="A2005" s="2">
        <v>2025</v>
      </c>
      <c r="B2005" s="2">
        <v>10</v>
      </c>
      <c r="C2005" s="2" t="s">
        <v>1305</v>
      </c>
      <c r="D2005" s="2" t="s">
        <v>184</v>
      </c>
      <c r="E2005" s="2" t="s">
        <v>368</v>
      </c>
      <c r="F2005" s="2">
        <v>500625654</v>
      </c>
      <c r="G2005" s="2" t="s">
        <v>291</v>
      </c>
      <c r="H2005" s="2" t="s">
        <v>340</v>
      </c>
      <c r="I2005" s="2" t="s">
        <v>1306</v>
      </c>
      <c r="K2005" s="2" t="s">
        <v>340</v>
      </c>
      <c r="L2005" s="2" t="s">
        <v>81</v>
      </c>
      <c r="O2005" s="2" t="s">
        <v>170</v>
      </c>
      <c r="P2005" s="2" t="s">
        <v>171</v>
      </c>
      <c r="Q2005" s="2" t="s">
        <v>171</v>
      </c>
      <c r="R2005" s="2">
        <v>1</v>
      </c>
      <c r="S2005" s="2">
        <v>30</v>
      </c>
      <c r="T2005" s="2">
        <v>6.9</v>
      </c>
      <c r="U2005" s="2">
        <v>36.9</v>
      </c>
      <c r="W2005" s="5">
        <f t="shared" si="203"/>
        <v>1</v>
      </c>
      <c r="Y2005" s="2" t="s">
        <v>170</v>
      </c>
      <c r="Z2005" s="2" t="s">
        <v>170</v>
      </c>
      <c r="AE2005" s="2">
        <f t="shared" si="199"/>
        <v>0</v>
      </c>
      <c r="AI2005" s="2">
        <f t="shared" si="200"/>
        <v>0</v>
      </c>
      <c r="AJ2005" s="2">
        <f t="shared" si="201"/>
        <v>30</v>
      </c>
      <c r="AK2005" s="5">
        <f t="shared" si="198"/>
        <v>1</v>
      </c>
    </row>
    <row r="2006" spans="1:37" x14ac:dyDescent="0.2">
      <c r="A2006" s="2">
        <v>2025</v>
      </c>
      <c r="B2006" s="2">
        <v>10</v>
      </c>
      <c r="C2006" s="2" t="s">
        <v>1305</v>
      </c>
      <c r="D2006" s="2" t="s">
        <v>184</v>
      </c>
      <c r="E2006" s="2" t="s">
        <v>368</v>
      </c>
      <c r="F2006" s="2">
        <v>500625654</v>
      </c>
      <c r="G2006" s="2" t="s">
        <v>291</v>
      </c>
      <c r="H2006" s="2" t="s">
        <v>340</v>
      </c>
      <c r="I2006" s="2" t="s">
        <v>1306</v>
      </c>
      <c r="K2006" s="2" t="s">
        <v>340</v>
      </c>
      <c r="O2006" s="2" t="s">
        <v>94</v>
      </c>
      <c r="P2006" s="2" t="s">
        <v>95</v>
      </c>
      <c r="Q2006" s="2" t="s">
        <v>96</v>
      </c>
      <c r="R2006" s="2">
        <v>2</v>
      </c>
      <c r="S2006" s="2">
        <v>2.2799999999999998</v>
      </c>
      <c r="T2006" s="2">
        <v>0.52439999999999998</v>
      </c>
      <c r="U2006" s="2">
        <v>2.8043999999999998</v>
      </c>
      <c r="V2006" s="2">
        <v>2.2799999999999998</v>
      </c>
      <c r="W2006" s="5">
        <f t="shared" si="203"/>
        <v>0</v>
      </c>
      <c r="Y2006" s="2" t="s">
        <v>3256</v>
      </c>
      <c r="Z2006" s="2" t="s">
        <v>97</v>
      </c>
      <c r="AA2006" s="2" t="s">
        <v>77</v>
      </c>
      <c r="AB2006" s="2" t="s">
        <v>94</v>
      </c>
      <c r="AE2006" s="2">
        <f t="shared" si="199"/>
        <v>0</v>
      </c>
      <c r="AI2006" s="2">
        <f t="shared" si="200"/>
        <v>0</v>
      </c>
      <c r="AJ2006" s="2">
        <f t="shared" si="201"/>
        <v>0</v>
      </c>
      <c r="AK2006" s="5">
        <f t="shared" si="198"/>
        <v>0</v>
      </c>
    </row>
    <row r="2007" spans="1:37" x14ac:dyDescent="0.2">
      <c r="A2007" s="2">
        <v>2025</v>
      </c>
      <c r="B2007" s="2">
        <v>10</v>
      </c>
      <c r="C2007" s="2" t="s">
        <v>623</v>
      </c>
      <c r="D2007" s="2" t="s">
        <v>38</v>
      </c>
      <c r="E2007" s="2" t="s">
        <v>39</v>
      </c>
      <c r="F2007" s="2">
        <v>513759654</v>
      </c>
      <c r="G2007" s="2" t="s">
        <v>41</v>
      </c>
      <c r="H2007" s="2" t="s">
        <v>624</v>
      </c>
      <c r="I2007" s="2" t="s">
        <v>625</v>
      </c>
      <c r="K2007" s="2" t="s">
        <v>422</v>
      </c>
      <c r="L2007" s="2" t="s">
        <v>41</v>
      </c>
      <c r="O2007" s="2" t="s">
        <v>283</v>
      </c>
      <c r="P2007" s="2" t="s">
        <v>401</v>
      </c>
      <c r="Q2007" s="2" t="s">
        <v>402</v>
      </c>
      <c r="R2007" s="2">
        <v>10</v>
      </c>
      <c r="S2007" s="2">
        <v>200</v>
      </c>
      <c r="T2007" s="2">
        <v>46</v>
      </c>
      <c r="U2007" s="2">
        <v>246</v>
      </c>
      <c r="W2007" s="5">
        <f t="shared" si="203"/>
        <v>1</v>
      </c>
      <c r="Y2007" s="2" t="s">
        <v>3256</v>
      </c>
      <c r="Z2007" s="2" t="s">
        <v>46</v>
      </c>
      <c r="AA2007" s="2" t="s">
        <v>61</v>
      </c>
      <c r="AB2007" s="2" t="s">
        <v>403</v>
      </c>
      <c r="AE2007" s="2">
        <f t="shared" si="199"/>
        <v>0</v>
      </c>
      <c r="AI2007" s="2">
        <f t="shared" si="200"/>
        <v>0</v>
      </c>
      <c r="AJ2007" s="2">
        <f t="shared" si="201"/>
        <v>200</v>
      </c>
      <c r="AK2007" s="5">
        <f t="shared" si="198"/>
        <v>1</v>
      </c>
    </row>
    <row r="2008" spans="1:37" x14ac:dyDescent="0.2">
      <c r="A2008" s="2">
        <v>2025</v>
      </c>
      <c r="B2008" s="2">
        <v>10</v>
      </c>
      <c r="C2008" s="2" t="s">
        <v>623</v>
      </c>
      <c r="D2008" s="2" t="s">
        <v>38</v>
      </c>
      <c r="E2008" s="2" t="s">
        <v>39</v>
      </c>
      <c r="F2008" s="2">
        <v>513759654</v>
      </c>
      <c r="G2008" s="2" t="s">
        <v>41</v>
      </c>
      <c r="H2008" s="2" t="s">
        <v>624</v>
      </c>
      <c r="I2008" s="2" t="s">
        <v>625</v>
      </c>
      <c r="K2008" s="2" t="s">
        <v>422</v>
      </c>
      <c r="O2008" s="2" t="s">
        <v>283</v>
      </c>
      <c r="P2008" s="2" t="s">
        <v>404</v>
      </c>
      <c r="Q2008" s="2" t="s">
        <v>405</v>
      </c>
      <c r="R2008" s="2">
        <v>10</v>
      </c>
      <c r="S2008" s="2">
        <v>200</v>
      </c>
      <c r="T2008" s="2">
        <v>46</v>
      </c>
      <c r="U2008" s="2">
        <v>246</v>
      </c>
      <c r="W2008" s="5">
        <f t="shared" si="203"/>
        <v>1</v>
      </c>
      <c r="Y2008" s="2" t="s">
        <v>3256</v>
      </c>
      <c r="AE2008" s="2">
        <f t="shared" si="199"/>
        <v>0</v>
      </c>
      <c r="AI2008" s="2">
        <f t="shared" si="200"/>
        <v>0</v>
      </c>
      <c r="AJ2008" s="2">
        <f t="shared" si="201"/>
        <v>200</v>
      </c>
      <c r="AK2008" s="5">
        <f t="shared" si="198"/>
        <v>1</v>
      </c>
    </row>
    <row r="2009" spans="1:37" x14ac:dyDescent="0.2">
      <c r="A2009" s="2">
        <v>2025</v>
      </c>
      <c r="B2009" s="2">
        <v>10</v>
      </c>
      <c r="C2009" s="2" t="s">
        <v>630</v>
      </c>
      <c r="D2009" s="2" t="s">
        <v>38</v>
      </c>
      <c r="E2009" s="2" t="s">
        <v>39</v>
      </c>
      <c r="F2009" s="2" t="s">
        <v>631</v>
      </c>
      <c r="G2009" s="2" t="s">
        <v>40</v>
      </c>
      <c r="H2009" s="2" t="s">
        <v>632</v>
      </c>
      <c r="I2009" s="2" t="s">
        <v>633</v>
      </c>
      <c r="K2009" s="2" t="s">
        <v>632</v>
      </c>
      <c r="L2009" s="2" t="s">
        <v>40</v>
      </c>
      <c r="O2009" s="2" t="s">
        <v>115</v>
      </c>
      <c r="P2009" s="2" t="s">
        <v>1310</v>
      </c>
      <c r="Q2009" s="2" t="s">
        <v>1311</v>
      </c>
      <c r="R2009" s="2">
        <v>1</v>
      </c>
      <c r="S2009" s="2">
        <v>13.28</v>
      </c>
      <c r="T2009" s="2">
        <v>3.0543999999999998</v>
      </c>
      <c r="U2009" s="2">
        <v>16.334399999999999</v>
      </c>
      <c r="W2009" s="5">
        <f t="shared" si="203"/>
        <v>1</v>
      </c>
      <c r="AE2009" s="2">
        <f t="shared" si="199"/>
        <v>0</v>
      </c>
      <c r="AI2009" s="2">
        <f t="shared" si="200"/>
        <v>0</v>
      </c>
      <c r="AJ2009" s="2">
        <f t="shared" si="201"/>
        <v>13.28</v>
      </c>
      <c r="AK2009" s="5">
        <f t="shared" si="198"/>
        <v>1</v>
      </c>
    </row>
    <row r="2010" spans="1:37" x14ac:dyDescent="0.2">
      <c r="A2010" s="2">
        <v>2025</v>
      </c>
      <c r="B2010" s="2">
        <v>10</v>
      </c>
      <c r="C2010" s="2" t="s">
        <v>630</v>
      </c>
      <c r="D2010" s="2" t="s">
        <v>38</v>
      </c>
      <c r="E2010" s="2" t="s">
        <v>39</v>
      </c>
      <c r="F2010" s="2" t="s">
        <v>631</v>
      </c>
      <c r="G2010" s="2" t="s">
        <v>40</v>
      </c>
      <c r="H2010" s="2" t="s">
        <v>632</v>
      </c>
      <c r="I2010" s="2" t="s">
        <v>633</v>
      </c>
      <c r="K2010" s="2" t="s">
        <v>632</v>
      </c>
      <c r="L2010" s="2" t="s">
        <v>40</v>
      </c>
      <c r="O2010" s="2" t="s">
        <v>115</v>
      </c>
      <c r="P2010" s="2" t="s">
        <v>911</v>
      </c>
      <c r="Q2010" s="2" t="s">
        <v>912</v>
      </c>
      <c r="R2010" s="2">
        <v>1</v>
      </c>
      <c r="S2010" s="2">
        <v>465.7</v>
      </c>
      <c r="T2010" s="2">
        <v>107.111</v>
      </c>
      <c r="U2010" s="2">
        <v>572.81100000000004</v>
      </c>
      <c r="W2010" s="5">
        <f t="shared" si="203"/>
        <v>1</v>
      </c>
      <c r="AE2010" s="2">
        <f t="shared" si="199"/>
        <v>0</v>
      </c>
      <c r="AI2010" s="2">
        <f t="shared" si="200"/>
        <v>0</v>
      </c>
      <c r="AJ2010" s="2">
        <f t="shared" si="201"/>
        <v>465.7</v>
      </c>
      <c r="AK2010" s="5">
        <f t="shared" si="198"/>
        <v>1</v>
      </c>
    </row>
    <row r="2011" spans="1:37" x14ac:dyDescent="0.2">
      <c r="A2011" s="2">
        <v>2025</v>
      </c>
      <c r="B2011" s="2">
        <v>10</v>
      </c>
      <c r="C2011" s="2" t="s">
        <v>1974</v>
      </c>
      <c r="O2011" s="2" t="s">
        <v>73</v>
      </c>
      <c r="P2011" s="2" t="s">
        <v>74</v>
      </c>
      <c r="Q2011" s="2" t="s">
        <v>75</v>
      </c>
      <c r="R2011" s="2">
        <v>1</v>
      </c>
      <c r="S2011" s="2">
        <v>220</v>
      </c>
      <c r="T2011" s="2">
        <v>50.6</v>
      </c>
      <c r="U2011" s="2">
        <v>270.60000000000002</v>
      </c>
      <c r="V2011" s="2">
        <v>117.453</v>
      </c>
      <c r="W2011" s="5">
        <f t="shared" si="203"/>
        <v>0.46612272727272724</v>
      </c>
      <c r="Y2011" s="2" t="s">
        <v>3256</v>
      </c>
      <c r="Z2011" s="2" t="s">
        <v>76</v>
      </c>
      <c r="AA2011" s="2" t="s">
        <v>77</v>
      </c>
      <c r="AB2011" s="2" t="s">
        <v>78</v>
      </c>
      <c r="AE2011" s="2">
        <f t="shared" si="199"/>
        <v>0</v>
      </c>
      <c r="AF2011" s="2">
        <v>117.453</v>
      </c>
      <c r="AG2011" s="2">
        <v>220</v>
      </c>
      <c r="AI2011" s="2">
        <f t="shared" si="200"/>
        <v>0</v>
      </c>
      <c r="AJ2011" s="2">
        <f t="shared" si="201"/>
        <v>102.547</v>
      </c>
      <c r="AK2011" s="5">
        <f t="shared" si="198"/>
        <v>0.46612272727272724</v>
      </c>
    </row>
    <row r="2012" spans="1:37" x14ac:dyDescent="0.2">
      <c r="A2012" s="2">
        <v>2025</v>
      </c>
      <c r="B2012" s="2">
        <v>10</v>
      </c>
      <c r="C2012" s="2" t="s">
        <v>1974</v>
      </c>
      <c r="O2012" s="2" t="s">
        <v>94</v>
      </c>
      <c r="P2012" s="2" t="s">
        <v>95</v>
      </c>
      <c r="Q2012" s="2" t="s">
        <v>96</v>
      </c>
      <c r="R2012" s="2">
        <v>1</v>
      </c>
      <c r="S2012" s="2">
        <v>1.1399999999999999</v>
      </c>
      <c r="T2012" s="2">
        <v>0.26219999999999999</v>
      </c>
      <c r="U2012" s="2">
        <v>1.4021999999999999</v>
      </c>
      <c r="V2012" s="2">
        <v>1.1399999999999999</v>
      </c>
      <c r="W2012" s="5">
        <f t="shared" si="203"/>
        <v>0</v>
      </c>
      <c r="Y2012" s="2" t="s">
        <v>3256</v>
      </c>
      <c r="Z2012" s="2" t="s">
        <v>97</v>
      </c>
      <c r="AA2012" s="2" t="s">
        <v>77</v>
      </c>
      <c r="AB2012" s="2" t="s">
        <v>94</v>
      </c>
      <c r="AE2012" s="2">
        <f t="shared" si="199"/>
        <v>0</v>
      </c>
      <c r="AI2012" s="2">
        <f t="shared" si="200"/>
        <v>0</v>
      </c>
      <c r="AJ2012" s="2">
        <f t="shared" si="201"/>
        <v>0</v>
      </c>
      <c r="AK2012" s="5">
        <f t="shared" si="198"/>
        <v>0</v>
      </c>
    </row>
    <row r="2013" spans="1:37" x14ac:dyDescent="0.2">
      <c r="A2013" s="2">
        <v>2025</v>
      </c>
      <c r="B2013" s="2">
        <v>10</v>
      </c>
      <c r="C2013" s="2" t="s">
        <v>1309</v>
      </c>
      <c r="O2013" s="2" t="s">
        <v>115</v>
      </c>
      <c r="P2013" s="2" t="s">
        <v>785</v>
      </c>
      <c r="Q2013" s="2" t="s">
        <v>786</v>
      </c>
      <c r="R2013" s="2">
        <v>1</v>
      </c>
      <c r="S2013" s="2">
        <v>76.67</v>
      </c>
      <c r="T2013" s="2">
        <v>17.6341</v>
      </c>
      <c r="U2013" s="2">
        <v>94.304100000000005</v>
      </c>
      <c r="W2013" s="5">
        <f t="shared" si="203"/>
        <v>1</v>
      </c>
      <c r="AE2013" s="2">
        <f t="shared" si="199"/>
        <v>0</v>
      </c>
      <c r="AI2013" s="2">
        <f t="shared" si="200"/>
        <v>0</v>
      </c>
      <c r="AJ2013" s="2">
        <f t="shared" si="201"/>
        <v>76.67</v>
      </c>
      <c r="AK2013" s="5">
        <f t="shared" si="198"/>
        <v>1</v>
      </c>
    </row>
    <row r="2014" spans="1:37" x14ac:dyDescent="0.2">
      <c r="A2014" s="2">
        <v>2025</v>
      </c>
      <c r="B2014" s="2">
        <v>10</v>
      </c>
      <c r="C2014" s="2" t="s">
        <v>1128</v>
      </c>
      <c r="L2014" s="2" t="s">
        <v>40</v>
      </c>
      <c r="O2014" s="2" t="s">
        <v>115</v>
      </c>
      <c r="P2014" s="2" t="s">
        <v>180</v>
      </c>
      <c r="Q2014" s="2" t="s">
        <v>181</v>
      </c>
      <c r="R2014" s="2">
        <v>2</v>
      </c>
      <c r="S2014" s="2">
        <v>1198.8</v>
      </c>
      <c r="T2014" s="2">
        <v>275.72399999999999</v>
      </c>
      <c r="U2014" s="2">
        <v>1474.5239999999999</v>
      </c>
      <c r="V2014" s="2">
        <v>693.14</v>
      </c>
      <c r="W2014" s="5">
        <f t="shared" si="203"/>
        <v>0.42180513847180512</v>
      </c>
      <c r="Y2014" s="2" t="s">
        <v>118</v>
      </c>
      <c r="Z2014" s="2" t="s">
        <v>182</v>
      </c>
      <c r="AE2014" s="2">
        <f t="shared" si="199"/>
        <v>0</v>
      </c>
      <c r="AI2014" s="2">
        <f t="shared" si="200"/>
        <v>0</v>
      </c>
      <c r="AJ2014" s="2">
        <f t="shared" si="201"/>
        <v>505.65999999999997</v>
      </c>
      <c r="AK2014" s="5">
        <f t="shared" si="198"/>
        <v>0.42180513847180512</v>
      </c>
    </row>
    <row r="2015" spans="1:37" x14ac:dyDescent="0.2">
      <c r="A2015" s="2">
        <v>2025</v>
      </c>
      <c r="B2015" s="2">
        <v>10</v>
      </c>
      <c r="C2015" s="2" t="s">
        <v>1128</v>
      </c>
      <c r="L2015" s="2" t="s">
        <v>40</v>
      </c>
      <c r="O2015" s="2" t="s">
        <v>188</v>
      </c>
      <c r="P2015" s="2" t="s">
        <v>189</v>
      </c>
      <c r="Q2015" s="2" t="s">
        <v>190</v>
      </c>
      <c r="R2015" s="2">
        <v>1</v>
      </c>
      <c r="S2015" s="2">
        <v>0</v>
      </c>
      <c r="T2015" s="2">
        <v>0</v>
      </c>
      <c r="U2015" s="2">
        <v>0</v>
      </c>
      <c r="W2015" s="5" t="e">
        <f t="shared" si="203"/>
        <v>#DIV/0!</v>
      </c>
      <c r="Y2015" s="2" t="s">
        <v>118</v>
      </c>
      <c r="Z2015" s="2" t="s">
        <v>191</v>
      </c>
      <c r="AE2015" s="2">
        <f t="shared" si="199"/>
        <v>0</v>
      </c>
      <c r="AI2015" s="2">
        <f t="shared" si="200"/>
        <v>0</v>
      </c>
      <c r="AJ2015" s="2">
        <f t="shared" si="201"/>
        <v>0</v>
      </c>
      <c r="AK2015" s="5" t="e">
        <f t="shared" si="198"/>
        <v>#DIV/0!</v>
      </c>
    </row>
    <row r="2016" spans="1:37" x14ac:dyDescent="0.2">
      <c r="A2016" s="2">
        <v>2025</v>
      </c>
      <c r="B2016" s="2">
        <v>10</v>
      </c>
      <c r="C2016" s="2" t="s">
        <v>1128</v>
      </c>
      <c r="L2016" s="2" t="s">
        <v>40</v>
      </c>
      <c r="O2016" s="2" t="s">
        <v>188</v>
      </c>
      <c r="P2016" s="2" t="s">
        <v>192</v>
      </c>
      <c r="Q2016" s="2" t="s">
        <v>191</v>
      </c>
      <c r="R2016" s="2">
        <v>1</v>
      </c>
      <c r="S2016" s="2">
        <v>50</v>
      </c>
      <c r="T2016" s="2">
        <v>11.5</v>
      </c>
      <c r="U2016" s="2">
        <v>61.5</v>
      </c>
      <c r="V2016" s="2">
        <f>S2016*50%</f>
        <v>25</v>
      </c>
      <c r="W2016" s="5">
        <f t="shared" si="203"/>
        <v>0.5</v>
      </c>
      <c r="Y2016" s="2" t="s">
        <v>118</v>
      </c>
      <c r="Z2016" s="2" t="s">
        <v>191</v>
      </c>
      <c r="AE2016" s="2">
        <f t="shared" si="199"/>
        <v>0</v>
      </c>
      <c r="AI2016" s="2">
        <f t="shared" si="200"/>
        <v>0</v>
      </c>
      <c r="AJ2016" s="2">
        <f t="shared" si="201"/>
        <v>25</v>
      </c>
      <c r="AK2016" s="5">
        <f t="shared" si="198"/>
        <v>0.5</v>
      </c>
    </row>
    <row r="2017" spans="1:37" x14ac:dyDescent="0.2">
      <c r="A2017" s="2">
        <v>2025</v>
      </c>
      <c r="B2017" s="2">
        <v>10</v>
      </c>
      <c r="C2017" s="2" t="s">
        <v>1975</v>
      </c>
      <c r="O2017" s="2" t="s">
        <v>115</v>
      </c>
      <c r="P2017" s="2" t="s">
        <v>911</v>
      </c>
      <c r="Q2017" s="2" t="s">
        <v>912</v>
      </c>
      <c r="R2017" s="2">
        <v>1</v>
      </c>
      <c r="S2017" s="2">
        <v>699.3</v>
      </c>
      <c r="T2017" s="2">
        <v>160.839</v>
      </c>
      <c r="U2017" s="2">
        <v>860.1389999999999</v>
      </c>
      <c r="W2017" s="5">
        <f t="shared" si="203"/>
        <v>1</v>
      </c>
      <c r="AE2017" s="2">
        <f t="shared" si="199"/>
        <v>0</v>
      </c>
      <c r="AI2017" s="2">
        <f t="shared" si="200"/>
        <v>0</v>
      </c>
      <c r="AJ2017" s="2">
        <f t="shared" si="201"/>
        <v>699.3</v>
      </c>
      <c r="AK2017" s="5">
        <f t="shared" si="198"/>
        <v>1</v>
      </c>
    </row>
    <row r="2018" spans="1:37" x14ac:dyDescent="0.2">
      <c r="A2018" s="2">
        <v>2025</v>
      </c>
      <c r="B2018" s="2">
        <v>10</v>
      </c>
      <c r="C2018" s="2" t="s">
        <v>1975</v>
      </c>
      <c r="L2018" s="2" t="s">
        <v>40</v>
      </c>
      <c r="O2018" s="2" t="s">
        <v>188</v>
      </c>
      <c r="P2018" s="2" t="s">
        <v>189</v>
      </c>
      <c r="Q2018" s="2" t="s">
        <v>190</v>
      </c>
      <c r="R2018" s="2">
        <v>1</v>
      </c>
      <c r="S2018" s="2">
        <v>161</v>
      </c>
      <c r="T2018" s="2">
        <v>37.03</v>
      </c>
      <c r="U2018" s="2">
        <v>198.03</v>
      </c>
      <c r="W2018" s="5">
        <f t="shared" si="203"/>
        <v>1</v>
      </c>
      <c r="Y2018" s="2" t="s">
        <v>118</v>
      </c>
      <c r="Z2018" s="2" t="s">
        <v>191</v>
      </c>
      <c r="AE2018" s="2">
        <f t="shared" si="199"/>
        <v>0</v>
      </c>
      <c r="AI2018" s="2">
        <f t="shared" si="200"/>
        <v>0</v>
      </c>
      <c r="AJ2018" s="2">
        <f t="shared" si="201"/>
        <v>161</v>
      </c>
      <c r="AK2018" s="5">
        <f t="shared" si="198"/>
        <v>1</v>
      </c>
    </row>
    <row r="2019" spans="1:37" x14ac:dyDescent="0.2">
      <c r="A2019" s="2">
        <v>2025</v>
      </c>
      <c r="B2019" s="2">
        <v>10</v>
      </c>
      <c r="C2019" s="2" t="s">
        <v>1975</v>
      </c>
      <c r="L2019" s="2" t="s">
        <v>40</v>
      </c>
      <c r="O2019" s="2" t="s">
        <v>188</v>
      </c>
      <c r="P2019" s="2" t="s">
        <v>192</v>
      </c>
      <c r="Q2019" s="2" t="s">
        <v>191</v>
      </c>
      <c r="R2019" s="2">
        <v>0.75</v>
      </c>
      <c r="S2019" s="2">
        <v>37.5</v>
      </c>
      <c r="T2019" s="2">
        <v>8.625</v>
      </c>
      <c r="U2019" s="2">
        <v>46.125</v>
      </c>
      <c r="V2019" s="2">
        <f>S2019*50%</f>
        <v>18.75</v>
      </c>
      <c r="W2019" s="5">
        <f t="shared" si="203"/>
        <v>0.5</v>
      </c>
      <c r="Y2019" s="2" t="s">
        <v>118</v>
      </c>
      <c r="Z2019" s="2" t="s">
        <v>191</v>
      </c>
      <c r="AE2019" s="2">
        <f t="shared" si="199"/>
        <v>0</v>
      </c>
      <c r="AI2019" s="2">
        <f t="shared" si="200"/>
        <v>0</v>
      </c>
      <c r="AJ2019" s="2">
        <f t="shared" si="201"/>
        <v>18.75</v>
      </c>
      <c r="AK2019" s="5">
        <f t="shared" si="198"/>
        <v>0.5</v>
      </c>
    </row>
    <row r="2020" spans="1:37" x14ac:dyDescent="0.2">
      <c r="A2020" s="2">
        <v>2025</v>
      </c>
      <c r="B2020" s="2">
        <v>10</v>
      </c>
      <c r="C2020" s="2" t="s">
        <v>916</v>
      </c>
      <c r="D2020" s="2" t="s">
        <v>38</v>
      </c>
      <c r="E2020" s="2" t="s">
        <v>39</v>
      </c>
      <c r="F2020" s="2">
        <v>514401788</v>
      </c>
      <c r="G2020" s="2" t="s">
        <v>110</v>
      </c>
      <c r="H2020" s="2" t="s">
        <v>134</v>
      </c>
      <c r="I2020" s="2" t="s">
        <v>917</v>
      </c>
      <c r="J2020" s="2">
        <v>914878988</v>
      </c>
      <c r="K2020" s="2" t="s">
        <v>134</v>
      </c>
      <c r="L2020" s="2" t="s">
        <v>40</v>
      </c>
      <c r="N2020" s="2" t="s">
        <v>1976</v>
      </c>
      <c r="O2020" s="2" t="s">
        <v>115</v>
      </c>
      <c r="P2020" s="2" t="s">
        <v>1395</v>
      </c>
      <c r="Q2020" s="2" t="s">
        <v>1396</v>
      </c>
      <c r="R2020" s="2">
        <v>1</v>
      </c>
      <c r="S2020" s="2">
        <v>130.63999999999999</v>
      </c>
      <c r="T2020" s="2">
        <v>30.0472</v>
      </c>
      <c r="U2020" s="2">
        <v>160.68719999999999</v>
      </c>
      <c r="W2020" s="5">
        <f t="shared" si="203"/>
        <v>1</v>
      </c>
      <c r="Y2020" s="2" t="s">
        <v>118</v>
      </c>
      <c r="Z2020" s="2" t="s">
        <v>119</v>
      </c>
      <c r="AA2020" s="2" t="s">
        <v>120</v>
      </c>
      <c r="AB2020" s="2" t="s">
        <v>115</v>
      </c>
      <c r="AE2020" s="2">
        <f t="shared" si="199"/>
        <v>0</v>
      </c>
      <c r="AI2020" s="2">
        <f t="shared" si="200"/>
        <v>0</v>
      </c>
      <c r="AJ2020" s="2">
        <f t="shared" si="201"/>
        <v>130.63999999999999</v>
      </c>
      <c r="AK2020" s="5">
        <f t="shared" si="198"/>
        <v>1</v>
      </c>
    </row>
    <row r="2021" spans="1:37" x14ac:dyDescent="0.2">
      <c r="A2021" s="2">
        <v>2025</v>
      </c>
      <c r="B2021" s="2">
        <v>10</v>
      </c>
      <c r="C2021" s="2" t="s">
        <v>649</v>
      </c>
      <c r="D2021" s="2" t="s">
        <v>38</v>
      </c>
      <c r="E2021" s="2" t="s">
        <v>39</v>
      </c>
      <c r="F2021" s="2">
        <v>509056946</v>
      </c>
      <c r="G2021" s="2" t="s">
        <v>110</v>
      </c>
      <c r="H2021" s="2" t="s">
        <v>650</v>
      </c>
      <c r="I2021" s="2" t="s">
        <v>651</v>
      </c>
      <c r="J2021" s="2">
        <v>964495536</v>
      </c>
      <c r="K2021" s="2" t="s">
        <v>113</v>
      </c>
      <c r="O2021" s="2" t="s">
        <v>115</v>
      </c>
      <c r="P2021" s="2" t="s">
        <v>652</v>
      </c>
      <c r="Q2021" s="2" t="s">
        <v>653</v>
      </c>
      <c r="R2021" s="2">
        <v>1</v>
      </c>
      <c r="S2021" s="2">
        <v>62.6</v>
      </c>
      <c r="T2021" s="2">
        <v>14.398</v>
      </c>
      <c r="U2021" s="2">
        <v>76.998000000000005</v>
      </c>
      <c r="W2021" s="5">
        <f t="shared" si="203"/>
        <v>1</v>
      </c>
      <c r="AE2021" s="2">
        <f t="shared" si="199"/>
        <v>0</v>
      </c>
      <c r="AI2021" s="2">
        <f t="shared" si="200"/>
        <v>0</v>
      </c>
      <c r="AJ2021" s="2">
        <f t="shared" si="201"/>
        <v>62.6</v>
      </c>
      <c r="AK2021" s="5">
        <f t="shared" si="198"/>
        <v>1</v>
      </c>
    </row>
    <row r="2022" spans="1:37" x14ac:dyDescent="0.2">
      <c r="A2022" s="2">
        <v>2025</v>
      </c>
      <c r="B2022" s="2">
        <v>10</v>
      </c>
      <c r="C2022" s="2" t="s">
        <v>649</v>
      </c>
      <c r="D2022" s="2" t="s">
        <v>38</v>
      </c>
      <c r="E2022" s="2" t="s">
        <v>39</v>
      </c>
      <c r="F2022" s="2">
        <v>509056946</v>
      </c>
      <c r="G2022" s="2" t="s">
        <v>110</v>
      </c>
      <c r="H2022" s="2" t="s">
        <v>650</v>
      </c>
      <c r="I2022" s="2" t="s">
        <v>651</v>
      </c>
      <c r="J2022" s="2">
        <v>964495536</v>
      </c>
      <c r="K2022" s="2" t="s">
        <v>113</v>
      </c>
      <c r="O2022" s="2" t="s">
        <v>43</v>
      </c>
      <c r="P2022" s="2" t="s">
        <v>55</v>
      </c>
      <c r="Q2022" s="2" t="s">
        <v>56</v>
      </c>
      <c r="R2022" s="2">
        <v>12</v>
      </c>
      <c r="S2022" s="2">
        <v>168</v>
      </c>
      <c r="T2022" s="2">
        <v>38.64</v>
      </c>
      <c r="U2022" s="2">
        <v>206.64</v>
      </c>
      <c r="V2022" s="2">
        <f>10.6*R2022</f>
        <v>127.19999999999999</v>
      </c>
      <c r="W2022" s="5">
        <f t="shared" si="203"/>
        <v>0.24285714285714294</v>
      </c>
      <c r="Y2022" s="2" t="s">
        <v>3256</v>
      </c>
      <c r="Z2022" s="2" t="s">
        <v>46</v>
      </c>
      <c r="AA2022" s="2" t="s">
        <v>57</v>
      </c>
      <c r="AB2022" s="2" t="s">
        <v>58</v>
      </c>
      <c r="AE2022" s="2">
        <f t="shared" si="199"/>
        <v>0</v>
      </c>
      <c r="AF2022" s="2">
        <v>10.6</v>
      </c>
      <c r="AG2022" s="2">
        <v>18</v>
      </c>
      <c r="AI2022" s="2">
        <f t="shared" si="200"/>
        <v>0</v>
      </c>
      <c r="AJ2022" s="2">
        <f t="shared" si="201"/>
        <v>40.800000000000011</v>
      </c>
      <c r="AK2022" s="5">
        <f t="shared" si="198"/>
        <v>0.24285714285714294</v>
      </c>
    </row>
    <row r="2023" spans="1:37" x14ac:dyDescent="0.2">
      <c r="A2023" s="2">
        <v>2025</v>
      </c>
      <c r="B2023" s="2">
        <v>10</v>
      </c>
      <c r="C2023" s="2" t="s">
        <v>649</v>
      </c>
      <c r="D2023" s="2" t="s">
        <v>38</v>
      </c>
      <c r="E2023" s="2" t="s">
        <v>39</v>
      </c>
      <c r="F2023" s="2">
        <v>509056946</v>
      </c>
      <c r="G2023" s="2" t="s">
        <v>110</v>
      </c>
      <c r="H2023" s="2" t="s">
        <v>650</v>
      </c>
      <c r="I2023" s="2" t="s">
        <v>651</v>
      </c>
      <c r="J2023" s="2">
        <v>964495536</v>
      </c>
      <c r="K2023" s="2" t="s">
        <v>113</v>
      </c>
      <c r="O2023" s="2" t="s">
        <v>43</v>
      </c>
      <c r="P2023" s="2" t="s">
        <v>62</v>
      </c>
      <c r="Q2023" s="2" t="s">
        <v>63</v>
      </c>
      <c r="R2023" s="2">
        <v>100</v>
      </c>
      <c r="S2023" s="2">
        <v>13</v>
      </c>
      <c r="T2023" s="2">
        <v>2.99</v>
      </c>
      <c r="U2023" s="2">
        <v>15.99</v>
      </c>
      <c r="V2023" s="2">
        <f>0.082*R2023</f>
        <v>8.2000000000000011</v>
      </c>
      <c r="W2023" s="5">
        <f t="shared" si="203"/>
        <v>0.36923076923076914</v>
      </c>
      <c r="Y2023" s="2" t="s">
        <v>3256</v>
      </c>
      <c r="Z2023" s="2" t="s">
        <v>46</v>
      </c>
      <c r="AA2023" s="2" t="s">
        <v>61</v>
      </c>
      <c r="AB2023" s="2" t="s">
        <v>58</v>
      </c>
      <c r="AE2023" s="2">
        <f t="shared" si="199"/>
        <v>0</v>
      </c>
      <c r="AF2023" s="2">
        <v>8.1999999999999993</v>
      </c>
      <c r="AG2023" s="2">
        <v>13</v>
      </c>
      <c r="AI2023" s="2">
        <f t="shared" si="200"/>
        <v>0</v>
      </c>
      <c r="AJ2023" s="2">
        <f t="shared" si="201"/>
        <v>4.7999999999999989</v>
      </c>
      <c r="AK2023" s="5">
        <f t="shared" si="198"/>
        <v>0.36923076923076914</v>
      </c>
    </row>
    <row r="2024" spans="1:37" x14ac:dyDescent="0.2">
      <c r="A2024" s="2">
        <v>2025</v>
      </c>
      <c r="B2024" s="2">
        <v>10</v>
      </c>
      <c r="C2024" s="2" t="s">
        <v>1977</v>
      </c>
      <c r="D2024" s="2" t="s">
        <v>38</v>
      </c>
      <c r="E2024" s="2" t="s">
        <v>39</v>
      </c>
      <c r="F2024" s="2">
        <v>500286957</v>
      </c>
      <c r="G2024" s="2" t="s">
        <v>40</v>
      </c>
      <c r="H2024" s="2" t="s">
        <v>1978</v>
      </c>
      <c r="I2024" s="2" t="s">
        <v>1979</v>
      </c>
      <c r="K2024" s="2" t="s">
        <v>294</v>
      </c>
      <c r="L2024" s="2" t="s">
        <v>40</v>
      </c>
      <c r="N2024" s="2" t="s">
        <v>1980</v>
      </c>
      <c r="O2024" s="2" t="s">
        <v>115</v>
      </c>
      <c r="P2024" s="2" t="s">
        <v>1981</v>
      </c>
      <c r="Q2024" s="2" t="s">
        <v>1982</v>
      </c>
      <c r="R2024" s="2">
        <v>1</v>
      </c>
      <c r="S2024" s="2">
        <v>667.51</v>
      </c>
      <c r="T2024" s="2">
        <v>153.5273</v>
      </c>
      <c r="U2024" s="2">
        <v>821.03729999999996</v>
      </c>
      <c r="V2024" s="2">
        <v>332.38</v>
      </c>
      <c r="W2024" s="5">
        <f t="shared" si="203"/>
        <v>0.50205989423379427</v>
      </c>
      <c r="Y2024" s="2" t="s">
        <v>118</v>
      </c>
      <c r="Z2024" s="2" t="s">
        <v>119</v>
      </c>
      <c r="AA2024" s="2" t="s">
        <v>120</v>
      </c>
      <c r="AB2024" s="2" t="s">
        <v>115</v>
      </c>
      <c r="AE2024" s="2">
        <f t="shared" si="199"/>
        <v>0</v>
      </c>
      <c r="AF2024" s="2">
        <f>318.86+13.52</f>
        <v>332.38</v>
      </c>
      <c r="AI2024" s="2">
        <f t="shared" si="200"/>
        <v>0</v>
      </c>
      <c r="AJ2024" s="2">
        <f t="shared" si="201"/>
        <v>335.13</v>
      </c>
      <c r="AK2024" s="5">
        <f t="shared" si="198"/>
        <v>0.50205989423379427</v>
      </c>
    </row>
    <row r="2025" spans="1:37" x14ac:dyDescent="0.2">
      <c r="A2025" s="2">
        <v>2025</v>
      </c>
      <c r="B2025" s="2">
        <v>10</v>
      </c>
      <c r="C2025" s="2" t="s">
        <v>1977</v>
      </c>
      <c r="D2025" s="2" t="s">
        <v>38</v>
      </c>
      <c r="E2025" s="2" t="s">
        <v>39</v>
      </c>
      <c r="F2025" s="2">
        <v>500286957</v>
      </c>
      <c r="G2025" s="2" t="s">
        <v>40</v>
      </c>
      <c r="H2025" s="2" t="s">
        <v>1978</v>
      </c>
      <c r="I2025" s="2" t="s">
        <v>1979</v>
      </c>
      <c r="K2025" s="2" t="s">
        <v>294</v>
      </c>
      <c r="L2025" s="2" t="s">
        <v>40</v>
      </c>
      <c r="O2025" s="2" t="s">
        <v>115</v>
      </c>
      <c r="P2025" s="2" t="s">
        <v>1983</v>
      </c>
      <c r="Q2025" s="2" t="s">
        <v>1984</v>
      </c>
      <c r="R2025" s="2">
        <v>1</v>
      </c>
      <c r="S2025" s="2">
        <v>382.62</v>
      </c>
      <c r="T2025" s="2">
        <v>88.002600000000001</v>
      </c>
      <c r="U2025" s="2">
        <v>470.62259999999998</v>
      </c>
      <c r="V2025" s="2">
        <v>189.92</v>
      </c>
      <c r="W2025" s="5">
        <f t="shared" si="203"/>
        <v>0.50363284721133239</v>
      </c>
      <c r="Y2025" s="2" t="s">
        <v>118</v>
      </c>
      <c r="Z2025" s="2" t="s">
        <v>119</v>
      </c>
      <c r="AA2025" s="2" t="s">
        <v>120</v>
      </c>
      <c r="AB2025" s="2" t="s">
        <v>115</v>
      </c>
      <c r="AE2025" s="2">
        <f t="shared" si="199"/>
        <v>0</v>
      </c>
      <c r="AF2025" s="2">
        <f>182.2+7.72</f>
        <v>189.92</v>
      </c>
      <c r="AI2025" s="2">
        <f t="shared" si="200"/>
        <v>0</v>
      </c>
      <c r="AJ2025" s="2">
        <f t="shared" si="201"/>
        <v>192.70000000000002</v>
      </c>
      <c r="AK2025" s="5">
        <f t="shared" si="198"/>
        <v>0.50363284721133239</v>
      </c>
    </row>
    <row r="2026" spans="1:37" x14ac:dyDescent="0.2">
      <c r="A2026" s="2">
        <v>2025</v>
      </c>
      <c r="B2026" s="2">
        <v>10</v>
      </c>
      <c r="C2026" s="2" t="s">
        <v>1977</v>
      </c>
      <c r="D2026" s="2" t="s">
        <v>38</v>
      </c>
      <c r="E2026" s="2" t="s">
        <v>39</v>
      </c>
      <c r="F2026" s="2">
        <v>500286957</v>
      </c>
      <c r="G2026" s="2" t="s">
        <v>40</v>
      </c>
      <c r="H2026" s="2" t="s">
        <v>1978</v>
      </c>
      <c r="I2026" s="2" t="s">
        <v>1979</v>
      </c>
      <c r="K2026" s="2" t="s">
        <v>294</v>
      </c>
      <c r="L2026" s="2" t="s">
        <v>40</v>
      </c>
      <c r="O2026" s="2" t="s">
        <v>115</v>
      </c>
      <c r="P2026" s="2" t="s">
        <v>1985</v>
      </c>
      <c r="Q2026" s="2" t="s">
        <v>1986</v>
      </c>
      <c r="R2026" s="2">
        <v>1</v>
      </c>
      <c r="S2026" s="2">
        <v>190</v>
      </c>
      <c r="T2026" s="2">
        <v>43.7</v>
      </c>
      <c r="U2026" s="2">
        <v>233.7</v>
      </c>
      <c r="W2026" s="5">
        <f t="shared" si="203"/>
        <v>1</v>
      </c>
      <c r="AE2026" s="2">
        <f t="shared" si="199"/>
        <v>0</v>
      </c>
      <c r="AI2026" s="2">
        <f t="shared" si="200"/>
        <v>0</v>
      </c>
      <c r="AJ2026" s="2">
        <f t="shared" si="201"/>
        <v>190</v>
      </c>
      <c r="AK2026" s="5">
        <f t="shared" si="198"/>
        <v>1</v>
      </c>
    </row>
    <row r="2027" spans="1:37" x14ac:dyDescent="0.2">
      <c r="A2027" s="2">
        <v>2025</v>
      </c>
      <c r="B2027" s="2">
        <v>10</v>
      </c>
      <c r="C2027" s="2" t="s">
        <v>1987</v>
      </c>
      <c r="O2027" s="2" t="s">
        <v>73</v>
      </c>
      <c r="P2027" s="2" t="s">
        <v>74</v>
      </c>
      <c r="Q2027" s="2" t="s">
        <v>75</v>
      </c>
      <c r="R2027" s="2">
        <v>1</v>
      </c>
      <c r="S2027" s="2">
        <v>220</v>
      </c>
      <c r="T2027" s="2">
        <v>50.6</v>
      </c>
      <c r="U2027" s="2">
        <v>270.60000000000002</v>
      </c>
      <c r="V2027" s="2">
        <v>117.453</v>
      </c>
      <c r="W2027" s="5">
        <f t="shared" si="203"/>
        <v>0.46612272727272724</v>
      </c>
      <c r="Y2027" s="2" t="s">
        <v>3256</v>
      </c>
      <c r="Z2027" s="2" t="s">
        <v>76</v>
      </c>
      <c r="AA2027" s="2" t="s">
        <v>77</v>
      </c>
      <c r="AB2027" s="2" t="s">
        <v>78</v>
      </c>
      <c r="AE2027" s="2">
        <f t="shared" si="199"/>
        <v>0</v>
      </c>
      <c r="AF2027" s="2">
        <v>117.453</v>
      </c>
      <c r="AG2027" s="2">
        <v>220</v>
      </c>
      <c r="AI2027" s="2">
        <f t="shared" si="200"/>
        <v>0</v>
      </c>
      <c r="AJ2027" s="2">
        <f t="shared" si="201"/>
        <v>102.547</v>
      </c>
      <c r="AK2027" s="5">
        <f t="shared" si="198"/>
        <v>0.46612272727272724</v>
      </c>
    </row>
    <row r="2028" spans="1:37" x14ac:dyDescent="0.2">
      <c r="A2028" s="2">
        <v>2025</v>
      </c>
      <c r="B2028" s="2">
        <v>10</v>
      </c>
      <c r="C2028" s="2" t="s">
        <v>1987</v>
      </c>
      <c r="O2028" s="2" t="s">
        <v>94</v>
      </c>
      <c r="P2028" s="2" t="s">
        <v>95</v>
      </c>
      <c r="Q2028" s="2" t="s">
        <v>96</v>
      </c>
      <c r="R2028" s="2">
        <v>1</v>
      </c>
      <c r="S2028" s="2">
        <v>1.1399999999999999</v>
      </c>
      <c r="T2028" s="2">
        <v>0.26219999999999999</v>
      </c>
      <c r="U2028" s="2">
        <v>1.4021999999999999</v>
      </c>
      <c r="V2028" s="2">
        <v>1.1399999999999999</v>
      </c>
      <c r="W2028" s="5">
        <f t="shared" si="203"/>
        <v>0</v>
      </c>
      <c r="Y2028" s="2" t="s">
        <v>3256</v>
      </c>
      <c r="Z2028" s="2" t="s">
        <v>97</v>
      </c>
      <c r="AA2028" s="2" t="s">
        <v>77</v>
      </c>
      <c r="AB2028" s="2" t="s">
        <v>94</v>
      </c>
      <c r="AE2028" s="2">
        <f t="shared" si="199"/>
        <v>0</v>
      </c>
      <c r="AI2028" s="2">
        <f t="shared" si="200"/>
        <v>0</v>
      </c>
      <c r="AJ2028" s="2">
        <f t="shared" si="201"/>
        <v>0</v>
      </c>
      <c r="AK2028" s="5">
        <f t="shared" si="198"/>
        <v>0</v>
      </c>
    </row>
    <row r="2029" spans="1:37" x14ac:dyDescent="0.2">
      <c r="A2029" s="2">
        <v>2025</v>
      </c>
      <c r="B2029" s="2">
        <v>10</v>
      </c>
      <c r="C2029" s="2" t="s">
        <v>928</v>
      </c>
      <c r="O2029" s="2" t="s">
        <v>3260</v>
      </c>
      <c r="P2029" s="2" t="s">
        <v>1805</v>
      </c>
      <c r="Q2029" s="2" t="s">
        <v>1806</v>
      </c>
      <c r="R2029" s="2">
        <v>1</v>
      </c>
      <c r="S2029" s="2">
        <v>1785</v>
      </c>
      <c r="T2029" s="2">
        <v>410.55</v>
      </c>
      <c r="U2029" s="2">
        <v>2195.5500000000002</v>
      </c>
      <c r="V2029" s="2">
        <v>1036.96</v>
      </c>
      <c r="W2029" s="5">
        <f t="shared" si="203"/>
        <v>0.41907002801120447</v>
      </c>
      <c r="Y2029" s="2" t="s">
        <v>105</v>
      </c>
      <c r="Z2029" s="2" t="s">
        <v>106</v>
      </c>
      <c r="AA2029" s="2" t="s">
        <v>107</v>
      </c>
      <c r="AB2029" s="2" t="s">
        <v>3260</v>
      </c>
      <c r="AE2029" s="2">
        <f t="shared" si="199"/>
        <v>0</v>
      </c>
      <c r="AI2029" s="2">
        <f t="shared" si="200"/>
        <v>0</v>
      </c>
      <c r="AJ2029" s="2">
        <f t="shared" si="201"/>
        <v>748.04</v>
      </c>
      <c r="AK2029" s="5">
        <f t="shared" si="198"/>
        <v>0.41907002801120447</v>
      </c>
    </row>
    <row r="2030" spans="1:37" x14ac:dyDescent="0.2">
      <c r="A2030" s="2">
        <v>2025</v>
      </c>
      <c r="B2030" s="2">
        <v>10</v>
      </c>
      <c r="C2030" s="2" t="s">
        <v>928</v>
      </c>
      <c r="L2030" s="2" t="s">
        <v>40</v>
      </c>
      <c r="O2030" s="2" t="s">
        <v>188</v>
      </c>
      <c r="P2030" s="2" t="s">
        <v>1318</v>
      </c>
      <c r="Q2030" s="2" t="s">
        <v>1319</v>
      </c>
      <c r="R2030" s="2">
        <v>0</v>
      </c>
      <c r="S2030" s="2">
        <v>0</v>
      </c>
      <c r="T2030" s="2">
        <v>0</v>
      </c>
      <c r="U2030" s="2">
        <v>0</v>
      </c>
      <c r="W2030" s="5" t="e">
        <f t="shared" si="203"/>
        <v>#DIV/0!</v>
      </c>
      <c r="Y2030" s="2" t="s">
        <v>118</v>
      </c>
      <c r="Z2030" s="2" t="s">
        <v>1320</v>
      </c>
      <c r="AE2030" s="2">
        <f t="shared" si="199"/>
        <v>0</v>
      </c>
      <c r="AI2030" s="2">
        <f t="shared" si="200"/>
        <v>0</v>
      </c>
      <c r="AJ2030" s="2">
        <f t="shared" si="201"/>
        <v>0</v>
      </c>
      <c r="AK2030" s="5" t="e">
        <f t="shared" si="198"/>
        <v>#DIV/0!</v>
      </c>
    </row>
    <row r="2031" spans="1:37" x14ac:dyDescent="0.2">
      <c r="A2031" s="2">
        <v>2025</v>
      </c>
      <c r="B2031" s="2">
        <v>11</v>
      </c>
      <c r="C2031" s="2" t="s">
        <v>37</v>
      </c>
      <c r="D2031" s="2" t="s">
        <v>38</v>
      </c>
      <c r="E2031" s="2" t="s">
        <v>39</v>
      </c>
      <c r="G2031" s="2" t="s">
        <v>40</v>
      </c>
      <c r="O2031" s="2" t="s">
        <v>283</v>
      </c>
      <c r="P2031" s="2" t="s">
        <v>1448</v>
      </c>
      <c r="Q2031" s="2" t="s">
        <v>1449</v>
      </c>
      <c r="R2031" s="2">
        <v>1</v>
      </c>
      <c r="S2031" s="2">
        <v>6.42</v>
      </c>
      <c r="T2031" s="2">
        <v>1.4765999999999999</v>
      </c>
      <c r="U2031" s="2">
        <v>7.8966000000000003</v>
      </c>
      <c r="W2031" s="5">
        <f t="shared" si="203"/>
        <v>1</v>
      </c>
      <c r="AE2031" s="2">
        <f t="shared" si="199"/>
        <v>0</v>
      </c>
      <c r="AI2031" s="2">
        <f t="shared" si="200"/>
        <v>0</v>
      </c>
      <c r="AJ2031" s="2">
        <f t="shared" si="201"/>
        <v>6.42</v>
      </c>
      <c r="AK2031" s="5">
        <f t="shared" si="198"/>
        <v>1</v>
      </c>
    </row>
    <row r="2032" spans="1:37" x14ac:dyDescent="0.2">
      <c r="A2032" s="2">
        <v>2025</v>
      </c>
      <c r="B2032" s="2">
        <v>11</v>
      </c>
      <c r="C2032" s="2" t="s">
        <v>37</v>
      </c>
      <c r="D2032" s="2" t="s">
        <v>38</v>
      </c>
      <c r="E2032" s="2" t="s">
        <v>39</v>
      </c>
      <c r="G2032" s="2" t="s">
        <v>40</v>
      </c>
      <c r="O2032" s="2" t="s">
        <v>283</v>
      </c>
      <c r="P2032" s="2" t="s">
        <v>404</v>
      </c>
      <c r="Q2032" s="2" t="s">
        <v>405</v>
      </c>
      <c r="R2032" s="2">
        <v>2</v>
      </c>
      <c r="S2032" s="2">
        <v>40</v>
      </c>
      <c r="T2032" s="2">
        <v>9.2000000000000011</v>
      </c>
      <c r="U2032" s="2">
        <v>49.2</v>
      </c>
      <c r="W2032" s="5">
        <f t="shared" si="203"/>
        <v>1</v>
      </c>
      <c r="AE2032" s="2">
        <f t="shared" si="199"/>
        <v>0</v>
      </c>
      <c r="AI2032" s="2">
        <f t="shared" si="200"/>
        <v>0</v>
      </c>
      <c r="AJ2032" s="2">
        <f t="shared" si="201"/>
        <v>40</v>
      </c>
      <c r="AK2032" s="5">
        <f t="shared" si="198"/>
        <v>1</v>
      </c>
    </row>
    <row r="2033" spans="1:37" x14ac:dyDescent="0.2">
      <c r="A2033" s="2">
        <v>2025</v>
      </c>
      <c r="B2033" s="2">
        <v>11</v>
      </c>
      <c r="C2033" s="2" t="s">
        <v>37</v>
      </c>
      <c r="D2033" s="2" t="s">
        <v>38</v>
      </c>
      <c r="E2033" s="2" t="s">
        <v>39</v>
      </c>
      <c r="G2033" s="2" t="s">
        <v>40</v>
      </c>
      <c r="O2033" s="2" t="s">
        <v>43</v>
      </c>
      <c r="P2033" s="2" t="s">
        <v>55</v>
      </c>
      <c r="Q2033" s="2" t="s">
        <v>56</v>
      </c>
      <c r="R2033" s="2">
        <v>2</v>
      </c>
      <c r="S2033" s="2">
        <v>30</v>
      </c>
      <c r="T2033" s="2">
        <v>6.9</v>
      </c>
      <c r="U2033" s="2">
        <v>36.9</v>
      </c>
      <c r="V2033" s="2">
        <f>10.6*R2033</f>
        <v>21.2</v>
      </c>
      <c r="W2033" s="5">
        <f t="shared" si="203"/>
        <v>0.29333333333333333</v>
      </c>
      <c r="Y2033" s="2" t="s">
        <v>3256</v>
      </c>
      <c r="Z2033" s="2" t="s">
        <v>46</v>
      </c>
      <c r="AA2033" s="2" t="s">
        <v>57</v>
      </c>
      <c r="AB2033" s="2" t="s">
        <v>58</v>
      </c>
      <c r="AE2033" s="2">
        <f t="shared" si="199"/>
        <v>0</v>
      </c>
      <c r="AF2033" s="2">
        <v>10.6</v>
      </c>
      <c r="AG2033" s="2">
        <v>18</v>
      </c>
      <c r="AI2033" s="2">
        <f t="shared" si="200"/>
        <v>0</v>
      </c>
      <c r="AJ2033" s="2">
        <f t="shared" si="201"/>
        <v>8.8000000000000007</v>
      </c>
      <c r="AK2033" s="5">
        <f t="shared" si="198"/>
        <v>0.29333333333333333</v>
      </c>
    </row>
    <row r="2034" spans="1:37" x14ac:dyDescent="0.2">
      <c r="A2034" s="2">
        <v>2025</v>
      </c>
      <c r="B2034" s="2">
        <v>11</v>
      </c>
      <c r="C2034" s="2" t="s">
        <v>37</v>
      </c>
      <c r="D2034" s="2" t="s">
        <v>38</v>
      </c>
      <c r="E2034" s="2" t="s">
        <v>39</v>
      </c>
      <c r="G2034" s="2" t="s">
        <v>40</v>
      </c>
      <c r="O2034" s="2" t="s">
        <v>43</v>
      </c>
      <c r="P2034" s="2" t="s">
        <v>62</v>
      </c>
      <c r="Q2034" s="2" t="s">
        <v>63</v>
      </c>
      <c r="R2034" s="2">
        <v>1100</v>
      </c>
      <c r="S2034" s="2">
        <v>115.5</v>
      </c>
      <c r="T2034" s="2">
        <v>26.565000000000001</v>
      </c>
      <c r="U2034" s="2">
        <v>142.065</v>
      </c>
      <c r="V2034" s="2">
        <f>0.082*R2034</f>
        <v>90.2</v>
      </c>
      <c r="W2034" s="5">
        <f t="shared" si="203"/>
        <v>0.21904761904761902</v>
      </c>
      <c r="Y2034" s="2" t="s">
        <v>3256</v>
      </c>
      <c r="Z2034" s="2" t="s">
        <v>46</v>
      </c>
      <c r="AA2034" s="2" t="s">
        <v>61</v>
      </c>
      <c r="AB2034" s="2" t="s">
        <v>58</v>
      </c>
      <c r="AE2034" s="2">
        <f t="shared" si="199"/>
        <v>0</v>
      </c>
      <c r="AF2034" s="2">
        <v>8.1999999999999993</v>
      </c>
      <c r="AG2034" s="2">
        <v>13</v>
      </c>
      <c r="AI2034" s="2">
        <f t="shared" si="200"/>
        <v>0</v>
      </c>
      <c r="AJ2034" s="2">
        <f t="shared" si="201"/>
        <v>25.299999999999997</v>
      </c>
      <c r="AK2034" s="5">
        <f t="shared" si="198"/>
        <v>0.21904761904761902</v>
      </c>
    </row>
    <row r="2035" spans="1:37" x14ac:dyDescent="0.2">
      <c r="A2035" s="2">
        <v>2025</v>
      </c>
      <c r="B2035" s="2">
        <v>11</v>
      </c>
      <c r="C2035" s="2" t="s">
        <v>37</v>
      </c>
      <c r="D2035" s="2" t="s">
        <v>38</v>
      </c>
      <c r="E2035" s="2" t="s">
        <v>39</v>
      </c>
      <c r="G2035" s="2" t="s">
        <v>40</v>
      </c>
      <c r="O2035" s="2" t="s">
        <v>43</v>
      </c>
      <c r="P2035" s="2" t="s">
        <v>205</v>
      </c>
      <c r="Q2035" s="2" t="s">
        <v>206</v>
      </c>
      <c r="R2035" s="2">
        <v>1</v>
      </c>
      <c r="S2035" s="2">
        <v>5</v>
      </c>
      <c r="T2035" s="2">
        <v>1.1499999999999999</v>
      </c>
      <c r="U2035" s="2">
        <v>6.15</v>
      </c>
      <c r="V2035" s="2">
        <f>1.832*R2035</f>
        <v>1.8320000000000001</v>
      </c>
      <c r="W2035" s="5">
        <f t="shared" si="203"/>
        <v>0.63360000000000005</v>
      </c>
      <c r="Y2035" s="2" t="s">
        <v>3256</v>
      </c>
      <c r="Z2035" s="2" t="s">
        <v>46</v>
      </c>
      <c r="AA2035" s="2" t="s">
        <v>61</v>
      </c>
      <c r="AB2035" s="2" t="s">
        <v>58</v>
      </c>
      <c r="AE2035" s="2">
        <f t="shared" si="199"/>
        <v>0</v>
      </c>
      <c r="AF2035" s="2">
        <v>1.8320000000000001</v>
      </c>
      <c r="AG2035" s="2">
        <v>2.4</v>
      </c>
      <c r="AI2035" s="2">
        <f t="shared" si="200"/>
        <v>0</v>
      </c>
      <c r="AJ2035" s="2">
        <f t="shared" si="201"/>
        <v>3.1680000000000001</v>
      </c>
      <c r="AK2035" s="5">
        <f t="shared" ref="AK2035:AK2098" si="204">(S2035-V2035)/S2035</f>
        <v>0.63360000000000005</v>
      </c>
    </row>
    <row r="2036" spans="1:37" x14ac:dyDescent="0.2">
      <c r="A2036" s="2">
        <v>2025</v>
      </c>
      <c r="B2036" s="2">
        <v>11</v>
      </c>
      <c r="C2036" s="2" t="s">
        <v>37</v>
      </c>
      <c r="D2036" s="2" t="s">
        <v>38</v>
      </c>
      <c r="E2036" s="2" t="s">
        <v>39</v>
      </c>
      <c r="G2036" s="2" t="s">
        <v>40</v>
      </c>
      <c r="O2036" s="2" t="s">
        <v>43</v>
      </c>
      <c r="P2036" s="2" t="s">
        <v>979</v>
      </c>
      <c r="Q2036" s="2" t="s">
        <v>980</v>
      </c>
      <c r="R2036" s="2">
        <v>2</v>
      </c>
      <c r="S2036" s="2">
        <v>29</v>
      </c>
      <c r="T2036" s="2">
        <v>6.67</v>
      </c>
      <c r="U2036" s="2">
        <v>35.67</v>
      </c>
      <c r="W2036" s="5">
        <f t="shared" si="203"/>
        <v>1</v>
      </c>
      <c r="Y2036" s="2" t="s">
        <v>3256</v>
      </c>
      <c r="Z2036" s="2" t="s">
        <v>46</v>
      </c>
      <c r="AA2036" s="2" t="s">
        <v>61</v>
      </c>
      <c r="AB2036" s="2" t="s">
        <v>58</v>
      </c>
      <c r="AE2036" s="2">
        <f t="shared" si="199"/>
        <v>0</v>
      </c>
      <c r="AI2036" s="2">
        <f t="shared" si="200"/>
        <v>0</v>
      </c>
      <c r="AJ2036" s="2">
        <f t="shared" si="201"/>
        <v>29</v>
      </c>
      <c r="AK2036" s="5">
        <f t="shared" si="204"/>
        <v>1</v>
      </c>
    </row>
    <row r="2037" spans="1:37" x14ac:dyDescent="0.2">
      <c r="A2037" s="2">
        <v>2025</v>
      </c>
      <c r="B2037" s="2">
        <v>11</v>
      </c>
      <c r="C2037" s="2" t="s">
        <v>37</v>
      </c>
      <c r="D2037" s="2" t="s">
        <v>38</v>
      </c>
      <c r="E2037" s="2" t="s">
        <v>39</v>
      </c>
      <c r="G2037" s="2" t="s">
        <v>40</v>
      </c>
      <c r="O2037" s="2" t="s">
        <v>73</v>
      </c>
      <c r="P2037" s="2" t="s">
        <v>488</v>
      </c>
      <c r="Q2037" s="2" t="s">
        <v>75</v>
      </c>
      <c r="R2037" s="2">
        <v>1</v>
      </c>
      <c r="S2037" s="2">
        <v>234.63</v>
      </c>
      <c r="T2037" s="2">
        <v>53.9649</v>
      </c>
      <c r="U2037" s="2">
        <v>288.5949</v>
      </c>
      <c r="V2037" s="2">
        <v>131.93</v>
      </c>
      <c r="W2037" s="5">
        <f t="shared" si="203"/>
        <v>0.43771043771043766</v>
      </c>
      <c r="Y2037" s="2" t="s">
        <v>3256</v>
      </c>
      <c r="Z2037" s="2" t="s">
        <v>76</v>
      </c>
      <c r="AA2037" s="2" t="s">
        <v>77</v>
      </c>
      <c r="AB2037" s="2" t="s">
        <v>78</v>
      </c>
      <c r="AE2037" s="2">
        <f t="shared" si="199"/>
        <v>0</v>
      </c>
      <c r="AF2037" s="2">
        <v>131.93</v>
      </c>
      <c r="AG2037" s="2">
        <v>220</v>
      </c>
      <c r="AI2037" s="2">
        <f t="shared" si="200"/>
        <v>0</v>
      </c>
      <c r="AJ2037" s="2">
        <f t="shared" si="201"/>
        <v>102.69999999999999</v>
      </c>
      <c r="AK2037" s="5">
        <f t="shared" si="204"/>
        <v>0.43771043771043766</v>
      </c>
    </row>
    <row r="2038" spans="1:37" x14ac:dyDescent="0.2">
      <c r="A2038" s="2">
        <v>2025</v>
      </c>
      <c r="B2038" s="2">
        <v>11</v>
      </c>
      <c r="C2038" s="2" t="s">
        <v>37</v>
      </c>
      <c r="D2038" s="2" t="s">
        <v>38</v>
      </c>
      <c r="E2038" s="2" t="s">
        <v>39</v>
      </c>
      <c r="G2038" s="2" t="s">
        <v>40</v>
      </c>
      <c r="L2038" s="2" t="s">
        <v>81</v>
      </c>
      <c r="N2038" s="2" t="s">
        <v>3233</v>
      </c>
      <c r="O2038" s="2" t="s">
        <v>73</v>
      </c>
      <c r="P2038" s="2" t="s">
        <v>79</v>
      </c>
      <c r="Q2038" s="2" t="s">
        <v>80</v>
      </c>
      <c r="R2038" s="2">
        <v>2</v>
      </c>
      <c r="S2038" s="2">
        <v>333.15</v>
      </c>
      <c r="T2038" s="2">
        <v>76.624499999999998</v>
      </c>
      <c r="U2038" s="2">
        <v>409.77449999999999</v>
      </c>
      <c r="V2038" s="2">
        <f>111.98*R2038</f>
        <v>223.96</v>
      </c>
      <c r="W2038" s="5">
        <f t="shared" si="203"/>
        <v>0.32775026264445439</v>
      </c>
      <c r="Y2038" s="2" t="s">
        <v>3256</v>
      </c>
      <c r="Z2038" s="2" t="s">
        <v>76</v>
      </c>
      <c r="AA2038" s="2" t="s">
        <v>77</v>
      </c>
      <c r="AB2038" s="2" t="s">
        <v>78</v>
      </c>
      <c r="AE2038" s="2">
        <f t="shared" si="199"/>
        <v>0</v>
      </c>
      <c r="AF2038" s="2">
        <v>111.98</v>
      </c>
      <c r="AG2038" s="2">
        <v>210</v>
      </c>
      <c r="AI2038" s="2">
        <f t="shared" si="200"/>
        <v>0</v>
      </c>
      <c r="AJ2038" s="2">
        <f t="shared" si="201"/>
        <v>109.18999999999997</v>
      </c>
      <c r="AK2038" s="5">
        <f t="shared" si="204"/>
        <v>0.32775026264445439</v>
      </c>
    </row>
    <row r="2039" spans="1:37" x14ac:dyDescent="0.2">
      <c r="A2039" s="2">
        <v>2025</v>
      </c>
      <c r="B2039" s="2">
        <v>11</v>
      </c>
      <c r="C2039" s="2" t="s">
        <v>37</v>
      </c>
      <c r="D2039" s="2" t="s">
        <v>38</v>
      </c>
      <c r="E2039" s="2" t="s">
        <v>39</v>
      </c>
      <c r="G2039" s="2" t="s">
        <v>40</v>
      </c>
      <c r="O2039" s="2" t="s">
        <v>1047</v>
      </c>
      <c r="P2039" s="2" t="s">
        <v>1988</v>
      </c>
      <c r="Q2039" s="2" t="s">
        <v>1989</v>
      </c>
      <c r="R2039" s="2">
        <v>1</v>
      </c>
      <c r="S2039" s="2">
        <v>220</v>
      </c>
      <c r="T2039" s="2">
        <v>50.6</v>
      </c>
      <c r="U2039" s="2">
        <v>270.60000000000002</v>
      </c>
      <c r="W2039" s="5">
        <f t="shared" si="203"/>
        <v>1</v>
      </c>
      <c r="Y2039" s="2" t="s">
        <v>3256</v>
      </c>
      <c r="Z2039" s="2" t="s">
        <v>76</v>
      </c>
      <c r="AA2039" s="2" t="s">
        <v>77</v>
      </c>
      <c r="AB2039" s="2" t="s">
        <v>1047</v>
      </c>
      <c r="AE2039" s="2">
        <f t="shared" si="199"/>
        <v>0</v>
      </c>
      <c r="AI2039" s="2">
        <f t="shared" si="200"/>
        <v>0</v>
      </c>
      <c r="AJ2039" s="2">
        <f t="shared" si="201"/>
        <v>220</v>
      </c>
      <c r="AK2039" s="5">
        <f t="shared" si="204"/>
        <v>1</v>
      </c>
    </row>
    <row r="2040" spans="1:37" x14ac:dyDescent="0.2">
      <c r="A2040" s="2">
        <v>2025</v>
      </c>
      <c r="B2040" s="2">
        <v>11</v>
      </c>
      <c r="C2040" s="2" t="s">
        <v>37</v>
      </c>
      <c r="D2040" s="2" t="s">
        <v>38</v>
      </c>
      <c r="E2040" s="2" t="s">
        <v>39</v>
      </c>
      <c r="G2040" s="2" t="s">
        <v>40</v>
      </c>
      <c r="O2040" s="2" t="s">
        <v>85</v>
      </c>
      <c r="P2040" s="2" t="s">
        <v>1990</v>
      </c>
      <c r="Q2040" s="2" t="s">
        <v>1991</v>
      </c>
      <c r="R2040" s="2">
        <v>3</v>
      </c>
      <c r="S2040" s="2">
        <v>15</v>
      </c>
      <c r="T2040" s="2">
        <v>3.45</v>
      </c>
      <c r="U2040" s="2">
        <v>18.45</v>
      </c>
      <c r="W2040" s="5">
        <f t="shared" si="203"/>
        <v>1</v>
      </c>
      <c r="Y2040" s="2" t="s">
        <v>3256</v>
      </c>
      <c r="Z2040" s="2" t="s">
        <v>88</v>
      </c>
      <c r="AA2040" s="2" t="s">
        <v>91</v>
      </c>
      <c r="AB2040" s="2" t="s">
        <v>85</v>
      </c>
      <c r="AE2040" s="2">
        <f t="shared" si="199"/>
        <v>0</v>
      </c>
      <c r="AI2040" s="2">
        <f t="shared" si="200"/>
        <v>0</v>
      </c>
      <c r="AJ2040" s="2">
        <f t="shared" si="201"/>
        <v>15</v>
      </c>
      <c r="AK2040" s="5">
        <f t="shared" si="204"/>
        <v>1</v>
      </c>
    </row>
    <row r="2041" spans="1:37" x14ac:dyDescent="0.2">
      <c r="A2041" s="2">
        <v>2025</v>
      </c>
      <c r="B2041" s="2">
        <v>11</v>
      </c>
      <c r="C2041" s="2" t="s">
        <v>37</v>
      </c>
      <c r="D2041" s="2" t="s">
        <v>38</v>
      </c>
      <c r="E2041" s="2" t="s">
        <v>39</v>
      </c>
      <c r="G2041" s="2" t="s">
        <v>40</v>
      </c>
      <c r="L2041" s="2" t="s">
        <v>40</v>
      </c>
      <c r="O2041" s="2" t="s">
        <v>188</v>
      </c>
      <c r="P2041" s="2" t="s">
        <v>1318</v>
      </c>
      <c r="Q2041" s="2" t="s">
        <v>1319</v>
      </c>
      <c r="R2041" s="2">
        <v>1</v>
      </c>
      <c r="S2041" s="2">
        <v>10.5</v>
      </c>
      <c r="T2041" s="2">
        <v>2.415</v>
      </c>
      <c r="U2041" s="2">
        <v>12.914999999999999</v>
      </c>
      <c r="W2041" s="5">
        <f t="shared" si="203"/>
        <v>1</v>
      </c>
      <c r="Y2041" s="2" t="s">
        <v>118</v>
      </c>
      <c r="Z2041" s="2" t="s">
        <v>1320</v>
      </c>
      <c r="AE2041" s="2">
        <f t="shared" si="199"/>
        <v>0</v>
      </c>
      <c r="AI2041" s="2">
        <f t="shared" si="200"/>
        <v>0</v>
      </c>
      <c r="AJ2041" s="2">
        <f t="shared" si="201"/>
        <v>10.5</v>
      </c>
      <c r="AK2041" s="5">
        <f t="shared" si="204"/>
        <v>1</v>
      </c>
    </row>
    <row r="2042" spans="1:37" x14ac:dyDescent="0.2">
      <c r="A2042" s="2">
        <v>2025</v>
      </c>
      <c r="B2042" s="2">
        <v>11</v>
      </c>
      <c r="C2042" s="2" t="s">
        <v>37</v>
      </c>
      <c r="D2042" s="2" t="s">
        <v>38</v>
      </c>
      <c r="E2042" s="2" t="s">
        <v>39</v>
      </c>
      <c r="G2042" s="2" t="s">
        <v>40</v>
      </c>
      <c r="O2042" s="2" t="s">
        <v>94</v>
      </c>
      <c r="P2042" s="2" t="s">
        <v>95</v>
      </c>
      <c r="Q2042" s="2" t="s">
        <v>96</v>
      </c>
      <c r="R2042" s="2">
        <v>4</v>
      </c>
      <c r="S2042" s="2">
        <v>4.5599999999999996</v>
      </c>
      <c r="T2042" s="2">
        <v>1.0488</v>
      </c>
      <c r="U2042" s="2">
        <v>5.6087999999999996</v>
      </c>
      <c r="V2042" s="2">
        <v>4.5599999999999996</v>
      </c>
      <c r="W2042" s="5">
        <f t="shared" si="203"/>
        <v>0</v>
      </c>
      <c r="Y2042" s="2" t="s">
        <v>3256</v>
      </c>
      <c r="Z2042" s="2" t="s">
        <v>97</v>
      </c>
      <c r="AA2042" s="2" t="s">
        <v>77</v>
      </c>
      <c r="AB2042" s="2" t="s">
        <v>94</v>
      </c>
      <c r="AE2042" s="2">
        <f t="shared" si="199"/>
        <v>0</v>
      </c>
      <c r="AI2042" s="2">
        <f t="shared" si="200"/>
        <v>0</v>
      </c>
      <c r="AJ2042" s="2">
        <f t="shared" si="201"/>
        <v>0</v>
      </c>
      <c r="AK2042" s="5">
        <f t="shared" si="204"/>
        <v>0</v>
      </c>
    </row>
    <row r="2043" spans="1:37" x14ac:dyDescent="0.2">
      <c r="A2043" s="2">
        <v>2025</v>
      </c>
      <c r="B2043" s="2">
        <v>11</v>
      </c>
      <c r="C2043" s="2" t="s">
        <v>37</v>
      </c>
      <c r="D2043" s="2" t="s">
        <v>38</v>
      </c>
      <c r="E2043" s="2" t="s">
        <v>39</v>
      </c>
      <c r="G2043" s="2" t="s">
        <v>40</v>
      </c>
      <c r="O2043" s="2" t="s">
        <v>40</v>
      </c>
      <c r="P2043" s="2" t="s">
        <v>364</v>
      </c>
      <c r="Q2043" s="2" t="s">
        <v>365</v>
      </c>
      <c r="R2043" s="2">
        <v>1</v>
      </c>
      <c r="S2043" s="2">
        <v>939.5</v>
      </c>
      <c r="T2043" s="2">
        <v>216.08500000000001</v>
      </c>
      <c r="U2043" s="2">
        <v>1155.585</v>
      </c>
      <c r="W2043" s="5">
        <f t="shared" si="203"/>
        <v>1</v>
      </c>
      <c r="Y2043" s="2" t="s">
        <v>120</v>
      </c>
      <c r="AE2043" s="2">
        <f t="shared" si="199"/>
        <v>0</v>
      </c>
      <c r="AI2043" s="2">
        <f t="shared" si="200"/>
        <v>0</v>
      </c>
      <c r="AJ2043" s="2">
        <f t="shared" si="201"/>
        <v>939.5</v>
      </c>
      <c r="AK2043" s="5">
        <f t="shared" si="204"/>
        <v>1</v>
      </c>
    </row>
    <row r="2044" spans="1:37" x14ac:dyDescent="0.2">
      <c r="A2044" s="2">
        <v>2025</v>
      </c>
      <c r="B2044" s="2">
        <v>11</v>
      </c>
      <c r="C2044" s="2" t="s">
        <v>98</v>
      </c>
      <c r="D2044" s="2" t="s">
        <v>99</v>
      </c>
      <c r="E2044" s="2" t="s">
        <v>39</v>
      </c>
      <c r="F2044" s="2">
        <v>517450925</v>
      </c>
      <c r="G2044" s="2" t="s">
        <v>40</v>
      </c>
      <c r="H2044" s="2" t="s">
        <v>100</v>
      </c>
      <c r="I2044" s="2" t="s">
        <v>101</v>
      </c>
      <c r="K2044" s="2" t="s">
        <v>100</v>
      </c>
      <c r="L2044" s="2" t="s">
        <v>40</v>
      </c>
      <c r="O2044" s="2" t="s">
        <v>115</v>
      </c>
      <c r="P2044" s="2" t="s">
        <v>911</v>
      </c>
      <c r="Q2044" s="2" t="s">
        <v>912</v>
      </c>
      <c r="R2044" s="2">
        <v>1</v>
      </c>
      <c r="S2044" s="2">
        <v>599.4</v>
      </c>
      <c r="T2044" s="2">
        <v>137.86199999999999</v>
      </c>
      <c r="U2044" s="2">
        <v>737.26199999999994</v>
      </c>
      <c r="W2044" s="5">
        <f t="shared" si="203"/>
        <v>1</v>
      </c>
      <c r="AE2044" s="2">
        <f t="shared" si="199"/>
        <v>0</v>
      </c>
      <c r="AI2044" s="2">
        <f t="shared" si="200"/>
        <v>0</v>
      </c>
      <c r="AJ2044" s="2">
        <f t="shared" si="201"/>
        <v>599.4</v>
      </c>
      <c r="AK2044" s="5">
        <f t="shared" si="204"/>
        <v>1</v>
      </c>
    </row>
    <row r="2045" spans="1:37" x14ac:dyDescent="0.2">
      <c r="A2045" s="2">
        <v>2025</v>
      </c>
      <c r="B2045" s="2">
        <v>11</v>
      </c>
      <c r="C2045" s="2" t="s">
        <v>98</v>
      </c>
      <c r="D2045" s="2" t="s">
        <v>99</v>
      </c>
      <c r="E2045" s="2" t="s">
        <v>39</v>
      </c>
      <c r="F2045" s="2">
        <v>517450925</v>
      </c>
      <c r="G2045" s="2" t="s">
        <v>40</v>
      </c>
      <c r="H2045" s="2" t="s">
        <v>100</v>
      </c>
      <c r="I2045" s="2" t="s">
        <v>101</v>
      </c>
      <c r="K2045" s="2" t="s">
        <v>100</v>
      </c>
      <c r="L2045" s="2" t="s">
        <v>40</v>
      </c>
      <c r="O2045" s="2" t="s">
        <v>188</v>
      </c>
      <c r="P2045" s="2" t="s">
        <v>189</v>
      </c>
      <c r="Q2045" s="2" t="s">
        <v>190</v>
      </c>
      <c r="R2045" s="2">
        <v>1</v>
      </c>
      <c r="S2045" s="2">
        <v>61</v>
      </c>
      <c r="T2045" s="2">
        <v>14.03</v>
      </c>
      <c r="U2045" s="2">
        <v>75.03</v>
      </c>
      <c r="W2045" s="5">
        <f t="shared" si="203"/>
        <v>1</v>
      </c>
      <c r="Y2045" s="2" t="s">
        <v>118</v>
      </c>
      <c r="Z2045" s="2" t="s">
        <v>191</v>
      </c>
      <c r="AE2045" s="2">
        <f t="shared" si="199"/>
        <v>0</v>
      </c>
      <c r="AI2045" s="2">
        <f t="shared" si="200"/>
        <v>0</v>
      </c>
      <c r="AJ2045" s="2">
        <f t="shared" si="201"/>
        <v>61</v>
      </c>
      <c r="AK2045" s="5">
        <f t="shared" si="204"/>
        <v>1</v>
      </c>
    </row>
    <row r="2046" spans="1:37" x14ac:dyDescent="0.2">
      <c r="A2046" s="2">
        <v>2025</v>
      </c>
      <c r="B2046" s="2">
        <v>11</v>
      </c>
      <c r="C2046" s="2" t="s">
        <v>98</v>
      </c>
      <c r="D2046" s="2" t="s">
        <v>99</v>
      </c>
      <c r="E2046" s="2" t="s">
        <v>39</v>
      </c>
      <c r="F2046" s="2">
        <v>517450925</v>
      </c>
      <c r="G2046" s="2" t="s">
        <v>40</v>
      </c>
      <c r="H2046" s="2" t="s">
        <v>100</v>
      </c>
      <c r="I2046" s="2" t="s">
        <v>101</v>
      </c>
      <c r="K2046" s="2" t="s">
        <v>100</v>
      </c>
      <c r="L2046" s="2" t="s">
        <v>40</v>
      </c>
      <c r="O2046" s="2" t="s">
        <v>188</v>
      </c>
      <c r="P2046" s="2" t="s">
        <v>192</v>
      </c>
      <c r="Q2046" s="2" t="s">
        <v>191</v>
      </c>
      <c r="R2046" s="2">
        <v>1</v>
      </c>
      <c r="S2046" s="2">
        <v>50</v>
      </c>
      <c r="T2046" s="2">
        <v>11.5</v>
      </c>
      <c r="U2046" s="2">
        <v>61.5</v>
      </c>
      <c r="V2046" s="2">
        <f>S2046*50%</f>
        <v>25</v>
      </c>
      <c r="W2046" s="5">
        <f t="shared" si="203"/>
        <v>0.5</v>
      </c>
      <c r="Y2046" s="2" t="s">
        <v>118</v>
      </c>
      <c r="Z2046" s="2" t="s">
        <v>191</v>
      </c>
      <c r="AE2046" s="2">
        <f t="shared" si="199"/>
        <v>0</v>
      </c>
      <c r="AI2046" s="2">
        <f t="shared" si="200"/>
        <v>0</v>
      </c>
      <c r="AJ2046" s="2">
        <f t="shared" si="201"/>
        <v>25</v>
      </c>
      <c r="AK2046" s="5">
        <f t="shared" si="204"/>
        <v>0.5</v>
      </c>
    </row>
    <row r="2047" spans="1:37" x14ac:dyDescent="0.2">
      <c r="A2047" s="2">
        <v>2025</v>
      </c>
      <c r="B2047" s="2">
        <v>11</v>
      </c>
      <c r="C2047" s="2" t="s">
        <v>1690</v>
      </c>
      <c r="O2047" s="2" t="s">
        <v>43</v>
      </c>
      <c r="P2047" s="2" t="s">
        <v>49</v>
      </c>
      <c r="Q2047" s="2" t="s">
        <v>50</v>
      </c>
      <c r="R2047" s="2">
        <v>2</v>
      </c>
      <c r="S2047" s="2">
        <v>24</v>
      </c>
      <c r="T2047" s="2">
        <v>5.52</v>
      </c>
      <c r="U2047" s="2">
        <v>29.52</v>
      </c>
      <c r="V2047" s="2">
        <f>6.6267*R2047</f>
        <v>13.253399999999999</v>
      </c>
      <c r="W2047" s="5">
        <f t="shared" si="203"/>
        <v>0.44777500000000003</v>
      </c>
      <c r="Y2047" s="2" t="s">
        <v>3256</v>
      </c>
      <c r="Z2047" s="2" t="s">
        <v>46</v>
      </c>
      <c r="AA2047" s="2" t="s">
        <v>47</v>
      </c>
      <c r="AB2047" s="2" t="s">
        <v>48</v>
      </c>
      <c r="AE2047" s="2">
        <f t="shared" si="199"/>
        <v>0</v>
      </c>
      <c r="AF2047" s="2">
        <v>6.6266999999999996</v>
      </c>
      <c r="AG2047" s="2">
        <v>12</v>
      </c>
      <c r="AI2047" s="2">
        <f t="shared" si="200"/>
        <v>0</v>
      </c>
      <c r="AJ2047" s="2">
        <f t="shared" si="201"/>
        <v>10.746600000000001</v>
      </c>
      <c r="AK2047" s="5">
        <f t="shared" si="204"/>
        <v>0.44777500000000003</v>
      </c>
    </row>
    <row r="2048" spans="1:37" x14ac:dyDescent="0.2">
      <c r="A2048" s="2">
        <v>2025</v>
      </c>
      <c r="B2048" s="2">
        <v>11</v>
      </c>
      <c r="C2048" s="2" t="s">
        <v>1690</v>
      </c>
      <c r="O2048" s="2" t="s">
        <v>43</v>
      </c>
      <c r="P2048" s="2" t="s">
        <v>62</v>
      </c>
      <c r="Q2048" s="2" t="s">
        <v>63</v>
      </c>
      <c r="R2048" s="2">
        <v>300</v>
      </c>
      <c r="S2048" s="2">
        <v>37.5</v>
      </c>
      <c r="T2048" s="2">
        <v>8.625</v>
      </c>
      <c r="U2048" s="2">
        <v>46.125</v>
      </c>
      <c r="V2048" s="2">
        <f>0.082*R2048</f>
        <v>24.6</v>
      </c>
      <c r="W2048" s="5">
        <f t="shared" si="203"/>
        <v>0.34399999999999997</v>
      </c>
      <c r="Y2048" s="2" t="s">
        <v>3256</v>
      </c>
      <c r="Z2048" s="2" t="s">
        <v>46</v>
      </c>
      <c r="AA2048" s="2" t="s">
        <v>61</v>
      </c>
      <c r="AB2048" s="2" t="s">
        <v>58</v>
      </c>
      <c r="AE2048" s="2">
        <f t="shared" si="199"/>
        <v>0</v>
      </c>
      <c r="AF2048" s="2">
        <v>8.1999999999999993</v>
      </c>
      <c r="AG2048" s="2">
        <v>13</v>
      </c>
      <c r="AI2048" s="2">
        <f t="shared" si="200"/>
        <v>0</v>
      </c>
      <c r="AJ2048" s="2">
        <f t="shared" si="201"/>
        <v>12.899999999999999</v>
      </c>
      <c r="AK2048" s="5">
        <f t="shared" si="204"/>
        <v>0.34399999999999997</v>
      </c>
    </row>
    <row r="2049" spans="1:37" x14ac:dyDescent="0.2">
      <c r="A2049" s="2">
        <v>2025</v>
      </c>
      <c r="B2049" s="2">
        <v>11</v>
      </c>
      <c r="C2049" s="2" t="s">
        <v>1690</v>
      </c>
      <c r="O2049" s="2" t="s">
        <v>43</v>
      </c>
      <c r="P2049" s="2" t="s">
        <v>255</v>
      </c>
      <c r="Q2049" s="2" t="s">
        <v>256</v>
      </c>
      <c r="R2049" s="2">
        <v>100</v>
      </c>
      <c r="S2049" s="2">
        <v>15</v>
      </c>
      <c r="T2049" s="2">
        <v>3.45</v>
      </c>
      <c r="U2049" s="2">
        <v>18.45</v>
      </c>
      <c r="W2049" s="5">
        <f t="shared" si="203"/>
        <v>1</v>
      </c>
      <c r="Y2049" s="2" t="s">
        <v>3256</v>
      </c>
      <c r="Z2049" s="2" t="s">
        <v>46</v>
      </c>
      <c r="AA2049" s="2" t="s">
        <v>61</v>
      </c>
      <c r="AB2049" s="2" t="s">
        <v>58</v>
      </c>
      <c r="AE2049" s="2">
        <f t="shared" si="199"/>
        <v>0</v>
      </c>
      <c r="AI2049" s="2">
        <f t="shared" si="200"/>
        <v>0</v>
      </c>
      <c r="AJ2049" s="2">
        <f t="shared" si="201"/>
        <v>15</v>
      </c>
      <c r="AK2049" s="5">
        <f t="shared" si="204"/>
        <v>1</v>
      </c>
    </row>
    <row r="2050" spans="1:37" x14ac:dyDescent="0.2">
      <c r="A2050" s="2">
        <v>2025</v>
      </c>
      <c r="B2050" s="2">
        <v>11</v>
      </c>
      <c r="C2050" s="2" t="s">
        <v>940</v>
      </c>
      <c r="O2050" s="2" t="s">
        <v>115</v>
      </c>
      <c r="P2050" s="2" t="s">
        <v>785</v>
      </c>
      <c r="Q2050" s="2" t="s">
        <v>786</v>
      </c>
      <c r="R2050" s="2">
        <v>2</v>
      </c>
      <c r="S2050" s="2">
        <v>153.34</v>
      </c>
      <c r="T2050" s="2">
        <v>35.2682</v>
      </c>
      <c r="U2050" s="2">
        <v>188.60820000000001</v>
      </c>
      <c r="W2050" s="5">
        <f t="shared" si="203"/>
        <v>1</v>
      </c>
      <c r="AE2050" s="2">
        <f t="shared" si="199"/>
        <v>0</v>
      </c>
      <c r="AI2050" s="2">
        <f t="shared" si="200"/>
        <v>0</v>
      </c>
      <c r="AJ2050" s="2">
        <f t="shared" si="201"/>
        <v>153.34</v>
      </c>
      <c r="AK2050" s="5">
        <f t="shared" si="204"/>
        <v>1</v>
      </c>
    </row>
    <row r="2051" spans="1:37" x14ac:dyDescent="0.2">
      <c r="A2051" s="2">
        <v>2025</v>
      </c>
      <c r="B2051" s="2">
        <v>11</v>
      </c>
      <c r="C2051" s="2" t="s">
        <v>940</v>
      </c>
      <c r="L2051" s="2" t="s">
        <v>40</v>
      </c>
      <c r="O2051" s="2" t="s">
        <v>115</v>
      </c>
      <c r="P2051" s="2" t="s">
        <v>180</v>
      </c>
      <c r="Q2051" s="2" t="s">
        <v>181</v>
      </c>
      <c r="R2051" s="2">
        <v>1</v>
      </c>
      <c r="S2051" s="2">
        <v>699.3</v>
      </c>
      <c r="T2051" s="2">
        <v>160.839</v>
      </c>
      <c r="U2051" s="2">
        <v>860.1389999999999</v>
      </c>
      <c r="V2051" s="2">
        <v>346.57</v>
      </c>
      <c r="W2051" s="5">
        <f t="shared" si="203"/>
        <v>0.50440440440440437</v>
      </c>
      <c r="Y2051" s="2" t="s">
        <v>118</v>
      </c>
      <c r="Z2051" s="2" t="s">
        <v>182</v>
      </c>
      <c r="AE2051" s="2">
        <f t="shared" ref="AE2051:AE2114" si="205">AI2051</f>
        <v>0</v>
      </c>
      <c r="AI2051" s="2">
        <f t="shared" ref="AI2051:AI2114" si="206">AH2051*S2051</f>
        <v>0</v>
      </c>
      <c r="AJ2051" s="2">
        <f t="shared" ref="AJ2051:AJ2114" si="207">S2051-V2051</f>
        <v>352.72999999999996</v>
      </c>
      <c r="AK2051" s="5">
        <f t="shared" si="204"/>
        <v>0.50440440440440437</v>
      </c>
    </row>
    <row r="2052" spans="1:37" x14ac:dyDescent="0.2">
      <c r="A2052" s="2">
        <v>2025</v>
      </c>
      <c r="B2052" s="2">
        <v>11</v>
      </c>
      <c r="C2052" s="2" t="s">
        <v>940</v>
      </c>
      <c r="L2052" s="2" t="s">
        <v>40</v>
      </c>
      <c r="O2052" s="2" t="s">
        <v>188</v>
      </c>
      <c r="P2052" s="2" t="s">
        <v>189</v>
      </c>
      <c r="Q2052" s="2" t="s">
        <v>190</v>
      </c>
      <c r="R2052" s="2">
        <v>1</v>
      </c>
      <c r="S2052" s="2">
        <v>144</v>
      </c>
      <c r="T2052" s="2">
        <v>33.119999999999997</v>
      </c>
      <c r="U2052" s="2">
        <v>177.12</v>
      </c>
      <c r="W2052" s="5">
        <f t="shared" si="203"/>
        <v>1</v>
      </c>
      <c r="Y2052" s="2" t="s">
        <v>118</v>
      </c>
      <c r="Z2052" s="2" t="s">
        <v>191</v>
      </c>
      <c r="AE2052" s="2">
        <f t="shared" si="205"/>
        <v>0</v>
      </c>
      <c r="AI2052" s="2">
        <f t="shared" si="206"/>
        <v>0</v>
      </c>
      <c r="AJ2052" s="2">
        <f t="shared" si="207"/>
        <v>144</v>
      </c>
      <c r="AK2052" s="5">
        <f t="shared" si="204"/>
        <v>1</v>
      </c>
    </row>
    <row r="2053" spans="1:37" x14ac:dyDescent="0.2">
      <c r="A2053" s="2">
        <v>2025</v>
      </c>
      <c r="B2053" s="2">
        <v>11</v>
      </c>
      <c r="C2053" s="2" t="s">
        <v>940</v>
      </c>
      <c r="L2053" s="2" t="s">
        <v>40</v>
      </c>
      <c r="O2053" s="2" t="s">
        <v>188</v>
      </c>
      <c r="P2053" s="2" t="s">
        <v>192</v>
      </c>
      <c r="Q2053" s="2" t="s">
        <v>191</v>
      </c>
      <c r="R2053" s="2">
        <v>1</v>
      </c>
      <c r="S2053" s="2">
        <v>0</v>
      </c>
      <c r="T2053" s="2">
        <v>0</v>
      </c>
      <c r="U2053" s="2">
        <v>0</v>
      </c>
      <c r="V2053" s="2">
        <f>S2053*50%</f>
        <v>0</v>
      </c>
      <c r="W2053" s="5" t="e">
        <f t="shared" si="203"/>
        <v>#DIV/0!</v>
      </c>
      <c r="Y2053" s="2" t="s">
        <v>118</v>
      </c>
      <c r="Z2053" s="2" t="s">
        <v>191</v>
      </c>
      <c r="AE2053" s="2">
        <f t="shared" si="205"/>
        <v>0</v>
      </c>
      <c r="AI2053" s="2">
        <f t="shared" si="206"/>
        <v>0</v>
      </c>
      <c r="AJ2053" s="2">
        <f t="shared" si="207"/>
        <v>0</v>
      </c>
      <c r="AK2053" s="5" t="e">
        <f t="shared" si="204"/>
        <v>#DIV/0!</v>
      </c>
    </row>
    <row r="2054" spans="1:37" x14ac:dyDescent="0.2">
      <c r="A2054" s="2">
        <v>2025</v>
      </c>
      <c r="B2054" s="2">
        <v>11</v>
      </c>
      <c r="C2054" s="2" t="s">
        <v>144</v>
      </c>
      <c r="O2054" s="2" t="s">
        <v>115</v>
      </c>
      <c r="P2054" s="2" t="s">
        <v>785</v>
      </c>
      <c r="Q2054" s="2" t="s">
        <v>786</v>
      </c>
      <c r="R2054" s="2">
        <v>2</v>
      </c>
      <c r="S2054" s="2">
        <v>153.34</v>
      </c>
      <c r="T2054" s="2">
        <v>35.2682</v>
      </c>
      <c r="U2054" s="2">
        <v>188.60820000000001</v>
      </c>
      <c r="W2054" s="5">
        <f t="shared" si="203"/>
        <v>1</v>
      </c>
      <c r="AE2054" s="2">
        <f t="shared" si="205"/>
        <v>0</v>
      </c>
      <c r="AI2054" s="2">
        <f t="shared" si="206"/>
        <v>0</v>
      </c>
      <c r="AJ2054" s="2">
        <f t="shared" si="207"/>
        <v>153.34</v>
      </c>
      <c r="AK2054" s="5">
        <f t="shared" si="204"/>
        <v>1</v>
      </c>
    </row>
    <row r="2055" spans="1:37" x14ac:dyDescent="0.2">
      <c r="A2055" s="2">
        <v>2025</v>
      </c>
      <c r="B2055" s="2">
        <v>11</v>
      </c>
      <c r="C2055" s="2" t="s">
        <v>144</v>
      </c>
      <c r="O2055" s="2" t="s">
        <v>73</v>
      </c>
      <c r="P2055" s="2" t="s">
        <v>1992</v>
      </c>
      <c r="Q2055" s="2" t="s">
        <v>487</v>
      </c>
      <c r="R2055" s="2">
        <v>1</v>
      </c>
      <c r="S2055" s="2">
        <v>210</v>
      </c>
      <c r="T2055" s="2">
        <v>48.3</v>
      </c>
      <c r="U2055" s="2">
        <v>258.3</v>
      </c>
      <c r="W2055" s="5">
        <f t="shared" si="203"/>
        <v>1</v>
      </c>
      <c r="Y2055" s="2" t="s">
        <v>3256</v>
      </c>
      <c r="Z2055" s="2" t="s">
        <v>76</v>
      </c>
      <c r="AA2055" s="2" t="s">
        <v>77</v>
      </c>
      <c r="AB2055" s="2" t="s">
        <v>78</v>
      </c>
      <c r="AE2055" s="2">
        <f t="shared" si="205"/>
        <v>0</v>
      </c>
      <c r="AI2055" s="2">
        <f t="shared" si="206"/>
        <v>0</v>
      </c>
      <c r="AJ2055" s="2">
        <f t="shared" si="207"/>
        <v>210</v>
      </c>
      <c r="AK2055" s="5">
        <f t="shared" si="204"/>
        <v>1</v>
      </c>
    </row>
    <row r="2056" spans="1:37" x14ac:dyDescent="0.2">
      <c r="A2056" s="2">
        <v>2025</v>
      </c>
      <c r="B2056" s="2">
        <v>11</v>
      </c>
      <c r="C2056" s="2" t="s">
        <v>144</v>
      </c>
      <c r="O2056" s="2" t="s">
        <v>1047</v>
      </c>
      <c r="P2056" s="2" t="s">
        <v>1993</v>
      </c>
      <c r="Q2056" s="2" t="s">
        <v>1994</v>
      </c>
      <c r="R2056" s="2">
        <v>1</v>
      </c>
      <c r="S2056" s="2">
        <v>450</v>
      </c>
      <c r="T2056" s="2">
        <v>103.5</v>
      </c>
      <c r="U2056" s="2">
        <v>553.5</v>
      </c>
      <c r="W2056" s="5">
        <f t="shared" si="203"/>
        <v>1</v>
      </c>
      <c r="Y2056" s="2" t="s">
        <v>3256</v>
      </c>
      <c r="Z2056" s="2" t="s">
        <v>76</v>
      </c>
      <c r="AA2056" s="2" t="s">
        <v>77</v>
      </c>
      <c r="AB2056" s="2" t="s">
        <v>1047</v>
      </c>
      <c r="AE2056" s="2">
        <f t="shared" si="205"/>
        <v>0</v>
      </c>
      <c r="AI2056" s="2">
        <f t="shared" si="206"/>
        <v>0</v>
      </c>
      <c r="AJ2056" s="2">
        <f t="shared" si="207"/>
        <v>450</v>
      </c>
      <c r="AK2056" s="5">
        <f t="shared" si="204"/>
        <v>1</v>
      </c>
    </row>
    <row r="2057" spans="1:37" x14ac:dyDescent="0.2">
      <c r="A2057" s="2">
        <v>2025</v>
      </c>
      <c r="B2057" s="2">
        <v>11</v>
      </c>
      <c r="C2057" s="2" t="s">
        <v>144</v>
      </c>
      <c r="L2057" s="2" t="s">
        <v>40</v>
      </c>
      <c r="O2057" s="2" t="s">
        <v>188</v>
      </c>
      <c r="P2057" s="2" t="s">
        <v>189</v>
      </c>
      <c r="Q2057" s="2" t="s">
        <v>190</v>
      </c>
      <c r="R2057" s="2">
        <v>1</v>
      </c>
      <c r="S2057" s="2">
        <v>228</v>
      </c>
      <c r="T2057" s="2">
        <v>52.44</v>
      </c>
      <c r="U2057" s="2">
        <v>280.44</v>
      </c>
      <c r="W2057" s="5">
        <f t="shared" si="203"/>
        <v>1</v>
      </c>
      <c r="Y2057" s="2" t="s">
        <v>118</v>
      </c>
      <c r="Z2057" s="2" t="s">
        <v>191</v>
      </c>
      <c r="AE2057" s="2">
        <f t="shared" si="205"/>
        <v>0</v>
      </c>
      <c r="AI2057" s="2">
        <f t="shared" si="206"/>
        <v>0</v>
      </c>
      <c r="AJ2057" s="2">
        <f t="shared" si="207"/>
        <v>228</v>
      </c>
      <c r="AK2057" s="5">
        <f t="shared" si="204"/>
        <v>1</v>
      </c>
    </row>
    <row r="2058" spans="1:37" x14ac:dyDescent="0.2">
      <c r="A2058" s="2">
        <v>2025</v>
      </c>
      <c r="B2058" s="2">
        <v>11</v>
      </c>
      <c r="C2058" s="2" t="s">
        <v>144</v>
      </c>
      <c r="L2058" s="2" t="s">
        <v>40</v>
      </c>
      <c r="O2058" s="2" t="s">
        <v>188</v>
      </c>
      <c r="P2058" s="2" t="s">
        <v>192</v>
      </c>
      <c r="Q2058" s="2" t="s">
        <v>191</v>
      </c>
      <c r="R2058" s="2">
        <v>7</v>
      </c>
      <c r="S2058" s="2">
        <v>250</v>
      </c>
      <c r="T2058" s="2">
        <v>57.5</v>
      </c>
      <c r="U2058" s="2">
        <v>307.5</v>
      </c>
      <c r="V2058" s="2">
        <f>S2058*50%</f>
        <v>125</v>
      </c>
      <c r="W2058" s="5">
        <f t="shared" si="203"/>
        <v>0.5</v>
      </c>
      <c r="Y2058" s="2" t="s">
        <v>118</v>
      </c>
      <c r="Z2058" s="2" t="s">
        <v>191</v>
      </c>
      <c r="AE2058" s="2">
        <f t="shared" si="205"/>
        <v>0</v>
      </c>
      <c r="AI2058" s="2">
        <f t="shared" si="206"/>
        <v>0</v>
      </c>
      <c r="AJ2058" s="2">
        <f t="shared" si="207"/>
        <v>125</v>
      </c>
      <c r="AK2058" s="5">
        <f t="shared" si="204"/>
        <v>0.5</v>
      </c>
    </row>
    <row r="2059" spans="1:37" x14ac:dyDescent="0.2">
      <c r="A2059" s="2">
        <v>2025</v>
      </c>
      <c r="B2059" s="2">
        <v>11</v>
      </c>
      <c r="C2059" s="2" t="s">
        <v>144</v>
      </c>
      <c r="O2059" s="2" t="s">
        <v>170</v>
      </c>
      <c r="P2059" s="2" t="s">
        <v>171</v>
      </c>
      <c r="Q2059" s="2" t="s">
        <v>171</v>
      </c>
      <c r="R2059" s="2">
        <v>1</v>
      </c>
      <c r="S2059" s="2">
        <v>15</v>
      </c>
      <c r="T2059" s="2">
        <v>3.45</v>
      </c>
      <c r="U2059" s="2">
        <v>18.45</v>
      </c>
      <c r="W2059" s="5">
        <f t="shared" si="203"/>
        <v>1</v>
      </c>
      <c r="Y2059" s="2" t="s">
        <v>170</v>
      </c>
      <c r="Z2059" s="2" t="s">
        <v>170</v>
      </c>
      <c r="AE2059" s="2">
        <f t="shared" si="205"/>
        <v>0</v>
      </c>
      <c r="AI2059" s="2">
        <f t="shared" si="206"/>
        <v>0</v>
      </c>
      <c r="AJ2059" s="2">
        <f t="shared" si="207"/>
        <v>15</v>
      </c>
      <c r="AK2059" s="5">
        <f t="shared" si="204"/>
        <v>1</v>
      </c>
    </row>
    <row r="2060" spans="1:37" x14ac:dyDescent="0.2">
      <c r="A2060" s="2">
        <v>2025</v>
      </c>
      <c r="B2060" s="2">
        <v>11</v>
      </c>
      <c r="C2060" s="2" t="s">
        <v>144</v>
      </c>
      <c r="O2060" s="2" t="s">
        <v>94</v>
      </c>
      <c r="P2060" s="2" t="s">
        <v>95</v>
      </c>
      <c r="Q2060" s="2" t="s">
        <v>96</v>
      </c>
      <c r="R2060" s="2">
        <v>2</v>
      </c>
      <c r="S2060" s="2">
        <v>2.2799999999999998</v>
      </c>
      <c r="T2060" s="2">
        <v>0.52439999999999998</v>
      </c>
      <c r="U2060" s="2">
        <v>2.8043999999999998</v>
      </c>
      <c r="V2060" s="2">
        <v>2.2799999999999998</v>
      </c>
      <c r="W2060" s="5">
        <f t="shared" si="203"/>
        <v>0</v>
      </c>
      <c r="Y2060" s="2" t="s">
        <v>3256</v>
      </c>
      <c r="Z2060" s="2" t="s">
        <v>97</v>
      </c>
      <c r="AA2060" s="2" t="s">
        <v>77</v>
      </c>
      <c r="AB2060" s="2" t="s">
        <v>94</v>
      </c>
      <c r="AE2060" s="2">
        <f t="shared" si="205"/>
        <v>0</v>
      </c>
      <c r="AI2060" s="2">
        <f t="shared" si="206"/>
        <v>0</v>
      </c>
      <c r="AJ2060" s="2">
        <f t="shared" si="207"/>
        <v>0</v>
      </c>
      <c r="AK2060" s="5">
        <f t="shared" si="204"/>
        <v>0</v>
      </c>
    </row>
    <row r="2061" spans="1:37" x14ac:dyDescent="0.2">
      <c r="A2061" s="2">
        <v>2025</v>
      </c>
      <c r="B2061" s="2">
        <v>11</v>
      </c>
      <c r="C2061" s="2" t="s">
        <v>144</v>
      </c>
      <c r="O2061" s="2" t="s">
        <v>40</v>
      </c>
      <c r="P2061" s="2" t="s">
        <v>364</v>
      </c>
      <c r="Q2061" s="2" t="s">
        <v>365</v>
      </c>
      <c r="R2061" s="2">
        <v>1</v>
      </c>
      <c r="S2061" s="2">
        <v>67.2</v>
      </c>
      <c r="T2061" s="2">
        <v>15.456</v>
      </c>
      <c r="U2061" s="2">
        <v>82.656000000000006</v>
      </c>
      <c r="W2061" s="5">
        <f t="shared" si="203"/>
        <v>1</v>
      </c>
      <c r="Y2061" s="2" t="s">
        <v>120</v>
      </c>
      <c r="AE2061" s="2">
        <f t="shared" si="205"/>
        <v>0</v>
      </c>
      <c r="AI2061" s="2">
        <f t="shared" si="206"/>
        <v>0</v>
      </c>
      <c r="AJ2061" s="2">
        <f t="shared" si="207"/>
        <v>67.2</v>
      </c>
      <c r="AK2061" s="5">
        <f t="shared" si="204"/>
        <v>1</v>
      </c>
    </row>
    <row r="2062" spans="1:37" x14ac:dyDescent="0.2">
      <c r="A2062" s="2">
        <v>2025</v>
      </c>
      <c r="B2062" s="2">
        <v>11</v>
      </c>
      <c r="C2062" s="2" t="s">
        <v>279</v>
      </c>
      <c r="O2062" s="2" t="s">
        <v>43</v>
      </c>
      <c r="P2062" s="2" t="s">
        <v>237</v>
      </c>
      <c r="Q2062" s="2" t="s">
        <v>238</v>
      </c>
      <c r="R2062" s="2">
        <v>1</v>
      </c>
      <c r="S2062" s="2">
        <v>16.2</v>
      </c>
      <c r="T2062" s="2">
        <v>3.726</v>
      </c>
      <c r="U2062" s="2">
        <v>19.925999999999998</v>
      </c>
      <c r="W2062" s="5">
        <f t="shared" si="203"/>
        <v>1</v>
      </c>
      <c r="Y2062" s="2" t="s">
        <v>3256</v>
      </c>
      <c r="Z2062" s="2" t="s">
        <v>46</v>
      </c>
      <c r="AA2062" s="2" t="s">
        <v>57</v>
      </c>
      <c r="AB2062" s="2" t="s">
        <v>58</v>
      </c>
      <c r="AE2062" s="2">
        <f t="shared" si="205"/>
        <v>0</v>
      </c>
      <c r="AI2062" s="2">
        <f t="shared" si="206"/>
        <v>0</v>
      </c>
      <c r="AJ2062" s="2">
        <f t="shared" si="207"/>
        <v>16.2</v>
      </c>
      <c r="AK2062" s="5">
        <f t="shared" si="204"/>
        <v>1</v>
      </c>
    </row>
    <row r="2063" spans="1:37" x14ac:dyDescent="0.2">
      <c r="A2063" s="2">
        <v>2025</v>
      </c>
      <c r="B2063" s="2">
        <v>11</v>
      </c>
      <c r="C2063" s="2" t="s">
        <v>279</v>
      </c>
      <c r="O2063" s="2" t="s">
        <v>43</v>
      </c>
      <c r="P2063" s="2" t="s">
        <v>247</v>
      </c>
      <c r="Q2063" s="2" t="s">
        <v>248</v>
      </c>
      <c r="R2063" s="2">
        <v>1</v>
      </c>
      <c r="S2063" s="2">
        <v>19.2</v>
      </c>
      <c r="T2063" s="2">
        <v>4.4160000000000004</v>
      </c>
      <c r="U2063" s="2">
        <v>23.616</v>
      </c>
      <c r="W2063" s="5">
        <f t="shared" si="203"/>
        <v>1</v>
      </c>
      <c r="Y2063" s="2" t="s">
        <v>3256</v>
      </c>
      <c r="Z2063" s="2" t="s">
        <v>46</v>
      </c>
      <c r="AA2063" s="2" t="s">
        <v>57</v>
      </c>
      <c r="AB2063" s="2" t="s">
        <v>58</v>
      </c>
      <c r="AE2063" s="2">
        <f t="shared" si="205"/>
        <v>0</v>
      </c>
      <c r="AI2063" s="2">
        <f t="shared" si="206"/>
        <v>0</v>
      </c>
      <c r="AJ2063" s="2">
        <f t="shared" si="207"/>
        <v>19.2</v>
      </c>
      <c r="AK2063" s="5">
        <f t="shared" si="204"/>
        <v>1</v>
      </c>
    </row>
    <row r="2064" spans="1:37" x14ac:dyDescent="0.2">
      <c r="A2064" s="2">
        <v>2025</v>
      </c>
      <c r="B2064" s="2">
        <v>11</v>
      </c>
      <c r="C2064" s="2" t="s">
        <v>279</v>
      </c>
      <c r="O2064" s="2" t="s">
        <v>43</v>
      </c>
      <c r="P2064" s="2" t="s">
        <v>55</v>
      </c>
      <c r="Q2064" s="2" t="s">
        <v>56</v>
      </c>
      <c r="R2064" s="2">
        <v>2</v>
      </c>
      <c r="S2064" s="2">
        <v>36</v>
      </c>
      <c r="T2064" s="2">
        <v>8.2800000000000011</v>
      </c>
      <c r="U2064" s="2">
        <v>44.28</v>
      </c>
      <c r="V2064" s="2">
        <f>10.6*R2064</f>
        <v>21.2</v>
      </c>
      <c r="W2064" s="5">
        <f t="shared" si="203"/>
        <v>0.41111111111111115</v>
      </c>
      <c r="Y2064" s="2" t="s">
        <v>3256</v>
      </c>
      <c r="Z2064" s="2" t="s">
        <v>46</v>
      </c>
      <c r="AA2064" s="2" t="s">
        <v>57</v>
      </c>
      <c r="AB2064" s="2" t="s">
        <v>58</v>
      </c>
      <c r="AE2064" s="2">
        <f t="shared" si="205"/>
        <v>0</v>
      </c>
      <c r="AF2064" s="2">
        <v>10.6</v>
      </c>
      <c r="AG2064" s="2">
        <v>18</v>
      </c>
      <c r="AI2064" s="2">
        <f t="shared" si="206"/>
        <v>0</v>
      </c>
      <c r="AJ2064" s="2">
        <f t="shared" si="207"/>
        <v>14.8</v>
      </c>
      <c r="AK2064" s="5">
        <f t="shared" si="204"/>
        <v>0.41111111111111115</v>
      </c>
    </row>
    <row r="2065" spans="1:37" x14ac:dyDescent="0.2">
      <c r="A2065" s="2">
        <v>2025</v>
      </c>
      <c r="B2065" s="2">
        <v>11</v>
      </c>
      <c r="C2065" s="2" t="s">
        <v>1162</v>
      </c>
      <c r="L2065" s="2" t="s">
        <v>40</v>
      </c>
      <c r="O2065" s="2" t="s">
        <v>188</v>
      </c>
      <c r="P2065" s="2" t="s">
        <v>189</v>
      </c>
      <c r="Q2065" s="2" t="s">
        <v>190</v>
      </c>
      <c r="R2065" s="2">
        <v>1</v>
      </c>
      <c r="S2065" s="2">
        <v>50</v>
      </c>
      <c r="T2065" s="2">
        <v>11.5</v>
      </c>
      <c r="U2065" s="2">
        <v>61.5</v>
      </c>
      <c r="W2065" s="5">
        <f t="shared" si="203"/>
        <v>1</v>
      </c>
      <c r="Y2065" s="2" t="s">
        <v>118</v>
      </c>
      <c r="Z2065" s="2" t="s">
        <v>191</v>
      </c>
      <c r="AE2065" s="2">
        <f t="shared" si="205"/>
        <v>0</v>
      </c>
      <c r="AI2065" s="2">
        <f t="shared" si="206"/>
        <v>0</v>
      </c>
      <c r="AJ2065" s="2">
        <f t="shared" si="207"/>
        <v>50</v>
      </c>
      <c r="AK2065" s="5">
        <f t="shared" si="204"/>
        <v>1</v>
      </c>
    </row>
    <row r="2066" spans="1:37" x14ac:dyDescent="0.2">
      <c r="A2066" s="2">
        <v>2025</v>
      </c>
      <c r="B2066" s="2">
        <v>11</v>
      </c>
      <c r="C2066" s="2" t="s">
        <v>1162</v>
      </c>
      <c r="L2066" s="2" t="s">
        <v>40</v>
      </c>
      <c r="O2066" s="2" t="s">
        <v>188</v>
      </c>
      <c r="P2066" s="2" t="s">
        <v>192</v>
      </c>
      <c r="Q2066" s="2" t="s">
        <v>191</v>
      </c>
      <c r="R2066" s="2">
        <v>2</v>
      </c>
      <c r="S2066" s="2">
        <v>50</v>
      </c>
      <c r="T2066" s="2">
        <v>11.5</v>
      </c>
      <c r="U2066" s="2">
        <v>61.5</v>
      </c>
      <c r="V2066" s="2">
        <f>S2066*50%</f>
        <v>25</v>
      </c>
      <c r="W2066" s="5">
        <f t="shared" si="203"/>
        <v>0.5</v>
      </c>
      <c r="Y2066" s="2" t="s">
        <v>118</v>
      </c>
      <c r="Z2066" s="2" t="s">
        <v>191</v>
      </c>
      <c r="AE2066" s="2">
        <f t="shared" si="205"/>
        <v>0</v>
      </c>
      <c r="AI2066" s="2">
        <f t="shared" si="206"/>
        <v>0</v>
      </c>
      <c r="AJ2066" s="2">
        <f t="shared" si="207"/>
        <v>25</v>
      </c>
      <c r="AK2066" s="5">
        <f t="shared" si="204"/>
        <v>0.5</v>
      </c>
    </row>
    <row r="2067" spans="1:37" x14ac:dyDescent="0.2">
      <c r="A2067" s="2">
        <v>2025</v>
      </c>
      <c r="B2067" s="2">
        <v>11</v>
      </c>
      <c r="C2067" s="2" t="s">
        <v>1162</v>
      </c>
      <c r="O2067" s="2" t="s">
        <v>40</v>
      </c>
      <c r="P2067" s="2" t="s">
        <v>364</v>
      </c>
      <c r="Q2067" s="2" t="s">
        <v>365</v>
      </c>
      <c r="R2067" s="2">
        <v>1</v>
      </c>
      <c r="S2067" s="2">
        <v>85.5</v>
      </c>
      <c r="T2067" s="2">
        <v>19.664999999999999</v>
      </c>
      <c r="U2067" s="2">
        <v>105.16500000000001</v>
      </c>
      <c r="W2067" s="5">
        <f t="shared" ref="W2067:W2130" si="208">(S2067-V2067)/S2067</f>
        <v>1</v>
      </c>
      <c r="Y2067" s="2" t="s">
        <v>120</v>
      </c>
      <c r="AE2067" s="2">
        <f t="shared" si="205"/>
        <v>0</v>
      </c>
      <c r="AI2067" s="2">
        <f t="shared" si="206"/>
        <v>0</v>
      </c>
      <c r="AJ2067" s="2">
        <f t="shared" si="207"/>
        <v>85.5</v>
      </c>
      <c r="AK2067" s="5">
        <f t="shared" si="204"/>
        <v>1</v>
      </c>
    </row>
    <row r="2068" spans="1:37" x14ac:dyDescent="0.2">
      <c r="A2068" s="2">
        <v>2025</v>
      </c>
      <c r="B2068" s="2">
        <v>11</v>
      </c>
      <c r="C2068" s="2" t="s">
        <v>1488</v>
      </c>
      <c r="D2068" s="2" t="s">
        <v>758</v>
      </c>
      <c r="E2068" s="2" t="s">
        <v>1489</v>
      </c>
      <c r="F2068" s="2">
        <v>506123758</v>
      </c>
      <c r="G2068" s="2" t="s">
        <v>110</v>
      </c>
      <c r="H2068" s="2" t="s">
        <v>1490</v>
      </c>
      <c r="I2068" s="2" t="s">
        <v>1491</v>
      </c>
      <c r="J2068" s="2">
        <v>936406952</v>
      </c>
      <c r="K2068" s="2" t="s">
        <v>465</v>
      </c>
      <c r="L2068" s="2" t="s">
        <v>40</v>
      </c>
      <c r="N2068" s="2" t="s">
        <v>1995</v>
      </c>
      <c r="O2068" s="2" t="s">
        <v>188</v>
      </c>
      <c r="P2068" s="2" t="s">
        <v>189</v>
      </c>
      <c r="Q2068" s="2" t="s">
        <v>190</v>
      </c>
      <c r="R2068" s="2">
        <v>1</v>
      </c>
      <c r="S2068" s="2">
        <v>186</v>
      </c>
      <c r="T2068" s="2">
        <v>42.78</v>
      </c>
      <c r="U2068" s="2">
        <v>228.78</v>
      </c>
      <c r="W2068" s="5">
        <f t="shared" si="208"/>
        <v>1</v>
      </c>
      <c r="Y2068" s="2" t="s">
        <v>118</v>
      </c>
      <c r="Z2068" s="2" t="s">
        <v>191</v>
      </c>
      <c r="AE2068" s="2">
        <f t="shared" si="205"/>
        <v>0</v>
      </c>
      <c r="AI2068" s="2">
        <f t="shared" si="206"/>
        <v>0</v>
      </c>
      <c r="AJ2068" s="2">
        <f t="shared" si="207"/>
        <v>186</v>
      </c>
      <c r="AK2068" s="5">
        <f t="shared" si="204"/>
        <v>1</v>
      </c>
    </row>
    <row r="2069" spans="1:37" x14ac:dyDescent="0.2">
      <c r="A2069" s="2">
        <v>2025</v>
      </c>
      <c r="B2069" s="2">
        <v>11</v>
      </c>
      <c r="C2069" s="2" t="s">
        <v>1488</v>
      </c>
      <c r="D2069" s="2" t="s">
        <v>758</v>
      </c>
      <c r="E2069" s="2" t="s">
        <v>1489</v>
      </c>
      <c r="F2069" s="2">
        <v>506123758</v>
      </c>
      <c r="G2069" s="2" t="s">
        <v>110</v>
      </c>
      <c r="H2069" s="2" t="s">
        <v>1490</v>
      </c>
      <c r="I2069" s="2" t="s">
        <v>1491</v>
      </c>
      <c r="J2069" s="2">
        <v>936406952</v>
      </c>
      <c r="K2069" s="2" t="s">
        <v>465</v>
      </c>
      <c r="L2069" s="2" t="s">
        <v>40</v>
      </c>
      <c r="N2069" s="2" t="s">
        <v>1995</v>
      </c>
      <c r="O2069" s="2" t="s">
        <v>188</v>
      </c>
      <c r="P2069" s="2" t="s">
        <v>192</v>
      </c>
      <c r="Q2069" s="2" t="s">
        <v>191</v>
      </c>
      <c r="R2069" s="2">
        <v>1</v>
      </c>
      <c r="S2069" s="2">
        <v>50</v>
      </c>
      <c r="T2069" s="2">
        <v>11.5</v>
      </c>
      <c r="U2069" s="2">
        <v>61.5</v>
      </c>
      <c r="V2069" s="2">
        <f>S2069*50%</f>
        <v>25</v>
      </c>
      <c r="W2069" s="5">
        <f t="shared" si="208"/>
        <v>0.5</v>
      </c>
      <c r="Y2069" s="2" t="s">
        <v>118</v>
      </c>
      <c r="Z2069" s="2" t="s">
        <v>191</v>
      </c>
      <c r="AE2069" s="2">
        <f t="shared" si="205"/>
        <v>0</v>
      </c>
      <c r="AI2069" s="2">
        <f t="shared" si="206"/>
        <v>0</v>
      </c>
      <c r="AJ2069" s="2">
        <f t="shared" si="207"/>
        <v>25</v>
      </c>
      <c r="AK2069" s="5">
        <f t="shared" si="204"/>
        <v>0.5</v>
      </c>
    </row>
    <row r="2070" spans="1:37" x14ac:dyDescent="0.2">
      <c r="A2070" s="2">
        <v>2025</v>
      </c>
      <c r="B2070" s="2">
        <v>11</v>
      </c>
      <c r="C2070" s="2" t="s">
        <v>1996</v>
      </c>
      <c r="O2070" s="2" t="s">
        <v>283</v>
      </c>
      <c r="P2070" s="2" t="s">
        <v>532</v>
      </c>
      <c r="Q2070" s="2" t="s">
        <v>533</v>
      </c>
      <c r="R2070" s="2">
        <v>1</v>
      </c>
      <c r="S2070" s="2">
        <v>399</v>
      </c>
      <c r="T2070" s="2">
        <v>91.77000000000001</v>
      </c>
      <c r="U2070" s="2">
        <v>490.77</v>
      </c>
      <c r="W2070" s="5">
        <f t="shared" si="208"/>
        <v>1</v>
      </c>
      <c r="AE2070" s="2">
        <f t="shared" si="205"/>
        <v>0</v>
      </c>
      <c r="AI2070" s="2">
        <f t="shared" si="206"/>
        <v>0</v>
      </c>
      <c r="AJ2070" s="2">
        <f t="shared" si="207"/>
        <v>399</v>
      </c>
      <c r="AK2070" s="5">
        <f t="shared" si="204"/>
        <v>1</v>
      </c>
    </row>
    <row r="2071" spans="1:37" x14ac:dyDescent="0.2">
      <c r="A2071" s="2">
        <v>2025</v>
      </c>
      <c r="B2071" s="2">
        <v>11</v>
      </c>
      <c r="C2071" s="2" t="s">
        <v>1996</v>
      </c>
      <c r="O2071" s="2" t="s">
        <v>43</v>
      </c>
      <c r="P2071" s="2" t="s">
        <v>49</v>
      </c>
      <c r="Q2071" s="2" t="s">
        <v>50</v>
      </c>
      <c r="R2071" s="2">
        <v>10</v>
      </c>
      <c r="S2071" s="2">
        <v>110</v>
      </c>
      <c r="T2071" s="2">
        <v>25.3</v>
      </c>
      <c r="U2071" s="2">
        <v>135.30000000000001</v>
      </c>
      <c r="V2071" s="2">
        <f>6.6267*R2071</f>
        <v>66.266999999999996</v>
      </c>
      <c r="W2071" s="5">
        <f t="shared" si="208"/>
        <v>0.3975727272727273</v>
      </c>
      <c r="Y2071" s="2" t="s">
        <v>3256</v>
      </c>
      <c r="Z2071" s="2" t="s">
        <v>46</v>
      </c>
      <c r="AA2071" s="2" t="s">
        <v>47</v>
      </c>
      <c r="AB2071" s="2" t="s">
        <v>48</v>
      </c>
      <c r="AE2071" s="2">
        <f t="shared" si="205"/>
        <v>0</v>
      </c>
      <c r="AF2071" s="2">
        <v>6.6266999999999996</v>
      </c>
      <c r="AG2071" s="2">
        <v>12</v>
      </c>
      <c r="AI2071" s="2">
        <f t="shared" si="206"/>
        <v>0</v>
      </c>
      <c r="AJ2071" s="2">
        <f t="shared" si="207"/>
        <v>43.733000000000004</v>
      </c>
      <c r="AK2071" s="5">
        <f t="shared" si="204"/>
        <v>0.3975727272727273</v>
      </c>
    </row>
    <row r="2072" spans="1:37" x14ac:dyDescent="0.2">
      <c r="A2072" s="2">
        <v>2025</v>
      </c>
      <c r="B2072" s="2">
        <v>11</v>
      </c>
      <c r="C2072" s="2" t="s">
        <v>699</v>
      </c>
      <c r="D2072" s="2" t="s">
        <v>38</v>
      </c>
      <c r="E2072" s="2" t="s">
        <v>39</v>
      </c>
      <c r="F2072" s="2">
        <v>508574358</v>
      </c>
      <c r="G2072" s="2" t="s">
        <v>41</v>
      </c>
      <c r="H2072" s="2" t="s">
        <v>700</v>
      </c>
      <c r="I2072" s="2" t="s">
        <v>701</v>
      </c>
      <c r="J2072" s="2">
        <v>917295518</v>
      </c>
      <c r="K2072" s="2" t="s">
        <v>178</v>
      </c>
      <c r="L2072" s="2" t="s">
        <v>41</v>
      </c>
      <c r="O2072" s="2" t="s">
        <v>43</v>
      </c>
      <c r="P2072" s="2" t="s">
        <v>55</v>
      </c>
      <c r="Q2072" s="2" t="s">
        <v>56</v>
      </c>
      <c r="R2072" s="2">
        <v>3</v>
      </c>
      <c r="S2072" s="2">
        <v>54</v>
      </c>
      <c r="T2072" s="2">
        <v>12.42</v>
      </c>
      <c r="U2072" s="2">
        <v>66.42</v>
      </c>
      <c r="V2072" s="2">
        <f>10.6*R2072</f>
        <v>31.799999999999997</v>
      </c>
      <c r="W2072" s="5">
        <f t="shared" si="208"/>
        <v>0.41111111111111115</v>
      </c>
      <c r="Y2072" s="2" t="s">
        <v>3256</v>
      </c>
      <c r="Z2072" s="2" t="s">
        <v>46</v>
      </c>
      <c r="AA2072" s="2" t="s">
        <v>57</v>
      </c>
      <c r="AB2072" s="2" t="s">
        <v>58</v>
      </c>
      <c r="AE2072" s="2">
        <f t="shared" si="205"/>
        <v>0</v>
      </c>
      <c r="AF2072" s="2">
        <v>10.6</v>
      </c>
      <c r="AG2072" s="2">
        <v>18</v>
      </c>
      <c r="AI2072" s="2">
        <f t="shared" si="206"/>
        <v>0</v>
      </c>
      <c r="AJ2072" s="2">
        <f t="shared" si="207"/>
        <v>22.200000000000003</v>
      </c>
      <c r="AK2072" s="5">
        <f t="shared" si="204"/>
        <v>0.41111111111111115</v>
      </c>
    </row>
    <row r="2073" spans="1:37" x14ac:dyDescent="0.2">
      <c r="A2073" s="2">
        <v>2025</v>
      </c>
      <c r="B2073" s="2">
        <v>11</v>
      </c>
      <c r="C2073" s="2" t="s">
        <v>699</v>
      </c>
      <c r="D2073" s="2" t="s">
        <v>38</v>
      </c>
      <c r="E2073" s="2" t="s">
        <v>39</v>
      </c>
      <c r="F2073" s="2">
        <v>508574358</v>
      </c>
      <c r="G2073" s="2" t="s">
        <v>41</v>
      </c>
      <c r="H2073" s="2" t="s">
        <v>700</v>
      </c>
      <c r="I2073" s="2" t="s">
        <v>701</v>
      </c>
      <c r="J2073" s="2">
        <v>917295518</v>
      </c>
      <c r="K2073" s="2" t="s">
        <v>178</v>
      </c>
      <c r="L2073" s="2" t="s">
        <v>41</v>
      </c>
      <c r="O2073" s="2" t="s">
        <v>43</v>
      </c>
      <c r="P2073" s="2" t="s">
        <v>62</v>
      </c>
      <c r="Q2073" s="2" t="s">
        <v>63</v>
      </c>
      <c r="R2073" s="2">
        <v>200</v>
      </c>
      <c r="S2073" s="2">
        <v>26</v>
      </c>
      <c r="T2073" s="2">
        <v>5.98</v>
      </c>
      <c r="U2073" s="2">
        <v>31.98</v>
      </c>
      <c r="V2073" s="2">
        <f>0.082*R2073</f>
        <v>16.400000000000002</v>
      </c>
      <c r="W2073" s="5">
        <f t="shared" si="208"/>
        <v>0.36923076923076914</v>
      </c>
      <c r="Y2073" s="2" t="s">
        <v>3256</v>
      </c>
      <c r="Z2073" s="2" t="s">
        <v>46</v>
      </c>
      <c r="AA2073" s="2" t="s">
        <v>61</v>
      </c>
      <c r="AB2073" s="2" t="s">
        <v>58</v>
      </c>
      <c r="AE2073" s="2">
        <f t="shared" si="205"/>
        <v>0</v>
      </c>
      <c r="AF2073" s="2">
        <v>8.1999999999999993</v>
      </c>
      <c r="AG2073" s="2">
        <v>13</v>
      </c>
      <c r="AI2073" s="2">
        <f t="shared" si="206"/>
        <v>0</v>
      </c>
      <c r="AJ2073" s="2">
        <f t="shared" si="207"/>
        <v>9.5999999999999979</v>
      </c>
      <c r="AK2073" s="5">
        <f t="shared" si="204"/>
        <v>0.36923076923076914</v>
      </c>
    </row>
    <row r="2074" spans="1:37" x14ac:dyDescent="0.2">
      <c r="A2074" s="2">
        <v>2025</v>
      </c>
      <c r="B2074" s="2">
        <v>11</v>
      </c>
      <c r="C2074" s="2" t="s">
        <v>699</v>
      </c>
      <c r="D2074" s="2" t="s">
        <v>38</v>
      </c>
      <c r="E2074" s="2" t="s">
        <v>39</v>
      </c>
      <c r="F2074" s="2">
        <v>508574358</v>
      </c>
      <c r="G2074" s="2" t="s">
        <v>41</v>
      </c>
      <c r="H2074" s="2" t="s">
        <v>700</v>
      </c>
      <c r="I2074" s="2" t="s">
        <v>701</v>
      </c>
      <c r="J2074" s="2">
        <v>917295518</v>
      </c>
      <c r="K2074" s="2" t="s">
        <v>178</v>
      </c>
      <c r="L2074" s="2" t="s">
        <v>41</v>
      </c>
      <c r="O2074" s="2" t="s">
        <v>43</v>
      </c>
      <c r="P2074" s="2" t="s">
        <v>165</v>
      </c>
      <c r="Q2074" s="2" t="s">
        <v>166</v>
      </c>
      <c r="R2074" s="2">
        <v>1</v>
      </c>
      <c r="S2074" s="2">
        <v>14.5</v>
      </c>
      <c r="T2074" s="2">
        <v>3.335</v>
      </c>
      <c r="U2074" s="2">
        <v>17.835000000000001</v>
      </c>
      <c r="V2074" s="2">
        <f>7.9612*R2074</f>
        <v>7.9611999999999998</v>
      </c>
      <c r="W2074" s="5">
        <f t="shared" si="208"/>
        <v>0.45095172413793105</v>
      </c>
      <c r="Y2074" s="2" t="s">
        <v>3256</v>
      </c>
      <c r="Z2074" s="2" t="s">
        <v>46</v>
      </c>
      <c r="AA2074" s="2" t="s">
        <v>68</v>
      </c>
      <c r="AB2074" s="2" t="s">
        <v>58</v>
      </c>
      <c r="AE2074" s="2">
        <f t="shared" si="205"/>
        <v>0</v>
      </c>
      <c r="AF2074" s="2">
        <v>7.9611999999999998</v>
      </c>
      <c r="AG2074" s="2">
        <v>14.4</v>
      </c>
      <c r="AI2074" s="2">
        <f t="shared" si="206"/>
        <v>0</v>
      </c>
      <c r="AJ2074" s="2">
        <f t="shared" si="207"/>
        <v>6.5388000000000002</v>
      </c>
      <c r="AK2074" s="5">
        <f t="shared" si="204"/>
        <v>0.45095172413793105</v>
      </c>
    </row>
    <row r="2075" spans="1:37" x14ac:dyDescent="0.2">
      <c r="A2075" s="2">
        <v>2025</v>
      </c>
      <c r="B2075" s="2">
        <v>11</v>
      </c>
      <c r="C2075" s="2" t="s">
        <v>1187</v>
      </c>
      <c r="D2075" s="2" t="s">
        <v>38</v>
      </c>
      <c r="E2075" s="2" t="s">
        <v>39</v>
      </c>
      <c r="F2075" s="2">
        <v>502089075</v>
      </c>
      <c r="G2075" s="2" t="s">
        <v>41</v>
      </c>
      <c r="H2075" s="2" t="s">
        <v>1188</v>
      </c>
      <c r="I2075" s="2" t="s">
        <v>1189</v>
      </c>
      <c r="K2075" s="2" t="s">
        <v>465</v>
      </c>
      <c r="L2075" s="2" t="s">
        <v>41</v>
      </c>
      <c r="N2075" s="2" t="s">
        <v>1997</v>
      </c>
      <c r="O2075" s="2" t="s">
        <v>43</v>
      </c>
      <c r="P2075" s="2" t="s">
        <v>235</v>
      </c>
      <c r="Q2075" s="2" t="s">
        <v>236</v>
      </c>
      <c r="R2075" s="2">
        <v>2</v>
      </c>
      <c r="S2075" s="2">
        <v>26.4</v>
      </c>
      <c r="T2075" s="2">
        <v>6.0720000000000001</v>
      </c>
      <c r="U2075" s="2">
        <v>32.472000000000001</v>
      </c>
      <c r="V2075" s="2">
        <f>7.2217*R2075</f>
        <v>14.4434</v>
      </c>
      <c r="W2075" s="5">
        <f t="shared" si="208"/>
        <v>0.45290151515151511</v>
      </c>
      <c r="Y2075" s="2" t="s">
        <v>3256</v>
      </c>
      <c r="Z2075" s="2" t="s">
        <v>46</v>
      </c>
      <c r="AA2075" s="2" t="s">
        <v>57</v>
      </c>
      <c r="AB2075" s="2" t="s">
        <v>58</v>
      </c>
      <c r="AE2075" s="2">
        <f t="shared" si="205"/>
        <v>0</v>
      </c>
      <c r="AF2075" s="2">
        <v>7.2217000000000002</v>
      </c>
      <c r="AG2075" s="2">
        <v>14.4</v>
      </c>
      <c r="AI2075" s="2">
        <f t="shared" si="206"/>
        <v>0</v>
      </c>
      <c r="AJ2075" s="2">
        <f t="shared" si="207"/>
        <v>11.956599999999998</v>
      </c>
      <c r="AK2075" s="5">
        <f t="shared" si="204"/>
        <v>0.45290151515151511</v>
      </c>
    </row>
    <row r="2076" spans="1:37" x14ac:dyDescent="0.2">
      <c r="A2076" s="2">
        <v>2025</v>
      </c>
      <c r="B2076" s="2">
        <v>11</v>
      </c>
      <c r="C2076" s="2" t="s">
        <v>1187</v>
      </c>
      <c r="D2076" s="2" t="s">
        <v>38</v>
      </c>
      <c r="E2076" s="2" t="s">
        <v>39</v>
      </c>
      <c r="F2076" s="2">
        <v>502089075</v>
      </c>
      <c r="G2076" s="2" t="s">
        <v>41</v>
      </c>
      <c r="H2076" s="2" t="s">
        <v>1188</v>
      </c>
      <c r="I2076" s="2" t="s">
        <v>1189</v>
      </c>
      <c r="K2076" s="2" t="s">
        <v>465</v>
      </c>
      <c r="L2076" s="2" t="s">
        <v>41</v>
      </c>
      <c r="N2076" s="2" t="s">
        <v>1997</v>
      </c>
      <c r="O2076" s="2" t="s">
        <v>43</v>
      </c>
      <c r="P2076" s="2" t="s">
        <v>237</v>
      </c>
      <c r="Q2076" s="2" t="s">
        <v>238</v>
      </c>
      <c r="R2076" s="2">
        <v>2</v>
      </c>
      <c r="S2076" s="2">
        <v>32.4</v>
      </c>
      <c r="T2076" s="2">
        <v>7.452</v>
      </c>
      <c r="U2076" s="2">
        <v>39.851999999999997</v>
      </c>
      <c r="W2076" s="5">
        <f t="shared" si="208"/>
        <v>1</v>
      </c>
      <c r="Y2076" s="2" t="s">
        <v>3256</v>
      </c>
      <c r="Z2076" s="2" t="s">
        <v>46</v>
      </c>
      <c r="AA2076" s="2" t="s">
        <v>57</v>
      </c>
      <c r="AB2076" s="2" t="s">
        <v>58</v>
      </c>
      <c r="AE2076" s="2">
        <f t="shared" si="205"/>
        <v>0</v>
      </c>
      <c r="AI2076" s="2">
        <f t="shared" si="206"/>
        <v>0</v>
      </c>
      <c r="AJ2076" s="2">
        <f t="shared" si="207"/>
        <v>32.4</v>
      </c>
      <c r="AK2076" s="5">
        <f t="shared" si="204"/>
        <v>1</v>
      </c>
    </row>
    <row r="2077" spans="1:37" x14ac:dyDescent="0.2">
      <c r="A2077" s="2">
        <v>2025</v>
      </c>
      <c r="B2077" s="2">
        <v>11</v>
      </c>
      <c r="C2077" s="2" t="s">
        <v>1187</v>
      </c>
      <c r="D2077" s="2" t="s">
        <v>38</v>
      </c>
      <c r="E2077" s="2" t="s">
        <v>39</v>
      </c>
      <c r="F2077" s="2">
        <v>502089075</v>
      </c>
      <c r="G2077" s="2" t="s">
        <v>41</v>
      </c>
      <c r="H2077" s="2" t="s">
        <v>1188</v>
      </c>
      <c r="I2077" s="2" t="s">
        <v>1189</v>
      </c>
      <c r="K2077" s="2" t="s">
        <v>465</v>
      </c>
      <c r="L2077" s="2" t="s">
        <v>41</v>
      </c>
      <c r="N2077" s="2" t="s">
        <v>1997</v>
      </c>
      <c r="O2077" s="2" t="s">
        <v>43</v>
      </c>
      <c r="P2077" s="2" t="s">
        <v>239</v>
      </c>
      <c r="Q2077" s="2" t="s">
        <v>240</v>
      </c>
      <c r="R2077" s="2">
        <v>2</v>
      </c>
      <c r="S2077" s="2">
        <v>39.6</v>
      </c>
      <c r="T2077" s="2">
        <v>9.1080000000000005</v>
      </c>
      <c r="U2077" s="2">
        <v>48.707999999999998</v>
      </c>
      <c r="W2077" s="5">
        <f t="shared" si="208"/>
        <v>1</v>
      </c>
      <c r="Y2077" s="2" t="s">
        <v>3256</v>
      </c>
      <c r="Z2077" s="2" t="s">
        <v>46</v>
      </c>
      <c r="AA2077" s="2" t="s">
        <v>57</v>
      </c>
      <c r="AB2077" s="2" t="s">
        <v>58</v>
      </c>
      <c r="AE2077" s="2">
        <f t="shared" si="205"/>
        <v>0</v>
      </c>
      <c r="AI2077" s="2">
        <f t="shared" si="206"/>
        <v>0</v>
      </c>
      <c r="AJ2077" s="2">
        <f t="shared" si="207"/>
        <v>39.6</v>
      </c>
      <c r="AK2077" s="5">
        <f t="shared" si="204"/>
        <v>1</v>
      </c>
    </row>
    <row r="2078" spans="1:37" x14ac:dyDescent="0.2">
      <c r="A2078" s="2">
        <v>2025</v>
      </c>
      <c r="B2078" s="2">
        <v>11</v>
      </c>
      <c r="C2078" s="2" t="s">
        <v>1501</v>
      </c>
      <c r="O2078" s="2" t="s">
        <v>115</v>
      </c>
      <c r="P2078" s="2" t="s">
        <v>1998</v>
      </c>
      <c r="Q2078" s="2" t="s">
        <v>1999</v>
      </c>
      <c r="R2078" s="2">
        <v>1</v>
      </c>
      <c r="S2078" s="2">
        <v>110.63</v>
      </c>
      <c r="T2078" s="2">
        <v>25.444900000000001</v>
      </c>
      <c r="U2078" s="2">
        <v>136.07490000000001</v>
      </c>
      <c r="W2078" s="5">
        <f t="shared" si="208"/>
        <v>1</v>
      </c>
      <c r="AE2078" s="2">
        <f t="shared" si="205"/>
        <v>0</v>
      </c>
      <c r="AI2078" s="2">
        <f t="shared" si="206"/>
        <v>0</v>
      </c>
      <c r="AJ2078" s="2">
        <f t="shared" si="207"/>
        <v>110.63</v>
      </c>
      <c r="AK2078" s="5">
        <f t="shared" si="204"/>
        <v>1</v>
      </c>
    </row>
    <row r="2079" spans="1:37" x14ac:dyDescent="0.2">
      <c r="A2079" s="2">
        <v>2025</v>
      </c>
      <c r="B2079" s="2">
        <v>11</v>
      </c>
      <c r="C2079" s="2" t="s">
        <v>1502</v>
      </c>
      <c r="O2079" s="2" t="s">
        <v>115</v>
      </c>
      <c r="P2079" s="2" t="s">
        <v>1904</v>
      </c>
      <c r="Q2079" s="2" t="s">
        <v>1905</v>
      </c>
      <c r="R2079" s="2">
        <v>1</v>
      </c>
      <c r="S2079" s="2">
        <v>6680</v>
      </c>
      <c r="T2079" s="2">
        <v>1536.4</v>
      </c>
      <c r="U2079" s="2">
        <v>8216.4</v>
      </c>
      <c r="W2079" s="5">
        <f t="shared" si="208"/>
        <v>1</v>
      </c>
      <c r="AE2079" s="2">
        <f t="shared" si="205"/>
        <v>0</v>
      </c>
      <c r="AI2079" s="2">
        <f t="shared" si="206"/>
        <v>0</v>
      </c>
      <c r="AJ2079" s="2">
        <f t="shared" si="207"/>
        <v>6680</v>
      </c>
      <c r="AK2079" s="5">
        <f t="shared" si="204"/>
        <v>1</v>
      </c>
    </row>
    <row r="2080" spans="1:37" x14ac:dyDescent="0.2">
      <c r="A2080" s="2">
        <v>2025</v>
      </c>
      <c r="B2080" s="2">
        <v>11</v>
      </c>
      <c r="C2080" s="2" t="s">
        <v>1502</v>
      </c>
      <c r="O2080" s="2" t="s">
        <v>115</v>
      </c>
      <c r="P2080" s="2" t="s">
        <v>1594</v>
      </c>
      <c r="Q2080" s="2" t="s">
        <v>1595</v>
      </c>
      <c r="R2080" s="2">
        <v>1</v>
      </c>
      <c r="S2080" s="2">
        <v>8200</v>
      </c>
      <c r="T2080" s="2">
        <v>1886</v>
      </c>
      <c r="U2080" s="2">
        <v>10086</v>
      </c>
      <c r="W2080" s="5">
        <f t="shared" si="208"/>
        <v>1</v>
      </c>
      <c r="AE2080" s="2">
        <f t="shared" si="205"/>
        <v>0</v>
      </c>
      <c r="AI2080" s="2">
        <f t="shared" si="206"/>
        <v>0</v>
      </c>
      <c r="AJ2080" s="2">
        <f t="shared" si="207"/>
        <v>8200</v>
      </c>
      <c r="AK2080" s="5">
        <f t="shared" si="204"/>
        <v>1</v>
      </c>
    </row>
    <row r="2081" spans="1:37" x14ac:dyDescent="0.2">
      <c r="A2081" s="2">
        <v>2025</v>
      </c>
      <c r="B2081" s="2">
        <v>11</v>
      </c>
      <c r="C2081" s="2" t="s">
        <v>2000</v>
      </c>
      <c r="D2081" s="2" t="s">
        <v>38</v>
      </c>
      <c r="E2081" s="2" t="s">
        <v>474</v>
      </c>
      <c r="F2081" s="2">
        <v>505175118</v>
      </c>
      <c r="G2081" s="2" t="s">
        <v>110</v>
      </c>
      <c r="H2081" s="2" t="s">
        <v>111</v>
      </c>
      <c r="I2081" s="2" t="s">
        <v>2001</v>
      </c>
      <c r="J2081" s="2">
        <v>924064533</v>
      </c>
      <c r="K2081" s="2" t="s">
        <v>113</v>
      </c>
      <c r="L2081" s="2" t="s">
        <v>81</v>
      </c>
      <c r="N2081" s="2" t="s">
        <v>2002</v>
      </c>
      <c r="O2081" s="2" t="s">
        <v>43</v>
      </c>
      <c r="P2081" s="2" t="s">
        <v>675</v>
      </c>
      <c r="Q2081" s="2" t="s">
        <v>676</v>
      </c>
      <c r="R2081" s="2">
        <v>1</v>
      </c>
      <c r="S2081" s="2">
        <v>60</v>
      </c>
      <c r="T2081" s="2">
        <v>13.8</v>
      </c>
      <c r="U2081" s="2">
        <v>73.8</v>
      </c>
      <c r="V2081" s="2">
        <v>29.27</v>
      </c>
      <c r="W2081" s="5">
        <f t="shared" si="208"/>
        <v>0.51216666666666666</v>
      </c>
      <c r="Y2081" s="2" t="s">
        <v>3256</v>
      </c>
      <c r="Z2081" s="2" t="s">
        <v>46</v>
      </c>
      <c r="AA2081" s="2" t="s">
        <v>57</v>
      </c>
      <c r="AB2081" s="2" t="s">
        <v>58</v>
      </c>
      <c r="AE2081" s="2">
        <f t="shared" si="205"/>
        <v>0</v>
      </c>
      <c r="AF2081" s="2">
        <v>29.27</v>
      </c>
      <c r="AG2081" s="2">
        <v>60</v>
      </c>
      <c r="AI2081" s="2">
        <f t="shared" si="206"/>
        <v>0</v>
      </c>
      <c r="AJ2081" s="2">
        <f t="shared" si="207"/>
        <v>30.73</v>
      </c>
      <c r="AK2081" s="5">
        <f t="shared" si="204"/>
        <v>0.51216666666666666</v>
      </c>
    </row>
    <row r="2082" spans="1:37" x14ac:dyDescent="0.2">
      <c r="A2082" s="2">
        <v>2025</v>
      </c>
      <c r="B2082" s="2">
        <v>11</v>
      </c>
      <c r="C2082" s="2" t="s">
        <v>2000</v>
      </c>
      <c r="L2082" s="2" t="s">
        <v>81</v>
      </c>
      <c r="O2082" s="2" t="s">
        <v>1047</v>
      </c>
      <c r="P2082" s="2" t="s">
        <v>2003</v>
      </c>
      <c r="Q2082" s="2" t="s">
        <v>2004</v>
      </c>
      <c r="R2082" s="2">
        <v>4</v>
      </c>
      <c r="S2082" s="2">
        <v>1560</v>
      </c>
      <c r="T2082" s="2">
        <v>358.8</v>
      </c>
      <c r="U2082" s="2">
        <v>1918.8</v>
      </c>
      <c r="W2082" s="5">
        <f t="shared" si="208"/>
        <v>1</v>
      </c>
      <c r="Y2082" s="2" t="s">
        <v>3256</v>
      </c>
      <c r="Z2082" s="2" t="s">
        <v>2005</v>
      </c>
      <c r="AA2082" s="2" t="s">
        <v>2006</v>
      </c>
      <c r="AB2082" s="2" t="s">
        <v>1047</v>
      </c>
      <c r="AE2082" s="2">
        <f t="shared" si="205"/>
        <v>0</v>
      </c>
      <c r="AI2082" s="2">
        <f t="shared" si="206"/>
        <v>0</v>
      </c>
      <c r="AJ2082" s="2">
        <f t="shared" si="207"/>
        <v>1560</v>
      </c>
      <c r="AK2082" s="5">
        <f t="shared" si="204"/>
        <v>1</v>
      </c>
    </row>
    <row r="2083" spans="1:37" x14ac:dyDescent="0.2">
      <c r="A2083" s="2">
        <v>2025</v>
      </c>
      <c r="B2083" s="2">
        <v>11</v>
      </c>
      <c r="C2083" s="2" t="s">
        <v>968</v>
      </c>
      <c r="D2083" s="2" t="s">
        <v>38</v>
      </c>
      <c r="F2083" s="2">
        <v>502714913</v>
      </c>
      <c r="G2083" s="2" t="s">
        <v>40</v>
      </c>
      <c r="H2083" s="2" t="s">
        <v>373</v>
      </c>
      <c r="I2083" s="2" t="s">
        <v>2007</v>
      </c>
      <c r="K2083" s="2" t="s">
        <v>178</v>
      </c>
      <c r="L2083" s="2" t="s">
        <v>81</v>
      </c>
      <c r="O2083" s="2" t="s">
        <v>73</v>
      </c>
      <c r="P2083" s="2" t="s">
        <v>74</v>
      </c>
      <c r="Q2083" s="2" t="s">
        <v>75</v>
      </c>
      <c r="R2083" s="2">
        <v>2</v>
      </c>
      <c r="S2083" s="2">
        <v>450</v>
      </c>
      <c r="T2083" s="2">
        <v>103.5</v>
      </c>
      <c r="U2083" s="2">
        <v>553.5</v>
      </c>
      <c r="V2083" s="2">
        <v>234.90600000000001</v>
      </c>
      <c r="W2083" s="5">
        <f t="shared" si="208"/>
        <v>0.47798666666666667</v>
      </c>
      <c r="Y2083" s="2" t="s">
        <v>3256</v>
      </c>
      <c r="Z2083" s="2" t="s">
        <v>76</v>
      </c>
      <c r="AA2083" s="2" t="s">
        <v>77</v>
      </c>
      <c r="AB2083" s="2" t="s">
        <v>78</v>
      </c>
      <c r="AE2083" s="2">
        <f t="shared" si="205"/>
        <v>0</v>
      </c>
      <c r="AF2083" s="2">
        <v>117.453</v>
      </c>
      <c r="AG2083" s="2">
        <v>220</v>
      </c>
      <c r="AI2083" s="2">
        <f t="shared" si="206"/>
        <v>0</v>
      </c>
      <c r="AJ2083" s="2">
        <f t="shared" si="207"/>
        <v>215.09399999999999</v>
      </c>
      <c r="AK2083" s="5">
        <f t="shared" si="204"/>
        <v>0.47798666666666667</v>
      </c>
    </row>
    <row r="2084" spans="1:37" x14ac:dyDescent="0.2">
      <c r="A2084" s="2">
        <v>2025</v>
      </c>
      <c r="B2084" s="2">
        <v>11</v>
      </c>
      <c r="C2084" s="2" t="s">
        <v>968</v>
      </c>
      <c r="O2084" s="2" t="s">
        <v>94</v>
      </c>
      <c r="P2084" s="2" t="s">
        <v>95</v>
      </c>
      <c r="Q2084" s="2" t="s">
        <v>96</v>
      </c>
      <c r="R2084" s="2">
        <v>2</v>
      </c>
      <c r="S2084" s="2">
        <v>2.2799999999999998</v>
      </c>
      <c r="T2084" s="2">
        <v>0.52439999999999998</v>
      </c>
      <c r="U2084" s="2">
        <v>2.8043999999999998</v>
      </c>
      <c r="V2084" s="2">
        <v>2.2799999999999998</v>
      </c>
      <c r="W2084" s="5">
        <f t="shared" si="208"/>
        <v>0</v>
      </c>
      <c r="Y2084" s="2" t="s">
        <v>3256</v>
      </c>
      <c r="Z2084" s="2" t="s">
        <v>97</v>
      </c>
      <c r="AA2084" s="2" t="s">
        <v>77</v>
      </c>
      <c r="AB2084" s="2" t="s">
        <v>94</v>
      </c>
      <c r="AE2084" s="2">
        <f t="shared" si="205"/>
        <v>0</v>
      </c>
      <c r="AI2084" s="2">
        <f t="shared" si="206"/>
        <v>0</v>
      </c>
      <c r="AJ2084" s="2">
        <f t="shared" si="207"/>
        <v>0</v>
      </c>
      <c r="AK2084" s="5">
        <f t="shared" si="204"/>
        <v>0</v>
      </c>
    </row>
    <row r="2085" spans="1:37" x14ac:dyDescent="0.2">
      <c r="A2085" s="2">
        <v>2025</v>
      </c>
      <c r="B2085" s="2">
        <v>11</v>
      </c>
      <c r="C2085" s="2" t="s">
        <v>320</v>
      </c>
      <c r="D2085" s="2" t="s">
        <v>38</v>
      </c>
      <c r="E2085" s="2" t="s">
        <v>39</v>
      </c>
      <c r="F2085" s="2">
        <v>500883262</v>
      </c>
      <c r="G2085" s="2" t="s">
        <v>40</v>
      </c>
      <c r="H2085" s="2" t="s">
        <v>100</v>
      </c>
      <c r="I2085" s="2" t="s">
        <v>321</v>
      </c>
      <c r="K2085" s="2" t="s">
        <v>100</v>
      </c>
      <c r="L2085" s="2" t="s">
        <v>81</v>
      </c>
      <c r="N2085" s="2" t="s">
        <v>2008</v>
      </c>
      <c r="O2085" s="2" t="s">
        <v>43</v>
      </c>
      <c r="P2085" s="2" t="s">
        <v>977</v>
      </c>
      <c r="Q2085" s="2" t="s">
        <v>978</v>
      </c>
      <c r="R2085" s="2">
        <v>12</v>
      </c>
      <c r="S2085" s="2">
        <v>324</v>
      </c>
      <c r="T2085" s="2">
        <v>74.52000000000001</v>
      </c>
      <c r="U2085" s="2">
        <v>398.52</v>
      </c>
      <c r="W2085" s="5">
        <f t="shared" si="208"/>
        <v>1</v>
      </c>
      <c r="Y2085" s="2" t="s">
        <v>3256</v>
      </c>
      <c r="Z2085" s="2" t="s">
        <v>46</v>
      </c>
      <c r="AA2085" s="2" t="s">
        <v>61</v>
      </c>
      <c r="AB2085" s="2" t="s">
        <v>58</v>
      </c>
      <c r="AE2085" s="2">
        <f t="shared" si="205"/>
        <v>0</v>
      </c>
      <c r="AI2085" s="2">
        <f t="shared" si="206"/>
        <v>0</v>
      </c>
      <c r="AJ2085" s="2">
        <f t="shared" si="207"/>
        <v>324</v>
      </c>
      <c r="AK2085" s="5">
        <f t="shared" si="204"/>
        <v>1</v>
      </c>
    </row>
    <row r="2086" spans="1:37" x14ac:dyDescent="0.2">
      <c r="A2086" s="2">
        <v>2025</v>
      </c>
      <c r="B2086" s="2">
        <v>11</v>
      </c>
      <c r="C2086" s="2" t="s">
        <v>320</v>
      </c>
      <c r="D2086" s="2" t="s">
        <v>38</v>
      </c>
      <c r="E2086" s="2" t="s">
        <v>39</v>
      </c>
      <c r="F2086" s="2">
        <v>500883262</v>
      </c>
      <c r="G2086" s="2" t="s">
        <v>40</v>
      </c>
      <c r="H2086" s="2" t="s">
        <v>100</v>
      </c>
      <c r="I2086" s="2" t="s">
        <v>321</v>
      </c>
      <c r="K2086" s="2" t="s">
        <v>100</v>
      </c>
      <c r="L2086" s="2" t="s">
        <v>81</v>
      </c>
      <c r="N2086" s="2" t="s">
        <v>2008</v>
      </c>
      <c r="O2086" s="2" t="s">
        <v>43</v>
      </c>
      <c r="P2086" s="2" t="s">
        <v>979</v>
      </c>
      <c r="Q2086" s="2" t="s">
        <v>980</v>
      </c>
      <c r="R2086" s="2">
        <v>10</v>
      </c>
      <c r="S2086" s="2">
        <v>270</v>
      </c>
      <c r="T2086" s="2">
        <v>62.1</v>
      </c>
      <c r="U2086" s="2">
        <v>332.1</v>
      </c>
      <c r="W2086" s="5">
        <f t="shared" si="208"/>
        <v>1</v>
      </c>
      <c r="Y2086" s="2" t="s">
        <v>3256</v>
      </c>
      <c r="Z2086" s="2" t="s">
        <v>46</v>
      </c>
      <c r="AA2086" s="2" t="s">
        <v>61</v>
      </c>
      <c r="AB2086" s="2" t="s">
        <v>58</v>
      </c>
      <c r="AE2086" s="2">
        <f t="shared" si="205"/>
        <v>0</v>
      </c>
      <c r="AI2086" s="2">
        <f t="shared" si="206"/>
        <v>0</v>
      </c>
      <c r="AJ2086" s="2">
        <f t="shared" si="207"/>
        <v>270</v>
      </c>
      <c r="AK2086" s="5">
        <f t="shared" si="204"/>
        <v>1</v>
      </c>
    </row>
    <row r="2087" spans="1:37" x14ac:dyDescent="0.2">
      <c r="A2087" s="2">
        <v>2025</v>
      </c>
      <c r="B2087" s="2">
        <v>11</v>
      </c>
      <c r="C2087" s="2" t="s">
        <v>320</v>
      </c>
      <c r="D2087" s="2" t="s">
        <v>38</v>
      </c>
      <c r="E2087" s="2" t="s">
        <v>39</v>
      </c>
      <c r="F2087" s="2">
        <v>500883262</v>
      </c>
      <c r="G2087" s="2" t="s">
        <v>40</v>
      </c>
      <c r="H2087" s="2" t="s">
        <v>100</v>
      </c>
      <c r="I2087" s="2" t="s">
        <v>321</v>
      </c>
      <c r="K2087" s="2" t="s">
        <v>100</v>
      </c>
      <c r="L2087" s="2" t="s">
        <v>81</v>
      </c>
      <c r="N2087" s="2" t="s">
        <v>2009</v>
      </c>
      <c r="O2087" s="2" t="s">
        <v>73</v>
      </c>
      <c r="P2087" s="2" t="s">
        <v>2010</v>
      </c>
      <c r="Q2087" s="2" t="s">
        <v>1428</v>
      </c>
      <c r="R2087" s="2">
        <v>1</v>
      </c>
      <c r="S2087" s="2">
        <v>235</v>
      </c>
      <c r="T2087" s="2">
        <v>54.05</v>
      </c>
      <c r="U2087" s="2">
        <v>289.05</v>
      </c>
      <c r="W2087" s="5">
        <f t="shared" si="208"/>
        <v>1</v>
      </c>
      <c r="Y2087" s="2" t="s">
        <v>3256</v>
      </c>
      <c r="Z2087" s="2" t="s">
        <v>76</v>
      </c>
      <c r="AA2087" s="2" t="s">
        <v>77</v>
      </c>
      <c r="AB2087" s="2" t="s">
        <v>78</v>
      </c>
      <c r="AE2087" s="2">
        <f t="shared" si="205"/>
        <v>0</v>
      </c>
      <c r="AI2087" s="2">
        <f t="shared" si="206"/>
        <v>0</v>
      </c>
      <c r="AJ2087" s="2">
        <f t="shared" si="207"/>
        <v>235</v>
      </c>
      <c r="AK2087" s="5">
        <f t="shared" si="204"/>
        <v>1</v>
      </c>
    </row>
    <row r="2088" spans="1:37" x14ac:dyDescent="0.2">
      <c r="A2088" s="2">
        <v>2025</v>
      </c>
      <c r="B2088" s="2">
        <v>11</v>
      </c>
      <c r="C2088" s="2" t="s">
        <v>320</v>
      </c>
      <c r="D2088" s="2" t="s">
        <v>38</v>
      </c>
      <c r="E2088" s="2" t="s">
        <v>39</v>
      </c>
      <c r="F2088" s="2">
        <v>500883262</v>
      </c>
      <c r="G2088" s="2" t="s">
        <v>40</v>
      </c>
      <c r="H2088" s="2" t="s">
        <v>100</v>
      </c>
      <c r="I2088" s="2" t="s">
        <v>321</v>
      </c>
      <c r="K2088" s="2" t="s">
        <v>100</v>
      </c>
      <c r="L2088" s="2" t="s">
        <v>81</v>
      </c>
      <c r="N2088" s="2" t="s">
        <v>2009</v>
      </c>
      <c r="O2088" s="2" t="s">
        <v>94</v>
      </c>
      <c r="P2088" s="2" t="s">
        <v>95</v>
      </c>
      <c r="Q2088" s="2" t="s">
        <v>96</v>
      </c>
      <c r="R2088" s="2">
        <v>1</v>
      </c>
      <c r="S2088" s="2">
        <v>1.1399999999999999</v>
      </c>
      <c r="T2088" s="2">
        <v>0.26219999999999999</v>
      </c>
      <c r="U2088" s="2">
        <v>1.4021999999999999</v>
      </c>
      <c r="V2088" s="2">
        <v>1.1399999999999999</v>
      </c>
      <c r="W2088" s="5">
        <f t="shared" si="208"/>
        <v>0</v>
      </c>
      <c r="Y2088" s="2" t="s">
        <v>3256</v>
      </c>
      <c r="Z2088" s="2" t="s">
        <v>97</v>
      </c>
      <c r="AA2088" s="2" t="s">
        <v>77</v>
      </c>
      <c r="AB2088" s="2" t="s">
        <v>94</v>
      </c>
      <c r="AE2088" s="2">
        <f t="shared" si="205"/>
        <v>0</v>
      </c>
      <c r="AI2088" s="2">
        <f t="shared" si="206"/>
        <v>0</v>
      </c>
      <c r="AJ2088" s="2">
        <f t="shared" si="207"/>
        <v>0</v>
      </c>
      <c r="AK2088" s="5">
        <f t="shared" si="204"/>
        <v>0</v>
      </c>
    </row>
    <row r="2089" spans="1:37" x14ac:dyDescent="0.2">
      <c r="A2089" s="2">
        <v>2025</v>
      </c>
      <c r="B2089" s="2">
        <v>11</v>
      </c>
      <c r="C2089" s="2" t="s">
        <v>1198</v>
      </c>
      <c r="D2089" s="2" t="s">
        <v>38</v>
      </c>
      <c r="E2089" s="2" t="s">
        <v>39</v>
      </c>
      <c r="F2089" s="2">
        <v>515912336</v>
      </c>
      <c r="G2089" s="2" t="s">
        <v>41</v>
      </c>
      <c r="H2089" s="2" t="s">
        <v>568</v>
      </c>
      <c r="I2089" s="2" t="s">
        <v>1199</v>
      </c>
      <c r="J2089" s="2">
        <v>965705708</v>
      </c>
      <c r="K2089" s="2" t="s">
        <v>422</v>
      </c>
      <c r="L2089" s="2" t="s">
        <v>40</v>
      </c>
      <c r="N2089" s="2" t="s">
        <v>2011</v>
      </c>
      <c r="O2089" s="2" t="s">
        <v>40</v>
      </c>
      <c r="P2089" s="2" t="s">
        <v>364</v>
      </c>
      <c r="Q2089" s="2" t="s">
        <v>365</v>
      </c>
      <c r="R2089" s="2">
        <v>1</v>
      </c>
      <c r="S2089" s="2">
        <v>29.79</v>
      </c>
      <c r="T2089" s="2">
        <v>6.8517000000000001</v>
      </c>
      <c r="U2089" s="2">
        <v>36.6417</v>
      </c>
      <c r="W2089" s="5">
        <f t="shared" si="208"/>
        <v>1</v>
      </c>
      <c r="Y2089" s="2" t="s">
        <v>120</v>
      </c>
      <c r="Z2089" s="2" t="s">
        <v>366</v>
      </c>
      <c r="AE2089" s="2">
        <f t="shared" si="205"/>
        <v>0</v>
      </c>
      <c r="AI2089" s="2">
        <f t="shared" si="206"/>
        <v>0</v>
      </c>
      <c r="AJ2089" s="2">
        <f t="shared" si="207"/>
        <v>29.79</v>
      </c>
      <c r="AK2089" s="5">
        <f t="shared" si="204"/>
        <v>1</v>
      </c>
    </row>
    <row r="2090" spans="1:37" x14ac:dyDescent="0.2">
      <c r="A2090" s="2">
        <v>2025</v>
      </c>
      <c r="B2090" s="2">
        <v>11</v>
      </c>
      <c r="C2090" s="2" t="s">
        <v>333</v>
      </c>
      <c r="D2090" s="2" t="s">
        <v>109</v>
      </c>
      <c r="E2090" s="2" t="s">
        <v>39</v>
      </c>
      <c r="F2090" s="2">
        <v>513493557</v>
      </c>
      <c r="G2090" s="2" t="s">
        <v>41</v>
      </c>
      <c r="H2090" s="2" t="s">
        <v>280</v>
      </c>
      <c r="I2090" s="2" t="s">
        <v>334</v>
      </c>
      <c r="K2090" s="2" t="s">
        <v>178</v>
      </c>
      <c r="L2090" s="2" t="s">
        <v>41</v>
      </c>
      <c r="O2090" s="2" t="s">
        <v>43</v>
      </c>
      <c r="P2090" s="2" t="s">
        <v>597</v>
      </c>
      <c r="Q2090" s="2" t="s">
        <v>598</v>
      </c>
      <c r="R2090" s="2">
        <v>1</v>
      </c>
      <c r="S2090" s="2">
        <v>30</v>
      </c>
      <c r="T2090" s="2">
        <v>6.9</v>
      </c>
      <c r="U2090" s="2">
        <v>36.9</v>
      </c>
      <c r="W2090" s="5">
        <f t="shared" si="208"/>
        <v>1</v>
      </c>
      <c r="Y2090" s="2" t="s">
        <v>3256</v>
      </c>
      <c r="Z2090" s="2" t="s">
        <v>46</v>
      </c>
      <c r="AA2090" s="2" t="s">
        <v>47</v>
      </c>
      <c r="AB2090" s="2" t="s">
        <v>48</v>
      </c>
      <c r="AE2090" s="2">
        <f t="shared" si="205"/>
        <v>0</v>
      </c>
      <c r="AI2090" s="2">
        <f t="shared" si="206"/>
        <v>0</v>
      </c>
      <c r="AJ2090" s="2">
        <f t="shared" si="207"/>
        <v>30</v>
      </c>
      <c r="AK2090" s="5">
        <f t="shared" si="204"/>
        <v>1</v>
      </c>
    </row>
    <row r="2091" spans="1:37" x14ac:dyDescent="0.2">
      <c r="A2091" s="2">
        <v>2025</v>
      </c>
      <c r="B2091" s="2">
        <v>11</v>
      </c>
      <c r="C2091" s="2" t="s">
        <v>2012</v>
      </c>
      <c r="L2091" s="2" t="s">
        <v>40</v>
      </c>
      <c r="O2091" s="2" t="s">
        <v>188</v>
      </c>
      <c r="P2091" s="2" t="s">
        <v>189</v>
      </c>
      <c r="Q2091" s="2" t="s">
        <v>190</v>
      </c>
      <c r="R2091" s="2">
        <v>4</v>
      </c>
      <c r="S2091" s="2">
        <v>881</v>
      </c>
      <c r="T2091" s="2">
        <v>202.63</v>
      </c>
      <c r="U2091" s="2">
        <v>1083.6300000000001</v>
      </c>
      <c r="W2091" s="5">
        <f t="shared" si="208"/>
        <v>1</v>
      </c>
      <c r="Y2091" s="2" t="s">
        <v>118</v>
      </c>
      <c r="Z2091" s="2" t="s">
        <v>191</v>
      </c>
      <c r="AE2091" s="2">
        <f t="shared" si="205"/>
        <v>0</v>
      </c>
      <c r="AI2091" s="2">
        <f t="shared" si="206"/>
        <v>0</v>
      </c>
      <c r="AJ2091" s="2">
        <f t="shared" si="207"/>
        <v>881</v>
      </c>
      <c r="AK2091" s="5">
        <f t="shared" si="204"/>
        <v>1</v>
      </c>
    </row>
    <row r="2092" spans="1:37" x14ac:dyDescent="0.2">
      <c r="A2092" s="2">
        <v>2025</v>
      </c>
      <c r="B2092" s="2">
        <v>11</v>
      </c>
      <c r="C2092" s="2" t="s">
        <v>2012</v>
      </c>
      <c r="L2092" s="2" t="s">
        <v>40</v>
      </c>
      <c r="O2092" s="2" t="s">
        <v>188</v>
      </c>
      <c r="P2092" s="2" t="s">
        <v>192</v>
      </c>
      <c r="Q2092" s="2" t="s">
        <v>191</v>
      </c>
      <c r="R2092" s="2">
        <v>22</v>
      </c>
      <c r="S2092" s="2">
        <v>1298</v>
      </c>
      <c r="T2092" s="2">
        <v>298.54000000000002</v>
      </c>
      <c r="U2092" s="2">
        <v>1596.54</v>
      </c>
      <c r="V2092" s="2">
        <f>S2092*50%</f>
        <v>649</v>
      </c>
      <c r="W2092" s="5">
        <f t="shared" si="208"/>
        <v>0.5</v>
      </c>
      <c r="Y2092" s="2" t="s">
        <v>118</v>
      </c>
      <c r="Z2092" s="2" t="s">
        <v>191</v>
      </c>
      <c r="AE2092" s="2">
        <f t="shared" si="205"/>
        <v>0</v>
      </c>
      <c r="AI2092" s="2">
        <f t="shared" si="206"/>
        <v>0</v>
      </c>
      <c r="AJ2092" s="2">
        <f t="shared" si="207"/>
        <v>649</v>
      </c>
      <c r="AK2092" s="5">
        <f t="shared" si="204"/>
        <v>0.5</v>
      </c>
    </row>
    <row r="2093" spans="1:37" x14ac:dyDescent="0.2">
      <c r="A2093" s="2">
        <v>2025</v>
      </c>
      <c r="B2093" s="2">
        <v>11</v>
      </c>
      <c r="C2093" s="2" t="s">
        <v>750</v>
      </c>
      <c r="D2093" s="2" t="s">
        <v>109</v>
      </c>
      <c r="E2093" s="2" t="s">
        <v>39</v>
      </c>
      <c r="F2093" s="2">
        <v>509181163</v>
      </c>
      <c r="G2093" s="2" t="s">
        <v>40</v>
      </c>
      <c r="H2093" s="2" t="s">
        <v>751</v>
      </c>
      <c r="I2093" s="2" t="s">
        <v>752</v>
      </c>
      <c r="J2093" s="2">
        <v>962372760</v>
      </c>
      <c r="K2093" s="2" t="s">
        <v>202</v>
      </c>
      <c r="O2093" s="2" t="s">
        <v>115</v>
      </c>
      <c r="P2093" s="2" t="s">
        <v>814</v>
      </c>
      <c r="Q2093" s="2" t="s">
        <v>815</v>
      </c>
      <c r="R2093" s="2">
        <v>1</v>
      </c>
      <c r="S2093" s="2">
        <v>83.79</v>
      </c>
      <c r="T2093" s="2">
        <v>19.271699999999999</v>
      </c>
      <c r="U2093" s="2">
        <v>103.0617</v>
      </c>
      <c r="W2093" s="5">
        <f t="shared" si="208"/>
        <v>1</v>
      </c>
      <c r="AE2093" s="2">
        <f t="shared" si="205"/>
        <v>0</v>
      </c>
      <c r="AI2093" s="2">
        <f t="shared" si="206"/>
        <v>0</v>
      </c>
      <c r="AJ2093" s="2">
        <f t="shared" si="207"/>
        <v>83.79</v>
      </c>
      <c r="AK2093" s="5">
        <f t="shared" si="204"/>
        <v>1</v>
      </c>
    </row>
    <row r="2094" spans="1:37" x14ac:dyDescent="0.2">
      <c r="A2094" s="2">
        <v>2025</v>
      </c>
      <c r="B2094" s="2">
        <v>11</v>
      </c>
      <c r="C2094" s="2" t="s">
        <v>750</v>
      </c>
      <c r="D2094" s="2" t="s">
        <v>109</v>
      </c>
      <c r="E2094" s="2" t="s">
        <v>39</v>
      </c>
      <c r="F2094" s="2">
        <v>509181163</v>
      </c>
      <c r="G2094" s="2" t="s">
        <v>40</v>
      </c>
      <c r="H2094" s="2" t="s">
        <v>751</v>
      </c>
      <c r="I2094" s="2" t="s">
        <v>752</v>
      </c>
      <c r="J2094" s="2">
        <v>962372760</v>
      </c>
      <c r="K2094" s="2" t="s">
        <v>202</v>
      </c>
      <c r="O2094" s="2" t="s">
        <v>73</v>
      </c>
      <c r="P2094" s="2" t="s">
        <v>326</v>
      </c>
      <c r="Q2094" s="2" t="s">
        <v>80</v>
      </c>
      <c r="R2094" s="2">
        <v>1</v>
      </c>
      <c r="S2094" s="2">
        <v>210</v>
      </c>
      <c r="T2094" s="2">
        <v>48.3</v>
      </c>
      <c r="U2094" s="2">
        <v>258.3</v>
      </c>
      <c r="V2094" s="2">
        <f>110.68*R2094</f>
        <v>110.68</v>
      </c>
      <c r="W2094" s="5">
        <f t="shared" si="208"/>
        <v>0.4729523809523809</v>
      </c>
      <c r="Y2094" s="2" t="s">
        <v>3256</v>
      </c>
      <c r="Z2094" s="2" t="s">
        <v>76</v>
      </c>
      <c r="AA2094" s="2" t="s">
        <v>77</v>
      </c>
      <c r="AB2094" s="2" t="s">
        <v>78</v>
      </c>
      <c r="AE2094" s="2">
        <f t="shared" si="205"/>
        <v>0</v>
      </c>
      <c r="AF2094" s="2">
        <v>110.68</v>
      </c>
      <c r="AG2094" s="2">
        <v>210</v>
      </c>
      <c r="AI2094" s="2">
        <f t="shared" si="206"/>
        <v>0</v>
      </c>
      <c r="AJ2094" s="2">
        <f t="shared" si="207"/>
        <v>99.32</v>
      </c>
      <c r="AK2094" s="5">
        <f t="shared" si="204"/>
        <v>0.4729523809523809</v>
      </c>
    </row>
    <row r="2095" spans="1:37" x14ac:dyDescent="0.2">
      <c r="A2095" s="2">
        <v>2025</v>
      </c>
      <c r="B2095" s="2">
        <v>11</v>
      </c>
      <c r="C2095" s="2" t="s">
        <v>750</v>
      </c>
      <c r="D2095" s="2" t="s">
        <v>109</v>
      </c>
      <c r="E2095" s="2" t="s">
        <v>39</v>
      </c>
      <c r="F2095" s="2">
        <v>509181163</v>
      </c>
      <c r="G2095" s="2" t="s">
        <v>40</v>
      </c>
      <c r="H2095" s="2" t="s">
        <v>751</v>
      </c>
      <c r="I2095" s="2" t="s">
        <v>752</v>
      </c>
      <c r="J2095" s="2">
        <v>962372760</v>
      </c>
      <c r="K2095" s="2" t="s">
        <v>202</v>
      </c>
      <c r="L2095" s="2" t="s">
        <v>40</v>
      </c>
      <c r="O2095" s="2" t="s">
        <v>188</v>
      </c>
      <c r="P2095" s="2" t="s">
        <v>189</v>
      </c>
      <c r="Q2095" s="2" t="s">
        <v>190</v>
      </c>
      <c r="R2095" s="2">
        <v>1</v>
      </c>
      <c r="S2095" s="2">
        <v>81</v>
      </c>
      <c r="T2095" s="2">
        <v>18.63</v>
      </c>
      <c r="U2095" s="2">
        <v>99.63</v>
      </c>
      <c r="W2095" s="5">
        <f t="shared" si="208"/>
        <v>1</v>
      </c>
      <c r="Y2095" s="2" t="s">
        <v>118</v>
      </c>
      <c r="Z2095" s="2" t="s">
        <v>191</v>
      </c>
      <c r="AE2095" s="2">
        <f t="shared" si="205"/>
        <v>0</v>
      </c>
      <c r="AI2095" s="2">
        <f t="shared" si="206"/>
        <v>0</v>
      </c>
      <c r="AJ2095" s="2">
        <f t="shared" si="207"/>
        <v>81</v>
      </c>
      <c r="AK2095" s="5">
        <f t="shared" si="204"/>
        <v>1</v>
      </c>
    </row>
    <row r="2096" spans="1:37" x14ac:dyDescent="0.2">
      <c r="A2096" s="2">
        <v>2025</v>
      </c>
      <c r="B2096" s="2">
        <v>11</v>
      </c>
      <c r="C2096" s="2" t="s">
        <v>750</v>
      </c>
      <c r="D2096" s="2" t="s">
        <v>109</v>
      </c>
      <c r="E2096" s="2" t="s">
        <v>39</v>
      </c>
      <c r="F2096" s="2">
        <v>509181163</v>
      </c>
      <c r="G2096" s="2" t="s">
        <v>40</v>
      </c>
      <c r="H2096" s="2" t="s">
        <v>751</v>
      </c>
      <c r="I2096" s="2" t="s">
        <v>752</v>
      </c>
      <c r="J2096" s="2">
        <v>962372760</v>
      </c>
      <c r="K2096" s="2" t="s">
        <v>202</v>
      </c>
      <c r="L2096" s="2" t="s">
        <v>40</v>
      </c>
      <c r="O2096" s="2" t="s">
        <v>188</v>
      </c>
      <c r="P2096" s="2" t="s">
        <v>192</v>
      </c>
      <c r="Q2096" s="2" t="s">
        <v>191</v>
      </c>
      <c r="R2096" s="2">
        <v>1</v>
      </c>
      <c r="S2096" s="2">
        <v>50</v>
      </c>
      <c r="T2096" s="2">
        <v>11.5</v>
      </c>
      <c r="U2096" s="2">
        <v>61.5</v>
      </c>
      <c r="V2096" s="2">
        <f>S2096*50%</f>
        <v>25</v>
      </c>
      <c r="W2096" s="5">
        <f t="shared" si="208"/>
        <v>0.5</v>
      </c>
      <c r="Y2096" s="2" t="s">
        <v>118</v>
      </c>
      <c r="Z2096" s="2" t="s">
        <v>191</v>
      </c>
      <c r="AE2096" s="2">
        <f t="shared" si="205"/>
        <v>0</v>
      </c>
      <c r="AI2096" s="2">
        <f t="shared" si="206"/>
        <v>0</v>
      </c>
      <c r="AJ2096" s="2">
        <f t="shared" si="207"/>
        <v>25</v>
      </c>
      <c r="AK2096" s="5">
        <f t="shared" si="204"/>
        <v>0.5</v>
      </c>
    </row>
    <row r="2097" spans="1:37" x14ac:dyDescent="0.2">
      <c r="A2097" s="2">
        <v>2025</v>
      </c>
      <c r="B2097" s="2">
        <v>11</v>
      </c>
      <c r="C2097" s="2" t="s">
        <v>750</v>
      </c>
      <c r="D2097" s="2" t="s">
        <v>109</v>
      </c>
      <c r="E2097" s="2" t="s">
        <v>39</v>
      </c>
      <c r="F2097" s="2">
        <v>509181163</v>
      </c>
      <c r="G2097" s="2" t="s">
        <v>40</v>
      </c>
      <c r="H2097" s="2" t="s">
        <v>751</v>
      </c>
      <c r="I2097" s="2" t="s">
        <v>752</v>
      </c>
      <c r="J2097" s="2">
        <v>962372760</v>
      </c>
      <c r="K2097" s="2" t="s">
        <v>202</v>
      </c>
      <c r="O2097" s="2" t="s">
        <v>94</v>
      </c>
      <c r="P2097" s="2" t="s">
        <v>95</v>
      </c>
      <c r="Q2097" s="2" t="s">
        <v>96</v>
      </c>
      <c r="R2097" s="2">
        <v>1</v>
      </c>
      <c r="S2097" s="2">
        <v>1.1399999999999999</v>
      </c>
      <c r="T2097" s="2">
        <v>0.26219999999999999</v>
      </c>
      <c r="U2097" s="2">
        <v>1.4021999999999999</v>
      </c>
      <c r="V2097" s="2">
        <v>1.1399999999999999</v>
      </c>
      <c r="W2097" s="5">
        <f t="shared" si="208"/>
        <v>0</v>
      </c>
      <c r="Y2097" s="2" t="s">
        <v>3256</v>
      </c>
      <c r="Z2097" s="2" t="s">
        <v>97</v>
      </c>
      <c r="AA2097" s="2" t="s">
        <v>77</v>
      </c>
      <c r="AB2097" s="2" t="s">
        <v>94</v>
      </c>
      <c r="AE2097" s="2">
        <f t="shared" si="205"/>
        <v>0</v>
      </c>
      <c r="AI2097" s="2">
        <f t="shared" si="206"/>
        <v>0</v>
      </c>
      <c r="AJ2097" s="2">
        <f t="shared" si="207"/>
        <v>0</v>
      </c>
      <c r="AK2097" s="5">
        <f t="shared" si="204"/>
        <v>0</v>
      </c>
    </row>
    <row r="2098" spans="1:37" x14ac:dyDescent="0.2">
      <c r="A2098" s="2">
        <v>2025</v>
      </c>
      <c r="B2098" s="2">
        <v>11</v>
      </c>
      <c r="C2098" s="2" t="s">
        <v>2013</v>
      </c>
      <c r="L2098" s="2" t="s">
        <v>40</v>
      </c>
      <c r="O2098" s="2" t="s">
        <v>188</v>
      </c>
      <c r="P2098" s="2" t="s">
        <v>189</v>
      </c>
      <c r="Q2098" s="2" t="s">
        <v>190</v>
      </c>
      <c r="R2098" s="2">
        <v>1</v>
      </c>
      <c r="S2098" s="2">
        <v>50</v>
      </c>
      <c r="T2098" s="2">
        <v>11.5</v>
      </c>
      <c r="U2098" s="2">
        <v>61.5</v>
      </c>
      <c r="W2098" s="5">
        <f t="shared" si="208"/>
        <v>1</v>
      </c>
      <c r="Y2098" s="2" t="s">
        <v>118</v>
      </c>
      <c r="Z2098" s="2" t="s">
        <v>191</v>
      </c>
      <c r="AE2098" s="2">
        <f t="shared" si="205"/>
        <v>0</v>
      </c>
      <c r="AI2098" s="2">
        <f t="shared" si="206"/>
        <v>0</v>
      </c>
      <c r="AJ2098" s="2">
        <f t="shared" si="207"/>
        <v>50</v>
      </c>
      <c r="AK2098" s="5">
        <f t="shared" si="204"/>
        <v>1</v>
      </c>
    </row>
    <row r="2099" spans="1:37" x14ac:dyDescent="0.2">
      <c r="A2099" s="2">
        <v>2025</v>
      </c>
      <c r="B2099" s="2">
        <v>11</v>
      </c>
      <c r="C2099" s="2" t="s">
        <v>2013</v>
      </c>
      <c r="L2099" s="2" t="s">
        <v>40</v>
      </c>
      <c r="O2099" s="2" t="s">
        <v>188</v>
      </c>
      <c r="P2099" s="2" t="s">
        <v>192</v>
      </c>
      <c r="Q2099" s="2" t="s">
        <v>191</v>
      </c>
      <c r="R2099" s="2">
        <v>1</v>
      </c>
      <c r="S2099" s="2">
        <v>50</v>
      </c>
      <c r="T2099" s="2">
        <v>11.5</v>
      </c>
      <c r="U2099" s="2">
        <v>61.5</v>
      </c>
      <c r="V2099" s="2">
        <f>S2099*50%</f>
        <v>25</v>
      </c>
      <c r="W2099" s="5">
        <f t="shared" si="208"/>
        <v>0.5</v>
      </c>
      <c r="Y2099" s="2" t="s">
        <v>118</v>
      </c>
      <c r="Z2099" s="2" t="s">
        <v>191</v>
      </c>
      <c r="AE2099" s="2">
        <f t="shared" si="205"/>
        <v>0</v>
      </c>
      <c r="AI2099" s="2">
        <f t="shared" si="206"/>
        <v>0</v>
      </c>
      <c r="AJ2099" s="2">
        <f t="shared" si="207"/>
        <v>25</v>
      </c>
      <c r="AK2099" s="5">
        <f t="shared" ref="AK2099:AK2162" si="209">(S2099-V2099)/S2099</f>
        <v>0.5</v>
      </c>
    </row>
    <row r="2100" spans="1:37" x14ac:dyDescent="0.2">
      <c r="A2100" s="2">
        <v>2025</v>
      </c>
      <c r="B2100" s="2">
        <v>11</v>
      </c>
      <c r="C2100" s="2" t="s">
        <v>1712</v>
      </c>
      <c r="O2100" s="2" t="s">
        <v>43</v>
      </c>
      <c r="P2100" s="2" t="s">
        <v>161</v>
      </c>
      <c r="Q2100" s="2" t="s">
        <v>162</v>
      </c>
      <c r="R2100" s="2">
        <v>1</v>
      </c>
      <c r="S2100" s="2">
        <v>7.8</v>
      </c>
      <c r="T2100" s="2">
        <v>1.794</v>
      </c>
      <c r="U2100" s="2">
        <v>9.5939999999999994</v>
      </c>
      <c r="V2100" s="2">
        <f>3.7358*R2100</f>
        <v>3.7357999999999998</v>
      </c>
      <c r="W2100" s="5">
        <f t="shared" si="208"/>
        <v>0.52105128205128204</v>
      </c>
      <c r="Y2100" s="2" t="s">
        <v>3256</v>
      </c>
      <c r="Z2100" s="2" t="s">
        <v>46</v>
      </c>
      <c r="AA2100" s="2" t="s">
        <v>47</v>
      </c>
      <c r="AB2100" s="2" t="s">
        <v>48</v>
      </c>
      <c r="AE2100" s="2">
        <f t="shared" si="205"/>
        <v>0</v>
      </c>
      <c r="AF2100" s="2">
        <v>3.7357999999999998</v>
      </c>
      <c r="AG2100" s="2">
        <v>9</v>
      </c>
      <c r="AI2100" s="2">
        <f t="shared" si="206"/>
        <v>0</v>
      </c>
      <c r="AJ2100" s="2">
        <f t="shared" si="207"/>
        <v>4.0641999999999996</v>
      </c>
      <c r="AK2100" s="5">
        <f t="shared" si="209"/>
        <v>0.52105128205128204</v>
      </c>
    </row>
    <row r="2101" spans="1:37" x14ac:dyDescent="0.2">
      <c r="A2101" s="2">
        <v>2025</v>
      </c>
      <c r="B2101" s="2">
        <v>11</v>
      </c>
      <c r="C2101" s="2" t="s">
        <v>1712</v>
      </c>
      <c r="O2101" s="2" t="s">
        <v>43</v>
      </c>
      <c r="P2101" s="2" t="s">
        <v>62</v>
      </c>
      <c r="Q2101" s="2" t="s">
        <v>63</v>
      </c>
      <c r="R2101" s="2">
        <v>1000</v>
      </c>
      <c r="S2101" s="2">
        <v>105</v>
      </c>
      <c r="T2101" s="2">
        <v>24.15</v>
      </c>
      <c r="U2101" s="2">
        <v>129.15</v>
      </c>
      <c r="V2101" s="2">
        <f>0.082*R2101</f>
        <v>82</v>
      </c>
      <c r="W2101" s="5">
        <f t="shared" si="208"/>
        <v>0.21904761904761905</v>
      </c>
      <c r="Y2101" s="2" t="s">
        <v>3256</v>
      </c>
      <c r="Z2101" s="2" t="s">
        <v>46</v>
      </c>
      <c r="AA2101" s="2" t="s">
        <v>61</v>
      </c>
      <c r="AB2101" s="2" t="s">
        <v>58</v>
      </c>
      <c r="AE2101" s="2">
        <f t="shared" si="205"/>
        <v>0</v>
      </c>
      <c r="AF2101" s="2">
        <v>8.1999999999999993</v>
      </c>
      <c r="AG2101" s="2">
        <v>13</v>
      </c>
      <c r="AI2101" s="2">
        <f t="shared" si="206"/>
        <v>0</v>
      </c>
      <c r="AJ2101" s="2">
        <f t="shared" si="207"/>
        <v>23</v>
      </c>
      <c r="AK2101" s="5">
        <f t="shared" si="209"/>
        <v>0.21904761904761905</v>
      </c>
    </row>
    <row r="2102" spans="1:37" x14ac:dyDescent="0.2">
      <c r="A2102" s="2">
        <v>2025</v>
      </c>
      <c r="B2102" s="2">
        <v>11</v>
      </c>
      <c r="C2102" s="2" t="s">
        <v>1712</v>
      </c>
      <c r="O2102" s="2" t="s">
        <v>43</v>
      </c>
      <c r="P2102" s="2" t="s">
        <v>66</v>
      </c>
      <c r="Q2102" s="2" t="s">
        <v>67</v>
      </c>
      <c r="R2102" s="2">
        <v>2</v>
      </c>
      <c r="S2102" s="2">
        <v>45</v>
      </c>
      <c r="T2102" s="2">
        <v>10.35</v>
      </c>
      <c r="U2102" s="2">
        <v>55.35</v>
      </c>
      <c r="V2102" s="2">
        <f>15.0203*R2102</f>
        <v>30.040600000000001</v>
      </c>
      <c r="W2102" s="5">
        <f t="shared" si="208"/>
        <v>0.33243111111111107</v>
      </c>
      <c r="Y2102" s="2" t="s">
        <v>3256</v>
      </c>
      <c r="Z2102" s="2" t="s">
        <v>46</v>
      </c>
      <c r="AA2102" s="2" t="s">
        <v>68</v>
      </c>
      <c r="AB2102" s="2" t="s">
        <v>58</v>
      </c>
      <c r="AE2102" s="2">
        <f t="shared" si="205"/>
        <v>0</v>
      </c>
      <c r="AF2102" s="2">
        <v>15.020300000000001</v>
      </c>
      <c r="AG2102" s="2">
        <v>27.6</v>
      </c>
      <c r="AI2102" s="2">
        <f t="shared" si="206"/>
        <v>0</v>
      </c>
      <c r="AJ2102" s="2">
        <f t="shared" si="207"/>
        <v>14.959399999999999</v>
      </c>
      <c r="AK2102" s="5">
        <f t="shared" si="209"/>
        <v>0.33243111111111107</v>
      </c>
    </row>
    <row r="2103" spans="1:37" x14ac:dyDescent="0.2">
      <c r="A2103" s="2">
        <v>2025</v>
      </c>
      <c r="B2103" s="2">
        <v>11</v>
      </c>
      <c r="C2103" s="2" t="s">
        <v>2014</v>
      </c>
      <c r="L2103" s="2" t="s">
        <v>81</v>
      </c>
      <c r="N2103" s="2" t="s">
        <v>2015</v>
      </c>
      <c r="O2103" s="2" t="s">
        <v>73</v>
      </c>
      <c r="P2103" s="2" t="s">
        <v>561</v>
      </c>
      <c r="Q2103" s="2" t="s">
        <v>308</v>
      </c>
      <c r="R2103" s="2">
        <v>1</v>
      </c>
      <c r="S2103" s="2">
        <v>230</v>
      </c>
      <c r="T2103" s="2">
        <v>52.900000000000013</v>
      </c>
      <c r="U2103" s="2">
        <v>282.89999999999998</v>
      </c>
      <c r="V2103" s="2">
        <v>122.446</v>
      </c>
      <c r="W2103" s="5">
        <f t="shared" si="208"/>
        <v>0.46762608695652175</v>
      </c>
      <c r="Y2103" s="2" t="s">
        <v>3256</v>
      </c>
      <c r="Z2103" s="2" t="s">
        <v>76</v>
      </c>
      <c r="AA2103" s="2" t="s">
        <v>77</v>
      </c>
      <c r="AB2103" s="2" t="s">
        <v>78</v>
      </c>
      <c r="AE2103" s="2">
        <f t="shared" si="205"/>
        <v>0</v>
      </c>
      <c r="AF2103" s="2">
        <v>122.446</v>
      </c>
      <c r="AG2103" s="2">
        <v>230</v>
      </c>
      <c r="AI2103" s="2">
        <f t="shared" si="206"/>
        <v>0</v>
      </c>
      <c r="AJ2103" s="2">
        <f t="shared" si="207"/>
        <v>107.554</v>
      </c>
      <c r="AK2103" s="5">
        <f t="shared" si="209"/>
        <v>0.46762608695652175</v>
      </c>
    </row>
    <row r="2104" spans="1:37" x14ac:dyDescent="0.2">
      <c r="A2104" s="2">
        <v>2025</v>
      </c>
      <c r="B2104" s="2">
        <v>11</v>
      </c>
      <c r="C2104" s="2" t="s">
        <v>2014</v>
      </c>
      <c r="O2104" s="2" t="s">
        <v>94</v>
      </c>
      <c r="P2104" s="2" t="s">
        <v>95</v>
      </c>
      <c r="Q2104" s="2" t="s">
        <v>96</v>
      </c>
      <c r="R2104" s="2">
        <v>1</v>
      </c>
      <c r="S2104" s="2">
        <v>1.1399999999999999</v>
      </c>
      <c r="T2104" s="2">
        <v>0.26219999999999999</v>
      </c>
      <c r="U2104" s="2">
        <v>1.4021999999999999</v>
      </c>
      <c r="V2104" s="2">
        <v>1.1399999999999999</v>
      </c>
      <c r="W2104" s="5">
        <f t="shared" si="208"/>
        <v>0</v>
      </c>
      <c r="Y2104" s="2" t="s">
        <v>3256</v>
      </c>
      <c r="Z2104" s="2" t="s">
        <v>97</v>
      </c>
      <c r="AA2104" s="2" t="s">
        <v>77</v>
      </c>
      <c r="AB2104" s="2" t="s">
        <v>94</v>
      </c>
      <c r="AE2104" s="2">
        <f t="shared" si="205"/>
        <v>0</v>
      </c>
      <c r="AI2104" s="2">
        <f t="shared" si="206"/>
        <v>0</v>
      </c>
      <c r="AJ2104" s="2">
        <f t="shared" si="207"/>
        <v>0</v>
      </c>
      <c r="AK2104" s="5">
        <f t="shared" si="209"/>
        <v>0</v>
      </c>
    </row>
    <row r="2105" spans="1:37" x14ac:dyDescent="0.2">
      <c r="A2105" s="2">
        <v>2025</v>
      </c>
      <c r="B2105" s="2">
        <v>11</v>
      </c>
      <c r="C2105" s="2" t="s">
        <v>377</v>
      </c>
      <c r="D2105" s="2" t="s">
        <v>109</v>
      </c>
      <c r="E2105" s="2" t="s">
        <v>378</v>
      </c>
      <c r="F2105" s="2">
        <v>503552542</v>
      </c>
      <c r="G2105" s="2" t="s">
        <v>291</v>
      </c>
      <c r="H2105" s="2" t="s">
        <v>379</v>
      </c>
      <c r="I2105" s="2" t="s">
        <v>380</v>
      </c>
      <c r="K2105" s="2" t="s">
        <v>340</v>
      </c>
      <c r="L2105" s="2" t="s">
        <v>40</v>
      </c>
      <c r="N2105" s="2" t="s">
        <v>2016</v>
      </c>
      <c r="O2105" s="2" t="s">
        <v>188</v>
      </c>
      <c r="P2105" s="2" t="s">
        <v>189</v>
      </c>
      <c r="Q2105" s="2" t="s">
        <v>190</v>
      </c>
      <c r="R2105" s="2">
        <v>1</v>
      </c>
      <c r="S2105" s="2">
        <v>50</v>
      </c>
      <c r="T2105" s="2">
        <v>11.5</v>
      </c>
      <c r="U2105" s="2">
        <v>61.5</v>
      </c>
      <c r="W2105" s="5">
        <f t="shared" si="208"/>
        <v>1</v>
      </c>
      <c r="Y2105" s="2" t="s">
        <v>118</v>
      </c>
      <c r="Z2105" s="2" t="s">
        <v>191</v>
      </c>
      <c r="AE2105" s="2">
        <f t="shared" si="205"/>
        <v>0</v>
      </c>
      <c r="AI2105" s="2">
        <f t="shared" si="206"/>
        <v>0</v>
      </c>
      <c r="AJ2105" s="2">
        <f t="shared" si="207"/>
        <v>50</v>
      </c>
      <c r="AK2105" s="5">
        <f t="shared" si="209"/>
        <v>1</v>
      </c>
    </row>
    <row r="2106" spans="1:37" x14ac:dyDescent="0.2">
      <c r="A2106" s="2">
        <v>2025</v>
      </c>
      <c r="B2106" s="2">
        <v>11</v>
      </c>
      <c r="C2106" s="2" t="s">
        <v>377</v>
      </c>
      <c r="D2106" s="2" t="s">
        <v>109</v>
      </c>
      <c r="E2106" s="2" t="s">
        <v>378</v>
      </c>
      <c r="F2106" s="2">
        <v>503552542</v>
      </c>
      <c r="G2106" s="2" t="s">
        <v>291</v>
      </c>
      <c r="H2106" s="2" t="s">
        <v>379</v>
      </c>
      <c r="I2106" s="2" t="s">
        <v>380</v>
      </c>
      <c r="K2106" s="2" t="s">
        <v>340</v>
      </c>
      <c r="L2106" s="2" t="s">
        <v>40</v>
      </c>
      <c r="N2106" s="2" t="s">
        <v>2016</v>
      </c>
      <c r="O2106" s="2" t="s">
        <v>188</v>
      </c>
      <c r="P2106" s="2" t="s">
        <v>192</v>
      </c>
      <c r="Q2106" s="2" t="s">
        <v>191</v>
      </c>
      <c r="R2106" s="2">
        <v>1</v>
      </c>
      <c r="S2106" s="2">
        <v>50</v>
      </c>
      <c r="T2106" s="2">
        <v>11.5</v>
      </c>
      <c r="U2106" s="2">
        <v>61.5</v>
      </c>
      <c r="V2106" s="2">
        <f>S2106*50%</f>
        <v>25</v>
      </c>
      <c r="W2106" s="5">
        <f t="shared" si="208"/>
        <v>0.5</v>
      </c>
      <c r="Y2106" s="2" t="s">
        <v>118</v>
      </c>
      <c r="Z2106" s="2" t="s">
        <v>191</v>
      </c>
      <c r="AE2106" s="2">
        <f t="shared" si="205"/>
        <v>0</v>
      </c>
      <c r="AI2106" s="2">
        <f t="shared" si="206"/>
        <v>0</v>
      </c>
      <c r="AJ2106" s="2">
        <f t="shared" si="207"/>
        <v>25</v>
      </c>
      <c r="AK2106" s="5">
        <f t="shared" si="209"/>
        <v>0.5</v>
      </c>
    </row>
    <row r="2107" spans="1:37" x14ac:dyDescent="0.2">
      <c r="A2107" s="2">
        <v>2025</v>
      </c>
      <c r="B2107" s="2">
        <v>11</v>
      </c>
      <c r="C2107" s="2" t="s">
        <v>1015</v>
      </c>
      <c r="O2107" s="2" t="s">
        <v>283</v>
      </c>
      <c r="P2107" s="2" t="s">
        <v>401</v>
      </c>
      <c r="Q2107" s="2" t="s">
        <v>402</v>
      </c>
      <c r="R2107" s="2">
        <v>10</v>
      </c>
      <c r="S2107" s="2">
        <v>200</v>
      </c>
      <c r="T2107" s="2">
        <v>46</v>
      </c>
      <c r="U2107" s="2">
        <v>246</v>
      </c>
      <c r="W2107" s="5">
        <f t="shared" si="208"/>
        <v>1</v>
      </c>
      <c r="Y2107" s="2" t="s">
        <v>3256</v>
      </c>
      <c r="Z2107" s="2" t="s">
        <v>46</v>
      </c>
      <c r="AA2107" s="2" t="s">
        <v>61</v>
      </c>
      <c r="AB2107" s="2" t="s">
        <v>403</v>
      </c>
      <c r="AE2107" s="2">
        <f t="shared" si="205"/>
        <v>0</v>
      </c>
      <c r="AI2107" s="2">
        <f t="shared" si="206"/>
        <v>0</v>
      </c>
      <c r="AJ2107" s="2">
        <f t="shared" si="207"/>
        <v>200</v>
      </c>
      <c r="AK2107" s="5">
        <f t="shared" si="209"/>
        <v>1</v>
      </c>
    </row>
    <row r="2108" spans="1:37" x14ac:dyDescent="0.2">
      <c r="A2108" s="2">
        <v>2025</v>
      </c>
      <c r="B2108" s="2">
        <v>11</v>
      </c>
      <c r="C2108" s="2" t="s">
        <v>1015</v>
      </c>
      <c r="O2108" s="2" t="s">
        <v>283</v>
      </c>
      <c r="P2108" s="2" t="s">
        <v>404</v>
      </c>
      <c r="Q2108" s="2" t="s">
        <v>405</v>
      </c>
      <c r="R2108" s="2">
        <v>10</v>
      </c>
      <c r="S2108" s="2">
        <v>200</v>
      </c>
      <c r="T2108" s="2">
        <v>46</v>
      </c>
      <c r="U2108" s="2">
        <v>246</v>
      </c>
      <c r="W2108" s="5">
        <f t="shared" si="208"/>
        <v>1</v>
      </c>
      <c r="AE2108" s="2">
        <f t="shared" si="205"/>
        <v>0</v>
      </c>
      <c r="AI2108" s="2">
        <f t="shared" si="206"/>
        <v>0</v>
      </c>
      <c r="AJ2108" s="2">
        <f t="shared" si="207"/>
        <v>200</v>
      </c>
      <c r="AK2108" s="5">
        <f t="shared" si="209"/>
        <v>1</v>
      </c>
    </row>
    <row r="2109" spans="1:37" x14ac:dyDescent="0.2">
      <c r="A2109" s="2">
        <v>2025</v>
      </c>
      <c r="B2109" s="2">
        <v>11</v>
      </c>
      <c r="C2109" s="2" t="s">
        <v>1808</v>
      </c>
      <c r="L2109" s="2" t="s">
        <v>40</v>
      </c>
      <c r="O2109" s="2" t="s">
        <v>188</v>
      </c>
      <c r="P2109" s="2" t="s">
        <v>189</v>
      </c>
      <c r="Q2109" s="2" t="s">
        <v>190</v>
      </c>
      <c r="R2109" s="2">
        <v>1</v>
      </c>
      <c r="S2109" s="2">
        <v>55</v>
      </c>
      <c r="T2109" s="2">
        <v>12.65</v>
      </c>
      <c r="U2109" s="2">
        <v>67.650000000000006</v>
      </c>
      <c r="W2109" s="5">
        <f t="shared" si="208"/>
        <v>1</v>
      </c>
      <c r="Y2109" s="2" t="s">
        <v>118</v>
      </c>
      <c r="Z2109" s="2" t="s">
        <v>191</v>
      </c>
      <c r="AE2109" s="2">
        <f t="shared" si="205"/>
        <v>0</v>
      </c>
      <c r="AI2109" s="2">
        <f t="shared" si="206"/>
        <v>0</v>
      </c>
      <c r="AJ2109" s="2">
        <f t="shared" si="207"/>
        <v>55</v>
      </c>
      <c r="AK2109" s="5">
        <f t="shared" si="209"/>
        <v>1</v>
      </c>
    </row>
    <row r="2110" spans="1:37" x14ac:dyDescent="0.2">
      <c r="A2110" s="2">
        <v>2025</v>
      </c>
      <c r="B2110" s="2">
        <v>11</v>
      </c>
      <c r="C2110" s="2" t="s">
        <v>1808</v>
      </c>
      <c r="L2110" s="2" t="s">
        <v>40</v>
      </c>
      <c r="O2110" s="2" t="s">
        <v>188</v>
      </c>
      <c r="P2110" s="2" t="s">
        <v>192</v>
      </c>
      <c r="Q2110" s="2" t="s">
        <v>191</v>
      </c>
      <c r="R2110" s="2">
        <v>3</v>
      </c>
      <c r="S2110" s="2">
        <v>150</v>
      </c>
      <c r="T2110" s="2">
        <v>34.5</v>
      </c>
      <c r="U2110" s="2">
        <v>184.5</v>
      </c>
      <c r="V2110" s="2">
        <f>S2110*50%</f>
        <v>75</v>
      </c>
      <c r="W2110" s="5">
        <f t="shared" si="208"/>
        <v>0.5</v>
      </c>
      <c r="Y2110" s="2" t="s">
        <v>118</v>
      </c>
      <c r="Z2110" s="2" t="s">
        <v>191</v>
      </c>
      <c r="AE2110" s="2">
        <f t="shared" si="205"/>
        <v>0</v>
      </c>
      <c r="AI2110" s="2">
        <f t="shared" si="206"/>
        <v>0</v>
      </c>
      <c r="AJ2110" s="2">
        <f t="shared" si="207"/>
        <v>75</v>
      </c>
      <c r="AK2110" s="5">
        <f t="shared" si="209"/>
        <v>0.5</v>
      </c>
    </row>
    <row r="2111" spans="1:37" x14ac:dyDescent="0.2">
      <c r="A2111" s="2">
        <v>2025</v>
      </c>
      <c r="B2111" s="2">
        <v>11</v>
      </c>
      <c r="C2111" s="2" t="s">
        <v>1906</v>
      </c>
      <c r="O2111" s="2" t="s">
        <v>43</v>
      </c>
      <c r="P2111" s="2" t="s">
        <v>51</v>
      </c>
      <c r="Q2111" s="2" t="s">
        <v>52</v>
      </c>
      <c r="R2111" s="2">
        <v>1</v>
      </c>
      <c r="S2111" s="2">
        <v>19.2</v>
      </c>
      <c r="T2111" s="2">
        <v>4.4160000000000004</v>
      </c>
      <c r="U2111" s="2">
        <v>23.616</v>
      </c>
      <c r="V2111" s="2">
        <f>10.2346*R2111</f>
        <v>10.2346</v>
      </c>
      <c r="W2111" s="5">
        <f t="shared" si="208"/>
        <v>0.46694791666666663</v>
      </c>
      <c r="Y2111" s="2" t="s">
        <v>3256</v>
      </c>
      <c r="Z2111" s="2" t="s">
        <v>46</v>
      </c>
      <c r="AA2111" s="2" t="s">
        <v>47</v>
      </c>
      <c r="AB2111" s="2" t="s">
        <v>48</v>
      </c>
      <c r="AE2111" s="2">
        <f t="shared" si="205"/>
        <v>0</v>
      </c>
      <c r="AF2111" s="2">
        <v>10.2346</v>
      </c>
      <c r="AG2111" s="2">
        <v>18</v>
      </c>
      <c r="AI2111" s="2">
        <f t="shared" si="206"/>
        <v>0</v>
      </c>
      <c r="AJ2111" s="2">
        <f t="shared" si="207"/>
        <v>8.9653999999999989</v>
      </c>
      <c r="AK2111" s="5">
        <f t="shared" si="209"/>
        <v>0.46694791666666663</v>
      </c>
    </row>
    <row r="2112" spans="1:37" x14ac:dyDescent="0.2">
      <c r="A2112" s="2">
        <v>2025</v>
      </c>
      <c r="B2112" s="2">
        <v>11</v>
      </c>
      <c r="C2112" s="2" t="s">
        <v>1906</v>
      </c>
      <c r="O2112" s="2" t="s">
        <v>43</v>
      </c>
      <c r="P2112" s="2" t="s">
        <v>55</v>
      </c>
      <c r="Q2112" s="2" t="s">
        <v>56</v>
      </c>
      <c r="R2112" s="2">
        <v>1</v>
      </c>
      <c r="S2112" s="2">
        <v>18</v>
      </c>
      <c r="T2112" s="2">
        <v>4.1400000000000006</v>
      </c>
      <c r="U2112" s="2">
        <v>22.14</v>
      </c>
      <c r="V2112" s="2">
        <f>10.6*R2112</f>
        <v>10.6</v>
      </c>
      <c r="W2112" s="5">
        <f t="shared" si="208"/>
        <v>0.41111111111111115</v>
      </c>
      <c r="Y2112" s="2" t="s">
        <v>3256</v>
      </c>
      <c r="Z2112" s="2" t="s">
        <v>46</v>
      </c>
      <c r="AA2112" s="2" t="s">
        <v>57</v>
      </c>
      <c r="AB2112" s="2" t="s">
        <v>58</v>
      </c>
      <c r="AE2112" s="2">
        <f t="shared" si="205"/>
        <v>0</v>
      </c>
      <c r="AF2112" s="2">
        <v>10.6</v>
      </c>
      <c r="AG2112" s="2">
        <v>18</v>
      </c>
      <c r="AI2112" s="2">
        <f t="shared" si="206"/>
        <v>0</v>
      </c>
      <c r="AJ2112" s="2">
        <f t="shared" si="207"/>
        <v>7.4</v>
      </c>
      <c r="AK2112" s="5">
        <f t="shared" si="209"/>
        <v>0.41111111111111115</v>
      </c>
    </row>
    <row r="2113" spans="1:37" x14ac:dyDescent="0.2">
      <c r="A2113" s="2">
        <v>2025</v>
      </c>
      <c r="B2113" s="2">
        <v>11</v>
      </c>
      <c r="C2113" s="2" t="s">
        <v>1906</v>
      </c>
      <c r="F2113" s="2">
        <v>503940461</v>
      </c>
      <c r="G2113" s="2" t="s">
        <v>110</v>
      </c>
      <c r="H2113" s="2" t="s">
        <v>465</v>
      </c>
      <c r="K2113" s="2" t="s">
        <v>465</v>
      </c>
      <c r="L2113" s="2" t="s">
        <v>81</v>
      </c>
      <c r="N2113" s="2" t="s">
        <v>2017</v>
      </c>
      <c r="O2113" s="2" t="s">
        <v>43</v>
      </c>
      <c r="P2113" s="2" t="s">
        <v>557</v>
      </c>
      <c r="Q2113" s="2" t="s">
        <v>558</v>
      </c>
      <c r="R2113" s="2">
        <v>1</v>
      </c>
      <c r="S2113" s="2">
        <v>33</v>
      </c>
      <c r="T2113" s="2">
        <v>7.5900000000000007</v>
      </c>
      <c r="U2113" s="2">
        <v>40.590000000000003</v>
      </c>
      <c r="V2113" s="2">
        <v>15.494999999999999</v>
      </c>
      <c r="W2113" s="5">
        <f t="shared" si="208"/>
        <v>0.53045454545454551</v>
      </c>
      <c r="Y2113" s="2" t="s">
        <v>3256</v>
      </c>
      <c r="Z2113" s="2" t="s">
        <v>46</v>
      </c>
      <c r="AA2113" s="2" t="s">
        <v>47</v>
      </c>
      <c r="AB2113" s="2" t="s">
        <v>48</v>
      </c>
      <c r="AE2113" s="2">
        <f t="shared" si="205"/>
        <v>0</v>
      </c>
      <c r="AF2113" s="2">
        <v>15.494999999999999</v>
      </c>
      <c r="AG2113" s="2">
        <v>36</v>
      </c>
      <c r="AI2113" s="2">
        <f t="shared" si="206"/>
        <v>0</v>
      </c>
      <c r="AJ2113" s="2">
        <f t="shared" si="207"/>
        <v>17.505000000000003</v>
      </c>
      <c r="AK2113" s="5">
        <f t="shared" si="209"/>
        <v>0.53045454545454551</v>
      </c>
    </row>
    <row r="2114" spans="1:37" x14ac:dyDescent="0.2">
      <c r="A2114" s="2">
        <v>2025</v>
      </c>
      <c r="B2114" s="2">
        <v>11</v>
      </c>
      <c r="C2114" s="2" t="s">
        <v>781</v>
      </c>
      <c r="D2114" s="2" t="s">
        <v>38</v>
      </c>
      <c r="E2114" s="2" t="s">
        <v>39</v>
      </c>
      <c r="F2114" s="2">
        <v>507324560</v>
      </c>
      <c r="G2114" s="2" t="s">
        <v>40</v>
      </c>
      <c r="H2114" s="2" t="s">
        <v>782</v>
      </c>
      <c r="I2114" s="2" t="s">
        <v>783</v>
      </c>
      <c r="K2114" s="2" t="s">
        <v>340</v>
      </c>
      <c r="L2114" s="2" t="s">
        <v>40</v>
      </c>
      <c r="N2114" s="2" t="s">
        <v>2018</v>
      </c>
      <c r="O2114" s="2" t="s">
        <v>188</v>
      </c>
      <c r="P2114" s="2" t="s">
        <v>189</v>
      </c>
      <c r="Q2114" s="2" t="s">
        <v>190</v>
      </c>
      <c r="R2114" s="2">
        <v>1</v>
      </c>
      <c r="S2114" s="2">
        <v>133</v>
      </c>
      <c r="T2114" s="2">
        <v>30.59</v>
      </c>
      <c r="U2114" s="2">
        <v>163.59</v>
      </c>
      <c r="W2114" s="5">
        <f t="shared" si="208"/>
        <v>1</v>
      </c>
      <c r="Y2114" s="2" t="s">
        <v>118</v>
      </c>
      <c r="Z2114" s="2" t="s">
        <v>191</v>
      </c>
      <c r="AE2114" s="2">
        <f t="shared" si="205"/>
        <v>0</v>
      </c>
      <c r="AI2114" s="2">
        <f t="shared" si="206"/>
        <v>0</v>
      </c>
      <c r="AJ2114" s="2">
        <f t="shared" si="207"/>
        <v>133</v>
      </c>
      <c r="AK2114" s="5">
        <f t="shared" si="209"/>
        <v>1</v>
      </c>
    </row>
    <row r="2115" spans="1:37" x14ac:dyDescent="0.2">
      <c r="A2115" s="2">
        <v>2025</v>
      </c>
      <c r="B2115" s="2">
        <v>11</v>
      </c>
      <c r="C2115" s="2" t="s">
        <v>781</v>
      </c>
      <c r="D2115" s="2" t="s">
        <v>38</v>
      </c>
      <c r="E2115" s="2" t="s">
        <v>39</v>
      </c>
      <c r="F2115" s="2">
        <v>507324560</v>
      </c>
      <c r="G2115" s="2" t="s">
        <v>40</v>
      </c>
      <c r="H2115" s="2" t="s">
        <v>782</v>
      </c>
      <c r="I2115" s="2" t="s">
        <v>783</v>
      </c>
      <c r="K2115" s="2" t="s">
        <v>340</v>
      </c>
      <c r="L2115" s="2" t="s">
        <v>40</v>
      </c>
      <c r="N2115" s="2" t="s">
        <v>2018</v>
      </c>
      <c r="O2115" s="2" t="s">
        <v>188</v>
      </c>
      <c r="P2115" s="2" t="s">
        <v>192</v>
      </c>
      <c r="Q2115" s="2" t="s">
        <v>191</v>
      </c>
      <c r="R2115" s="2">
        <v>2</v>
      </c>
      <c r="S2115" s="2">
        <v>100</v>
      </c>
      <c r="T2115" s="2">
        <v>23</v>
      </c>
      <c r="U2115" s="2">
        <v>123</v>
      </c>
      <c r="V2115" s="2">
        <f>S2115*50%</f>
        <v>50</v>
      </c>
      <c r="W2115" s="5">
        <f t="shared" si="208"/>
        <v>0.5</v>
      </c>
      <c r="Y2115" s="2" t="s">
        <v>118</v>
      </c>
      <c r="Z2115" s="2" t="s">
        <v>191</v>
      </c>
      <c r="AE2115" s="2">
        <f t="shared" ref="AE2115:AE2178" si="210">AI2115</f>
        <v>0</v>
      </c>
      <c r="AI2115" s="2">
        <f t="shared" ref="AI2115:AI2178" si="211">AH2115*S2115</f>
        <v>0</v>
      </c>
      <c r="AJ2115" s="2">
        <f t="shared" ref="AJ2115:AJ2178" si="212">S2115-V2115</f>
        <v>50</v>
      </c>
      <c r="AK2115" s="5">
        <f t="shared" si="209"/>
        <v>0.5</v>
      </c>
    </row>
    <row r="2116" spans="1:37" x14ac:dyDescent="0.2">
      <c r="A2116" s="2">
        <v>2025</v>
      </c>
      <c r="B2116" s="2">
        <v>11</v>
      </c>
      <c r="C2116" s="2" t="s">
        <v>2019</v>
      </c>
      <c r="O2116" s="2" t="s">
        <v>115</v>
      </c>
      <c r="P2116" s="2" t="s">
        <v>911</v>
      </c>
      <c r="Q2116" s="2" t="s">
        <v>912</v>
      </c>
      <c r="R2116" s="2">
        <v>1</v>
      </c>
      <c r="S2116" s="2">
        <v>699.3</v>
      </c>
      <c r="T2116" s="2">
        <v>160.839</v>
      </c>
      <c r="U2116" s="2">
        <v>860.1389999999999</v>
      </c>
      <c r="W2116" s="5">
        <f t="shared" si="208"/>
        <v>1</v>
      </c>
      <c r="AE2116" s="2">
        <f t="shared" si="210"/>
        <v>0</v>
      </c>
      <c r="AI2116" s="2">
        <f t="shared" si="211"/>
        <v>0</v>
      </c>
      <c r="AJ2116" s="2">
        <f t="shared" si="212"/>
        <v>699.3</v>
      </c>
      <c r="AK2116" s="5">
        <f t="shared" si="209"/>
        <v>1</v>
      </c>
    </row>
    <row r="2117" spans="1:37" x14ac:dyDescent="0.2">
      <c r="A2117" s="2">
        <v>2025</v>
      </c>
      <c r="B2117" s="2">
        <v>11</v>
      </c>
      <c r="C2117" s="2" t="s">
        <v>2019</v>
      </c>
      <c r="L2117" s="2" t="s">
        <v>40</v>
      </c>
      <c r="O2117" s="2" t="s">
        <v>188</v>
      </c>
      <c r="P2117" s="2" t="s">
        <v>189</v>
      </c>
      <c r="Q2117" s="2" t="s">
        <v>190</v>
      </c>
      <c r="R2117" s="2">
        <v>1</v>
      </c>
      <c r="S2117" s="2">
        <v>50</v>
      </c>
      <c r="T2117" s="2">
        <v>11.5</v>
      </c>
      <c r="U2117" s="2">
        <v>61.5</v>
      </c>
      <c r="W2117" s="5">
        <f t="shared" si="208"/>
        <v>1</v>
      </c>
      <c r="Y2117" s="2" t="s">
        <v>118</v>
      </c>
      <c r="Z2117" s="2" t="s">
        <v>191</v>
      </c>
      <c r="AE2117" s="2">
        <f t="shared" si="210"/>
        <v>0</v>
      </c>
      <c r="AI2117" s="2">
        <f t="shared" si="211"/>
        <v>0</v>
      </c>
      <c r="AJ2117" s="2">
        <f t="shared" si="212"/>
        <v>50</v>
      </c>
      <c r="AK2117" s="5">
        <f t="shared" si="209"/>
        <v>1</v>
      </c>
    </row>
    <row r="2118" spans="1:37" x14ac:dyDescent="0.2">
      <c r="A2118" s="2">
        <v>2025</v>
      </c>
      <c r="B2118" s="2">
        <v>11</v>
      </c>
      <c r="C2118" s="2" t="s">
        <v>2019</v>
      </c>
      <c r="L2118" s="2" t="s">
        <v>40</v>
      </c>
      <c r="O2118" s="2" t="s">
        <v>188</v>
      </c>
      <c r="P2118" s="2" t="s">
        <v>192</v>
      </c>
      <c r="Q2118" s="2" t="s">
        <v>191</v>
      </c>
      <c r="R2118" s="2">
        <v>1</v>
      </c>
      <c r="S2118" s="2">
        <v>50</v>
      </c>
      <c r="T2118" s="2">
        <v>11.5</v>
      </c>
      <c r="U2118" s="2">
        <v>61.5</v>
      </c>
      <c r="V2118" s="2">
        <f>S2118*50%</f>
        <v>25</v>
      </c>
      <c r="W2118" s="5">
        <f t="shared" si="208"/>
        <v>0.5</v>
      </c>
      <c r="Y2118" s="2" t="s">
        <v>118</v>
      </c>
      <c r="Z2118" s="2" t="s">
        <v>191</v>
      </c>
      <c r="AE2118" s="2">
        <f t="shared" si="210"/>
        <v>0</v>
      </c>
      <c r="AI2118" s="2">
        <f t="shared" si="211"/>
        <v>0</v>
      </c>
      <c r="AJ2118" s="2">
        <f t="shared" si="212"/>
        <v>25</v>
      </c>
      <c r="AK2118" s="5">
        <f t="shared" si="209"/>
        <v>0.5</v>
      </c>
    </row>
    <row r="2119" spans="1:37" x14ac:dyDescent="0.2">
      <c r="A2119" s="2">
        <v>2025</v>
      </c>
      <c r="B2119" s="2">
        <v>11</v>
      </c>
      <c r="C2119" s="2" t="s">
        <v>392</v>
      </c>
      <c r="O2119" s="2" t="s">
        <v>73</v>
      </c>
      <c r="P2119" s="2" t="s">
        <v>1143</v>
      </c>
      <c r="Q2119" s="2" t="s">
        <v>538</v>
      </c>
      <c r="R2119" s="2">
        <v>1</v>
      </c>
      <c r="S2119" s="2">
        <v>220</v>
      </c>
      <c r="T2119" s="2">
        <v>50.6</v>
      </c>
      <c r="U2119" s="2">
        <v>270.60000000000002</v>
      </c>
      <c r="W2119" s="5">
        <f t="shared" si="208"/>
        <v>1</v>
      </c>
      <c r="Y2119" s="2" t="s">
        <v>3256</v>
      </c>
      <c r="Z2119" s="2" t="s">
        <v>76</v>
      </c>
      <c r="AA2119" s="2" t="s">
        <v>77</v>
      </c>
      <c r="AB2119" s="2" t="s">
        <v>78</v>
      </c>
      <c r="AE2119" s="2">
        <f t="shared" si="210"/>
        <v>0</v>
      </c>
      <c r="AI2119" s="2">
        <f t="shared" si="211"/>
        <v>0</v>
      </c>
      <c r="AJ2119" s="2">
        <f t="shared" si="212"/>
        <v>220</v>
      </c>
      <c r="AK2119" s="5">
        <f t="shared" si="209"/>
        <v>1</v>
      </c>
    </row>
    <row r="2120" spans="1:37" x14ac:dyDescent="0.2">
      <c r="A2120" s="2">
        <v>2025</v>
      </c>
      <c r="B2120" s="2">
        <v>11</v>
      </c>
      <c r="C2120" s="2" t="s">
        <v>392</v>
      </c>
      <c r="O2120" s="2" t="s">
        <v>94</v>
      </c>
      <c r="P2120" s="2" t="s">
        <v>95</v>
      </c>
      <c r="Q2120" s="2" t="s">
        <v>96</v>
      </c>
      <c r="R2120" s="2">
        <v>1</v>
      </c>
      <c r="S2120" s="2">
        <v>1.1399999999999999</v>
      </c>
      <c r="T2120" s="2">
        <v>0.26219999999999999</v>
      </c>
      <c r="U2120" s="2">
        <v>1.4021999999999999</v>
      </c>
      <c r="V2120" s="2">
        <v>1.1399999999999999</v>
      </c>
      <c r="W2120" s="5">
        <f t="shared" si="208"/>
        <v>0</v>
      </c>
      <c r="Y2120" s="2" t="s">
        <v>3256</v>
      </c>
      <c r="Z2120" s="2" t="s">
        <v>97</v>
      </c>
      <c r="AA2120" s="2" t="s">
        <v>77</v>
      </c>
      <c r="AB2120" s="2" t="s">
        <v>94</v>
      </c>
      <c r="AE2120" s="2">
        <f t="shared" si="210"/>
        <v>0</v>
      </c>
      <c r="AI2120" s="2">
        <f t="shared" si="211"/>
        <v>0</v>
      </c>
      <c r="AJ2120" s="2">
        <f t="shared" si="212"/>
        <v>0</v>
      </c>
      <c r="AK2120" s="5">
        <f t="shared" si="209"/>
        <v>0</v>
      </c>
    </row>
    <row r="2121" spans="1:37" x14ac:dyDescent="0.2">
      <c r="A2121" s="2">
        <v>2025</v>
      </c>
      <c r="B2121" s="2">
        <v>11</v>
      </c>
      <c r="C2121" s="2" t="s">
        <v>1017</v>
      </c>
      <c r="O2121" s="2" t="s">
        <v>283</v>
      </c>
      <c r="P2121" s="2" t="s">
        <v>2020</v>
      </c>
      <c r="Q2121" s="2" t="s">
        <v>2021</v>
      </c>
      <c r="R2121" s="2">
        <v>1</v>
      </c>
      <c r="S2121" s="2">
        <v>430</v>
      </c>
      <c r="T2121" s="2">
        <v>98.9</v>
      </c>
      <c r="U2121" s="2">
        <v>528.9</v>
      </c>
      <c r="W2121" s="5">
        <f t="shared" si="208"/>
        <v>1</v>
      </c>
      <c r="AE2121" s="2">
        <f t="shared" si="210"/>
        <v>0</v>
      </c>
      <c r="AI2121" s="2">
        <f t="shared" si="211"/>
        <v>0</v>
      </c>
      <c r="AJ2121" s="2">
        <f t="shared" si="212"/>
        <v>430</v>
      </c>
      <c r="AK2121" s="5">
        <f t="shared" si="209"/>
        <v>1</v>
      </c>
    </row>
    <row r="2122" spans="1:37" x14ac:dyDescent="0.2">
      <c r="A2122" s="2">
        <v>2025</v>
      </c>
      <c r="B2122" s="2">
        <v>11</v>
      </c>
      <c r="C2122" s="2" t="s">
        <v>787</v>
      </c>
      <c r="D2122" s="2" t="s">
        <v>38</v>
      </c>
      <c r="E2122" s="2" t="s">
        <v>39</v>
      </c>
      <c r="F2122" s="2">
        <v>510219675</v>
      </c>
      <c r="G2122" s="2" t="s">
        <v>40</v>
      </c>
      <c r="H2122" s="2" t="s">
        <v>788</v>
      </c>
      <c r="I2122" s="2" t="s">
        <v>789</v>
      </c>
      <c r="J2122" s="2">
        <v>917341136</v>
      </c>
      <c r="K2122" s="2" t="s">
        <v>100</v>
      </c>
      <c r="O2122" s="2" t="s">
        <v>115</v>
      </c>
      <c r="P2122" s="2" t="s">
        <v>2022</v>
      </c>
      <c r="Q2122" s="2" t="s">
        <v>2023</v>
      </c>
      <c r="R2122" s="2">
        <v>1</v>
      </c>
      <c r="S2122" s="2">
        <v>7.94</v>
      </c>
      <c r="T2122" s="2">
        <v>1.8262</v>
      </c>
      <c r="U2122" s="2">
        <v>9.7662000000000013</v>
      </c>
      <c r="W2122" s="5">
        <f t="shared" si="208"/>
        <v>1</v>
      </c>
      <c r="AE2122" s="2">
        <f t="shared" si="210"/>
        <v>0</v>
      </c>
      <c r="AI2122" s="2">
        <f t="shared" si="211"/>
        <v>0</v>
      </c>
      <c r="AJ2122" s="2">
        <f t="shared" si="212"/>
        <v>7.94</v>
      </c>
      <c r="AK2122" s="5">
        <f t="shared" si="209"/>
        <v>1</v>
      </c>
    </row>
    <row r="2123" spans="1:37" x14ac:dyDescent="0.2">
      <c r="A2123" s="2">
        <v>2025</v>
      </c>
      <c r="B2123" s="2">
        <v>11</v>
      </c>
      <c r="C2123" s="2" t="s">
        <v>787</v>
      </c>
      <c r="D2123" s="2" t="s">
        <v>38</v>
      </c>
      <c r="E2123" s="2" t="s">
        <v>39</v>
      </c>
      <c r="F2123" s="2">
        <v>510219675</v>
      </c>
      <c r="G2123" s="2" t="s">
        <v>40</v>
      </c>
      <c r="H2123" s="2" t="s">
        <v>788</v>
      </c>
      <c r="I2123" s="2" t="s">
        <v>789</v>
      </c>
      <c r="J2123" s="2">
        <v>917341136</v>
      </c>
      <c r="K2123" s="2" t="s">
        <v>100</v>
      </c>
      <c r="O2123" s="2" t="s">
        <v>43</v>
      </c>
      <c r="P2123" s="2" t="s">
        <v>55</v>
      </c>
      <c r="Q2123" s="2" t="s">
        <v>56</v>
      </c>
      <c r="R2123" s="2">
        <v>1</v>
      </c>
      <c r="S2123" s="2">
        <v>18</v>
      </c>
      <c r="T2123" s="2">
        <v>4.1400000000000006</v>
      </c>
      <c r="U2123" s="2">
        <v>22.14</v>
      </c>
      <c r="V2123" s="2">
        <f>10.6*R2123</f>
        <v>10.6</v>
      </c>
      <c r="W2123" s="5">
        <f t="shared" si="208"/>
        <v>0.41111111111111115</v>
      </c>
      <c r="Y2123" s="2" t="s">
        <v>3256</v>
      </c>
      <c r="Z2123" s="2" t="s">
        <v>46</v>
      </c>
      <c r="AA2123" s="2" t="s">
        <v>57</v>
      </c>
      <c r="AB2123" s="2" t="s">
        <v>58</v>
      </c>
      <c r="AE2123" s="2">
        <f t="shared" si="210"/>
        <v>0</v>
      </c>
      <c r="AF2123" s="2">
        <v>10.6</v>
      </c>
      <c r="AG2123" s="2">
        <v>18</v>
      </c>
      <c r="AI2123" s="2">
        <f t="shared" si="211"/>
        <v>0</v>
      </c>
      <c r="AJ2123" s="2">
        <f t="shared" si="212"/>
        <v>7.4</v>
      </c>
      <c r="AK2123" s="5">
        <f t="shared" si="209"/>
        <v>0.41111111111111115</v>
      </c>
    </row>
    <row r="2124" spans="1:37" x14ac:dyDescent="0.2">
      <c r="A2124" s="2">
        <v>2025</v>
      </c>
      <c r="B2124" s="2">
        <v>11</v>
      </c>
      <c r="C2124" s="2" t="s">
        <v>2024</v>
      </c>
      <c r="P2124" s="2" t="s">
        <v>2025</v>
      </c>
      <c r="Q2124" s="2" t="s">
        <v>2026</v>
      </c>
      <c r="R2124" s="2">
        <v>1</v>
      </c>
      <c r="S2124" s="2">
        <v>1000</v>
      </c>
      <c r="T2124" s="2">
        <v>230</v>
      </c>
      <c r="U2124" s="2">
        <v>1230</v>
      </c>
      <c r="W2124" s="5">
        <f t="shared" si="208"/>
        <v>1</v>
      </c>
      <c r="Y2124" s="2" t="s">
        <v>105</v>
      </c>
      <c r="AE2124" s="2">
        <f t="shared" si="210"/>
        <v>0</v>
      </c>
      <c r="AI2124" s="2">
        <f t="shared" si="211"/>
        <v>0</v>
      </c>
      <c r="AJ2124" s="2">
        <f t="shared" si="212"/>
        <v>1000</v>
      </c>
      <c r="AK2124" s="5">
        <f t="shared" si="209"/>
        <v>1</v>
      </c>
    </row>
    <row r="2125" spans="1:37" x14ac:dyDescent="0.2">
      <c r="A2125" s="2">
        <v>2025</v>
      </c>
      <c r="B2125" s="2">
        <v>11</v>
      </c>
      <c r="C2125" s="2" t="s">
        <v>2027</v>
      </c>
      <c r="O2125" s="2" t="s">
        <v>115</v>
      </c>
      <c r="P2125" s="2" t="s">
        <v>840</v>
      </c>
      <c r="Q2125" s="2" t="s">
        <v>841</v>
      </c>
      <c r="R2125" s="2">
        <v>1</v>
      </c>
      <c r="S2125" s="2">
        <v>0</v>
      </c>
      <c r="T2125" s="2">
        <v>0</v>
      </c>
      <c r="U2125" s="2">
        <v>0</v>
      </c>
      <c r="W2125" s="5" t="e">
        <f t="shared" si="208"/>
        <v>#DIV/0!</v>
      </c>
      <c r="AE2125" s="2">
        <f t="shared" si="210"/>
        <v>0</v>
      </c>
      <c r="AI2125" s="2">
        <f t="shared" si="211"/>
        <v>0</v>
      </c>
      <c r="AJ2125" s="2">
        <f t="shared" si="212"/>
        <v>0</v>
      </c>
      <c r="AK2125" s="5" t="e">
        <f t="shared" si="209"/>
        <v>#DIV/0!</v>
      </c>
    </row>
    <row r="2126" spans="1:37" x14ac:dyDescent="0.2">
      <c r="A2126" s="2">
        <v>2025</v>
      </c>
      <c r="B2126" s="2">
        <v>11</v>
      </c>
      <c r="C2126" s="2" t="s">
        <v>2027</v>
      </c>
      <c r="O2126" s="2" t="s">
        <v>115</v>
      </c>
      <c r="P2126" s="2" t="s">
        <v>842</v>
      </c>
      <c r="Q2126" s="2" t="s">
        <v>843</v>
      </c>
      <c r="R2126" s="2">
        <v>1</v>
      </c>
      <c r="S2126" s="2">
        <v>13990</v>
      </c>
      <c r="T2126" s="2">
        <v>3217.7</v>
      </c>
      <c r="U2126" s="2">
        <v>17207.7</v>
      </c>
      <c r="W2126" s="5">
        <f t="shared" si="208"/>
        <v>1</v>
      </c>
      <c r="Y2126" s="2" t="s">
        <v>105</v>
      </c>
      <c r="AE2126" s="2">
        <f t="shared" si="210"/>
        <v>0</v>
      </c>
      <c r="AI2126" s="2">
        <f t="shared" si="211"/>
        <v>0</v>
      </c>
      <c r="AJ2126" s="2">
        <f t="shared" si="212"/>
        <v>13990</v>
      </c>
      <c r="AK2126" s="5">
        <f t="shared" si="209"/>
        <v>1</v>
      </c>
    </row>
    <row r="2127" spans="1:37" x14ac:dyDescent="0.2">
      <c r="A2127" s="2">
        <v>2025</v>
      </c>
      <c r="B2127" s="2">
        <v>11</v>
      </c>
      <c r="C2127" s="2" t="s">
        <v>2028</v>
      </c>
      <c r="O2127" s="2" t="s">
        <v>115</v>
      </c>
      <c r="P2127" s="2" t="s">
        <v>986</v>
      </c>
      <c r="Q2127" s="2" t="s">
        <v>987</v>
      </c>
      <c r="R2127" s="2">
        <v>1</v>
      </c>
      <c r="S2127" s="2">
        <v>79.819999999999993</v>
      </c>
      <c r="T2127" s="2">
        <v>18.358599999999999</v>
      </c>
      <c r="U2127" s="2">
        <v>98.178599999999989</v>
      </c>
      <c r="W2127" s="5">
        <f t="shared" si="208"/>
        <v>1</v>
      </c>
      <c r="AE2127" s="2">
        <f t="shared" si="210"/>
        <v>0</v>
      </c>
      <c r="AI2127" s="2">
        <f t="shared" si="211"/>
        <v>0</v>
      </c>
      <c r="AJ2127" s="2">
        <f t="shared" si="212"/>
        <v>79.819999999999993</v>
      </c>
      <c r="AK2127" s="5">
        <f t="shared" si="209"/>
        <v>1</v>
      </c>
    </row>
    <row r="2128" spans="1:37" x14ac:dyDescent="0.2">
      <c r="A2128" s="2">
        <v>2025</v>
      </c>
      <c r="B2128" s="2">
        <v>11</v>
      </c>
      <c r="C2128" s="2" t="s">
        <v>2028</v>
      </c>
      <c r="L2128" s="2" t="s">
        <v>40</v>
      </c>
      <c r="O2128" s="2" t="s">
        <v>188</v>
      </c>
      <c r="P2128" s="2" t="s">
        <v>189</v>
      </c>
      <c r="Q2128" s="2" t="s">
        <v>190</v>
      </c>
      <c r="R2128" s="2">
        <v>1</v>
      </c>
      <c r="S2128" s="2">
        <v>153</v>
      </c>
      <c r="T2128" s="2">
        <v>35.19</v>
      </c>
      <c r="U2128" s="2">
        <v>188.19</v>
      </c>
      <c r="W2128" s="5">
        <f t="shared" si="208"/>
        <v>1</v>
      </c>
      <c r="Y2128" s="2" t="s">
        <v>118</v>
      </c>
      <c r="Z2128" s="2" t="s">
        <v>191</v>
      </c>
      <c r="AE2128" s="2">
        <f t="shared" si="210"/>
        <v>0</v>
      </c>
      <c r="AI2128" s="2">
        <f t="shared" si="211"/>
        <v>0</v>
      </c>
      <c r="AJ2128" s="2">
        <f t="shared" si="212"/>
        <v>153</v>
      </c>
      <c r="AK2128" s="5">
        <f t="shared" si="209"/>
        <v>1</v>
      </c>
    </row>
    <row r="2129" spans="1:37" x14ac:dyDescent="0.2">
      <c r="A2129" s="2">
        <v>2025</v>
      </c>
      <c r="B2129" s="2">
        <v>11</v>
      </c>
      <c r="C2129" s="2" t="s">
        <v>2028</v>
      </c>
      <c r="L2129" s="2" t="s">
        <v>40</v>
      </c>
      <c r="O2129" s="2" t="s">
        <v>188</v>
      </c>
      <c r="P2129" s="2" t="s">
        <v>192</v>
      </c>
      <c r="Q2129" s="2" t="s">
        <v>191</v>
      </c>
      <c r="R2129" s="2">
        <v>1</v>
      </c>
      <c r="S2129" s="2">
        <v>50</v>
      </c>
      <c r="T2129" s="2">
        <v>11.5</v>
      </c>
      <c r="U2129" s="2">
        <v>61.5</v>
      </c>
      <c r="V2129" s="2">
        <f>S2129*50%</f>
        <v>25</v>
      </c>
      <c r="W2129" s="5">
        <f t="shared" si="208"/>
        <v>0.5</v>
      </c>
      <c r="Y2129" s="2" t="s">
        <v>118</v>
      </c>
      <c r="Z2129" s="2" t="s">
        <v>191</v>
      </c>
      <c r="AE2129" s="2">
        <f t="shared" si="210"/>
        <v>0</v>
      </c>
      <c r="AI2129" s="2">
        <f t="shared" si="211"/>
        <v>0</v>
      </c>
      <c r="AJ2129" s="2">
        <f t="shared" si="212"/>
        <v>25</v>
      </c>
      <c r="AK2129" s="5">
        <f t="shared" si="209"/>
        <v>0.5</v>
      </c>
    </row>
    <row r="2130" spans="1:37" x14ac:dyDescent="0.2">
      <c r="A2130" s="2">
        <v>2025</v>
      </c>
      <c r="B2130" s="2">
        <v>11</v>
      </c>
      <c r="C2130" s="2" t="s">
        <v>406</v>
      </c>
      <c r="D2130" s="2" t="s">
        <v>38</v>
      </c>
      <c r="E2130" s="2" t="s">
        <v>39</v>
      </c>
      <c r="F2130" s="2">
        <v>109095197</v>
      </c>
      <c r="G2130" s="2" t="s">
        <v>40</v>
      </c>
      <c r="H2130" s="2" t="s">
        <v>2498</v>
      </c>
      <c r="I2130" s="2" t="s">
        <v>3147</v>
      </c>
      <c r="J2130" s="2">
        <v>965864665</v>
      </c>
      <c r="K2130" s="2" t="s">
        <v>345</v>
      </c>
      <c r="L2130" s="2" t="s">
        <v>81</v>
      </c>
      <c r="N2130" s="2" t="s">
        <v>3151</v>
      </c>
      <c r="O2130" s="2" t="s">
        <v>73</v>
      </c>
      <c r="P2130" s="2" t="s">
        <v>74</v>
      </c>
      <c r="Q2130" s="2" t="s">
        <v>75</v>
      </c>
      <c r="R2130" s="2">
        <v>1</v>
      </c>
      <c r="S2130" s="2">
        <v>220</v>
      </c>
      <c r="T2130" s="2">
        <v>50.6</v>
      </c>
      <c r="U2130" s="2">
        <v>270.60000000000002</v>
      </c>
      <c r="V2130" s="2">
        <v>117.453</v>
      </c>
      <c r="W2130" s="5">
        <f t="shared" si="208"/>
        <v>0.46612272727272724</v>
      </c>
      <c r="Y2130" s="2" t="s">
        <v>3256</v>
      </c>
      <c r="Z2130" s="2" t="s">
        <v>76</v>
      </c>
      <c r="AA2130" s="2" t="s">
        <v>77</v>
      </c>
      <c r="AB2130" s="2" t="s">
        <v>78</v>
      </c>
      <c r="AE2130" s="2">
        <f t="shared" si="210"/>
        <v>0</v>
      </c>
      <c r="AF2130" s="2">
        <v>117.453</v>
      </c>
      <c r="AG2130" s="2">
        <v>220</v>
      </c>
      <c r="AI2130" s="2">
        <f t="shared" si="211"/>
        <v>0</v>
      </c>
      <c r="AJ2130" s="2">
        <f t="shared" si="212"/>
        <v>102.547</v>
      </c>
      <c r="AK2130" s="5">
        <f t="shared" si="209"/>
        <v>0.46612272727272724</v>
      </c>
    </row>
    <row r="2131" spans="1:37" x14ac:dyDescent="0.2">
      <c r="A2131" s="2">
        <v>2025</v>
      </c>
      <c r="B2131" s="2">
        <v>11</v>
      </c>
      <c r="C2131" s="2" t="s">
        <v>406</v>
      </c>
      <c r="D2131" s="2" t="s">
        <v>38</v>
      </c>
      <c r="E2131" s="2" t="s">
        <v>39</v>
      </c>
      <c r="F2131" s="2">
        <v>109095197</v>
      </c>
      <c r="G2131" s="2" t="s">
        <v>40</v>
      </c>
      <c r="H2131" s="2" t="s">
        <v>2498</v>
      </c>
      <c r="I2131" s="2" t="s">
        <v>3147</v>
      </c>
      <c r="J2131" s="2">
        <v>965864665</v>
      </c>
      <c r="K2131" s="2" t="s">
        <v>345</v>
      </c>
      <c r="L2131" s="2" t="s">
        <v>81</v>
      </c>
      <c r="N2131" s="2" t="s">
        <v>3151</v>
      </c>
      <c r="O2131" s="2" t="s">
        <v>94</v>
      </c>
      <c r="P2131" s="2" t="s">
        <v>95</v>
      </c>
      <c r="Q2131" s="2" t="s">
        <v>96</v>
      </c>
      <c r="R2131" s="2">
        <v>1</v>
      </c>
      <c r="S2131" s="2">
        <v>1.1399999999999999</v>
      </c>
      <c r="T2131" s="2">
        <v>0.26219999999999999</v>
      </c>
      <c r="U2131" s="2">
        <v>1.4021999999999999</v>
      </c>
      <c r="V2131" s="2">
        <v>1.1399999999999999</v>
      </c>
      <c r="W2131" s="5">
        <f t="shared" ref="W2131:W2194" si="213">(S2131-V2131)/S2131</f>
        <v>0</v>
      </c>
      <c r="Y2131" s="2" t="s">
        <v>3256</v>
      </c>
      <c r="Z2131" s="2" t="s">
        <v>97</v>
      </c>
      <c r="AA2131" s="2" t="s">
        <v>77</v>
      </c>
      <c r="AB2131" s="2" t="s">
        <v>94</v>
      </c>
      <c r="AE2131" s="2">
        <f t="shared" si="210"/>
        <v>0</v>
      </c>
      <c r="AI2131" s="2">
        <f t="shared" si="211"/>
        <v>0</v>
      </c>
      <c r="AJ2131" s="2">
        <f t="shared" si="212"/>
        <v>0</v>
      </c>
      <c r="AK2131" s="5">
        <f t="shared" si="209"/>
        <v>0</v>
      </c>
    </row>
    <row r="2132" spans="1:37" x14ac:dyDescent="0.2">
      <c r="A2132" s="2">
        <v>2025</v>
      </c>
      <c r="B2132" s="2">
        <v>11</v>
      </c>
      <c r="C2132" s="2" t="s">
        <v>419</v>
      </c>
      <c r="D2132" s="2" t="s">
        <v>38</v>
      </c>
      <c r="E2132" s="2" t="s">
        <v>39</v>
      </c>
      <c r="F2132" s="2">
        <v>219908800</v>
      </c>
      <c r="G2132" s="2" t="s">
        <v>41</v>
      </c>
      <c r="H2132" s="2" t="s">
        <v>420</v>
      </c>
      <c r="I2132" s="2" t="s">
        <v>421</v>
      </c>
      <c r="K2132" s="2" t="s">
        <v>422</v>
      </c>
      <c r="L2132" s="2" t="s">
        <v>41</v>
      </c>
      <c r="O2132" s="2" t="s">
        <v>43</v>
      </c>
      <c r="P2132" s="2" t="s">
        <v>59</v>
      </c>
      <c r="Q2132" s="2" t="s">
        <v>60</v>
      </c>
      <c r="R2132" s="2">
        <v>100</v>
      </c>
      <c r="S2132" s="2">
        <v>13</v>
      </c>
      <c r="T2132" s="2">
        <v>2.99</v>
      </c>
      <c r="U2132" s="2">
        <v>15.99</v>
      </c>
      <c r="V2132" s="2">
        <f>0.0914*R2132</f>
        <v>9.1399999999999988</v>
      </c>
      <c r="W2132" s="5">
        <f t="shared" si="213"/>
        <v>0.29692307692307701</v>
      </c>
      <c r="Y2132" s="2" t="s">
        <v>3256</v>
      </c>
      <c r="Z2132" s="2" t="s">
        <v>46</v>
      </c>
      <c r="AA2132" s="2" t="s">
        <v>61</v>
      </c>
      <c r="AB2132" s="2" t="s">
        <v>58</v>
      </c>
      <c r="AE2132" s="2">
        <f t="shared" si="210"/>
        <v>0</v>
      </c>
      <c r="AF2132" s="2">
        <v>9.14</v>
      </c>
      <c r="AG2132" s="2">
        <v>16</v>
      </c>
      <c r="AI2132" s="2">
        <f t="shared" si="211"/>
        <v>0</v>
      </c>
      <c r="AJ2132" s="2">
        <f t="shared" si="212"/>
        <v>3.8600000000000012</v>
      </c>
      <c r="AK2132" s="5">
        <f t="shared" si="209"/>
        <v>0.29692307692307701</v>
      </c>
    </row>
    <row r="2133" spans="1:37" x14ac:dyDescent="0.2">
      <c r="A2133" s="2">
        <v>2025</v>
      </c>
      <c r="B2133" s="2">
        <v>11</v>
      </c>
      <c r="C2133" s="2" t="s">
        <v>419</v>
      </c>
      <c r="D2133" s="2" t="s">
        <v>38</v>
      </c>
      <c r="E2133" s="2" t="s">
        <v>39</v>
      </c>
      <c r="F2133" s="2">
        <v>219908800</v>
      </c>
      <c r="G2133" s="2" t="s">
        <v>41</v>
      </c>
      <c r="H2133" s="2" t="s">
        <v>420</v>
      </c>
      <c r="I2133" s="2" t="s">
        <v>421</v>
      </c>
      <c r="K2133" s="2" t="s">
        <v>422</v>
      </c>
      <c r="L2133" s="2" t="s">
        <v>41</v>
      </c>
      <c r="O2133" s="2" t="s">
        <v>43</v>
      </c>
      <c r="P2133" s="2" t="s">
        <v>424</v>
      </c>
      <c r="Q2133" s="2" t="s">
        <v>425</v>
      </c>
      <c r="R2133" s="2">
        <v>4</v>
      </c>
      <c r="S2133" s="2">
        <v>26.4</v>
      </c>
      <c r="T2133" s="2">
        <v>6.0720000000000001</v>
      </c>
      <c r="U2133" s="2">
        <v>32.472000000000001</v>
      </c>
      <c r="V2133" s="2">
        <f>3.7556*R2133</f>
        <v>15.022399999999999</v>
      </c>
      <c r="W2133" s="5">
        <f t="shared" si="213"/>
        <v>0.43096969696969695</v>
      </c>
      <c r="Y2133" s="2" t="s">
        <v>3256</v>
      </c>
      <c r="Z2133" s="2" t="s">
        <v>46</v>
      </c>
      <c r="AA2133" s="2" t="s">
        <v>61</v>
      </c>
      <c r="AB2133" s="2" t="s">
        <v>58</v>
      </c>
      <c r="AE2133" s="2">
        <f t="shared" si="210"/>
        <v>0</v>
      </c>
      <c r="AF2133" s="2">
        <v>3.7555999999999998</v>
      </c>
      <c r="AG2133" s="2">
        <v>7.2</v>
      </c>
      <c r="AI2133" s="2">
        <f t="shared" si="211"/>
        <v>0</v>
      </c>
      <c r="AJ2133" s="2">
        <f t="shared" si="212"/>
        <v>11.377599999999999</v>
      </c>
      <c r="AK2133" s="5">
        <f t="shared" si="209"/>
        <v>0.43096969696969695</v>
      </c>
    </row>
    <row r="2134" spans="1:37" x14ac:dyDescent="0.2">
      <c r="A2134" s="2">
        <v>2025</v>
      </c>
      <c r="B2134" s="2">
        <v>11</v>
      </c>
      <c r="C2134" s="2" t="s">
        <v>419</v>
      </c>
      <c r="D2134" s="2" t="s">
        <v>38</v>
      </c>
      <c r="E2134" s="2" t="s">
        <v>39</v>
      </c>
      <c r="F2134" s="2">
        <v>219908800</v>
      </c>
      <c r="G2134" s="2" t="s">
        <v>41</v>
      </c>
      <c r="H2134" s="2" t="s">
        <v>420</v>
      </c>
      <c r="I2134" s="2" t="s">
        <v>421</v>
      </c>
      <c r="K2134" s="2" t="s">
        <v>422</v>
      </c>
      <c r="O2134" s="2" t="s">
        <v>170</v>
      </c>
      <c r="P2134" s="2" t="s">
        <v>171</v>
      </c>
      <c r="Q2134" s="2" t="s">
        <v>171</v>
      </c>
      <c r="R2134" s="2">
        <v>1</v>
      </c>
      <c r="S2134" s="2">
        <v>5</v>
      </c>
      <c r="T2134" s="2">
        <v>1.1499999999999999</v>
      </c>
      <c r="U2134" s="2">
        <v>6.15</v>
      </c>
      <c r="W2134" s="5">
        <f t="shared" si="213"/>
        <v>1</v>
      </c>
      <c r="Y2134" s="2" t="s">
        <v>170</v>
      </c>
      <c r="Z2134" s="2" t="s">
        <v>170</v>
      </c>
      <c r="AE2134" s="2">
        <f t="shared" si="210"/>
        <v>0</v>
      </c>
      <c r="AI2134" s="2">
        <f t="shared" si="211"/>
        <v>0</v>
      </c>
      <c r="AJ2134" s="2">
        <f t="shared" si="212"/>
        <v>5</v>
      </c>
      <c r="AK2134" s="5">
        <f t="shared" si="209"/>
        <v>1</v>
      </c>
    </row>
    <row r="2135" spans="1:37" x14ac:dyDescent="0.2">
      <c r="A2135" s="2">
        <v>2025</v>
      </c>
      <c r="B2135" s="2">
        <v>11</v>
      </c>
      <c r="C2135" s="2" t="s">
        <v>2029</v>
      </c>
      <c r="L2135" s="2" t="s">
        <v>40</v>
      </c>
      <c r="O2135" s="2" t="s">
        <v>188</v>
      </c>
      <c r="P2135" s="2" t="s">
        <v>189</v>
      </c>
      <c r="Q2135" s="2" t="s">
        <v>190</v>
      </c>
      <c r="R2135" s="2">
        <v>1</v>
      </c>
      <c r="S2135" s="2">
        <v>106</v>
      </c>
      <c r="T2135" s="2">
        <v>24.38</v>
      </c>
      <c r="U2135" s="2">
        <v>130.38</v>
      </c>
      <c r="W2135" s="5">
        <f t="shared" si="213"/>
        <v>1</v>
      </c>
      <c r="Y2135" s="2" t="s">
        <v>118</v>
      </c>
      <c r="Z2135" s="2" t="s">
        <v>191</v>
      </c>
      <c r="AE2135" s="2">
        <f t="shared" si="210"/>
        <v>0</v>
      </c>
      <c r="AI2135" s="2">
        <f t="shared" si="211"/>
        <v>0</v>
      </c>
      <c r="AJ2135" s="2">
        <f t="shared" si="212"/>
        <v>106</v>
      </c>
      <c r="AK2135" s="5">
        <f t="shared" si="209"/>
        <v>1</v>
      </c>
    </row>
    <row r="2136" spans="1:37" x14ac:dyDescent="0.2">
      <c r="A2136" s="2">
        <v>2025</v>
      </c>
      <c r="B2136" s="2">
        <v>11</v>
      </c>
      <c r="C2136" s="2" t="s">
        <v>2029</v>
      </c>
      <c r="L2136" s="2" t="s">
        <v>40</v>
      </c>
      <c r="O2136" s="2" t="s">
        <v>188</v>
      </c>
      <c r="P2136" s="2" t="s">
        <v>192</v>
      </c>
      <c r="Q2136" s="2" t="s">
        <v>191</v>
      </c>
      <c r="R2136" s="2">
        <v>2</v>
      </c>
      <c r="S2136" s="2">
        <v>100</v>
      </c>
      <c r="T2136" s="2">
        <v>23</v>
      </c>
      <c r="U2136" s="2">
        <v>123</v>
      </c>
      <c r="V2136" s="2">
        <f>S2136*50%</f>
        <v>50</v>
      </c>
      <c r="W2136" s="5">
        <f t="shared" si="213"/>
        <v>0.5</v>
      </c>
      <c r="Y2136" s="2" t="s">
        <v>118</v>
      </c>
      <c r="Z2136" s="2" t="s">
        <v>191</v>
      </c>
      <c r="AE2136" s="2">
        <f t="shared" si="210"/>
        <v>0</v>
      </c>
      <c r="AI2136" s="2">
        <f t="shared" si="211"/>
        <v>0</v>
      </c>
      <c r="AJ2136" s="2">
        <f t="shared" si="212"/>
        <v>50</v>
      </c>
      <c r="AK2136" s="5">
        <f t="shared" si="209"/>
        <v>0.5</v>
      </c>
    </row>
    <row r="2137" spans="1:37" x14ac:dyDescent="0.2">
      <c r="A2137" s="2">
        <v>2025</v>
      </c>
      <c r="B2137" s="2">
        <v>11</v>
      </c>
      <c r="C2137" s="2" t="s">
        <v>1024</v>
      </c>
      <c r="L2137" s="2" t="s">
        <v>81</v>
      </c>
      <c r="N2137" s="2" t="s">
        <v>2030</v>
      </c>
      <c r="O2137" s="2" t="s">
        <v>43</v>
      </c>
      <c r="P2137" s="2" t="s">
        <v>352</v>
      </c>
      <c r="Q2137" s="2" t="s">
        <v>353</v>
      </c>
      <c r="R2137" s="2">
        <v>6</v>
      </c>
      <c r="S2137" s="2">
        <v>111.6</v>
      </c>
      <c r="T2137" s="2">
        <v>25.667999999999999</v>
      </c>
      <c r="U2137" s="2">
        <v>137.268</v>
      </c>
      <c r="V2137" s="2">
        <f>10.67*R2137</f>
        <v>64.02</v>
      </c>
      <c r="W2137" s="5">
        <f t="shared" si="213"/>
        <v>0.42634408602150536</v>
      </c>
      <c r="Y2137" s="2" t="s">
        <v>3256</v>
      </c>
      <c r="Z2137" s="2" t="s">
        <v>46</v>
      </c>
      <c r="AA2137" s="2" t="s">
        <v>47</v>
      </c>
      <c r="AB2137" s="2" t="s">
        <v>48</v>
      </c>
      <c r="AE2137" s="2">
        <f t="shared" si="210"/>
        <v>0</v>
      </c>
      <c r="AF2137" s="2">
        <v>10.67</v>
      </c>
      <c r="AG2137" s="2">
        <v>21</v>
      </c>
      <c r="AI2137" s="2">
        <f t="shared" si="211"/>
        <v>0</v>
      </c>
      <c r="AJ2137" s="2">
        <f t="shared" si="212"/>
        <v>47.58</v>
      </c>
      <c r="AK2137" s="5">
        <f t="shared" si="209"/>
        <v>0.42634408602150536</v>
      </c>
    </row>
    <row r="2138" spans="1:37" x14ac:dyDescent="0.2">
      <c r="A2138" s="2">
        <v>2025</v>
      </c>
      <c r="B2138" s="2">
        <v>11</v>
      </c>
      <c r="C2138" s="2" t="s">
        <v>1024</v>
      </c>
      <c r="O2138" s="2" t="s">
        <v>43</v>
      </c>
      <c r="P2138" s="2" t="s">
        <v>161</v>
      </c>
      <c r="Q2138" s="2" t="s">
        <v>162</v>
      </c>
      <c r="R2138" s="2">
        <v>6</v>
      </c>
      <c r="S2138" s="2">
        <v>46.8</v>
      </c>
      <c r="T2138" s="2">
        <v>10.763999999999999</v>
      </c>
      <c r="U2138" s="2">
        <v>57.563999999999993</v>
      </c>
      <c r="V2138" s="2">
        <f>3.7358*R2138</f>
        <v>22.4148</v>
      </c>
      <c r="W2138" s="5">
        <f t="shared" si="213"/>
        <v>0.52105128205128204</v>
      </c>
      <c r="Y2138" s="2" t="s">
        <v>3256</v>
      </c>
      <c r="Z2138" s="2" t="s">
        <v>46</v>
      </c>
      <c r="AA2138" s="2" t="s">
        <v>47</v>
      </c>
      <c r="AB2138" s="2" t="s">
        <v>48</v>
      </c>
      <c r="AE2138" s="2">
        <f t="shared" si="210"/>
        <v>0</v>
      </c>
      <c r="AF2138" s="2">
        <v>3.7357999999999998</v>
      </c>
      <c r="AG2138" s="2">
        <v>9</v>
      </c>
      <c r="AI2138" s="2">
        <f t="shared" si="211"/>
        <v>0</v>
      </c>
      <c r="AJ2138" s="2">
        <f t="shared" si="212"/>
        <v>24.385199999999998</v>
      </c>
      <c r="AK2138" s="5">
        <f t="shared" si="209"/>
        <v>0.52105128205128204</v>
      </c>
    </row>
    <row r="2139" spans="1:37" x14ac:dyDescent="0.2">
      <c r="A2139" s="2">
        <v>2025</v>
      </c>
      <c r="B2139" s="2">
        <v>11</v>
      </c>
      <c r="C2139" s="2" t="s">
        <v>1024</v>
      </c>
      <c r="O2139" s="2" t="s">
        <v>43</v>
      </c>
      <c r="P2139" s="2" t="s">
        <v>66</v>
      </c>
      <c r="Q2139" s="2" t="s">
        <v>67</v>
      </c>
      <c r="R2139" s="2">
        <v>1</v>
      </c>
      <c r="S2139" s="2">
        <v>26.4</v>
      </c>
      <c r="T2139" s="2">
        <v>6.0720000000000001</v>
      </c>
      <c r="U2139" s="2">
        <v>32.472000000000001</v>
      </c>
      <c r="V2139" s="2">
        <f>15.0203*R2139</f>
        <v>15.020300000000001</v>
      </c>
      <c r="W2139" s="5">
        <f t="shared" si="213"/>
        <v>0.43104924242424236</v>
      </c>
      <c r="Y2139" s="2" t="s">
        <v>3256</v>
      </c>
      <c r="Z2139" s="2" t="s">
        <v>46</v>
      </c>
      <c r="AA2139" s="2" t="s">
        <v>68</v>
      </c>
      <c r="AB2139" s="2" t="s">
        <v>58</v>
      </c>
      <c r="AE2139" s="2">
        <f t="shared" si="210"/>
        <v>0</v>
      </c>
      <c r="AF2139" s="2">
        <v>15.020300000000001</v>
      </c>
      <c r="AG2139" s="2">
        <v>27.6</v>
      </c>
      <c r="AI2139" s="2">
        <f t="shared" si="211"/>
        <v>0</v>
      </c>
      <c r="AJ2139" s="2">
        <f t="shared" si="212"/>
        <v>11.379699999999998</v>
      </c>
      <c r="AK2139" s="5">
        <f t="shared" si="209"/>
        <v>0.43104924242424236</v>
      </c>
    </row>
    <row r="2140" spans="1:37" x14ac:dyDescent="0.2">
      <c r="A2140" s="2">
        <v>2025</v>
      </c>
      <c r="B2140" s="2">
        <v>11</v>
      </c>
      <c r="C2140" s="2" t="s">
        <v>426</v>
      </c>
      <c r="D2140" s="2" t="s">
        <v>99</v>
      </c>
      <c r="E2140" s="2" t="s">
        <v>39</v>
      </c>
      <c r="F2140" s="2">
        <v>503523470</v>
      </c>
      <c r="G2140" s="2" t="s">
        <v>40</v>
      </c>
      <c r="H2140" s="2" t="s">
        <v>427</v>
      </c>
      <c r="I2140" s="2" t="s">
        <v>428</v>
      </c>
      <c r="K2140" s="2" t="s">
        <v>202</v>
      </c>
      <c r="L2140" s="2" t="s">
        <v>81</v>
      </c>
      <c r="O2140" s="2" t="s">
        <v>43</v>
      </c>
      <c r="P2140" s="2" t="s">
        <v>161</v>
      </c>
      <c r="Q2140" s="2" t="s">
        <v>162</v>
      </c>
      <c r="R2140" s="2">
        <v>1</v>
      </c>
      <c r="S2140" s="2">
        <v>7.8</v>
      </c>
      <c r="T2140" s="2">
        <v>1.794</v>
      </c>
      <c r="U2140" s="2">
        <v>9.5939999999999994</v>
      </c>
      <c r="V2140" s="2">
        <f>3.7358*R2140</f>
        <v>3.7357999999999998</v>
      </c>
      <c r="W2140" s="5">
        <f t="shared" si="213"/>
        <v>0.52105128205128204</v>
      </c>
      <c r="Y2140" s="2" t="s">
        <v>3256</v>
      </c>
      <c r="Z2140" s="2" t="s">
        <v>46</v>
      </c>
      <c r="AA2140" s="2" t="s">
        <v>47</v>
      </c>
      <c r="AB2140" s="2" t="s">
        <v>48</v>
      </c>
      <c r="AE2140" s="2">
        <f t="shared" si="210"/>
        <v>0</v>
      </c>
      <c r="AF2140" s="2">
        <v>3.7357999999999998</v>
      </c>
      <c r="AG2140" s="2">
        <v>9</v>
      </c>
      <c r="AI2140" s="2">
        <f t="shared" si="211"/>
        <v>0</v>
      </c>
      <c r="AJ2140" s="2">
        <f t="shared" si="212"/>
        <v>4.0641999999999996</v>
      </c>
      <c r="AK2140" s="5">
        <f t="shared" si="209"/>
        <v>0.52105128205128204</v>
      </c>
    </row>
    <row r="2141" spans="1:37" x14ac:dyDescent="0.2">
      <c r="A2141" s="2">
        <v>2025</v>
      </c>
      <c r="B2141" s="2">
        <v>11</v>
      </c>
      <c r="C2141" s="2" t="s">
        <v>426</v>
      </c>
      <c r="D2141" s="2" t="s">
        <v>99</v>
      </c>
      <c r="E2141" s="2" t="s">
        <v>39</v>
      </c>
      <c r="F2141" s="2">
        <v>503523470</v>
      </c>
      <c r="G2141" s="2" t="s">
        <v>40</v>
      </c>
      <c r="H2141" s="2" t="s">
        <v>427</v>
      </c>
      <c r="I2141" s="2" t="s">
        <v>428</v>
      </c>
      <c r="K2141" s="2" t="s">
        <v>202</v>
      </c>
      <c r="L2141" s="2" t="s">
        <v>81</v>
      </c>
      <c r="O2141" s="2" t="s">
        <v>43</v>
      </c>
      <c r="P2141" s="2" t="s">
        <v>55</v>
      </c>
      <c r="Q2141" s="2" t="s">
        <v>56</v>
      </c>
      <c r="R2141" s="2">
        <v>1</v>
      </c>
      <c r="S2141" s="2">
        <v>18</v>
      </c>
      <c r="T2141" s="2">
        <v>4.1400000000000006</v>
      </c>
      <c r="U2141" s="2">
        <v>22.14</v>
      </c>
      <c r="V2141" s="2">
        <f>10.6*R2141</f>
        <v>10.6</v>
      </c>
      <c r="W2141" s="5">
        <f t="shared" si="213"/>
        <v>0.41111111111111115</v>
      </c>
      <c r="Y2141" s="2" t="s">
        <v>3256</v>
      </c>
      <c r="Z2141" s="2" t="s">
        <v>46</v>
      </c>
      <c r="AA2141" s="2" t="s">
        <v>57</v>
      </c>
      <c r="AB2141" s="2" t="s">
        <v>58</v>
      </c>
      <c r="AE2141" s="2">
        <f t="shared" si="210"/>
        <v>0</v>
      </c>
      <c r="AF2141" s="2">
        <v>10.6</v>
      </c>
      <c r="AG2141" s="2">
        <v>18</v>
      </c>
      <c r="AI2141" s="2">
        <f t="shared" si="211"/>
        <v>0</v>
      </c>
      <c r="AJ2141" s="2">
        <f t="shared" si="212"/>
        <v>7.4</v>
      </c>
      <c r="AK2141" s="5">
        <f t="shared" si="209"/>
        <v>0.41111111111111115</v>
      </c>
    </row>
    <row r="2142" spans="1:37" x14ac:dyDescent="0.2">
      <c r="A2142" s="2">
        <v>2025</v>
      </c>
      <c r="B2142" s="2">
        <v>11</v>
      </c>
      <c r="C2142" s="2" t="s">
        <v>1383</v>
      </c>
      <c r="O2142" s="2" t="s">
        <v>115</v>
      </c>
      <c r="P2142" s="2" t="s">
        <v>2031</v>
      </c>
      <c r="Q2142" s="2" t="s">
        <v>2032</v>
      </c>
      <c r="R2142" s="2">
        <v>1</v>
      </c>
      <c r="S2142" s="2">
        <v>24.68</v>
      </c>
      <c r="T2142" s="2">
        <v>5.6764000000000001</v>
      </c>
      <c r="U2142" s="2">
        <v>30.356400000000001</v>
      </c>
      <c r="W2142" s="5">
        <f t="shared" si="213"/>
        <v>1</v>
      </c>
      <c r="AE2142" s="2">
        <f t="shared" si="210"/>
        <v>0</v>
      </c>
      <c r="AI2142" s="2">
        <f t="shared" si="211"/>
        <v>0</v>
      </c>
      <c r="AJ2142" s="2">
        <f t="shared" si="212"/>
        <v>24.68</v>
      </c>
      <c r="AK2142" s="5">
        <f t="shared" si="209"/>
        <v>1</v>
      </c>
    </row>
    <row r="2143" spans="1:37" x14ac:dyDescent="0.2">
      <c r="A2143" s="2">
        <v>2025</v>
      </c>
      <c r="B2143" s="2">
        <v>11</v>
      </c>
      <c r="C2143" s="2" t="s">
        <v>1383</v>
      </c>
      <c r="L2143" s="2" t="s">
        <v>40</v>
      </c>
      <c r="O2143" s="2" t="s">
        <v>188</v>
      </c>
      <c r="P2143" s="2" t="s">
        <v>318</v>
      </c>
      <c r="Q2143" s="2" t="s">
        <v>319</v>
      </c>
      <c r="R2143" s="2">
        <v>1</v>
      </c>
      <c r="S2143" s="2">
        <v>929</v>
      </c>
      <c r="T2143" s="2">
        <v>213.67</v>
      </c>
      <c r="U2143" s="2">
        <v>1142.67</v>
      </c>
      <c r="W2143" s="5">
        <f t="shared" si="213"/>
        <v>1</v>
      </c>
      <c r="Y2143" s="2" t="s">
        <v>118</v>
      </c>
      <c r="Z2143" s="2" t="s">
        <v>318</v>
      </c>
      <c r="AE2143" s="2">
        <f t="shared" si="210"/>
        <v>0</v>
      </c>
      <c r="AI2143" s="2">
        <f t="shared" si="211"/>
        <v>0</v>
      </c>
      <c r="AJ2143" s="2">
        <f t="shared" si="212"/>
        <v>929</v>
      </c>
      <c r="AK2143" s="5">
        <f t="shared" si="209"/>
        <v>1</v>
      </c>
    </row>
    <row r="2144" spans="1:37" x14ac:dyDescent="0.2">
      <c r="A2144" s="2">
        <v>2025</v>
      </c>
      <c r="B2144" s="2">
        <v>11</v>
      </c>
      <c r="C2144" s="2" t="s">
        <v>1383</v>
      </c>
      <c r="L2144" s="2" t="s">
        <v>40</v>
      </c>
      <c r="O2144" s="2" t="s">
        <v>188</v>
      </c>
      <c r="P2144" s="2" t="s">
        <v>189</v>
      </c>
      <c r="Q2144" s="2" t="s">
        <v>190</v>
      </c>
      <c r="R2144" s="2">
        <v>1</v>
      </c>
      <c r="S2144" s="2">
        <v>54</v>
      </c>
      <c r="T2144" s="2">
        <v>12.42</v>
      </c>
      <c r="U2144" s="2">
        <v>66.42</v>
      </c>
      <c r="W2144" s="5">
        <f t="shared" si="213"/>
        <v>1</v>
      </c>
      <c r="Y2144" s="2" t="s">
        <v>118</v>
      </c>
      <c r="Z2144" s="2" t="s">
        <v>191</v>
      </c>
      <c r="AE2144" s="2">
        <f t="shared" si="210"/>
        <v>0</v>
      </c>
      <c r="AI2144" s="2">
        <f t="shared" si="211"/>
        <v>0</v>
      </c>
      <c r="AJ2144" s="2">
        <f t="shared" si="212"/>
        <v>54</v>
      </c>
      <c r="AK2144" s="5">
        <f t="shared" si="209"/>
        <v>1</v>
      </c>
    </row>
    <row r="2145" spans="1:37" x14ac:dyDescent="0.2">
      <c r="A2145" s="2">
        <v>2025</v>
      </c>
      <c r="B2145" s="2">
        <v>11</v>
      </c>
      <c r="C2145" s="2" t="s">
        <v>1383</v>
      </c>
      <c r="L2145" s="2" t="s">
        <v>40</v>
      </c>
      <c r="O2145" s="2" t="s">
        <v>188</v>
      </c>
      <c r="P2145" s="2" t="s">
        <v>192</v>
      </c>
      <c r="Q2145" s="2" t="s">
        <v>191</v>
      </c>
      <c r="R2145" s="2">
        <v>1</v>
      </c>
      <c r="S2145" s="2">
        <v>0</v>
      </c>
      <c r="T2145" s="2">
        <v>0</v>
      </c>
      <c r="U2145" s="2">
        <v>0</v>
      </c>
      <c r="V2145" s="2">
        <f>S2145*50%</f>
        <v>0</v>
      </c>
      <c r="W2145" s="5" t="e">
        <f t="shared" si="213"/>
        <v>#DIV/0!</v>
      </c>
      <c r="Y2145" s="2" t="s">
        <v>118</v>
      </c>
      <c r="Z2145" s="2" t="s">
        <v>191</v>
      </c>
      <c r="AE2145" s="2">
        <f t="shared" si="210"/>
        <v>0</v>
      </c>
      <c r="AI2145" s="2">
        <f t="shared" si="211"/>
        <v>0</v>
      </c>
      <c r="AJ2145" s="2">
        <f t="shared" si="212"/>
        <v>0</v>
      </c>
      <c r="AK2145" s="5" t="e">
        <f t="shared" si="209"/>
        <v>#DIV/0!</v>
      </c>
    </row>
    <row r="2146" spans="1:37" x14ac:dyDescent="0.2">
      <c r="A2146" s="2">
        <v>2025</v>
      </c>
      <c r="B2146" s="2">
        <v>11</v>
      </c>
      <c r="C2146" s="2" t="s">
        <v>1383</v>
      </c>
      <c r="L2146" s="2" t="s">
        <v>40</v>
      </c>
      <c r="O2146" s="2" t="s">
        <v>115</v>
      </c>
      <c r="P2146" s="2" t="s">
        <v>411</v>
      </c>
      <c r="Q2146" s="2" t="s">
        <v>412</v>
      </c>
      <c r="R2146" s="2">
        <v>1</v>
      </c>
      <c r="S2146" s="2">
        <v>0</v>
      </c>
      <c r="T2146" s="2">
        <v>0</v>
      </c>
      <c r="U2146" s="2">
        <v>0</v>
      </c>
      <c r="W2146" s="5" t="e">
        <f t="shared" si="213"/>
        <v>#DIV/0!</v>
      </c>
      <c r="Y2146" s="2" t="s">
        <v>118</v>
      </c>
      <c r="Z2146" s="2" t="s">
        <v>318</v>
      </c>
      <c r="AE2146" s="2">
        <f t="shared" si="210"/>
        <v>0</v>
      </c>
      <c r="AI2146" s="2">
        <f t="shared" si="211"/>
        <v>0</v>
      </c>
      <c r="AJ2146" s="2">
        <f t="shared" si="212"/>
        <v>0</v>
      </c>
      <c r="AK2146" s="5" t="e">
        <f t="shared" si="209"/>
        <v>#DIV/0!</v>
      </c>
    </row>
    <row r="2147" spans="1:37" x14ac:dyDescent="0.2">
      <c r="A2147" s="2">
        <v>2025</v>
      </c>
      <c r="B2147" s="2">
        <v>11</v>
      </c>
      <c r="C2147" s="2" t="s">
        <v>1569</v>
      </c>
      <c r="D2147" s="2" t="s">
        <v>109</v>
      </c>
      <c r="E2147" s="2" t="s">
        <v>723</v>
      </c>
      <c r="F2147" s="2">
        <v>500975914</v>
      </c>
      <c r="G2147" s="2" t="s">
        <v>41</v>
      </c>
      <c r="H2147" s="2" t="s">
        <v>1570</v>
      </c>
      <c r="I2147" s="2" t="s">
        <v>1571</v>
      </c>
      <c r="K2147" s="2" t="s">
        <v>100</v>
      </c>
      <c r="L2147" s="2" t="s">
        <v>41</v>
      </c>
      <c r="O2147" s="2" t="s">
        <v>283</v>
      </c>
      <c r="P2147" s="2" t="s">
        <v>401</v>
      </c>
      <c r="Q2147" s="2" t="s">
        <v>402</v>
      </c>
      <c r="R2147" s="2">
        <v>20</v>
      </c>
      <c r="S2147" s="2">
        <v>400</v>
      </c>
      <c r="T2147" s="2">
        <v>92</v>
      </c>
      <c r="U2147" s="2">
        <v>492</v>
      </c>
      <c r="W2147" s="5">
        <f t="shared" si="213"/>
        <v>1</v>
      </c>
      <c r="Y2147" s="2" t="s">
        <v>3256</v>
      </c>
      <c r="Z2147" s="2" t="s">
        <v>46</v>
      </c>
      <c r="AA2147" s="2" t="s">
        <v>61</v>
      </c>
      <c r="AB2147" s="2" t="s">
        <v>403</v>
      </c>
      <c r="AE2147" s="2">
        <f t="shared" si="210"/>
        <v>0</v>
      </c>
      <c r="AI2147" s="2">
        <f t="shared" si="211"/>
        <v>0</v>
      </c>
      <c r="AJ2147" s="2">
        <f t="shared" si="212"/>
        <v>400</v>
      </c>
      <c r="AK2147" s="5">
        <f t="shared" si="209"/>
        <v>1</v>
      </c>
    </row>
    <row r="2148" spans="1:37" x14ac:dyDescent="0.2">
      <c r="A2148" s="2">
        <v>2025</v>
      </c>
      <c r="B2148" s="2">
        <v>11</v>
      </c>
      <c r="C2148" s="2" t="s">
        <v>1569</v>
      </c>
      <c r="D2148" s="2" t="s">
        <v>109</v>
      </c>
      <c r="E2148" s="2" t="s">
        <v>723</v>
      </c>
      <c r="F2148" s="2">
        <v>500975914</v>
      </c>
      <c r="G2148" s="2" t="s">
        <v>41</v>
      </c>
      <c r="H2148" s="2" t="s">
        <v>1570</v>
      </c>
      <c r="I2148" s="2" t="s">
        <v>1571</v>
      </c>
      <c r="K2148" s="2" t="s">
        <v>100</v>
      </c>
      <c r="L2148" s="2" t="s">
        <v>41</v>
      </c>
      <c r="O2148" s="2" t="s">
        <v>283</v>
      </c>
      <c r="P2148" s="2" t="s">
        <v>404</v>
      </c>
      <c r="Q2148" s="2" t="s">
        <v>405</v>
      </c>
      <c r="R2148" s="2">
        <v>20</v>
      </c>
      <c r="S2148" s="2">
        <v>400</v>
      </c>
      <c r="T2148" s="2">
        <v>92</v>
      </c>
      <c r="U2148" s="2">
        <v>492</v>
      </c>
      <c r="W2148" s="5">
        <f t="shared" si="213"/>
        <v>1</v>
      </c>
      <c r="AE2148" s="2">
        <f t="shared" si="210"/>
        <v>0</v>
      </c>
      <c r="AI2148" s="2">
        <f t="shared" si="211"/>
        <v>0</v>
      </c>
      <c r="AJ2148" s="2">
        <f t="shared" si="212"/>
        <v>400</v>
      </c>
      <c r="AK2148" s="5">
        <f t="shared" si="209"/>
        <v>1</v>
      </c>
    </row>
    <row r="2149" spans="1:37" x14ac:dyDescent="0.2">
      <c r="A2149" s="2">
        <v>2025</v>
      </c>
      <c r="B2149" s="2">
        <v>11</v>
      </c>
      <c r="C2149" s="2" t="s">
        <v>437</v>
      </c>
      <c r="O2149" s="2" t="s">
        <v>283</v>
      </c>
      <c r="P2149" s="2" t="s">
        <v>401</v>
      </c>
      <c r="Q2149" s="2" t="s">
        <v>402</v>
      </c>
      <c r="R2149" s="2">
        <v>10</v>
      </c>
      <c r="S2149" s="2">
        <v>200</v>
      </c>
      <c r="T2149" s="2">
        <v>46</v>
      </c>
      <c r="U2149" s="2">
        <v>246</v>
      </c>
      <c r="W2149" s="5">
        <f t="shared" si="213"/>
        <v>1</v>
      </c>
      <c r="Y2149" s="2" t="s">
        <v>3256</v>
      </c>
      <c r="Z2149" s="2" t="s">
        <v>46</v>
      </c>
      <c r="AA2149" s="2" t="s">
        <v>61</v>
      </c>
      <c r="AB2149" s="2" t="s">
        <v>403</v>
      </c>
      <c r="AE2149" s="2">
        <f t="shared" si="210"/>
        <v>0</v>
      </c>
      <c r="AI2149" s="2">
        <f t="shared" si="211"/>
        <v>0</v>
      </c>
      <c r="AJ2149" s="2">
        <f t="shared" si="212"/>
        <v>200</v>
      </c>
      <c r="AK2149" s="5">
        <f t="shared" si="209"/>
        <v>1</v>
      </c>
    </row>
    <row r="2150" spans="1:37" x14ac:dyDescent="0.2">
      <c r="A2150" s="2">
        <v>2025</v>
      </c>
      <c r="B2150" s="2">
        <v>11</v>
      </c>
      <c r="C2150" s="2" t="s">
        <v>437</v>
      </c>
      <c r="O2150" s="2" t="s">
        <v>283</v>
      </c>
      <c r="P2150" s="2" t="s">
        <v>404</v>
      </c>
      <c r="Q2150" s="2" t="s">
        <v>405</v>
      </c>
      <c r="R2150" s="2">
        <v>10</v>
      </c>
      <c r="S2150" s="2">
        <v>200</v>
      </c>
      <c r="T2150" s="2">
        <v>46</v>
      </c>
      <c r="U2150" s="2">
        <v>246</v>
      </c>
      <c r="W2150" s="5">
        <f t="shared" si="213"/>
        <v>1</v>
      </c>
      <c r="AE2150" s="2">
        <f t="shared" si="210"/>
        <v>0</v>
      </c>
      <c r="AI2150" s="2">
        <f t="shared" si="211"/>
        <v>0</v>
      </c>
      <c r="AJ2150" s="2">
        <f t="shared" si="212"/>
        <v>200</v>
      </c>
      <c r="AK2150" s="5">
        <f t="shared" si="209"/>
        <v>1</v>
      </c>
    </row>
    <row r="2151" spans="1:37" x14ac:dyDescent="0.2">
      <c r="A2151" s="2">
        <v>2025</v>
      </c>
      <c r="B2151" s="2">
        <v>11</v>
      </c>
      <c r="C2151" s="2" t="s">
        <v>1250</v>
      </c>
      <c r="L2151" s="2" t="s">
        <v>40</v>
      </c>
      <c r="O2151" s="2" t="s">
        <v>188</v>
      </c>
      <c r="P2151" s="2" t="s">
        <v>189</v>
      </c>
      <c r="Q2151" s="2" t="s">
        <v>190</v>
      </c>
      <c r="R2151" s="2">
        <v>1</v>
      </c>
      <c r="S2151" s="2">
        <v>50</v>
      </c>
      <c r="T2151" s="2">
        <v>11.5</v>
      </c>
      <c r="U2151" s="2">
        <v>61.5</v>
      </c>
      <c r="W2151" s="5">
        <f t="shared" si="213"/>
        <v>1</v>
      </c>
      <c r="Y2151" s="2" t="s">
        <v>118</v>
      </c>
      <c r="Z2151" s="2" t="s">
        <v>191</v>
      </c>
      <c r="AE2151" s="2">
        <f t="shared" si="210"/>
        <v>0</v>
      </c>
      <c r="AI2151" s="2">
        <f t="shared" si="211"/>
        <v>0</v>
      </c>
      <c r="AJ2151" s="2">
        <f t="shared" si="212"/>
        <v>50</v>
      </c>
      <c r="AK2151" s="5">
        <f t="shared" si="209"/>
        <v>1</v>
      </c>
    </row>
    <row r="2152" spans="1:37" x14ac:dyDescent="0.2">
      <c r="A2152" s="2">
        <v>2025</v>
      </c>
      <c r="B2152" s="2">
        <v>11</v>
      </c>
      <c r="C2152" s="2" t="s">
        <v>1250</v>
      </c>
      <c r="L2152" s="2" t="s">
        <v>40</v>
      </c>
      <c r="O2152" s="2" t="s">
        <v>188</v>
      </c>
      <c r="P2152" s="2" t="s">
        <v>192</v>
      </c>
      <c r="Q2152" s="2" t="s">
        <v>191</v>
      </c>
      <c r="R2152" s="2">
        <v>1.5</v>
      </c>
      <c r="S2152" s="2">
        <v>75</v>
      </c>
      <c r="T2152" s="2">
        <v>17.25</v>
      </c>
      <c r="U2152" s="2">
        <v>92.25</v>
      </c>
      <c r="V2152" s="2">
        <f>S2152*50%</f>
        <v>37.5</v>
      </c>
      <c r="W2152" s="5">
        <f t="shared" si="213"/>
        <v>0.5</v>
      </c>
      <c r="Y2152" s="2" t="s">
        <v>118</v>
      </c>
      <c r="Z2152" s="2" t="s">
        <v>191</v>
      </c>
      <c r="AE2152" s="2">
        <f t="shared" si="210"/>
        <v>0</v>
      </c>
      <c r="AI2152" s="2">
        <f t="shared" si="211"/>
        <v>0</v>
      </c>
      <c r="AJ2152" s="2">
        <f t="shared" si="212"/>
        <v>37.5</v>
      </c>
      <c r="AK2152" s="5">
        <f t="shared" si="209"/>
        <v>0.5</v>
      </c>
    </row>
    <row r="2153" spans="1:37" x14ac:dyDescent="0.2">
      <c r="A2153" s="2">
        <v>2025</v>
      </c>
      <c r="B2153" s="2">
        <v>11</v>
      </c>
      <c r="C2153" s="2" t="s">
        <v>819</v>
      </c>
      <c r="D2153" s="2" t="s">
        <v>38</v>
      </c>
      <c r="E2153" s="2" t="s">
        <v>39</v>
      </c>
      <c r="F2153" s="2" t="s">
        <v>820</v>
      </c>
      <c r="G2153" s="2" t="s">
        <v>41</v>
      </c>
      <c r="H2153" s="2" t="s">
        <v>632</v>
      </c>
      <c r="K2153" s="2" t="s">
        <v>632</v>
      </c>
      <c r="L2153" s="2" t="s">
        <v>41</v>
      </c>
      <c r="N2153" s="2" t="s">
        <v>2033</v>
      </c>
      <c r="O2153" s="2" t="s">
        <v>43</v>
      </c>
      <c r="P2153" s="2" t="s">
        <v>2034</v>
      </c>
      <c r="Q2153" s="2" t="s">
        <v>2035</v>
      </c>
      <c r="R2153" s="2">
        <v>1</v>
      </c>
      <c r="S2153" s="2">
        <v>13.2</v>
      </c>
      <c r="T2153" s="2">
        <v>3.036</v>
      </c>
      <c r="U2153" s="2">
        <v>16.236000000000001</v>
      </c>
      <c r="W2153" s="5">
        <f t="shared" si="213"/>
        <v>1</v>
      </c>
      <c r="Y2153" s="2" t="s">
        <v>3256</v>
      </c>
      <c r="Z2153" s="2" t="s">
        <v>46</v>
      </c>
      <c r="AA2153" s="2" t="s">
        <v>47</v>
      </c>
      <c r="AB2153" s="2" t="s">
        <v>48</v>
      </c>
      <c r="AE2153" s="2">
        <f t="shared" si="210"/>
        <v>0</v>
      </c>
      <c r="AI2153" s="2">
        <f t="shared" si="211"/>
        <v>0</v>
      </c>
      <c r="AJ2153" s="2">
        <f t="shared" si="212"/>
        <v>13.2</v>
      </c>
      <c r="AK2153" s="5">
        <f t="shared" si="209"/>
        <v>1</v>
      </c>
    </row>
    <row r="2154" spans="1:37" x14ac:dyDescent="0.2">
      <c r="A2154" s="2">
        <v>2025</v>
      </c>
      <c r="B2154" s="2">
        <v>11</v>
      </c>
      <c r="C2154" s="2" t="s">
        <v>819</v>
      </c>
      <c r="D2154" s="2" t="s">
        <v>38</v>
      </c>
      <c r="E2154" s="2" t="s">
        <v>39</v>
      </c>
      <c r="F2154" s="2" t="s">
        <v>820</v>
      </c>
      <c r="G2154" s="2" t="s">
        <v>41</v>
      </c>
      <c r="H2154" s="2" t="s">
        <v>632</v>
      </c>
      <c r="K2154" s="2" t="s">
        <v>632</v>
      </c>
      <c r="L2154" s="2" t="s">
        <v>41</v>
      </c>
      <c r="N2154" s="2" t="s">
        <v>2033</v>
      </c>
      <c r="O2154" s="2" t="s">
        <v>43</v>
      </c>
      <c r="P2154" s="2" t="s">
        <v>211</v>
      </c>
      <c r="Q2154" s="2" t="s">
        <v>212</v>
      </c>
      <c r="R2154" s="2">
        <v>1</v>
      </c>
      <c r="S2154" s="2">
        <v>22.2</v>
      </c>
      <c r="T2154" s="2">
        <v>5.1059999999999999</v>
      </c>
      <c r="U2154" s="2">
        <v>27.306000000000001</v>
      </c>
      <c r="W2154" s="5">
        <f t="shared" si="213"/>
        <v>1</v>
      </c>
      <c r="Y2154" s="2" t="s">
        <v>3256</v>
      </c>
      <c r="Z2154" s="2" t="s">
        <v>46</v>
      </c>
      <c r="AA2154" s="2" t="s">
        <v>47</v>
      </c>
      <c r="AB2154" s="2" t="s">
        <v>48</v>
      </c>
      <c r="AE2154" s="2">
        <f t="shared" si="210"/>
        <v>0</v>
      </c>
      <c r="AI2154" s="2">
        <f t="shared" si="211"/>
        <v>0</v>
      </c>
      <c r="AJ2154" s="2">
        <f t="shared" si="212"/>
        <v>22.2</v>
      </c>
      <c r="AK2154" s="5">
        <f t="shared" si="209"/>
        <v>1</v>
      </c>
    </row>
    <row r="2155" spans="1:37" x14ac:dyDescent="0.2">
      <c r="A2155" s="2">
        <v>2025</v>
      </c>
      <c r="B2155" s="2">
        <v>11</v>
      </c>
      <c r="C2155" s="2" t="s">
        <v>819</v>
      </c>
      <c r="D2155" s="2" t="s">
        <v>38</v>
      </c>
      <c r="E2155" s="2" t="s">
        <v>39</v>
      </c>
      <c r="F2155" s="2" t="s">
        <v>820</v>
      </c>
      <c r="G2155" s="2" t="s">
        <v>41</v>
      </c>
      <c r="H2155" s="2" t="s">
        <v>632</v>
      </c>
      <c r="K2155" s="2" t="s">
        <v>632</v>
      </c>
      <c r="L2155" s="2" t="s">
        <v>41</v>
      </c>
      <c r="N2155" s="2" t="s">
        <v>2033</v>
      </c>
      <c r="O2155" s="2" t="s">
        <v>43</v>
      </c>
      <c r="P2155" s="2" t="s">
        <v>66</v>
      </c>
      <c r="Q2155" s="2" t="s">
        <v>67</v>
      </c>
      <c r="R2155" s="2">
        <v>2</v>
      </c>
      <c r="S2155" s="2">
        <v>45</v>
      </c>
      <c r="T2155" s="2">
        <v>10.35</v>
      </c>
      <c r="U2155" s="2">
        <v>55.35</v>
      </c>
      <c r="V2155" s="2">
        <f>15.0203*R2155</f>
        <v>30.040600000000001</v>
      </c>
      <c r="W2155" s="5">
        <f t="shared" si="213"/>
        <v>0.33243111111111107</v>
      </c>
      <c r="Y2155" s="2" t="s">
        <v>3256</v>
      </c>
      <c r="Z2155" s="2" t="s">
        <v>46</v>
      </c>
      <c r="AA2155" s="2" t="s">
        <v>68</v>
      </c>
      <c r="AB2155" s="2" t="s">
        <v>58</v>
      </c>
      <c r="AE2155" s="2">
        <f t="shared" si="210"/>
        <v>0</v>
      </c>
      <c r="AF2155" s="2">
        <v>15.020300000000001</v>
      </c>
      <c r="AG2155" s="2">
        <v>27.6</v>
      </c>
      <c r="AI2155" s="2">
        <f t="shared" si="211"/>
        <v>0</v>
      </c>
      <c r="AJ2155" s="2">
        <f t="shared" si="212"/>
        <v>14.959399999999999</v>
      </c>
      <c r="AK2155" s="5">
        <f t="shared" si="209"/>
        <v>0.33243111111111107</v>
      </c>
    </row>
    <row r="2156" spans="1:37" x14ac:dyDescent="0.2">
      <c r="A2156" s="2">
        <v>2025</v>
      </c>
      <c r="B2156" s="2">
        <v>11</v>
      </c>
      <c r="C2156" s="2" t="s">
        <v>443</v>
      </c>
      <c r="D2156" s="2" t="s">
        <v>38</v>
      </c>
      <c r="E2156" s="2" t="s">
        <v>39</v>
      </c>
      <c r="F2156" s="2">
        <v>205800831</v>
      </c>
      <c r="G2156" s="2" t="s">
        <v>41</v>
      </c>
      <c r="H2156" s="2" t="s">
        <v>178</v>
      </c>
      <c r="I2156" s="2" t="s">
        <v>3205</v>
      </c>
      <c r="J2156" s="2">
        <v>911577458</v>
      </c>
      <c r="K2156" s="2" t="s">
        <v>178</v>
      </c>
      <c r="L2156" s="2" t="s">
        <v>41</v>
      </c>
      <c r="N2156" s="2" t="s">
        <v>3208</v>
      </c>
      <c r="O2156" s="2" t="s">
        <v>43</v>
      </c>
      <c r="P2156" s="2" t="s">
        <v>49</v>
      </c>
      <c r="Q2156" s="2" t="s">
        <v>50</v>
      </c>
      <c r="R2156" s="2">
        <v>10</v>
      </c>
      <c r="S2156" s="2">
        <v>120</v>
      </c>
      <c r="T2156" s="2">
        <v>27.6</v>
      </c>
      <c r="U2156" s="2">
        <v>147.6</v>
      </c>
      <c r="V2156" s="2">
        <f>6.6267*R2156</f>
        <v>66.266999999999996</v>
      </c>
      <c r="W2156" s="5">
        <f t="shared" si="213"/>
        <v>0.44777500000000003</v>
      </c>
      <c r="Y2156" s="2" t="s">
        <v>3256</v>
      </c>
      <c r="Z2156" s="2" t="s">
        <v>46</v>
      </c>
      <c r="AA2156" s="2" t="s">
        <v>47</v>
      </c>
      <c r="AB2156" s="2" t="s">
        <v>48</v>
      </c>
      <c r="AE2156" s="2">
        <f t="shared" si="210"/>
        <v>0</v>
      </c>
      <c r="AF2156" s="2">
        <v>6.6266999999999996</v>
      </c>
      <c r="AG2156" s="2">
        <v>12</v>
      </c>
      <c r="AI2156" s="2">
        <f t="shared" si="211"/>
        <v>0</v>
      </c>
      <c r="AJ2156" s="2">
        <f t="shared" si="212"/>
        <v>53.733000000000004</v>
      </c>
      <c r="AK2156" s="5">
        <f t="shared" si="209"/>
        <v>0.44777500000000003</v>
      </c>
    </row>
    <row r="2157" spans="1:37" x14ac:dyDescent="0.2">
      <c r="A2157" s="2">
        <v>2025</v>
      </c>
      <c r="B2157" s="2">
        <v>11</v>
      </c>
      <c r="C2157" s="2" t="s">
        <v>443</v>
      </c>
      <c r="D2157" s="2" t="s">
        <v>38</v>
      </c>
      <c r="E2157" s="2" t="s">
        <v>39</v>
      </c>
      <c r="F2157" s="2">
        <v>205800831</v>
      </c>
      <c r="G2157" s="2" t="s">
        <v>41</v>
      </c>
      <c r="H2157" s="2" t="s">
        <v>178</v>
      </c>
      <c r="I2157" s="2" t="s">
        <v>3205</v>
      </c>
      <c r="J2157" s="2">
        <v>911577458</v>
      </c>
      <c r="K2157" s="2" t="s">
        <v>178</v>
      </c>
      <c r="L2157" s="2" t="s">
        <v>41</v>
      </c>
      <c r="N2157" s="2" t="s">
        <v>3208</v>
      </c>
      <c r="O2157" s="2" t="s">
        <v>43</v>
      </c>
      <c r="P2157" s="2" t="s">
        <v>161</v>
      </c>
      <c r="Q2157" s="2" t="s">
        <v>162</v>
      </c>
      <c r="R2157" s="2">
        <v>1</v>
      </c>
      <c r="S2157" s="2">
        <v>7.8</v>
      </c>
      <c r="T2157" s="2">
        <v>1.794</v>
      </c>
      <c r="U2157" s="2">
        <v>9.5939999999999994</v>
      </c>
      <c r="V2157" s="2">
        <f>3.7358*R2157</f>
        <v>3.7357999999999998</v>
      </c>
      <c r="W2157" s="5">
        <f t="shared" si="213"/>
        <v>0.52105128205128204</v>
      </c>
      <c r="Y2157" s="2" t="s">
        <v>3256</v>
      </c>
      <c r="Z2157" s="2" t="s">
        <v>46</v>
      </c>
      <c r="AA2157" s="2" t="s">
        <v>47</v>
      </c>
      <c r="AB2157" s="2" t="s">
        <v>48</v>
      </c>
      <c r="AE2157" s="2">
        <f t="shared" si="210"/>
        <v>0</v>
      </c>
      <c r="AF2157" s="2">
        <v>3.7357999999999998</v>
      </c>
      <c r="AG2157" s="2">
        <v>9</v>
      </c>
      <c r="AI2157" s="2">
        <f t="shared" si="211"/>
        <v>0</v>
      </c>
      <c r="AJ2157" s="2">
        <f t="shared" si="212"/>
        <v>4.0641999999999996</v>
      </c>
      <c r="AK2157" s="5">
        <f t="shared" si="209"/>
        <v>0.52105128205128204</v>
      </c>
    </row>
    <row r="2158" spans="1:37" x14ac:dyDescent="0.2">
      <c r="A2158" s="2">
        <v>2025</v>
      </c>
      <c r="B2158" s="2">
        <v>11</v>
      </c>
      <c r="C2158" s="2" t="s">
        <v>443</v>
      </c>
      <c r="D2158" s="2" t="s">
        <v>38</v>
      </c>
      <c r="E2158" s="2" t="s">
        <v>39</v>
      </c>
      <c r="F2158" s="2">
        <v>205800831</v>
      </c>
      <c r="G2158" s="2" t="s">
        <v>41</v>
      </c>
      <c r="H2158" s="2" t="s">
        <v>178</v>
      </c>
      <c r="I2158" s="2" t="s">
        <v>3205</v>
      </c>
      <c r="J2158" s="2">
        <v>911577458</v>
      </c>
      <c r="K2158" s="2" t="s">
        <v>178</v>
      </c>
      <c r="L2158" s="2" t="s">
        <v>41</v>
      </c>
      <c r="N2158" s="2" t="s">
        <v>3208</v>
      </c>
      <c r="O2158" s="2" t="s">
        <v>43</v>
      </c>
      <c r="P2158" s="2" t="s">
        <v>165</v>
      </c>
      <c r="Q2158" s="2" t="s">
        <v>166</v>
      </c>
      <c r="R2158" s="2">
        <v>1</v>
      </c>
      <c r="S2158" s="2">
        <v>15</v>
      </c>
      <c r="T2158" s="2">
        <v>3.45</v>
      </c>
      <c r="U2158" s="2">
        <v>18.45</v>
      </c>
      <c r="V2158" s="2">
        <f>7.9612*R2158</f>
        <v>7.9611999999999998</v>
      </c>
      <c r="W2158" s="5">
        <f t="shared" si="213"/>
        <v>0.46925333333333336</v>
      </c>
      <c r="Y2158" s="2" t="s">
        <v>3256</v>
      </c>
      <c r="Z2158" s="2" t="s">
        <v>46</v>
      </c>
      <c r="AA2158" s="2" t="s">
        <v>68</v>
      </c>
      <c r="AB2158" s="2" t="s">
        <v>58</v>
      </c>
      <c r="AE2158" s="2">
        <f t="shared" si="210"/>
        <v>0</v>
      </c>
      <c r="AF2158" s="2">
        <v>7.9611999999999998</v>
      </c>
      <c r="AG2158" s="2">
        <v>14.4</v>
      </c>
      <c r="AI2158" s="2">
        <f t="shared" si="211"/>
        <v>0</v>
      </c>
      <c r="AJ2158" s="2">
        <f t="shared" si="212"/>
        <v>7.0388000000000002</v>
      </c>
      <c r="AK2158" s="5">
        <f t="shared" si="209"/>
        <v>0.46925333333333336</v>
      </c>
    </row>
    <row r="2159" spans="1:37" x14ac:dyDescent="0.2">
      <c r="A2159" s="2">
        <v>2025</v>
      </c>
      <c r="B2159" s="2">
        <v>11</v>
      </c>
      <c r="C2159" s="2" t="s">
        <v>2036</v>
      </c>
      <c r="O2159" s="2" t="s">
        <v>283</v>
      </c>
      <c r="P2159" s="2" t="s">
        <v>1163</v>
      </c>
      <c r="Q2159" s="2" t="s">
        <v>1164</v>
      </c>
      <c r="R2159" s="2">
        <v>1</v>
      </c>
      <c r="S2159" s="2">
        <v>3150</v>
      </c>
      <c r="T2159" s="2">
        <v>724.5</v>
      </c>
      <c r="U2159" s="2">
        <v>3874.5</v>
      </c>
      <c r="W2159" s="5">
        <f t="shared" si="213"/>
        <v>1</v>
      </c>
      <c r="AE2159" s="2">
        <f t="shared" si="210"/>
        <v>0</v>
      </c>
      <c r="AI2159" s="2">
        <f t="shared" si="211"/>
        <v>0</v>
      </c>
      <c r="AJ2159" s="2">
        <f t="shared" si="212"/>
        <v>3150</v>
      </c>
      <c r="AK2159" s="5">
        <f t="shared" si="209"/>
        <v>1</v>
      </c>
    </row>
    <row r="2160" spans="1:37" x14ac:dyDescent="0.2">
      <c r="A2160" s="2">
        <v>2025</v>
      </c>
      <c r="B2160" s="2">
        <v>11</v>
      </c>
      <c r="C2160" s="2" t="s">
        <v>2036</v>
      </c>
      <c r="O2160" s="2" t="s">
        <v>283</v>
      </c>
      <c r="P2160" s="2" t="s">
        <v>1167</v>
      </c>
      <c r="Q2160" s="2" t="s">
        <v>1168</v>
      </c>
      <c r="R2160" s="2">
        <v>1</v>
      </c>
      <c r="S2160" s="2">
        <v>0</v>
      </c>
      <c r="T2160" s="2">
        <v>0</v>
      </c>
      <c r="U2160" s="2">
        <v>0</v>
      </c>
      <c r="W2160" s="5" t="e">
        <f t="shared" si="213"/>
        <v>#DIV/0!</v>
      </c>
      <c r="AE2160" s="2">
        <f t="shared" si="210"/>
        <v>0</v>
      </c>
      <c r="AI2160" s="2">
        <f t="shared" si="211"/>
        <v>0</v>
      </c>
      <c r="AJ2160" s="2">
        <f t="shared" si="212"/>
        <v>0</v>
      </c>
      <c r="AK2160" s="5" t="e">
        <f t="shared" si="209"/>
        <v>#DIV/0!</v>
      </c>
    </row>
    <row r="2161" spans="1:37" x14ac:dyDescent="0.2">
      <c r="A2161" s="2">
        <v>2025</v>
      </c>
      <c r="B2161" s="2">
        <v>11</v>
      </c>
      <c r="C2161" s="2" t="s">
        <v>2037</v>
      </c>
      <c r="L2161" s="2" t="s">
        <v>40</v>
      </c>
      <c r="O2161" s="2" t="s">
        <v>188</v>
      </c>
      <c r="P2161" s="2" t="s">
        <v>1318</v>
      </c>
      <c r="Q2161" s="2" t="s">
        <v>1319</v>
      </c>
      <c r="R2161" s="2">
        <v>1</v>
      </c>
      <c r="S2161" s="2">
        <v>402.77</v>
      </c>
      <c r="T2161" s="2">
        <v>92.637100000000004</v>
      </c>
      <c r="U2161" s="2">
        <v>495.40710000000001</v>
      </c>
      <c r="W2161" s="5">
        <f t="shared" si="213"/>
        <v>1</v>
      </c>
      <c r="Y2161" s="2" t="s">
        <v>118</v>
      </c>
      <c r="Z2161" s="2" t="s">
        <v>1320</v>
      </c>
      <c r="AE2161" s="2">
        <f t="shared" si="210"/>
        <v>0</v>
      </c>
      <c r="AI2161" s="2">
        <f t="shared" si="211"/>
        <v>0</v>
      </c>
      <c r="AJ2161" s="2">
        <f t="shared" si="212"/>
        <v>402.77</v>
      </c>
      <c r="AK2161" s="5">
        <f t="shared" si="209"/>
        <v>1</v>
      </c>
    </row>
    <row r="2162" spans="1:37" x14ac:dyDescent="0.2">
      <c r="A2162" s="2">
        <v>2025</v>
      </c>
      <c r="B2162" s="2">
        <v>11</v>
      </c>
      <c r="C2162" s="2" t="s">
        <v>2038</v>
      </c>
      <c r="D2162" s="2" t="s">
        <v>109</v>
      </c>
      <c r="E2162" s="2" t="s">
        <v>39</v>
      </c>
      <c r="F2162" s="2">
        <v>501320032</v>
      </c>
      <c r="G2162" s="2" t="s">
        <v>110</v>
      </c>
      <c r="H2162" s="2" t="s">
        <v>2039</v>
      </c>
      <c r="I2162" s="2" t="s">
        <v>2040</v>
      </c>
      <c r="J2162" s="2">
        <v>966004647</v>
      </c>
      <c r="K2162" s="2" t="s">
        <v>465</v>
      </c>
      <c r="L2162" s="2" t="s">
        <v>81</v>
      </c>
      <c r="N2162" s="2" t="s">
        <v>2041</v>
      </c>
      <c r="O2162" s="2" t="s">
        <v>73</v>
      </c>
      <c r="P2162" s="2" t="s">
        <v>687</v>
      </c>
      <c r="Q2162" s="2" t="s">
        <v>75</v>
      </c>
      <c r="R2162" s="2">
        <v>1</v>
      </c>
      <c r="S2162" s="2">
        <v>209</v>
      </c>
      <c r="T2162" s="2">
        <v>48.07</v>
      </c>
      <c r="U2162" s="2">
        <v>257.07</v>
      </c>
      <c r="V2162" s="2">
        <v>104.49</v>
      </c>
      <c r="W2162" s="5">
        <f t="shared" si="213"/>
        <v>0.50004784688995219</v>
      </c>
      <c r="Y2162" s="2" t="s">
        <v>3256</v>
      </c>
      <c r="Z2162" s="2" t="s">
        <v>76</v>
      </c>
      <c r="AA2162" s="2" t="s">
        <v>77</v>
      </c>
      <c r="AB2162" s="2" t="s">
        <v>78</v>
      </c>
      <c r="AE2162" s="2">
        <f t="shared" si="210"/>
        <v>0</v>
      </c>
      <c r="AF2162" s="2">
        <v>104.49</v>
      </c>
      <c r="AG2162" s="2">
        <v>220</v>
      </c>
      <c r="AI2162" s="2">
        <f t="shared" si="211"/>
        <v>0</v>
      </c>
      <c r="AJ2162" s="2">
        <f t="shared" si="212"/>
        <v>104.51</v>
      </c>
      <c r="AK2162" s="5">
        <f t="shared" si="209"/>
        <v>0.50004784688995219</v>
      </c>
    </row>
    <row r="2163" spans="1:37" x14ac:dyDescent="0.2">
      <c r="A2163" s="2">
        <v>2025</v>
      </c>
      <c r="B2163" s="2">
        <v>11</v>
      </c>
      <c r="C2163" s="2" t="s">
        <v>2038</v>
      </c>
      <c r="O2163" s="2" t="s">
        <v>94</v>
      </c>
      <c r="P2163" s="2" t="s">
        <v>95</v>
      </c>
      <c r="Q2163" s="2" t="s">
        <v>96</v>
      </c>
      <c r="R2163" s="2">
        <v>1</v>
      </c>
      <c r="S2163" s="2">
        <v>1.1399999999999999</v>
      </c>
      <c r="T2163" s="2">
        <v>0.26219999999999999</v>
      </c>
      <c r="U2163" s="2">
        <v>1.4021999999999999</v>
      </c>
      <c r="V2163" s="2">
        <v>1.1399999999999999</v>
      </c>
      <c r="W2163" s="5">
        <f t="shared" si="213"/>
        <v>0</v>
      </c>
      <c r="Y2163" s="2" t="s">
        <v>3256</v>
      </c>
      <c r="Z2163" s="2" t="s">
        <v>97</v>
      </c>
      <c r="AA2163" s="2" t="s">
        <v>77</v>
      </c>
      <c r="AB2163" s="2" t="s">
        <v>94</v>
      </c>
      <c r="AE2163" s="2">
        <f t="shared" si="210"/>
        <v>0</v>
      </c>
      <c r="AI2163" s="2">
        <f t="shared" si="211"/>
        <v>0</v>
      </c>
      <c r="AJ2163" s="2">
        <f t="shared" si="212"/>
        <v>0</v>
      </c>
      <c r="AK2163" s="5">
        <f t="shared" ref="AK2163:AK2226" si="214">(S2163-V2163)/S2163</f>
        <v>0</v>
      </c>
    </row>
    <row r="2164" spans="1:37" x14ac:dyDescent="0.2">
      <c r="A2164" s="2">
        <v>2025</v>
      </c>
      <c r="B2164" s="2">
        <v>11</v>
      </c>
      <c r="C2164" s="2" t="s">
        <v>455</v>
      </c>
      <c r="D2164" s="2" t="s">
        <v>109</v>
      </c>
      <c r="E2164" s="2" t="s">
        <v>39</v>
      </c>
      <c r="F2164" s="2">
        <v>506085686</v>
      </c>
      <c r="G2164" s="2" t="s">
        <v>40</v>
      </c>
      <c r="H2164" s="2" t="s">
        <v>456</v>
      </c>
      <c r="I2164" s="2" t="s">
        <v>457</v>
      </c>
      <c r="J2164" s="2">
        <v>917241919</v>
      </c>
      <c r="K2164" s="2" t="s">
        <v>400</v>
      </c>
      <c r="L2164" s="2" t="s">
        <v>40</v>
      </c>
      <c r="O2164" s="2" t="s">
        <v>188</v>
      </c>
      <c r="P2164" s="2" t="s">
        <v>189</v>
      </c>
      <c r="Q2164" s="2" t="s">
        <v>190</v>
      </c>
      <c r="R2164" s="2">
        <v>3</v>
      </c>
      <c r="S2164" s="2">
        <v>215.25</v>
      </c>
      <c r="T2164" s="2">
        <v>49.5075</v>
      </c>
      <c r="U2164" s="2">
        <v>264.75749999999999</v>
      </c>
      <c r="W2164" s="5">
        <f t="shared" si="213"/>
        <v>1</v>
      </c>
      <c r="Y2164" s="2" t="s">
        <v>118</v>
      </c>
      <c r="Z2164" s="2" t="s">
        <v>191</v>
      </c>
      <c r="AE2164" s="2">
        <f t="shared" si="210"/>
        <v>0</v>
      </c>
      <c r="AI2164" s="2">
        <f t="shared" si="211"/>
        <v>0</v>
      </c>
      <c r="AJ2164" s="2">
        <f t="shared" si="212"/>
        <v>215.25</v>
      </c>
      <c r="AK2164" s="5">
        <f t="shared" si="214"/>
        <v>1</v>
      </c>
    </row>
    <row r="2165" spans="1:37" x14ac:dyDescent="0.2">
      <c r="A2165" s="2">
        <v>2025</v>
      </c>
      <c r="B2165" s="2">
        <v>11</v>
      </c>
      <c r="C2165" s="2" t="s">
        <v>455</v>
      </c>
      <c r="D2165" s="2" t="s">
        <v>109</v>
      </c>
      <c r="E2165" s="2" t="s">
        <v>39</v>
      </c>
      <c r="F2165" s="2">
        <v>506085686</v>
      </c>
      <c r="G2165" s="2" t="s">
        <v>40</v>
      </c>
      <c r="H2165" s="2" t="s">
        <v>456</v>
      </c>
      <c r="I2165" s="2" t="s">
        <v>457</v>
      </c>
      <c r="J2165" s="2">
        <v>917241919</v>
      </c>
      <c r="K2165" s="2" t="s">
        <v>400</v>
      </c>
      <c r="L2165" s="2" t="s">
        <v>40</v>
      </c>
      <c r="O2165" s="2" t="s">
        <v>188</v>
      </c>
      <c r="P2165" s="2" t="s">
        <v>192</v>
      </c>
      <c r="Q2165" s="2" t="s">
        <v>191</v>
      </c>
      <c r="R2165" s="2">
        <v>2.75</v>
      </c>
      <c r="S2165" s="2">
        <v>123.75</v>
      </c>
      <c r="T2165" s="2">
        <v>28.462499999999999</v>
      </c>
      <c r="U2165" s="2">
        <v>152.21250000000001</v>
      </c>
      <c r="V2165" s="2">
        <f>S2165*50%</f>
        <v>61.875</v>
      </c>
      <c r="W2165" s="5">
        <f t="shared" si="213"/>
        <v>0.5</v>
      </c>
      <c r="Y2165" s="2" t="s">
        <v>118</v>
      </c>
      <c r="Z2165" s="2" t="s">
        <v>191</v>
      </c>
      <c r="AE2165" s="2">
        <f t="shared" si="210"/>
        <v>0</v>
      </c>
      <c r="AI2165" s="2">
        <f t="shared" si="211"/>
        <v>0</v>
      </c>
      <c r="AJ2165" s="2">
        <f t="shared" si="212"/>
        <v>61.875</v>
      </c>
      <c r="AK2165" s="5">
        <f t="shared" si="214"/>
        <v>0.5</v>
      </c>
    </row>
    <row r="2166" spans="1:37" x14ac:dyDescent="0.2">
      <c r="A2166" s="2">
        <v>2025</v>
      </c>
      <c r="B2166" s="2">
        <v>11</v>
      </c>
      <c r="C2166" s="2" t="s">
        <v>455</v>
      </c>
      <c r="D2166" s="2" t="s">
        <v>109</v>
      </c>
      <c r="E2166" s="2" t="s">
        <v>39</v>
      </c>
      <c r="F2166" s="2">
        <v>506085686</v>
      </c>
      <c r="G2166" s="2" t="s">
        <v>40</v>
      </c>
      <c r="H2166" s="2" t="s">
        <v>456</v>
      </c>
      <c r="I2166" s="2" t="s">
        <v>457</v>
      </c>
      <c r="J2166" s="2">
        <v>917241919</v>
      </c>
      <c r="K2166" s="2" t="s">
        <v>400</v>
      </c>
      <c r="O2166" s="2" t="s">
        <v>40</v>
      </c>
      <c r="P2166" s="2" t="s">
        <v>364</v>
      </c>
      <c r="Q2166" s="2" t="s">
        <v>365</v>
      </c>
      <c r="R2166" s="2">
        <v>1</v>
      </c>
      <c r="S2166" s="2">
        <v>268.12</v>
      </c>
      <c r="T2166" s="2">
        <v>61.6676</v>
      </c>
      <c r="U2166" s="2">
        <v>329.7876</v>
      </c>
      <c r="W2166" s="5">
        <f t="shared" si="213"/>
        <v>1</v>
      </c>
      <c r="Y2166" s="2" t="s">
        <v>120</v>
      </c>
      <c r="AE2166" s="2">
        <f t="shared" si="210"/>
        <v>0</v>
      </c>
      <c r="AI2166" s="2">
        <f t="shared" si="211"/>
        <v>0</v>
      </c>
      <c r="AJ2166" s="2">
        <f t="shared" si="212"/>
        <v>268.12</v>
      </c>
      <c r="AK2166" s="5">
        <f t="shared" si="214"/>
        <v>1</v>
      </c>
    </row>
    <row r="2167" spans="1:37" x14ac:dyDescent="0.2">
      <c r="A2167" s="2">
        <v>2025</v>
      </c>
      <c r="B2167" s="2">
        <v>11</v>
      </c>
      <c r="C2167" s="2" t="s">
        <v>828</v>
      </c>
      <c r="O2167" s="2" t="s">
        <v>115</v>
      </c>
      <c r="P2167" s="2" t="s">
        <v>634</v>
      </c>
      <c r="Q2167" s="2" t="s">
        <v>635</v>
      </c>
      <c r="R2167" s="2">
        <v>1</v>
      </c>
      <c r="S2167" s="2">
        <v>26.79</v>
      </c>
      <c r="T2167" s="2">
        <v>6.1616999999999997</v>
      </c>
      <c r="U2167" s="2">
        <v>32.951700000000002</v>
      </c>
      <c r="W2167" s="5">
        <f t="shared" si="213"/>
        <v>1</v>
      </c>
      <c r="AE2167" s="2">
        <f t="shared" si="210"/>
        <v>0</v>
      </c>
      <c r="AI2167" s="2">
        <f t="shared" si="211"/>
        <v>0</v>
      </c>
      <c r="AJ2167" s="2">
        <f t="shared" si="212"/>
        <v>26.79</v>
      </c>
      <c r="AK2167" s="5">
        <f t="shared" si="214"/>
        <v>1</v>
      </c>
    </row>
    <row r="2168" spans="1:37" x14ac:dyDescent="0.2">
      <c r="A2168" s="2">
        <v>2025</v>
      </c>
      <c r="B2168" s="2">
        <v>11</v>
      </c>
      <c r="C2168" s="2" t="s">
        <v>828</v>
      </c>
      <c r="L2168" s="2" t="s">
        <v>40</v>
      </c>
      <c r="O2168" s="2" t="s">
        <v>188</v>
      </c>
      <c r="P2168" s="2" t="s">
        <v>189</v>
      </c>
      <c r="Q2168" s="2" t="s">
        <v>190</v>
      </c>
      <c r="R2168" s="2">
        <v>1</v>
      </c>
      <c r="S2168" s="2">
        <v>99</v>
      </c>
      <c r="T2168" s="2">
        <v>22.77</v>
      </c>
      <c r="U2168" s="2">
        <v>121.77</v>
      </c>
      <c r="W2168" s="5">
        <f t="shared" si="213"/>
        <v>1</v>
      </c>
      <c r="Y2168" s="2" t="s">
        <v>118</v>
      </c>
      <c r="Z2168" s="2" t="s">
        <v>191</v>
      </c>
      <c r="AE2168" s="2">
        <f t="shared" si="210"/>
        <v>0</v>
      </c>
      <c r="AI2168" s="2">
        <f t="shared" si="211"/>
        <v>0</v>
      </c>
      <c r="AJ2168" s="2">
        <f t="shared" si="212"/>
        <v>99</v>
      </c>
      <c r="AK2168" s="5">
        <f t="shared" si="214"/>
        <v>1</v>
      </c>
    </row>
    <row r="2169" spans="1:37" x14ac:dyDescent="0.2">
      <c r="A2169" s="2">
        <v>2025</v>
      </c>
      <c r="B2169" s="2">
        <v>11</v>
      </c>
      <c r="C2169" s="2" t="s">
        <v>828</v>
      </c>
      <c r="L2169" s="2" t="s">
        <v>40</v>
      </c>
      <c r="O2169" s="2" t="s">
        <v>188</v>
      </c>
      <c r="P2169" s="2" t="s">
        <v>192</v>
      </c>
      <c r="Q2169" s="2" t="s">
        <v>191</v>
      </c>
      <c r="R2169" s="2">
        <v>1</v>
      </c>
      <c r="S2169" s="2">
        <v>50</v>
      </c>
      <c r="T2169" s="2">
        <v>11.5</v>
      </c>
      <c r="U2169" s="2">
        <v>61.5</v>
      </c>
      <c r="V2169" s="2">
        <f>S2169*50%</f>
        <v>25</v>
      </c>
      <c r="W2169" s="5">
        <f t="shared" si="213"/>
        <v>0.5</v>
      </c>
      <c r="Y2169" s="2" t="s">
        <v>118</v>
      </c>
      <c r="Z2169" s="2" t="s">
        <v>191</v>
      </c>
      <c r="AE2169" s="2">
        <f t="shared" si="210"/>
        <v>0</v>
      </c>
      <c r="AI2169" s="2">
        <f t="shared" si="211"/>
        <v>0</v>
      </c>
      <c r="AJ2169" s="2">
        <f t="shared" si="212"/>
        <v>25</v>
      </c>
      <c r="AK2169" s="5">
        <f t="shared" si="214"/>
        <v>0.5</v>
      </c>
    </row>
    <row r="2170" spans="1:37" x14ac:dyDescent="0.2">
      <c r="A2170" s="2">
        <v>2025</v>
      </c>
      <c r="B2170" s="2">
        <v>11</v>
      </c>
      <c r="C2170" s="2" t="s">
        <v>1400</v>
      </c>
      <c r="L2170" s="2" t="s">
        <v>40</v>
      </c>
      <c r="O2170" s="2" t="s">
        <v>115</v>
      </c>
      <c r="P2170" s="2" t="s">
        <v>180</v>
      </c>
      <c r="Q2170" s="2" t="s">
        <v>181</v>
      </c>
      <c r="R2170" s="2">
        <v>1</v>
      </c>
      <c r="S2170" s="2">
        <v>699.3</v>
      </c>
      <c r="T2170" s="2">
        <v>160.839</v>
      </c>
      <c r="U2170" s="2">
        <v>860.1389999999999</v>
      </c>
      <c r="V2170" s="2">
        <v>346.57</v>
      </c>
      <c r="W2170" s="5">
        <f t="shared" si="213"/>
        <v>0.50440440440440437</v>
      </c>
      <c r="Y2170" s="2" t="s">
        <v>118</v>
      </c>
      <c r="Z2170" s="2" t="s">
        <v>182</v>
      </c>
      <c r="AE2170" s="2">
        <f t="shared" si="210"/>
        <v>0</v>
      </c>
      <c r="AI2170" s="2">
        <f t="shared" si="211"/>
        <v>0</v>
      </c>
      <c r="AJ2170" s="2">
        <f t="shared" si="212"/>
        <v>352.72999999999996</v>
      </c>
      <c r="AK2170" s="5">
        <f t="shared" si="214"/>
        <v>0.50440440440440437</v>
      </c>
    </row>
    <row r="2171" spans="1:37" x14ac:dyDescent="0.2">
      <c r="A2171" s="2">
        <v>2025</v>
      </c>
      <c r="B2171" s="2">
        <v>11</v>
      </c>
      <c r="C2171" s="2" t="s">
        <v>1400</v>
      </c>
      <c r="L2171" s="2" t="s">
        <v>40</v>
      </c>
      <c r="O2171" s="2" t="s">
        <v>188</v>
      </c>
      <c r="P2171" s="2" t="s">
        <v>189</v>
      </c>
      <c r="Q2171" s="2" t="s">
        <v>190</v>
      </c>
      <c r="R2171" s="2">
        <v>1</v>
      </c>
      <c r="S2171" s="2">
        <v>115</v>
      </c>
      <c r="T2171" s="2">
        <v>26.45</v>
      </c>
      <c r="U2171" s="2">
        <v>141.44999999999999</v>
      </c>
      <c r="W2171" s="5">
        <f t="shared" si="213"/>
        <v>1</v>
      </c>
      <c r="Y2171" s="2" t="s">
        <v>118</v>
      </c>
      <c r="Z2171" s="2" t="s">
        <v>191</v>
      </c>
      <c r="AE2171" s="2">
        <f t="shared" si="210"/>
        <v>0</v>
      </c>
      <c r="AI2171" s="2">
        <f t="shared" si="211"/>
        <v>0</v>
      </c>
      <c r="AJ2171" s="2">
        <f t="shared" si="212"/>
        <v>115</v>
      </c>
      <c r="AK2171" s="5">
        <f t="shared" si="214"/>
        <v>1</v>
      </c>
    </row>
    <row r="2172" spans="1:37" x14ac:dyDescent="0.2">
      <c r="A2172" s="2">
        <v>2025</v>
      </c>
      <c r="B2172" s="2">
        <v>11</v>
      </c>
      <c r="C2172" s="2" t="s">
        <v>1400</v>
      </c>
      <c r="L2172" s="2" t="s">
        <v>40</v>
      </c>
      <c r="O2172" s="2" t="s">
        <v>188</v>
      </c>
      <c r="P2172" s="2" t="s">
        <v>192</v>
      </c>
      <c r="Q2172" s="2" t="s">
        <v>191</v>
      </c>
      <c r="R2172" s="2">
        <v>1</v>
      </c>
      <c r="S2172" s="2">
        <v>0</v>
      </c>
      <c r="T2172" s="2">
        <v>0</v>
      </c>
      <c r="U2172" s="2">
        <v>0</v>
      </c>
      <c r="V2172" s="2">
        <f>S2172*50%</f>
        <v>0</v>
      </c>
      <c r="W2172" s="5" t="e">
        <f t="shared" si="213"/>
        <v>#DIV/0!</v>
      </c>
      <c r="Y2172" s="2" t="s">
        <v>118</v>
      </c>
      <c r="Z2172" s="2" t="s">
        <v>191</v>
      </c>
      <c r="AE2172" s="2">
        <f t="shared" si="210"/>
        <v>0</v>
      </c>
      <c r="AI2172" s="2">
        <f t="shared" si="211"/>
        <v>0</v>
      </c>
      <c r="AJ2172" s="2">
        <f t="shared" si="212"/>
        <v>0</v>
      </c>
      <c r="AK2172" s="5" t="e">
        <f t="shared" si="214"/>
        <v>#DIV/0!</v>
      </c>
    </row>
    <row r="2173" spans="1:37" x14ac:dyDescent="0.2">
      <c r="A2173" s="2">
        <v>2025</v>
      </c>
      <c r="B2173" s="2">
        <v>11</v>
      </c>
      <c r="C2173" s="2" t="s">
        <v>2042</v>
      </c>
      <c r="O2173" s="2" t="s">
        <v>115</v>
      </c>
      <c r="P2173" s="2" t="s">
        <v>375</v>
      </c>
      <c r="Q2173" s="2" t="s">
        <v>376</v>
      </c>
      <c r="R2173" s="2">
        <v>1</v>
      </c>
      <c r="S2173" s="2">
        <v>48.95</v>
      </c>
      <c r="T2173" s="2">
        <v>11.2585</v>
      </c>
      <c r="U2173" s="2">
        <v>60.208500000000001</v>
      </c>
      <c r="W2173" s="5">
        <f t="shared" si="213"/>
        <v>1</v>
      </c>
      <c r="AE2173" s="2">
        <f t="shared" si="210"/>
        <v>0</v>
      </c>
      <c r="AI2173" s="2">
        <f t="shared" si="211"/>
        <v>0</v>
      </c>
      <c r="AJ2173" s="2">
        <f t="shared" si="212"/>
        <v>48.95</v>
      </c>
      <c r="AK2173" s="5">
        <f t="shared" si="214"/>
        <v>1</v>
      </c>
    </row>
    <row r="2174" spans="1:37" x14ac:dyDescent="0.2">
      <c r="A2174" s="2">
        <v>2025</v>
      </c>
      <c r="B2174" s="2">
        <v>11</v>
      </c>
      <c r="C2174" s="2" t="s">
        <v>2042</v>
      </c>
      <c r="O2174" s="2" t="s">
        <v>43</v>
      </c>
      <c r="P2174" s="2" t="s">
        <v>55</v>
      </c>
      <c r="Q2174" s="2" t="s">
        <v>56</v>
      </c>
      <c r="R2174" s="2">
        <v>2</v>
      </c>
      <c r="S2174" s="2">
        <v>36</v>
      </c>
      <c r="T2174" s="2">
        <v>8.2800000000000011</v>
      </c>
      <c r="U2174" s="2">
        <v>44.28</v>
      </c>
      <c r="V2174" s="2">
        <f>10.6*R2174</f>
        <v>21.2</v>
      </c>
      <c r="W2174" s="5">
        <f t="shared" si="213"/>
        <v>0.41111111111111115</v>
      </c>
      <c r="Y2174" s="2" t="s">
        <v>3256</v>
      </c>
      <c r="Z2174" s="2" t="s">
        <v>46</v>
      </c>
      <c r="AA2174" s="2" t="s">
        <v>57</v>
      </c>
      <c r="AB2174" s="2" t="s">
        <v>58</v>
      </c>
      <c r="AE2174" s="2">
        <f t="shared" si="210"/>
        <v>0</v>
      </c>
      <c r="AF2174" s="2">
        <v>10.6</v>
      </c>
      <c r="AG2174" s="2">
        <v>18</v>
      </c>
      <c r="AI2174" s="2">
        <f t="shared" si="211"/>
        <v>0</v>
      </c>
      <c r="AJ2174" s="2">
        <f t="shared" si="212"/>
        <v>14.8</v>
      </c>
      <c r="AK2174" s="5">
        <f t="shared" si="214"/>
        <v>0.41111111111111115</v>
      </c>
    </row>
    <row r="2175" spans="1:37" x14ac:dyDescent="0.2">
      <c r="A2175" s="2">
        <v>2025</v>
      </c>
      <c r="B2175" s="2">
        <v>11</v>
      </c>
      <c r="C2175" s="2" t="s">
        <v>2042</v>
      </c>
      <c r="O2175" s="2" t="s">
        <v>43</v>
      </c>
      <c r="P2175" s="2" t="s">
        <v>62</v>
      </c>
      <c r="Q2175" s="2" t="s">
        <v>63</v>
      </c>
      <c r="R2175" s="2">
        <v>100</v>
      </c>
      <c r="S2175" s="2">
        <v>13</v>
      </c>
      <c r="T2175" s="2">
        <v>2.99</v>
      </c>
      <c r="U2175" s="2">
        <v>15.99</v>
      </c>
      <c r="V2175" s="2">
        <f>0.082*R2175</f>
        <v>8.2000000000000011</v>
      </c>
      <c r="W2175" s="5">
        <f t="shared" si="213"/>
        <v>0.36923076923076914</v>
      </c>
      <c r="Y2175" s="2" t="s">
        <v>3256</v>
      </c>
      <c r="Z2175" s="2" t="s">
        <v>46</v>
      </c>
      <c r="AA2175" s="2" t="s">
        <v>61</v>
      </c>
      <c r="AB2175" s="2" t="s">
        <v>58</v>
      </c>
      <c r="AE2175" s="2">
        <f t="shared" si="210"/>
        <v>0</v>
      </c>
      <c r="AF2175" s="2">
        <v>8.1999999999999993</v>
      </c>
      <c r="AG2175" s="2">
        <v>13</v>
      </c>
      <c r="AI2175" s="2">
        <f t="shared" si="211"/>
        <v>0</v>
      </c>
      <c r="AJ2175" s="2">
        <f t="shared" si="212"/>
        <v>4.7999999999999989</v>
      </c>
      <c r="AK2175" s="5">
        <f t="shared" si="214"/>
        <v>0.36923076923076914</v>
      </c>
    </row>
    <row r="2176" spans="1:37" x14ac:dyDescent="0.2">
      <c r="A2176" s="2">
        <v>2025</v>
      </c>
      <c r="B2176" s="2">
        <v>11</v>
      </c>
      <c r="C2176" s="2" t="s">
        <v>473</v>
      </c>
      <c r="D2176" s="2" t="s">
        <v>38</v>
      </c>
      <c r="E2176" s="2" t="s">
        <v>474</v>
      </c>
      <c r="F2176" s="2">
        <v>513626930</v>
      </c>
      <c r="G2176" s="2" t="s">
        <v>40</v>
      </c>
      <c r="H2176" s="2" t="s">
        <v>340</v>
      </c>
      <c r="I2176" s="2" t="s">
        <v>475</v>
      </c>
      <c r="K2176" s="2" t="s">
        <v>340</v>
      </c>
      <c r="L2176" s="2" t="s">
        <v>40</v>
      </c>
      <c r="O2176" s="2" t="s">
        <v>3260</v>
      </c>
      <c r="P2176" s="2" t="s">
        <v>2043</v>
      </c>
      <c r="Q2176" s="2" t="s">
        <v>2044</v>
      </c>
      <c r="R2176" s="2">
        <v>1</v>
      </c>
      <c r="S2176" s="2">
        <v>7990</v>
      </c>
      <c r="T2176" s="2">
        <v>1837.7</v>
      </c>
      <c r="U2176" s="2">
        <v>9827.7000000000007</v>
      </c>
      <c r="V2176" s="2">
        <v>2333.16</v>
      </c>
      <c r="W2176" s="5">
        <f t="shared" si="213"/>
        <v>0.70798998748435549</v>
      </c>
      <c r="Y2176" s="2" t="s">
        <v>105</v>
      </c>
      <c r="Z2176" s="2" t="s">
        <v>418</v>
      </c>
      <c r="AA2176" s="2" t="s">
        <v>152</v>
      </c>
      <c r="AB2176" s="2" t="s">
        <v>3260</v>
      </c>
      <c r="AE2176" s="2">
        <f t="shared" si="210"/>
        <v>0</v>
      </c>
      <c r="AI2176" s="2">
        <f t="shared" si="211"/>
        <v>0</v>
      </c>
      <c r="AJ2176" s="2">
        <f t="shared" si="212"/>
        <v>5656.84</v>
      </c>
      <c r="AK2176" s="5">
        <f t="shared" si="214"/>
        <v>0.70798998748435549</v>
      </c>
    </row>
    <row r="2177" spans="1:37" x14ac:dyDescent="0.2">
      <c r="A2177" s="2">
        <v>2025</v>
      </c>
      <c r="B2177" s="2">
        <v>11</v>
      </c>
      <c r="C2177" s="2" t="s">
        <v>473</v>
      </c>
      <c r="D2177" s="2" t="s">
        <v>38</v>
      </c>
      <c r="E2177" s="2" t="s">
        <v>474</v>
      </c>
      <c r="F2177" s="2">
        <v>513626930</v>
      </c>
      <c r="G2177" s="2" t="s">
        <v>40</v>
      </c>
      <c r="H2177" s="2" t="s">
        <v>340</v>
      </c>
      <c r="I2177" s="2" t="s">
        <v>475</v>
      </c>
      <c r="K2177" s="2" t="s">
        <v>340</v>
      </c>
      <c r="L2177" s="2" t="s">
        <v>40</v>
      </c>
      <c r="O2177" s="2" t="s">
        <v>3260</v>
      </c>
      <c r="P2177" s="2" t="s">
        <v>2045</v>
      </c>
      <c r="Q2177" s="2" t="s">
        <v>2046</v>
      </c>
      <c r="R2177" s="2">
        <v>1</v>
      </c>
      <c r="S2177" s="2">
        <v>4990</v>
      </c>
      <c r="T2177" s="2">
        <v>1147.7</v>
      </c>
      <c r="U2177" s="2">
        <v>6137.7</v>
      </c>
      <c r="V2177" s="2">
        <v>1786.2088000000001</v>
      </c>
      <c r="W2177" s="5">
        <f t="shared" si="213"/>
        <v>0.64204232464929856</v>
      </c>
      <c r="Y2177" s="2" t="s">
        <v>105</v>
      </c>
      <c r="Z2177" s="2" t="s">
        <v>106</v>
      </c>
      <c r="AA2177" s="2" t="s">
        <v>2047</v>
      </c>
      <c r="AB2177" s="2" t="s">
        <v>3260</v>
      </c>
      <c r="AE2177" s="2">
        <f t="shared" si="210"/>
        <v>0</v>
      </c>
      <c r="AI2177" s="2">
        <f t="shared" si="211"/>
        <v>0</v>
      </c>
      <c r="AJ2177" s="2">
        <f t="shared" si="212"/>
        <v>3203.7911999999997</v>
      </c>
      <c r="AK2177" s="5">
        <f t="shared" si="214"/>
        <v>0.64204232464929856</v>
      </c>
    </row>
    <row r="2178" spans="1:37" x14ac:dyDescent="0.2">
      <c r="A2178" s="2">
        <v>2025</v>
      </c>
      <c r="B2178" s="2">
        <v>11</v>
      </c>
      <c r="C2178" s="2" t="s">
        <v>846</v>
      </c>
      <c r="D2178" s="2" t="s">
        <v>109</v>
      </c>
      <c r="E2178" s="2" t="s">
        <v>847</v>
      </c>
      <c r="F2178" s="2">
        <v>504981285</v>
      </c>
      <c r="G2178" s="2" t="s">
        <v>291</v>
      </c>
      <c r="H2178" s="2" t="s">
        <v>848</v>
      </c>
      <c r="I2178" s="2" t="s">
        <v>849</v>
      </c>
      <c r="J2178" s="2">
        <v>932209225</v>
      </c>
      <c r="K2178" s="2" t="s">
        <v>340</v>
      </c>
      <c r="L2178" s="2" t="s">
        <v>40</v>
      </c>
      <c r="O2178" s="2" t="s">
        <v>188</v>
      </c>
      <c r="P2178" s="2" t="s">
        <v>189</v>
      </c>
      <c r="Q2178" s="2" t="s">
        <v>190</v>
      </c>
      <c r="R2178" s="2">
        <v>1</v>
      </c>
      <c r="S2178" s="2">
        <v>50</v>
      </c>
      <c r="T2178" s="2">
        <v>11.5</v>
      </c>
      <c r="U2178" s="2">
        <v>61.5</v>
      </c>
      <c r="W2178" s="5">
        <f t="shared" si="213"/>
        <v>1</v>
      </c>
      <c r="Y2178" s="2" t="s">
        <v>118</v>
      </c>
      <c r="Z2178" s="2" t="s">
        <v>191</v>
      </c>
      <c r="AE2178" s="2">
        <f t="shared" si="210"/>
        <v>0</v>
      </c>
      <c r="AI2178" s="2">
        <f t="shared" si="211"/>
        <v>0</v>
      </c>
      <c r="AJ2178" s="2">
        <f t="shared" si="212"/>
        <v>50</v>
      </c>
      <c r="AK2178" s="5">
        <f t="shared" si="214"/>
        <v>1</v>
      </c>
    </row>
    <row r="2179" spans="1:37" x14ac:dyDescent="0.2">
      <c r="A2179" s="2">
        <v>2025</v>
      </c>
      <c r="B2179" s="2">
        <v>11</v>
      </c>
      <c r="C2179" s="2" t="s">
        <v>846</v>
      </c>
      <c r="D2179" s="2" t="s">
        <v>109</v>
      </c>
      <c r="E2179" s="2" t="s">
        <v>847</v>
      </c>
      <c r="F2179" s="2">
        <v>504981285</v>
      </c>
      <c r="G2179" s="2" t="s">
        <v>291</v>
      </c>
      <c r="H2179" s="2" t="s">
        <v>848</v>
      </c>
      <c r="I2179" s="2" t="s">
        <v>849</v>
      </c>
      <c r="J2179" s="2">
        <v>932209225</v>
      </c>
      <c r="K2179" s="2" t="s">
        <v>340</v>
      </c>
      <c r="L2179" s="2" t="s">
        <v>40</v>
      </c>
      <c r="O2179" s="2" t="s">
        <v>188</v>
      </c>
      <c r="P2179" s="2" t="s">
        <v>192</v>
      </c>
      <c r="Q2179" s="2" t="s">
        <v>191</v>
      </c>
      <c r="R2179" s="2">
        <v>0.5</v>
      </c>
      <c r="S2179" s="2">
        <v>25</v>
      </c>
      <c r="T2179" s="2">
        <v>5.75</v>
      </c>
      <c r="U2179" s="2">
        <v>30.75</v>
      </c>
      <c r="V2179" s="2">
        <f>S2179*50%</f>
        <v>12.5</v>
      </c>
      <c r="W2179" s="5">
        <f t="shared" si="213"/>
        <v>0.5</v>
      </c>
      <c r="Y2179" s="2" t="s">
        <v>118</v>
      </c>
      <c r="Z2179" s="2" t="s">
        <v>191</v>
      </c>
      <c r="AE2179" s="2">
        <f t="shared" ref="AE2179:AE2242" si="215">AI2179</f>
        <v>0</v>
      </c>
      <c r="AI2179" s="2">
        <f t="shared" ref="AI2179:AI2242" si="216">AH2179*S2179</f>
        <v>0</v>
      </c>
      <c r="AJ2179" s="2">
        <f t="shared" ref="AJ2179:AJ2242" si="217">S2179-V2179</f>
        <v>12.5</v>
      </c>
      <c r="AK2179" s="5">
        <f t="shared" si="214"/>
        <v>0.5</v>
      </c>
    </row>
    <row r="2180" spans="1:37" x14ac:dyDescent="0.2">
      <c r="A2180" s="2">
        <v>2025</v>
      </c>
      <c r="B2180" s="2">
        <v>11</v>
      </c>
      <c r="C2180" s="2" t="s">
        <v>480</v>
      </c>
      <c r="D2180" s="2" t="s">
        <v>109</v>
      </c>
      <c r="E2180" s="2" t="s">
        <v>481</v>
      </c>
      <c r="F2180" s="2">
        <v>500864365</v>
      </c>
      <c r="G2180" s="2" t="s">
        <v>41</v>
      </c>
      <c r="H2180" s="2" t="s">
        <v>482</v>
      </c>
      <c r="I2180" s="2" t="s">
        <v>483</v>
      </c>
      <c r="K2180" s="2" t="s">
        <v>484</v>
      </c>
      <c r="O2180" s="2" t="s">
        <v>73</v>
      </c>
      <c r="P2180" s="2" t="s">
        <v>488</v>
      </c>
      <c r="Q2180" s="2" t="s">
        <v>75</v>
      </c>
      <c r="R2180" s="2">
        <v>1</v>
      </c>
      <c r="S2180" s="2">
        <v>220</v>
      </c>
      <c r="T2180" s="2">
        <v>50.6</v>
      </c>
      <c r="U2180" s="2">
        <v>270.60000000000002</v>
      </c>
      <c r="V2180" s="2">
        <v>131.93</v>
      </c>
      <c r="W2180" s="5">
        <f t="shared" si="213"/>
        <v>0.4003181818181818</v>
      </c>
      <c r="Y2180" s="2" t="s">
        <v>3256</v>
      </c>
      <c r="Z2180" s="2" t="s">
        <v>76</v>
      </c>
      <c r="AA2180" s="2" t="s">
        <v>77</v>
      </c>
      <c r="AB2180" s="2" t="s">
        <v>78</v>
      </c>
      <c r="AE2180" s="2">
        <f t="shared" si="215"/>
        <v>0</v>
      </c>
      <c r="AF2180" s="2">
        <v>131.93</v>
      </c>
      <c r="AG2180" s="2">
        <v>220</v>
      </c>
      <c r="AI2180" s="2">
        <f t="shared" si="216"/>
        <v>0</v>
      </c>
      <c r="AJ2180" s="2">
        <f t="shared" si="217"/>
        <v>88.07</v>
      </c>
      <c r="AK2180" s="5">
        <f t="shared" si="214"/>
        <v>0.4003181818181818</v>
      </c>
    </row>
    <row r="2181" spans="1:37" x14ac:dyDescent="0.2">
      <c r="A2181" s="2">
        <v>2025</v>
      </c>
      <c r="B2181" s="2">
        <v>11</v>
      </c>
      <c r="C2181" s="2" t="s">
        <v>480</v>
      </c>
      <c r="D2181" s="2" t="s">
        <v>109</v>
      </c>
      <c r="E2181" s="2" t="s">
        <v>481</v>
      </c>
      <c r="F2181" s="2">
        <v>500864365</v>
      </c>
      <c r="G2181" s="2" t="s">
        <v>41</v>
      </c>
      <c r="H2181" s="2" t="s">
        <v>482</v>
      </c>
      <c r="I2181" s="2" t="s">
        <v>483</v>
      </c>
      <c r="K2181" s="2" t="s">
        <v>484</v>
      </c>
      <c r="O2181" s="2" t="s">
        <v>94</v>
      </c>
      <c r="P2181" s="2" t="s">
        <v>95</v>
      </c>
      <c r="Q2181" s="2" t="s">
        <v>96</v>
      </c>
      <c r="R2181" s="2">
        <v>1</v>
      </c>
      <c r="S2181" s="2">
        <v>1.1399999999999999</v>
      </c>
      <c r="T2181" s="2">
        <v>0.26219999999999999</v>
      </c>
      <c r="U2181" s="2">
        <v>1.4021999999999999</v>
      </c>
      <c r="V2181" s="2">
        <v>1.1399999999999999</v>
      </c>
      <c r="W2181" s="5">
        <f t="shared" si="213"/>
        <v>0</v>
      </c>
      <c r="Y2181" s="2" t="s">
        <v>3256</v>
      </c>
      <c r="Z2181" s="2" t="s">
        <v>97</v>
      </c>
      <c r="AA2181" s="2" t="s">
        <v>77</v>
      </c>
      <c r="AB2181" s="2" t="s">
        <v>94</v>
      </c>
      <c r="AE2181" s="2">
        <f t="shared" si="215"/>
        <v>0</v>
      </c>
      <c r="AI2181" s="2">
        <f t="shared" si="216"/>
        <v>0</v>
      </c>
      <c r="AJ2181" s="2">
        <f t="shared" si="217"/>
        <v>0</v>
      </c>
      <c r="AK2181" s="5">
        <f t="shared" si="214"/>
        <v>0</v>
      </c>
    </row>
    <row r="2182" spans="1:37" x14ac:dyDescent="0.2">
      <c r="A2182" s="2">
        <v>2025</v>
      </c>
      <c r="B2182" s="2">
        <v>11</v>
      </c>
      <c r="C2182" s="2" t="s">
        <v>850</v>
      </c>
      <c r="D2182" s="2" t="s">
        <v>38</v>
      </c>
      <c r="E2182" s="2" t="s">
        <v>39</v>
      </c>
      <c r="F2182" s="2">
        <v>161685080</v>
      </c>
      <c r="G2182" s="2" t="s">
        <v>41</v>
      </c>
      <c r="H2182" s="2" t="s">
        <v>422</v>
      </c>
      <c r="J2182" s="2" t="s">
        <v>851</v>
      </c>
      <c r="K2182" s="2" t="s">
        <v>422</v>
      </c>
      <c r="L2182" s="2" t="s">
        <v>41</v>
      </c>
      <c r="N2182" s="2" t="s">
        <v>2048</v>
      </c>
      <c r="O2182" s="2" t="s">
        <v>43</v>
      </c>
      <c r="P2182" s="2" t="s">
        <v>49</v>
      </c>
      <c r="Q2182" s="2" t="s">
        <v>50</v>
      </c>
      <c r="R2182" s="2">
        <v>1</v>
      </c>
      <c r="S2182" s="2">
        <v>13</v>
      </c>
      <c r="T2182" s="2">
        <v>2.99</v>
      </c>
      <c r="U2182" s="2">
        <v>15.99</v>
      </c>
      <c r="V2182" s="2">
        <f>6.6267*R2182</f>
        <v>6.6266999999999996</v>
      </c>
      <c r="W2182" s="5">
        <f t="shared" si="213"/>
        <v>0.49025384615384621</v>
      </c>
      <c r="Y2182" s="2" t="s">
        <v>3256</v>
      </c>
      <c r="Z2182" s="2" t="s">
        <v>46</v>
      </c>
      <c r="AA2182" s="2" t="s">
        <v>47</v>
      </c>
      <c r="AB2182" s="2" t="s">
        <v>48</v>
      </c>
      <c r="AE2182" s="2">
        <f t="shared" si="215"/>
        <v>0</v>
      </c>
      <c r="AF2182" s="2">
        <v>6.6266999999999996</v>
      </c>
      <c r="AG2182" s="2">
        <v>12</v>
      </c>
      <c r="AI2182" s="2">
        <f t="shared" si="216"/>
        <v>0</v>
      </c>
      <c r="AJ2182" s="2">
        <f t="shared" si="217"/>
        <v>6.3733000000000004</v>
      </c>
      <c r="AK2182" s="5">
        <f t="shared" si="214"/>
        <v>0.49025384615384621</v>
      </c>
    </row>
    <row r="2183" spans="1:37" x14ac:dyDescent="0.2">
      <c r="A2183" s="2">
        <v>2025</v>
      </c>
      <c r="B2183" s="2">
        <v>11</v>
      </c>
      <c r="C2183" s="2" t="s">
        <v>850</v>
      </c>
      <c r="D2183" s="2" t="s">
        <v>38</v>
      </c>
      <c r="E2183" s="2" t="s">
        <v>39</v>
      </c>
      <c r="F2183" s="2">
        <v>161685080</v>
      </c>
      <c r="G2183" s="2" t="s">
        <v>41</v>
      </c>
      <c r="H2183" s="2" t="s">
        <v>422</v>
      </c>
      <c r="J2183" s="2" t="s">
        <v>851</v>
      </c>
      <c r="K2183" s="2" t="s">
        <v>422</v>
      </c>
      <c r="L2183" s="2" t="s">
        <v>41</v>
      </c>
      <c r="N2183" s="2" t="s">
        <v>2048</v>
      </c>
      <c r="O2183" s="2" t="s">
        <v>43</v>
      </c>
      <c r="P2183" s="2" t="s">
        <v>55</v>
      </c>
      <c r="Q2183" s="2" t="s">
        <v>56</v>
      </c>
      <c r="R2183" s="2">
        <v>2</v>
      </c>
      <c r="S2183" s="2">
        <v>36</v>
      </c>
      <c r="T2183" s="2">
        <v>8.2800000000000011</v>
      </c>
      <c r="U2183" s="2">
        <v>44.28</v>
      </c>
      <c r="V2183" s="2">
        <f>10.6*R2183</f>
        <v>21.2</v>
      </c>
      <c r="W2183" s="5">
        <f t="shared" si="213"/>
        <v>0.41111111111111115</v>
      </c>
      <c r="Y2183" s="2" t="s">
        <v>3256</v>
      </c>
      <c r="Z2183" s="2" t="s">
        <v>46</v>
      </c>
      <c r="AA2183" s="2" t="s">
        <v>57</v>
      </c>
      <c r="AB2183" s="2" t="s">
        <v>58</v>
      </c>
      <c r="AE2183" s="2">
        <f t="shared" si="215"/>
        <v>0</v>
      </c>
      <c r="AF2183" s="2">
        <v>10.6</v>
      </c>
      <c r="AG2183" s="2">
        <v>18</v>
      </c>
      <c r="AI2183" s="2">
        <f t="shared" si="216"/>
        <v>0</v>
      </c>
      <c r="AJ2183" s="2">
        <f t="shared" si="217"/>
        <v>14.8</v>
      </c>
      <c r="AK2183" s="5">
        <f t="shared" si="214"/>
        <v>0.41111111111111115</v>
      </c>
    </row>
    <row r="2184" spans="1:37" x14ac:dyDescent="0.2">
      <c r="A2184" s="2">
        <v>2025</v>
      </c>
      <c r="B2184" s="2">
        <v>11</v>
      </c>
      <c r="C2184" s="2" t="s">
        <v>850</v>
      </c>
      <c r="D2184" s="2" t="s">
        <v>38</v>
      </c>
      <c r="E2184" s="2" t="s">
        <v>39</v>
      </c>
      <c r="F2184" s="2">
        <v>161685080</v>
      </c>
      <c r="G2184" s="2" t="s">
        <v>41</v>
      </c>
      <c r="H2184" s="2" t="s">
        <v>422</v>
      </c>
      <c r="J2184" s="2" t="s">
        <v>851</v>
      </c>
      <c r="K2184" s="2" t="s">
        <v>422</v>
      </c>
      <c r="L2184" s="2" t="s">
        <v>41</v>
      </c>
      <c r="N2184" s="2" t="s">
        <v>2048</v>
      </c>
      <c r="O2184" s="2" t="s">
        <v>43</v>
      </c>
      <c r="P2184" s="2" t="s">
        <v>62</v>
      </c>
      <c r="Q2184" s="2" t="s">
        <v>63</v>
      </c>
      <c r="R2184" s="2">
        <v>100</v>
      </c>
      <c r="S2184" s="2">
        <v>13</v>
      </c>
      <c r="T2184" s="2">
        <v>2.99</v>
      </c>
      <c r="U2184" s="2">
        <v>15.99</v>
      </c>
      <c r="V2184" s="2">
        <f>0.082*R2184</f>
        <v>8.2000000000000011</v>
      </c>
      <c r="W2184" s="5">
        <f t="shared" si="213"/>
        <v>0.36923076923076914</v>
      </c>
      <c r="Y2184" s="2" t="s">
        <v>3256</v>
      </c>
      <c r="Z2184" s="2" t="s">
        <v>46</v>
      </c>
      <c r="AA2184" s="2" t="s">
        <v>61</v>
      </c>
      <c r="AB2184" s="2" t="s">
        <v>58</v>
      </c>
      <c r="AE2184" s="2">
        <f t="shared" si="215"/>
        <v>0</v>
      </c>
      <c r="AF2184" s="2">
        <v>8.1999999999999993</v>
      </c>
      <c r="AG2184" s="2">
        <v>13</v>
      </c>
      <c r="AI2184" s="2">
        <f t="shared" si="216"/>
        <v>0</v>
      </c>
      <c r="AJ2184" s="2">
        <f t="shared" si="217"/>
        <v>4.7999999999999989</v>
      </c>
      <c r="AK2184" s="5">
        <f t="shared" si="214"/>
        <v>0.36923076923076914</v>
      </c>
    </row>
    <row r="2185" spans="1:37" x14ac:dyDescent="0.2">
      <c r="A2185" s="2">
        <v>2025</v>
      </c>
      <c r="B2185" s="2">
        <v>11</v>
      </c>
      <c r="C2185" s="2" t="s">
        <v>850</v>
      </c>
      <c r="D2185" s="2" t="s">
        <v>38</v>
      </c>
      <c r="E2185" s="2" t="s">
        <v>39</v>
      </c>
      <c r="F2185" s="2">
        <v>161685080</v>
      </c>
      <c r="G2185" s="2" t="s">
        <v>41</v>
      </c>
      <c r="H2185" s="2" t="s">
        <v>422</v>
      </c>
      <c r="J2185" s="2" t="s">
        <v>851</v>
      </c>
      <c r="K2185" s="2" t="s">
        <v>422</v>
      </c>
      <c r="L2185" s="2" t="s">
        <v>41</v>
      </c>
      <c r="N2185" s="2" t="s">
        <v>2048</v>
      </c>
      <c r="O2185" s="2" t="s">
        <v>43</v>
      </c>
      <c r="P2185" s="2" t="s">
        <v>165</v>
      </c>
      <c r="Q2185" s="2" t="s">
        <v>166</v>
      </c>
      <c r="R2185" s="2">
        <v>1</v>
      </c>
      <c r="S2185" s="2">
        <v>14.5</v>
      </c>
      <c r="T2185" s="2">
        <v>3.335</v>
      </c>
      <c r="U2185" s="2">
        <v>17.835000000000001</v>
      </c>
      <c r="V2185" s="2">
        <f>7.9612*R2185</f>
        <v>7.9611999999999998</v>
      </c>
      <c r="W2185" s="5">
        <f t="shared" si="213"/>
        <v>0.45095172413793105</v>
      </c>
      <c r="Y2185" s="2" t="s">
        <v>3256</v>
      </c>
      <c r="Z2185" s="2" t="s">
        <v>46</v>
      </c>
      <c r="AA2185" s="2" t="s">
        <v>68</v>
      </c>
      <c r="AB2185" s="2" t="s">
        <v>58</v>
      </c>
      <c r="AE2185" s="2">
        <f t="shared" si="215"/>
        <v>0</v>
      </c>
      <c r="AF2185" s="2">
        <v>7.9611999999999998</v>
      </c>
      <c r="AG2185" s="2">
        <v>14.4</v>
      </c>
      <c r="AI2185" s="2">
        <f t="shared" si="216"/>
        <v>0</v>
      </c>
      <c r="AJ2185" s="2">
        <f t="shared" si="217"/>
        <v>6.5388000000000002</v>
      </c>
      <c r="AK2185" s="5">
        <f t="shared" si="214"/>
        <v>0.45095172413793105</v>
      </c>
    </row>
    <row r="2186" spans="1:37" x14ac:dyDescent="0.2">
      <c r="A2186" s="2">
        <v>2025</v>
      </c>
      <c r="B2186" s="2">
        <v>11</v>
      </c>
      <c r="C2186" s="2" t="s">
        <v>489</v>
      </c>
      <c r="D2186" s="2" t="s">
        <v>109</v>
      </c>
      <c r="E2186" s="2" t="s">
        <v>39</v>
      </c>
      <c r="F2186" s="2">
        <v>506834689</v>
      </c>
      <c r="G2186" s="2" t="s">
        <v>41</v>
      </c>
      <c r="H2186" s="2" t="s">
        <v>490</v>
      </c>
      <c r="I2186" s="2" t="s">
        <v>491</v>
      </c>
      <c r="J2186" s="2">
        <v>919866237</v>
      </c>
      <c r="K2186" s="2" t="s">
        <v>465</v>
      </c>
      <c r="L2186" s="2" t="s">
        <v>41</v>
      </c>
      <c r="O2186" s="2" t="s">
        <v>73</v>
      </c>
      <c r="P2186" s="2" t="s">
        <v>74</v>
      </c>
      <c r="Q2186" s="2" t="s">
        <v>75</v>
      </c>
      <c r="R2186" s="2">
        <v>1</v>
      </c>
      <c r="S2186" s="2">
        <v>220</v>
      </c>
      <c r="T2186" s="2">
        <v>50.6</v>
      </c>
      <c r="U2186" s="2">
        <v>270.60000000000002</v>
      </c>
      <c r="V2186" s="2">
        <v>117.453</v>
      </c>
      <c r="W2186" s="5">
        <f t="shared" si="213"/>
        <v>0.46612272727272724</v>
      </c>
      <c r="Y2186" s="2" t="s">
        <v>3256</v>
      </c>
      <c r="Z2186" s="2" t="s">
        <v>76</v>
      </c>
      <c r="AA2186" s="2" t="s">
        <v>77</v>
      </c>
      <c r="AB2186" s="2" t="s">
        <v>78</v>
      </c>
      <c r="AE2186" s="2">
        <f t="shared" si="215"/>
        <v>0</v>
      </c>
      <c r="AF2186" s="2">
        <v>117.453</v>
      </c>
      <c r="AG2186" s="2">
        <v>220</v>
      </c>
      <c r="AI2186" s="2">
        <f t="shared" si="216"/>
        <v>0</v>
      </c>
      <c r="AJ2186" s="2">
        <f t="shared" si="217"/>
        <v>102.547</v>
      </c>
      <c r="AK2186" s="5">
        <f t="shared" si="214"/>
        <v>0.46612272727272724</v>
      </c>
    </row>
    <row r="2187" spans="1:37" x14ac:dyDescent="0.2">
      <c r="A2187" s="2">
        <v>2025</v>
      </c>
      <c r="B2187" s="2">
        <v>11</v>
      </c>
      <c r="C2187" s="2" t="s">
        <v>489</v>
      </c>
      <c r="D2187" s="2" t="s">
        <v>109</v>
      </c>
      <c r="E2187" s="2" t="s">
        <v>39</v>
      </c>
      <c r="F2187" s="2">
        <v>506834689</v>
      </c>
      <c r="G2187" s="2" t="s">
        <v>41</v>
      </c>
      <c r="H2187" s="2" t="s">
        <v>490</v>
      </c>
      <c r="I2187" s="2" t="s">
        <v>491</v>
      </c>
      <c r="J2187" s="2">
        <v>919866237</v>
      </c>
      <c r="K2187" s="2" t="s">
        <v>465</v>
      </c>
      <c r="L2187" s="2" t="s">
        <v>41</v>
      </c>
      <c r="O2187" s="2" t="s">
        <v>1047</v>
      </c>
      <c r="P2187" s="2" t="s">
        <v>2049</v>
      </c>
      <c r="Q2187" s="2" t="s">
        <v>2050</v>
      </c>
      <c r="R2187" s="2">
        <v>2</v>
      </c>
      <c r="S2187" s="2">
        <v>508.13</v>
      </c>
      <c r="T2187" s="2">
        <v>116.8699</v>
      </c>
      <c r="U2187" s="2">
        <v>624.99990000000003</v>
      </c>
      <c r="W2187" s="5">
        <f t="shared" si="213"/>
        <v>1</v>
      </c>
      <c r="Y2187" s="2" t="s">
        <v>3256</v>
      </c>
      <c r="Z2187" s="2" t="s">
        <v>1050</v>
      </c>
      <c r="AA2187" s="2" t="s">
        <v>2051</v>
      </c>
      <c r="AB2187" s="2" t="s">
        <v>1047</v>
      </c>
      <c r="AE2187" s="2">
        <f t="shared" si="215"/>
        <v>0</v>
      </c>
      <c r="AI2187" s="2">
        <f t="shared" si="216"/>
        <v>0</v>
      </c>
      <c r="AJ2187" s="2">
        <f t="shared" si="217"/>
        <v>508.13</v>
      </c>
      <c r="AK2187" s="5">
        <f t="shared" si="214"/>
        <v>1</v>
      </c>
    </row>
    <row r="2188" spans="1:37" x14ac:dyDescent="0.2">
      <c r="A2188" s="2">
        <v>2025</v>
      </c>
      <c r="B2188" s="2">
        <v>11</v>
      </c>
      <c r="C2188" s="2" t="s">
        <v>489</v>
      </c>
      <c r="D2188" s="2" t="s">
        <v>109</v>
      </c>
      <c r="E2188" s="2" t="s">
        <v>39</v>
      </c>
      <c r="F2188" s="2">
        <v>506834689</v>
      </c>
      <c r="G2188" s="2" t="s">
        <v>41</v>
      </c>
      <c r="H2188" s="2" t="s">
        <v>490</v>
      </c>
      <c r="I2188" s="2" t="s">
        <v>491</v>
      </c>
      <c r="J2188" s="2">
        <v>919866237</v>
      </c>
      <c r="K2188" s="2" t="s">
        <v>465</v>
      </c>
      <c r="L2188" s="2" t="s">
        <v>41</v>
      </c>
      <c r="O2188" s="2" t="s">
        <v>1047</v>
      </c>
      <c r="P2188" s="2" t="s">
        <v>2052</v>
      </c>
      <c r="Q2188" s="2" t="s">
        <v>2053</v>
      </c>
      <c r="R2188" s="2">
        <v>2</v>
      </c>
      <c r="S2188" s="2">
        <v>508.13</v>
      </c>
      <c r="T2188" s="2">
        <v>116.8699</v>
      </c>
      <c r="U2188" s="2">
        <v>624.99990000000003</v>
      </c>
      <c r="W2188" s="5">
        <f t="shared" si="213"/>
        <v>1</v>
      </c>
      <c r="Y2188" s="2" t="s">
        <v>3256</v>
      </c>
      <c r="Z2188" s="2" t="s">
        <v>1050</v>
      </c>
      <c r="AA2188" s="2" t="s">
        <v>2051</v>
      </c>
      <c r="AB2188" s="2" t="s">
        <v>1047</v>
      </c>
      <c r="AE2188" s="2">
        <f t="shared" si="215"/>
        <v>0</v>
      </c>
      <c r="AI2188" s="2">
        <f t="shared" si="216"/>
        <v>0</v>
      </c>
      <c r="AJ2188" s="2">
        <f t="shared" si="217"/>
        <v>508.13</v>
      </c>
      <c r="AK2188" s="5">
        <f t="shared" si="214"/>
        <v>1</v>
      </c>
    </row>
    <row r="2189" spans="1:37" x14ac:dyDescent="0.2">
      <c r="A2189" s="2">
        <v>2025</v>
      </c>
      <c r="B2189" s="2">
        <v>11</v>
      </c>
      <c r="C2189" s="2" t="s">
        <v>489</v>
      </c>
      <c r="D2189" s="2" t="s">
        <v>109</v>
      </c>
      <c r="E2189" s="2" t="s">
        <v>39</v>
      </c>
      <c r="F2189" s="2">
        <v>506834689</v>
      </c>
      <c r="G2189" s="2" t="s">
        <v>41</v>
      </c>
      <c r="H2189" s="2" t="s">
        <v>490</v>
      </c>
      <c r="I2189" s="2" t="s">
        <v>491</v>
      </c>
      <c r="J2189" s="2">
        <v>919866237</v>
      </c>
      <c r="K2189" s="2" t="s">
        <v>465</v>
      </c>
      <c r="L2189" s="2" t="s">
        <v>40</v>
      </c>
      <c r="O2189" s="2" t="s">
        <v>188</v>
      </c>
      <c r="P2189" s="2" t="s">
        <v>189</v>
      </c>
      <c r="Q2189" s="2" t="s">
        <v>190</v>
      </c>
      <c r="R2189" s="2">
        <v>1</v>
      </c>
      <c r="S2189" s="2">
        <v>127</v>
      </c>
      <c r="T2189" s="2">
        <v>29.21</v>
      </c>
      <c r="U2189" s="2">
        <v>156.21</v>
      </c>
      <c r="W2189" s="5">
        <f t="shared" si="213"/>
        <v>1</v>
      </c>
      <c r="Y2189" s="2" t="s">
        <v>118</v>
      </c>
      <c r="Z2189" s="2" t="s">
        <v>191</v>
      </c>
      <c r="AE2189" s="2">
        <f t="shared" si="215"/>
        <v>0</v>
      </c>
      <c r="AI2189" s="2">
        <f t="shared" si="216"/>
        <v>0</v>
      </c>
      <c r="AJ2189" s="2">
        <f t="shared" si="217"/>
        <v>127</v>
      </c>
      <c r="AK2189" s="5">
        <f t="shared" si="214"/>
        <v>1</v>
      </c>
    </row>
    <row r="2190" spans="1:37" x14ac:dyDescent="0.2">
      <c r="A2190" s="2">
        <v>2025</v>
      </c>
      <c r="B2190" s="2">
        <v>11</v>
      </c>
      <c r="C2190" s="2" t="s">
        <v>489</v>
      </c>
      <c r="D2190" s="2" t="s">
        <v>109</v>
      </c>
      <c r="E2190" s="2" t="s">
        <v>39</v>
      </c>
      <c r="F2190" s="2">
        <v>506834689</v>
      </c>
      <c r="G2190" s="2" t="s">
        <v>41</v>
      </c>
      <c r="H2190" s="2" t="s">
        <v>490</v>
      </c>
      <c r="I2190" s="2" t="s">
        <v>491</v>
      </c>
      <c r="J2190" s="2">
        <v>919866237</v>
      </c>
      <c r="K2190" s="2" t="s">
        <v>465</v>
      </c>
      <c r="L2190" s="2" t="s">
        <v>40</v>
      </c>
      <c r="O2190" s="2" t="s">
        <v>188</v>
      </c>
      <c r="P2190" s="2" t="s">
        <v>192</v>
      </c>
      <c r="Q2190" s="2" t="s">
        <v>191</v>
      </c>
      <c r="R2190" s="2">
        <v>1</v>
      </c>
      <c r="S2190" s="2">
        <v>50</v>
      </c>
      <c r="T2190" s="2">
        <v>11.5</v>
      </c>
      <c r="U2190" s="2">
        <v>61.5</v>
      </c>
      <c r="V2190" s="2">
        <f>S2190*50%</f>
        <v>25</v>
      </c>
      <c r="W2190" s="5">
        <f t="shared" si="213"/>
        <v>0.5</v>
      </c>
      <c r="Y2190" s="2" t="s">
        <v>118</v>
      </c>
      <c r="Z2190" s="2" t="s">
        <v>191</v>
      </c>
      <c r="AE2190" s="2">
        <f t="shared" si="215"/>
        <v>0</v>
      </c>
      <c r="AI2190" s="2">
        <f t="shared" si="216"/>
        <v>0</v>
      </c>
      <c r="AJ2190" s="2">
        <f t="shared" si="217"/>
        <v>25</v>
      </c>
      <c r="AK2190" s="5">
        <f t="shared" si="214"/>
        <v>0.5</v>
      </c>
    </row>
    <row r="2191" spans="1:37" x14ac:dyDescent="0.2">
      <c r="A2191" s="2">
        <v>2025</v>
      </c>
      <c r="B2191" s="2">
        <v>11</v>
      </c>
      <c r="C2191" s="2" t="s">
        <v>489</v>
      </c>
      <c r="D2191" s="2" t="s">
        <v>109</v>
      </c>
      <c r="E2191" s="2" t="s">
        <v>39</v>
      </c>
      <c r="F2191" s="2">
        <v>506834689</v>
      </c>
      <c r="G2191" s="2" t="s">
        <v>41</v>
      </c>
      <c r="H2191" s="2" t="s">
        <v>490</v>
      </c>
      <c r="I2191" s="2" t="s">
        <v>491</v>
      </c>
      <c r="J2191" s="2">
        <v>919866237</v>
      </c>
      <c r="K2191" s="2" t="s">
        <v>465</v>
      </c>
      <c r="O2191" s="2" t="s">
        <v>94</v>
      </c>
      <c r="P2191" s="2" t="s">
        <v>95</v>
      </c>
      <c r="Q2191" s="2" t="s">
        <v>96</v>
      </c>
      <c r="R2191" s="2">
        <v>1</v>
      </c>
      <c r="S2191" s="2">
        <v>1.1399999999999999</v>
      </c>
      <c r="T2191" s="2">
        <v>0.26219999999999999</v>
      </c>
      <c r="U2191" s="2">
        <v>1.4021999999999999</v>
      </c>
      <c r="V2191" s="2">
        <v>1.1399999999999999</v>
      </c>
      <c r="W2191" s="5">
        <f t="shared" si="213"/>
        <v>0</v>
      </c>
      <c r="Y2191" s="2" t="s">
        <v>3256</v>
      </c>
      <c r="Z2191" s="2" t="s">
        <v>97</v>
      </c>
      <c r="AA2191" s="2" t="s">
        <v>77</v>
      </c>
      <c r="AB2191" s="2" t="s">
        <v>94</v>
      </c>
      <c r="AE2191" s="2">
        <f t="shared" si="215"/>
        <v>0</v>
      </c>
      <c r="AI2191" s="2">
        <f t="shared" si="216"/>
        <v>0</v>
      </c>
      <c r="AJ2191" s="2">
        <f t="shared" si="217"/>
        <v>0</v>
      </c>
      <c r="AK2191" s="5">
        <f t="shared" si="214"/>
        <v>0</v>
      </c>
    </row>
    <row r="2192" spans="1:37" x14ac:dyDescent="0.2">
      <c r="A2192" s="2">
        <v>2025</v>
      </c>
      <c r="B2192" s="2">
        <v>11</v>
      </c>
      <c r="C2192" s="2" t="s">
        <v>2054</v>
      </c>
      <c r="O2192" s="2" t="s">
        <v>115</v>
      </c>
      <c r="P2192" s="2" t="s">
        <v>911</v>
      </c>
      <c r="Q2192" s="2" t="s">
        <v>912</v>
      </c>
      <c r="R2192" s="2">
        <v>1</v>
      </c>
      <c r="S2192" s="2">
        <v>699.3</v>
      </c>
      <c r="T2192" s="2">
        <v>160.839</v>
      </c>
      <c r="U2192" s="2">
        <v>860.1389999999999</v>
      </c>
      <c r="W2192" s="5">
        <f t="shared" si="213"/>
        <v>1</v>
      </c>
      <c r="AE2192" s="2">
        <f t="shared" si="215"/>
        <v>0</v>
      </c>
      <c r="AI2192" s="2">
        <f t="shared" si="216"/>
        <v>0</v>
      </c>
      <c r="AJ2192" s="2">
        <f t="shared" si="217"/>
        <v>699.3</v>
      </c>
      <c r="AK2192" s="5">
        <f t="shared" si="214"/>
        <v>1</v>
      </c>
    </row>
    <row r="2193" spans="1:37" x14ac:dyDescent="0.2">
      <c r="A2193" s="2">
        <v>2025</v>
      </c>
      <c r="B2193" s="2">
        <v>11</v>
      </c>
      <c r="C2193" s="2" t="s">
        <v>2054</v>
      </c>
      <c r="L2193" s="2" t="s">
        <v>40</v>
      </c>
      <c r="O2193" s="2" t="s">
        <v>188</v>
      </c>
      <c r="P2193" s="2" t="s">
        <v>189</v>
      </c>
      <c r="Q2193" s="2" t="s">
        <v>190</v>
      </c>
      <c r="R2193" s="2">
        <v>1</v>
      </c>
      <c r="S2193" s="2">
        <v>50</v>
      </c>
      <c r="T2193" s="2">
        <v>11.5</v>
      </c>
      <c r="U2193" s="2">
        <v>61.5</v>
      </c>
      <c r="W2193" s="5">
        <f t="shared" si="213"/>
        <v>1</v>
      </c>
      <c r="Y2193" s="2" t="s">
        <v>118</v>
      </c>
      <c r="Z2193" s="2" t="s">
        <v>191</v>
      </c>
      <c r="AE2193" s="2">
        <f t="shared" si="215"/>
        <v>0</v>
      </c>
      <c r="AI2193" s="2">
        <f t="shared" si="216"/>
        <v>0</v>
      </c>
      <c r="AJ2193" s="2">
        <f t="shared" si="217"/>
        <v>50</v>
      </c>
      <c r="AK2193" s="5">
        <f t="shared" si="214"/>
        <v>1</v>
      </c>
    </row>
    <row r="2194" spans="1:37" x14ac:dyDescent="0.2">
      <c r="A2194" s="2">
        <v>2025</v>
      </c>
      <c r="B2194" s="2">
        <v>11</v>
      </c>
      <c r="C2194" s="2" t="s">
        <v>2054</v>
      </c>
      <c r="L2194" s="2" t="s">
        <v>40</v>
      </c>
      <c r="O2194" s="2" t="s">
        <v>188</v>
      </c>
      <c r="P2194" s="2" t="s">
        <v>192</v>
      </c>
      <c r="Q2194" s="2" t="s">
        <v>191</v>
      </c>
      <c r="R2194" s="2">
        <v>1</v>
      </c>
      <c r="S2194" s="2">
        <v>50</v>
      </c>
      <c r="T2194" s="2">
        <v>11.5</v>
      </c>
      <c r="U2194" s="2">
        <v>61.5</v>
      </c>
      <c r="V2194" s="2">
        <f>S2194*50%</f>
        <v>25</v>
      </c>
      <c r="W2194" s="5">
        <f t="shared" si="213"/>
        <v>0.5</v>
      </c>
      <c r="Y2194" s="2" t="s">
        <v>118</v>
      </c>
      <c r="Z2194" s="2" t="s">
        <v>191</v>
      </c>
      <c r="AE2194" s="2">
        <f t="shared" si="215"/>
        <v>0</v>
      </c>
      <c r="AI2194" s="2">
        <f t="shared" si="216"/>
        <v>0</v>
      </c>
      <c r="AJ2194" s="2">
        <f t="shared" si="217"/>
        <v>25</v>
      </c>
      <c r="AK2194" s="5">
        <f t="shared" si="214"/>
        <v>0.5</v>
      </c>
    </row>
    <row r="2195" spans="1:37" x14ac:dyDescent="0.2">
      <c r="A2195" s="2">
        <v>2025</v>
      </c>
      <c r="B2195" s="2">
        <v>11</v>
      </c>
      <c r="C2195" s="2" t="s">
        <v>1926</v>
      </c>
      <c r="O2195" s="2" t="s">
        <v>283</v>
      </c>
      <c r="P2195" s="2" t="s">
        <v>1563</v>
      </c>
      <c r="Q2195" s="2" t="s">
        <v>1564</v>
      </c>
      <c r="R2195" s="2">
        <v>1</v>
      </c>
      <c r="S2195" s="2">
        <v>595</v>
      </c>
      <c r="T2195" s="2">
        <v>136.85</v>
      </c>
      <c r="U2195" s="2">
        <v>731.85</v>
      </c>
      <c r="W2195" s="5">
        <f t="shared" ref="W2195:W2258" si="218">(S2195-V2195)/S2195</f>
        <v>1</v>
      </c>
      <c r="AE2195" s="2">
        <f t="shared" si="215"/>
        <v>0</v>
      </c>
      <c r="AI2195" s="2">
        <f t="shared" si="216"/>
        <v>0</v>
      </c>
      <c r="AJ2195" s="2">
        <f t="shared" si="217"/>
        <v>595</v>
      </c>
      <c r="AK2195" s="5">
        <f t="shared" si="214"/>
        <v>1</v>
      </c>
    </row>
    <row r="2196" spans="1:37" x14ac:dyDescent="0.2">
      <c r="A2196" s="2">
        <v>2025</v>
      </c>
      <c r="B2196" s="2">
        <v>11</v>
      </c>
      <c r="C2196" s="2" t="s">
        <v>1926</v>
      </c>
      <c r="O2196" s="2" t="s">
        <v>283</v>
      </c>
      <c r="P2196" s="2" t="s">
        <v>404</v>
      </c>
      <c r="Q2196" s="2" t="s">
        <v>405</v>
      </c>
      <c r="R2196" s="2">
        <v>4</v>
      </c>
      <c r="S2196" s="2">
        <v>0</v>
      </c>
      <c r="T2196" s="2">
        <v>0</v>
      </c>
      <c r="U2196" s="2">
        <v>0</v>
      </c>
      <c r="W2196" s="5" t="e">
        <f t="shared" si="218"/>
        <v>#DIV/0!</v>
      </c>
      <c r="AE2196" s="2">
        <f t="shared" si="215"/>
        <v>0</v>
      </c>
      <c r="AI2196" s="2">
        <f t="shared" si="216"/>
        <v>0</v>
      </c>
      <c r="AJ2196" s="2">
        <f t="shared" si="217"/>
        <v>0</v>
      </c>
      <c r="AK2196" s="5" t="e">
        <f t="shared" si="214"/>
        <v>#DIV/0!</v>
      </c>
    </row>
    <row r="2197" spans="1:37" x14ac:dyDescent="0.2">
      <c r="A2197" s="2">
        <v>2025</v>
      </c>
      <c r="B2197" s="2">
        <v>11</v>
      </c>
      <c r="C2197" s="2" t="s">
        <v>1733</v>
      </c>
      <c r="O2197" s="2" t="s">
        <v>115</v>
      </c>
      <c r="P2197" s="2" t="s">
        <v>911</v>
      </c>
      <c r="Q2197" s="2" t="s">
        <v>912</v>
      </c>
      <c r="R2197" s="2">
        <v>1</v>
      </c>
      <c r="S2197" s="2">
        <v>699.3</v>
      </c>
      <c r="T2197" s="2">
        <v>160.839</v>
      </c>
      <c r="U2197" s="2">
        <v>860.1389999999999</v>
      </c>
      <c r="W2197" s="5">
        <f t="shared" si="218"/>
        <v>1</v>
      </c>
      <c r="AE2197" s="2">
        <f t="shared" si="215"/>
        <v>0</v>
      </c>
      <c r="AI2197" s="2">
        <f t="shared" si="216"/>
        <v>0</v>
      </c>
      <c r="AJ2197" s="2">
        <f t="shared" si="217"/>
        <v>699.3</v>
      </c>
      <c r="AK2197" s="5">
        <f t="shared" si="214"/>
        <v>1</v>
      </c>
    </row>
    <row r="2198" spans="1:37" x14ac:dyDescent="0.2">
      <c r="A2198" s="2">
        <v>2025</v>
      </c>
      <c r="B2198" s="2">
        <v>11</v>
      </c>
      <c r="C2198" s="2" t="s">
        <v>1733</v>
      </c>
      <c r="L2198" s="2" t="s">
        <v>40</v>
      </c>
      <c r="O2198" s="2" t="s">
        <v>188</v>
      </c>
      <c r="P2198" s="2" t="s">
        <v>189</v>
      </c>
      <c r="Q2198" s="2" t="s">
        <v>190</v>
      </c>
      <c r="R2198" s="2">
        <v>1</v>
      </c>
      <c r="S2198" s="2">
        <v>99</v>
      </c>
      <c r="T2198" s="2">
        <v>22.77</v>
      </c>
      <c r="U2198" s="2">
        <v>121.77</v>
      </c>
      <c r="W2198" s="5">
        <f t="shared" si="218"/>
        <v>1</v>
      </c>
      <c r="Y2198" s="2" t="s">
        <v>118</v>
      </c>
      <c r="Z2198" s="2" t="s">
        <v>191</v>
      </c>
      <c r="AE2198" s="2">
        <f t="shared" si="215"/>
        <v>0</v>
      </c>
      <c r="AI2198" s="2">
        <f t="shared" si="216"/>
        <v>0</v>
      </c>
      <c r="AJ2198" s="2">
        <f t="shared" si="217"/>
        <v>99</v>
      </c>
      <c r="AK2198" s="5">
        <f t="shared" si="214"/>
        <v>1</v>
      </c>
    </row>
    <row r="2199" spans="1:37" x14ac:dyDescent="0.2">
      <c r="A2199" s="2">
        <v>2025</v>
      </c>
      <c r="B2199" s="2">
        <v>11</v>
      </c>
      <c r="C2199" s="2" t="s">
        <v>1733</v>
      </c>
      <c r="L2199" s="2" t="s">
        <v>40</v>
      </c>
      <c r="O2199" s="2" t="s">
        <v>188</v>
      </c>
      <c r="P2199" s="2" t="s">
        <v>192</v>
      </c>
      <c r="Q2199" s="2" t="s">
        <v>191</v>
      </c>
      <c r="R2199" s="2">
        <v>1</v>
      </c>
      <c r="S2199" s="2">
        <v>50</v>
      </c>
      <c r="T2199" s="2">
        <v>11.5</v>
      </c>
      <c r="U2199" s="2">
        <v>61.5</v>
      </c>
      <c r="V2199" s="2">
        <f>S2199*50%</f>
        <v>25</v>
      </c>
      <c r="W2199" s="5">
        <f t="shared" si="218"/>
        <v>0.5</v>
      </c>
      <c r="Y2199" s="2" t="s">
        <v>118</v>
      </c>
      <c r="Z2199" s="2" t="s">
        <v>191</v>
      </c>
      <c r="AE2199" s="2">
        <f t="shared" si="215"/>
        <v>0</v>
      </c>
      <c r="AI2199" s="2">
        <f t="shared" si="216"/>
        <v>0</v>
      </c>
      <c r="AJ2199" s="2">
        <f t="shared" si="217"/>
        <v>25</v>
      </c>
      <c r="AK2199" s="5">
        <f t="shared" si="214"/>
        <v>0.5</v>
      </c>
    </row>
    <row r="2200" spans="1:37" x14ac:dyDescent="0.2">
      <c r="A2200" s="2">
        <v>2025</v>
      </c>
      <c r="B2200" s="2">
        <v>11</v>
      </c>
      <c r="C2200" s="2" t="s">
        <v>492</v>
      </c>
      <c r="D2200" s="2" t="s">
        <v>38</v>
      </c>
      <c r="E2200" s="2" t="s">
        <v>39</v>
      </c>
      <c r="F2200" s="2">
        <v>507380312</v>
      </c>
      <c r="G2200" s="2" t="s">
        <v>40</v>
      </c>
      <c r="H2200" s="2" t="s">
        <v>493</v>
      </c>
      <c r="I2200" s="2" t="s">
        <v>494</v>
      </c>
      <c r="J2200" s="2">
        <v>912293443</v>
      </c>
      <c r="K2200" s="2" t="s">
        <v>100</v>
      </c>
      <c r="L2200" s="2" t="s">
        <v>81</v>
      </c>
      <c r="O2200" s="2" t="s">
        <v>283</v>
      </c>
      <c r="P2200" s="2" t="s">
        <v>1448</v>
      </c>
      <c r="Q2200" s="2" t="s">
        <v>1449</v>
      </c>
      <c r="R2200" s="2">
        <v>2</v>
      </c>
      <c r="S2200" s="2">
        <v>15.8</v>
      </c>
      <c r="T2200" s="2">
        <v>3.6339999999999999</v>
      </c>
      <c r="U2200" s="2">
        <v>19.434000000000001</v>
      </c>
      <c r="W2200" s="5">
        <f t="shared" si="218"/>
        <v>1</v>
      </c>
      <c r="AE2200" s="2">
        <f t="shared" si="215"/>
        <v>0</v>
      </c>
      <c r="AI2200" s="2">
        <f t="shared" si="216"/>
        <v>0</v>
      </c>
      <c r="AJ2200" s="2">
        <f t="shared" si="217"/>
        <v>15.8</v>
      </c>
      <c r="AK2200" s="5">
        <f t="shared" si="214"/>
        <v>1</v>
      </c>
    </row>
    <row r="2201" spans="1:37" x14ac:dyDescent="0.2">
      <c r="A2201" s="2">
        <v>2025</v>
      </c>
      <c r="B2201" s="2">
        <v>11</v>
      </c>
      <c r="C2201" s="2" t="s">
        <v>492</v>
      </c>
      <c r="D2201" s="2" t="s">
        <v>38</v>
      </c>
      <c r="E2201" s="2" t="s">
        <v>39</v>
      </c>
      <c r="F2201" s="2">
        <v>507380312</v>
      </c>
      <c r="G2201" s="2" t="s">
        <v>40</v>
      </c>
      <c r="H2201" s="2" t="s">
        <v>493</v>
      </c>
      <c r="I2201" s="2" t="s">
        <v>494</v>
      </c>
      <c r="J2201" s="2">
        <v>912293443</v>
      </c>
      <c r="K2201" s="2" t="s">
        <v>100</v>
      </c>
      <c r="L2201" s="2" t="s">
        <v>40</v>
      </c>
      <c r="O2201" s="2" t="s">
        <v>40</v>
      </c>
      <c r="P2201" s="2" t="s">
        <v>495</v>
      </c>
      <c r="Q2201" s="2" t="s">
        <v>496</v>
      </c>
      <c r="R2201" s="2">
        <v>1</v>
      </c>
      <c r="S2201" s="2">
        <v>664.04</v>
      </c>
      <c r="T2201" s="2">
        <v>152.72919999999999</v>
      </c>
      <c r="U2201" s="2">
        <v>816.76919999999996</v>
      </c>
      <c r="W2201" s="5">
        <f t="shared" si="218"/>
        <v>1</v>
      </c>
      <c r="Y2201" s="2" t="s">
        <v>120</v>
      </c>
      <c r="AE2201" s="2">
        <f t="shared" si="215"/>
        <v>0</v>
      </c>
      <c r="AI2201" s="2">
        <f t="shared" si="216"/>
        <v>0</v>
      </c>
      <c r="AJ2201" s="2">
        <f t="shared" si="217"/>
        <v>664.04</v>
      </c>
      <c r="AK2201" s="5">
        <f t="shared" si="214"/>
        <v>1</v>
      </c>
    </row>
    <row r="2202" spans="1:37" x14ac:dyDescent="0.2">
      <c r="A2202" s="2">
        <v>2025</v>
      </c>
      <c r="B2202" s="2">
        <v>11</v>
      </c>
      <c r="C2202" s="2" t="s">
        <v>1411</v>
      </c>
      <c r="O2202" s="2" t="s">
        <v>115</v>
      </c>
      <c r="P2202" s="2" t="s">
        <v>136</v>
      </c>
      <c r="Q2202" s="2" t="s">
        <v>137</v>
      </c>
      <c r="R2202" s="2">
        <v>1</v>
      </c>
      <c r="S2202" s="2">
        <v>725.58</v>
      </c>
      <c r="T2202" s="2">
        <v>166.88339999999999</v>
      </c>
      <c r="U2202" s="2">
        <v>892.46340000000009</v>
      </c>
      <c r="W2202" s="5">
        <f t="shared" si="218"/>
        <v>1</v>
      </c>
      <c r="AE2202" s="2">
        <f t="shared" si="215"/>
        <v>0</v>
      </c>
      <c r="AI2202" s="2">
        <f t="shared" si="216"/>
        <v>0</v>
      </c>
      <c r="AJ2202" s="2">
        <f t="shared" si="217"/>
        <v>725.58</v>
      </c>
      <c r="AK2202" s="5">
        <f t="shared" si="214"/>
        <v>1</v>
      </c>
    </row>
    <row r="2203" spans="1:37" x14ac:dyDescent="0.2">
      <c r="A2203" s="2">
        <v>2025</v>
      </c>
      <c r="B2203" s="2">
        <v>11</v>
      </c>
      <c r="C2203" s="2" t="s">
        <v>504</v>
      </c>
      <c r="D2203" s="2" t="s">
        <v>38</v>
      </c>
      <c r="E2203" s="2" t="s">
        <v>39</v>
      </c>
      <c r="F2203" s="2">
        <v>513244468</v>
      </c>
      <c r="G2203" s="2" t="s">
        <v>41</v>
      </c>
      <c r="H2203" s="2" t="s">
        <v>505</v>
      </c>
      <c r="I2203" s="2" t="s">
        <v>506</v>
      </c>
      <c r="J2203" s="2">
        <v>918010109</v>
      </c>
      <c r="K2203" s="2" t="s">
        <v>100</v>
      </c>
      <c r="L2203" s="2" t="s">
        <v>41</v>
      </c>
      <c r="O2203" s="2" t="s">
        <v>283</v>
      </c>
      <c r="P2203" s="2" t="s">
        <v>2055</v>
      </c>
      <c r="Q2203" s="2" t="s">
        <v>2056</v>
      </c>
      <c r="R2203" s="2">
        <v>1</v>
      </c>
      <c r="S2203" s="2">
        <v>18.5</v>
      </c>
      <c r="T2203" s="2">
        <v>4.2549999999999999</v>
      </c>
      <c r="U2203" s="2">
        <v>22.754999999999999</v>
      </c>
      <c r="W2203" s="5">
        <f t="shared" si="218"/>
        <v>1</v>
      </c>
      <c r="AE2203" s="2">
        <f t="shared" si="215"/>
        <v>0</v>
      </c>
      <c r="AI2203" s="2">
        <f t="shared" si="216"/>
        <v>0</v>
      </c>
      <c r="AJ2203" s="2">
        <f t="shared" si="217"/>
        <v>18.5</v>
      </c>
      <c r="AK2203" s="5">
        <f t="shared" si="214"/>
        <v>1</v>
      </c>
    </row>
    <row r="2204" spans="1:37" x14ac:dyDescent="0.2">
      <c r="A2204" s="2">
        <v>2025</v>
      </c>
      <c r="B2204" s="2">
        <v>11</v>
      </c>
      <c r="C2204" s="2" t="s">
        <v>504</v>
      </c>
      <c r="D2204" s="2" t="s">
        <v>38</v>
      </c>
      <c r="E2204" s="2" t="s">
        <v>39</v>
      </c>
      <c r="F2204" s="2">
        <v>513244468</v>
      </c>
      <c r="G2204" s="2" t="s">
        <v>41</v>
      </c>
      <c r="H2204" s="2" t="s">
        <v>505</v>
      </c>
      <c r="I2204" s="2" t="s">
        <v>506</v>
      </c>
      <c r="J2204" s="2">
        <v>918010109</v>
      </c>
      <c r="K2204" s="2" t="s">
        <v>100</v>
      </c>
      <c r="L2204" s="2" t="s">
        <v>41</v>
      </c>
      <c r="O2204" s="2" t="s">
        <v>283</v>
      </c>
      <c r="P2204" s="2" t="s">
        <v>404</v>
      </c>
      <c r="Q2204" s="2" t="s">
        <v>405</v>
      </c>
      <c r="R2204" s="2">
        <v>8</v>
      </c>
      <c r="S2204" s="2">
        <v>200</v>
      </c>
      <c r="T2204" s="2">
        <v>46</v>
      </c>
      <c r="U2204" s="2">
        <v>246</v>
      </c>
      <c r="W2204" s="5">
        <f t="shared" si="218"/>
        <v>1</v>
      </c>
      <c r="Y2204" s="2" t="s">
        <v>3256</v>
      </c>
      <c r="AE2204" s="2">
        <f t="shared" si="215"/>
        <v>0</v>
      </c>
      <c r="AI2204" s="2">
        <f t="shared" si="216"/>
        <v>0</v>
      </c>
      <c r="AJ2204" s="2">
        <f t="shared" si="217"/>
        <v>200</v>
      </c>
      <c r="AK2204" s="5">
        <f t="shared" si="214"/>
        <v>1</v>
      </c>
    </row>
    <row r="2205" spans="1:37" x14ac:dyDescent="0.2">
      <c r="A2205" s="2">
        <v>2025</v>
      </c>
      <c r="B2205" s="2">
        <v>11</v>
      </c>
      <c r="C2205" s="2" t="s">
        <v>504</v>
      </c>
      <c r="D2205" s="2" t="s">
        <v>38</v>
      </c>
      <c r="E2205" s="2" t="s">
        <v>39</v>
      </c>
      <c r="F2205" s="2">
        <v>513244468</v>
      </c>
      <c r="G2205" s="2" t="s">
        <v>41</v>
      </c>
      <c r="H2205" s="2" t="s">
        <v>505</v>
      </c>
      <c r="I2205" s="2" t="s">
        <v>506</v>
      </c>
      <c r="J2205" s="2">
        <v>918010109</v>
      </c>
      <c r="K2205" s="2" t="s">
        <v>100</v>
      </c>
      <c r="L2205" s="2" t="s">
        <v>41</v>
      </c>
      <c r="O2205" s="2" t="s">
        <v>1368</v>
      </c>
      <c r="P2205" s="2" t="s">
        <v>1369</v>
      </c>
      <c r="Q2205" s="2" t="s">
        <v>1370</v>
      </c>
      <c r="R2205" s="2">
        <v>2</v>
      </c>
      <c r="S2205" s="2">
        <v>80</v>
      </c>
      <c r="T2205" s="2">
        <v>18.399999999999999</v>
      </c>
      <c r="U2205" s="2">
        <v>98.4</v>
      </c>
      <c r="W2205" s="5">
        <f t="shared" si="218"/>
        <v>1</v>
      </c>
      <c r="Y2205" s="2" t="s">
        <v>3256</v>
      </c>
      <c r="AE2205" s="2">
        <f t="shared" si="215"/>
        <v>0</v>
      </c>
      <c r="AI2205" s="2">
        <f t="shared" si="216"/>
        <v>0</v>
      </c>
      <c r="AJ2205" s="2">
        <f t="shared" si="217"/>
        <v>80</v>
      </c>
      <c r="AK2205" s="5">
        <f t="shared" si="214"/>
        <v>1</v>
      </c>
    </row>
    <row r="2206" spans="1:37" x14ac:dyDescent="0.2">
      <c r="A2206" s="2">
        <v>2025</v>
      </c>
      <c r="B2206" s="2">
        <v>11</v>
      </c>
      <c r="C2206" s="2" t="s">
        <v>1737</v>
      </c>
      <c r="O2206" s="2" t="s">
        <v>283</v>
      </c>
      <c r="P2206" s="2" t="s">
        <v>1448</v>
      </c>
      <c r="Q2206" s="2" t="s">
        <v>1449</v>
      </c>
      <c r="R2206" s="2">
        <v>3</v>
      </c>
      <c r="S2206" s="2">
        <v>23.7</v>
      </c>
      <c r="T2206" s="2">
        <v>5.4510000000000014</v>
      </c>
      <c r="U2206" s="2">
        <v>29.151</v>
      </c>
      <c r="W2206" s="5">
        <f t="shared" si="218"/>
        <v>1</v>
      </c>
      <c r="Y2206" s="2" t="s">
        <v>3256</v>
      </c>
      <c r="AE2206" s="2">
        <f t="shared" si="215"/>
        <v>0</v>
      </c>
      <c r="AI2206" s="2">
        <f t="shared" si="216"/>
        <v>0</v>
      </c>
      <c r="AJ2206" s="2">
        <f t="shared" si="217"/>
        <v>23.7</v>
      </c>
      <c r="AK2206" s="5">
        <f t="shared" si="214"/>
        <v>1</v>
      </c>
    </row>
    <row r="2207" spans="1:37" x14ac:dyDescent="0.2">
      <c r="A2207" s="2">
        <v>2025</v>
      </c>
      <c r="B2207" s="2">
        <v>11</v>
      </c>
      <c r="C2207" s="2" t="s">
        <v>1737</v>
      </c>
      <c r="O2207" s="2" t="s">
        <v>283</v>
      </c>
      <c r="P2207" s="2" t="s">
        <v>2057</v>
      </c>
      <c r="Q2207" s="2" t="s">
        <v>2058</v>
      </c>
      <c r="R2207" s="2">
        <v>1</v>
      </c>
      <c r="S2207" s="2">
        <v>32.9</v>
      </c>
      <c r="T2207" s="2">
        <v>7.5670000000000002</v>
      </c>
      <c r="U2207" s="2">
        <v>40.466999999999999</v>
      </c>
      <c r="W2207" s="5">
        <f t="shared" si="218"/>
        <v>1</v>
      </c>
      <c r="Y2207" s="2" t="s">
        <v>3256</v>
      </c>
      <c r="AE2207" s="2">
        <f t="shared" si="215"/>
        <v>0</v>
      </c>
      <c r="AI2207" s="2">
        <f t="shared" si="216"/>
        <v>0</v>
      </c>
      <c r="AJ2207" s="2">
        <f t="shared" si="217"/>
        <v>32.9</v>
      </c>
      <c r="AK2207" s="5">
        <f t="shared" si="214"/>
        <v>1</v>
      </c>
    </row>
    <row r="2208" spans="1:37" x14ac:dyDescent="0.2">
      <c r="A2208" s="2">
        <v>2025</v>
      </c>
      <c r="B2208" s="2">
        <v>11</v>
      </c>
      <c r="C2208" s="2" t="s">
        <v>1080</v>
      </c>
      <c r="O2208" s="2" t="s">
        <v>283</v>
      </c>
      <c r="P2208" s="2" t="s">
        <v>2059</v>
      </c>
      <c r="Q2208" s="2" t="s">
        <v>2060</v>
      </c>
      <c r="R2208" s="2">
        <v>1</v>
      </c>
      <c r="S2208" s="2">
        <v>10.9</v>
      </c>
      <c r="T2208" s="2">
        <v>2.5070000000000001</v>
      </c>
      <c r="U2208" s="2">
        <v>13.407</v>
      </c>
      <c r="W2208" s="5">
        <f t="shared" si="218"/>
        <v>1</v>
      </c>
      <c r="Y2208" s="2" t="s">
        <v>3256</v>
      </c>
      <c r="AE2208" s="2">
        <f t="shared" si="215"/>
        <v>0</v>
      </c>
      <c r="AI2208" s="2">
        <f t="shared" si="216"/>
        <v>0</v>
      </c>
      <c r="AJ2208" s="2">
        <f t="shared" si="217"/>
        <v>10.9</v>
      </c>
      <c r="AK2208" s="5">
        <f t="shared" si="214"/>
        <v>1</v>
      </c>
    </row>
    <row r="2209" spans="1:37" x14ac:dyDescent="0.2">
      <c r="A2209" s="2">
        <v>2025</v>
      </c>
      <c r="B2209" s="2">
        <v>11</v>
      </c>
      <c r="C2209" s="2" t="s">
        <v>1080</v>
      </c>
      <c r="O2209" s="2" t="s">
        <v>283</v>
      </c>
      <c r="P2209" s="2" t="s">
        <v>2061</v>
      </c>
      <c r="Q2209" s="2" t="s">
        <v>2062</v>
      </c>
      <c r="R2209" s="2">
        <v>1</v>
      </c>
      <c r="S2209" s="2">
        <v>11.5</v>
      </c>
      <c r="T2209" s="2">
        <v>2.645</v>
      </c>
      <c r="U2209" s="2">
        <v>14.145</v>
      </c>
      <c r="W2209" s="5">
        <f t="shared" si="218"/>
        <v>1</v>
      </c>
      <c r="Y2209" s="2" t="s">
        <v>3256</v>
      </c>
      <c r="AE2209" s="2">
        <f t="shared" si="215"/>
        <v>0</v>
      </c>
      <c r="AI2209" s="2">
        <f t="shared" si="216"/>
        <v>0</v>
      </c>
      <c r="AJ2209" s="2">
        <f t="shared" si="217"/>
        <v>11.5</v>
      </c>
      <c r="AK2209" s="5">
        <f t="shared" si="214"/>
        <v>1</v>
      </c>
    </row>
    <row r="2210" spans="1:37" x14ac:dyDescent="0.2">
      <c r="A2210" s="2">
        <v>2025</v>
      </c>
      <c r="B2210" s="2">
        <v>11</v>
      </c>
      <c r="C2210" s="2" t="s">
        <v>1080</v>
      </c>
      <c r="O2210" s="2" t="s">
        <v>283</v>
      </c>
      <c r="P2210" s="2" t="s">
        <v>2063</v>
      </c>
      <c r="Q2210" s="2" t="s">
        <v>2064</v>
      </c>
      <c r="R2210" s="2">
        <v>1</v>
      </c>
      <c r="S2210" s="2">
        <v>9.9</v>
      </c>
      <c r="T2210" s="2">
        <v>2.2770000000000001</v>
      </c>
      <c r="U2210" s="2">
        <v>12.177</v>
      </c>
      <c r="W2210" s="5">
        <f t="shared" si="218"/>
        <v>1</v>
      </c>
      <c r="Y2210" s="2" t="s">
        <v>3256</v>
      </c>
      <c r="AE2210" s="2">
        <f t="shared" si="215"/>
        <v>0</v>
      </c>
      <c r="AI2210" s="2">
        <f t="shared" si="216"/>
        <v>0</v>
      </c>
      <c r="AJ2210" s="2">
        <f t="shared" si="217"/>
        <v>9.9</v>
      </c>
      <c r="AK2210" s="5">
        <f t="shared" si="214"/>
        <v>1</v>
      </c>
    </row>
    <row r="2211" spans="1:37" x14ac:dyDescent="0.2">
      <c r="A2211" s="2">
        <v>2025</v>
      </c>
      <c r="B2211" s="2">
        <v>11</v>
      </c>
      <c r="C2211" s="2" t="s">
        <v>1080</v>
      </c>
      <c r="O2211" s="2" t="s">
        <v>283</v>
      </c>
      <c r="P2211" s="2" t="s">
        <v>2065</v>
      </c>
      <c r="Q2211" s="2" t="s">
        <v>2066</v>
      </c>
      <c r="R2211" s="2">
        <v>1</v>
      </c>
      <c r="S2211" s="2">
        <v>9.9</v>
      </c>
      <c r="T2211" s="2">
        <v>2.2770000000000001</v>
      </c>
      <c r="U2211" s="2">
        <v>12.177</v>
      </c>
      <c r="W2211" s="5">
        <f t="shared" si="218"/>
        <v>1</v>
      </c>
      <c r="Y2211" s="2" t="s">
        <v>3256</v>
      </c>
      <c r="AE2211" s="2">
        <f t="shared" si="215"/>
        <v>0</v>
      </c>
      <c r="AI2211" s="2">
        <f t="shared" si="216"/>
        <v>0</v>
      </c>
      <c r="AJ2211" s="2">
        <f t="shared" si="217"/>
        <v>9.9</v>
      </c>
      <c r="AK2211" s="5">
        <f t="shared" si="214"/>
        <v>1</v>
      </c>
    </row>
    <row r="2212" spans="1:37" x14ac:dyDescent="0.2">
      <c r="A2212" s="2">
        <v>2025</v>
      </c>
      <c r="B2212" s="2">
        <v>11</v>
      </c>
      <c r="C2212" s="2" t="s">
        <v>2067</v>
      </c>
      <c r="L2212" s="2" t="s">
        <v>81</v>
      </c>
      <c r="N2212" s="2" t="s">
        <v>2068</v>
      </c>
      <c r="O2212" s="2" t="s">
        <v>73</v>
      </c>
      <c r="P2212" s="2" t="s">
        <v>561</v>
      </c>
      <c r="Q2212" s="2" t="s">
        <v>308</v>
      </c>
      <c r="R2212" s="2">
        <v>1</v>
      </c>
      <c r="S2212" s="2">
        <v>230</v>
      </c>
      <c r="T2212" s="2">
        <v>52.900000000000013</v>
      </c>
      <c r="U2212" s="2">
        <v>282.89999999999998</v>
      </c>
      <c r="V2212" s="2">
        <v>122.446</v>
      </c>
      <c r="W2212" s="5">
        <f t="shared" si="218"/>
        <v>0.46762608695652175</v>
      </c>
      <c r="Y2212" s="2" t="s">
        <v>3256</v>
      </c>
      <c r="Z2212" s="2" t="s">
        <v>76</v>
      </c>
      <c r="AA2212" s="2" t="s">
        <v>77</v>
      </c>
      <c r="AB2212" s="2" t="s">
        <v>78</v>
      </c>
      <c r="AE2212" s="2">
        <f t="shared" si="215"/>
        <v>0</v>
      </c>
      <c r="AF2212" s="2">
        <v>122.446</v>
      </c>
      <c r="AG2212" s="2">
        <v>230</v>
      </c>
      <c r="AI2212" s="2">
        <f t="shared" si="216"/>
        <v>0</v>
      </c>
      <c r="AJ2212" s="2">
        <f t="shared" si="217"/>
        <v>107.554</v>
      </c>
      <c r="AK2212" s="5">
        <f t="shared" si="214"/>
        <v>0.46762608695652175</v>
      </c>
    </row>
    <row r="2213" spans="1:37" x14ac:dyDescent="0.2">
      <c r="A2213" s="2">
        <v>2025</v>
      </c>
      <c r="B2213" s="2">
        <v>11</v>
      </c>
      <c r="C2213" s="2" t="s">
        <v>2067</v>
      </c>
      <c r="O2213" s="2" t="s">
        <v>94</v>
      </c>
      <c r="P2213" s="2" t="s">
        <v>95</v>
      </c>
      <c r="Q2213" s="2" t="s">
        <v>96</v>
      </c>
      <c r="R2213" s="2">
        <v>1</v>
      </c>
      <c r="S2213" s="2">
        <v>1.1399999999999999</v>
      </c>
      <c r="T2213" s="2">
        <v>0.26219999999999999</v>
      </c>
      <c r="U2213" s="2">
        <v>1.4021999999999999</v>
      </c>
      <c r="V2213" s="2">
        <v>1.1399999999999999</v>
      </c>
      <c r="W2213" s="5">
        <f t="shared" si="218"/>
        <v>0</v>
      </c>
      <c r="Y2213" s="2" t="s">
        <v>3256</v>
      </c>
      <c r="Z2213" s="2" t="s">
        <v>97</v>
      </c>
      <c r="AA2213" s="2" t="s">
        <v>77</v>
      </c>
      <c r="AB2213" s="2" t="s">
        <v>94</v>
      </c>
      <c r="AE2213" s="2">
        <f t="shared" si="215"/>
        <v>0</v>
      </c>
      <c r="AI2213" s="2">
        <f t="shared" si="216"/>
        <v>0</v>
      </c>
      <c r="AJ2213" s="2">
        <f t="shared" si="217"/>
        <v>0</v>
      </c>
      <c r="AK2213" s="5">
        <f t="shared" si="214"/>
        <v>0</v>
      </c>
    </row>
    <row r="2214" spans="1:37" x14ac:dyDescent="0.2">
      <c r="A2214" s="2">
        <v>2025</v>
      </c>
      <c r="B2214" s="2">
        <v>11</v>
      </c>
      <c r="C2214" s="2" t="s">
        <v>2069</v>
      </c>
      <c r="O2214" s="2" t="s">
        <v>115</v>
      </c>
      <c r="P2214" s="2" t="s">
        <v>2070</v>
      </c>
      <c r="Q2214" s="2" t="s">
        <v>2071</v>
      </c>
      <c r="R2214" s="2">
        <v>1</v>
      </c>
      <c r="S2214" s="2">
        <v>1411.39</v>
      </c>
      <c r="T2214" s="2">
        <v>324.61970000000002</v>
      </c>
      <c r="U2214" s="2">
        <v>1736.0097000000001</v>
      </c>
      <c r="W2214" s="5">
        <f t="shared" si="218"/>
        <v>1</v>
      </c>
      <c r="AE2214" s="2">
        <f t="shared" si="215"/>
        <v>0</v>
      </c>
      <c r="AI2214" s="2">
        <f t="shared" si="216"/>
        <v>0</v>
      </c>
      <c r="AJ2214" s="2">
        <f t="shared" si="217"/>
        <v>1411.39</v>
      </c>
      <c r="AK2214" s="5">
        <f t="shared" si="214"/>
        <v>1</v>
      </c>
    </row>
    <row r="2215" spans="1:37" x14ac:dyDescent="0.2">
      <c r="A2215" s="2">
        <v>2025</v>
      </c>
      <c r="B2215" s="2">
        <v>11</v>
      </c>
      <c r="C2215" s="2" t="s">
        <v>2072</v>
      </c>
      <c r="O2215" s="2" t="s">
        <v>73</v>
      </c>
      <c r="P2215" s="2" t="s">
        <v>1084</v>
      </c>
      <c r="Q2215" s="2" t="s">
        <v>84</v>
      </c>
      <c r="R2215" s="2">
        <v>1</v>
      </c>
      <c r="S2215" s="2">
        <v>260</v>
      </c>
      <c r="T2215" s="2">
        <v>59.8</v>
      </c>
      <c r="U2215" s="2">
        <v>319.8</v>
      </c>
      <c r="V2215" s="2">
        <v>159.54</v>
      </c>
      <c r="W2215" s="5">
        <f t="shared" si="218"/>
        <v>0.38638461538461544</v>
      </c>
      <c r="Y2215" s="2" t="s">
        <v>3256</v>
      </c>
      <c r="Z2215" s="2" t="s">
        <v>76</v>
      </c>
      <c r="AA2215" s="2" t="s">
        <v>77</v>
      </c>
      <c r="AB2215" s="2" t="s">
        <v>78</v>
      </c>
      <c r="AE2215" s="2">
        <f t="shared" si="215"/>
        <v>0</v>
      </c>
      <c r="AF2215" s="2">
        <f>144.14+15.4</f>
        <v>159.54</v>
      </c>
      <c r="AG2215" s="2">
        <v>280</v>
      </c>
      <c r="AI2215" s="2">
        <f t="shared" si="216"/>
        <v>0</v>
      </c>
      <c r="AJ2215" s="2">
        <f t="shared" si="217"/>
        <v>100.46000000000001</v>
      </c>
      <c r="AK2215" s="5">
        <f t="shared" si="214"/>
        <v>0.38638461538461544</v>
      </c>
    </row>
    <row r="2216" spans="1:37" x14ac:dyDescent="0.2">
      <c r="A2216" s="2">
        <v>2025</v>
      </c>
      <c r="B2216" s="2">
        <v>11</v>
      </c>
      <c r="C2216" s="2" t="s">
        <v>2072</v>
      </c>
      <c r="O2216" s="2" t="s">
        <v>94</v>
      </c>
      <c r="P2216" s="2" t="s">
        <v>95</v>
      </c>
      <c r="Q2216" s="2" t="s">
        <v>96</v>
      </c>
      <c r="R2216" s="2">
        <v>1</v>
      </c>
      <c r="S2216" s="2">
        <v>1.1399999999999999</v>
      </c>
      <c r="T2216" s="2">
        <v>0.26219999999999999</v>
      </c>
      <c r="U2216" s="2">
        <v>1.4021999999999999</v>
      </c>
      <c r="V2216" s="2">
        <v>1.1399999999999999</v>
      </c>
      <c r="W2216" s="5">
        <f t="shared" si="218"/>
        <v>0</v>
      </c>
      <c r="Y2216" s="2" t="s">
        <v>3256</v>
      </c>
      <c r="Z2216" s="2" t="s">
        <v>97</v>
      </c>
      <c r="AA2216" s="2" t="s">
        <v>77</v>
      </c>
      <c r="AB2216" s="2" t="s">
        <v>94</v>
      </c>
      <c r="AE2216" s="2">
        <f t="shared" si="215"/>
        <v>0</v>
      </c>
      <c r="AI2216" s="2">
        <f t="shared" si="216"/>
        <v>0</v>
      </c>
      <c r="AJ2216" s="2">
        <f t="shared" si="217"/>
        <v>0</v>
      </c>
      <c r="AK2216" s="5">
        <f t="shared" si="214"/>
        <v>0</v>
      </c>
    </row>
    <row r="2217" spans="1:37" x14ac:dyDescent="0.2">
      <c r="A2217" s="2">
        <v>2025</v>
      </c>
      <c r="B2217" s="2">
        <v>11</v>
      </c>
      <c r="C2217" s="2" t="s">
        <v>534</v>
      </c>
      <c r="D2217" s="2" t="s">
        <v>109</v>
      </c>
      <c r="E2217" s="2" t="s">
        <v>535</v>
      </c>
      <c r="F2217" s="2">
        <v>502139552</v>
      </c>
      <c r="G2217" s="2" t="s">
        <v>40</v>
      </c>
      <c r="H2217" s="2" t="s">
        <v>340</v>
      </c>
      <c r="I2217" s="2" t="s">
        <v>536</v>
      </c>
      <c r="K2217" s="2" t="s">
        <v>340</v>
      </c>
      <c r="L2217" s="2" t="s">
        <v>81</v>
      </c>
      <c r="O2217" s="2" t="s">
        <v>73</v>
      </c>
      <c r="P2217" s="2" t="s">
        <v>2073</v>
      </c>
      <c r="Q2217" s="2" t="s">
        <v>198</v>
      </c>
      <c r="R2217" s="2">
        <v>1</v>
      </c>
      <c r="S2217" s="2">
        <v>351.44</v>
      </c>
      <c r="T2217" s="2">
        <v>80.83120000000001</v>
      </c>
      <c r="U2217" s="2">
        <v>432.27120000000002</v>
      </c>
      <c r="W2217" s="5">
        <f t="shared" si="218"/>
        <v>1</v>
      </c>
      <c r="Y2217" s="2" t="s">
        <v>3256</v>
      </c>
      <c r="Z2217" s="2" t="s">
        <v>76</v>
      </c>
      <c r="AA2217" s="2" t="s">
        <v>77</v>
      </c>
      <c r="AB2217" s="2" t="s">
        <v>78</v>
      </c>
      <c r="AE2217" s="2">
        <f t="shared" si="215"/>
        <v>0</v>
      </c>
      <c r="AI2217" s="2">
        <f t="shared" si="216"/>
        <v>0</v>
      </c>
      <c r="AJ2217" s="2">
        <f t="shared" si="217"/>
        <v>351.44</v>
      </c>
      <c r="AK2217" s="5">
        <f t="shared" si="214"/>
        <v>1</v>
      </c>
    </row>
    <row r="2218" spans="1:37" x14ac:dyDescent="0.2">
      <c r="A2218" s="2">
        <v>2025</v>
      </c>
      <c r="B2218" s="2">
        <v>11</v>
      </c>
      <c r="C2218" s="2" t="s">
        <v>534</v>
      </c>
      <c r="D2218" s="2" t="s">
        <v>109</v>
      </c>
      <c r="E2218" s="2" t="s">
        <v>535</v>
      </c>
      <c r="F2218" s="2">
        <v>502139552</v>
      </c>
      <c r="G2218" s="2" t="s">
        <v>40</v>
      </c>
      <c r="H2218" s="2" t="s">
        <v>340</v>
      </c>
      <c r="I2218" s="2" t="s">
        <v>536</v>
      </c>
      <c r="K2218" s="2" t="s">
        <v>340</v>
      </c>
      <c r="L2218" s="2" t="s">
        <v>40</v>
      </c>
      <c r="O2218" s="2" t="s">
        <v>40</v>
      </c>
      <c r="P2218" s="2" t="s">
        <v>141</v>
      </c>
      <c r="Q2218" s="2" t="s">
        <v>142</v>
      </c>
      <c r="R2218" s="2">
        <v>-1</v>
      </c>
      <c r="S2218" s="2">
        <v>-4.4000000000000004</v>
      </c>
      <c r="T2218" s="2">
        <v>-1.012</v>
      </c>
      <c r="U2218" s="2">
        <v>-5.4120000000000008</v>
      </c>
      <c r="W2218" s="5">
        <f t="shared" si="218"/>
        <v>1</v>
      </c>
      <c r="Y2218" s="2" t="s">
        <v>120</v>
      </c>
      <c r="Z2218" s="2" t="s">
        <v>143</v>
      </c>
      <c r="AE2218" s="2">
        <f t="shared" si="215"/>
        <v>0</v>
      </c>
      <c r="AI2218" s="2">
        <f t="shared" si="216"/>
        <v>0</v>
      </c>
      <c r="AJ2218" s="2">
        <f t="shared" si="217"/>
        <v>-4.4000000000000004</v>
      </c>
      <c r="AK2218" s="5">
        <f t="shared" si="214"/>
        <v>1</v>
      </c>
    </row>
    <row r="2219" spans="1:37" x14ac:dyDescent="0.2">
      <c r="A2219" s="2">
        <v>2025</v>
      </c>
      <c r="B2219" s="2">
        <v>11</v>
      </c>
      <c r="C2219" s="2" t="s">
        <v>534</v>
      </c>
      <c r="D2219" s="2" t="s">
        <v>109</v>
      </c>
      <c r="E2219" s="2" t="s">
        <v>535</v>
      </c>
      <c r="F2219" s="2">
        <v>502139552</v>
      </c>
      <c r="G2219" s="2" t="s">
        <v>40</v>
      </c>
      <c r="H2219" s="2" t="s">
        <v>340</v>
      </c>
      <c r="I2219" s="2" t="s">
        <v>536</v>
      </c>
      <c r="K2219" s="2" t="s">
        <v>340</v>
      </c>
      <c r="L2219" s="2" t="s">
        <v>81</v>
      </c>
      <c r="O2219" s="2" t="s">
        <v>94</v>
      </c>
      <c r="P2219" s="2" t="s">
        <v>95</v>
      </c>
      <c r="Q2219" s="2" t="s">
        <v>96</v>
      </c>
      <c r="R2219" s="2">
        <v>1</v>
      </c>
      <c r="S2219" s="2">
        <v>1.1399999999999999</v>
      </c>
      <c r="T2219" s="2">
        <v>0.26219999999999999</v>
      </c>
      <c r="U2219" s="2">
        <v>1.4021999999999999</v>
      </c>
      <c r="V2219" s="2">
        <v>1.1399999999999999</v>
      </c>
      <c r="W2219" s="5">
        <f t="shared" si="218"/>
        <v>0</v>
      </c>
      <c r="Y2219" s="2" t="s">
        <v>3256</v>
      </c>
      <c r="Z2219" s="2" t="s">
        <v>97</v>
      </c>
      <c r="AA2219" s="2" t="s">
        <v>77</v>
      </c>
      <c r="AB2219" s="2" t="s">
        <v>94</v>
      </c>
      <c r="AE2219" s="2">
        <f t="shared" si="215"/>
        <v>0</v>
      </c>
      <c r="AI2219" s="2">
        <f t="shared" si="216"/>
        <v>0</v>
      </c>
      <c r="AJ2219" s="2">
        <f t="shared" si="217"/>
        <v>0</v>
      </c>
      <c r="AK2219" s="5">
        <f t="shared" si="214"/>
        <v>0</v>
      </c>
    </row>
    <row r="2220" spans="1:37" x14ac:dyDescent="0.2">
      <c r="A2220" s="2">
        <v>2025</v>
      </c>
      <c r="B2220" s="2">
        <v>11</v>
      </c>
      <c r="C2220" s="2" t="s">
        <v>1739</v>
      </c>
      <c r="O2220" s="2" t="s">
        <v>115</v>
      </c>
      <c r="P2220" s="2" t="s">
        <v>1810</v>
      </c>
      <c r="Q2220" s="2" t="s">
        <v>1811</v>
      </c>
      <c r="R2220" s="2">
        <v>1</v>
      </c>
      <c r="S2220" s="2">
        <v>8980</v>
      </c>
      <c r="T2220" s="2">
        <v>2065.4</v>
      </c>
      <c r="U2220" s="2">
        <v>11045.4</v>
      </c>
      <c r="W2220" s="5">
        <f t="shared" si="218"/>
        <v>1</v>
      </c>
      <c r="Y2220" s="2" t="s">
        <v>105</v>
      </c>
      <c r="AE2220" s="2">
        <f t="shared" si="215"/>
        <v>0</v>
      </c>
      <c r="AI2220" s="2">
        <f t="shared" si="216"/>
        <v>0</v>
      </c>
      <c r="AJ2220" s="2">
        <f t="shared" si="217"/>
        <v>8980</v>
      </c>
      <c r="AK2220" s="5">
        <f t="shared" si="214"/>
        <v>1</v>
      </c>
    </row>
    <row r="2221" spans="1:37" x14ac:dyDescent="0.2">
      <c r="A2221" s="2">
        <v>2025</v>
      </c>
      <c r="B2221" s="2">
        <v>11</v>
      </c>
      <c r="C2221" s="2" t="s">
        <v>1430</v>
      </c>
      <c r="L2221" s="2" t="s">
        <v>81</v>
      </c>
      <c r="N2221" s="2" t="s">
        <v>3190</v>
      </c>
      <c r="O2221" s="2" t="s">
        <v>1047</v>
      </c>
      <c r="P2221" s="2" t="s">
        <v>2074</v>
      </c>
      <c r="Q2221" s="2" t="s">
        <v>2075</v>
      </c>
      <c r="R2221" s="2">
        <v>4</v>
      </c>
      <c r="S2221" s="2">
        <v>691.06</v>
      </c>
      <c r="T2221" s="2">
        <v>158.94380000000001</v>
      </c>
      <c r="U2221" s="2">
        <v>850.00379999999996</v>
      </c>
      <c r="V2221" s="2">
        <f>108.6*R2221</f>
        <v>434.4</v>
      </c>
      <c r="W2221" s="5">
        <f t="shared" si="218"/>
        <v>0.37140045726854398</v>
      </c>
      <c r="Y2221" s="2" t="s">
        <v>3256</v>
      </c>
      <c r="Z2221" s="2" t="s">
        <v>1050</v>
      </c>
      <c r="AA2221" s="2" t="s">
        <v>1328</v>
      </c>
      <c r="AB2221" s="2" t="s">
        <v>1047</v>
      </c>
      <c r="AE2221" s="2">
        <f t="shared" si="215"/>
        <v>0</v>
      </c>
      <c r="AF2221" s="2">
        <v>108.6</v>
      </c>
      <c r="AI2221" s="2">
        <f t="shared" si="216"/>
        <v>0</v>
      </c>
      <c r="AJ2221" s="2">
        <f t="shared" si="217"/>
        <v>256.65999999999997</v>
      </c>
      <c r="AK2221" s="5">
        <f t="shared" si="214"/>
        <v>0.37140045726854398</v>
      </c>
    </row>
    <row r="2222" spans="1:37" x14ac:dyDescent="0.2">
      <c r="A2222" s="2">
        <v>2025</v>
      </c>
      <c r="B2222" s="2">
        <v>11</v>
      </c>
      <c r="C2222" s="2" t="s">
        <v>1430</v>
      </c>
      <c r="L2222" s="2" t="s">
        <v>81</v>
      </c>
      <c r="O2222" s="2" t="s">
        <v>170</v>
      </c>
      <c r="P2222" s="2" t="s">
        <v>171</v>
      </c>
      <c r="Q2222" s="2" t="s">
        <v>171</v>
      </c>
      <c r="R2222" s="2">
        <v>1</v>
      </c>
      <c r="S2222" s="2">
        <v>100</v>
      </c>
      <c r="T2222" s="2">
        <v>23</v>
      </c>
      <c r="U2222" s="2">
        <v>123</v>
      </c>
      <c r="W2222" s="5">
        <f t="shared" si="218"/>
        <v>1</v>
      </c>
      <c r="Y2222" s="2" t="s">
        <v>170</v>
      </c>
      <c r="Z2222" s="2" t="s">
        <v>170</v>
      </c>
      <c r="AE2222" s="2">
        <f t="shared" si="215"/>
        <v>0</v>
      </c>
      <c r="AI2222" s="2">
        <f t="shared" si="216"/>
        <v>0</v>
      </c>
      <c r="AJ2222" s="2">
        <f t="shared" si="217"/>
        <v>100</v>
      </c>
      <c r="AK2222" s="5">
        <f t="shared" si="214"/>
        <v>1</v>
      </c>
    </row>
    <row r="2223" spans="1:37" x14ac:dyDescent="0.2">
      <c r="A2223" s="2">
        <v>2025</v>
      </c>
      <c r="B2223" s="2">
        <v>11</v>
      </c>
      <c r="C2223" s="2" t="s">
        <v>1431</v>
      </c>
      <c r="O2223" s="2" t="s">
        <v>73</v>
      </c>
      <c r="P2223" s="2" t="s">
        <v>2076</v>
      </c>
      <c r="Q2223" s="2" t="s">
        <v>538</v>
      </c>
      <c r="R2223" s="2">
        <v>1</v>
      </c>
      <c r="S2223" s="2">
        <v>190</v>
      </c>
      <c r="T2223" s="2">
        <v>43.7</v>
      </c>
      <c r="U2223" s="2">
        <v>233.7</v>
      </c>
      <c r="W2223" s="5">
        <f t="shared" si="218"/>
        <v>1</v>
      </c>
      <c r="Y2223" s="2" t="s">
        <v>3256</v>
      </c>
      <c r="Z2223" s="2" t="s">
        <v>76</v>
      </c>
      <c r="AA2223" s="2" t="s">
        <v>77</v>
      </c>
      <c r="AB2223" s="2" t="s">
        <v>78</v>
      </c>
      <c r="AE2223" s="2">
        <f t="shared" si="215"/>
        <v>0</v>
      </c>
      <c r="AI2223" s="2">
        <f t="shared" si="216"/>
        <v>0</v>
      </c>
      <c r="AJ2223" s="2">
        <f t="shared" si="217"/>
        <v>190</v>
      </c>
      <c r="AK2223" s="5">
        <f t="shared" si="214"/>
        <v>1</v>
      </c>
    </row>
    <row r="2224" spans="1:37" x14ac:dyDescent="0.2">
      <c r="A2224" s="2">
        <v>2025</v>
      </c>
      <c r="B2224" s="2">
        <v>11</v>
      </c>
      <c r="C2224" s="2" t="s">
        <v>1431</v>
      </c>
      <c r="O2224" s="2" t="s">
        <v>94</v>
      </c>
      <c r="P2224" s="2" t="s">
        <v>95</v>
      </c>
      <c r="Q2224" s="2" t="s">
        <v>96</v>
      </c>
      <c r="R2224" s="2">
        <v>1</v>
      </c>
      <c r="S2224" s="2">
        <v>1.1399999999999999</v>
      </c>
      <c r="T2224" s="2">
        <v>0.26219999999999999</v>
      </c>
      <c r="U2224" s="2">
        <v>1.4021999999999999</v>
      </c>
      <c r="V2224" s="2">
        <v>1.1399999999999999</v>
      </c>
      <c r="W2224" s="5">
        <f t="shared" si="218"/>
        <v>0</v>
      </c>
      <c r="Y2224" s="2" t="s">
        <v>3256</v>
      </c>
      <c r="Z2224" s="2" t="s">
        <v>97</v>
      </c>
      <c r="AA2224" s="2" t="s">
        <v>77</v>
      </c>
      <c r="AB2224" s="2" t="s">
        <v>94</v>
      </c>
      <c r="AE2224" s="2">
        <f t="shared" si="215"/>
        <v>0</v>
      </c>
      <c r="AI2224" s="2">
        <f t="shared" si="216"/>
        <v>0</v>
      </c>
      <c r="AJ2224" s="2">
        <f t="shared" si="217"/>
        <v>0</v>
      </c>
      <c r="AK2224" s="5">
        <f t="shared" si="214"/>
        <v>0</v>
      </c>
    </row>
    <row r="2225" spans="1:37" x14ac:dyDescent="0.2">
      <c r="A2225" s="2">
        <v>2025</v>
      </c>
      <c r="B2225" s="2">
        <v>11</v>
      </c>
      <c r="C2225" s="2" t="s">
        <v>553</v>
      </c>
      <c r="D2225" s="2" t="s">
        <v>109</v>
      </c>
      <c r="E2225" s="2" t="s">
        <v>397</v>
      </c>
      <c r="F2225" s="2">
        <v>503641790</v>
      </c>
      <c r="G2225" s="2" t="s">
        <v>40</v>
      </c>
      <c r="H2225" s="2" t="s">
        <v>554</v>
      </c>
      <c r="I2225" s="2" t="s">
        <v>555</v>
      </c>
      <c r="J2225" s="2">
        <v>917753665</v>
      </c>
      <c r="K2225" s="2" t="s">
        <v>100</v>
      </c>
      <c r="L2225" s="2" t="s">
        <v>81</v>
      </c>
      <c r="N2225" s="2" t="s">
        <v>2077</v>
      </c>
      <c r="O2225" s="2" t="s">
        <v>73</v>
      </c>
      <c r="P2225" s="2" t="s">
        <v>560</v>
      </c>
      <c r="Q2225" s="2" t="s">
        <v>383</v>
      </c>
      <c r="R2225" s="2">
        <v>1</v>
      </c>
      <c r="S2225" s="2">
        <v>245</v>
      </c>
      <c r="T2225" s="2">
        <v>56.35</v>
      </c>
      <c r="U2225" s="2">
        <v>301.35000000000002</v>
      </c>
      <c r="V2225" s="2">
        <v>143.91999999999999</v>
      </c>
      <c r="W2225" s="5">
        <f t="shared" si="218"/>
        <v>0.41257142857142864</v>
      </c>
      <c r="Y2225" s="2" t="s">
        <v>3256</v>
      </c>
      <c r="Z2225" s="2" t="s">
        <v>76</v>
      </c>
      <c r="AA2225" s="2" t="s">
        <v>77</v>
      </c>
      <c r="AB2225" s="2" t="s">
        <v>78</v>
      </c>
      <c r="AE2225" s="2">
        <f t="shared" si="215"/>
        <v>0</v>
      </c>
      <c r="AF2225" s="2">
        <v>143.91999999999999</v>
      </c>
      <c r="AI2225" s="2">
        <f t="shared" si="216"/>
        <v>0</v>
      </c>
      <c r="AJ2225" s="2">
        <f t="shared" si="217"/>
        <v>101.08000000000001</v>
      </c>
      <c r="AK2225" s="5">
        <f t="shared" si="214"/>
        <v>0.41257142857142864</v>
      </c>
    </row>
    <row r="2226" spans="1:37" x14ac:dyDescent="0.2">
      <c r="A2226" s="2">
        <v>2025</v>
      </c>
      <c r="B2226" s="2">
        <v>11</v>
      </c>
      <c r="C2226" s="2" t="s">
        <v>553</v>
      </c>
      <c r="D2226" s="2" t="s">
        <v>109</v>
      </c>
      <c r="E2226" s="2" t="s">
        <v>397</v>
      </c>
      <c r="F2226" s="2">
        <v>503641790</v>
      </c>
      <c r="G2226" s="2" t="s">
        <v>40</v>
      </c>
      <c r="H2226" s="2" t="s">
        <v>554</v>
      </c>
      <c r="I2226" s="2" t="s">
        <v>555</v>
      </c>
      <c r="J2226" s="2">
        <v>917753665</v>
      </c>
      <c r="K2226" s="2" t="s">
        <v>100</v>
      </c>
      <c r="L2226" s="2" t="s">
        <v>81</v>
      </c>
      <c r="N2226" s="2" t="s">
        <v>2077</v>
      </c>
      <c r="O2226" s="2" t="s">
        <v>73</v>
      </c>
      <c r="P2226" s="2" t="s">
        <v>326</v>
      </c>
      <c r="Q2226" s="2" t="s">
        <v>80</v>
      </c>
      <c r="R2226" s="2">
        <v>1</v>
      </c>
      <c r="S2226" s="2">
        <v>220</v>
      </c>
      <c r="T2226" s="2">
        <v>50.6</v>
      </c>
      <c r="U2226" s="2">
        <v>270.60000000000002</v>
      </c>
      <c r="V2226" s="2">
        <f>110.68*R2226</f>
        <v>110.68</v>
      </c>
      <c r="W2226" s="5">
        <f t="shared" si="218"/>
        <v>0.49690909090909086</v>
      </c>
      <c r="Y2226" s="2" t="s">
        <v>3256</v>
      </c>
      <c r="Z2226" s="2" t="s">
        <v>76</v>
      </c>
      <c r="AA2226" s="2" t="s">
        <v>77</v>
      </c>
      <c r="AB2226" s="2" t="s">
        <v>78</v>
      </c>
      <c r="AE2226" s="2">
        <f t="shared" si="215"/>
        <v>0</v>
      </c>
      <c r="AF2226" s="2">
        <v>110.68</v>
      </c>
      <c r="AG2226" s="2">
        <v>210</v>
      </c>
      <c r="AI2226" s="2">
        <f t="shared" si="216"/>
        <v>0</v>
      </c>
      <c r="AJ2226" s="2">
        <f t="shared" si="217"/>
        <v>109.32</v>
      </c>
      <c r="AK2226" s="5">
        <f t="shared" si="214"/>
        <v>0.49690909090909086</v>
      </c>
    </row>
    <row r="2227" spans="1:37" x14ac:dyDescent="0.2">
      <c r="A2227" s="2">
        <v>2025</v>
      </c>
      <c r="B2227" s="2">
        <v>11</v>
      </c>
      <c r="C2227" s="2" t="s">
        <v>553</v>
      </c>
      <c r="D2227" s="2" t="s">
        <v>109</v>
      </c>
      <c r="E2227" s="2" t="s">
        <v>397</v>
      </c>
      <c r="F2227" s="2">
        <v>503641790</v>
      </c>
      <c r="G2227" s="2" t="s">
        <v>40</v>
      </c>
      <c r="H2227" s="2" t="s">
        <v>554</v>
      </c>
      <c r="I2227" s="2" t="s">
        <v>555</v>
      </c>
      <c r="J2227" s="2">
        <v>917753665</v>
      </c>
      <c r="K2227" s="2" t="s">
        <v>100</v>
      </c>
      <c r="L2227" s="2" t="s">
        <v>81</v>
      </c>
      <c r="N2227" s="2" t="s">
        <v>2078</v>
      </c>
      <c r="O2227" s="2" t="s">
        <v>73</v>
      </c>
      <c r="P2227" s="2" t="s">
        <v>1143</v>
      </c>
      <c r="Q2227" s="2" t="s">
        <v>538</v>
      </c>
      <c r="R2227" s="2">
        <v>1</v>
      </c>
      <c r="S2227" s="2">
        <v>205</v>
      </c>
      <c r="T2227" s="2">
        <v>47.15</v>
      </c>
      <c r="U2227" s="2">
        <v>252.15</v>
      </c>
      <c r="V2227" s="2">
        <v>122.25</v>
      </c>
      <c r="W2227" s="5">
        <f t="shared" si="218"/>
        <v>0.40365853658536588</v>
      </c>
      <c r="Y2227" s="2" t="s">
        <v>3256</v>
      </c>
      <c r="Z2227" s="2" t="s">
        <v>76</v>
      </c>
      <c r="AA2227" s="2" t="s">
        <v>77</v>
      </c>
      <c r="AB2227" s="2" t="s">
        <v>78</v>
      </c>
      <c r="AE2227" s="2">
        <f t="shared" si="215"/>
        <v>0</v>
      </c>
      <c r="AF2227" s="2">
        <v>122.25</v>
      </c>
      <c r="AI2227" s="2">
        <f t="shared" si="216"/>
        <v>0</v>
      </c>
      <c r="AJ2227" s="2">
        <f t="shared" si="217"/>
        <v>82.75</v>
      </c>
      <c r="AK2227" s="5">
        <f t="shared" ref="AK2227:AK2290" si="219">(S2227-V2227)/S2227</f>
        <v>0.40365853658536588</v>
      </c>
    </row>
    <row r="2228" spans="1:37" x14ac:dyDescent="0.2">
      <c r="A2228" s="2">
        <v>2025</v>
      </c>
      <c r="B2228" s="2">
        <v>11</v>
      </c>
      <c r="C2228" s="2" t="s">
        <v>553</v>
      </c>
      <c r="D2228" s="2" t="s">
        <v>109</v>
      </c>
      <c r="E2228" s="2" t="s">
        <v>397</v>
      </c>
      <c r="F2228" s="2">
        <v>503641790</v>
      </c>
      <c r="G2228" s="2" t="s">
        <v>40</v>
      </c>
      <c r="H2228" s="2" t="s">
        <v>554</v>
      </c>
      <c r="I2228" s="2" t="s">
        <v>555</v>
      </c>
      <c r="J2228" s="2">
        <v>917753665</v>
      </c>
      <c r="K2228" s="2" t="s">
        <v>100</v>
      </c>
      <c r="L2228" s="2" t="s">
        <v>81</v>
      </c>
      <c r="N2228" s="2" t="s">
        <v>2078</v>
      </c>
      <c r="O2228" s="2" t="s">
        <v>170</v>
      </c>
      <c r="P2228" s="2" t="s">
        <v>171</v>
      </c>
      <c r="Q2228" s="2" t="s">
        <v>171</v>
      </c>
      <c r="R2228" s="2">
        <v>1</v>
      </c>
      <c r="S2228" s="2">
        <v>15</v>
      </c>
      <c r="T2228" s="2">
        <v>3.45</v>
      </c>
      <c r="U2228" s="2">
        <v>18.45</v>
      </c>
      <c r="W2228" s="5">
        <f t="shared" si="218"/>
        <v>1</v>
      </c>
      <c r="Y2228" s="2" t="s">
        <v>170</v>
      </c>
      <c r="Z2228" s="2" t="s">
        <v>170</v>
      </c>
      <c r="AE2228" s="2">
        <f t="shared" si="215"/>
        <v>0</v>
      </c>
      <c r="AI2228" s="2">
        <f t="shared" si="216"/>
        <v>0</v>
      </c>
      <c r="AJ2228" s="2">
        <f t="shared" si="217"/>
        <v>15</v>
      </c>
      <c r="AK2228" s="5">
        <f t="shared" si="219"/>
        <v>1</v>
      </c>
    </row>
    <row r="2229" spans="1:37" x14ac:dyDescent="0.2">
      <c r="A2229" s="2">
        <v>2025</v>
      </c>
      <c r="B2229" s="2">
        <v>11</v>
      </c>
      <c r="C2229" s="2" t="s">
        <v>553</v>
      </c>
      <c r="D2229" s="2" t="s">
        <v>109</v>
      </c>
      <c r="E2229" s="2" t="s">
        <v>397</v>
      </c>
      <c r="F2229" s="2">
        <v>503641790</v>
      </c>
      <c r="G2229" s="2" t="s">
        <v>40</v>
      </c>
      <c r="H2229" s="2" t="s">
        <v>554</v>
      </c>
      <c r="I2229" s="2" t="s">
        <v>555</v>
      </c>
      <c r="J2229" s="2">
        <v>917753665</v>
      </c>
      <c r="K2229" s="2" t="s">
        <v>100</v>
      </c>
      <c r="L2229" s="2" t="s">
        <v>81</v>
      </c>
      <c r="N2229" s="2" t="s">
        <v>2077</v>
      </c>
      <c r="O2229" s="2" t="s">
        <v>94</v>
      </c>
      <c r="P2229" s="2" t="s">
        <v>95</v>
      </c>
      <c r="Q2229" s="2" t="s">
        <v>96</v>
      </c>
      <c r="R2229" s="2">
        <v>3</v>
      </c>
      <c r="S2229" s="2">
        <v>3.42</v>
      </c>
      <c r="T2229" s="2">
        <v>0.78659999999999997</v>
      </c>
      <c r="U2229" s="2">
        <v>4.2065999999999999</v>
      </c>
      <c r="V2229" s="2">
        <v>3.42</v>
      </c>
      <c r="W2229" s="5">
        <f t="shared" si="218"/>
        <v>0</v>
      </c>
      <c r="Y2229" s="2" t="s">
        <v>3256</v>
      </c>
      <c r="Z2229" s="2" t="s">
        <v>97</v>
      </c>
      <c r="AA2229" s="2" t="s">
        <v>77</v>
      </c>
      <c r="AB2229" s="2" t="s">
        <v>94</v>
      </c>
      <c r="AE2229" s="2">
        <f t="shared" si="215"/>
        <v>0</v>
      </c>
      <c r="AF2229" s="2">
        <v>1.1399999999999999</v>
      </c>
      <c r="AG2229" s="2">
        <v>1.1399999999999999</v>
      </c>
      <c r="AI2229" s="2">
        <f t="shared" si="216"/>
        <v>0</v>
      </c>
      <c r="AJ2229" s="2">
        <f t="shared" si="217"/>
        <v>0</v>
      </c>
      <c r="AK2229" s="5">
        <f t="shared" si="219"/>
        <v>0</v>
      </c>
    </row>
    <row r="2230" spans="1:37" x14ac:dyDescent="0.2">
      <c r="A2230" s="2">
        <v>2025</v>
      </c>
      <c r="B2230" s="2">
        <v>11</v>
      </c>
      <c r="C2230" s="2" t="s">
        <v>562</v>
      </c>
      <c r="D2230" s="2" t="s">
        <v>109</v>
      </c>
      <c r="E2230" s="2" t="s">
        <v>39</v>
      </c>
      <c r="F2230" s="2">
        <v>506517233</v>
      </c>
      <c r="G2230" s="2" t="s">
        <v>81</v>
      </c>
      <c r="H2230" s="2" t="s">
        <v>563</v>
      </c>
      <c r="I2230" s="2" t="s">
        <v>564</v>
      </c>
      <c r="K2230" s="2" t="s">
        <v>134</v>
      </c>
      <c r="L2230" s="2" t="s">
        <v>40</v>
      </c>
      <c r="N2230" s="2" t="s">
        <v>3255</v>
      </c>
      <c r="O2230" s="2" t="s">
        <v>283</v>
      </c>
      <c r="P2230" s="2" t="s">
        <v>2079</v>
      </c>
      <c r="Q2230" s="2" t="s">
        <v>2080</v>
      </c>
      <c r="R2230" s="2">
        <v>1</v>
      </c>
      <c r="S2230" s="2">
        <v>1598.58</v>
      </c>
      <c r="T2230" s="2">
        <v>367.67340000000002</v>
      </c>
      <c r="U2230" s="2">
        <v>1966.2534000000001</v>
      </c>
      <c r="V2230" s="2">
        <v>1119</v>
      </c>
      <c r="W2230" s="5">
        <f t="shared" si="218"/>
        <v>0.30000375333108131</v>
      </c>
      <c r="Y2230" s="2" t="s">
        <v>3256</v>
      </c>
      <c r="Z2230" s="2" t="s">
        <v>72</v>
      </c>
      <c r="AA2230" s="2" t="s">
        <v>1616</v>
      </c>
      <c r="AB2230" s="2" t="s">
        <v>1616</v>
      </c>
      <c r="AE2230" s="2">
        <f t="shared" si="215"/>
        <v>0</v>
      </c>
      <c r="AF2230" s="2">
        <v>1119</v>
      </c>
      <c r="AI2230" s="2">
        <f t="shared" si="216"/>
        <v>0</v>
      </c>
      <c r="AJ2230" s="2">
        <f t="shared" si="217"/>
        <v>479.57999999999993</v>
      </c>
      <c r="AK2230" s="5">
        <f t="shared" si="219"/>
        <v>0.30000375333108131</v>
      </c>
    </row>
    <row r="2231" spans="1:37" x14ac:dyDescent="0.2">
      <c r="A2231" s="2">
        <v>2025</v>
      </c>
      <c r="B2231" s="2">
        <v>11</v>
      </c>
      <c r="C2231" s="2" t="s">
        <v>2081</v>
      </c>
      <c r="D2231" s="2" t="s">
        <v>109</v>
      </c>
      <c r="F2231" s="2">
        <v>506055884</v>
      </c>
      <c r="G2231" s="2" t="s">
        <v>40</v>
      </c>
      <c r="H2231" s="2" t="s">
        <v>2082</v>
      </c>
      <c r="I2231" s="2" t="s">
        <v>2083</v>
      </c>
      <c r="K2231" s="2" t="s">
        <v>100</v>
      </c>
      <c r="L2231" s="2" t="s">
        <v>40</v>
      </c>
      <c r="N2231" s="2" t="s">
        <v>2084</v>
      </c>
      <c r="O2231" s="2" t="s">
        <v>115</v>
      </c>
      <c r="P2231" s="2" t="s">
        <v>416</v>
      </c>
      <c r="Q2231" s="2" t="s">
        <v>417</v>
      </c>
      <c r="R2231" s="2">
        <v>1</v>
      </c>
      <c r="S2231" s="2">
        <v>13990</v>
      </c>
      <c r="T2231" s="2">
        <v>3217.7</v>
      </c>
      <c r="U2231" s="2">
        <v>17207.7</v>
      </c>
      <c r="V2231" s="2">
        <v>10669.4</v>
      </c>
      <c r="W2231" s="5">
        <f t="shared" si="218"/>
        <v>0.23735525375268052</v>
      </c>
      <c r="Y2231" s="2" t="s">
        <v>105</v>
      </c>
      <c r="Z2231" s="2" t="s">
        <v>418</v>
      </c>
      <c r="AA2231" s="2" t="s">
        <v>152</v>
      </c>
      <c r="AB2231" s="2" t="s">
        <v>115</v>
      </c>
      <c r="AE2231" s="2">
        <f t="shared" si="215"/>
        <v>0</v>
      </c>
      <c r="AI2231" s="2">
        <f t="shared" si="216"/>
        <v>0</v>
      </c>
      <c r="AJ2231" s="2">
        <f t="shared" si="217"/>
        <v>3320.6000000000004</v>
      </c>
      <c r="AK2231" s="5">
        <f t="shared" si="219"/>
        <v>0.23735525375268052</v>
      </c>
    </row>
    <row r="2232" spans="1:37" x14ac:dyDescent="0.2">
      <c r="A2232" s="2">
        <v>2025</v>
      </c>
      <c r="B2232" s="2">
        <v>11</v>
      </c>
      <c r="C2232" s="2" t="s">
        <v>1637</v>
      </c>
      <c r="O2232" s="2" t="s">
        <v>43</v>
      </c>
      <c r="P2232" s="2" t="s">
        <v>241</v>
      </c>
      <c r="Q2232" s="2" t="s">
        <v>242</v>
      </c>
      <c r="R2232" s="2">
        <v>1</v>
      </c>
      <c r="S2232" s="2">
        <v>24</v>
      </c>
      <c r="T2232" s="2">
        <v>5.52</v>
      </c>
      <c r="U2232" s="2">
        <v>29.52</v>
      </c>
      <c r="W2232" s="5">
        <f t="shared" si="218"/>
        <v>1</v>
      </c>
      <c r="Y2232" s="2" t="s">
        <v>3256</v>
      </c>
      <c r="Z2232" s="2" t="s">
        <v>46</v>
      </c>
      <c r="AA2232" s="2" t="s">
        <v>57</v>
      </c>
      <c r="AB2232" s="2" t="s">
        <v>58</v>
      </c>
      <c r="AE2232" s="2">
        <f t="shared" si="215"/>
        <v>0</v>
      </c>
      <c r="AI2232" s="2">
        <f t="shared" si="216"/>
        <v>0</v>
      </c>
      <c r="AJ2232" s="2">
        <f t="shared" si="217"/>
        <v>24</v>
      </c>
      <c r="AK2232" s="5">
        <f t="shared" si="219"/>
        <v>1</v>
      </c>
    </row>
    <row r="2233" spans="1:37" x14ac:dyDescent="0.2">
      <c r="A2233" s="2">
        <v>2025</v>
      </c>
      <c r="B2233" s="2">
        <v>11</v>
      </c>
      <c r="C2233" s="2" t="s">
        <v>1637</v>
      </c>
      <c r="O2233" s="2" t="s">
        <v>43</v>
      </c>
      <c r="P2233" s="2" t="s">
        <v>245</v>
      </c>
      <c r="Q2233" s="2" t="s">
        <v>246</v>
      </c>
      <c r="R2233" s="2">
        <v>1</v>
      </c>
      <c r="S2233" s="2">
        <v>16.8</v>
      </c>
      <c r="T2233" s="2">
        <v>3.8639999999999999</v>
      </c>
      <c r="U2233" s="2">
        <v>20.664000000000001</v>
      </c>
      <c r="W2233" s="5">
        <f t="shared" si="218"/>
        <v>1</v>
      </c>
      <c r="Y2233" s="2" t="s">
        <v>3256</v>
      </c>
      <c r="Z2233" s="2" t="s">
        <v>46</v>
      </c>
      <c r="AA2233" s="2" t="s">
        <v>57</v>
      </c>
      <c r="AB2233" s="2" t="s">
        <v>58</v>
      </c>
      <c r="AE2233" s="2">
        <f t="shared" si="215"/>
        <v>0</v>
      </c>
      <c r="AI2233" s="2">
        <f t="shared" si="216"/>
        <v>0</v>
      </c>
      <c r="AJ2233" s="2">
        <f t="shared" si="217"/>
        <v>16.8</v>
      </c>
      <c r="AK2233" s="5">
        <f t="shared" si="219"/>
        <v>1</v>
      </c>
    </row>
    <row r="2234" spans="1:37" x14ac:dyDescent="0.2">
      <c r="A2234" s="2">
        <v>2025</v>
      </c>
      <c r="B2234" s="2">
        <v>11</v>
      </c>
      <c r="C2234" s="2" t="s">
        <v>1637</v>
      </c>
      <c r="O2234" s="2" t="s">
        <v>43</v>
      </c>
      <c r="P2234" s="2" t="s">
        <v>247</v>
      </c>
      <c r="Q2234" s="2" t="s">
        <v>248</v>
      </c>
      <c r="R2234" s="2">
        <v>1</v>
      </c>
      <c r="S2234" s="2">
        <v>19.2</v>
      </c>
      <c r="T2234" s="2">
        <v>4.4160000000000004</v>
      </c>
      <c r="U2234" s="2">
        <v>23.616</v>
      </c>
      <c r="W2234" s="5">
        <f t="shared" si="218"/>
        <v>1</v>
      </c>
      <c r="Y2234" s="2" t="s">
        <v>3256</v>
      </c>
      <c r="Z2234" s="2" t="s">
        <v>46</v>
      </c>
      <c r="AA2234" s="2" t="s">
        <v>57</v>
      </c>
      <c r="AB2234" s="2" t="s">
        <v>58</v>
      </c>
      <c r="AE2234" s="2">
        <f t="shared" si="215"/>
        <v>0</v>
      </c>
      <c r="AI2234" s="2">
        <f t="shared" si="216"/>
        <v>0</v>
      </c>
      <c r="AJ2234" s="2">
        <f t="shared" si="217"/>
        <v>19.2</v>
      </c>
      <c r="AK2234" s="5">
        <f t="shared" si="219"/>
        <v>1</v>
      </c>
    </row>
    <row r="2235" spans="1:37" x14ac:dyDescent="0.2">
      <c r="A2235" s="2">
        <v>2025</v>
      </c>
      <c r="B2235" s="2">
        <v>11</v>
      </c>
      <c r="C2235" s="2" t="s">
        <v>1637</v>
      </c>
      <c r="O2235" s="2" t="s">
        <v>43</v>
      </c>
      <c r="P2235" s="2" t="s">
        <v>1749</v>
      </c>
      <c r="Q2235" s="2" t="s">
        <v>1750</v>
      </c>
      <c r="R2235" s="2">
        <v>1</v>
      </c>
      <c r="S2235" s="2">
        <v>8.4</v>
      </c>
      <c r="T2235" s="2">
        <v>1.9319999999999999</v>
      </c>
      <c r="U2235" s="2">
        <v>10.332000000000001</v>
      </c>
      <c r="W2235" s="5">
        <f t="shared" si="218"/>
        <v>1</v>
      </c>
      <c r="Y2235" s="2" t="s">
        <v>3256</v>
      </c>
      <c r="Z2235" s="2" t="s">
        <v>46</v>
      </c>
      <c r="AA2235" s="2" t="s">
        <v>57</v>
      </c>
      <c r="AB2235" s="2" t="s">
        <v>58</v>
      </c>
      <c r="AE2235" s="2">
        <f t="shared" si="215"/>
        <v>0</v>
      </c>
      <c r="AI2235" s="2">
        <f t="shared" si="216"/>
        <v>0</v>
      </c>
      <c r="AJ2235" s="2">
        <f t="shared" si="217"/>
        <v>8.4</v>
      </c>
      <c r="AK2235" s="5">
        <f t="shared" si="219"/>
        <v>1</v>
      </c>
    </row>
    <row r="2236" spans="1:37" x14ac:dyDescent="0.2">
      <c r="A2236" s="2">
        <v>2025</v>
      </c>
      <c r="B2236" s="2">
        <v>11</v>
      </c>
      <c r="C2236" s="2" t="s">
        <v>1637</v>
      </c>
      <c r="O2236" s="2" t="s">
        <v>43</v>
      </c>
      <c r="P2236" s="2" t="s">
        <v>2085</v>
      </c>
      <c r="Q2236" s="2" t="s">
        <v>2086</v>
      </c>
      <c r="R2236" s="2">
        <v>1</v>
      </c>
      <c r="S2236" s="2">
        <v>12.6</v>
      </c>
      <c r="T2236" s="2">
        <v>2.8980000000000001</v>
      </c>
      <c r="U2236" s="2">
        <v>15.497999999999999</v>
      </c>
      <c r="W2236" s="5">
        <f t="shared" si="218"/>
        <v>1</v>
      </c>
      <c r="Y2236" s="2" t="s">
        <v>3256</v>
      </c>
      <c r="Z2236" s="2" t="s">
        <v>46</v>
      </c>
      <c r="AA2236" s="2" t="s">
        <v>57</v>
      </c>
      <c r="AB2236" s="2" t="s">
        <v>58</v>
      </c>
      <c r="AE2236" s="2">
        <f t="shared" si="215"/>
        <v>0</v>
      </c>
      <c r="AI2236" s="2">
        <f t="shared" si="216"/>
        <v>0</v>
      </c>
      <c r="AJ2236" s="2">
        <f t="shared" si="217"/>
        <v>12.6</v>
      </c>
      <c r="AK2236" s="5">
        <f t="shared" si="219"/>
        <v>1</v>
      </c>
    </row>
    <row r="2237" spans="1:37" x14ac:dyDescent="0.2">
      <c r="A2237" s="2">
        <v>2025</v>
      </c>
      <c r="B2237" s="2">
        <v>11</v>
      </c>
      <c r="C2237" s="2" t="s">
        <v>896</v>
      </c>
      <c r="D2237" s="2" t="s">
        <v>109</v>
      </c>
      <c r="E2237" s="2" t="s">
        <v>39</v>
      </c>
      <c r="F2237" s="2">
        <v>507216970</v>
      </c>
      <c r="G2237" s="2" t="s">
        <v>41</v>
      </c>
      <c r="H2237" s="2" t="s">
        <v>897</v>
      </c>
      <c r="I2237" s="2" t="s">
        <v>898</v>
      </c>
      <c r="K2237" s="2" t="s">
        <v>100</v>
      </c>
      <c r="O2237" s="2" t="s">
        <v>43</v>
      </c>
      <c r="P2237" s="2" t="s">
        <v>55</v>
      </c>
      <c r="Q2237" s="2" t="s">
        <v>56</v>
      </c>
      <c r="R2237" s="2">
        <v>10</v>
      </c>
      <c r="S2237" s="2">
        <v>140</v>
      </c>
      <c r="T2237" s="2">
        <v>32.200000000000003</v>
      </c>
      <c r="U2237" s="2">
        <v>172.2</v>
      </c>
      <c r="V2237" s="2">
        <f>10.6*R2237</f>
        <v>106</v>
      </c>
      <c r="W2237" s="5">
        <f t="shared" si="218"/>
        <v>0.24285714285714285</v>
      </c>
      <c r="Y2237" s="2" t="s">
        <v>3256</v>
      </c>
      <c r="Z2237" s="2" t="s">
        <v>46</v>
      </c>
      <c r="AA2237" s="2" t="s">
        <v>57</v>
      </c>
      <c r="AB2237" s="2" t="s">
        <v>58</v>
      </c>
      <c r="AE2237" s="2">
        <f t="shared" si="215"/>
        <v>0</v>
      </c>
      <c r="AF2237" s="2">
        <v>10.6</v>
      </c>
      <c r="AG2237" s="2">
        <v>18</v>
      </c>
      <c r="AI2237" s="2">
        <f t="shared" si="216"/>
        <v>0</v>
      </c>
      <c r="AJ2237" s="2">
        <f t="shared" si="217"/>
        <v>34</v>
      </c>
      <c r="AK2237" s="5">
        <f t="shared" si="219"/>
        <v>0.24285714285714285</v>
      </c>
    </row>
    <row r="2238" spans="1:37" x14ac:dyDescent="0.2">
      <c r="A2238" s="2">
        <v>2025</v>
      </c>
      <c r="B2238" s="2">
        <v>11</v>
      </c>
      <c r="C2238" s="2" t="s">
        <v>901</v>
      </c>
      <c r="O2238" s="2" t="s">
        <v>73</v>
      </c>
      <c r="P2238" s="2" t="s">
        <v>838</v>
      </c>
      <c r="Q2238" s="2" t="s">
        <v>75</v>
      </c>
      <c r="R2238" s="2">
        <v>1</v>
      </c>
      <c r="S2238" s="2">
        <v>220</v>
      </c>
      <c r="T2238" s="2">
        <v>50.6</v>
      </c>
      <c r="U2238" s="2">
        <v>270.60000000000002</v>
      </c>
      <c r="V2238" s="2">
        <v>120.636</v>
      </c>
      <c r="W2238" s="5">
        <f t="shared" si="218"/>
        <v>0.45165454545454548</v>
      </c>
      <c r="Y2238" s="2" t="s">
        <v>3256</v>
      </c>
      <c r="Z2238" s="2" t="s">
        <v>76</v>
      </c>
      <c r="AA2238" s="2" t="s">
        <v>77</v>
      </c>
      <c r="AB2238" s="2" t="s">
        <v>78</v>
      </c>
      <c r="AE2238" s="2">
        <f t="shared" si="215"/>
        <v>0</v>
      </c>
      <c r="AF2238" s="2">
        <v>120.636</v>
      </c>
      <c r="AG2238" s="2">
        <v>220</v>
      </c>
      <c r="AI2238" s="2">
        <f t="shared" si="216"/>
        <v>0</v>
      </c>
      <c r="AJ2238" s="2">
        <f t="shared" si="217"/>
        <v>99.364000000000004</v>
      </c>
      <c r="AK2238" s="5">
        <f t="shared" si="219"/>
        <v>0.45165454545454548</v>
      </c>
    </row>
    <row r="2239" spans="1:37" x14ac:dyDescent="0.2">
      <c r="A2239" s="2">
        <v>2025</v>
      </c>
      <c r="B2239" s="2">
        <v>11</v>
      </c>
      <c r="C2239" s="2" t="s">
        <v>901</v>
      </c>
      <c r="O2239" s="2" t="s">
        <v>94</v>
      </c>
      <c r="P2239" s="2" t="s">
        <v>95</v>
      </c>
      <c r="Q2239" s="2" t="s">
        <v>96</v>
      </c>
      <c r="R2239" s="2">
        <v>1</v>
      </c>
      <c r="S2239" s="2">
        <v>1.1399999999999999</v>
      </c>
      <c r="T2239" s="2">
        <v>0.26219999999999999</v>
      </c>
      <c r="U2239" s="2">
        <v>1.4021999999999999</v>
      </c>
      <c r="V2239" s="2">
        <v>1.1399999999999999</v>
      </c>
      <c r="W2239" s="5">
        <f t="shared" si="218"/>
        <v>0</v>
      </c>
      <c r="Y2239" s="2" t="s">
        <v>3256</v>
      </c>
      <c r="Z2239" s="2" t="s">
        <v>97</v>
      </c>
      <c r="AA2239" s="2" t="s">
        <v>77</v>
      </c>
      <c r="AB2239" s="2" t="s">
        <v>94</v>
      </c>
      <c r="AE2239" s="2">
        <f t="shared" si="215"/>
        <v>0</v>
      </c>
      <c r="AI2239" s="2">
        <f t="shared" si="216"/>
        <v>0</v>
      </c>
      <c r="AJ2239" s="2">
        <f t="shared" si="217"/>
        <v>0</v>
      </c>
      <c r="AK2239" s="5">
        <f t="shared" si="219"/>
        <v>0</v>
      </c>
    </row>
    <row r="2240" spans="1:37" x14ac:dyDescent="0.2">
      <c r="A2240" s="2">
        <v>2025</v>
      </c>
      <c r="B2240" s="2">
        <v>11</v>
      </c>
      <c r="C2240" s="2" t="s">
        <v>1101</v>
      </c>
      <c r="O2240" s="2" t="s">
        <v>43</v>
      </c>
      <c r="P2240" s="2" t="s">
        <v>205</v>
      </c>
      <c r="Q2240" s="2" t="s">
        <v>206</v>
      </c>
      <c r="R2240" s="2">
        <v>4</v>
      </c>
      <c r="S2240" s="2">
        <v>9.6</v>
      </c>
      <c r="T2240" s="2">
        <v>2.2080000000000002</v>
      </c>
      <c r="U2240" s="2">
        <v>11.808</v>
      </c>
      <c r="V2240" s="2">
        <f>1.832*R2240</f>
        <v>7.3280000000000003</v>
      </c>
      <c r="W2240" s="5">
        <f t="shared" si="218"/>
        <v>0.23666666666666661</v>
      </c>
      <c r="Y2240" s="2" t="s">
        <v>3256</v>
      </c>
      <c r="Z2240" s="2" t="s">
        <v>46</v>
      </c>
      <c r="AA2240" s="2" t="s">
        <v>61</v>
      </c>
      <c r="AB2240" s="2" t="s">
        <v>58</v>
      </c>
      <c r="AE2240" s="2">
        <f t="shared" si="215"/>
        <v>0</v>
      </c>
      <c r="AF2240" s="2">
        <v>1.8320000000000001</v>
      </c>
      <c r="AG2240" s="2">
        <v>2.4</v>
      </c>
      <c r="AI2240" s="2">
        <f t="shared" si="216"/>
        <v>0</v>
      </c>
      <c r="AJ2240" s="2">
        <f t="shared" si="217"/>
        <v>2.2719999999999994</v>
      </c>
      <c r="AK2240" s="5">
        <f t="shared" si="219"/>
        <v>0.23666666666666661</v>
      </c>
    </row>
    <row r="2241" spans="1:37" x14ac:dyDescent="0.2">
      <c r="A2241" s="2">
        <v>2025</v>
      </c>
      <c r="B2241" s="2">
        <v>11</v>
      </c>
      <c r="C2241" s="2" t="s">
        <v>1101</v>
      </c>
      <c r="O2241" s="2" t="s">
        <v>85</v>
      </c>
      <c r="P2241" s="2" t="s">
        <v>2087</v>
      </c>
      <c r="Q2241" s="2" t="s">
        <v>2088</v>
      </c>
      <c r="R2241" s="2">
        <v>1</v>
      </c>
      <c r="S2241" s="2">
        <v>9.8000000000000007</v>
      </c>
      <c r="T2241" s="2">
        <v>2.254</v>
      </c>
      <c r="U2241" s="2">
        <v>12.054</v>
      </c>
      <c r="W2241" s="5">
        <f t="shared" si="218"/>
        <v>1</v>
      </c>
      <c r="Y2241" s="2" t="s">
        <v>3256</v>
      </c>
      <c r="Z2241" s="2" t="s">
        <v>88</v>
      </c>
      <c r="AA2241" s="2" t="s">
        <v>91</v>
      </c>
      <c r="AB2241" s="2" t="s">
        <v>85</v>
      </c>
      <c r="AE2241" s="2">
        <f t="shared" si="215"/>
        <v>0</v>
      </c>
      <c r="AI2241" s="2">
        <f t="shared" si="216"/>
        <v>0</v>
      </c>
      <c r="AJ2241" s="2">
        <f t="shared" si="217"/>
        <v>9.8000000000000007</v>
      </c>
      <c r="AK2241" s="5">
        <f t="shared" si="219"/>
        <v>1</v>
      </c>
    </row>
    <row r="2242" spans="1:37" x14ac:dyDescent="0.2">
      <c r="A2242" s="2">
        <v>2025</v>
      </c>
      <c r="B2242" s="2">
        <v>11</v>
      </c>
      <c r="C2242" s="2" t="s">
        <v>1300</v>
      </c>
      <c r="O2242" s="2" t="s">
        <v>115</v>
      </c>
      <c r="P2242" s="2" t="s">
        <v>1223</v>
      </c>
      <c r="Q2242" s="2" t="s">
        <v>1224</v>
      </c>
      <c r="R2242" s="2">
        <v>1</v>
      </c>
      <c r="S2242" s="2">
        <v>49.71</v>
      </c>
      <c r="T2242" s="2">
        <v>11.433299999999999</v>
      </c>
      <c r="U2242" s="2">
        <v>61.143300000000004</v>
      </c>
      <c r="W2242" s="5">
        <f t="shared" si="218"/>
        <v>1</v>
      </c>
      <c r="AE2242" s="2">
        <f t="shared" si="215"/>
        <v>0</v>
      </c>
      <c r="AI2242" s="2">
        <f t="shared" si="216"/>
        <v>0</v>
      </c>
      <c r="AJ2242" s="2">
        <f t="shared" si="217"/>
        <v>49.71</v>
      </c>
      <c r="AK2242" s="5">
        <f t="shared" si="219"/>
        <v>1</v>
      </c>
    </row>
    <row r="2243" spans="1:37" x14ac:dyDescent="0.2">
      <c r="A2243" s="2">
        <v>2025</v>
      </c>
      <c r="B2243" s="2">
        <v>11</v>
      </c>
      <c r="C2243" s="2" t="s">
        <v>1300</v>
      </c>
      <c r="O2243" s="2" t="s">
        <v>69</v>
      </c>
      <c r="P2243" s="2" t="s">
        <v>2089</v>
      </c>
      <c r="Q2243" s="2" t="s">
        <v>2090</v>
      </c>
      <c r="R2243" s="2">
        <v>1</v>
      </c>
      <c r="S2243" s="2">
        <v>2700</v>
      </c>
      <c r="T2243" s="2">
        <v>621</v>
      </c>
      <c r="U2243" s="2">
        <v>3321</v>
      </c>
      <c r="W2243" s="5">
        <f t="shared" si="218"/>
        <v>1</v>
      </c>
      <c r="Y2243" s="2" t="s">
        <v>105</v>
      </c>
      <c r="AB2243" s="2" t="s">
        <v>3261</v>
      </c>
      <c r="AE2243" s="2">
        <f t="shared" ref="AE2243:AE2306" si="220">AI2243</f>
        <v>0</v>
      </c>
      <c r="AI2243" s="2">
        <f t="shared" ref="AI2243:AI2306" si="221">AH2243*S2243</f>
        <v>0</v>
      </c>
      <c r="AJ2243" s="2">
        <f t="shared" ref="AJ2243:AJ2306" si="222">S2243-V2243</f>
        <v>2700</v>
      </c>
      <c r="AK2243" s="5">
        <f t="shared" si="219"/>
        <v>1</v>
      </c>
    </row>
    <row r="2244" spans="1:37" x14ac:dyDescent="0.2">
      <c r="A2244" s="2">
        <v>2025</v>
      </c>
      <c r="B2244" s="2">
        <v>11</v>
      </c>
      <c r="C2244" s="2" t="s">
        <v>1961</v>
      </c>
      <c r="O2244" s="2" t="s">
        <v>115</v>
      </c>
      <c r="P2244" s="2" t="s">
        <v>375</v>
      </c>
      <c r="Q2244" s="2" t="s">
        <v>376</v>
      </c>
      <c r="R2244" s="2">
        <v>1</v>
      </c>
      <c r="S2244" s="2">
        <v>41.96</v>
      </c>
      <c r="T2244" s="2">
        <v>9.6508000000000003</v>
      </c>
      <c r="U2244" s="2">
        <v>51.610799999999998</v>
      </c>
      <c r="W2244" s="5">
        <f t="shared" si="218"/>
        <v>1</v>
      </c>
      <c r="AE2244" s="2">
        <f t="shared" si="220"/>
        <v>0</v>
      </c>
      <c r="AI2244" s="2">
        <f t="shared" si="221"/>
        <v>0</v>
      </c>
      <c r="AJ2244" s="2">
        <f t="shared" si="222"/>
        <v>41.96</v>
      </c>
      <c r="AK2244" s="5">
        <f t="shared" si="219"/>
        <v>1</v>
      </c>
    </row>
    <row r="2245" spans="1:37" x14ac:dyDescent="0.2">
      <c r="A2245" s="2">
        <v>2025</v>
      </c>
      <c r="B2245" s="2">
        <v>11</v>
      </c>
      <c r="C2245" s="2" t="s">
        <v>1961</v>
      </c>
      <c r="O2245" s="2" t="s">
        <v>115</v>
      </c>
      <c r="P2245" s="2" t="s">
        <v>1342</v>
      </c>
      <c r="Q2245" s="2" t="s">
        <v>1343</v>
      </c>
      <c r="R2245" s="2">
        <v>1</v>
      </c>
      <c r="S2245" s="2">
        <v>60.1</v>
      </c>
      <c r="T2245" s="2">
        <v>13.823</v>
      </c>
      <c r="U2245" s="2">
        <v>73.923000000000002</v>
      </c>
      <c r="W2245" s="5">
        <f t="shared" si="218"/>
        <v>1</v>
      </c>
      <c r="AE2245" s="2">
        <f t="shared" si="220"/>
        <v>0</v>
      </c>
      <c r="AI2245" s="2">
        <f t="shared" si="221"/>
        <v>0</v>
      </c>
      <c r="AJ2245" s="2">
        <f t="shared" si="222"/>
        <v>60.1</v>
      </c>
      <c r="AK2245" s="5">
        <f t="shared" si="219"/>
        <v>1</v>
      </c>
    </row>
    <row r="2246" spans="1:37" x14ac:dyDescent="0.2">
      <c r="A2246" s="2">
        <v>2025</v>
      </c>
      <c r="B2246" s="2">
        <v>11</v>
      </c>
      <c r="C2246" s="2" t="s">
        <v>579</v>
      </c>
      <c r="D2246" s="2" t="s">
        <v>38</v>
      </c>
      <c r="E2246" s="2" t="s">
        <v>39</v>
      </c>
      <c r="F2246" s="2">
        <v>504811029</v>
      </c>
      <c r="G2246" s="2" t="s">
        <v>41</v>
      </c>
      <c r="H2246" s="2" t="s">
        <v>178</v>
      </c>
      <c r="I2246" s="2" t="s">
        <v>580</v>
      </c>
      <c r="K2246" s="2" t="s">
        <v>178</v>
      </c>
      <c r="L2246" s="2" t="s">
        <v>41</v>
      </c>
      <c r="O2246" s="2" t="s">
        <v>43</v>
      </c>
      <c r="P2246" s="2" t="s">
        <v>62</v>
      </c>
      <c r="Q2246" s="2" t="s">
        <v>63</v>
      </c>
      <c r="R2246" s="2">
        <v>1000</v>
      </c>
      <c r="S2246" s="2">
        <v>105</v>
      </c>
      <c r="T2246" s="2">
        <v>24.15</v>
      </c>
      <c r="U2246" s="2">
        <v>129.15</v>
      </c>
      <c r="V2246" s="2">
        <f>0.082*R2246</f>
        <v>82</v>
      </c>
      <c r="W2246" s="5">
        <f t="shared" si="218"/>
        <v>0.21904761904761905</v>
      </c>
      <c r="Y2246" s="2" t="s">
        <v>3256</v>
      </c>
      <c r="Z2246" s="2" t="s">
        <v>46</v>
      </c>
      <c r="AA2246" s="2" t="s">
        <v>61</v>
      </c>
      <c r="AB2246" s="2" t="s">
        <v>58</v>
      </c>
      <c r="AE2246" s="2">
        <f t="shared" si="220"/>
        <v>0</v>
      </c>
      <c r="AF2246" s="2">
        <v>8.1999999999999993</v>
      </c>
      <c r="AG2246" s="2">
        <v>13</v>
      </c>
      <c r="AI2246" s="2">
        <f t="shared" si="221"/>
        <v>0</v>
      </c>
      <c r="AJ2246" s="2">
        <f t="shared" si="222"/>
        <v>23</v>
      </c>
      <c r="AK2246" s="5">
        <f t="shared" si="219"/>
        <v>0.21904761904761905</v>
      </c>
    </row>
    <row r="2247" spans="1:37" x14ac:dyDescent="0.2">
      <c r="A2247" s="2">
        <v>2025</v>
      </c>
      <c r="B2247" s="2">
        <v>11</v>
      </c>
      <c r="C2247" s="2" t="s">
        <v>586</v>
      </c>
      <c r="O2247" s="2" t="s">
        <v>43</v>
      </c>
      <c r="P2247" s="2" t="s">
        <v>64</v>
      </c>
      <c r="Q2247" s="2" t="s">
        <v>65</v>
      </c>
      <c r="R2247" s="2">
        <v>20</v>
      </c>
      <c r="S2247" s="2">
        <v>36</v>
      </c>
      <c r="T2247" s="2">
        <v>8.2800000000000011</v>
      </c>
      <c r="U2247" s="2">
        <v>44.28</v>
      </c>
      <c r="V2247" s="2">
        <f>0.8561*R2247</f>
        <v>17.122</v>
      </c>
      <c r="W2247" s="5">
        <f t="shared" si="218"/>
        <v>0.5243888888888889</v>
      </c>
      <c r="Y2247" s="2" t="s">
        <v>3256</v>
      </c>
      <c r="Z2247" s="2" t="s">
        <v>46</v>
      </c>
      <c r="AA2247" s="2" t="s">
        <v>61</v>
      </c>
      <c r="AB2247" s="2" t="s">
        <v>58</v>
      </c>
      <c r="AE2247" s="2">
        <f t="shared" si="220"/>
        <v>0</v>
      </c>
      <c r="AF2247" s="2">
        <v>0.85609999999999997</v>
      </c>
      <c r="AG2247" s="2">
        <v>1.8</v>
      </c>
      <c r="AI2247" s="2">
        <f t="shared" si="221"/>
        <v>0</v>
      </c>
      <c r="AJ2247" s="2">
        <f t="shared" si="222"/>
        <v>18.878</v>
      </c>
      <c r="AK2247" s="5">
        <f t="shared" si="219"/>
        <v>0.5243888888888889</v>
      </c>
    </row>
    <row r="2248" spans="1:37" x14ac:dyDescent="0.2">
      <c r="A2248" s="2">
        <v>2025</v>
      </c>
      <c r="B2248" s="2">
        <v>11</v>
      </c>
      <c r="C2248" s="2" t="s">
        <v>586</v>
      </c>
      <c r="O2248" s="2" t="s">
        <v>43</v>
      </c>
      <c r="P2248" s="2" t="s">
        <v>507</v>
      </c>
      <c r="Q2248" s="2" t="s">
        <v>508</v>
      </c>
      <c r="R2248" s="2">
        <v>12</v>
      </c>
      <c r="S2248" s="2">
        <v>10.8</v>
      </c>
      <c r="T2248" s="2">
        <v>2.484</v>
      </c>
      <c r="U2248" s="2">
        <v>13.284000000000001</v>
      </c>
      <c r="W2248" s="5">
        <f t="shared" si="218"/>
        <v>1</v>
      </c>
      <c r="Y2248" s="2" t="s">
        <v>3256</v>
      </c>
      <c r="Z2248" s="2" t="s">
        <v>46</v>
      </c>
      <c r="AA2248" s="2" t="s">
        <v>61</v>
      </c>
      <c r="AB2248" s="2" t="s">
        <v>58</v>
      </c>
      <c r="AE2248" s="2">
        <f t="shared" si="220"/>
        <v>0</v>
      </c>
      <c r="AI2248" s="2">
        <f t="shared" si="221"/>
        <v>0</v>
      </c>
      <c r="AJ2248" s="2">
        <f t="shared" si="222"/>
        <v>10.8</v>
      </c>
      <c r="AK2248" s="5">
        <f t="shared" si="219"/>
        <v>1</v>
      </c>
    </row>
    <row r="2249" spans="1:37" x14ac:dyDescent="0.2">
      <c r="A2249" s="2">
        <v>2025</v>
      </c>
      <c r="B2249" s="2">
        <v>11</v>
      </c>
      <c r="C2249" s="2" t="s">
        <v>2091</v>
      </c>
      <c r="O2249" s="2" t="s">
        <v>115</v>
      </c>
      <c r="P2249" s="2" t="s">
        <v>1904</v>
      </c>
      <c r="Q2249" s="2" t="s">
        <v>1905</v>
      </c>
      <c r="R2249" s="2">
        <v>1</v>
      </c>
      <c r="S2249" s="2">
        <v>6670</v>
      </c>
      <c r="T2249" s="2">
        <v>1534.1</v>
      </c>
      <c r="U2249" s="2">
        <v>8204.1</v>
      </c>
      <c r="W2249" s="5">
        <f t="shared" si="218"/>
        <v>1</v>
      </c>
      <c r="Y2249" s="2" t="s">
        <v>105</v>
      </c>
      <c r="AE2249" s="2">
        <f t="shared" si="220"/>
        <v>0</v>
      </c>
      <c r="AI2249" s="2">
        <f t="shared" si="221"/>
        <v>0</v>
      </c>
      <c r="AJ2249" s="2">
        <f t="shared" si="222"/>
        <v>6670</v>
      </c>
      <c r="AK2249" s="5">
        <f t="shared" si="219"/>
        <v>1</v>
      </c>
    </row>
    <row r="2250" spans="1:37" x14ac:dyDescent="0.2">
      <c r="A2250" s="2">
        <v>2025</v>
      </c>
      <c r="B2250" s="2">
        <v>11</v>
      </c>
      <c r="C2250" s="2" t="s">
        <v>587</v>
      </c>
      <c r="D2250" s="2" t="s">
        <v>109</v>
      </c>
      <c r="F2250" s="2">
        <v>503850276</v>
      </c>
      <c r="G2250" s="2" t="s">
        <v>40</v>
      </c>
      <c r="H2250" s="2" t="s">
        <v>588</v>
      </c>
      <c r="I2250" s="2" t="s">
        <v>589</v>
      </c>
      <c r="K2250" s="2" t="s">
        <v>202</v>
      </c>
      <c r="L2250" s="2" t="s">
        <v>81</v>
      </c>
      <c r="O2250" s="2" t="s">
        <v>73</v>
      </c>
      <c r="P2250" s="2" t="s">
        <v>1084</v>
      </c>
      <c r="Q2250" s="2" t="s">
        <v>84</v>
      </c>
      <c r="R2250" s="2">
        <v>1</v>
      </c>
      <c r="S2250" s="2">
        <v>248.4</v>
      </c>
      <c r="T2250" s="2">
        <v>57.132000000000012</v>
      </c>
      <c r="U2250" s="2">
        <v>305.53199999999998</v>
      </c>
      <c r="V2250" s="2">
        <v>159.54</v>
      </c>
      <c r="W2250" s="5">
        <f t="shared" si="218"/>
        <v>0.35772946859903387</v>
      </c>
      <c r="Y2250" s="2" t="s">
        <v>3256</v>
      </c>
      <c r="Z2250" s="2" t="s">
        <v>76</v>
      </c>
      <c r="AA2250" s="2" t="s">
        <v>77</v>
      </c>
      <c r="AB2250" s="2" t="s">
        <v>78</v>
      </c>
      <c r="AE2250" s="2">
        <f t="shared" si="220"/>
        <v>0</v>
      </c>
      <c r="AF2250" s="2">
        <f>144.14+15.4</f>
        <v>159.54</v>
      </c>
      <c r="AG2250" s="2">
        <v>280</v>
      </c>
      <c r="AI2250" s="2">
        <f t="shared" si="221"/>
        <v>0</v>
      </c>
      <c r="AJ2250" s="2">
        <f t="shared" si="222"/>
        <v>88.860000000000014</v>
      </c>
      <c r="AK2250" s="5">
        <f t="shared" si="219"/>
        <v>0.35772946859903387</v>
      </c>
    </row>
    <row r="2251" spans="1:37" x14ac:dyDescent="0.2">
      <c r="A2251" s="2">
        <v>2025</v>
      </c>
      <c r="B2251" s="2">
        <v>11</v>
      </c>
      <c r="C2251" s="2" t="s">
        <v>587</v>
      </c>
      <c r="D2251" s="2" t="s">
        <v>109</v>
      </c>
      <c r="F2251" s="2">
        <v>503850276</v>
      </c>
      <c r="G2251" s="2" t="s">
        <v>40</v>
      </c>
      <c r="H2251" s="2" t="s">
        <v>588</v>
      </c>
      <c r="I2251" s="2" t="s">
        <v>589</v>
      </c>
      <c r="K2251" s="2" t="s">
        <v>202</v>
      </c>
      <c r="L2251" s="2" t="s">
        <v>81</v>
      </c>
      <c r="O2251" s="2" t="s">
        <v>94</v>
      </c>
      <c r="P2251" s="2" t="s">
        <v>95</v>
      </c>
      <c r="Q2251" s="2" t="s">
        <v>96</v>
      </c>
      <c r="R2251" s="2">
        <v>1</v>
      </c>
      <c r="S2251" s="2">
        <v>1.1399999999999999</v>
      </c>
      <c r="T2251" s="2">
        <v>0.26219999999999999</v>
      </c>
      <c r="U2251" s="2">
        <v>1.4021999999999999</v>
      </c>
      <c r="V2251" s="2">
        <v>1.1399999999999999</v>
      </c>
      <c r="W2251" s="5">
        <f t="shared" si="218"/>
        <v>0</v>
      </c>
      <c r="Y2251" s="2" t="s">
        <v>3256</v>
      </c>
      <c r="Z2251" s="2" t="s">
        <v>97</v>
      </c>
      <c r="AA2251" s="2" t="s">
        <v>77</v>
      </c>
      <c r="AB2251" s="2" t="s">
        <v>94</v>
      </c>
      <c r="AE2251" s="2">
        <f t="shared" si="220"/>
        <v>0</v>
      </c>
      <c r="AI2251" s="2">
        <f t="shared" si="221"/>
        <v>0</v>
      </c>
      <c r="AJ2251" s="2">
        <f t="shared" si="222"/>
        <v>0</v>
      </c>
      <c r="AK2251" s="5">
        <f t="shared" si="219"/>
        <v>0</v>
      </c>
    </row>
    <row r="2252" spans="1:37" x14ac:dyDescent="0.2">
      <c r="A2252" s="2">
        <v>2025</v>
      </c>
      <c r="B2252" s="2">
        <v>11</v>
      </c>
      <c r="C2252" s="2" t="s">
        <v>593</v>
      </c>
      <c r="D2252" s="2" t="s">
        <v>38</v>
      </c>
      <c r="E2252" s="2" t="s">
        <v>39</v>
      </c>
      <c r="F2252" s="2">
        <v>510339298</v>
      </c>
      <c r="G2252" s="2" t="s">
        <v>41</v>
      </c>
      <c r="H2252" s="2" t="s">
        <v>178</v>
      </c>
      <c r="I2252" s="2" t="s">
        <v>594</v>
      </c>
      <c r="K2252" s="2" t="s">
        <v>178</v>
      </c>
      <c r="O2252" s="2" t="s">
        <v>115</v>
      </c>
      <c r="P2252" s="2" t="s">
        <v>375</v>
      </c>
      <c r="Q2252" s="2" t="s">
        <v>376</v>
      </c>
      <c r="R2252" s="2">
        <v>1</v>
      </c>
      <c r="S2252" s="2">
        <v>48.95</v>
      </c>
      <c r="T2252" s="2">
        <v>11.2585</v>
      </c>
      <c r="U2252" s="2">
        <v>60.208500000000001</v>
      </c>
      <c r="W2252" s="5">
        <f t="shared" si="218"/>
        <v>1</v>
      </c>
      <c r="AE2252" s="2">
        <f t="shared" si="220"/>
        <v>0</v>
      </c>
      <c r="AI2252" s="2">
        <f t="shared" si="221"/>
        <v>0</v>
      </c>
      <c r="AJ2252" s="2">
        <f t="shared" si="222"/>
        <v>48.95</v>
      </c>
      <c r="AK2252" s="5">
        <f t="shared" si="219"/>
        <v>1</v>
      </c>
    </row>
    <row r="2253" spans="1:37" x14ac:dyDescent="0.2">
      <c r="A2253" s="2">
        <v>2025</v>
      </c>
      <c r="B2253" s="2">
        <v>11</v>
      </c>
      <c r="C2253" s="2" t="s">
        <v>593</v>
      </c>
      <c r="D2253" s="2" t="s">
        <v>38</v>
      </c>
      <c r="E2253" s="2" t="s">
        <v>39</v>
      </c>
      <c r="F2253" s="2">
        <v>510339298</v>
      </c>
      <c r="G2253" s="2" t="s">
        <v>41</v>
      </c>
      <c r="H2253" s="2" t="s">
        <v>178</v>
      </c>
      <c r="I2253" s="2" t="s">
        <v>594</v>
      </c>
      <c r="K2253" s="2" t="s">
        <v>178</v>
      </c>
      <c r="L2253" s="2" t="s">
        <v>41</v>
      </c>
      <c r="O2253" s="2" t="s">
        <v>43</v>
      </c>
      <c r="P2253" s="2" t="s">
        <v>53</v>
      </c>
      <c r="Q2253" s="2" t="s">
        <v>54</v>
      </c>
      <c r="R2253" s="2">
        <v>1</v>
      </c>
      <c r="S2253" s="2">
        <v>9.6</v>
      </c>
      <c r="T2253" s="2">
        <v>2.2080000000000002</v>
      </c>
      <c r="U2253" s="2">
        <v>11.808</v>
      </c>
      <c r="V2253" s="2">
        <f>5.2973*R2253</f>
        <v>5.2972999999999999</v>
      </c>
      <c r="W2253" s="5">
        <f t="shared" si="218"/>
        <v>0.44819791666666664</v>
      </c>
      <c r="Y2253" s="2" t="s">
        <v>3256</v>
      </c>
      <c r="Z2253" s="2" t="s">
        <v>46</v>
      </c>
      <c r="AA2253" s="2" t="s">
        <v>47</v>
      </c>
      <c r="AB2253" s="2" t="s">
        <v>48</v>
      </c>
      <c r="AE2253" s="2">
        <f t="shared" si="220"/>
        <v>0</v>
      </c>
      <c r="AF2253" s="2">
        <v>5.2972999999999999</v>
      </c>
      <c r="AG2253" s="2">
        <v>10.8</v>
      </c>
      <c r="AI2253" s="2">
        <f t="shared" si="221"/>
        <v>0</v>
      </c>
      <c r="AJ2253" s="2">
        <f t="shared" si="222"/>
        <v>4.3026999999999997</v>
      </c>
      <c r="AK2253" s="5">
        <f t="shared" si="219"/>
        <v>0.44819791666666664</v>
      </c>
    </row>
    <row r="2254" spans="1:37" x14ac:dyDescent="0.2">
      <c r="A2254" s="2">
        <v>2025</v>
      </c>
      <c r="B2254" s="2">
        <v>11</v>
      </c>
      <c r="C2254" s="2" t="s">
        <v>593</v>
      </c>
      <c r="D2254" s="2" t="s">
        <v>38</v>
      </c>
      <c r="E2254" s="2" t="s">
        <v>39</v>
      </c>
      <c r="F2254" s="2">
        <v>510339298</v>
      </c>
      <c r="G2254" s="2" t="s">
        <v>41</v>
      </c>
      <c r="H2254" s="2" t="s">
        <v>178</v>
      </c>
      <c r="I2254" s="2" t="s">
        <v>594</v>
      </c>
      <c r="K2254" s="2" t="s">
        <v>178</v>
      </c>
      <c r="L2254" s="2" t="s">
        <v>41</v>
      </c>
      <c r="O2254" s="2" t="s">
        <v>43</v>
      </c>
      <c r="P2254" s="2" t="s">
        <v>55</v>
      </c>
      <c r="Q2254" s="2" t="s">
        <v>56</v>
      </c>
      <c r="R2254" s="2">
        <v>10</v>
      </c>
      <c r="S2254" s="2">
        <v>140</v>
      </c>
      <c r="T2254" s="2">
        <v>32.200000000000003</v>
      </c>
      <c r="U2254" s="2">
        <v>172.2</v>
      </c>
      <c r="V2254" s="2">
        <f>10.6*R2254</f>
        <v>106</v>
      </c>
      <c r="W2254" s="5">
        <f t="shared" si="218"/>
        <v>0.24285714285714285</v>
      </c>
      <c r="Y2254" s="2" t="s">
        <v>3256</v>
      </c>
      <c r="Z2254" s="2" t="s">
        <v>46</v>
      </c>
      <c r="AA2254" s="2" t="s">
        <v>57</v>
      </c>
      <c r="AB2254" s="2" t="s">
        <v>58</v>
      </c>
      <c r="AE2254" s="2">
        <f t="shared" si="220"/>
        <v>0</v>
      </c>
      <c r="AF2254" s="2">
        <v>10.6</v>
      </c>
      <c r="AG2254" s="2">
        <v>18</v>
      </c>
      <c r="AI2254" s="2">
        <f t="shared" si="221"/>
        <v>0</v>
      </c>
      <c r="AJ2254" s="2">
        <f t="shared" si="222"/>
        <v>34</v>
      </c>
      <c r="AK2254" s="5">
        <f t="shared" si="219"/>
        <v>0.24285714285714285</v>
      </c>
    </row>
    <row r="2255" spans="1:37" x14ac:dyDescent="0.2">
      <c r="A2255" s="2">
        <v>2025</v>
      </c>
      <c r="B2255" s="2">
        <v>11</v>
      </c>
      <c r="C2255" s="2" t="s">
        <v>2092</v>
      </c>
      <c r="O2255" s="2" t="s">
        <v>283</v>
      </c>
      <c r="P2255" s="2" t="s">
        <v>1798</v>
      </c>
      <c r="Q2255" s="2" t="s">
        <v>1799</v>
      </c>
      <c r="R2255" s="2">
        <v>1</v>
      </c>
      <c r="S2255" s="2">
        <v>2190</v>
      </c>
      <c r="T2255" s="2">
        <v>503.7</v>
      </c>
      <c r="U2255" s="2">
        <v>2693.7</v>
      </c>
      <c r="W2255" s="5">
        <f t="shared" si="218"/>
        <v>1</v>
      </c>
      <c r="AE2255" s="2">
        <f t="shared" si="220"/>
        <v>0</v>
      </c>
      <c r="AI2255" s="2">
        <f t="shared" si="221"/>
        <v>0</v>
      </c>
      <c r="AJ2255" s="2">
        <f t="shared" si="222"/>
        <v>2190</v>
      </c>
      <c r="AK2255" s="5">
        <f t="shared" si="219"/>
        <v>1</v>
      </c>
    </row>
    <row r="2256" spans="1:37" x14ac:dyDescent="0.2">
      <c r="A2256" s="2">
        <v>2025</v>
      </c>
      <c r="B2256" s="2">
        <v>11</v>
      </c>
      <c r="C2256" s="2" t="s">
        <v>905</v>
      </c>
      <c r="D2256" s="2" t="s">
        <v>109</v>
      </c>
      <c r="E2256" s="2" t="s">
        <v>39</v>
      </c>
      <c r="G2256" s="2" t="s">
        <v>40</v>
      </c>
      <c r="H2256" s="2" t="s">
        <v>157</v>
      </c>
      <c r="I2256" s="2" t="s">
        <v>906</v>
      </c>
      <c r="J2256" s="2">
        <v>912047019</v>
      </c>
      <c r="K2256" s="2" t="s">
        <v>100</v>
      </c>
      <c r="L2256" s="2" t="s">
        <v>81</v>
      </c>
      <c r="N2256" s="2" t="s">
        <v>2093</v>
      </c>
      <c r="O2256" s="2" t="s">
        <v>43</v>
      </c>
      <c r="P2256" s="2" t="s">
        <v>55</v>
      </c>
      <c r="Q2256" s="2" t="s">
        <v>56</v>
      </c>
      <c r="R2256" s="2">
        <v>10</v>
      </c>
      <c r="S2256" s="2">
        <v>140</v>
      </c>
      <c r="T2256" s="2">
        <v>32.200000000000003</v>
      </c>
      <c r="U2256" s="2">
        <v>172.2</v>
      </c>
      <c r="V2256" s="2">
        <f>10.6*R2256</f>
        <v>106</v>
      </c>
      <c r="W2256" s="5">
        <f t="shared" si="218"/>
        <v>0.24285714285714285</v>
      </c>
      <c r="Y2256" s="2" t="s">
        <v>3256</v>
      </c>
      <c r="Z2256" s="2" t="s">
        <v>46</v>
      </c>
      <c r="AA2256" s="2" t="s">
        <v>57</v>
      </c>
      <c r="AB2256" s="2" t="s">
        <v>58</v>
      </c>
      <c r="AE2256" s="2">
        <f t="shared" si="220"/>
        <v>0</v>
      </c>
      <c r="AF2256" s="2">
        <v>10.6</v>
      </c>
      <c r="AG2256" s="2">
        <v>18</v>
      </c>
      <c r="AI2256" s="2">
        <f t="shared" si="221"/>
        <v>0</v>
      </c>
      <c r="AJ2256" s="2">
        <f t="shared" si="222"/>
        <v>34</v>
      </c>
      <c r="AK2256" s="5">
        <f t="shared" si="219"/>
        <v>0.24285714285714285</v>
      </c>
    </row>
    <row r="2257" spans="1:37" x14ac:dyDescent="0.2">
      <c r="A2257" s="2">
        <v>2025</v>
      </c>
      <c r="B2257" s="2">
        <v>11</v>
      </c>
      <c r="C2257" s="2" t="s">
        <v>905</v>
      </c>
      <c r="D2257" s="2" t="s">
        <v>109</v>
      </c>
      <c r="E2257" s="2" t="s">
        <v>39</v>
      </c>
      <c r="G2257" s="2" t="s">
        <v>40</v>
      </c>
      <c r="H2257" s="2" t="s">
        <v>157</v>
      </c>
      <c r="I2257" s="2" t="s">
        <v>906</v>
      </c>
      <c r="J2257" s="2">
        <v>912047019</v>
      </c>
      <c r="K2257" s="2" t="s">
        <v>100</v>
      </c>
      <c r="L2257" s="2" t="s">
        <v>81</v>
      </c>
      <c r="N2257" s="2" t="s">
        <v>2093</v>
      </c>
      <c r="O2257" s="2" t="s">
        <v>43</v>
      </c>
      <c r="P2257" s="2" t="s">
        <v>62</v>
      </c>
      <c r="Q2257" s="2" t="s">
        <v>63</v>
      </c>
      <c r="R2257" s="2">
        <v>1000</v>
      </c>
      <c r="S2257" s="2">
        <v>105</v>
      </c>
      <c r="T2257" s="2">
        <v>24.15</v>
      </c>
      <c r="U2257" s="2">
        <v>129.15</v>
      </c>
      <c r="V2257" s="2">
        <f>0.082*R2257</f>
        <v>82</v>
      </c>
      <c r="W2257" s="5">
        <f t="shared" si="218"/>
        <v>0.21904761904761905</v>
      </c>
      <c r="Y2257" s="2" t="s">
        <v>3256</v>
      </c>
      <c r="Z2257" s="2" t="s">
        <v>46</v>
      </c>
      <c r="AA2257" s="2" t="s">
        <v>61</v>
      </c>
      <c r="AB2257" s="2" t="s">
        <v>58</v>
      </c>
      <c r="AE2257" s="2">
        <f t="shared" si="220"/>
        <v>0</v>
      </c>
      <c r="AF2257" s="2">
        <v>8.1999999999999993</v>
      </c>
      <c r="AG2257" s="2">
        <v>13</v>
      </c>
      <c r="AI2257" s="2">
        <f t="shared" si="221"/>
        <v>0</v>
      </c>
      <c r="AJ2257" s="2">
        <f t="shared" si="222"/>
        <v>23</v>
      </c>
      <c r="AK2257" s="5">
        <f t="shared" si="219"/>
        <v>0.21904761904761905</v>
      </c>
    </row>
    <row r="2258" spans="1:37" x14ac:dyDescent="0.2">
      <c r="A2258" s="2">
        <v>2025</v>
      </c>
      <c r="B2258" s="2">
        <v>11</v>
      </c>
      <c r="C2258" s="2" t="s">
        <v>905</v>
      </c>
      <c r="D2258" s="2" t="s">
        <v>109</v>
      </c>
      <c r="E2258" s="2" t="s">
        <v>39</v>
      </c>
      <c r="G2258" s="2" t="s">
        <v>40</v>
      </c>
      <c r="H2258" s="2" t="s">
        <v>157</v>
      </c>
      <c r="I2258" s="2" t="s">
        <v>906</v>
      </c>
      <c r="J2258" s="2">
        <v>912047019</v>
      </c>
      <c r="K2258" s="2" t="s">
        <v>100</v>
      </c>
      <c r="L2258" s="2" t="s">
        <v>81</v>
      </c>
      <c r="N2258" s="2" t="s">
        <v>2093</v>
      </c>
      <c r="O2258" s="2" t="s">
        <v>43</v>
      </c>
      <c r="P2258" s="2" t="s">
        <v>163</v>
      </c>
      <c r="Q2258" s="2" t="s">
        <v>164</v>
      </c>
      <c r="R2258" s="2">
        <v>1</v>
      </c>
      <c r="S2258" s="2">
        <v>21</v>
      </c>
      <c r="T2258" s="2">
        <v>4.83</v>
      </c>
      <c r="U2258" s="2">
        <v>25.83</v>
      </c>
      <c r="W2258" s="5">
        <f t="shared" si="218"/>
        <v>1</v>
      </c>
      <c r="Y2258" s="2" t="s">
        <v>3256</v>
      </c>
      <c r="Z2258" s="2" t="s">
        <v>46</v>
      </c>
      <c r="AA2258" s="2" t="s">
        <v>47</v>
      </c>
      <c r="AB2258" s="2" t="s">
        <v>48</v>
      </c>
      <c r="AE2258" s="2">
        <f t="shared" si="220"/>
        <v>0</v>
      </c>
      <c r="AI2258" s="2">
        <f t="shared" si="221"/>
        <v>0</v>
      </c>
      <c r="AJ2258" s="2">
        <f t="shared" si="222"/>
        <v>21</v>
      </c>
      <c r="AK2258" s="5">
        <f t="shared" si="219"/>
        <v>1</v>
      </c>
    </row>
    <row r="2259" spans="1:37" x14ac:dyDescent="0.2">
      <c r="A2259" s="2">
        <v>2025</v>
      </c>
      <c r="B2259" s="2">
        <v>11</v>
      </c>
      <c r="C2259" s="2" t="s">
        <v>1305</v>
      </c>
      <c r="D2259" s="2" t="s">
        <v>184</v>
      </c>
      <c r="E2259" s="2" t="s">
        <v>368</v>
      </c>
      <c r="F2259" s="2">
        <v>500625654</v>
      </c>
      <c r="G2259" s="2" t="s">
        <v>291</v>
      </c>
      <c r="H2259" s="2" t="s">
        <v>340</v>
      </c>
      <c r="I2259" s="2" t="s">
        <v>1306</v>
      </c>
      <c r="K2259" s="2" t="s">
        <v>340</v>
      </c>
      <c r="O2259" s="2" t="s">
        <v>73</v>
      </c>
      <c r="P2259" s="2" t="s">
        <v>1460</v>
      </c>
      <c r="Q2259" s="2" t="s">
        <v>383</v>
      </c>
      <c r="R2259" s="2">
        <v>-1</v>
      </c>
      <c r="S2259" s="2">
        <v>-223.1</v>
      </c>
      <c r="T2259" s="2">
        <v>-51.313000000000002</v>
      </c>
      <c r="U2259" s="2">
        <v>-274.41300000000001</v>
      </c>
      <c r="W2259" s="5">
        <f t="shared" ref="W2259:W2322" si="223">(S2259-V2259)/S2259</f>
        <v>1</v>
      </c>
      <c r="Y2259" s="2" t="s">
        <v>3256</v>
      </c>
      <c r="Z2259" s="2" t="s">
        <v>76</v>
      </c>
      <c r="AA2259" s="2" t="s">
        <v>77</v>
      </c>
      <c r="AB2259" s="2" t="s">
        <v>78</v>
      </c>
      <c r="AE2259" s="2">
        <f t="shared" si="220"/>
        <v>0</v>
      </c>
      <c r="AI2259" s="2">
        <f t="shared" si="221"/>
        <v>0</v>
      </c>
      <c r="AJ2259" s="2">
        <f t="shared" si="222"/>
        <v>-223.1</v>
      </c>
      <c r="AK2259" s="5">
        <f t="shared" si="219"/>
        <v>1</v>
      </c>
    </row>
    <row r="2260" spans="1:37" x14ac:dyDescent="0.2">
      <c r="A2260" s="2">
        <v>2025</v>
      </c>
      <c r="B2260" s="2">
        <v>11</v>
      </c>
      <c r="C2260" s="2" t="s">
        <v>1305</v>
      </c>
      <c r="D2260" s="2" t="s">
        <v>184</v>
      </c>
      <c r="E2260" s="2" t="s">
        <v>368</v>
      </c>
      <c r="F2260" s="2">
        <v>500625654</v>
      </c>
      <c r="G2260" s="2" t="s">
        <v>291</v>
      </c>
      <c r="H2260" s="2" t="s">
        <v>340</v>
      </c>
      <c r="I2260" s="2" t="s">
        <v>1306</v>
      </c>
      <c r="K2260" s="2" t="s">
        <v>340</v>
      </c>
      <c r="L2260" s="2" t="s">
        <v>81</v>
      </c>
      <c r="N2260" s="2" t="s">
        <v>3232</v>
      </c>
      <c r="O2260" s="2" t="s">
        <v>73</v>
      </c>
      <c r="P2260" s="2" t="s">
        <v>79</v>
      </c>
      <c r="Q2260" s="2" t="s">
        <v>80</v>
      </c>
      <c r="R2260" s="2">
        <v>1</v>
      </c>
      <c r="S2260" s="2">
        <v>203.7</v>
      </c>
      <c r="T2260" s="2">
        <v>46.850999999999999</v>
      </c>
      <c r="U2260" s="2">
        <v>250.55099999999999</v>
      </c>
      <c r="V2260" s="2">
        <f>111.98*R2260</f>
        <v>111.98</v>
      </c>
      <c r="W2260" s="5">
        <f t="shared" si="223"/>
        <v>0.45027000490918012</v>
      </c>
      <c r="Y2260" s="2" t="s">
        <v>3256</v>
      </c>
      <c r="Z2260" s="2" t="s">
        <v>76</v>
      </c>
      <c r="AA2260" s="2" t="s">
        <v>77</v>
      </c>
      <c r="AB2260" s="2" t="s">
        <v>78</v>
      </c>
      <c r="AE2260" s="2">
        <f t="shared" si="220"/>
        <v>0</v>
      </c>
      <c r="AF2260" s="2">
        <v>111.98</v>
      </c>
      <c r="AG2260" s="2">
        <v>210</v>
      </c>
      <c r="AI2260" s="2">
        <f t="shared" si="221"/>
        <v>0</v>
      </c>
      <c r="AJ2260" s="2">
        <f t="shared" si="222"/>
        <v>91.719999999999985</v>
      </c>
      <c r="AK2260" s="5">
        <f t="shared" si="219"/>
        <v>0.45027000490918012</v>
      </c>
    </row>
    <row r="2261" spans="1:37" x14ac:dyDescent="0.2">
      <c r="A2261" s="2">
        <v>2025</v>
      </c>
      <c r="B2261" s="2">
        <v>11</v>
      </c>
      <c r="C2261" s="2" t="s">
        <v>1305</v>
      </c>
      <c r="D2261" s="2" t="s">
        <v>184</v>
      </c>
      <c r="E2261" s="2" t="s">
        <v>368</v>
      </c>
      <c r="F2261" s="2">
        <v>500625654</v>
      </c>
      <c r="G2261" s="2" t="s">
        <v>291</v>
      </c>
      <c r="H2261" s="2" t="s">
        <v>340</v>
      </c>
      <c r="I2261" s="2" t="s">
        <v>1306</v>
      </c>
      <c r="K2261" s="2" t="s">
        <v>340</v>
      </c>
      <c r="O2261" s="2" t="s">
        <v>94</v>
      </c>
      <c r="P2261" s="2" t="s">
        <v>95</v>
      </c>
      <c r="Q2261" s="2" t="s">
        <v>96</v>
      </c>
      <c r="R2261" s="2">
        <v>0</v>
      </c>
      <c r="S2261" s="2">
        <v>0</v>
      </c>
      <c r="T2261" s="2">
        <v>0</v>
      </c>
      <c r="U2261" s="2">
        <v>0</v>
      </c>
      <c r="V2261" s="2">
        <v>0</v>
      </c>
      <c r="W2261" s="5" t="e">
        <f t="shared" si="223"/>
        <v>#DIV/0!</v>
      </c>
      <c r="Y2261" s="2" t="s">
        <v>3256</v>
      </c>
      <c r="Z2261" s="2" t="s">
        <v>97</v>
      </c>
      <c r="AA2261" s="2" t="s">
        <v>77</v>
      </c>
      <c r="AB2261" s="2" t="s">
        <v>94</v>
      </c>
      <c r="AE2261" s="2">
        <f t="shared" si="220"/>
        <v>0</v>
      </c>
      <c r="AI2261" s="2">
        <f t="shared" si="221"/>
        <v>0</v>
      </c>
      <c r="AJ2261" s="2">
        <f t="shared" si="222"/>
        <v>0</v>
      </c>
      <c r="AK2261" s="5" t="e">
        <f t="shared" si="219"/>
        <v>#DIV/0!</v>
      </c>
    </row>
    <row r="2262" spans="1:37" x14ac:dyDescent="0.2">
      <c r="A2262" s="2">
        <v>2025</v>
      </c>
      <c r="B2262" s="2">
        <v>11</v>
      </c>
      <c r="C2262" s="2" t="s">
        <v>1122</v>
      </c>
      <c r="D2262" s="2" t="s">
        <v>38</v>
      </c>
      <c r="E2262" s="2" t="s">
        <v>39</v>
      </c>
      <c r="F2262" s="2">
        <v>210420588</v>
      </c>
      <c r="G2262" s="2" t="s">
        <v>40</v>
      </c>
      <c r="H2262" s="2" t="s">
        <v>1123</v>
      </c>
      <c r="I2262" s="2" t="s">
        <v>1124</v>
      </c>
      <c r="J2262" s="2">
        <v>914550474</v>
      </c>
      <c r="K2262" s="2" t="s">
        <v>100</v>
      </c>
      <c r="L2262" s="2" t="s">
        <v>81</v>
      </c>
      <c r="N2262" s="2" t="s">
        <v>2094</v>
      </c>
      <c r="O2262" s="2" t="s">
        <v>85</v>
      </c>
      <c r="P2262" s="2" t="s">
        <v>1812</v>
      </c>
      <c r="Q2262" s="2" t="s">
        <v>1813</v>
      </c>
      <c r="R2262" s="2">
        <v>2</v>
      </c>
      <c r="S2262" s="2">
        <v>10</v>
      </c>
      <c r="T2262" s="2">
        <v>2.2999999999999998</v>
      </c>
      <c r="U2262" s="2">
        <v>12.3</v>
      </c>
      <c r="V2262" s="2">
        <v>0.35799999999999998</v>
      </c>
      <c r="W2262" s="5">
        <f t="shared" si="223"/>
        <v>0.96419999999999995</v>
      </c>
      <c r="Y2262" s="2" t="s">
        <v>3256</v>
      </c>
      <c r="Z2262" s="2" t="s">
        <v>88</v>
      </c>
      <c r="AA2262" s="2" t="s">
        <v>91</v>
      </c>
      <c r="AB2262" s="2" t="s">
        <v>85</v>
      </c>
      <c r="AE2262" s="2">
        <f t="shared" si="220"/>
        <v>0</v>
      </c>
      <c r="AI2262" s="2">
        <f t="shared" si="221"/>
        <v>0</v>
      </c>
      <c r="AJ2262" s="2">
        <f t="shared" si="222"/>
        <v>9.6419999999999995</v>
      </c>
      <c r="AK2262" s="5">
        <f t="shared" si="219"/>
        <v>0.96419999999999995</v>
      </c>
    </row>
    <row r="2263" spans="1:37" x14ac:dyDescent="0.2">
      <c r="A2263" s="2">
        <v>2025</v>
      </c>
      <c r="B2263" s="2">
        <v>11</v>
      </c>
      <c r="C2263" s="2" t="s">
        <v>1122</v>
      </c>
      <c r="D2263" s="2" t="s">
        <v>38</v>
      </c>
      <c r="E2263" s="2" t="s">
        <v>39</v>
      </c>
      <c r="F2263" s="2">
        <v>210420588</v>
      </c>
      <c r="G2263" s="2" t="s">
        <v>40</v>
      </c>
      <c r="H2263" s="2" t="s">
        <v>1123</v>
      </c>
      <c r="I2263" s="2" t="s">
        <v>1124</v>
      </c>
      <c r="J2263" s="2">
        <v>914550474</v>
      </c>
      <c r="K2263" s="2" t="s">
        <v>100</v>
      </c>
      <c r="L2263" s="2" t="s">
        <v>81</v>
      </c>
      <c r="N2263" s="2" t="s">
        <v>2095</v>
      </c>
      <c r="O2263" s="2" t="s">
        <v>85</v>
      </c>
      <c r="P2263" s="2" t="s">
        <v>271</v>
      </c>
      <c r="Q2263" s="2" t="s">
        <v>272</v>
      </c>
      <c r="R2263" s="2">
        <v>1</v>
      </c>
      <c r="S2263" s="2">
        <v>10</v>
      </c>
      <c r="T2263" s="2">
        <v>2.2999999999999998</v>
      </c>
      <c r="U2263" s="2">
        <v>12.3</v>
      </c>
      <c r="V2263" s="2">
        <v>6.86</v>
      </c>
      <c r="W2263" s="5">
        <f t="shared" si="223"/>
        <v>0.31399999999999995</v>
      </c>
      <c r="Y2263" s="2" t="s">
        <v>3256</v>
      </c>
      <c r="Z2263" s="2" t="s">
        <v>88</v>
      </c>
      <c r="AA2263" s="2" t="s">
        <v>91</v>
      </c>
      <c r="AB2263" s="2" t="s">
        <v>85</v>
      </c>
      <c r="AE2263" s="2">
        <f t="shared" si="220"/>
        <v>0</v>
      </c>
      <c r="AI2263" s="2">
        <f t="shared" si="221"/>
        <v>0</v>
      </c>
      <c r="AJ2263" s="2">
        <f t="shared" si="222"/>
        <v>3.1399999999999997</v>
      </c>
      <c r="AK2263" s="5">
        <f t="shared" si="219"/>
        <v>0.31399999999999995</v>
      </c>
    </row>
    <row r="2264" spans="1:37" x14ac:dyDescent="0.2">
      <c r="A2264" s="2">
        <v>2025</v>
      </c>
      <c r="B2264" s="2">
        <v>11</v>
      </c>
      <c r="C2264" s="2" t="s">
        <v>630</v>
      </c>
      <c r="D2264" s="2" t="s">
        <v>38</v>
      </c>
      <c r="E2264" s="2" t="s">
        <v>39</v>
      </c>
      <c r="F2264" s="2" t="s">
        <v>631</v>
      </c>
      <c r="G2264" s="2" t="s">
        <v>40</v>
      </c>
      <c r="H2264" s="2" t="s">
        <v>632</v>
      </c>
      <c r="I2264" s="2" t="s">
        <v>633</v>
      </c>
      <c r="K2264" s="2" t="s">
        <v>632</v>
      </c>
      <c r="L2264" s="2" t="s">
        <v>40</v>
      </c>
      <c r="O2264" s="2" t="s">
        <v>115</v>
      </c>
      <c r="P2264" s="2" t="s">
        <v>2096</v>
      </c>
      <c r="Q2264" s="2" t="s">
        <v>2097</v>
      </c>
      <c r="R2264" s="2">
        <v>1</v>
      </c>
      <c r="S2264" s="2">
        <v>76.62</v>
      </c>
      <c r="T2264" s="2">
        <v>17.622599999999998</v>
      </c>
      <c r="U2264" s="2">
        <v>94.24260000000001</v>
      </c>
      <c r="W2264" s="5">
        <f t="shared" si="223"/>
        <v>1</v>
      </c>
      <c r="AE2264" s="2">
        <f t="shared" si="220"/>
        <v>0</v>
      </c>
      <c r="AI2264" s="2">
        <f t="shared" si="221"/>
        <v>0</v>
      </c>
      <c r="AJ2264" s="2">
        <f t="shared" si="222"/>
        <v>76.62</v>
      </c>
      <c r="AK2264" s="5">
        <f t="shared" si="219"/>
        <v>1</v>
      </c>
    </row>
    <row r="2265" spans="1:37" x14ac:dyDescent="0.2">
      <c r="A2265" s="2">
        <v>2025</v>
      </c>
      <c r="B2265" s="2">
        <v>11</v>
      </c>
      <c r="C2265" s="2" t="s">
        <v>1676</v>
      </c>
      <c r="O2265" s="2" t="s">
        <v>115</v>
      </c>
      <c r="P2265" s="2" t="s">
        <v>1898</v>
      </c>
      <c r="Q2265" s="2" t="s">
        <v>1899</v>
      </c>
      <c r="R2265" s="2">
        <v>1</v>
      </c>
      <c r="S2265" s="2">
        <v>1066.25</v>
      </c>
      <c r="T2265" s="2">
        <v>245.23750000000001</v>
      </c>
      <c r="U2265" s="2">
        <v>1311.4875</v>
      </c>
      <c r="W2265" s="5">
        <f t="shared" si="223"/>
        <v>1</v>
      </c>
      <c r="AE2265" s="2">
        <f t="shared" si="220"/>
        <v>0</v>
      </c>
      <c r="AI2265" s="2">
        <f t="shared" si="221"/>
        <v>0</v>
      </c>
      <c r="AJ2265" s="2">
        <f t="shared" si="222"/>
        <v>1066.25</v>
      </c>
      <c r="AK2265" s="5">
        <f t="shared" si="219"/>
        <v>1</v>
      </c>
    </row>
    <row r="2266" spans="1:37" x14ac:dyDescent="0.2">
      <c r="A2266" s="2">
        <v>2025</v>
      </c>
      <c r="B2266" s="2">
        <v>11</v>
      </c>
      <c r="C2266" s="2" t="s">
        <v>1676</v>
      </c>
      <c r="L2266" s="2" t="s">
        <v>40</v>
      </c>
      <c r="O2266" s="2" t="s">
        <v>188</v>
      </c>
      <c r="P2266" s="2" t="s">
        <v>189</v>
      </c>
      <c r="Q2266" s="2" t="s">
        <v>190</v>
      </c>
      <c r="R2266" s="2">
        <v>1</v>
      </c>
      <c r="S2266" s="2">
        <v>50</v>
      </c>
      <c r="T2266" s="2">
        <v>11.5</v>
      </c>
      <c r="U2266" s="2">
        <v>61.5</v>
      </c>
      <c r="W2266" s="5">
        <f t="shared" si="223"/>
        <v>1</v>
      </c>
      <c r="Y2266" s="2" t="s">
        <v>118</v>
      </c>
      <c r="Z2266" s="2" t="s">
        <v>191</v>
      </c>
      <c r="AE2266" s="2">
        <f t="shared" si="220"/>
        <v>0</v>
      </c>
      <c r="AI2266" s="2">
        <f t="shared" si="221"/>
        <v>0</v>
      </c>
      <c r="AJ2266" s="2">
        <f t="shared" si="222"/>
        <v>50</v>
      </c>
      <c r="AK2266" s="5">
        <f t="shared" si="219"/>
        <v>1</v>
      </c>
    </row>
    <row r="2267" spans="1:37" x14ac:dyDescent="0.2">
      <c r="A2267" s="2">
        <v>2025</v>
      </c>
      <c r="B2267" s="2">
        <v>11</v>
      </c>
      <c r="C2267" s="2" t="s">
        <v>1676</v>
      </c>
      <c r="L2267" s="2" t="s">
        <v>40</v>
      </c>
      <c r="O2267" s="2" t="s">
        <v>188</v>
      </c>
      <c r="P2267" s="2" t="s">
        <v>192</v>
      </c>
      <c r="Q2267" s="2" t="s">
        <v>191</v>
      </c>
      <c r="R2267" s="2">
        <v>1</v>
      </c>
      <c r="S2267" s="2">
        <v>50</v>
      </c>
      <c r="T2267" s="2">
        <v>11.5</v>
      </c>
      <c r="U2267" s="2">
        <v>61.5</v>
      </c>
      <c r="V2267" s="2">
        <f>S2267*50%</f>
        <v>25</v>
      </c>
      <c r="W2267" s="5">
        <f t="shared" si="223"/>
        <v>0.5</v>
      </c>
      <c r="Y2267" s="2" t="s">
        <v>118</v>
      </c>
      <c r="Z2267" s="2" t="s">
        <v>191</v>
      </c>
      <c r="AE2267" s="2">
        <f t="shared" si="220"/>
        <v>0</v>
      </c>
      <c r="AI2267" s="2">
        <f t="shared" si="221"/>
        <v>0</v>
      </c>
      <c r="AJ2267" s="2">
        <f t="shared" si="222"/>
        <v>25</v>
      </c>
      <c r="AK2267" s="5">
        <f t="shared" si="219"/>
        <v>0.5</v>
      </c>
    </row>
    <row r="2268" spans="1:37" x14ac:dyDescent="0.2">
      <c r="A2268" s="2">
        <v>2025</v>
      </c>
      <c r="B2268" s="2">
        <v>11</v>
      </c>
      <c r="C2268" s="2" t="s">
        <v>2098</v>
      </c>
      <c r="O2268" s="2" t="s">
        <v>69</v>
      </c>
      <c r="P2268" s="2" t="s">
        <v>2099</v>
      </c>
      <c r="Q2268" s="2" t="s">
        <v>2100</v>
      </c>
      <c r="R2268" s="2">
        <v>1</v>
      </c>
      <c r="S2268" s="2">
        <v>2349.59</v>
      </c>
      <c r="T2268" s="2">
        <v>540.40570000000002</v>
      </c>
      <c r="U2268" s="2">
        <v>2889.9956999999999</v>
      </c>
      <c r="V2268" s="2">
        <f>S2268*50%</f>
        <v>1174.7950000000001</v>
      </c>
      <c r="W2268" s="5">
        <f t="shared" si="223"/>
        <v>0.5</v>
      </c>
      <c r="Y2268" s="2" t="s">
        <v>105</v>
      </c>
      <c r="AB2268" s="2" t="s">
        <v>3261</v>
      </c>
      <c r="AE2268" s="2">
        <f t="shared" si="220"/>
        <v>0</v>
      </c>
      <c r="AI2268" s="2">
        <f t="shared" si="221"/>
        <v>0</v>
      </c>
      <c r="AJ2268" s="2">
        <f t="shared" si="222"/>
        <v>1174.7950000000001</v>
      </c>
      <c r="AK2268" s="5">
        <f t="shared" si="219"/>
        <v>0.5</v>
      </c>
    </row>
    <row r="2269" spans="1:37" x14ac:dyDescent="0.2">
      <c r="A2269" s="2">
        <v>2025</v>
      </c>
      <c r="B2269" s="2">
        <v>11</v>
      </c>
      <c r="C2269" s="2" t="s">
        <v>649</v>
      </c>
      <c r="D2269" s="2" t="s">
        <v>38</v>
      </c>
      <c r="E2269" s="2" t="s">
        <v>39</v>
      </c>
      <c r="F2269" s="2">
        <v>509056946</v>
      </c>
      <c r="G2269" s="2" t="s">
        <v>110</v>
      </c>
      <c r="H2269" s="2" t="s">
        <v>650</v>
      </c>
      <c r="I2269" s="2" t="s">
        <v>651</v>
      </c>
      <c r="J2269" s="2">
        <v>964495536</v>
      </c>
      <c r="K2269" s="2" t="s">
        <v>113</v>
      </c>
      <c r="O2269" s="2" t="s">
        <v>115</v>
      </c>
      <c r="P2269" s="2" t="s">
        <v>986</v>
      </c>
      <c r="Q2269" s="2" t="s">
        <v>987</v>
      </c>
      <c r="R2269" s="2">
        <v>1</v>
      </c>
      <c r="S2269" s="2">
        <v>79.819999999999993</v>
      </c>
      <c r="T2269" s="2">
        <v>18.358599999999999</v>
      </c>
      <c r="U2269" s="2">
        <v>98.178599999999989</v>
      </c>
      <c r="W2269" s="5">
        <f t="shared" si="223"/>
        <v>1</v>
      </c>
      <c r="AE2269" s="2">
        <f t="shared" si="220"/>
        <v>0</v>
      </c>
      <c r="AI2269" s="2">
        <f t="shared" si="221"/>
        <v>0</v>
      </c>
      <c r="AJ2269" s="2">
        <f t="shared" si="222"/>
        <v>79.819999999999993</v>
      </c>
      <c r="AK2269" s="5">
        <f t="shared" si="219"/>
        <v>1</v>
      </c>
    </row>
    <row r="2270" spans="1:37" x14ac:dyDescent="0.2">
      <c r="A2270" s="2">
        <v>2025</v>
      </c>
      <c r="B2270" s="2">
        <v>11</v>
      </c>
      <c r="C2270" s="2" t="s">
        <v>649</v>
      </c>
      <c r="D2270" s="2" t="s">
        <v>38</v>
      </c>
      <c r="E2270" s="2" t="s">
        <v>39</v>
      </c>
      <c r="F2270" s="2">
        <v>509056946</v>
      </c>
      <c r="G2270" s="2" t="s">
        <v>110</v>
      </c>
      <c r="H2270" s="2" t="s">
        <v>650</v>
      </c>
      <c r="I2270" s="2" t="s">
        <v>651</v>
      </c>
      <c r="J2270" s="2">
        <v>964495536</v>
      </c>
      <c r="K2270" s="2" t="s">
        <v>113</v>
      </c>
      <c r="O2270" s="2" t="s">
        <v>43</v>
      </c>
      <c r="P2270" s="2" t="s">
        <v>62</v>
      </c>
      <c r="Q2270" s="2" t="s">
        <v>63</v>
      </c>
      <c r="R2270" s="2">
        <v>1000</v>
      </c>
      <c r="S2270" s="2">
        <v>105</v>
      </c>
      <c r="T2270" s="2">
        <v>24.15</v>
      </c>
      <c r="U2270" s="2">
        <v>129.15</v>
      </c>
      <c r="V2270" s="2">
        <f>0.082*R2270</f>
        <v>82</v>
      </c>
      <c r="W2270" s="5">
        <f t="shared" si="223"/>
        <v>0.21904761904761905</v>
      </c>
      <c r="Y2270" s="2" t="s">
        <v>3256</v>
      </c>
      <c r="Z2270" s="2" t="s">
        <v>46</v>
      </c>
      <c r="AA2270" s="2" t="s">
        <v>61</v>
      </c>
      <c r="AB2270" s="2" t="s">
        <v>58</v>
      </c>
      <c r="AE2270" s="2">
        <f t="shared" si="220"/>
        <v>0</v>
      </c>
      <c r="AF2270" s="2">
        <v>8.1999999999999993</v>
      </c>
      <c r="AG2270" s="2">
        <v>13</v>
      </c>
      <c r="AI2270" s="2">
        <f t="shared" si="221"/>
        <v>0</v>
      </c>
      <c r="AJ2270" s="2">
        <f t="shared" si="222"/>
        <v>23</v>
      </c>
      <c r="AK2270" s="5">
        <f t="shared" si="219"/>
        <v>0.21904761904761905</v>
      </c>
    </row>
    <row r="2271" spans="1:37" x14ac:dyDescent="0.2">
      <c r="A2271" s="2">
        <v>2025</v>
      </c>
      <c r="B2271" s="2">
        <v>11</v>
      </c>
      <c r="C2271" s="2" t="s">
        <v>1987</v>
      </c>
      <c r="O2271" s="2" t="s">
        <v>73</v>
      </c>
      <c r="P2271" s="2" t="s">
        <v>1081</v>
      </c>
      <c r="Q2271" s="2" t="s">
        <v>383</v>
      </c>
      <c r="R2271" s="2">
        <v>1</v>
      </c>
      <c r="S2271" s="2">
        <v>240</v>
      </c>
      <c r="T2271" s="2">
        <v>55.2</v>
      </c>
      <c r="U2271" s="2">
        <v>295.2</v>
      </c>
      <c r="W2271" s="5">
        <f t="shared" si="223"/>
        <v>1</v>
      </c>
      <c r="Y2271" s="2" t="s">
        <v>3256</v>
      </c>
      <c r="Z2271" s="2" t="s">
        <v>76</v>
      </c>
      <c r="AA2271" s="2" t="s">
        <v>77</v>
      </c>
      <c r="AB2271" s="2" t="s">
        <v>78</v>
      </c>
      <c r="AE2271" s="2">
        <f t="shared" si="220"/>
        <v>0</v>
      </c>
      <c r="AI2271" s="2">
        <f t="shared" si="221"/>
        <v>0</v>
      </c>
      <c r="AJ2271" s="2">
        <f t="shared" si="222"/>
        <v>240</v>
      </c>
      <c r="AK2271" s="5">
        <f t="shared" si="219"/>
        <v>1</v>
      </c>
    </row>
    <row r="2272" spans="1:37" x14ac:dyDescent="0.2">
      <c r="A2272" s="2">
        <v>2025</v>
      </c>
      <c r="B2272" s="2">
        <v>11</v>
      </c>
      <c r="C2272" s="2" t="s">
        <v>1987</v>
      </c>
      <c r="O2272" s="2" t="s">
        <v>94</v>
      </c>
      <c r="P2272" s="2" t="s">
        <v>95</v>
      </c>
      <c r="Q2272" s="2" t="s">
        <v>96</v>
      </c>
      <c r="R2272" s="2">
        <v>1</v>
      </c>
      <c r="S2272" s="2">
        <v>1.1399999999999999</v>
      </c>
      <c r="T2272" s="2">
        <v>0.26219999999999999</v>
      </c>
      <c r="U2272" s="2">
        <v>1.4021999999999999</v>
      </c>
      <c r="V2272" s="2">
        <v>1.1399999999999999</v>
      </c>
      <c r="W2272" s="5">
        <f t="shared" si="223"/>
        <v>0</v>
      </c>
      <c r="Y2272" s="2" t="s">
        <v>3256</v>
      </c>
      <c r="Z2272" s="2" t="s">
        <v>97</v>
      </c>
      <c r="AA2272" s="2" t="s">
        <v>77</v>
      </c>
      <c r="AB2272" s="2" t="s">
        <v>94</v>
      </c>
      <c r="AE2272" s="2">
        <f t="shared" si="220"/>
        <v>0</v>
      </c>
      <c r="AI2272" s="2">
        <f t="shared" si="221"/>
        <v>0</v>
      </c>
      <c r="AJ2272" s="2">
        <f t="shared" si="222"/>
        <v>0</v>
      </c>
      <c r="AK2272" s="5">
        <f t="shared" si="219"/>
        <v>0</v>
      </c>
    </row>
    <row r="2273" spans="1:37" x14ac:dyDescent="0.2">
      <c r="A2273" s="2">
        <v>2025</v>
      </c>
      <c r="B2273" s="2">
        <v>11</v>
      </c>
      <c r="C2273" s="2" t="s">
        <v>2101</v>
      </c>
      <c r="L2273" s="2" t="s">
        <v>40</v>
      </c>
      <c r="O2273" s="2" t="s">
        <v>188</v>
      </c>
      <c r="P2273" s="2" t="s">
        <v>189</v>
      </c>
      <c r="Q2273" s="2" t="s">
        <v>190</v>
      </c>
      <c r="R2273" s="2">
        <v>1</v>
      </c>
      <c r="S2273" s="2">
        <v>138</v>
      </c>
      <c r="T2273" s="2">
        <v>31.74</v>
      </c>
      <c r="U2273" s="2">
        <v>169.74</v>
      </c>
      <c r="W2273" s="5">
        <f t="shared" si="223"/>
        <v>1</v>
      </c>
      <c r="Y2273" s="2" t="s">
        <v>118</v>
      </c>
      <c r="Z2273" s="2" t="s">
        <v>191</v>
      </c>
      <c r="AE2273" s="2">
        <f t="shared" si="220"/>
        <v>0</v>
      </c>
      <c r="AI2273" s="2">
        <f t="shared" si="221"/>
        <v>0</v>
      </c>
      <c r="AJ2273" s="2">
        <f t="shared" si="222"/>
        <v>138</v>
      </c>
      <c r="AK2273" s="5">
        <f t="shared" si="219"/>
        <v>1</v>
      </c>
    </row>
    <row r="2274" spans="1:37" x14ac:dyDescent="0.2">
      <c r="A2274" s="2">
        <v>2025</v>
      </c>
      <c r="B2274" s="2">
        <v>11</v>
      </c>
      <c r="C2274" s="2" t="s">
        <v>2101</v>
      </c>
      <c r="L2274" s="2" t="s">
        <v>40</v>
      </c>
      <c r="O2274" s="2" t="s">
        <v>188</v>
      </c>
      <c r="P2274" s="2" t="s">
        <v>192</v>
      </c>
      <c r="Q2274" s="2" t="s">
        <v>191</v>
      </c>
      <c r="R2274" s="2">
        <v>2</v>
      </c>
      <c r="S2274" s="2">
        <v>100</v>
      </c>
      <c r="T2274" s="2">
        <v>23</v>
      </c>
      <c r="U2274" s="2">
        <v>123</v>
      </c>
      <c r="V2274" s="2">
        <f>S2274*50%</f>
        <v>50</v>
      </c>
      <c r="W2274" s="5">
        <f t="shared" si="223"/>
        <v>0.5</v>
      </c>
      <c r="Y2274" s="2" t="s">
        <v>118</v>
      </c>
      <c r="Z2274" s="2" t="s">
        <v>191</v>
      </c>
      <c r="AE2274" s="2">
        <f t="shared" si="220"/>
        <v>0</v>
      </c>
      <c r="AI2274" s="2">
        <f t="shared" si="221"/>
        <v>0</v>
      </c>
      <c r="AJ2274" s="2">
        <f t="shared" si="222"/>
        <v>50</v>
      </c>
      <c r="AK2274" s="5">
        <f t="shared" si="219"/>
        <v>0.5</v>
      </c>
    </row>
    <row r="2275" spans="1:37" x14ac:dyDescent="0.2">
      <c r="A2275" s="2">
        <v>2025</v>
      </c>
      <c r="B2275" s="2">
        <v>11</v>
      </c>
      <c r="C2275" s="2" t="s">
        <v>1133</v>
      </c>
      <c r="D2275" s="2" t="s">
        <v>109</v>
      </c>
      <c r="E2275" s="2" t="s">
        <v>39</v>
      </c>
      <c r="F2275" s="2">
        <v>515742279</v>
      </c>
      <c r="G2275" s="2" t="s">
        <v>41</v>
      </c>
      <c r="H2275" s="2" t="s">
        <v>2316</v>
      </c>
      <c r="I2275" s="2" t="s">
        <v>2317</v>
      </c>
      <c r="J2275" s="2">
        <v>965790183</v>
      </c>
      <c r="K2275" s="2" t="s">
        <v>178</v>
      </c>
      <c r="L2275" s="2" t="s">
        <v>40</v>
      </c>
      <c r="O2275" s="2" t="s">
        <v>115</v>
      </c>
      <c r="P2275" s="2" t="s">
        <v>375</v>
      </c>
      <c r="Q2275" s="2" t="s">
        <v>376</v>
      </c>
      <c r="R2275" s="2">
        <v>2</v>
      </c>
      <c r="S2275" s="2">
        <v>83.92</v>
      </c>
      <c r="T2275" s="2">
        <v>19.301600000000001</v>
      </c>
      <c r="U2275" s="2">
        <v>103.2216</v>
      </c>
      <c r="V2275" s="2">
        <f>23.0422*R2275</f>
        <v>46.084400000000002</v>
      </c>
      <c r="W2275" s="5">
        <f t="shared" si="223"/>
        <v>0.45085319351763581</v>
      </c>
      <c r="Y2275" s="2" t="s">
        <v>118</v>
      </c>
      <c r="Z2275" s="2" t="s">
        <v>119</v>
      </c>
      <c r="AA2275" s="2" t="s">
        <v>120</v>
      </c>
      <c r="AB2275" s="2" t="s">
        <v>115</v>
      </c>
      <c r="AE2275" s="2">
        <f t="shared" si="220"/>
        <v>0</v>
      </c>
      <c r="AI2275" s="2">
        <f t="shared" si="221"/>
        <v>0</v>
      </c>
      <c r="AJ2275" s="2">
        <f t="shared" si="222"/>
        <v>37.835599999999999</v>
      </c>
      <c r="AK2275" s="5">
        <f t="shared" si="219"/>
        <v>0.45085319351763581</v>
      </c>
    </row>
    <row r="2276" spans="1:37" x14ac:dyDescent="0.2">
      <c r="A2276" s="2">
        <v>2025</v>
      </c>
      <c r="B2276" s="2">
        <v>11</v>
      </c>
      <c r="C2276" s="2" t="s">
        <v>2102</v>
      </c>
      <c r="L2276" s="2" t="s">
        <v>40</v>
      </c>
      <c r="O2276" s="2" t="s">
        <v>188</v>
      </c>
      <c r="P2276" s="2" t="s">
        <v>189</v>
      </c>
      <c r="Q2276" s="2" t="s">
        <v>190</v>
      </c>
      <c r="R2276" s="2">
        <v>1</v>
      </c>
      <c r="S2276" s="2">
        <v>50</v>
      </c>
      <c r="T2276" s="2">
        <v>11.5</v>
      </c>
      <c r="U2276" s="2">
        <v>61.5</v>
      </c>
      <c r="W2276" s="5">
        <f t="shared" si="223"/>
        <v>1</v>
      </c>
      <c r="Y2276" s="2" t="s">
        <v>118</v>
      </c>
      <c r="Z2276" s="2" t="s">
        <v>191</v>
      </c>
      <c r="AE2276" s="2">
        <f t="shared" si="220"/>
        <v>0</v>
      </c>
      <c r="AI2276" s="2">
        <f t="shared" si="221"/>
        <v>0</v>
      </c>
      <c r="AJ2276" s="2">
        <f t="shared" si="222"/>
        <v>50</v>
      </c>
      <c r="AK2276" s="5">
        <f t="shared" si="219"/>
        <v>1</v>
      </c>
    </row>
    <row r="2277" spans="1:37" x14ac:dyDescent="0.2">
      <c r="A2277" s="2">
        <v>2025</v>
      </c>
      <c r="B2277" s="2">
        <v>11</v>
      </c>
      <c r="C2277" s="2" t="s">
        <v>2102</v>
      </c>
      <c r="L2277" s="2" t="s">
        <v>40</v>
      </c>
      <c r="O2277" s="2" t="s">
        <v>188</v>
      </c>
      <c r="P2277" s="2" t="s">
        <v>192</v>
      </c>
      <c r="Q2277" s="2" t="s">
        <v>191</v>
      </c>
      <c r="R2277" s="2">
        <v>1</v>
      </c>
      <c r="S2277" s="2">
        <v>50</v>
      </c>
      <c r="T2277" s="2">
        <v>11.5</v>
      </c>
      <c r="U2277" s="2">
        <v>61.5</v>
      </c>
      <c r="V2277" s="2">
        <f>S2277*50%</f>
        <v>25</v>
      </c>
      <c r="W2277" s="5">
        <f t="shared" si="223"/>
        <v>0.5</v>
      </c>
      <c r="Y2277" s="2" t="s">
        <v>118</v>
      </c>
      <c r="Z2277" s="2" t="s">
        <v>191</v>
      </c>
      <c r="AE2277" s="2">
        <f t="shared" si="220"/>
        <v>0</v>
      </c>
      <c r="AI2277" s="2">
        <f t="shared" si="221"/>
        <v>0</v>
      </c>
      <c r="AJ2277" s="2">
        <f t="shared" si="222"/>
        <v>25</v>
      </c>
      <c r="AK2277" s="5">
        <f t="shared" si="219"/>
        <v>0.5</v>
      </c>
    </row>
    <row r="2278" spans="1:37" x14ac:dyDescent="0.2">
      <c r="A2278" s="2">
        <v>2025</v>
      </c>
      <c r="B2278" s="2">
        <v>11</v>
      </c>
      <c r="C2278" s="2" t="s">
        <v>935</v>
      </c>
      <c r="D2278" s="2" t="s">
        <v>38</v>
      </c>
      <c r="E2278" s="2" t="s">
        <v>39</v>
      </c>
      <c r="F2278" s="2" t="s">
        <v>936</v>
      </c>
      <c r="G2278" s="2" t="s">
        <v>41</v>
      </c>
      <c r="H2278" s="2" t="s">
        <v>632</v>
      </c>
      <c r="I2278" s="2" t="s">
        <v>937</v>
      </c>
      <c r="K2278" s="2" t="s">
        <v>632</v>
      </c>
      <c r="L2278" s="2" t="s">
        <v>41</v>
      </c>
      <c r="O2278" s="2" t="s">
        <v>43</v>
      </c>
      <c r="P2278" s="2" t="s">
        <v>49</v>
      </c>
      <c r="Q2278" s="2" t="s">
        <v>50</v>
      </c>
      <c r="R2278" s="2">
        <v>8</v>
      </c>
      <c r="S2278" s="2">
        <v>96</v>
      </c>
      <c r="T2278" s="2">
        <v>22.08</v>
      </c>
      <c r="U2278" s="2">
        <v>118.08</v>
      </c>
      <c r="V2278" s="2">
        <f>6.6267*R2278</f>
        <v>53.013599999999997</v>
      </c>
      <c r="W2278" s="5">
        <f t="shared" si="223"/>
        <v>0.44777500000000003</v>
      </c>
      <c r="Y2278" s="2" t="s">
        <v>3256</v>
      </c>
      <c r="Z2278" s="2" t="s">
        <v>46</v>
      </c>
      <c r="AA2278" s="2" t="s">
        <v>47</v>
      </c>
      <c r="AB2278" s="2" t="s">
        <v>48</v>
      </c>
      <c r="AE2278" s="2">
        <f t="shared" si="220"/>
        <v>0</v>
      </c>
      <c r="AF2278" s="2">
        <v>6.6266999999999996</v>
      </c>
      <c r="AG2278" s="2">
        <v>12</v>
      </c>
      <c r="AI2278" s="2">
        <f t="shared" si="221"/>
        <v>0</v>
      </c>
      <c r="AJ2278" s="2">
        <f t="shared" si="222"/>
        <v>42.986400000000003</v>
      </c>
      <c r="AK2278" s="5">
        <f t="shared" si="219"/>
        <v>0.44777500000000003</v>
      </c>
    </row>
    <row r="2279" spans="1:37" x14ac:dyDescent="0.2">
      <c r="A2279" s="2">
        <v>2025</v>
      </c>
      <c r="B2279" s="2">
        <v>11</v>
      </c>
      <c r="C2279" s="2" t="s">
        <v>935</v>
      </c>
      <c r="D2279" s="2" t="s">
        <v>38</v>
      </c>
      <c r="E2279" s="2" t="s">
        <v>39</v>
      </c>
      <c r="F2279" s="2" t="s">
        <v>936</v>
      </c>
      <c r="G2279" s="2" t="s">
        <v>41</v>
      </c>
      <c r="H2279" s="2" t="s">
        <v>632</v>
      </c>
      <c r="I2279" s="2" t="s">
        <v>937</v>
      </c>
      <c r="K2279" s="2" t="s">
        <v>632</v>
      </c>
      <c r="L2279" s="2" t="s">
        <v>41</v>
      </c>
      <c r="O2279" s="2" t="s">
        <v>43</v>
      </c>
      <c r="P2279" s="2" t="s">
        <v>161</v>
      </c>
      <c r="Q2279" s="2" t="s">
        <v>162</v>
      </c>
      <c r="R2279" s="2">
        <v>1</v>
      </c>
      <c r="S2279" s="2">
        <v>7.8</v>
      </c>
      <c r="T2279" s="2">
        <v>1.794</v>
      </c>
      <c r="U2279" s="2">
        <v>9.5939999999999994</v>
      </c>
      <c r="V2279" s="2">
        <f>3.7358*R2279</f>
        <v>3.7357999999999998</v>
      </c>
      <c r="W2279" s="5">
        <f t="shared" si="223"/>
        <v>0.52105128205128204</v>
      </c>
      <c r="Y2279" s="2" t="s">
        <v>3256</v>
      </c>
      <c r="Z2279" s="2" t="s">
        <v>46</v>
      </c>
      <c r="AA2279" s="2" t="s">
        <v>47</v>
      </c>
      <c r="AB2279" s="2" t="s">
        <v>48</v>
      </c>
      <c r="AE2279" s="2">
        <f t="shared" si="220"/>
        <v>0</v>
      </c>
      <c r="AF2279" s="2">
        <v>3.7357999999999998</v>
      </c>
      <c r="AG2279" s="2">
        <v>9</v>
      </c>
      <c r="AI2279" s="2">
        <f t="shared" si="221"/>
        <v>0</v>
      </c>
      <c r="AJ2279" s="2">
        <f t="shared" si="222"/>
        <v>4.0641999999999996</v>
      </c>
      <c r="AK2279" s="5">
        <f t="shared" si="219"/>
        <v>0.52105128205128204</v>
      </c>
    </row>
    <row r="2280" spans="1:37" x14ac:dyDescent="0.2">
      <c r="A2280" s="2">
        <v>2025</v>
      </c>
      <c r="B2280" s="2">
        <v>11</v>
      </c>
      <c r="C2280" s="2" t="s">
        <v>935</v>
      </c>
      <c r="D2280" s="2" t="s">
        <v>38</v>
      </c>
      <c r="E2280" s="2" t="s">
        <v>39</v>
      </c>
      <c r="F2280" s="2" t="s">
        <v>936</v>
      </c>
      <c r="G2280" s="2" t="s">
        <v>41</v>
      </c>
      <c r="H2280" s="2" t="s">
        <v>632</v>
      </c>
      <c r="I2280" s="2" t="s">
        <v>937</v>
      </c>
      <c r="K2280" s="2" t="s">
        <v>632</v>
      </c>
      <c r="L2280" s="2" t="s">
        <v>41</v>
      </c>
      <c r="O2280" s="2" t="s">
        <v>43</v>
      </c>
      <c r="P2280" s="2" t="s">
        <v>53</v>
      </c>
      <c r="Q2280" s="2" t="s">
        <v>54</v>
      </c>
      <c r="R2280" s="2">
        <v>2</v>
      </c>
      <c r="S2280" s="2">
        <v>19.2</v>
      </c>
      <c r="T2280" s="2">
        <v>4.4160000000000004</v>
      </c>
      <c r="U2280" s="2">
        <v>23.616</v>
      </c>
      <c r="V2280" s="2">
        <f>5.2973*R2280</f>
        <v>10.5946</v>
      </c>
      <c r="W2280" s="5">
        <f t="shared" si="223"/>
        <v>0.44819791666666664</v>
      </c>
      <c r="Y2280" s="2" t="s">
        <v>3256</v>
      </c>
      <c r="Z2280" s="2" t="s">
        <v>46</v>
      </c>
      <c r="AA2280" s="2" t="s">
        <v>47</v>
      </c>
      <c r="AB2280" s="2" t="s">
        <v>48</v>
      </c>
      <c r="AE2280" s="2">
        <f t="shared" si="220"/>
        <v>0</v>
      </c>
      <c r="AF2280" s="2">
        <v>5.2972999999999999</v>
      </c>
      <c r="AG2280" s="2">
        <v>10.8</v>
      </c>
      <c r="AI2280" s="2">
        <f t="shared" si="221"/>
        <v>0</v>
      </c>
      <c r="AJ2280" s="2">
        <f t="shared" si="222"/>
        <v>8.6053999999999995</v>
      </c>
      <c r="AK2280" s="5">
        <f t="shared" si="219"/>
        <v>0.44819791666666664</v>
      </c>
    </row>
    <row r="2281" spans="1:37" x14ac:dyDescent="0.2">
      <c r="A2281" s="2">
        <v>2025</v>
      </c>
      <c r="B2281" s="2">
        <v>11</v>
      </c>
      <c r="C2281" s="2" t="s">
        <v>935</v>
      </c>
      <c r="D2281" s="2" t="s">
        <v>38</v>
      </c>
      <c r="E2281" s="2" t="s">
        <v>39</v>
      </c>
      <c r="F2281" s="2" t="s">
        <v>936</v>
      </c>
      <c r="G2281" s="2" t="s">
        <v>41</v>
      </c>
      <c r="H2281" s="2" t="s">
        <v>632</v>
      </c>
      <c r="I2281" s="2" t="s">
        <v>937</v>
      </c>
      <c r="K2281" s="2" t="s">
        <v>632</v>
      </c>
      <c r="L2281" s="2" t="s">
        <v>41</v>
      </c>
      <c r="O2281" s="2" t="s">
        <v>43</v>
      </c>
      <c r="P2281" s="2" t="s">
        <v>233</v>
      </c>
      <c r="Q2281" s="2" t="s">
        <v>234</v>
      </c>
      <c r="R2281" s="2">
        <v>1</v>
      </c>
      <c r="S2281" s="2">
        <v>12</v>
      </c>
      <c r="T2281" s="2">
        <v>2.76</v>
      </c>
      <c r="U2281" s="2">
        <v>14.76</v>
      </c>
      <c r="V2281" s="2">
        <v>5.9066999999999998</v>
      </c>
      <c r="W2281" s="5">
        <f t="shared" si="223"/>
        <v>0.50777499999999998</v>
      </c>
      <c r="Y2281" s="2" t="s">
        <v>3256</v>
      </c>
      <c r="Z2281" s="2" t="s">
        <v>46</v>
      </c>
      <c r="AA2281" s="2" t="s">
        <v>57</v>
      </c>
      <c r="AB2281" s="2" t="s">
        <v>58</v>
      </c>
      <c r="AE2281" s="2">
        <f t="shared" si="220"/>
        <v>0</v>
      </c>
      <c r="AF2281" s="2">
        <v>5.9066999999999998</v>
      </c>
      <c r="AG2281" s="2">
        <v>12.6</v>
      </c>
      <c r="AI2281" s="2">
        <f t="shared" si="221"/>
        <v>0</v>
      </c>
      <c r="AJ2281" s="2">
        <f t="shared" si="222"/>
        <v>6.0933000000000002</v>
      </c>
      <c r="AK2281" s="5">
        <f t="shared" si="219"/>
        <v>0.50777499999999998</v>
      </c>
    </row>
    <row r="2282" spans="1:37" x14ac:dyDescent="0.2">
      <c r="A2282" s="2">
        <v>2025</v>
      </c>
      <c r="B2282" s="2">
        <v>11</v>
      </c>
      <c r="C2282" s="2" t="s">
        <v>935</v>
      </c>
      <c r="D2282" s="2" t="s">
        <v>38</v>
      </c>
      <c r="E2282" s="2" t="s">
        <v>39</v>
      </c>
      <c r="F2282" s="2" t="s">
        <v>936</v>
      </c>
      <c r="G2282" s="2" t="s">
        <v>41</v>
      </c>
      <c r="H2282" s="2" t="s">
        <v>632</v>
      </c>
      <c r="I2282" s="2" t="s">
        <v>937</v>
      </c>
      <c r="K2282" s="2" t="s">
        <v>632</v>
      </c>
      <c r="L2282" s="2" t="s">
        <v>41</v>
      </c>
      <c r="O2282" s="2" t="s">
        <v>43</v>
      </c>
      <c r="P2282" s="2" t="s">
        <v>235</v>
      </c>
      <c r="Q2282" s="2" t="s">
        <v>236</v>
      </c>
      <c r="R2282" s="2">
        <v>1</v>
      </c>
      <c r="S2282" s="2">
        <v>13.2</v>
      </c>
      <c r="T2282" s="2">
        <v>3.036</v>
      </c>
      <c r="U2282" s="2">
        <v>16.236000000000001</v>
      </c>
      <c r="V2282" s="2">
        <v>7.2217000000000002</v>
      </c>
      <c r="W2282" s="5">
        <f t="shared" si="223"/>
        <v>0.45290151515151511</v>
      </c>
      <c r="Y2282" s="2" t="s">
        <v>3256</v>
      </c>
      <c r="Z2282" s="2" t="s">
        <v>46</v>
      </c>
      <c r="AA2282" s="2" t="s">
        <v>57</v>
      </c>
      <c r="AB2282" s="2" t="s">
        <v>58</v>
      </c>
      <c r="AE2282" s="2">
        <f t="shared" si="220"/>
        <v>0</v>
      </c>
      <c r="AF2282" s="2">
        <v>7.2217000000000002</v>
      </c>
      <c r="AG2282" s="2">
        <v>14.4</v>
      </c>
      <c r="AI2282" s="2">
        <f t="shared" si="221"/>
        <v>0</v>
      </c>
      <c r="AJ2282" s="2">
        <f t="shared" si="222"/>
        <v>5.9782999999999991</v>
      </c>
      <c r="AK2282" s="5">
        <f t="shared" si="219"/>
        <v>0.45290151515151511</v>
      </c>
    </row>
    <row r="2283" spans="1:37" x14ac:dyDescent="0.2">
      <c r="A2283" s="2">
        <v>2025</v>
      </c>
      <c r="B2283" s="2">
        <v>11</v>
      </c>
      <c r="C2283" s="2" t="s">
        <v>935</v>
      </c>
      <c r="D2283" s="2" t="s">
        <v>38</v>
      </c>
      <c r="E2283" s="2" t="s">
        <v>39</v>
      </c>
      <c r="F2283" s="2" t="s">
        <v>936</v>
      </c>
      <c r="G2283" s="2" t="s">
        <v>41</v>
      </c>
      <c r="H2283" s="2" t="s">
        <v>632</v>
      </c>
      <c r="I2283" s="2" t="s">
        <v>937</v>
      </c>
      <c r="K2283" s="2" t="s">
        <v>632</v>
      </c>
      <c r="L2283" s="2" t="s">
        <v>41</v>
      </c>
      <c r="O2283" s="2" t="s">
        <v>43</v>
      </c>
      <c r="P2283" s="2" t="s">
        <v>239</v>
      </c>
      <c r="Q2283" s="2" t="s">
        <v>240</v>
      </c>
      <c r="R2283" s="2">
        <v>1</v>
      </c>
      <c r="S2283" s="2">
        <v>19.8</v>
      </c>
      <c r="T2283" s="2">
        <v>4.5540000000000003</v>
      </c>
      <c r="U2283" s="2">
        <v>24.353999999999999</v>
      </c>
      <c r="W2283" s="5">
        <f t="shared" si="223"/>
        <v>1</v>
      </c>
      <c r="Y2283" s="2" t="s">
        <v>3256</v>
      </c>
      <c r="Z2283" s="2" t="s">
        <v>46</v>
      </c>
      <c r="AA2283" s="2" t="s">
        <v>57</v>
      </c>
      <c r="AB2283" s="2" t="s">
        <v>58</v>
      </c>
      <c r="AE2283" s="2">
        <f t="shared" si="220"/>
        <v>0</v>
      </c>
      <c r="AI2283" s="2">
        <f t="shared" si="221"/>
        <v>0</v>
      </c>
      <c r="AJ2283" s="2">
        <f t="shared" si="222"/>
        <v>19.8</v>
      </c>
      <c r="AK2283" s="5">
        <f t="shared" si="219"/>
        <v>1</v>
      </c>
    </row>
    <row r="2284" spans="1:37" x14ac:dyDescent="0.2">
      <c r="A2284" s="2">
        <v>2025</v>
      </c>
      <c r="B2284" s="2">
        <v>11</v>
      </c>
      <c r="C2284" s="2" t="s">
        <v>935</v>
      </c>
      <c r="D2284" s="2" t="s">
        <v>38</v>
      </c>
      <c r="E2284" s="2" t="s">
        <v>39</v>
      </c>
      <c r="F2284" s="2" t="s">
        <v>936</v>
      </c>
      <c r="G2284" s="2" t="s">
        <v>41</v>
      </c>
      <c r="H2284" s="2" t="s">
        <v>632</v>
      </c>
      <c r="I2284" s="2" t="s">
        <v>937</v>
      </c>
      <c r="K2284" s="2" t="s">
        <v>632</v>
      </c>
      <c r="L2284" s="2" t="s">
        <v>41</v>
      </c>
      <c r="O2284" s="2" t="s">
        <v>43</v>
      </c>
      <c r="P2284" s="2" t="s">
        <v>241</v>
      </c>
      <c r="Q2284" s="2" t="s">
        <v>242</v>
      </c>
      <c r="R2284" s="2">
        <v>1</v>
      </c>
      <c r="S2284" s="2">
        <v>24</v>
      </c>
      <c r="T2284" s="2">
        <v>5.52</v>
      </c>
      <c r="U2284" s="2">
        <v>29.52</v>
      </c>
      <c r="W2284" s="5">
        <f t="shared" si="223"/>
        <v>1</v>
      </c>
      <c r="Y2284" s="2" t="s">
        <v>3256</v>
      </c>
      <c r="Z2284" s="2" t="s">
        <v>46</v>
      </c>
      <c r="AA2284" s="2" t="s">
        <v>57</v>
      </c>
      <c r="AB2284" s="2" t="s">
        <v>58</v>
      </c>
      <c r="AE2284" s="2">
        <f t="shared" si="220"/>
        <v>0</v>
      </c>
      <c r="AI2284" s="2">
        <f t="shared" si="221"/>
        <v>0</v>
      </c>
      <c r="AJ2284" s="2">
        <f t="shared" si="222"/>
        <v>24</v>
      </c>
      <c r="AK2284" s="5">
        <f t="shared" si="219"/>
        <v>1</v>
      </c>
    </row>
    <row r="2285" spans="1:37" x14ac:dyDescent="0.2">
      <c r="A2285" s="2">
        <v>2025</v>
      </c>
      <c r="B2285" s="2">
        <v>11</v>
      </c>
      <c r="C2285" s="2" t="s">
        <v>935</v>
      </c>
      <c r="D2285" s="2" t="s">
        <v>38</v>
      </c>
      <c r="E2285" s="2" t="s">
        <v>39</v>
      </c>
      <c r="F2285" s="2" t="s">
        <v>936</v>
      </c>
      <c r="G2285" s="2" t="s">
        <v>41</v>
      </c>
      <c r="H2285" s="2" t="s">
        <v>632</v>
      </c>
      <c r="I2285" s="2" t="s">
        <v>937</v>
      </c>
      <c r="K2285" s="2" t="s">
        <v>632</v>
      </c>
      <c r="L2285" s="2" t="s">
        <v>41</v>
      </c>
      <c r="O2285" s="2" t="s">
        <v>43</v>
      </c>
      <c r="P2285" s="2" t="s">
        <v>243</v>
      </c>
      <c r="Q2285" s="2" t="s">
        <v>244</v>
      </c>
      <c r="R2285" s="2">
        <v>1</v>
      </c>
      <c r="S2285" s="2">
        <v>28.8</v>
      </c>
      <c r="T2285" s="2">
        <v>6.6240000000000014</v>
      </c>
      <c r="U2285" s="2">
        <v>35.423999999999999</v>
      </c>
      <c r="W2285" s="5">
        <f t="shared" si="223"/>
        <v>1</v>
      </c>
      <c r="Y2285" s="2" t="s">
        <v>3256</v>
      </c>
      <c r="Z2285" s="2" t="s">
        <v>46</v>
      </c>
      <c r="AA2285" s="2" t="s">
        <v>57</v>
      </c>
      <c r="AB2285" s="2" t="s">
        <v>58</v>
      </c>
      <c r="AE2285" s="2">
        <f t="shared" si="220"/>
        <v>0</v>
      </c>
      <c r="AI2285" s="2">
        <f t="shared" si="221"/>
        <v>0</v>
      </c>
      <c r="AJ2285" s="2">
        <f t="shared" si="222"/>
        <v>28.8</v>
      </c>
      <c r="AK2285" s="5">
        <f t="shared" si="219"/>
        <v>1</v>
      </c>
    </row>
    <row r="2286" spans="1:37" x14ac:dyDescent="0.2">
      <c r="A2286" s="2">
        <v>2025</v>
      </c>
      <c r="B2286" s="2">
        <v>11</v>
      </c>
      <c r="C2286" s="2" t="s">
        <v>935</v>
      </c>
      <c r="D2286" s="2" t="s">
        <v>38</v>
      </c>
      <c r="E2286" s="2" t="s">
        <v>39</v>
      </c>
      <c r="F2286" s="2" t="s">
        <v>936</v>
      </c>
      <c r="G2286" s="2" t="s">
        <v>41</v>
      </c>
      <c r="H2286" s="2" t="s">
        <v>632</v>
      </c>
      <c r="I2286" s="2" t="s">
        <v>937</v>
      </c>
      <c r="K2286" s="2" t="s">
        <v>632</v>
      </c>
      <c r="L2286" s="2" t="s">
        <v>41</v>
      </c>
      <c r="O2286" s="2" t="s">
        <v>43</v>
      </c>
      <c r="P2286" s="2" t="s">
        <v>245</v>
      </c>
      <c r="Q2286" s="2" t="s">
        <v>246</v>
      </c>
      <c r="R2286" s="2">
        <v>1</v>
      </c>
      <c r="S2286" s="2">
        <v>16.8</v>
      </c>
      <c r="T2286" s="2">
        <v>3.8639999999999999</v>
      </c>
      <c r="U2286" s="2">
        <v>20.664000000000001</v>
      </c>
      <c r="W2286" s="5">
        <f t="shared" si="223"/>
        <v>1</v>
      </c>
      <c r="Y2286" s="2" t="s">
        <v>3256</v>
      </c>
      <c r="Z2286" s="2" t="s">
        <v>46</v>
      </c>
      <c r="AA2286" s="2" t="s">
        <v>57</v>
      </c>
      <c r="AB2286" s="2" t="s">
        <v>58</v>
      </c>
      <c r="AE2286" s="2">
        <f t="shared" si="220"/>
        <v>0</v>
      </c>
      <c r="AI2286" s="2">
        <f t="shared" si="221"/>
        <v>0</v>
      </c>
      <c r="AJ2286" s="2">
        <f t="shared" si="222"/>
        <v>16.8</v>
      </c>
      <c r="AK2286" s="5">
        <f t="shared" si="219"/>
        <v>1</v>
      </c>
    </row>
    <row r="2287" spans="1:37" x14ac:dyDescent="0.2">
      <c r="A2287" s="2">
        <v>2025</v>
      </c>
      <c r="B2287" s="2">
        <v>11</v>
      </c>
      <c r="C2287" s="2" t="s">
        <v>935</v>
      </c>
      <c r="D2287" s="2" t="s">
        <v>38</v>
      </c>
      <c r="E2287" s="2" t="s">
        <v>39</v>
      </c>
      <c r="F2287" s="2" t="s">
        <v>936</v>
      </c>
      <c r="G2287" s="2" t="s">
        <v>41</v>
      </c>
      <c r="H2287" s="2" t="s">
        <v>632</v>
      </c>
      <c r="I2287" s="2" t="s">
        <v>937</v>
      </c>
      <c r="K2287" s="2" t="s">
        <v>632</v>
      </c>
      <c r="L2287" s="2" t="s">
        <v>41</v>
      </c>
      <c r="O2287" s="2" t="s">
        <v>43</v>
      </c>
      <c r="P2287" s="2" t="s">
        <v>247</v>
      </c>
      <c r="Q2287" s="2" t="s">
        <v>248</v>
      </c>
      <c r="R2287" s="2">
        <v>1</v>
      </c>
      <c r="S2287" s="2">
        <v>19.2</v>
      </c>
      <c r="T2287" s="2">
        <v>4.4160000000000004</v>
      </c>
      <c r="U2287" s="2">
        <v>23.616</v>
      </c>
      <c r="W2287" s="5">
        <f t="shared" si="223"/>
        <v>1</v>
      </c>
      <c r="Y2287" s="2" t="s">
        <v>3256</v>
      </c>
      <c r="Z2287" s="2" t="s">
        <v>46</v>
      </c>
      <c r="AA2287" s="2" t="s">
        <v>57</v>
      </c>
      <c r="AB2287" s="2" t="s">
        <v>58</v>
      </c>
      <c r="AE2287" s="2">
        <f t="shared" si="220"/>
        <v>0</v>
      </c>
      <c r="AI2287" s="2">
        <f t="shared" si="221"/>
        <v>0</v>
      </c>
      <c r="AJ2287" s="2">
        <f t="shared" si="222"/>
        <v>19.2</v>
      </c>
      <c r="AK2287" s="5">
        <f t="shared" si="219"/>
        <v>1</v>
      </c>
    </row>
    <row r="2288" spans="1:37" x14ac:dyDescent="0.2">
      <c r="A2288" s="2">
        <v>2025</v>
      </c>
      <c r="B2288" s="2">
        <v>11</v>
      </c>
      <c r="C2288" s="2" t="s">
        <v>935</v>
      </c>
      <c r="D2288" s="2" t="s">
        <v>38</v>
      </c>
      <c r="E2288" s="2" t="s">
        <v>39</v>
      </c>
      <c r="F2288" s="2" t="s">
        <v>936</v>
      </c>
      <c r="G2288" s="2" t="s">
        <v>41</v>
      </c>
      <c r="H2288" s="2" t="s">
        <v>632</v>
      </c>
      <c r="I2288" s="2" t="s">
        <v>937</v>
      </c>
      <c r="K2288" s="2" t="s">
        <v>632</v>
      </c>
      <c r="L2288" s="2" t="s">
        <v>41</v>
      </c>
      <c r="O2288" s="2" t="s">
        <v>43</v>
      </c>
      <c r="P2288" s="2" t="s">
        <v>286</v>
      </c>
      <c r="Q2288" s="2" t="s">
        <v>287</v>
      </c>
      <c r="R2288" s="2">
        <v>1</v>
      </c>
      <c r="S2288" s="2">
        <v>22.2</v>
      </c>
      <c r="T2288" s="2">
        <v>5.1059999999999999</v>
      </c>
      <c r="U2288" s="2">
        <v>27.306000000000001</v>
      </c>
      <c r="W2288" s="5">
        <f t="shared" si="223"/>
        <v>1</v>
      </c>
      <c r="Y2288" s="2" t="s">
        <v>3256</v>
      </c>
      <c r="Z2288" s="2" t="s">
        <v>46</v>
      </c>
      <c r="AA2288" s="2" t="s">
        <v>57</v>
      </c>
      <c r="AB2288" s="2" t="s">
        <v>58</v>
      </c>
      <c r="AE2288" s="2">
        <f t="shared" si="220"/>
        <v>0</v>
      </c>
      <c r="AI2288" s="2">
        <f t="shared" si="221"/>
        <v>0</v>
      </c>
      <c r="AJ2288" s="2">
        <f t="shared" si="222"/>
        <v>22.2</v>
      </c>
      <c r="AK2288" s="5">
        <f t="shared" si="219"/>
        <v>1</v>
      </c>
    </row>
    <row r="2289" spans="1:37" x14ac:dyDescent="0.2">
      <c r="A2289" s="2">
        <v>2025</v>
      </c>
      <c r="B2289" s="2">
        <v>11</v>
      </c>
      <c r="C2289" s="2" t="s">
        <v>935</v>
      </c>
      <c r="D2289" s="2" t="s">
        <v>38</v>
      </c>
      <c r="E2289" s="2" t="s">
        <v>39</v>
      </c>
      <c r="F2289" s="2" t="s">
        <v>936</v>
      </c>
      <c r="G2289" s="2" t="s">
        <v>41</v>
      </c>
      <c r="H2289" s="2" t="s">
        <v>632</v>
      </c>
      <c r="I2289" s="2" t="s">
        <v>937</v>
      </c>
      <c r="K2289" s="2" t="s">
        <v>632</v>
      </c>
      <c r="L2289" s="2" t="s">
        <v>41</v>
      </c>
      <c r="O2289" s="2" t="s">
        <v>43</v>
      </c>
      <c r="P2289" s="2" t="s">
        <v>62</v>
      </c>
      <c r="Q2289" s="2" t="s">
        <v>63</v>
      </c>
      <c r="R2289" s="2">
        <v>1000</v>
      </c>
      <c r="S2289" s="2">
        <v>105</v>
      </c>
      <c r="T2289" s="2">
        <v>24.15</v>
      </c>
      <c r="U2289" s="2">
        <v>129.15</v>
      </c>
      <c r="V2289" s="2">
        <f>0.082*R2289</f>
        <v>82</v>
      </c>
      <c r="W2289" s="5">
        <f t="shared" si="223"/>
        <v>0.21904761904761905</v>
      </c>
      <c r="Y2289" s="2" t="s">
        <v>3256</v>
      </c>
      <c r="Z2289" s="2" t="s">
        <v>46</v>
      </c>
      <c r="AA2289" s="2" t="s">
        <v>61</v>
      </c>
      <c r="AB2289" s="2" t="s">
        <v>58</v>
      </c>
      <c r="AE2289" s="2">
        <f t="shared" si="220"/>
        <v>0</v>
      </c>
      <c r="AF2289" s="2">
        <v>8.1999999999999993</v>
      </c>
      <c r="AG2289" s="2">
        <v>13</v>
      </c>
      <c r="AI2289" s="2">
        <f t="shared" si="221"/>
        <v>0</v>
      </c>
      <c r="AJ2289" s="2">
        <f t="shared" si="222"/>
        <v>23</v>
      </c>
      <c r="AK2289" s="5">
        <f t="shared" si="219"/>
        <v>0.21904761904761905</v>
      </c>
    </row>
    <row r="2290" spans="1:37" x14ac:dyDescent="0.2">
      <c r="A2290" s="2">
        <v>2025</v>
      </c>
      <c r="B2290" s="2">
        <v>11</v>
      </c>
      <c r="C2290" s="2" t="s">
        <v>935</v>
      </c>
      <c r="D2290" s="2" t="s">
        <v>38</v>
      </c>
      <c r="E2290" s="2" t="s">
        <v>39</v>
      </c>
      <c r="F2290" s="2" t="s">
        <v>936</v>
      </c>
      <c r="G2290" s="2" t="s">
        <v>41</v>
      </c>
      <c r="H2290" s="2" t="s">
        <v>632</v>
      </c>
      <c r="I2290" s="2" t="s">
        <v>937</v>
      </c>
      <c r="K2290" s="2" t="s">
        <v>632</v>
      </c>
      <c r="L2290" s="2" t="s">
        <v>41</v>
      </c>
      <c r="O2290" s="2" t="s">
        <v>43</v>
      </c>
      <c r="P2290" s="2" t="s">
        <v>259</v>
      </c>
      <c r="Q2290" s="2" t="s">
        <v>260</v>
      </c>
      <c r="R2290" s="2">
        <v>1</v>
      </c>
      <c r="S2290" s="2">
        <v>24</v>
      </c>
      <c r="T2290" s="2">
        <v>5.52</v>
      </c>
      <c r="U2290" s="2">
        <v>29.52</v>
      </c>
      <c r="W2290" s="5">
        <f t="shared" si="223"/>
        <v>1</v>
      </c>
      <c r="Y2290" s="2" t="s">
        <v>3256</v>
      </c>
      <c r="Z2290" s="2" t="s">
        <v>46</v>
      </c>
      <c r="AA2290" s="2" t="s">
        <v>47</v>
      </c>
      <c r="AB2290" s="2" t="s">
        <v>48</v>
      </c>
      <c r="AE2290" s="2">
        <f t="shared" si="220"/>
        <v>0</v>
      </c>
      <c r="AI2290" s="2">
        <f t="shared" si="221"/>
        <v>0</v>
      </c>
      <c r="AJ2290" s="2">
        <f t="shared" si="222"/>
        <v>24</v>
      </c>
      <c r="AK2290" s="5">
        <f t="shared" si="219"/>
        <v>1</v>
      </c>
    </row>
    <row r="2291" spans="1:37" x14ac:dyDescent="0.2">
      <c r="A2291" s="2">
        <v>2025</v>
      </c>
      <c r="B2291" s="2">
        <v>11</v>
      </c>
      <c r="C2291" s="2" t="s">
        <v>935</v>
      </c>
      <c r="D2291" s="2" t="s">
        <v>38</v>
      </c>
      <c r="E2291" s="2" t="s">
        <v>39</v>
      </c>
      <c r="F2291" s="2" t="s">
        <v>936</v>
      </c>
      <c r="G2291" s="2" t="s">
        <v>41</v>
      </c>
      <c r="H2291" s="2" t="s">
        <v>632</v>
      </c>
      <c r="I2291" s="2" t="s">
        <v>937</v>
      </c>
      <c r="K2291" s="2" t="s">
        <v>632</v>
      </c>
      <c r="L2291" s="2" t="s">
        <v>41</v>
      </c>
      <c r="O2291" s="2" t="s">
        <v>43</v>
      </c>
      <c r="P2291" s="2" t="s">
        <v>66</v>
      </c>
      <c r="Q2291" s="2" t="s">
        <v>67</v>
      </c>
      <c r="R2291" s="2">
        <v>1</v>
      </c>
      <c r="S2291" s="2">
        <v>26.4</v>
      </c>
      <c r="T2291" s="2">
        <v>6.0720000000000001</v>
      </c>
      <c r="U2291" s="2">
        <v>32.472000000000001</v>
      </c>
      <c r="V2291" s="2">
        <f>15.0203*R2291</f>
        <v>15.020300000000001</v>
      </c>
      <c r="W2291" s="5">
        <f t="shared" si="223"/>
        <v>0.43104924242424236</v>
      </c>
      <c r="Y2291" s="2" t="s">
        <v>3256</v>
      </c>
      <c r="Z2291" s="2" t="s">
        <v>46</v>
      </c>
      <c r="AA2291" s="2" t="s">
        <v>68</v>
      </c>
      <c r="AB2291" s="2" t="s">
        <v>58</v>
      </c>
      <c r="AE2291" s="2">
        <f t="shared" si="220"/>
        <v>0</v>
      </c>
      <c r="AF2291" s="2">
        <v>15.020300000000001</v>
      </c>
      <c r="AG2291" s="2">
        <v>27.6</v>
      </c>
      <c r="AI2291" s="2">
        <f t="shared" si="221"/>
        <v>0</v>
      </c>
      <c r="AJ2291" s="2">
        <f t="shared" si="222"/>
        <v>11.379699999999998</v>
      </c>
      <c r="AK2291" s="5">
        <f t="shared" ref="AK2291:AK2354" si="224">(S2291-V2291)/S2291</f>
        <v>0.43104924242424236</v>
      </c>
    </row>
    <row r="2292" spans="1:37" x14ac:dyDescent="0.2">
      <c r="A2292" s="2">
        <v>2025</v>
      </c>
      <c r="B2292" s="2">
        <v>11</v>
      </c>
      <c r="C2292" s="2" t="s">
        <v>935</v>
      </c>
      <c r="D2292" s="2" t="s">
        <v>38</v>
      </c>
      <c r="E2292" s="2" t="s">
        <v>39</v>
      </c>
      <c r="F2292" s="2" t="s">
        <v>936</v>
      </c>
      <c r="G2292" s="2" t="s">
        <v>41</v>
      </c>
      <c r="H2292" s="2" t="s">
        <v>632</v>
      </c>
      <c r="I2292" s="2" t="s">
        <v>937</v>
      </c>
      <c r="K2292" s="2" t="s">
        <v>632</v>
      </c>
      <c r="L2292" s="2" t="s">
        <v>41</v>
      </c>
      <c r="O2292" s="2" t="s">
        <v>85</v>
      </c>
      <c r="P2292" s="2" t="s">
        <v>271</v>
      </c>
      <c r="Q2292" s="2" t="s">
        <v>272</v>
      </c>
      <c r="R2292" s="2">
        <v>1</v>
      </c>
      <c r="S2292" s="2">
        <v>10.199999999999999</v>
      </c>
      <c r="T2292" s="2">
        <v>2.3460000000000001</v>
      </c>
      <c r="U2292" s="2">
        <v>12.545999999999999</v>
      </c>
      <c r="V2292" s="2">
        <v>6.86</v>
      </c>
      <c r="W2292" s="5">
        <f t="shared" si="223"/>
        <v>0.32745098039215681</v>
      </c>
      <c r="Y2292" s="2" t="s">
        <v>3256</v>
      </c>
      <c r="Z2292" s="2" t="s">
        <v>88</v>
      </c>
      <c r="AA2292" s="2" t="s">
        <v>91</v>
      </c>
      <c r="AB2292" s="2" t="s">
        <v>85</v>
      </c>
      <c r="AE2292" s="2">
        <f t="shared" si="220"/>
        <v>0</v>
      </c>
      <c r="AI2292" s="2">
        <f t="shared" si="221"/>
        <v>0</v>
      </c>
      <c r="AJ2292" s="2">
        <f t="shared" si="222"/>
        <v>3.339999999999999</v>
      </c>
      <c r="AK2292" s="5">
        <f t="shared" si="224"/>
        <v>0.32745098039215681</v>
      </c>
    </row>
    <row r="2293" spans="1:37" x14ac:dyDescent="0.2">
      <c r="A2293" s="2">
        <v>2025</v>
      </c>
      <c r="B2293" s="2">
        <v>11</v>
      </c>
      <c r="C2293" s="2" t="s">
        <v>935</v>
      </c>
      <c r="D2293" s="2" t="s">
        <v>38</v>
      </c>
      <c r="E2293" s="2" t="s">
        <v>39</v>
      </c>
      <c r="F2293" s="2" t="s">
        <v>936</v>
      </c>
      <c r="G2293" s="2" t="s">
        <v>41</v>
      </c>
      <c r="H2293" s="2" t="s">
        <v>632</v>
      </c>
      <c r="I2293" s="2" t="s">
        <v>937</v>
      </c>
      <c r="K2293" s="2" t="s">
        <v>632</v>
      </c>
      <c r="L2293" s="2" t="s">
        <v>41</v>
      </c>
      <c r="O2293" s="2" t="s">
        <v>85</v>
      </c>
      <c r="P2293" s="2" t="s">
        <v>275</v>
      </c>
      <c r="Q2293" s="2" t="s">
        <v>276</v>
      </c>
      <c r="R2293" s="2">
        <v>1</v>
      </c>
      <c r="S2293" s="2">
        <v>6</v>
      </c>
      <c r="T2293" s="2">
        <v>1.38</v>
      </c>
      <c r="U2293" s="2">
        <v>7.38</v>
      </c>
      <c r="V2293" s="2">
        <v>2.94</v>
      </c>
      <c r="W2293" s="5">
        <f t="shared" si="223"/>
        <v>0.51</v>
      </c>
      <c r="Y2293" s="2" t="s">
        <v>3256</v>
      </c>
      <c r="Z2293" s="2" t="s">
        <v>88</v>
      </c>
      <c r="AA2293" s="2" t="s">
        <v>91</v>
      </c>
      <c r="AB2293" s="2" t="s">
        <v>85</v>
      </c>
      <c r="AE2293" s="2">
        <f t="shared" si="220"/>
        <v>0</v>
      </c>
      <c r="AI2293" s="2">
        <f t="shared" si="221"/>
        <v>0</v>
      </c>
      <c r="AJ2293" s="2">
        <f t="shared" si="222"/>
        <v>3.06</v>
      </c>
      <c r="AK2293" s="5">
        <f t="shared" si="224"/>
        <v>0.51</v>
      </c>
    </row>
    <row r="2294" spans="1:37" x14ac:dyDescent="0.2">
      <c r="A2294" s="2">
        <v>2025</v>
      </c>
      <c r="B2294" s="2">
        <v>12</v>
      </c>
      <c r="C2294" s="2" t="s">
        <v>37</v>
      </c>
      <c r="D2294" s="2" t="s">
        <v>38</v>
      </c>
      <c r="E2294" s="2" t="s">
        <v>39</v>
      </c>
      <c r="G2294" s="2" t="s">
        <v>40</v>
      </c>
      <c r="O2294" s="2" t="s">
        <v>283</v>
      </c>
      <c r="P2294" s="2" t="s">
        <v>2057</v>
      </c>
      <c r="Q2294" s="2" t="s">
        <v>2058</v>
      </c>
      <c r="R2294" s="2">
        <v>1</v>
      </c>
      <c r="S2294" s="2">
        <v>30</v>
      </c>
      <c r="T2294" s="2">
        <v>6.9</v>
      </c>
      <c r="U2294" s="2">
        <v>36.9</v>
      </c>
      <c r="W2294" s="5">
        <f t="shared" si="223"/>
        <v>1</v>
      </c>
      <c r="AE2294" s="2">
        <f t="shared" si="220"/>
        <v>0</v>
      </c>
      <c r="AI2294" s="2">
        <f t="shared" si="221"/>
        <v>0</v>
      </c>
      <c r="AJ2294" s="2">
        <f t="shared" si="222"/>
        <v>30</v>
      </c>
      <c r="AK2294" s="5">
        <f t="shared" si="224"/>
        <v>1</v>
      </c>
    </row>
    <row r="2295" spans="1:37" x14ac:dyDescent="0.2">
      <c r="A2295" s="2">
        <v>2025</v>
      </c>
      <c r="B2295" s="2">
        <v>12</v>
      </c>
      <c r="C2295" s="2" t="s">
        <v>37</v>
      </c>
      <c r="D2295" s="2" t="s">
        <v>38</v>
      </c>
      <c r="E2295" s="2" t="s">
        <v>39</v>
      </c>
      <c r="G2295" s="2" t="s">
        <v>40</v>
      </c>
      <c r="O2295" s="2" t="s">
        <v>283</v>
      </c>
      <c r="P2295" s="2" t="s">
        <v>401</v>
      </c>
      <c r="Q2295" s="2" t="s">
        <v>402</v>
      </c>
      <c r="R2295" s="2">
        <v>3</v>
      </c>
      <c r="S2295" s="2">
        <v>60</v>
      </c>
      <c r="T2295" s="2">
        <v>13.8</v>
      </c>
      <c r="U2295" s="2">
        <v>73.8</v>
      </c>
      <c r="W2295" s="5">
        <f t="shared" si="223"/>
        <v>1</v>
      </c>
      <c r="Y2295" s="2" t="s">
        <v>3256</v>
      </c>
      <c r="Z2295" s="2" t="s">
        <v>46</v>
      </c>
      <c r="AA2295" s="2" t="s">
        <v>61</v>
      </c>
      <c r="AB2295" s="2" t="s">
        <v>403</v>
      </c>
      <c r="AE2295" s="2">
        <f t="shared" si="220"/>
        <v>0</v>
      </c>
      <c r="AI2295" s="2">
        <f t="shared" si="221"/>
        <v>0</v>
      </c>
      <c r="AJ2295" s="2">
        <f t="shared" si="222"/>
        <v>60</v>
      </c>
      <c r="AK2295" s="5">
        <f t="shared" si="224"/>
        <v>1</v>
      </c>
    </row>
    <row r="2296" spans="1:37" x14ac:dyDescent="0.2">
      <c r="A2296" s="2">
        <v>2025</v>
      </c>
      <c r="B2296" s="2">
        <v>12</v>
      </c>
      <c r="C2296" s="2" t="s">
        <v>37</v>
      </c>
      <c r="D2296" s="2" t="s">
        <v>38</v>
      </c>
      <c r="E2296" s="2" t="s">
        <v>39</v>
      </c>
      <c r="G2296" s="2" t="s">
        <v>40</v>
      </c>
      <c r="O2296" s="2" t="s">
        <v>283</v>
      </c>
      <c r="P2296" s="2" t="s">
        <v>404</v>
      </c>
      <c r="Q2296" s="2" t="s">
        <v>405</v>
      </c>
      <c r="R2296" s="2">
        <v>3</v>
      </c>
      <c r="S2296" s="2">
        <v>60</v>
      </c>
      <c r="T2296" s="2">
        <v>13.8</v>
      </c>
      <c r="U2296" s="2">
        <v>73.8</v>
      </c>
      <c r="W2296" s="5">
        <f t="shared" si="223"/>
        <v>1</v>
      </c>
      <c r="AE2296" s="2">
        <f t="shared" si="220"/>
        <v>0</v>
      </c>
      <c r="AI2296" s="2">
        <f t="shared" si="221"/>
        <v>0</v>
      </c>
      <c r="AJ2296" s="2">
        <f t="shared" si="222"/>
        <v>60</v>
      </c>
      <c r="AK2296" s="5">
        <f t="shared" si="224"/>
        <v>1</v>
      </c>
    </row>
    <row r="2297" spans="1:37" x14ac:dyDescent="0.2">
      <c r="A2297" s="2">
        <v>2025</v>
      </c>
      <c r="B2297" s="2">
        <v>12</v>
      </c>
      <c r="C2297" s="2" t="s">
        <v>37</v>
      </c>
      <c r="D2297" s="2" t="s">
        <v>38</v>
      </c>
      <c r="E2297" s="2" t="s">
        <v>39</v>
      </c>
      <c r="G2297" s="2" t="s">
        <v>40</v>
      </c>
      <c r="H2297" s="2" t="s">
        <v>157</v>
      </c>
      <c r="K2297" s="2" t="s">
        <v>100</v>
      </c>
      <c r="L2297" s="2" t="s">
        <v>81</v>
      </c>
      <c r="N2297" s="2" t="s">
        <v>2103</v>
      </c>
      <c r="O2297" s="2" t="s">
        <v>43</v>
      </c>
      <c r="P2297" s="2" t="s">
        <v>159</v>
      </c>
      <c r="Q2297" s="2" t="s">
        <v>160</v>
      </c>
      <c r="R2297" s="2">
        <v>2</v>
      </c>
      <c r="S2297" s="2">
        <v>37.200000000000003</v>
      </c>
      <c r="T2297" s="2">
        <v>8.5560000000000009</v>
      </c>
      <c r="U2297" s="2">
        <v>45.756</v>
      </c>
      <c r="V2297" s="2">
        <f>9.3*R2297</f>
        <v>18.600000000000001</v>
      </c>
      <c r="W2297" s="5">
        <f t="shared" si="223"/>
        <v>0.5</v>
      </c>
      <c r="Y2297" s="2" t="s">
        <v>3256</v>
      </c>
      <c r="Z2297" s="2" t="s">
        <v>46</v>
      </c>
      <c r="AA2297" s="2" t="s">
        <v>47</v>
      </c>
      <c r="AB2297" s="2" t="s">
        <v>48</v>
      </c>
      <c r="AE2297" s="2">
        <f t="shared" si="220"/>
        <v>0</v>
      </c>
      <c r="AF2297" s="2">
        <v>9.3000000000000007</v>
      </c>
      <c r="AG2297" s="2">
        <v>21</v>
      </c>
      <c r="AI2297" s="2">
        <f t="shared" si="221"/>
        <v>0</v>
      </c>
      <c r="AJ2297" s="2">
        <f t="shared" si="222"/>
        <v>18.600000000000001</v>
      </c>
      <c r="AK2297" s="5">
        <f t="shared" si="224"/>
        <v>0.5</v>
      </c>
    </row>
    <row r="2298" spans="1:37" x14ac:dyDescent="0.2">
      <c r="A2298" s="2">
        <v>2025</v>
      </c>
      <c r="B2298" s="2">
        <v>12</v>
      </c>
      <c r="C2298" s="2" t="s">
        <v>37</v>
      </c>
      <c r="D2298" s="2" t="s">
        <v>38</v>
      </c>
      <c r="E2298" s="2" t="s">
        <v>39</v>
      </c>
      <c r="G2298" s="2" t="s">
        <v>40</v>
      </c>
      <c r="O2298" s="2" t="s">
        <v>43</v>
      </c>
      <c r="P2298" s="2" t="s">
        <v>866</v>
      </c>
      <c r="Q2298" s="2" t="s">
        <v>867</v>
      </c>
      <c r="R2298" s="2">
        <v>1</v>
      </c>
      <c r="S2298" s="2">
        <v>19.2</v>
      </c>
      <c r="T2298" s="2">
        <v>4.4160000000000004</v>
      </c>
      <c r="U2298" s="2">
        <v>23.616</v>
      </c>
      <c r="W2298" s="5">
        <f t="shared" si="223"/>
        <v>1</v>
      </c>
      <c r="Y2298" s="2" t="s">
        <v>3256</v>
      </c>
      <c r="Z2298" s="2" t="s">
        <v>46</v>
      </c>
      <c r="AA2298" s="2" t="s">
        <v>47</v>
      </c>
      <c r="AB2298" s="2" t="s">
        <v>48</v>
      </c>
      <c r="AE2298" s="2">
        <f t="shared" si="220"/>
        <v>0</v>
      </c>
      <c r="AI2298" s="2">
        <f t="shared" si="221"/>
        <v>0</v>
      </c>
      <c r="AJ2298" s="2">
        <f t="shared" si="222"/>
        <v>19.2</v>
      </c>
      <c r="AK2298" s="5">
        <f t="shared" si="224"/>
        <v>1</v>
      </c>
    </row>
    <row r="2299" spans="1:37" x14ac:dyDescent="0.2">
      <c r="A2299" s="2">
        <v>2025</v>
      </c>
      <c r="B2299" s="2">
        <v>12</v>
      </c>
      <c r="C2299" s="2" t="s">
        <v>37</v>
      </c>
      <c r="D2299" s="2" t="s">
        <v>38</v>
      </c>
      <c r="E2299" s="2" t="s">
        <v>39</v>
      </c>
      <c r="G2299" s="2" t="s">
        <v>40</v>
      </c>
      <c r="O2299" s="2" t="s">
        <v>43</v>
      </c>
      <c r="P2299" s="2" t="s">
        <v>161</v>
      </c>
      <c r="Q2299" s="2" t="s">
        <v>162</v>
      </c>
      <c r="R2299" s="2">
        <v>3</v>
      </c>
      <c r="S2299" s="2">
        <v>23.4</v>
      </c>
      <c r="T2299" s="2">
        <v>5.3819999999999997</v>
      </c>
      <c r="U2299" s="2">
        <v>28.782</v>
      </c>
      <c r="V2299" s="2">
        <f>3.7358*R2299</f>
        <v>11.2074</v>
      </c>
      <c r="W2299" s="5">
        <f t="shared" si="223"/>
        <v>0.52105128205128204</v>
      </c>
      <c r="Y2299" s="2" t="s">
        <v>3256</v>
      </c>
      <c r="Z2299" s="2" t="s">
        <v>46</v>
      </c>
      <c r="AA2299" s="2" t="s">
        <v>47</v>
      </c>
      <c r="AB2299" s="2" t="s">
        <v>48</v>
      </c>
      <c r="AE2299" s="2">
        <f t="shared" si="220"/>
        <v>0</v>
      </c>
      <c r="AF2299" s="2">
        <v>3.7357999999999998</v>
      </c>
      <c r="AG2299" s="2">
        <v>9</v>
      </c>
      <c r="AI2299" s="2">
        <f t="shared" si="221"/>
        <v>0</v>
      </c>
      <c r="AJ2299" s="2">
        <f t="shared" si="222"/>
        <v>12.192599999999999</v>
      </c>
      <c r="AK2299" s="5">
        <f t="shared" si="224"/>
        <v>0.52105128205128204</v>
      </c>
    </row>
    <row r="2300" spans="1:37" x14ac:dyDescent="0.2">
      <c r="A2300" s="2">
        <v>2025</v>
      </c>
      <c r="B2300" s="2">
        <v>12</v>
      </c>
      <c r="C2300" s="2" t="s">
        <v>37</v>
      </c>
      <c r="D2300" s="2" t="s">
        <v>38</v>
      </c>
      <c r="E2300" s="2" t="s">
        <v>39</v>
      </c>
      <c r="G2300" s="2" t="s">
        <v>40</v>
      </c>
      <c r="O2300" s="2" t="s">
        <v>43</v>
      </c>
      <c r="P2300" s="2" t="s">
        <v>55</v>
      </c>
      <c r="Q2300" s="2" t="s">
        <v>56</v>
      </c>
      <c r="R2300" s="2">
        <v>30</v>
      </c>
      <c r="S2300" s="2">
        <v>370</v>
      </c>
      <c r="T2300" s="2">
        <v>85.100000000000009</v>
      </c>
      <c r="U2300" s="2">
        <v>455.1</v>
      </c>
      <c r="V2300" s="2">
        <f>10.6*R2300</f>
        <v>318</v>
      </c>
      <c r="W2300" s="5">
        <f t="shared" si="223"/>
        <v>0.14054054054054055</v>
      </c>
      <c r="Y2300" s="2" t="s">
        <v>3256</v>
      </c>
      <c r="Z2300" s="2" t="s">
        <v>46</v>
      </c>
      <c r="AA2300" s="2" t="s">
        <v>57</v>
      </c>
      <c r="AB2300" s="2" t="s">
        <v>58</v>
      </c>
      <c r="AE2300" s="2">
        <f t="shared" si="220"/>
        <v>0</v>
      </c>
      <c r="AF2300" s="2">
        <v>10.6</v>
      </c>
      <c r="AG2300" s="2">
        <v>18</v>
      </c>
      <c r="AI2300" s="2">
        <f t="shared" si="221"/>
        <v>0</v>
      </c>
      <c r="AJ2300" s="2">
        <f t="shared" si="222"/>
        <v>52</v>
      </c>
      <c r="AK2300" s="5">
        <f t="shared" si="224"/>
        <v>0.14054054054054055</v>
      </c>
    </row>
    <row r="2301" spans="1:37" x14ac:dyDescent="0.2">
      <c r="A2301" s="2">
        <v>2025</v>
      </c>
      <c r="B2301" s="2">
        <v>12</v>
      </c>
      <c r="C2301" s="2" t="s">
        <v>37</v>
      </c>
      <c r="D2301" s="2" t="s">
        <v>38</v>
      </c>
      <c r="E2301" s="2" t="s">
        <v>39</v>
      </c>
      <c r="G2301" s="2" t="s">
        <v>40</v>
      </c>
      <c r="O2301" s="2" t="s">
        <v>73</v>
      </c>
      <c r="P2301" s="2" t="s">
        <v>1044</v>
      </c>
      <c r="Q2301" s="2" t="s">
        <v>80</v>
      </c>
      <c r="R2301" s="2">
        <v>1</v>
      </c>
      <c r="S2301" s="2">
        <v>259.02</v>
      </c>
      <c r="T2301" s="2">
        <v>59.574599999999997</v>
      </c>
      <c r="U2301" s="2">
        <v>318.59460000000001</v>
      </c>
      <c r="V2301" s="2">
        <v>113.33</v>
      </c>
      <c r="W2301" s="5">
        <f t="shared" si="223"/>
        <v>0.56246621882480119</v>
      </c>
      <c r="Y2301" s="2" t="s">
        <v>3256</v>
      </c>
      <c r="Z2301" s="2" t="s">
        <v>76</v>
      </c>
      <c r="AA2301" s="2" t="s">
        <v>77</v>
      </c>
      <c r="AB2301" s="2" t="s">
        <v>78</v>
      </c>
      <c r="AE2301" s="2">
        <f t="shared" si="220"/>
        <v>0</v>
      </c>
      <c r="AF2301" s="2">
        <v>113.33</v>
      </c>
      <c r="AG2301" s="2">
        <v>220</v>
      </c>
      <c r="AI2301" s="2">
        <f t="shared" si="221"/>
        <v>0</v>
      </c>
      <c r="AJ2301" s="2">
        <f t="shared" si="222"/>
        <v>145.69</v>
      </c>
      <c r="AK2301" s="5">
        <f t="shared" si="224"/>
        <v>0.56246621882480119</v>
      </c>
    </row>
    <row r="2302" spans="1:37" x14ac:dyDescent="0.2">
      <c r="A2302" s="2">
        <v>2025</v>
      </c>
      <c r="B2302" s="2">
        <v>12</v>
      </c>
      <c r="C2302" s="2" t="s">
        <v>37</v>
      </c>
      <c r="D2302" s="2" t="s">
        <v>38</v>
      </c>
      <c r="E2302" s="2" t="s">
        <v>39</v>
      </c>
      <c r="G2302" s="2" t="s">
        <v>40</v>
      </c>
      <c r="O2302" s="2" t="s">
        <v>1047</v>
      </c>
      <c r="P2302" s="2" t="s">
        <v>1585</v>
      </c>
      <c r="Q2302" s="2" t="s">
        <v>1586</v>
      </c>
      <c r="R2302" s="2">
        <v>2</v>
      </c>
      <c r="S2302" s="2">
        <v>465</v>
      </c>
      <c r="T2302" s="2">
        <v>106.95</v>
      </c>
      <c r="U2302" s="2">
        <v>571.95000000000005</v>
      </c>
      <c r="W2302" s="5">
        <f t="shared" si="223"/>
        <v>1</v>
      </c>
      <c r="Y2302" s="2" t="s">
        <v>3256</v>
      </c>
      <c r="Z2302" s="2" t="s">
        <v>76</v>
      </c>
      <c r="AA2302" s="2" t="s">
        <v>77</v>
      </c>
      <c r="AB2302" s="2" t="s">
        <v>1047</v>
      </c>
      <c r="AE2302" s="2">
        <f t="shared" si="220"/>
        <v>0</v>
      </c>
      <c r="AI2302" s="2">
        <f t="shared" si="221"/>
        <v>0</v>
      </c>
      <c r="AJ2302" s="2">
        <f t="shared" si="222"/>
        <v>465</v>
      </c>
      <c r="AK2302" s="5">
        <f t="shared" si="224"/>
        <v>1</v>
      </c>
    </row>
    <row r="2303" spans="1:37" x14ac:dyDescent="0.2">
      <c r="A2303" s="2">
        <v>2025</v>
      </c>
      <c r="B2303" s="2">
        <v>12</v>
      </c>
      <c r="C2303" s="2" t="s">
        <v>37</v>
      </c>
      <c r="D2303" s="2" t="s">
        <v>38</v>
      </c>
      <c r="E2303" s="2" t="s">
        <v>39</v>
      </c>
      <c r="G2303" s="2" t="s">
        <v>40</v>
      </c>
      <c r="O2303" s="2" t="s">
        <v>2104</v>
      </c>
      <c r="P2303" s="2" t="s">
        <v>2105</v>
      </c>
      <c r="Q2303" s="2" t="s">
        <v>2106</v>
      </c>
      <c r="R2303" s="2">
        <v>4</v>
      </c>
      <c r="S2303" s="2">
        <v>80</v>
      </c>
      <c r="T2303" s="2">
        <v>18.399999999999999</v>
      </c>
      <c r="U2303" s="2">
        <v>98.4</v>
      </c>
      <c r="W2303" s="5">
        <f t="shared" si="223"/>
        <v>1</v>
      </c>
      <c r="Y2303" s="2" t="s">
        <v>3256</v>
      </c>
      <c r="AE2303" s="2">
        <f t="shared" si="220"/>
        <v>0</v>
      </c>
      <c r="AI2303" s="2">
        <f t="shared" si="221"/>
        <v>0</v>
      </c>
      <c r="AJ2303" s="2">
        <f t="shared" si="222"/>
        <v>80</v>
      </c>
      <c r="AK2303" s="5">
        <f t="shared" si="224"/>
        <v>1</v>
      </c>
    </row>
    <row r="2304" spans="1:37" x14ac:dyDescent="0.2">
      <c r="A2304" s="2">
        <v>2025</v>
      </c>
      <c r="B2304" s="2">
        <v>12</v>
      </c>
      <c r="C2304" s="2" t="s">
        <v>37</v>
      </c>
      <c r="D2304" s="2" t="s">
        <v>38</v>
      </c>
      <c r="E2304" s="2" t="s">
        <v>39</v>
      </c>
      <c r="G2304" s="2" t="s">
        <v>40</v>
      </c>
      <c r="O2304" s="2" t="s">
        <v>2107</v>
      </c>
      <c r="P2304" s="2" t="s">
        <v>2108</v>
      </c>
      <c r="Q2304" s="2" t="s">
        <v>2109</v>
      </c>
      <c r="R2304" s="2">
        <v>1</v>
      </c>
      <c r="S2304" s="2">
        <v>10</v>
      </c>
      <c r="T2304" s="2">
        <v>2.2999999999999998</v>
      </c>
      <c r="U2304" s="2">
        <v>12.3</v>
      </c>
      <c r="W2304" s="5">
        <f t="shared" si="223"/>
        <v>1</v>
      </c>
      <c r="Y2304" s="2" t="s">
        <v>3256</v>
      </c>
      <c r="AE2304" s="2">
        <f t="shared" si="220"/>
        <v>0</v>
      </c>
      <c r="AI2304" s="2">
        <f t="shared" si="221"/>
        <v>0</v>
      </c>
      <c r="AJ2304" s="2">
        <f t="shared" si="222"/>
        <v>10</v>
      </c>
      <c r="AK2304" s="5">
        <f t="shared" si="224"/>
        <v>1</v>
      </c>
    </row>
    <row r="2305" spans="1:37" x14ac:dyDescent="0.2">
      <c r="A2305" s="2">
        <v>2025</v>
      </c>
      <c r="B2305" s="2">
        <v>12</v>
      </c>
      <c r="C2305" s="2" t="s">
        <v>37</v>
      </c>
      <c r="D2305" s="2" t="s">
        <v>38</v>
      </c>
      <c r="E2305" s="2" t="s">
        <v>39</v>
      </c>
      <c r="G2305" s="2" t="s">
        <v>40</v>
      </c>
      <c r="O2305" s="2" t="s">
        <v>2107</v>
      </c>
      <c r="P2305" s="2" t="s">
        <v>2110</v>
      </c>
      <c r="Q2305" s="2" t="s">
        <v>2111</v>
      </c>
      <c r="R2305" s="2">
        <v>8</v>
      </c>
      <c r="S2305" s="2">
        <v>80</v>
      </c>
      <c r="T2305" s="2">
        <v>18.399999999999999</v>
      </c>
      <c r="U2305" s="2">
        <v>98.4</v>
      </c>
      <c r="W2305" s="5">
        <f t="shared" si="223"/>
        <v>1</v>
      </c>
      <c r="Y2305" s="2" t="s">
        <v>3256</v>
      </c>
      <c r="AE2305" s="2">
        <f t="shared" si="220"/>
        <v>0</v>
      </c>
      <c r="AI2305" s="2">
        <f t="shared" si="221"/>
        <v>0</v>
      </c>
      <c r="AJ2305" s="2">
        <f t="shared" si="222"/>
        <v>80</v>
      </c>
      <c r="AK2305" s="5">
        <f t="shared" si="224"/>
        <v>1</v>
      </c>
    </row>
    <row r="2306" spans="1:37" x14ac:dyDescent="0.2">
      <c r="A2306" s="2">
        <v>2025</v>
      </c>
      <c r="B2306" s="2">
        <v>12</v>
      </c>
      <c r="C2306" s="2" t="s">
        <v>37</v>
      </c>
      <c r="D2306" s="2" t="s">
        <v>38</v>
      </c>
      <c r="E2306" s="2" t="s">
        <v>39</v>
      </c>
      <c r="G2306" s="2" t="s">
        <v>40</v>
      </c>
      <c r="O2306" s="2" t="s">
        <v>2107</v>
      </c>
      <c r="P2306" s="2" t="s">
        <v>2112</v>
      </c>
      <c r="Q2306" s="2" t="s">
        <v>2113</v>
      </c>
      <c r="R2306" s="2">
        <v>4</v>
      </c>
      <c r="S2306" s="2">
        <v>40</v>
      </c>
      <c r="T2306" s="2">
        <v>9.2000000000000011</v>
      </c>
      <c r="U2306" s="2">
        <v>49.2</v>
      </c>
      <c r="W2306" s="5">
        <f t="shared" si="223"/>
        <v>1</v>
      </c>
      <c r="Y2306" s="2" t="s">
        <v>3256</v>
      </c>
      <c r="AE2306" s="2">
        <f t="shared" si="220"/>
        <v>0</v>
      </c>
      <c r="AI2306" s="2">
        <f t="shared" si="221"/>
        <v>0</v>
      </c>
      <c r="AJ2306" s="2">
        <f t="shared" si="222"/>
        <v>40</v>
      </c>
      <c r="AK2306" s="5">
        <f t="shared" si="224"/>
        <v>1</v>
      </c>
    </row>
    <row r="2307" spans="1:37" x14ac:dyDescent="0.2">
      <c r="A2307" s="2">
        <v>2025</v>
      </c>
      <c r="B2307" s="2">
        <v>12</v>
      </c>
      <c r="C2307" s="2" t="s">
        <v>37</v>
      </c>
      <c r="D2307" s="2" t="s">
        <v>38</v>
      </c>
      <c r="E2307" s="2" t="s">
        <v>39</v>
      </c>
      <c r="G2307" s="2" t="s">
        <v>40</v>
      </c>
      <c r="O2307" s="2" t="s">
        <v>2104</v>
      </c>
      <c r="P2307" s="2" t="s">
        <v>2114</v>
      </c>
      <c r="Q2307" s="2" t="s">
        <v>2115</v>
      </c>
      <c r="R2307" s="2">
        <v>4</v>
      </c>
      <c r="S2307" s="2">
        <v>60</v>
      </c>
      <c r="T2307" s="2">
        <v>13.8</v>
      </c>
      <c r="U2307" s="2">
        <v>73.8</v>
      </c>
      <c r="W2307" s="5">
        <f t="shared" si="223"/>
        <v>1</v>
      </c>
      <c r="Y2307" s="2" t="s">
        <v>3256</v>
      </c>
      <c r="AE2307" s="2">
        <f t="shared" ref="AE2307:AE2370" si="225">AI2307</f>
        <v>0</v>
      </c>
      <c r="AI2307" s="2">
        <f t="shared" ref="AI2307:AI2370" si="226">AH2307*S2307</f>
        <v>0</v>
      </c>
      <c r="AJ2307" s="2">
        <f t="shared" ref="AJ2307:AJ2370" si="227">S2307-V2307</f>
        <v>60</v>
      </c>
      <c r="AK2307" s="5">
        <f t="shared" si="224"/>
        <v>1</v>
      </c>
    </row>
    <row r="2308" spans="1:37" x14ac:dyDescent="0.2">
      <c r="A2308" s="2">
        <v>2025</v>
      </c>
      <c r="B2308" s="2">
        <v>12</v>
      </c>
      <c r="C2308" s="2" t="s">
        <v>37</v>
      </c>
      <c r="D2308" s="2" t="s">
        <v>38</v>
      </c>
      <c r="E2308" s="2" t="s">
        <v>39</v>
      </c>
      <c r="G2308" s="2" t="s">
        <v>40</v>
      </c>
      <c r="O2308" s="2" t="s">
        <v>170</v>
      </c>
      <c r="P2308" s="2" t="s">
        <v>171</v>
      </c>
      <c r="Q2308" s="2" t="s">
        <v>171</v>
      </c>
      <c r="R2308" s="2">
        <v>1</v>
      </c>
      <c r="S2308" s="2">
        <v>30</v>
      </c>
      <c r="T2308" s="2">
        <v>6.9</v>
      </c>
      <c r="U2308" s="2">
        <v>36.9</v>
      </c>
      <c r="W2308" s="5">
        <f t="shared" si="223"/>
        <v>1</v>
      </c>
      <c r="Y2308" s="2" t="s">
        <v>170</v>
      </c>
      <c r="Z2308" s="2" t="s">
        <v>170</v>
      </c>
      <c r="AE2308" s="2">
        <f t="shared" si="225"/>
        <v>0</v>
      </c>
      <c r="AI2308" s="2">
        <f t="shared" si="226"/>
        <v>0</v>
      </c>
      <c r="AJ2308" s="2">
        <f t="shared" si="227"/>
        <v>30</v>
      </c>
      <c r="AK2308" s="5">
        <f t="shared" si="224"/>
        <v>1</v>
      </c>
    </row>
    <row r="2309" spans="1:37" x14ac:dyDescent="0.2">
      <c r="A2309" s="2">
        <v>2025</v>
      </c>
      <c r="B2309" s="2">
        <v>12</v>
      </c>
      <c r="C2309" s="2" t="s">
        <v>37</v>
      </c>
      <c r="D2309" s="2" t="s">
        <v>38</v>
      </c>
      <c r="E2309" s="2" t="s">
        <v>39</v>
      </c>
      <c r="G2309" s="2" t="s">
        <v>40</v>
      </c>
      <c r="O2309" s="2" t="s">
        <v>94</v>
      </c>
      <c r="P2309" s="2" t="s">
        <v>95</v>
      </c>
      <c r="Q2309" s="2" t="s">
        <v>96</v>
      </c>
      <c r="R2309" s="2">
        <v>3</v>
      </c>
      <c r="S2309" s="2">
        <v>3.42</v>
      </c>
      <c r="T2309" s="2">
        <v>0.78659999999999997</v>
      </c>
      <c r="U2309" s="2">
        <v>4.2065999999999999</v>
      </c>
      <c r="V2309" s="2">
        <v>3.42</v>
      </c>
      <c r="W2309" s="5">
        <f t="shared" si="223"/>
        <v>0</v>
      </c>
      <c r="Y2309" s="2" t="s">
        <v>3256</v>
      </c>
      <c r="Z2309" s="2" t="s">
        <v>97</v>
      </c>
      <c r="AA2309" s="2" t="s">
        <v>77</v>
      </c>
      <c r="AB2309" s="2" t="s">
        <v>94</v>
      </c>
      <c r="AE2309" s="2">
        <f t="shared" si="225"/>
        <v>0</v>
      </c>
      <c r="AI2309" s="2">
        <f t="shared" si="226"/>
        <v>0</v>
      </c>
      <c r="AJ2309" s="2">
        <f t="shared" si="227"/>
        <v>0</v>
      </c>
      <c r="AK2309" s="5">
        <f t="shared" si="224"/>
        <v>0</v>
      </c>
    </row>
    <row r="2310" spans="1:37" x14ac:dyDescent="0.2">
      <c r="A2310" s="2">
        <v>2025</v>
      </c>
      <c r="B2310" s="2">
        <v>12</v>
      </c>
      <c r="C2310" s="2" t="s">
        <v>1154</v>
      </c>
      <c r="D2310" s="2" t="s">
        <v>109</v>
      </c>
      <c r="E2310" s="2" t="s">
        <v>39</v>
      </c>
      <c r="F2310" s="2">
        <v>518312798</v>
      </c>
      <c r="G2310" s="2" t="s">
        <v>41</v>
      </c>
      <c r="H2310" s="2" t="s">
        <v>1155</v>
      </c>
      <c r="I2310" s="2" t="s">
        <v>1156</v>
      </c>
      <c r="K2310" s="2" t="s">
        <v>134</v>
      </c>
      <c r="L2310" s="2" t="s">
        <v>41</v>
      </c>
      <c r="N2310" s="2" t="s">
        <v>2116</v>
      </c>
      <c r="O2310" s="2" t="s">
        <v>115</v>
      </c>
      <c r="P2310" s="2" t="s">
        <v>962</v>
      </c>
      <c r="Q2310" s="2" t="s">
        <v>716</v>
      </c>
      <c r="R2310" s="2">
        <v>1</v>
      </c>
      <c r="S2310" s="2">
        <v>1790</v>
      </c>
      <c r="T2310" s="2">
        <v>411.7</v>
      </c>
      <c r="U2310" s="2">
        <v>2201.6999999999998</v>
      </c>
      <c r="W2310" s="5">
        <f t="shared" si="223"/>
        <v>1</v>
      </c>
      <c r="Y2310" s="2" t="s">
        <v>105</v>
      </c>
      <c r="Z2310" s="2" t="s">
        <v>583</v>
      </c>
      <c r="AA2310" s="2" t="s">
        <v>707</v>
      </c>
      <c r="AB2310" s="2" t="s">
        <v>115</v>
      </c>
      <c r="AE2310" s="2">
        <f t="shared" si="225"/>
        <v>0</v>
      </c>
      <c r="AI2310" s="2">
        <f t="shared" si="226"/>
        <v>0</v>
      </c>
      <c r="AJ2310" s="2">
        <f t="shared" si="227"/>
        <v>1790</v>
      </c>
      <c r="AK2310" s="5">
        <f t="shared" si="224"/>
        <v>1</v>
      </c>
    </row>
    <row r="2311" spans="1:37" x14ac:dyDescent="0.2">
      <c r="A2311" s="2">
        <v>2025</v>
      </c>
      <c r="B2311" s="2">
        <v>12</v>
      </c>
      <c r="C2311" s="2" t="s">
        <v>1154</v>
      </c>
      <c r="D2311" s="2" t="s">
        <v>109</v>
      </c>
      <c r="E2311" s="2" t="s">
        <v>39</v>
      </c>
      <c r="F2311" s="2">
        <v>518312798</v>
      </c>
      <c r="G2311" s="2" t="s">
        <v>41</v>
      </c>
      <c r="H2311" s="2" t="s">
        <v>1155</v>
      </c>
      <c r="I2311" s="2" t="s">
        <v>1156</v>
      </c>
      <c r="K2311" s="2" t="s">
        <v>134</v>
      </c>
      <c r="L2311" s="2" t="s">
        <v>41</v>
      </c>
      <c r="N2311" s="2" t="s">
        <v>2116</v>
      </c>
      <c r="O2311" s="2" t="s">
        <v>115</v>
      </c>
      <c r="P2311" s="2" t="s">
        <v>886</v>
      </c>
      <c r="Q2311" s="2" t="s">
        <v>887</v>
      </c>
      <c r="R2311" s="2">
        <v>1</v>
      </c>
      <c r="S2311" s="2">
        <v>4599</v>
      </c>
      <c r="T2311" s="2">
        <v>1057.77</v>
      </c>
      <c r="U2311" s="2">
        <v>5656.77</v>
      </c>
      <c r="W2311" s="5">
        <f t="shared" si="223"/>
        <v>1</v>
      </c>
      <c r="Y2311" s="2" t="s">
        <v>105</v>
      </c>
      <c r="Z2311" s="2" t="s">
        <v>621</v>
      </c>
      <c r="AB2311" s="2" t="s">
        <v>115</v>
      </c>
      <c r="AE2311" s="2">
        <f t="shared" si="225"/>
        <v>0</v>
      </c>
      <c r="AI2311" s="2">
        <f t="shared" si="226"/>
        <v>0</v>
      </c>
      <c r="AJ2311" s="2">
        <f t="shared" si="227"/>
        <v>4599</v>
      </c>
      <c r="AK2311" s="5">
        <f t="shared" si="224"/>
        <v>1</v>
      </c>
    </row>
    <row r="2312" spans="1:37" x14ac:dyDescent="0.2">
      <c r="A2312" s="2">
        <v>2025</v>
      </c>
      <c r="B2312" s="2">
        <v>12</v>
      </c>
      <c r="C2312" s="2" t="s">
        <v>1154</v>
      </c>
      <c r="D2312" s="2" t="s">
        <v>109</v>
      </c>
      <c r="E2312" s="2" t="s">
        <v>39</v>
      </c>
      <c r="F2312" s="2">
        <v>518312798</v>
      </c>
      <c r="G2312" s="2" t="s">
        <v>41</v>
      </c>
      <c r="H2312" s="2" t="s">
        <v>1155</v>
      </c>
      <c r="I2312" s="2" t="s">
        <v>1156</v>
      </c>
      <c r="K2312" s="2" t="s">
        <v>134</v>
      </c>
      <c r="L2312" s="2" t="s">
        <v>41</v>
      </c>
      <c r="N2312" s="2" t="s">
        <v>2116</v>
      </c>
      <c r="O2312" s="2" t="s">
        <v>115</v>
      </c>
      <c r="P2312" s="2" t="s">
        <v>149</v>
      </c>
      <c r="Q2312" s="2" t="s">
        <v>150</v>
      </c>
      <c r="R2312" s="2">
        <v>1</v>
      </c>
      <c r="S2312" s="2">
        <v>4100</v>
      </c>
      <c r="T2312" s="2">
        <v>943</v>
      </c>
      <c r="U2312" s="2">
        <v>5043</v>
      </c>
      <c r="W2312" s="5">
        <f t="shared" si="223"/>
        <v>1</v>
      </c>
      <c r="Y2312" s="2" t="s">
        <v>105</v>
      </c>
      <c r="Z2312" s="2" t="s">
        <v>151</v>
      </c>
      <c r="AB2312" s="2" t="s">
        <v>115</v>
      </c>
      <c r="AE2312" s="2">
        <f t="shared" si="225"/>
        <v>0</v>
      </c>
      <c r="AI2312" s="2">
        <f t="shared" si="226"/>
        <v>0</v>
      </c>
      <c r="AJ2312" s="2">
        <f t="shared" si="227"/>
        <v>4100</v>
      </c>
      <c r="AK2312" s="5">
        <f t="shared" si="224"/>
        <v>1</v>
      </c>
    </row>
    <row r="2313" spans="1:37" x14ac:dyDescent="0.2">
      <c r="A2313" s="2">
        <v>2025</v>
      </c>
      <c r="B2313" s="2">
        <v>12</v>
      </c>
      <c r="C2313" s="2" t="s">
        <v>1154</v>
      </c>
      <c r="D2313" s="2" t="s">
        <v>109</v>
      </c>
      <c r="E2313" s="2" t="s">
        <v>39</v>
      </c>
      <c r="F2313" s="2">
        <v>518312798</v>
      </c>
      <c r="G2313" s="2" t="s">
        <v>41</v>
      </c>
      <c r="H2313" s="2" t="s">
        <v>1155</v>
      </c>
      <c r="I2313" s="2" t="s">
        <v>1156</v>
      </c>
      <c r="K2313" s="2" t="s">
        <v>134</v>
      </c>
      <c r="L2313" s="2" t="s">
        <v>41</v>
      </c>
      <c r="N2313" s="2" t="s">
        <v>2116</v>
      </c>
      <c r="O2313" s="2" t="s">
        <v>69</v>
      </c>
      <c r="P2313" s="2" t="s">
        <v>1635</v>
      </c>
      <c r="Q2313" s="2" t="s">
        <v>1636</v>
      </c>
      <c r="R2313" s="2">
        <v>1</v>
      </c>
      <c r="S2313" s="2">
        <v>2100</v>
      </c>
      <c r="T2313" s="2">
        <v>483</v>
      </c>
      <c r="U2313" s="2">
        <v>2583</v>
      </c>
      <c r="W2313" s="5">
        <f t="shared" si="223"/>
        <v>1</v>
      </c>
      <c r="Y2313" s="2" t="s">
        <v>105</v>
      </c>
      <c r="Z2313" s="2" t="s">
        <v>2117</v>
      </c>
      <c r="AB2313" s="2" t="s">
        <v>3261</v>
      </c>
      <c r="AE2313" s="2">
        <f t="shared" si="225"/>
        <v>0</v>
      </c>
      <c r="AI2313" s="2">
        <f t="shared" si="226"/>
        <v>0</v>
      </c>
      <c r="AJ2313" s="2">
        <f t="shared" si="227"/>
        <v>2100</v>
      </c>
      <c r="AK2313" s="5">
        <f t="shared" si="224"/>
        <v>1</v>
      </c>
    </row>
    <row r="2314" spans="1:37" x14ac:dyDescent="0.2">
      <c r="A2314" s="2">
        <v>2025</v>
      </c>
      <c r="B2314" s="2">
        <v>12</v>
      </c>
      <c r="C2314" s="2" t="s">
        <v>1154</v>
      </c>
      <c r="D2314" s="2" t="s">
        <v>109</v>
      </c>
      <c r="E2314" s="2" t="s">
        <v>39</v>
      </c>
      <c r="F2314" s="2">
        <v>518312798</v>
      </c>
      <c r="G2314" s="2" t="s">
        <v>41</v>
      </c>
      <c r="H2314" s="2" t="s">
        <v>1155</v>
      </c>
      <c r="I2314" s="2" t="s">
        <v>1156</v>
      </c>
      <c r="K2314" s="2" t="s">
        <v>134</v>
      </c>
      <c r="L2314" s="2" t="s">
        <v>41</v>
      </c>
      <c r="N2314" s="2" t="s">
        <v>2116</v>
      </c>
      <c r="O2314" s="2" t="s">
        <v>1203</v>
      </c>
      <c r="P2314" s="2" t="s">
        <v>1730</v>
      </c>
      <c r="Q2314" s="2" t="s">
        <v>1731</v>
      </c>
      <c r="R2314" s="2">
        <v>1</v>
      </c>
      <c r="S2314" s="2">
        <v>2750</v>
      </c>
      <c r="T2314" s="2">
        <v>632.5</v>
      </c>
      <c r="U2314" s="2">
        <v>3382.5</v>
      </c>
      <c r="W2314" s="5">
        <f t="shared" si="223"/>
        <v>1</v>
      </c>
      <c r="Y2314" s="2" t="s">
        <v>105</v>
      </c>
      <c r="Z2314" s="2" t="s">
        <v>1208</v>
      </c>
      <c r="AA2314" s="2" t="s">
        <v>120</v>
      </c>
      <c r="AB2314" s="2" t="s">
        <v>1203</v>
      </c>
      <c r="AE2314" s="2">
        <f t="shared" si="225"/>
        <v>0</v>
      </c>
      <c r="AI2314" s="2">
        <f t="shared" si="226"/>
        <v>0</v>
      </c>
      <c r="AJ2314" s="2">
        <f t="shared" si="227"/>
        <v>2750</v>
      </c>
      <c r="AK2314" s="5">
        <f t="shared" si="224"/>
        <v>1</v>
      </c>
    </row>
    <row r="2315" spans="1:37" x14ac:dyDescent="0.2">
      <c r="A2315" s="2">
        <v>2025</v>
      </c>
      <c r="B2315" s="2">
        <v>12</v>
      </c>
      <c r="C2315" s="2" t="s">
        <v>1154</v>
      </c>
      <c r="D2315" s="2" t="s">
        <v>109</v>
      </c>
      <c r="E2315" s="2" t="s">
        <v>39</v>
      </c>
      <c r="F2315" s="2">
        <v>518312798</v>
      </c>
      <c r="G2315" s="2" t="s">
        <v>41</v>
      </c>
      <c r="H2315" s="2" t="s">
        <v>1155</v>
      </c>
      <c r="I2315" s="2" t="s">
        <v>1156</v>
      </c>
      <c r="K2315" s="2" t="s">
        <v>134</v>
      </c>
      <c r="L2315" s="2" t="s">
        <v>41</v>
      </c>
      <c r="N2315" s="2" t="s">
        <v>2116</v>
      </c>
      <c r="O2315" s="2" t="s">
        <v>1203</v>
      </c>
      <c r="P2315" s="2" t="s">
        <v>1206</v>
      </c>
      <c r="Q2315" s="2" t="s">
        <v>1207</v>
      </c>
      <c r="R2315" s="2">
        <v>1</v>
      </c>
      <c r="S2315" s="2">
        <v>500</v>
      </c>
      <c r="T2315" s="2">
        <v>115</v>
      </c>
      <c r="U2315" s="2">
        <v>615</v>
      </c>
      <c r="W2315" s="5">
        <f t="shared" si="223"/>
        <v>1</v>
      </c>
      <c r="Y2315" s="2" t="s">
        <v>105</v>
      </c>
      <c r="Z2315" s="2" t="s">
        <v>1208</v>
      </c>
      <c r="AA2315" s="2" t="s">
        <v>120</v>
      </c>
      <c r="AB2315" s="2" t="s">
        <v>1203</v>
      </c>
      <c r="AE2315" s="2">
        <f t="shared" si="225"/>
        <v>0</v>
      </c>
      <c r="AI2315" s="2">
        <f t="shared" si="226"/>
        <v>0</v>
      </c>
      <c r="AJ2315" s="2">
        <f t="shared" si="227"/>
        <v>500</v>
      </c>
      <c r="AK2315" s="5">
        <f t="shared" si="224"/>
        <v>1</v>
      </c>
    </row>
    <row r="2316" spans="1:37" x14ac:dyDescent="0.2">
      <c r="A2316" s="2">
        <v>2025</v>
      </c>
      <c r="B2316" s="2">
        <v>12</v>
      </c>
      <c r="C2316" s="2" t="s">
        <v>1159</v>
      </c>
      <c r="L2316" s="2" t="s">
        <v>40</v>
      </c>
      <c r="O2316" s="2" t="s">
        <v>115</v>
      </c>
      <c r="P2316" s="2" t="s">
        <v>180</v>
      </c>
      <c r="Q2316" s="2" t="s">
        <v>181</v>
      </c>
      <c r="R2316" s="2">
        <v>1</v>
      </c>
      <c r="S2316" s="2">
        <v>599.4</v>
      </c>
      <c r="T2316" s="2">
        <v>137.86199999999999</v>
      </c>
      <c r="U2316" s="2">
        <v>737.26199999999994</v>
      </c>
      <c r="V2316" s="2">
        <v>346.57</v>
      </c>
      <c r="W2316" s="5">
        <f t="shared" si="223"/>
        <v>0.42180513847180512</v>
      </c>
      <c r="Y2316" s="2" t="s">
        <v>118</v>
      </c>
      <c r="Z2316" s="2" t="s">
        <v>182</v>
      </c>
      <c r="AE2316" s="2">
        <f t="shared" si="225"/>
        <v>0</v>
      </c>
      <c r="AI2316" s="2">
        <f t="shared" si="226"/>
        <v>0</v>
      </c>
      <c r="AJ2316" s="2">
        <f t="shared" si="227"/>
        <v>252.82999999999998</v>
      </c>
      <c r="AK2316" s="5">
        <f t="shared" si="224"/>
        <v>0.42180513847180512</v>
      </c>
    </row>
    <row r="2317" spans="1:37" x14ac:dyDescent="0.2">
      <c r="A2317" s="2">
        <v>2025</v>
      </c>
      <c r="B2317" s="2">
        <v>12</v>
      </c>
      <c r="C2317" s="2" t="s">
        <v>1159</v>
      </c>
      <c r="L2317" s="2" t="s">
        <v>40</v>
      </c>
      <c r="O2317" s="2" t="s">
        <v>188</v>
      </c>
      <c r="P2317" s="2" t="s">
        <v>189</v>
      </c>
      <c r="Q2317" s="2" t="s">
        <v>190</v>
      </c>
      <c r="R2317" s="2">
        <v>1</v>
      </c>
      <c r="S2317" s="2">
        <v>84.7</v>
      </c>
      <c r="T2317" s="2">
        <v>19.481000000000002</v>
      </c>
      <c r="U2317" s="2">
        <v>104.181</v>
      </c>
      <c r="W2317" s="5">
        <f t="shared" si="223"/>
        <v>1</v>
      </c>
      <c r="Y2317" s="2" t="s">
        <v>118</v>
      </c>
      <c r="Z2317" s="2" t="s">
        <v>191</v>
      </c>
      <c r="AE2317" s="2">
        <f t="shared" si="225"/>
        <v>0</v>
      </c>
      <c r="AI2317" s="2">
        <f t="shared" si="226"/>
        <v>0</v>
      </c>
      <c r="AJ2317" s="2">
        <f t="shared" si="227"/>
        <v>84.7</v>
      </c>
      <c r="AK2317" s="5">
        <f t="shared" si="224"/>
        <v>1</v>
      </c>
    </row>
    <row r="2318" spans="1:37" x14ac:dyDescent="0.2">
      <c r="A2318" s="2">
        <v>2025</v>
      </c>
      <c r="B2318" s="2">
        <v>12</v>
      </c>
      <c r="C2318" s="2" t="s">
        <v>1159</v>
      </c>
      <c r="L2318" s="2" t="s">
        <v>40</v>
      </c>
      <c r="O2318" s="2" t="s">
        <v>188</v>
      </c>
      <c r="P2318" s="2" t="s">
        <v>192</v>
      </c>
      <c r="Q2318" s="2" t="s">
        <v>191</v>
      </c>
      <c r="R2318" s="2">
        <v>1</v>
      </c>
      <c r="S2318" s="2">
        <v>35</v>
      </c>
      <c r="T2318" s="2">
        <v>8.0500000000000007</v>
      </c>
      <c r="U2318" s="2">
        <v>43.05</v>
      </c>
      <c r="V2318" s="2">
        <f>S2318*50%</f>
        <v>17.5</v>
      </c>
      <c r="W2318" s="5">
        <f t="shared" si="223"/>
        <v>0.5</v>
      </c>
      <c r="Y2318" s="2" t="s">
        <v>118</v>
      </c>
      <c r="Z2318" s="2" t="s">
        <v>191</v>
      </c>
      <c r="AE2318" s="2">
        <f t="shared" si="225"/>
        <v>0</v>
      </c>
      <c r="AI2318" s="2">
        <f t="shared" si="226"/>
        <v>0</v>
      </c>
      <c r="AJ2318" s="2">
        <f t="shared" si="227"/>
        <v>17.5</v>
      </c>
      <c r="AK2318" s="5">
        <f t="shared" si="224"/>
        <v>0.5</v>
      </c>
    </row>
    <row r="2319" spans="1:37" x14ac:dyDescent="0.2">
      <c r="A2319" s="2">
        <v>2025</v>
      </c>
      <c r="B2319" s="2">
        <v>12</v>
      </c>
      <c r="C2319" s="2" t="s">
        <v>2118</v>
      </c>
      <c r="O2319" s="2" t="s">
        <v>115</v>
      </c>
      <c r="P2319" s="2" t="s">
        <v>911</v>
      </c>
      <c r="Q2319" s="2" t="s">
        <v>912</v>
      </c>
      <c r="R2319" s="2">
        <v>1</v>
      </c>
      <c r="S2319" s="2">
        <v>591.95000000000005</v>
      </c>
      <c r="T2319" s="2">
        <v>136.14850000000001</v>
      </c>
      <c r="U2319" s="2">
        <v>728.09850000000006</v>
      </c>
      <c r="W2319" s="5">
        <f t="shared" si="223"/>
        <v>1</v>
      </c>
      <c r="AE2319" s="2">
        <f t="shared" si="225"/>
        <v>0</v>
      </c>
      <c r="AI2319" s="2">
        <f t="shared" si="226"/>
        <v>0</v>
      </c>
      <c r="AJ2319" s="2">
        <f t="shared" si="227"/>
        <v>591.95000000000005</v>
      </c>
      <c r="AK2319" s="5">
        <f t="shared" si="224"/>
        <v>1</v>
      </c>
    </row>
    <row r="2320" spans="1:37" x14ac:dyDescent="0.2">
      <c r="A2320" s="2">
        <v>2025</v>
      </c>
      <c r="B2320" s="2">
        <v>12</v>
      </c>
      <c r="C2320" s="2" t="s">
        <v>2118</v>
      </c>
      <c r="L2320" s="2" t="s">
        <v>40</v>
      </c>
      <c r="O2320" s="2" t="s">
        <v>188</v>
      </c>
      <c r="P2320" s="2" t="s">
        <v>189</v>
      </c>
      <c r="Q2320" s="2" t="s">
        <v>190</v>
      </c>
      <c r="R2320" s="2">
        <v>1</v>
      </c>
      <c r="S2320" s="2">
        <v>50</v>
      </c>
      <c r="T2320" s="2">
        <v>11.5</v>
      </c>
      <c r="U2320" s="2">
        <v>61.5</v>
      </c>
      <c r="W2320" s="5">
        <f t="shared" si="223"/>
        <v>1</v>
      </c>
      <c r="Y2320" s="2" t="s">
        <v>118</v>
      </c>
      <c r="Z2320" s="2" t="s">
        <v>191</v>
      </c>
      <c r="AE2320" s="2">
        <f t="shared" si="225"/>
        <v>0</v>
      </c>
      <c r="AI2320" s="2">
        <f t="shared" si="226"/>
        <v>0</v>
      </c>
      <c r="AJ2320" s="2">
        <f t="shared" si="227"/>
        <v>50</v>
      </c>
      <c r="AK2320" s="5">
        <f t="shared" si="224"/>
        <v>1</v>
      </c>
    </row>
    <row r="2321" spans="1:37" x14ac:dyDescent="0.2">
      <c r="A2321" s="2">
        <v>2025</v>
      </c>
      <c r="B2321" s="2">
        <v>12</v>
      </c>
      <c r="C2321" s="2" t="s">
        <v>2118</v>
      </c>
      <c r="L2321" s="2" t="s">
        <v>40</v>
      </c>
      <c r="O2321" s="2" t="s">
        <v>188</v>
      </c>
      <c r="P2321" s="2" t="s">
        <v>192</v>
      </c>
      <c r="Q2321" s="2" t="s">
        <v>191</v>
      </c>
      <c r="R2321" s="2">
        <v>1</v>
      </c>
      <c r="S2321" s="2">
        <v>50</v>
      </c>
      <c r="T2321" s="2">
        <v>11.5</v>
      </c>
      <c r="U2321" s="2">
        <v>61.5</v>
      </c>
      <c r="V2321" s="2">
        <f>S2321*50%</f>
        <v>25</v>
      </c>
      <c r="W2321" s="5">
        <f t="shared" si="223"/>
        <v>0.5</v>
      </c>
      <c r="Y2321" s="2" t="s">
        <v>118</v>
      </c>
      <c r="Z2321" s="2" t="s">
        <v>191</v>
      </c>
      <c r="AE2321" s="2">
        <f t="shared" si="225"/>
        <v>0</v>
      </c>
      <c r="AI2321" s="2">
        <f t="shared" si="226"/>
        <v>0</v>
      </c>
      <c r="AJ2321" s="2">
        <f t="shared" si="227"/>
        <v>25</v>
      </c>
      <c r="AK2321" s="5">
        <f t="shared" si="224"/>
        <v>0.5</v>
      </c>
    </row>
    <row r="2322" spans="1:37" x14ac:dyDescent="0.2">
      <c r="A2322" s="2">
        <v>2025</v>
      </c>
      <c r="B2322" s="2">
        <v>12</v>
      </c>
      <c r="C2322" s="2" t="s">
        <v>2118</v>
      </c>
      <c r="O2322" s="2" t="s">
        <v>40</v>
      </c>
      <c r="P2322" s="2" t="s">
        <v>364</v>
      </c>
      <c r="Q2322" s="2" t="s">
        <v>365</v>
      </c>
      <c r="R2322" s="2">
        <v>1</v>
      </c>
      <c r="S2322" s="2">
        <v>297</v>
      </c>
      <c r="T2322" s="2">
        <v>68.31</v>
      </c>
      <c r="U2322" s="2">
        <v>365.31</v>
      </c>
      <c r="W2322" s="5">
        <f t="shared" si="223"/>
        <v>1</v>
      </c>
      <c r="Y2322" s="2" t="s">
        <v>120</v>
      </c>
      <c r="AE2322" s="2">
        <f t="shared" si="225"/>
        <v>0</v>
      </c>
      <c r="AI2322" s="2">
        <f t="shared" si="226"/>
        <v>0</v>
      </c>
      <c r="AJ2322" s="2">
        <f t="shared" si="227"/>
        <v>297</v>
      </c>
      <c r="AK2322" s="5">
        <f t="shared" si="224"/>
        <v>1</v>
      </c>
    </row>
    <row r="2323" spans="1:37" x14ac:dyDescent="0.2">
      <c r="A2323" s="2">
        <v>2025</v>
      </c>
      <c r="B2323" s="2">
        <v>12</v>
      </c>
      <c r="C2323" s="2" t="s">
        <v>1488</v>
      </c>
      <c r="D2323" s="2" t="s">
        <v>758</v>
      </c>
      <c r="E2323" s="2" t="s">
        <v>1489</v>
      </c>
      <c r="F2323" s="2">
        <v>506123758</v>
      </c>
      <c r="G2323" s="2" t="s">
        <v>110</v>
      </c>
      <c r="H2323" s="2" t="s">
        <v>1490</v>
      </c>
      <c r="I2323" s="2" t="s">
        <v>1491</v>
      </c>
      <c r="J2323" s="2">
        <v>936406952</v>
      </c>
      <c r="K2323" s="2" t="s">
        <v>465</v>
      </c>
      <c r="L2323" s="2" t="s">
        <v>40</v>
      </c>
      <c r="N2323" s="2" t="s">
        <v>2119</v>
      </c>
      <c r="O2323" s="2" t="s">
        <v>188</v>
      </c>
      <c r="P2323" s="2" t="s">
        <v>189</v>
      </c>
      <c r="Q2323" s="2" t="s">
        <v>190</v>
      </c>
      <c r="R2323" s="2">
        <v>1</v>
      </c>
      <c r="S2323" s="2">
        <v>186</v>
      </c>
      <c r="T2323" s="2">
        <v>42.78</v>
      </c>
      <c r="U2323" s="2">
        <v>228.78</v>
      </c>
      <c r="W2323" s="5">
        <f t="shared" ref="W2323:W2334" si="228">(S2323-V2323)/S2323</f>
        <v>1</v>
      </c>
      <c r="Y2323" s="2" t="s">
        <v>118</v>
      </c>
      <c r="Z2323" s="2" t="s">
        <v>191</v>
      </c>
      <c r="AE2323" s="2">
        <f t="shared" si="225"/>
        <v>0</v>
      </c>
      <c r="AI2323" s="2">
        <f t="shared" si="226"/>
        <v>0</v>
      </c>
      <c r="AJ2323" s="2">
        <f t="shared" si="227"/>
        <v>186</v>
      </c>
      <c r="AK2323" s="5">
        <f t="shared" si="224"/>
        <v>1</v>
      </c>
    </row>
    <row r="2324" spans="1:37" x14ac:dyDescent="0.2">
      <c r="A2324" s="2">
        <v>2025</v>
      </c>
      <c r="B2324" s="2">
        <v>12</v>
      </c>
      <c r="C2324" s="2" t="s">
        <v>1488</v>
      </c>
      <c r="D2324" s="2" t="s">
        <v>758</v>
      </c>
      <c r="E2324" s="2" t="s">
        <v>1489</v>
      </c>
      <c r="F2324" s="2">
        <v>506123758</v>
      </c>
      <c r="G2324" s="2" t="s">
        <v>110</v>
      </c>
      <c r="H2324" s="2" t="s">
        <v>1490</v>
      </c>
      <c r="I2324" s="2" t="s">
        <v>1491</v>
      </c>
      <c r="J2324" s="2">
        <v>936406952</v>
      </c>
      <c r="K2324" s="2" t="s">
        <v>465</v>
      </c>
      <c r="L2324" s="2" t="s">
        <v>40</v>
      </c>
      <c r="N2324" s="2" t="s">
        <v>2119</v>
      </c>
      <c r="O2324" s="2" t="s">
        <v>188</v>
      </c>
      <c r="P2324" s="2" t="s">
        <v>192</v>
      </c>
      <c r="Q2324" s="2" t="s">
        <v>191</v>
      </c>
      <c r="R2324" s="2">
        <v>1</v>
      </c>
      <c r="S2324" s="2">
        <v>50</v>
      </c>
      <c r="T2324" s="2">
        <v>11.5</v>
      </c>
      <c r="U2324" s="2">
        <v>61.5</v>
      </c>
      <c r="V2324" s="2">
        <f>S2324*50%</f>
        <v>25</v>
      </c>
      <c r="W2324" s="5">
        <f t="shared" si="228"/>
        <v>0.5</v>
      </c>
      <c r="Y2324" s="2" t="s">
        <v>118</v>
      </c>
      <c r="Z2324" s="2" t="s">
        <v>191</v>
      </c>
      <c r="AE2324" s="2">
        <f t="shared" si="225"/>
        <v>0</v>
      </c>
      <c r="AI2324" s="2">
        <f t="shared" si="226"/>
        <v>0</v>
      </c>
      <c r="AJ2324" s="2">
        <f t="shared" si="227"/>
        <v>25</v>
      </c>
      <c r="AK2324" s="5">
        <f t="shared" si="224"/>
        <v>0.5</v>
      </c>
    </row>
    <row r="2325" spans="1:37" x14ac:dyDescent="0.2">
      <c r="A2325" s="2">
        <v>2025</v>
      </c>
      <c r="B2325" s="2">
        <v>12</v>
      </c>
      <c r="C2325" s="2" t="s">
        <v>693</v>
      </c>
      <c r="D2325" s="2" t="s">
        <v>38</v>
      </c>
      <c r="E2325" s="2" t="s">
        <v>39</v>
      </c>
      <c r="F2325" s="2">
        <v>501726519</v>
      </c>
      <c r="G2325" s="2" t="s">
        <v>291</v>
      </c>
      <c r="H2325" s="2" t="s">
        <v>441</v>
      </c>
      <c r="I2325" s="2" t="s">
        <v>694</v>
      </c>
      <c r="K2325" s="2" t="s">
        <v>340</v>
      </c>
      <c r="O2325" s="2" t="s">
        <v>115</v>
      </c>
      <c r="P2325" s="2" t="s">
        <v>829</v>
      </c>
      <c r="Q2325" s="2" t="s">
        <v>830</v>
      </c>
      <c r="R2325" s="2">
        <v>1</v>
      </c>
      <c r="S2325" s="2">
        <v>273.13</v>
      </c>
      <c r="T2325" s="2">
        <v>62.819899999999997</v>
      </c>
      <c r="U2325" s="2">
        <v>335.94990000000001</v>
      </c>
      <c r="W2325" s="5">
        <f t="shared" si="228"/>
        <v>1</v>
      </c>
      <c r="Y2325" s="2" t="s">
        <v>118</v>
      </c>
      <c r="Z2325" s="2" t="s">
        <v>119</v>
      </c>
      <c r="AE2325" s="2">
        <f t="shared" si="225"/>
        <v>0</v>
      </c>
      <c r="AI2325" s="2">
        <f t="shared" si="226"/>
        <v>0</v>
      </c>
      <c r="AJ2325" s="2">
        <f t="shared" si="227"/>
        <v>273.13</v>
      </c>
      <c r="AK2325" s="5">
        <f t="shared" si="224"/>
        <v>1</v>
      </c>
    </row>
    <row r="2326" spans="1:37" x14ac:dyDescent="0.2">
      <c r="A2326" s="2">
        <v>2025</v>
      </c>
      <c r="B2326" s="2">
        <v>12</v>
      </c>
      <c r="C2326" s="2" t="s">
        <v>695</v>
      </c>
      <c r="D2326" s="2" t="s">
        <v>109</v>
      </c>
      <c r="E2326" s="2" t="s">
        <v>39</v>
      </c>
      <c r="F2326" s="2">
        <v>503589950</v>
      </c>
      <c r="G2326" s="2" t="s">
        <v>41</v>
      </c>
      <c r="H2326" s="2" t="s">
        <v>615</v>
      </c>
      <c r="I2326" s="2" t="s">
        <v>696</v>
      </c>
      <c r="J2326" s="2">
        <v>913036545</v>
      </c>
      <c r="K2326" s="2" t="s">
        <v>178</v>
      </c>
      <c r="L2326" s="2" t="s">
        <v>40</v>
      </c>
      <c r="N2326" s="2" t="s">
        <v>2120</v>
      </c>
      <c r="O2326" s="2" t="s">
        <v>115</v>
      </c>
      <c r="P2326" s="2" t="s">
        <v>2121</v>
      </c>
      <c r="Q2326" s="2" t="s">
        <v>2122</v>
      </c>
      <c r="R2326" s="2">
        <v>1</v>
      </c>
      <c r="S2326" s="2">
        <v>55.13</v>
      </c>
      <c r="T2326" s="2">
        <v>12.6799</v>
      </c>
      <c r="U2326" s="2">
        <v>67.809899999999999</v>
      </c>
      <c r="V2326" s="2">
        <v>42.23</v>
      </c>
      <c r="W2326" s="5">
        <f t="shared" si="228"/>
        <v>0.23399238164338845</v>
      </c>
      <c r="Y2326" s="2" t="s">
        <v>118</v>
      </c>
      <c r="Z2326" s="2" t="s">
        <v>119</v>
      </c>
      <c r="AA2326" s="2" t="s">
        <v>120</v>
      </c>
      <c r="AB2326" s="2" t="s">
        <v>115</v>
      </c>
      <c r="AE2326" s="2">
        <f t="shared" si="225"/>
        <v>0</v>
      </c>
      <c r="AF2326" s="2">
        <v>42.23</v>
      </c>
      <c r="AI2326" s="2">
        <f t="shared" si="226"/>
        <v>0</v>
      </c>
      <c r="AJ2326" s="2">
        <f t="shared" si="227"/>
        <v>12.900000000000006</v>
      </c>
      <c r="AK2326" s="5">
        <f t="shared" si="224"/>
        <v>0.23399238164338845</v>
      </c>
    </row>
    <row r="2327" spans="1:37" x14ac:dyDescent="0.2">
      <c r="A2327" s="2">
        <v>2025</v>
      </c>
      <c r="B2327" s="2">
        <v>12</v>
      </c>
      <c r="C2327" s="2" t="s">
        <v>695</v>
      </c>
      <c r="D2327" s="2" t="s">
        <v>109</v>
      </c>
      <c r="E2327" s="2" t="s">
        <v>39</v>
      </c>
      <c r="F2327" s="2">
        <v>503589950</v>
      </c>
      <c r="G2327" s="2" t="s">
        <v>41</v>
      </c>
      <c r="H2327" s="2" t="s">
        <v>615</v>
      </c>
      <c r="I2327" s="2" t="s">
        <v>696</v>
      </c>
      <c r="J2327" s="2">
        <v>913036545</v>
      </c>
      <c r="K2327" s="2" t="s">
        <v>178</v>
      </c>
      <c r="L2327" s="2" t="s">
        <v>40</v>
      </c>
      <c r="N2327" s="2" t="s">
        <v>2120</v>
      </c>
      <c r="O2327" s="2" t="s">
        <v>115</v>
      </c>
      <c r="P2327" s="2" t="s">
        <v>1436</v>
      </c>
      <c r="Q2327" s="2" t="s">
        <v>1437</v>
      </c>
      <c r="R2327" s="2">
        <v>1</v>
      </c>
      <c r="S2327" s="2">
        <v>1867.81</v>
      </c>
      <c r="T2327" s="2">
        <v>429.59629999999999</v>
      </c>
      <c r="U2327" s="2">
        <v>2297.4063000000001</v>
      </c>
      <c r="W2327" s="5">
        <f t="shared" si="228"/>
        <v>1</v>
      </c>
      <c r="AE2327" s="2">
        <f t="shared" si="225"/>
        <v>0</v>
      </c>
      <c r="AI2327" s="2">
        <f t="shared" si="226"/>
        <v>0</v>
      </c>
      <c r="AJ2327" s="2">
        <f t="shared" si="227"/>
        <v>1867.81</v>
      </c>
      <c r="AK2327" s="5">
        <f t="shared" si="224"/>
        <v>1</v>
      </c>
    </row>
    <row r="2328" spans="1:37" x14ac:dyDescent="0.2">
      <c r="A2328" s="2">
        <v>2025</v>
      </c>
      <c r="B2328" s="2">
        <v>12</v>
      </c>
      <c r="C2328" s="2" t="s">
        <v>695</v>
      </c>
      <c r="D2328" s="2" t="s">
        <v>109</v>
      </c>
      <c r="E2328" s="2" t="s">
        <v>39</v>
      </c>
      <c r="F2328" s="2">
        <v>503589950</v>
      </c>
      <c r="G2328" s="2" t="s">
        <v>41</v>
      </c>
      <c r="H2328" s="2" t="s">
        <v>615</v>
      </c>
      <c r="I2328" s="2" t="s">
        <v>696</v>
      </c>
      <c r="J2328" s="2">
        <v>913036545</v>
      </c>
      <c r="K2328" s="2" t="s">
        <v>178</v>
      </c>
      <c r="L2328" s="2" t="s">
        <v>41</v>
      </c>
      <c r="N2328" s="2" t="s">
        <v>2123</v>
      </c>
      <c r="O2328" s="2" t="s">
        <v>115</v>
      </c>
      <c r="P2328" s="2" t="s">
        <v>1904</v>
      </c>
      <c r="Q2328" s="2" t="s">
        <v>1905</v>
      </c>
      <c r="R2328" s="2">
        <v>1</v>
      </c>
      <c r="S2328" s="2">
        <v>4700</v>
      </c>
      <c r="T2328" s="2">
        <v>1081</v>
      </c>
      <c r="U2328" s="2">
        <v>5781</v>
      </c>
      <c r="W2328" s="5">
        <f t="shared" si="228"/>
        <v>1</v>
      </c>
      <c r="Y2328" s="2" t="s">
        <v>105</v>
      </c>
      <c r="AE2328" s="2">
        <f t="shared" si="225"/>
        <v>0</v>
      </c>
      <c r="AI2328" s="2">
        <f t="shared" si="226"/>
        <v>0</v>
      </c>
      <c r="AJ2328" s="2">
        <f t="shared" si="227"/>
        <v>4700</v>
      </c>
      <c r="AK2328" s="5">
        <f t="shared" si="224"/>
        <v>1</v>
      </c>
    </row>
    <row r="2329" spans="1:37" x14ac:dyDescent="0.2">
      <c r="A2329" s="2">
        <v>2025</v>
      </c>
      <c r="B2329" s="2">
        <v>12</v>
      </c>
      <c r="C2329" s="2" t="s">
        <v>695</v>
      </c>
      <c r="D2329" s="2" t="s">
        <v>109</v>
      </c>
      <c r="E2329" s="2" t="s">
        <v>39</v>
      </c>
      <c r="F2329" s="2">
        <v>503589950</v>
      </c>
      <c r="G2329" s="2" t="s">
        <v>41</v>
      </c>
      <c r="H2329" s="2" t="s">
        <v>615</v>
      </c>
      <c r="I2329" s="2" t="s">
        <v>696</v>
      </c>
      <c r="J2329" s="2">
        <v>913036545</v>
      </c>
      <c r="K2329" s="2" t="s">
        <v>178</v>
      </c>
      <c r="L2329" s="2" t="s">
        <v>41</v>
      </c>
      <c r="N2329" s="2" t="s">
        <v>2124</v>
      </c>
      <c r="O2329" s="2" t="s">
        <v>283</v>
      </c>
      <c r="P2329" s="2" t="s">
        <v>1078</v>
      </c>
      <c r="Q2329" s="2" t="s">
        <v>1079</v>
      </c>
      <c r="R2329" s="2">
        <v>2</v>
      </c>
      <c r="S2329" s="2">
        <v>18.16</v>
      </c>
      <c r="T2329" s="2">
        <v>4.1768000000000001</v>
      </c>
      <c r="U2329" s="2">
        <v>22.3368</v>
      </c>
      <c r="W2329" s="5">
        <f t="shared" si="228"/>
        <v>1</v>
      </c>
      <c r="Y2329" s="2" t="s">
        <v>3256</v>
      </c>
      <c r="AE2329" s="2">
        <f t="shared" si="225"/>
        <v>0</v>
      </c>
      <c r="AI2329" s="2">
        <f t="shared" si="226"/>
        <v>0</v>
      </c>
      <c r="AJ2329" s="2">
        <f t="shared" si="227"/>
        <v>18.16</v>
      </c>
      <c r="AK2329" s="5">
        <f t="shared" si="224"/>
        <v>1</v>
      </c>
    </row>
    <row r="2330" spans="1:37" x14ac:dyDescent="0.2">
      <c r="A2330" s="2">
        <v>2025</v>
      </c>
      <c r="B2330" s="2">
        <v>12</v>
      </c>
      <c r="C2330" s="2" t="s">
        <v>695</v>
      </c>
      <c r="D2330" s="2" t="s">
        <v>109</v>
      </c>
      <c r="E2330" s="2" t="s">
        <v>39</v>
      </c>
      <c r="F2330" s="2">
        <v>503589950</v>
      </c>
      <c r="G2330" s="2" t="s">
        <v>41</v>
      </c>
      <c r="H2330" s="2" t="s">
        <v>615</v>
      </c>
      <c r="I2330" s="2" t="s">
        <v>696</v>
      </c>
      <c r="J2330" s="2">
        <v>913036545</v>
      </c>
      <c r="K2330" s="2" t="s">
        <v>178</v>
      </c>
      <c r="L2330" s="2" t="s">
        <v>41</v>
      </c>
      <c r="N2330" s="2" t="s">
        <v>2124</v>
      </c>
      <c r="O2330" s="2" t="s">
        <v>43</v>
      </c>
      <c r="P2330" s="2" t="s">
        <v>51</v>
      </c>
      <c r="Q2330" s="2" t="s">
        <v>52</v>
      </c>
      <c r="R2330" s="2">
        <v>2</v>
      </c>
      <c r="S2330" s="2">
        <v>38.4</v>
      </c>
      <c r="T2330" s="2">
        <v>8.8320000000000007</v>
      </c>
      <c r="U2330" s="2">
        <v>47.231999999999999</v>
      </c>
      <c r="V2330" s="2">
        <f>10.2346*R2330</f>
        <v>20.469200000000001</v>
      </c>
      <c r="W2330" s="5">
        <f t="shared" si="228"/>
        <v>0.46694791666666663</v>
      </c>
      <c r="Y2330" s="2" t="s">
        <v>3256</v>
      </c>
      <c r="Z2330" s="2" t="s">
        <v>46</v>
      </c>
      <c r="AA2330" s="2" t="s">
        <v>47</v>
      </c>
      <c r="AB2330" s="2" t="s">
        <v>48</v>
      </c>
      <c r="AE2330" s="2">
        <f t="shared" si="225"/>
        <v>0</v>
      </c>
      <c r="AF2330" s="2">
        <v>10.2346</v>
      </c>
      <c r="AG2330" s="2">
        <v>18</v>
      </c>
      <c r="AI2330" s="2">
        <f t="shared" si="226"/>
        <v>0</v>
      </c>
      <c r="AJ2330" s="2">
        <f t="shared" si="227"/>
        <v>17.930799999999998</v>
      </c>
      <c r="AK2330" s="5">
        <f t="shared" si="224"/>
        <v>0.46694791666666663</v>
      </c>
    </row>
    <row r="2331" spans="1:37" x14ac:dyDescent="0.2">
      <c r="A2331" s="2">
        <v>2025</v>
      </c>
      <c r="B2331" s="2">
        <v>12</v>
      </c>
      <c r="C2331" s="2" t="s">
        <v>695</v>
      </c>
      <c r="D2331" s="2" t="s">
        <v>109</v>
      </c>
      <c r="E2331" s="2" t="s">
        <v>39</v>
      </c>
      <c r="F2331" s="2">
        <v>503589950</v>
      </c>
      <c r="G2331" s="2" t="s">
        <v>41</v>
      </c>
      <c r="H2331" s="2" t="s">
        <v>615</v>
      </c>
      <c r="I2331" s="2" t="s">
        <v>696</v>
      </c>
      <c r="J2331" s="2">
        <v>913036545</v>
      </c>
      <c r="K2331" s="2" t="s">
        <v>178</v>
      </c>
      <c r="L2331" s="2" t="s">
        <v>41</v>
      </c>
      <c r="N2331" s="2" t="s">
        <v>2124</v>
      </c>
      <c r="O2331" s="2" t="s">
        <v>43</v>
      </c>
      <c r="P2331" s="2" t="s">
        <v>866</v>
      </c>
      <c r="Q2331" s="2" t="s">
        <v>867</v>
      </c>
      <c r="R2331" s="2">
        <v>2</v>
      </c>
      <c r="S2331" s="2">
        <v>38.4</v>
      </c>
      <c r="T2331" s="2">
        <v>8.8320000000000007</v>
      </c>
      <c r="U2331" s="2">
        <v>47.231999999999999</v>
      </c>
      <c r="W2331" s="5">
        <f t="shared" si="228"/>
        <v>1</v>
      </c>
      <c r="Y2331" s="2" t="s">
        <v>3256</v>
      </c>
      <c r="Z2331" s="2" t="s">
        <v>46</v>
      </c>
      <c r="AA2331" s="2" t="s">
        <v>47</v>
      </c>
      <c r="AB2331" s="2" t="s">
        <v>48</v>
      </c>
      <c r="AE2331" s="2">
        <f t="shared" si="225"/>
        <v>0</v>
      </c>
      <c r="AI2331" s="2">
        <f t="shared" si="226"/>
        <v>0</v>
      </c>
      <c r="AJ2331" s="2">
        <f t="shared" si="227"/>
        <v>38.4</v>
      </c>
      <c r="AK2331" s="5">
        <f t="shared" si="224"/>
        <v>1</v>
      </c>
    </row>
    <row r="2332" spans="1:37" x14ac:dyDescent="0.2">
      <c r="A2332" s="2">
        <v>2025</v>
      </c>
      <c r="B2332" s="2">
        <v>12</v>
      </c>
      <c r="C2332" s="2" t="s">
        <v>695</v>
      </c>
      <c r="D2332" s="2" t="s">
        <v>109</v>
      </c>
      <c r="E2332" s="2" t="s">
        <v>39</v>
      </c>
      <c r="F2332" s="2">
        <v>503589950</v>
      </c>
      <c r="G2332" s="2" t="s">
        <v>41</v>
      </c>
      <c r="H2332" s="2" t="s">
        <v>615</v>
      </c>
      <c r="I2332" s="2" t="s">
        <v>696</v>
      </c>
      <c r="J2332" s="2">
        <v>913036545</v>
      </c>
      <c r="K2332" s="2" t="s">
        <v>178</v>
      </c>
      <c r="L2332" s="2" t="s">
        <v>41</v>
      </c>
      <c r="N2332" s="2" t="s">
        <v>2124</v>
      </c>
      <c r="O2332" s="2" t="s">
        <v>43</v>
      </c>
      <c r="P2332" s="2" t="s">
        <v>1174</v>
      </c>
      <c r="Q2332" s="2" t="s">
        <v>1175</v>
      </c>
      <c r="R2332" s="2">
        <v>1</v>
      </c>
      <c r="S2332" s="2">
        <v>33</v>
      </c>
      <c r="T2332" s="2">
        <v>7.5900000000000007</v>
      </c>
      <c r="U2332" s="2">
        <v>40.590000000000003</v>
      </c>
      <c r="W2332" s="5">
        <f t="shared" si="228"/>
        <v>1</v>
      </c>
      <c r="Y2332" s="2" t="s">
        <v>3256</v>
      </c>
      <c r="Z2332" s="2" t="s">
        <v>46</v>
      </c>
      <c r="AA2332" s="2" t="s">
        <v>47</v>
      </c>
      <c r="AB2332" s="2" t="s">
        <v>48</v>
      </c>
      <c r="AE2332" s="2">
        <f t="shared" si="225"/>
        <v>0</v>
      </c>
      <c r="AI2332" s="2">
        <f t="shared" si="226"/>
        <v>0</v>
      </c>
      <c r="AJ2332" s="2">
        <f t="shared" si="227"/>
        <v>33</v>
      </c>
      <c r="AK2332" s="5">
        <f t="shared" si="224"/>
        <v>1</v>
      </c>
    </row>
    <row r="2333" spans="1:37" x14ac:dyDescent="0.2">
      <c r="A2333" s="2">
        <v>2025</v>
      </c>
      <c r="B2333" s="2">
        <v>12</v>
      </c>
      <c r="C2333" s="2" t="s">
        <v>695</v>
      </c>
      <c r="D2333" s="2" t="s">
        <v>109</v>
      </c>
      <c r="E2333" s="2" t="s">
        <v>39</v>
      </c>
      <c r="F2333" s="2">
        <v>503589950</v>
      </c>
      <c r="G2333" s="2" t="s">
        <v>41</v>
      </c>
      <c r="H2333" s="2" t="s">
        <v>615</v>
      </c>
      <c r="I2333" s="2" t="s">
        <v>696</v>
      </c>
      <c r="J2333" s="2">
        <v>913036545</v>
      </c>
      <c r="K2333" s="2" t="s">
        <v>178</v>
      </c>
      <c r="L2333" s="2" t="s">
        <v>40</v>
      </c>
      <c r="N2333" s="2" t="s">
        <v>2120</v>
      </c>
      <c r="O2333" s="2" t="s">
        <v>188</v>
      </c>
      <c r="P2333" s="2" t="s">
        <v>189</v>
      </c>
      <c r="Q2333" s="2" t="s">
        <v>190</v>
      </c>
      <c r="R2333" s="2">
        <v>1</v>
      </c>
      <c r="S2333" s="2">
        <v>79</v>
      </c>
      <c r="T2333" s="2">
        <v>18.170000000000002</v>
      </c>
      <c r="U2333" s="2">
        <v>97.17</v>
      </c>
      <c r="W2333" s="5">
        <f t="shared" si="228"/>
        <v>1</v>
      </c>
      <c r="Y2333" s="2" t="s">
        <v>118</v>
      </c>
      <c r="Z2333" s="2" t="s">
        <v>191</v>
      </c>
      <c r="AE2333" s="2">
        <f t="shared" si="225"/>
        <v>0</v>
      </c>
      <c r="AI2333" s="2">
        <f t="shared" si="226"/>
        <v>0</v>
      </c>
      <c r="AJ2333" s="2">
        <f t="shared" si="227"/>
        <v>79</v>
      </c>
      <c r="AK2333" s="5">
        <f t="shared" si="224"/>
        <v>1</v>
      </c>
    </row>
    <row r="2334" spans="1:37" x14ac:dyDescent="0.2">
      <c r="A2334" s="2">
        <v>2025</v>
      </c>
      <c r="B2334" s="2">
        <v>12</v>
      </c>
      <c r="C2334" s="2" t="s">
        <v>695</v>
      </c>
      <c r="D2334" s="2" t="s">
        <v>109</v>
      </c>
      <c r="E2334" s="2" t="s">
        <v>39</v>
      </c>
      <c r="F2334" s="2">
        <v>503589950</v>
      </c>
      <c r="G2334" s="2" t="s">
        <v>41</v>
      </c>
      <c r="H2334" s="2" t="s">
        <v>615</v>
      </c>
      <c r="I2334" s="2" t="s">
        <v>696</v>
      </c>
      <c r="J2334" s="2">
        <v>913036545</v>
      </c>
      <c r="K2334" s="2" t="s">
        <v>178</v>
      </c>
      <c r="L2334" s="2" t="s">
        <v>40</v>
      </c>
      <c r="N2334" s="2" t="s">
        <v>2120</v>
      </c>
      <c r="O2334" s="2" t="s">
        <v>188</v>
      </c>
      <c r="P2334" s="2" t="s">
        <v>192</v>
      </c>
      <c r="Q2334" s="2" t="s">
        <v>191</v>
      </c>
      <c r="R2334" s="2">
        <v>2</v>
      </c>
      <c r="S2334" s="2">
        <v>100</v>
      </c>
      <c r="T2334" s="2">
        <v>23</v>
      </c>
      <c r="U2334" s="2">
        <v>123</v>
      </c>
      <c r="V2334" s="2">
        <f>S2334*50%</f>
        <v>50</v>
      </c>
      <c r="W2334" s="5">
        <f t="shared" si="228"/>
        <v>0.5</v>
      </c>
      <c r="Y2334" s="2" t="s">
        <v>118</v>
      </c>
      <c r="Z2334" s="2" t="s">
        <v>191</v>
      </c>
      <c r="AE2334" s="2">
        <f t="shared" si="225"/>
        <v>0</v>
      </c>
      <c r="AI2334" s="2">
        <f t="shared" si="226"/>
        <v>0</v>
      </c>
      <c r="AJ2334" s="2">
        <f t="shared" si="227"/>
        <v>50</v>
      </c>
      <c r="AK2334" s="5">
        <f t="shared" si="224"/>
        <v>0.5</v>
      </c>
    </row>
    <row r="2335" spans="1:37" x14ac:dyDescent="0.2">
      <c r="A2335" s="2">
        <v>2025</v>
      </c>
      <c r="B2335" s="2">
        <v>12</v>
      </c>
      <c r="C2335" s="2" t="s">
        <v>695</v>
      </c>
      <c r="D2335" s="2" t="s">
        <v>109</v>
      </c>
      <c r="E2335" s="2" t="s">
        <v>39</v>
      </c>
      <c r="F2335" s="2">
        <v>503589950</v>
      </c>
      <c r="G2335" s="2" t="s">
        <v>41</v>
      </c>
      <c r="H2335" s="2" t="s">
        <v>615</v>
      </c>
      <c r="I2335" s="2" t="s">
        <v>696</v>
      </c>
      <c r="J2335" s="2">
        <v>913036545</v>
      </c>
      <c r="K2335" s="2" t="s">
        <v>178</v>
      </c>
      <c r="L2335" s="2" t="s">
        <v>40</v>
      </c>
      <c r="N2335" s="2" t="s">
        <v>2123</v>
      </c>
      <c r="O2335" s="2" t="s">
        <v>188</v>
      </c>
      <c r="P2335" s="2" t="s">
        <v>1318</v>
      </c>
      <c r="Q2335" s="2" t="s">
        <v>1319</v>
      </c>
      <c r="R2335" s="2">
        <v>12</v>
      </c>
      <c r="S2335" s="2">
        <v>0</v>
      </c>
      <c r="T2335" s="2">
        <v>0</v>
      </c>
      <c r="U2335" s="2">
        <v>0</v>
      </c>
      <c r="W2335" s="5">
        <v>0</v>
      </c>
      <c r="Y2335" s="2" t="s">
        <v>118</v>
      </c>
      <c r="Z2335" s="2" t="s">
        <v>1320</v>
      </c>
      <c r="AE2335" s="2">
        <f t="shared" si="225"/>
        <v>0</v>
      </c>
      <c r="AI2335" s="2">
        <f t="shared" si="226"/>
        <v>0</v>
      </c>
      <c r="AJ2335" s="2">
        <f t="shared" si="227"/>
        <v>0</v>
      </c>
      <c r="AK2335" s="5" t="e">
        <f t="shared" si="224"/>
        <v>#DIV/0!</v>
      </c>
    </row>
    <row r="2336" spans="1:37" x14ac:dyDescent="0.2">
      <c r="A2336" s="2">
        <v>2025</v>
      </c>
      <c r="B2336" s="2">
        <v>12</v>
      </c>
      <c r="C2336" s="2" t="s">
        <v>193</v>
      </c>
      <c r="D2336" s="2" t="s">
        <v>109</v>
      </c>
      <c r="E2336" s="2" t="s">
        <v>194</v>
      </c>
      <c r="F2336" s="2">
        <v>502044411</v>
      </c>
      <c r="G2336" s="2" t="s">
        <v>40</v>
      </c>
      <c r="H2336" s="2" t="s">
        <v>157</v>
      </c>
      <c r="I2336" s="2" t="s">
        <v>195</v>
      </c>
      <c r="K2336" s="2" t="s">
        <v>100</v>
      </c>
      <c r="L2336" s="2" t="s">
        <v>81</v>
      </c>
      <c r="N2336" s="2" t="s">
        <v>2125</v>
      </c>
      <c r="O2336" s="2" t="s">
        <v>43</v>
      </c>
      <c r="P2336" s="2" t="s">
        <v>424</v>
      </c>
      <c r="Q2336" s="2" t="s">
        <v>425</v>
      </c>
      <c r="R2336" s="2">
        <v>12</v>
      </c>
      <c r="S2336" s="2">
        <v>79.2</v>
      </c>
      <c r="T2336" s="2">
        <v>18.216000000000001</v>
      </c>
      <c r="U2336" s="2">
        <v>97.415999999999997</v>
      </c>
      <c r="V2336" s="2">
        <f>3.7556*R2336</f>
        <v>45.0672</v>
      </c>
      <c r="W2336" s="5">
        <f t="shared" ref="W2336:W2367" si="229">(S2336-V2336)/S2336</f>
        <v>0.430969696969697</v>
      </c>
      <c r="Y2336" s="2" t="s">
        <v>3256</v>
      </c>
      <c r="Z2336" s="2" t="s">
        <v>46</v>
      </c>
      <c r="AA2336" s="2" t="s">
        <v>61</v>
      </c>
      <c r="AB2336" s="2" t="s">
        <v>58</v>
      </c>
      <c r="AE2336" s="2">
        <f t="shared" si="225"/>
        <v>0</v>
      </c>
      <c r="AF2336" s="2">
        <v>3.7555999999999998</v>
      </c>
      <c r="AG2336" s="2">
        <v>7.2</v>
      </c>
      <c r="AI2336" s="2">
        <f t="shared" si="226"/>
        <v>0</v>
      </c>
      <c r="AJ2336" s="2">
        <f t="shared" si="227"/>
        <v>34.132800000000003</v>
      </c>
      <c r="AK2336" s="5">
        <f t="shared" si="224"/>
        <v>0.430969696969697</v>
      </c>
    </row>
    <row r="2337" spans="1:37" x14ac:dyDescent="0.2">
      <c r="A2337" s="2">
        <v>2025</v>
      </c>
      <c r="B2337" s="2">
        <v>12</v>
      </c>
      <c r="C2337" s="2" t="s">
        <v>193</v>
      </c>
      <c r="D2337" s="2" t="s">
        <v>109</v>
      </c>
      <c r="E2337" s="2" t="s">
        <v>194</v>
      </c>
      <c r="F2337" s="2">
        <v>502044411</v>
      </c>
      <c r="G2337" s="2" t="s">
        <v>40</v>
      </c>
      <c r="H2337" s="2" t="s">
        <v>157</v>
      </c>
      <c r="I2337" s="2" t="s">
        <v>195</v>
      </c>
      <c r="K2337" s="2" t="s">
        <v>100</v>
      </c>
      <c r="L2337" s="2" t="s">
        <v>81</v>
      </c>
      <c r="N2337" s="2" t="s">
        <v>2125</v>
      </c>
      <c r="O2337" s="2" t="s">
        <v>43</v>
      </c>
      <c r="P2337" s="2" t="s">
        <v>64</v>
      </c>
      <c r="Q2337" s="2" t="s">
        <v>65</v>
      </c>
      <c r="R2337" s="2">
        <v>12</v>
      </c>
      <c r="S2337" s="2">
        <v>21.6</v>
      </c>
      <c r="T2337" s="2">
        <v>4.9680000000000009</v>
      </c>
      <c r="U2337" s="2">
        <v>26.568000000000001</v>
      </c>
      <c r="V2337" s="2">
        <f>0.8561*R2337</f>
        <v>10.273199999999999</v>
      </c>
      <c r="W2337" s="5">
        <f t="shared" si="229"/>
        <v>0.5243888888888889</v>
      </c>
      <c r="Y2337" s="2" t="s">
        <v>3256</v>
      </c>
      <c r="Z2337" s="2" t="s">
        <v>46</v>
      </c>
      <c r="AA2337" s="2" t="s">
        <v>61</v>
      </c>
      <c r="AB2337" s="2" t="s">
        <v>58</v>
      </c>
      <c r="AE2337" s="2">
        <f t="shared" si="225"/>
        <v>0</v>
      </c>
      <c r="AF2337" s="2">
        <v>0.85609999999999997</v>
      </c>
      <c r="AG2337" s="2">
        <v>1.8</v>
      </c>
      <c r="AI2337" s="2">
        <f t="shared" si="226"/>
        <v>0</v>
      </c>
      <c r="AJ2337" s="2">
        <f t="shared" si="227"/>
        <v>11.326800000000002</v>
      </c>
      <c r="AK2337" s="5">
        <f t="shared" si="224"/>
        <v>0.5243888888888889</v>
      </c>
    </row>
    <row r="2338" spans="1:37" x14ac:dyDescent="0.2">
      <c r="A2338" s="2">
        <v>2025</v>
      </c>
      <c r="B2338" s="2">
        <v>12</v>
      </c>
      <c r="C2338" s="2" t="s">
        <v>193</v>
      </c>
      <c r="D2338" s="2" t="s">
        <v>109</v>
      </c>
      <c r="E2338" s="2" t="s">
        <v>194</v>
      </c>
      <c r="F2338" s="2">
        <v>502044411</v>
      </c>
      <c r="G2338" s="2" t="s">
        <v>40</v>
      </c>
      <c r="H2338" s="2" t="s">
        <v>157</v>
      </c>
      <c r="I2338" s="2" t="s">
        <v>195</v>
      </c>
      <c r="K2338" s="2" t="s">
        <v>100</v>
      </c>
      <c r="L2338" s="2" t="s">
        <v>81</v>
      </c>
      <c r="N2338" s="2" t="s">
        <v>2125</v>
      </c>
      <c r="O2338" s="2" t="s">
        <v>43</v>
      </c>
      <c r="P2338" s="2" t="s">
        <v>335</v>
      </c>
      <c r="Q2338" s="2" t="s">
        <v>336</v>
      </c>
      <c r="R2338" s="2">
        <v>10</v>
      </c>
      <c r="S2338" s="2">
        <v>30</v>
      </c>
      <c r="T2338" s="2">
        <v>6.9</v>
      </c>
      <c r="U2338" s="2">
        <v>36.9</v>
      </c>
      <c r="V2338" s="2">
        <f>1.1122*R2338</f>
        <v>11.122</v>
      </c>
      <c r="W2338" s="5">
        <f t="shared" si="229"/>
        <v>0.62926666666666664</v>
      </c>
      <c r="Y2338" s="2" t="s">
        <v>3256</v>
      </c>
      <c r="Z2338" s="2" t="s">
        <v>46</v>
      </c>
      <c r="AA2338" s="2" t="s">
        <v>61</v>
      </c>
      <c r="AB2338" s="2" t="s">
        <v>58</v>
      </c>
      <c r="AE2338" s="2">
        <f t="shared" si="225"/>
        <v>0</v>
      </c>
      <c r="AF2338" s="2">
        <v>1.1122000000000001</v>
      </c>
      <c r="AG2338" s="2">
        <v>3</v>
      </c>
      <c r="AI2338" s="2">
        <f t="shared" si="226"/>
        <v>0</v>
      </c>
      <c r="AJ2338" s="2">
        <f t="shared" si="227"/>
        <v>18.878</v>
      </c>
      <c r="AK2338" s="5">
        <f t="shared" si="224"/>
        <v>0.62926666666666664</v>
      </c>
    </row>
    <row r="2339" spans="1:37" x14ac:dyDescent="0.2">
      <c r="A2339" s="2">
        <v>2025</v>
      </c>
      <c r="B2339" s="2">
        <v>12</v>
      </c>
      <c r="C2339" s="2" t="s">
        <v>290</v>
      </c>
      <c r="D2339" s="2" t="s">
        <v>109</v>
      </c>
      <c r="E2339" s="2" t="s">
        <v>39</v>
      </c>
      <c r="F2339" s="2">
        <v>508428300</v>
      </c>
      <c r="G2339" s="2" t="s">
        <v>291</v>
      </c>
      <c r="H2339" s="2" t="s">
        <v>292</v>
      </c>
      <c r="I2339" s="2" t="s">
        <v>293</v>
      </c>
      <c r="J2339" s="2">
        <v>917165642</v>
      </c>
      <c r="K2339" s="2" t="s">
        <v>294</v>
      </c>
      <c r="L2339" s="2" t="s">
        <v>40</v>
      </c>
      <c r="N2339" s="2" t="s">
        <v>2126</v>
      </c>
      <c r="O2339" s="2" t="s">
        <v>115</v>
      </c>
      <c r="P2339" s="2" t="s">
        <v>1529</v>
      </c>
      <c r="Q2339" s="2" t="s">
        <v>1530</v>
      </c>
      <c r="R2339" s="2">
        <v>1</v>
      </c>
      <c r="S2339" s="2">
        <v>33.33</v>
      </c>
      <c r="T2339" s="2">
        <v>7.6658999999999997</v>
      </c>
      <c r="U2339" s="2">
        <v>40.995899999999999</v>
      </c>
      <c r="W2339" s="5">
        <f t="shared" si="229"/>
        <v>1</v>
      </c>
      <c r="Y2339" s="2" t="s">
        <v>118</v>
      </c>
      <c r="Z2339" s="2" t="s">
        <v>119</v>
      </c>
      <c r="AA2339" s="2" t="s">
        <v>120</v>
      </c>
      <c r="AB2339" s="2" t="s">
        <v>115</v>
      </c>
      <c r="AE2339" s="2">
        <f t="shared" si="225"/>
        <v>0</v>
      </c>
      <c r="AI2339" s="2">
        <f t="shared" si="226"/>
        <v>0</v>
      </c>
      <c r="AJ2339" s="2">
        <f t="shared" si="227"/>
        <v>33.33</v>
      </c>
      <c r="AK2339" s="5">
        <f t="shared" si="224"/>
        <v>1</v>
      </c>
    </row>
    <row r="2340" spans="1:37" x14ac:dyDescent="0.2">
      <c r="A2340" s="2">
        <v>2025</v>
      </c>
      <c r="B2340" s="2">
        <v>12</v>
      </c>
      <c r="C2340" s="2" t="s">
        <v>290</v>
      </c>
      <c r="D2340" s="2" t="s">
        <v>109</v>
      </c>
      <c r="E2340" s="2" t="s">
        <v>39</v>
      </c>
      <c r="F2340" s="2">
        <v>508428300</v>
      </c>
      <c r="G2340" s="2" t="s">
        <v>291</v>
      </c>
      <c r="H2340" s="2" t="s">
        <v>292</v>
      </c>
      <c r="I2340" s="2" t="s">
        <v>293</v>
      </c>
      <c r="J2340" s="2">
        <v>917165642</v>
      </c>
      <c r="K2340" s="2" t="s">
        <v>294</v>
      </c>
      <c r="L2340" s="2" t="s">
        <v>40</v>
      </c>
      <c r="N2340" s="2" t="s">
        <v>2126</v>
      </c>
      <c r="O2340" s="2" t="s">
        <v>188</v>
      </c>
      <c r="P2340" s="2" t="s">
        <v>189</v>
      </c>
      <c r="Q2340" s="2" t="s">
        <v>190</v>
      </c>
      <c r="R2340" s="2">
        <v>1</v>
      </c>
      <c r="S2340" s="2">
        <v>61</v>
      </c>
      <c r="T2340" s="2">
        <v>14.03</v>
      </c>
      <c r="U2340" s="2">
        <v>75.03</v>
      </c>
      <c r="W2340" s="5">
        <f t="shared" si="229"/>
        <v>1</v>
      </c>
      <c r="Y2340" s="2" t="s">
        <v>118</v>
      </c>
      <c r="Z2340" s="2" t="s">
        <v>191</v>
      </c>
      <c r="AE2340" s="2">
        <f t="shared" si="225"/>
        <v>0</v>
      </c>
      <c r="AI2340" s="2">
        <f t="shared" si="226"/>
        <v>0</v>
      </c>
      <c r="AJ2340" s="2">
        <f t="shared" si="227"/>
        <v>61</v>
      </c>
      <c r="AK2340" s="5">
        <f t="shared" si="224"/>
        <v>1</v>
      </c>
    </row>
    <row r="2341" spans="1:37" x14ac:dyDescent="0.2">
      <c r="A2341" s="2">
        <v>2025</v>
      </c>
      <c r="B2341" s="2">
        <v>12</v>
      </c>
      <c r="C2341" s="2" t="s">
        <v>290</v>
      </c>
      <c r="D2341" s="2" t="s">
        <v>109</v>
      </c>
      <c r="E2341" s="2" t="s">
        <v>39</v>
      </c>
      <c r="F2341" s="2">
        <v>508428300</v>
      </c>
      <c r="G2341" s="2" t="s">
        <v>291</v>
      </c>
      <c r="H2341" s="2" t="s">
        <v>292</v>
      </c>
      <c r="I2341" s="2" t="s">
        <v>293</v>
      </c>
      <c r="J2341" s="2">
        <v>917165642</v>
      </c>
      <c r="K2341" s="2" t="s">
        <v>294</v>
      </c>
      <c r="L2341" s="2" t="s">
        <v>40</v>
      </c>
      <c r="N2341" s="2" t="s">
        <v>2126</v>
      </c>
      <c r="O2341" s="2" t="s">
        <v>188</v>
      </c>
      <c r="P2341" s="2" t="s">
        <v>192</v>
      </c>
      <c r="Q2341" s="2" t="s">
        <v>191</v>
      </c>
      <c r="R2341" s="2">
        <v>2.5</v>
      </c>
      <c r="S2341" s="2">
        <v>125</v>
      </c>
      <c r="T2341" s="2">
        <v>28.75</v>
      </c>
      <c r="U2341" s="2">
        <v>153.75</v>
      </c>
      <c r="V2341" s="2">
        <f>S2341*50%</f>
        <v>62.5</v>
      </c>
      <c r="W2341" s="5">
        <f t="shared" si="229"/>
        <v>0.5</v>
      </c>
      <c r="Y2341" s="2" t="s">
        <v>118</v>
      </c>
      <c r="Z2341" s="2" t="s">
        <v>191</v>
      </c>
      <c r="AE2341" s="2">
        <f t="shared" si="225"/>
        <v>0</v>
      </c>
      <c r="AI2341" s="2">
        <f t="shared" si="226"/>
        <v>0</v>
      </c>
      <c r="AJ2341" s="2">
        <f t="shared" si="227"/>
        <v>62.5</v>
      </c>
      <c r="AK2341" s="5">
        <f t="shared" si="224"/>
        <v>0.5</v>
      </c>
    </row>
    <row r="2342" spans="1:37" x14ac:dyDescent="0.2">
      <c r="A2342" s="2">
        <v>2025</v>
      </c>
      <c r="B2342" s="2">
        <v>12</v>
      </c>
      <c r="C2342" s="2" t="s">
        <v>2127</v>
      </c>
      <c r="L2342" s="2" t="s">
        <v>40</v>
      </c>
      <c r="O2342" s="2" t="s">
        <v>188</v>
      </c>
      <c r="P2342" s="2" t="s">
        <v>189</v>
      </c>
      <c r="Q2342" s="2" t="s">
        <v>190</v>
      </c>
      <c r="R2342" s="2">
        <v>1</v>
      </c>
      <c r="S2342" s="2">
        <v>71</v>
      </c>
      <c r="T2342" s="2">
        <v>16.329999999999998</v>
      </c>
      <c r="U2342" s="2">
        <v>87.33</v>
      </c>
      <c r="W2342" s="5">
        <f t="shared" si="229"/>
        <v>1</v>
      </c>
      <c r="Y2342" s="2" t="s">
        <v>118</v>
      </c>
      <c r="Z2342" s="2" t="s">
        <v>191</v>
      </c>
      <c r="AE2342" s="2">
        <f t="shared" si="225"/>
        <v>0</v>
      </c>
      <c r="AI2342" s="2">
        <f t="shared" si="226"/>
        <v>0</v>
      </c>
      <c r="AJ2342" s="2">
        <f t="shared" si="227"/>
        <v>71</v>
      </c>
      <c r="AK2342" s="5">
        <f t="shared" si="224"/>
        <v>1</v>
      </c>
    </row>
    <row r="2343" spans="1:37" x14ac:dyDescent="0.2">
      <c r="A2343" s="2">
        <v>2025</v>
      </c>
      <c r="B2343" s="2">
        <v>12</v>
      </c>
      <c r="C2343" s="2" t="s">
        <v>2127</v>
      </c>
      <c r="L2343" s="2" t="s">
        <v>40</v>
      </c>
      <c r="O2343" s="2" t="s">
        <v>188</v>
      </c>
      <c r="P2343" s="2" t="s">
        <v>192</v>
      </c>
      <c r="Q2343" s="2" t="s">
        <v>191</v>
      </c>
      <c r="R2343" s="2">
        <v>1</v>
      </c>
      <c r="S2343" s="2">
        <v>50</v>
      </c>
      <c r="T2343" s="2">
        <v>11.5</v>
      </c>
      <c r="U2343" s="2">
        <v>61.5</v>
      </c>
      <c r="V2343" s="2">
        <f>S2343*50%</f>
        <v>25</v>
      </c>
      <c r="W2343" s="5">
        <f t="shared" si="229"/>
        <v>0.5</v>
      </c>
      <c r="Y2343" s="2" t="s">
        <v>118</v>
      </c>
      <c r="Z2343" s="2" t="s">
        <v>191</v>
      </c>
      <c r="AE2343" s="2">
        <f t="shared" si="225"/>
        <v>0</v>
      </c>
      <c r="AI2343" s="2">
        <f t="shared" si="226"/>
        <v>0</v>
      </c>
      <c r="AJ2343" s="2">
        <f t="shared" si="227"/>
        <v>25</v>
      </c>
      <c r="AK2343" s="5">
        <f t="shared" si="224"/>
        <v>0.5</v>
      </c>
    </row>
    <row r="2344" spans="1:37" x14ac:dyDescent="0.2">
      <c r="A2344" s="2">
        <v>2025</v>
      </c>
      <c r="B2344" s="2">
        <v>12</v>
      </c>
      <c r="C2344" s="2" t="s">
        <v>2127</v>
      </c>
      <c r="O2344" s="2" t="s">
        <v>188</v>
      </c>
      <c r="P2344" s="2" t="s">
        <v>1318</v>
      </c>
      <c r="Q2344" s="2" t="s">
        <v>1319</v>
      </c>
      <c r="R2344" s="2">
        <v>1</v>
      </c>
      <c r="S2344" s="2">
        <v>45</v>
      </c>
      <c r="T2344" s="2">
        <v>10.35</v>
      </c>
      <c r="U2344" s="2">
        <v>55.35</v>
      </c>
      <c r="W2344" s="5">
        <f t="shared" si="229"/>
        <v>1</v>
      </c>
      <c r="Y2344" s="2" t="s">
        <v>118</v>
      </c>
      <c r="Z2344" s="2" t="s">
        <v>1320</v>
      </c>
      <c r="AE2344" s="2">
        <f t="shared" si="225"/>
        <v>0</v>
      </c>
      <c r="AI2344" s="2">
        <f t="shared" si="226"/>
        <v>0</v>
      </c>
      <c r="AJ2344" s="2">
        <f t="shared" si="227"/>
        <v>45</v>
      </c>
      <c r="AK2344" s="5">
        <f t="shared" si="224"/>
        <v>1</v>
      </c>
    </row>
    <row r="2345" spans="1:37" x14ac:dyDescent="0.2">
      <c r="A2345" s="2">
        <v>2025</v>
      </c>
      <c r="B2345" s="2">
        <v>12</v>
      </c>
      <c r="C2345" s="2" t="s">
        <v>1177</v>
      </c>
      <c r="D2345" s="2" t="s">
        <v>758</v>
      </c>
      <c r="E2345" s="2" t="s">
        <v>1178</v>
      </c>
      <c r="F2345" s="2">
        <v>505760088</v>
      </c>
      <c r="G2345" s="2" t="s">
        <v>291</v>
      </c>
      <c r="H2345" s="2" t="s">
        <v>1179</v>
      </c>
      <c r="I2345" s="2" t="s">
        <v>1180</v>
      </c>
      <c r="K2345" s="2" t="s">
        <v>340</v>
      </c>
      <c r="L2345" s="2" t="s">
        <v>1181</v>
      </c>
      <c r="N2345" s="2" t="s">
        <v>2128</v>
      </c>
      <c r="O2345" s="2" t="s">
        <v>43</v>
      </c>
      <c r="P2345" s="2" t="s">
        <v>979</v>
      </c>
      <c r="Q2345" s="2" t="s">
        <v>980</v>
      </c>
      <c r="R2345" s="2">
        <v>4</v>
      </c>
      <c r="S2345" s="2">
        <v>120</v>
      </c>
      <c r="T2345" s="2">
        <v>27.6</v>
      </c>
      <c r="U2345" s="2">
        <v>147.6</v>
      </c>
      <c r="V2345" s="2">
        <f>18.9342*R2345</f>
        <v>75.736800000000002</v>
      </c>
      <c r="W2345" s="5">
        <f t="shared" si="229"/>
        <v>0.36885999999999997</v>
      </c>
      <c r="Y2345" s="2" t="s">
        <v>3256</v>
      </c>
      <c r="Z2345" s="2" t="s">
        <v>46</v>
      </c>
      <c r="AA2345" s="2" t="s">
        <v>61</v>
      </c>
      <c r="AB2345" s="2" t="s">
        <v>58</v>
      </c>
      <c r="AE2345" s="2">
        <f t="shared" si="225"/>
        <v>0</v>
      </c>
      <c r="AF2345" s="2">
        <v>18.934200000000001</v>
      </c>
      <c r="AG2345" s="2">
        <v>29</v>
      </c>
      <c r="AI2345" s="2">
        <f t="shared" si="226"/>
        <v>0</v>
      </c>
      <c r="AJ2345" s="2">
        <f t="shared" si="227"/>
        <v>44.263199999999998</v>
      </c>
      <c r="AK2345" s="5">
        <f t="shared" si="224"/>
        <v>0.36885999999999997</v>
      </c>
    </row>
    <row r="2346" spans="1:37" x14ac:dyDescent="0.2">
      <c r="A2346" s="2">
        <v>2025</v>
      </c>
      <c r="B2346" s="2">
        <v>12</v>
      </c>
      <c r="C2346" s="2" t="s">
        <v>312</v>
      </c>
      <c r="L2346" s="2" t="s">
        <v>40</v>
      </c>
      <c r="O2346" s="2" t="s">
        <v>188</v>
      </c>
      <c r="P2346" s="2" t="s">
        <v>189</v>
      </c>
      <c r="Q2346" s="2" t="s">
        <v>190</v>
      </c>
      <c r="R2346" s="2">
        <v>1</v>
      </c>
      <c r="S2346" s="2">
        <v>58</v>
      </c>
      <c r="T2346" s="2">
        <v>13.34</v>
      </c>
      <c r="U2346" s="2">
        <v>71.34</v>
      </c>
      <c r="W2346" s="5">
        <f t="shared" si="229"/>
        <v>1</v>
      </c>
      <c r="Y2346" s="2" t="s">
        <v>118</v>
      </c>
      <c r="Z2346" s="2" t="s">
        <v>191</v>
      </c>
      <c r="AE2346" s="2">
        <f t="shared" si="225"/>
        <v>0</v>
      </c>
      <c r="AI2346" s="2">
        <f t="shared" si="226"/>
        <v>0</v>
      </c>
      <c r="AJ2346" s="2">
        <f t="shared" si="227"/>
        <v>58</v>
      </c>
      <c r="AK2346" s="5">
        <f t="shared" si="224"/>
        <v>1</v>
      </c>
    </row>
    <row r="2347" spans="1:37" x14ac:dyDescent="0.2">
      <c r="A2347" s="2">
        <v>2025</v>
      </c>
      <c r="B2347" s="2">
        <v>12</v>
      </c>
      <c r="C2347" s="2" t="s">
        <v>312</v>
      </c>
      <c r="L2347" s="2" t="s">
        <v>40</v>
      </c>
      <c r="O2347" s="2" t="s">
        <v>188</v>
      </c>
      <c r="P2347" s="2" t="s">
        <v>192</v>
      </c>
      <c r="Q2347" s="2" t="s">
        <v>191</v>
      </c>
      <c r="R2347" s="2">
        <v>0.75</v>
      </c>
      <c r="S2347" s="2">
        <v>37.5</v>
      </c>
      <c r="T2347" s="2">
        <v>8.625</v>
      </c>
      <c r="U2347" s="2">
        <v>46.125</v>
      </c>
      <c r="V2347" s="2">
        <f>S2347*50%</f>
        <v>18.75</v>
      </c>
      <c r="W2347" s="5">
        <f t="shared" si="229"/>
        <v>0.5</v>
      </c>
      <c r="Y2347" s="2" t="s">
        <v>118</v>
      </c>
      <c r="Z2347" s="2" t="s">
        <v>191</v>
      </c>
      <c r="AE2347" s="2">
        <f t="shared" si="225"/>
        <v>0</v>
      </c>
      <c r="AI2347" s="2">
        <f t="shared" si="226"/>
        <v>0</v>
      </c>
      <c r="AJ2347" s="2">
        <f t="shared" si="227"/>
        <v>18.75</v>
      </c>
      <c r="AK2347" s="5">
        <f t="shared" si="224"/>
        <v>0.5</v>
      </c>
    </row>
    <row r="2348" spans="1:37" x14ac:dyDescent="0.2">
      <c r="A2348" s="2">
        <v>2025</v>
      </c>
      <c r="B2348" s="2">
        <v>12</v>
      </c>
      <c r="C2348" s="2" t="s">
        <v>699</v>
      </c>
      <c r="D2348" s="2" t="s">
        <v>38</v>
      </c>
      <c r="E2348" s="2" t="s">
        <v>39</v>
      </c>
      <c r="F2348" s="2">
        <v>508574358</v>
      </c>
      <c r="G2348" s="2" t="s">
        <v>41</v>
      </c>
      <c r="H2348" s="2" t="s">
        <v>700</v>
      </c>
      <c r="I2348" s="2" t="s">
        <v>701</v>
      </c>
      <c r="J2348" s="2">
        <v>917295518</v>
      </c>
      <c r="K2348" s="2" t="s">
        <v>178</v>
      </c>
      <c r="L2348" s="2" t="s">
        <v>41</v>
      </c>
      <c r="O2348" s="2" t="s">
        <v>43</v>
      </c>
      <c r="P2348" s="2" t="s">
        <v>584</v>
      </c>
      <c r="Q2348" s="2" t="s">
        <v>585</v>
      </c>
      <c r="R2348" s="2">
        <v>4</v>
      </c>
      <c r="S2348" s="2">
        <v>9.6</v>
      </c>
      <c r="T2348" s="2">
        <v>2.2080000000000002</v>
      </c>
      <c r="U2348" s="2">
        <v>11.808</v>
      </c>
      <c r="V2348" s="2">
        <f>1.4114*R2348</f>
        <v>5.6456</v>
      </c>
      <c r="W2348" s="5">
        <f t="shared" si="229"/>
        <v>0.41191666666666665</v>
      </c>
      <c r="Y2348" s="2" t="s">
        <v>3256</v>
      </c>
      <c r="Z2348" s="2" t="s">
        <v>46</v>
      </c>
      <c r="AA2348" s="2" t="s">
        <v>61</v>
      </c>
      <c r="AB2348" s="2" t="s">
        <v>58</v>
      </c>
      <c r="AE2348" s="2">
        <f t="shared" si="225"/>
        <v>0</v>
      </c>
      <c r="AF2348" s="2">
        <v>1.4114</v>
      </c>
      <c r="AG2348" s="2">
        <v>3</v>
      </c>
      <c r="AI2348" s="2">
        <f t="shared" si="226"/>
        <v>0</v>
      </c>
      <c r="AJ2348" s="2">
        <f t="shared" si="227"/>
        <v>3.9543999999999997</v>
      </c>
      <c r="AK2348" s="5">
        <f t="shared" si="224"/>
        <v>0.41191666666666665</v>
      </c>
    </row>
    <row r="2349" spans="1:37" x14ac:dyDescent="0.2">
      <c r="A2349" s="2">
        <v>2025</v>
      </c>
      <c r="B2349" s="2">
        <v>12</v>
      </c>
      <c r="C2349" s="2" t="s">
        <v>699</v>
      </c>
      <c r="D2349" s="2" t="s">
        <v>38</v>
      </c>
      <c r="E2349" s="2" t="s">
        <v>39</v>
      </c>
      <c r="F2349" s="2">
        <v>508574358</v>
      </c>
      <c r="G2349" s="2" t="s">
        <v>41</v>
      </c>
      <c r="H2349" s="2" t="s">
        <v>700</v>
      </c>
      <c r="I2349" s="2" t="s">
        <v>701</v>
      </c>
      <c r="J2349" s="2">
        <v>917295518</v>
      </c>
      <c r="K2349" s="2" t="s">
        <v>178</v>
      </c>
      <c r="L2349" s="2" t="s">
        <v>41</v>
      </c>
      <c r="N2349" s="2" t="s">
        <v>2129</v>
      </c>
      <c r="O2349" s="2" t="s">
        <v>43</v>
      </c>
      <c r="P2349" s="2" t="s">
        <v>2130</v>
      </c>
      <c r="Q2349" s="2" t="s">
        <v>2131</v>
      </c>
      <c r="R2349" s="2">
        <v>4</v>
      </c>
      <c r="S2349" s="2">
        <v>9.6</v>
      </c>
      <c r="T2349" s="2">
        <v>2.2080000000000002</v>
      </c>
      <c r="U2349" s="2">
        <v>11.808</v>
      </c>
      <c r="V2349" s="2">
        <f>1.219*R2349</f>
        <v>4.8760000000000003</v>
      </c>
      <c r="W2349" s="5">
        <f t="shared" si="229"/>
        <v>0.49208333333333326</v>
      </c>
      <c r="Y2349" s="2" t="s">
        <v>3256</v>
      </c>
      <c r="Z2349" s="2" t="s">
        <v>46</v>
      </c>
      <c r="AA2349" s="2" t="s">
        <v>61</v>
      </c>
      <c r="AB2349" s="2" t="s">
        <v>58</v>
      </c>
      <c r="AE2349" s="2">
        <f t="shared" si="225"/>
        <v>0</v>
      </c>
      <c r="AF2349" s="2">
        <v>1.2190000000000001</v>
      </c>
      <c r="AG2349" s="2">
        <v>3</v>
      </c>
      <c r="AI2349" s="2">
        <f t="shared" si="226"/>
        <v>0</v>
      </c>
      <c r="AJ2349" s="2">
        <f t="shared" si="227"/>
        <v>4.7239999999999993</v>
      </c>
      <c r="AK2349" s="5">
        <f t="shared" si="224"/>
        <v>0.49208333333333326</v>
      </c>
    </row>
    <row r="2350" spans="1:37" x14ac:dyDescent="0.2">
      <c r="A2350" s="2">
        <v>2025</v>
      </c>
      <c r="B2350" s="2">
        <v>12</v>
      </c>
      <c r="C2350" s="2" t="s">
        <v>2132</v>
      </c>
      <c r="O2350" s="2" t="s">
        <v>40</v>
      </c>
      <c r="P2350" s="2" t="s">
        <v>364</v>
      </c>
      <c r="Q2350" s="2" t="s">
        <v>365</v>
      </c>
      <c r="R2350" s="2">
        <v>1</v>
      </c>
      <c r="S2350" s="2">
        <v>18.260000000000002</v>
      </c>
      <c r="T2350" s="2">
        <v>4.1998000000000006</v>
      </c>
      <c r="U2350" s="2">
        <v>22.459800000000001</v>
      </c>
      <c r="W2350" s="5">
        <f t="shared" si="229"/>
        <v>1</v>
      </c>
      <c r="Y2350" s="2" t="s">
        <v>120</v>
      </c>
      <c r="AE2350" s="2">
        <f t="shared" si="225"/>
        <v>0</v>
      </c>
      <c r="AI2350" s="2">
        <f t="shared" si="226"/>
        <v>0</v>
      </c>
      <c r="AJ2350" s="2">
        <f t="shared" si="227"/>
        <v>18.260000000000002</v>
      </c>
      <c r="AK2350" s="5">
        <f t="shared" si="224"/>
        <v>1</v>
      </c>
    </row>
    <row r="2351" spans="1:37" x14ac:dyDescent="0.2">
      <c r="A2351" s="2">
        <v>2025</v>
      </c>
      <c r="B2351" s="2">
        <v>12</v>
      </c>
      <c r="C2351" s="2" t="s">
        <v>2133</v>
      </c>
      <c r="O2351" s="2" t="s">
        <v>40</v>
      </c>
      <c r="P2351" s="2" t="s">
        <v>364</v>
      </c>
      <c r="Q2351" s="2" t="s">
        <v>365</v>
      </c>
      <c r="R2351" s="2">
        <v>-1</v>
      </c>
      <c r="S2351" s="2">
        <v>-1520</v>
      </c>
      <c r="T2351" s="2">
        <v>-349.6</v>
      </c>
      <c r="U2351" s="2">
        <v>-1869.6</v>
      </c>
      <c r="W2351" s="5">
        <f t="shared" si="229"/>
        <v>1</v>
      </c>
      <c r="Y2351" s="2" t="s">
        <v>120</v>
      </c>
      <c r="AE2351" s="2">
        <f t="shared" si="225"/>
        <v>0</v>
      </c>
      <c r="AI2351" s="2">
        <f t="shared" si="226"/>
        <v>0</v>
      </c>
      <c r="AJ2351" s="2">
        <f t="shared" si="227"/>
        <v>-1520</v>
      </c>
      <c r="AK2351" s="5">
        <f t="shared" si="224"/>
        <v>1</v>
      </c>
    </row>
    <row r="2352" spans="1:37" x14ac:dyDescent="0.2">
      <c r="A2352" s="2">
        <v>2025</v>
      </c>
      <c r="B2352" s="2">
        <v>12</v>
      </c>
      <c r="C2352" s="2" t="s">
        <v>722</v>
      </c>
      <c r="D2352" s="2" t="s">
        <v>109</v>
      </c>
      <c r="E2352" s="2" t="s">
        <v>723</v>
      </c>
      <c r="F2352" s="2">
        <v>500042063</v>
      </c>
      <c r="G2352" s="2" t="s">
        <v>110</v>
      </c>
      <c r="H2352" s="2" t="s">
        <v>113</v>
      </c>
      <c r="I2352" s="2" t="s">
        <v>724</v>
      </c>
      <c r="K2352" s="2" t="s">
        <v>113</v>
      </c>
      <c r="L2352" s="2" t="s">
        <v>40</v>
      </c>
      <c r="N2352" s="2" t="s">
        <v>2134</v>
      </c>
      <c r="O2352" s="2" t="s">
        <v>188</v>
      </c>
      <c r="P2352" s="2" t="s">
        <v>189</v>
      </c>
      <c r="Q2352" s="2" t="s">
        <v>190</v>
      </c>
      <c r="R2352" s="2">
        <v>1</v>
      </c>
      <c r="S2352" s="2">
        <v>98.25</v>
      </c>
      <c r="T2352" s="2">
        <v>22.5975</v>
      </c>
      <c r="U2352" s="2">
        <v>120.8475</v>
      </c>
      <c r="W2352" s="5">
        <f t="shared" si="229"/>
        <v>1</v>
      </c>
      <c r="Y2352" s="2" t="s">
        <v>118</v>
      </c>
      <c r="Z2352" s="2" t="s">
        <v>191</v>
      </c>
      <c r="AE2352" s="2">
        <f t="shared" si="225"/>
        <v>0</v>
      </c>
      <c r="AI2352" s="2">
        <f t="shared" si="226"/>
        <v>0</v>
      </c>
      <c r="AJ2352" s="2">
        <f t="shared" si="227"/>
        <v>98.25</v>
      </c>
      <c r="AK2352" s="5">
        <f t="shared" si="224"/>
        <v>1</v>
      </c>
    </row>
    <row r="2353" spans="1:37" x14ac:dyDescent="0.2">
      <c r="A2353" s="2">
        <v>2025</v>
      </c>
      <c r="B2353" s="2">
        <v>12</v>
      </c>
      <c r="C2353" s="2" t="s">
        <v>722</v>
      </c>
      <c r="D2353" s="2" t="s">
        <v>109</v>
      </c>
      <c r="E2353" s="2" t="s">
        <v>723</v>
      </c>
      <c r="F2353" s="2">
        <v>500042063</v>
      </c>
      <c r="G2353" s="2" t="s">
        <v>110</v>
      </c>
      <c r="H2353" s="2" t="s">
        <v>113</v>
      </c>
      <c r="I2353" s="2" t="s">
        <v>724</v>
      </c>
      <c r="K2353" s="2" t="s">
        <v>113</v>
      </c>
      <c r="L2353" s="2" t="s">
        <v>40</v>
      </c>
      <c r="N2353" s="2" t="s">
        <v>2134</v>
      </c>
      <c r="O2353" s="2" t="s">
        <v>188</v>
      </c>
      <c r="P2353" s="2" t="s">
        <v>192</v>
      </c>
      <c r="Q2353" s="2" t="s">
        <v>191</v>
      </c>
      <c r="R2353" s="2">
        <v>0.75</v>
      </c>
      <c r="S2353" s="2">
        <v>33.75</v>
      </c>
      <c r="T2353" s="2">
        <v>7.7625000000000002</v>
      </c>
      <c r="U2353" s="2">
        <v>41.512500000000003</v>
      </c>
      <c r="V2353" s="2">
        <f>S2353*50%</f>
        <v>16.875</v>
      </c>
      <c r="W2353" s="5">
        <f t="shared" si="229"/>
        <v>0.5</v>
      </c>
      <c r="Y2353" s="2" t="s">
        <v>118</v>
      </c>
      <c r="Z2353" s="2" t="s">
        <v>191</v>
      </c>
      <c r="AE2353" s="2">
        <f t="shared" si="225"/>
        <v>0</v>
      </c>
      <c r="AI2353" s="2">
        <f t="shared" si="226"/>
        <v>0</v>
      </c>
      <c r="AJ2353" s="2">
        <f t="shared" si="227"/>
        <v>16.875</v>
      </c>
      <c r="AK2353" s="5">
        <f t="shared" si="224"/>
        <v>0.5</v>
      </c>
    </row>
    <row r="2354" spans="1:37" x14ac:dyDescent="0.2">
      <c r="A2354" s="2">
        <v>2025</v>
      </c>
      <c r="B2354" s="2">
        <v>12</v>
      </c>
      <c r="C2354" s="2" t="s">
        <v>2135</v>
      </c>
      <c r="O2354" s="2" t="s">
        <v>115</v>
      </c>
      <c r="P2354" s="2" t="s">
        <v>840</v>
      </c>
      <c r="Q2354" s="2" t="s">
        <v>841</v>
      </c>
      <c r="R2354" s="2">
        <v>1</v>
      </c>
      <c r="S2354" s="2">
        <v>0</v>
      </c>
      <c r="T2354" s="2">
        <v>0</v>
      </c>
      <c r="U2354" s="2">
        <v>0</v>
      </c>
      <c r="W2354" s="5" t="e">
        <f t="shared" si="229"/>
        <v>#DIV/0!</v>
      </c>
      <c r="AE2354" s="2">
        <f t="shared" si="225"/>
        <v>0</v>
      </c>
      <c r="AI2354" s="2">
        <f t="shared" si="226"/>
        <v>0</v>
      </c>
      <c r="AJ2354" s="2">
        <f t="shared" si="227"/>
        <v>0</v>
      </c>
      <c r="AK2354" s="5" t="e">
        <f t="shared" si="224"/>
        <v>#DIV/0!</v>
      </c>
    </row>
    <row r="2355" spans="1:37" x14ac:dyDescent="0.2">
      <c r="A2355" s="2">
        <v>2025</v>
      </c>
      <c r="B2355" s="2">
        <v>12</v>
      </c>
      <c r="C2355" s="2" t="s">
        <v>2135</v>
      </c>
      <c r="O2355" s="2" t="s">
        <v>115</v>
      </c>
      <c r="P2355" s="2" t="s">
        <v>2136</v>
      </c>
      <c r="Q2355" s="2" t="s">
        <v>2137</v>
      </c>
      <c r="R2355" s="2">
        <v>1</v>
      </c>
      <c r="S2355" s="2">
        <v>669.3</v>
      </c>
      <c r="T2355" s="2">
        <v>153.93899999999999</v>
      </c>
      <c r="U2355" s="2">
        <v>823.23899999999992</v>
      </c>
      <c r="W2355" s="5">
        <f t="shared" si="229"/>
        <v>1</v>
      </c>
      <c r="AE2355" s="2">
        <f t="shared" si="225"/>
        <v>0</v>
      </c>
      <c r="AI2355" s="2">
        <f t="shared" si="226"/>
        <v>0</v>
      </c>
      <c r="AJ2355" s="2">
        <f t="shared" si="227"/>
        <v>669.3</v>
      </c>
      <c r="AK2355" s="5">
        <f t="shared" ref="AK2355:AK2418" si="230">(S2355-V2355)/S2355</f>
        <v>1</v>
      </c>
    </row>
    <row r="2356" spans="1:37" x14ac:dyDescent="0.2">
      <c r="A2356" s="2">
        <v>2025</v>
      </c>
      <c r="B2356" s="2">
        <v>12</v>
      </c>
      <c r="C2356" s="2" t="s">
        <v>2135</v>
      </c>
      <c r="O2356" s="2" t="s">
        <v>115</v>
      </c>
      <c r="P2356" s="2" t="s">
        <v>1192</v>
      </c>
      <c r="Q2356" s="2" t="s">
        <v>1193</v>
      </c>
      <c r="R2356" s="2">
        <v>1</v>
      </c>
      <c r="S2356" s="2">
        <v>11834</v>
      </c>
      <c r="T2356" s="2">
        <v>2721.82</v>
      </c>
      <c r="U2356" s="2">
        <v>14555.82</v>
      </c>
      <c r="W2356" s="5">
        <f t="shared" si="229"/>
        <v>1</v>
      </c>
      <c r="Y2356" s="2" t="s">
        <v>105</v>
      </c>
      <c r="AE2356" s="2">
        <f t="shared" si="225"/>
        <v>0</v>
      </c>
      <c r="AI2356" s="2">
        <f t="shared" si="226"/>
        <v>0</v>
      </c>
      <c r="AJ2356" s="2">
        <f t="shared" si="227"/>
        <v>11834</v>
      </c>
      <c r="AK2356" s="5">
        <f t="shared" si="230"/>
        <v>1</v>
      </c>
    </row>
    <row r="2357" spans="1:37" x14ac:dyDescent="0.2">
      <c r="A2357" s="2">
        <v>2025</v>
      </c>
      <c r="B2357" s="2">
        <v>12</v>
      </c>
      <c r="C2357" s="2" t="s">
        <v>2138</v>
      </c>
      <c r="P2357" s="2" t="s">
        <v>2139</v>
      </c>
      <c r="Q2357" s="2" t="s">
        <v>2140</v>
      </c>
      <c r="R2357" s="2">
        <v>1</v>
      </c>
      <c r="S2357" s="2">
        <v>0</v>
      </c>
      <c r="T2357" s="2">
        <v>0</v>
      </c>
      <c r="U2357" s="2">
        <v>0</v>
      </c>
      <c r="W2357" s="5" t="e">
        <f t="shared" si="229"/>
        <v>#DIV/0!</v>
      </c>
      <c r="Y2357" s="2" t="s">
        <v>105</v>
      </c>
      <c r="AE2357" s="2">
        <f t="shared" si="225"/>
        <v>0</v>
      </c>
      <c r="AI2357" s="2">
        <f t="shared" si="226"/>
        <v>0</v>
      </c>
      <c r="AJ2357" s="2">
        <f t="shared" si="227"/>
        <v>0</v>
      </c>
      <c r="AK2357" s="5" t="e">
        <f t="shared" si="230"/>
        <v>#DIV/0!</v>
      </c>
    </row>
    <row r="2358" spans="1:37" x14ac:dyDescent="0.2">
      <c r="A2358" s="2">
        <v>2025</v>
      </c>
      <c r="B2358" s="2">
        <v>12</v>
      </c>
      <c r="C2358" s="2" t="s">
        <v>2138</v>
      </c>
      <c r="O2358" s="2" t="s">
        <v>40</v>
      </c>
      <c r="P2358" s="2" t="s">
        <v>364</v>
      </c>
      <c r="Q2358" s="2" t="s">
        <v>365</v>
      </c>
      <c r="R2358" s="2">
        <v>1</v>
      </c>
      <c r="S2358" s="2">
        <v>5000</v>
      </c>
      <c r="T2358" s="2">
        <v>1150</v>
      </c>
      <c r="U2358" s="2">
        <v>6150</v>
      </c>
      <c r="W2358" s="5">
        <f t="shared" si="229"/>
        <v>1</v>
      </c>
      <c r="Y2358" s="2" t="s">
        <v>120</v>
      </c>
      <c r="AE2358" s="2">
        <f t="shared" si="225"/>
        <v>0</v>
      </c>
      <c r="AI2358" s="2">
        <f t="shared" si="226"/>
        <v>0</v>
      </c>
      <c r="AJ2358" s="2">
        <f t="shared" si="227"/>
        <v>5000</v>
      </c>
      <c r="AK2358" s="5">
        <f t="shared" si="230"/>
        <v>1</v>
      </c>
    </row>
    <row r="2359" spans="1:37" x14ac:dyDescent="0.2">
      <c r="A2359" s="2">
        <v>2025</v>
      </c>
      <c r="B2359" s="2">
        <v>12</v>
      </c>
      <c r="C2359" s="2" t="s">
        <v>315</v>
      </c>
      <c r="D2359" s="2" t="s">
        <v>109</v>
      </c>
      <c r="F2359" s="2">
        <v>503270520</v>
      </c>
      <c r="G2359" s="2" t="s">
        <v>40</v>
      </c>
      <c r="H2359" s="2" t="s">
        <v>316</v>
      </c>
      <c r="I2359" s="2" t="s">
        <v>317</v>
      </c>
      <c r="K2359" s="2" t="s">
        <v>100</v>
      </c>
      <c r="L2359" s="2" t="s">
        <v>40</v>
      </c>
      <c r="O2359" s="2" t="s">
        <v>188</v>
      </c>
      <c r="P2359" s="2" t="s">
        <v>189</v>
      </c>
      <c r="Q2359" s="2" t="s">
        <v>190</v>
      </c>
      <c r="R2359" s="2">
        <v>1</v>
      </c>
      <c r="S2359" s="2">
        <v>37.5</v>
      </c>
      <c r="T2359" s="2">
        <v>8.625</v>
      </c>
      <c r="U2359" s="2">
        <v>46.125</v>
      </c>
      <c r="W2359" s="5">
        <f t="shared" si="229"/>
        <v>1</v>
      </c>
      <c r="Y2359" s="2" t="s">
        <v>118</v>
      </c>
      <c r="Z2359" s="2" t="s">
        <v>191</v>
      </c>
      <c r="AE2359" s="2">
        <f t="shared" si="225"/>
        <v>0</v>
      </c>
      <c r="AI2359" s="2">
        <f t="shared" si="226"/>
        <v>0</v>
      </c>
      <c r="AJ2359" s="2">
        <f t="shared" si="227"/>
        <v>37.5</v>
      </c>
      <c r="AK2359" s="5">
        <f t="shared" si="230"/>
        <v>1</v>
      </c>
    </row>
    <row r="2360" spans="1:37" x14ac:dyDescent="0.2">
      <c r="A2360" s="2">
        <v>2025</v>
      </c>
      <c r="B2360" s="2">
        <v>12</v>
      </c>
      <c r="C2360" s="2" t="s">
        <v>315</v>
      </c>
      <c r="D2360" s="2" t="s">
        <v>109</v>
      </c>
      <c r="F2360" s="2">
        <v>503270520</v>
      </c>
      <c r="G2360" s="2" t="s">
        <v>40</v>
      </c>
      <c r="H2360" s="2" t="s">
        <v>316</v>
      </c>
      <c r="I2360" s="2" t="s">
        <v>317</v>
      </c>
      <c r="K2360" s="2" t="s">
        <v>100</v>
      </c>
      <c r="L2360" s="2" t="s">
        <v>40</v>
      </c>
      <c r="O2360" s="2" t="s">
        <v>188</v>
      </c>
      <c r="P2360" s="2" t="s">
        <v>192</v>
      </c>
      <c r="Q2360" s="2" t="s">
        <v>191</v>
      </c>
      <c r="R2360" s="2">
        <v>0.8</v>
      </c>
      <c r="S2360" s="2">
        <v>36</v>
      </c>
      <c r="T2360" s="2">
        <v>8.2800000000000011</v>
      </c>
      <c r="U2360" s="2">
        <v>44.28</v>
      </c>
      <c r="V2360" s="2">
        <f>S2360*50%</f>
        <v>18</v>
      </c>
      <c r="W2360" s="5">
        <f t="shared" si="229"/>
        <v>0.5</v>
      </c>
      <c r="Y2360" s="2" t="s">
        <v>118</v>
      </c>
      <c r="Z2360" s="2" t="s">
        <v>191</v>
      </c>
      <c r="AE2360" s="2">
        <f t="shared" si="225"/>
        <v>0</v>
      </c>
      <c r="AI2360" s="2">
        <f t="shared" si="226"/>
        <v>0</v>
      </c>
      <c r="AJ2360" s="2">
        <f t="shared" si="227"/>
        <v>18</v>
      </c>
      <c r="AK2360" s="5">
        <f t="shared" si="230"/>
        <v>0.5</v>
      </c>
    </row>
    <row r="2361" spans="1:37" x14ac:dyDescent="0.2">
      <c r="A2361" s="2">
        <v>2025</v>
      </c>
      <c r="B2361" s="2">
        <v>12</v>
      </c>
      <c r="C2361" s="2" t="s">
        <v>320</v>
      </c>
      <c r="D2361" s="2" t="s">
        <v>38</v>
      </c>
      <c r="E2361" s="2" t="s">
        <v>39</v>
      </c>
      <c r="F2361" s="2">
        <v>500883262</v>
      </c>
      <c r="G2361" s="2" t="s">
        <v>40</v>
      </c>
      <c r="H2361" s="2" t="s">
        <v>100</v>
      </c>
      <c r="I2361" s="2" t="s">
        <v>321</v>
      </c>
      <c r="K2361" s="2" t="s">
        <v>100</v>
      </c>
      <c r="L2361" s="2" t="s">
        <v>81</v>
      </c>
      <c r="N2361" s="2" t="s">
        <v>2141</v>
      </c>
      <c r="O2361" s="2" t="s">
        <v>43</v>
      </c>
      <c r="P2361" s="2" t="s">
        <v>977</v>
      </c>
      <c r="Q2361" s="2" t="s">
        <v>978</v>
      </c>
      <c r="R2361" s="2">
        <v>24</v>
      </c>
      <c r="S2361" s="2">
        <v>648</v>
      </c>
      <c r="T2361" s="2">
        <v>149.04</v>
      </c>
      <c r="U2361" s="2">
        <v>797.04</v>
      </c>
      <c r="W2361" s="5">
        <f t="shared" si="229"/>
        <v>1</v>
      </c>
      <c r="Y2361" s="2" t="s">
        <v>3256</v>
      </c>
      <c r="Z2361" s="2" t="s">
        <v>46</v>
      </c>
      <c r="AA2361" s="2" t="s">
        <v>61</v>
      </c>
      <c r="AB2361" s="2" t="s">
        <v>58</v>
      </c>
      <c r="AE2361" s="2">
        <f t="shared" si="225"/>
        <v>0</v>
      </c>
      <c r="AI2361" s="2">
        <f t="shared" si="226"/>
        <v>0</v>
      </c>
      <c r="AJ2361" s="2">
        <f t="shared" si="227"/>
        <v>648</v>
      </c>
      <c r="AK2361" s="5">
        <f t="shared" si="230"/>
        <v>1</v>
      </c>
    </row>
    <row r="2362" spans="1:37" x14ac:dyDescent="0.2">
      <c r="A2362" s="2">
        <v>2025</v>
      </c>
      <c r="B2362" s="2">
        <v>12</v>
      </c>
      <c r="C2362" s="2" t="s">
        <v>320</v>
      </c>
      <c r="D2362" s="2" t="s">
        <v>38</v>
      </c>
      <c r="E2362" s="2" t="s">
        <v>39</v>
      </c>
      <c r="F2362" s="2">
        <v>500883262</v>
      </c>
      <c r="G2362" s="2" t="s">
        <v>40</v>
      </c>
      <c r="H2362" s="2" t="s">
        <v>100</v>
      </c>
      <c r="I2362" s="2" t="s">
        <v>321</v>
      </c>
      <c r="K2362" s="2" t="s">
        <v>100</v>
      </c>
      <c r="L2362" s="2" t="s">
        <v>81</v>
      </c>
      <c r="N2362" s="2" t="s">
        <v>2142</v>
      </c>
      <c r="O2362" s="2" t="s">
        <v>43</v>
      </c>
      <c r="P2362" s="2" t="s">
        <v>979</v>
      </c>
      <c r="Q2362" s="2" t="s">
        <v>980</v>
      </c>
      <c r="R2362" s="2">
        <v>24</v>
      </c>
      <c r="S2362" s="2">
        <v>648</v>
      </c>
      <c r="T2362" s="2">
        <v>149.04</v>
      </c>
      <c r="U2362" s="2">
        <v>797.04</v>
      </c>
      <c r="W2362" s="5">
        <f t="shared" si="229"/>
        <v>1</v>
      </c>
      <c r="Y2362" s="2" t="s">
        <v>3256</v>
      </c>
      <c r="Z2362" s="2" t="s">
        <v>46</v>
      </c>
      <c r="AA2362" s="2" t="s">
        <v>61</v>
      </c>
      <c r="AB2362" s="2" t="s">
        <v>58</v>
      </c>
      <c r="AE2362" s="2">
        <f t="shared" si="225"/>
        <v>0</v>
      </c>
      <c r="AI2362" s="2">
        <f t="shared" si="226"/>
        <v>0</v>
      </c>
      <c r="AJ2362" s="2">
        <f t="shared" si="227"/>
        <v>648</v>
      </c>
      <c r="AK2362" s="5">
        <f t="shared" si="230"/>
        <v>1</v>
      </c>
    </row>
    <row r="2363" spans="1:37" x14ac:dyDescent="0.2">
      <c r="A2363" s="2">
        <v>2025</v>
      </c>
      <c r="B2363" s="2">
        <v>12</v>
      </c>
      <c r="C2363" s="2" t="s">
        <v>2143</v>
      </c>
      <c r="O2363" s="2" t="s">
        <v>283</v>
      </c>
      <c r="P2363" s="2" t="s">
        <v>1563</v>
      </c>
      <c r="Q2363" s="2" t="s">
        <v>1564</v>
      </c>
      <c r="R2363" s="2">
        <v>1</v>
      </c>
      <c r="S2363" s="2">
        <v>406</v>
      </c>
      <c r="T2363" s="2">
        <v>93.38000000000001</v>
      </c>
      <c r="U2363" s="2">
        <v>499.38</v>
      </c>
      <c r="W2363" s="5">
        <f t="shared" si="229"/>
        <v>1</v>
      </c>
      <c r="AE2363" s="2">
        <f t="shared" si="225"/>
        <v>0</v>
      </c>
      <c r="AI2363" s="2">
        <f t="shared" si="226"/>
        <v>0</v>
      </c>
      <c r="AJ2363" s="2">
        <f t="shared" si="227"/>
        <v>406</v>
      </c>
      <c r="AK2363" s="5">
        <f t="shared" si="230"/>
        <v>1</v>
      </c>
    </row>
    <row r="2364" spans="1:37" x14ac:dyDescent="0.2">
      <c r="A2364" s="2">
        <v>2025</v>
      </c>
      <c r="B2364" s="2">
        <v>12</v>
      </c>
      <c r="C2364" s="2" t="s">
        <v>2144</v>
      </c>
      <c r="O2364" s="2" t="s">
        <v>115</v>
      </c>
      <c r="P2364" s="2" t="s">
        <v>416</v>
      </c>
      <c r="Q2364" s="2" t="s">
        <v>417</v>
      </c>
      <c r="R2364" s="2">
        <v>1</v>
      </c>
      <c r="S2364" s="2">
        <v>14990</v>
      </c>
      <c r="T2364" s="2">
        <v>3447.7</v>
      </c>
      <c r="U2364" s="2">
        <v>18437.7</v>
      </c>
      <c r="V2364" s="2">
        <v>10669.4</v>
      </c>
      <c r="W2364" s="5">
        <f t="shared" si="229"/>
        <v>0.28823215476984659</v>
      </c>
      <c r="Y2364" s="2" t="s">
        <v>105</v>
      </c>
      <c r="Z2364" s="2" t="s">
        <v>418</v>
      </c>
      <c r="AA2364" s="2" t="s">
        <v>152</v>
      </c>
      <c r="AB2364" s="2" t="s">
        <v>115</v>
      </c>
      <c r="AE2364" s="2">
        <f t="shared" si="225"/>
        <v>0</v>
      </c>
      <c r="AI2364" s="2">
        <f t="shared" si="226"/>
        <v>0</v>
      </c>
      <c r="AJ2364" s="2">
        <f t="shared" si="227"/>
        <v>4320.6000000000004</v>
      </c>
      <c r="AK2364" s="5">
        <f t="shared" si="230"/>
        <v>0.28823215476984659</v>
      </c>
    </row>
    <row r="2365" spans="1:37" x14ac:dyDescent="0.2">
      <c r="A2365" s="2">
        <v>2025</v>
      </c>
      <c r="B2365" s="2">
        <v>12</v>
      </c>
      <c r="C2365" s="2" t="s">
        <v>2145</v>
      </c>
      <c r="O2365" s="2" t="s">
        <v>283</v>
      </c>
      <c r="P2365" s="2" t="s">
        <v>2146</v>
      </c>
      <c r="Q2365" s="2" t="s">
        <v>2147</v>
      </c>
      <c r="R2365" s="2">
        <v>2</v>
      </c>
      <c r="S2365" s="2">
        <v>239.8</v>
      </c>
      <c r="T2365" s="2">
        <v>55.154000000000003</v>
      </c>
      <c r="U2365" s="2">
        <v>294.95400000000001</v>
      </c>
      <c r="W2365" s="5">
        <f t="shared" si="229"/>
        <v>1</v>
      </c>
      <c r="AE2365" s="2">
        <f t="shared" si="225"/>
        <v>0</v>
      </c>
      <c r="AI2365" s="2">
        <f t="shared" si="226"/>
        <v>0</v>
      </c>
      <c r="AJ2365" s="2">
        <f t="shared" si="227"/>
        <v>239.8</v>
      </c>
      <c r="AK2365" s="5">
        <f t="shared" si="230"/>
        <v>1</v>
      </c>
    </row>
    <row r="2366" spans="1:37" x14ac:dyDescent="0.2">
      <c r="A2366" s="2">
        <v>2025</v>
      </c>
      <c r="B2366" s="2">
        <v>12</v>
      </c>
      <c r="C2366" s="2" t="s">
        <v>2145</v>
      </c>
      <c r="O2366" s="2" t="s">
        <v>283</v>
      </c>
      <c r="P2366" s="2" t="s">
        <v>1721</v>
      </c>
      <c r="Q2366" s="2" t="s">
        <v>1722</v>
      </c>
      <c r="R2366" s="2">
        <v>1</v>
      </c>
      <c r="S2366" s="2">
        <v>759</v>
      </c>
      <c r="T2366" s="2">
        <v>174.57</v>
      </c>
      <c r="U2366" s="2">
        <v>933.57</v>
      </c>
      <c r="W2366" s="5">
        <f t="shared" si="229"/>
        <v>1</v>
      </c>
      <c r="AE2366" s="2">
        <f t="shared" si="225"/>
        <v>0</v>
      </c>
      <c r="AI2366" s="2">
        <f t="shared" si="226"/>
        <v>0</v>
      </c>
      <c r="AJ2366" s="2">
        <f t="shared" si="227"/>
        <v>759</v>
      </c>
      <c r="AK2366" s="5">
        <f t="shared" si="230"/>
        <v>1</v>
      </c>
    </row>
    <row r="2367" spans="1:37" x14ac:dyDescent="0.2">
      <c r="A2367" s="2">
        <v>2025</v>
      </c>
      <c r="B2367" s="2">
        <v>12</v>
      </c>
      <c r="C2367" s="2" t="s">
        <v>2148</v>
      </c>
      <c r="O2367" s="2" t="s">
        <v>283</v>
      </c>
      <c r="P2367" s="2" t="s">
        <v>1163</v>
      </c>
      <c r="Q2367" s="2" t="s">
        <v>1164</v>
      </c>
      <c r="R2367" s="2">
        <v>1</v>
      </c>
      <c r="S2367" s="2">
        <v>3150</v>
      </c>
      <c r="T2367" s="2">
        <v>724.5</v>
      </c>
      <c r="U2367" s="2">
        <v>3874.5</v>
      </c>
      <c r="W2367" s="5">
        <f t="shared" si="229"/>
        <v>1</v>
      </c>
      <c r="AE2367" s="2">
        <f t="shared" si="225"/>
        <v>0</v>
      </c>
      <c r="AI2367" s="2">
        <f t="shared" si="226"/>
        <v>0</v>
      </c>
      <c r="AJ2367" s="2">
        <f t="shared" si="227"/>
        <v>3150</v>
      </c>
      <c r="AK2367" s="5">
        <f t="shared" si="230"/>
        <v>1</v>
      </c>
    </row>
    <row r="2368" spans="1:37" x14ac:dyDescent="0.2">
      <c r="A2368" s="2">
        <v>2025</v>
      </c>
      <c r="B2368" s="2">
        <v>12</v>
      </c>
      <c r="C2368" s="2" t="s">
        <v>2148</v>
      </c>
      <c r="O2368" s="2" t="s">
        <v>283</v>
      </c>
      <c r="P2368" s="2" t="s">
        <v>1167</v>
      </c>
      <c r="Q2368" s="2" t="s">
        <v>1168</v>
      </c>
      <c r="R2368" s="2">
        <v>1</v>
      </c>
      <c r="S2368" s="2">
        <v>0</v>
      </c>
      <c r="T2368" s="2">
        <v>0</v>
      </c>
      <c r="U2368" s="2">
        <v>0</v>
      </c>
      <c r="W2368" s="5" t="e">
        <f t="shared" ref="W2368:W2399" si="231">(S2368-V2368)/S2368</f>
        <v>#DIV/0!</v>
      </c>
      <c r="AE2368" s="2">
        <f t="shared" si="225"/>
        <v>0</v>
      </c>
      <c r="AI2368" s="2">
        <f t="shared" si="226"/>
        <v>0</v>
      </c>
      <c r="AJ2368" s="2">
        <f t="shared" si="227"/>
        <v>0</v>
      </c>
      <c r="AK2368" s="5" t="e">
        <f t="shared" si="230"/>
        <v>#DIV/0!</v>
      </c>
    </row>
    <row r="2369" spans="1:37" x14ac:dyDescent="0.2">
      <c r="A2369" s="2">
        <v>2025</v>
      </c>
      <c r="B2369" s="2">
        <v>12</v>
      </c>
      <c r="C2369" s="2" t="s">
        <v>333</v>
      </c>
      <c r="D2369" s="2" t="s">
        <v>109</v>
      </c>
      <c r="E2369" s="2" t="s">
        <v>39</v>
      </c>
      <c r="F2369" s="2">
        <v>513493557</v>
      </c>
      <c r="G2369" s="2" t="s">
        <v>41</v>
      </c>
      <c r="H2369" s="2" t="s">
        <v>280</v>
      </c>
      <c r="I2369" s="2" t="s">
        <v>334</v>
      </c>
      <c r="K2369" s="2" t="s">
        <v>178</v>
      </c>
      <c r="L2369" s="2" t="s">
        <v>41</v>
      </c>
      <c r="O2369" s="2" t="s">
        <v>43</v>
      </c>
      <c r="P2369" s="2" t="s">
        <v>64</v>
      </c>
      <c r="Q2369" s="2" t="s">
        <v>65</v>
      </c>
      <c r="R2369" s="2">
        <v>20</v>
      </c>
      <c r="S2369" s="2">
        <v>36</v>
      </c>
      <c r="T2369" s="2">
        <v>8.2800000000000011</v>
      </c>
      <c r="U2369" s="2">
        <v>44.28</v>
      </c>
      <c r="V2369" s="2">
        <f>0.8561*R2369</f>
        <v>17.122</v>
      </c>
      <c r="W2369" s="5">
        <f t="shared" si="231"/>
        <v>0.5243888888888889</v>
      </c>
      <c r="Y2369" s="2" t="s">
        <v>3256</v>
      </c>
      <c r="Z2369" s="2" t="s">
        <v>46</v>
      </c>
      <c r="AA2369" s="2" t="s">
        <v>61</v>
      </c>
      <c r="AB2369" s="2" t="s">
        <v>58</v>
      </c>
      <c r="AE2369" s="2">
        <f t="shared" si="225"/>
        <v>0</v>
      </c>
      <c r="AF2369" s="2">
        <v>0.85609999999999997</v>
      </c>
      <c r="AG2369" s="2">
        <v>1.8</v>
      </c>
      <c r="AI2369" s="2">
        <f t="shared" si="226"/>
        <v>0</v>
      </c>
      <c r="AJ2369" s="2">
        <f t="shared" si="227"/>
        <v>18.878</v>
      </c>
      <c r="AK2369" s="5">
        <f t="shared" si="230"/>
        <v>0.5243888888888889</v>
      </c>
    </row>
    <row r="2370" spans="1:37" x14ac:dyDescent="0.2">
      <c r="A2370" s="2">
        <v>2025</v>
      </c>
      <c r="B2370" s="2">
        <v>12</v>
      </c>
      <c r="C2370" s="2" t="s">
        <v>333</v>
      </c>
      <c r="D2370" s="2" t="s">
        <v>109</v>
      </c>
      <c r="E2370" s="2" t="s">
        <v>39</v>
      </c>
      <c r="F2370" s="2">
        <v>513493557</v>
      </c>
      <c r="G2370" s="2" t="s">
        <v>41</v>
      </c>
      <c r="H2370" s="2" t="s">
        <v>280</v>
      </c>
      <c r="I2370" s="2" t="s">
        <v>334</v>
      </c>
      <c r="K2370" s="2" t="s">
        <v>178</v>
      </c>
      <c r="L2370" s="2" t="s">
        <v>41</v>
      </c>
      <c r="O2370" s="2" t="s">
        <v>43</v>
      </c>
      <c r="P2370" s="2" t="s">
        <v>66</v>
      </c>
      <c r="Q2370" s="2" t="s">
        <v>67</v>
      </c>
      <c r="R2370" s="2">
        <v>4</v>
      </c>
      <c r="S2370" s="2">
        <v>92</v>
      </c>
      <c r="T2370" s="2">
        <v>21.16</v>
      </c>
      <c r="U2370" s="2">
        <v>113.16</v>
      </c>
      <c r="V2370" s="2">
        <f>15.0203*R2370</f>
        <v>60.081200000000003</v>
      </c>
      <c r="W2370" s="5">
        <f t="shared" si="231"/>
        <v>0.34694347826086952</v>
      </c>
      <c r="Y2370" s="2" t="s">
        <v>3256</v>
      </c>
      <c r="Z2370" s="2" t="s">
        <v>46</v>
      </c>
      <c r="AA2370" s="2" t="s">
        <v>68</v>
      </c>
      <c r="AB2370" s="2" t="s">
        <v>58</v>
      </c>
      <c r="AE2370" s="2">
        <f t="shared" si="225"/>
        <v>0</v>
      </c>
      <c r="AF2370" s="2">
        <v>15.020300000000001</v>
      </c>
      <c r="AG2370" s="2">
        <v>27.6</v>
      </c>
      <c r="AI2370" s="2">
        <f t="shared" si="226"/>
        <v>0</v>
      </c>
      <c r="AJ2370" s="2">
        <f t="shared" si="227"/>
        <v>31.918799999999997</v>
      </c>
      <c r="AK2370" s="5">
        <f t="shared" si="230"/>
        <v>0.34694347826086952</v>
      </c>
    </row>
    <row r="2371" spans="1:37" x14ac:dyDescent="0.2">
      <c r="A2371" s="2">
        <v>2025</v>
      </c>
      <c r="B2371" s="2">
        <v>12</v>
      </c>
      <c r="C2371" s="2" t="s">
        <v>337</v>
      </c>
      <c r="D2371" s="2" t="s">
        <v>109</v>
      </c>
      <c r="E2371" s="2" t="s">
        <v>39</v>
      </c>
      <c r="F2371" s="2">
        <v>503373494</v>
      </c>
      <c r="G2371" s="2" t="s">
        <v>291</v>
      </c>
      <c r="H2371" s="2" t="s">
        <v>338</v>
      </c>
      <c r="I2371" s="2" t="s">
        <v>339</v>
      </c>
      <c r="J2371" s="2">
        <v>965852001</v>
      </c>
      <c r="K2371" s="2" t="s">
        <v>340</v>
      </c>
      <c r="O2371" s="2" t="s">
        <v>43</v>
      </c>
      <c r="P2371" s="2" t="s">
        <v>597</v>
      </c>
      <c r="Q2371" s="2" t="s">
        <v>598</v>
      </c>
      <c r="R2371" s="2">
        <v>1</v>
      </c>
      <c r="S2371" s="2">
        <v>30</v>
      </c>
      <c r="T2371" s="2">
        <v>6.9</v>
      </c>
      <c r="U2371" s="2">
        <v>36.9</v>
      </c>
      <c r="V2371" s="2">
        <v>11.295</v>
      </c>
      <c r="W2371" s="5">
        <f t="shared" si="231"/>
        <v>0.62349999999999994</v>
      </c>
      <c r="Y2371" s="2" t="s">
        <v>3256</v>
      </c>
      <c r="Z2371" s="2" t="s">
        <v>46</v>
      </c>
      <c r="AA2371" s="2" t="s">
        <v>47</v>
      </c>
      <c r="AB2371" s="2" t="s">
        <v>48</v>
      </c>
      <c r="AE2371" s="2">
        <f t="shared" ref="AE2371:AE2434" si="232">AI2371</f>
        <v>0</v>
      </c>
      <c r="AF2371" s="2">
        <v>11.295</v>
      </c>
      <c r="AI2371" s="2">
        <f t="shared" ref="AI2371:AI2434" si="233">AH2371*S2371</f>
        <v>0</v>
      </c>
      <c r="AJ2371" s="2">
        <f t="shared" ref="AJ2371:AJ2434" si="234">S2371-V2371</f>
        <v>18.704999999999998</v>
      </c>
      <c r="AK2371" s="5">
        <f t="shared" si="230"/>
        <v>0.62349999999999994</v>
      </c>
    </row>
    <row r="2372" spans="1:37" x14ac:dyDescent="0.2">
      <c r="A2372" s="2">
        <v>2025</v>
      </c>
      <c r="B2372" s="2">
        <v>12</v>
      </c>
      <c r="C2372" s="2" t="s">
        <v>337</v>
      </c>
      <c r="D2372" s="2" t="s">
        <v>109</v>
      </c>
      <c r="E2372" s="2" t="s">
        <v>39</v>
      </c>
      <c r="F2372" s="2">
        <v>503373494</v>
      </c>
      <c r="G2372" s="2" t="s">
        <v>291</v>
      </c>
      <c r="H2372" s="2" t="s">
        <v>338</v>
      </c>
      <c r="I2372" s="2" t="s">
        <v>339</v>
      </c>
      <c r="J2372" s="2">
        <v>965852001</v>
      </c>
      <c r="K2372" s="2" t="s">
        <v>340</v>
      </c>
      <c r="O2372" s="2" t="s">
        <v>43</v>
      </c>
      <c r="P2372" s="2" t="s">
        <v>235</v>
      </c>
      <c r="Q2372" s="2" t="s">
        <v>236</v>
      </c>
      <c r="R2372" s="2">
        <v>1</v>
      </c>
      <c r="S2372" s="2">
        <v>13.2</v>
      </c>
      <c r="T2372" s="2">
        <v>3.036</v>
      </c>
      <c r="U2372" s="2">
        <v>16.236000000000001</v>
      </c>
      <c r="V2372" s="2">
        <v>7.2217000000000002</v>
      </c>
      <c r="W2372" s="5">
        <f t="shared" si="231"/>
        <v>0.45290151515151511</v>
      </c>
      <c r="Y2372" s="2" t="s">
        <v>3256</v>
      </c>
      <c r="Z2372" s="2" t="s">
        <v>46</v>
      </c>
      <c r="AA2372" s="2" t="s">
        <v>57</v>
      </c>
      <c r="AB2372" s="2" t="s">
        <v>58</v>
      </c>
      <c r="AE2372" s="2">
        <f t="shared" si="232"/>
        <v>0</v>
      </c>
      <c r="AF2372" s="2">
        <v>7.2217000000000002</v>
      </c>
      <c r="AG2372" s="2">
        <v>14.4</v>
      </c>
      <c r="AI2372" s="2">
        <f t="shared" si="233"/>
        <v>0</v>
      </c>
      <c r="AJ2372" s="2">
        <f t="shared" si="234"/>
        <v>5.9782999999999991</v>
      </c>
      <c r="AK2372" s="5">
        <f t="shared" si="230"/>
        <v>0.45290151515151511</v>
      </c>
    </row>
    <row r="2373" spans="1:37" x14ac:dyDescent="0.2">
      <c r="A2373" s="2">
        <v>2025</v>
      </c>
      <c r="B2373" s="2">
        <v>12</v>
      </c>
      <c r="C2373" s="2" t="s">
        <v>337</v>
      </c>
      <c r="D2373" s="2" t="s">
        <v>109</v>
      </c>
      <c r="E2373" s="2" t="s">
        <v>39</v>
      </c>
      <c r="F2373" s="2">
        <v>503373494</v>
      </c>
      <c r="G2373" s="2" t="s">
        <v>291</v>
      </c>
      <c r="H2373" s="2" t="s">
        <v>338</v>
      </c>
      <c r="I2373" s="2" t="s">
        <v>339</v>
      </c>
      <c r="J2373" s="2">
        <v>965852001</v>
      </c>
      <c r="K2373" s="2" t="s">
        <v>340</v>
      </c>
      <c r="O2373" s="2" t="s">
        <v>43</v>
      </c>
      <c r="P2373" s="2" t="s">
        <v>241</v>
      </c>
      <c r="Q2373" s="2" t="s">
        <v>242</v>
      </c>
      <c r="R2373" s="2">
        <v>1</v>
      </c>
      <c r="S2373" s="2">
        <v>24</v>
      </c>
      <c r="T2373" s="2">
        <v>5.52</v>
      </c>
      <c r="U2373" s="2">
        <v>29.52</v>
      </c>
      <c r="W2373" s="5">
        <f t="shared" si="231"/>
        <v>1</v>
      </c>
      <c r="Y2373" s="2" t="s">
        <v>3256</v>
      </c>
      <c r="Z2373" s="2" t="s">
        <v>46</v>
      </c>
      <c r="AA2373" s="2" t="s">
        <v>57</v>
      </c>
      <c r="AB2373" s="2" t="s">
        <v>58</v>
      </c>
      <c r="AE2373" s="2">
        <f t="shared" si="232"/>
        <v>0</v>
      </c>
      <c r="AI2373" s="2">
        <f t="shared" si="233"/>
        <v>0</v>
      </c>
      <c r="AJ2373" s="2">
        <f t="shared" si="234"/>
        <v>24</v>
      </c>
      <c r="AK2373" s="5">
        <f t="shared" si="230"/>
        <v>1</v>
      </c>
    </row>
    <row r="2374" spans="1:37" x14ac:dyDescent="0.2">
      <c r="A2374" s="2">
        <v>2025</v>
      </c>
      <c r="B2374" s="2">
        <v>12</v>
      </c>
      <c r="C2374" s="2" t="s">
        <v>337</v>
      </c>
      <c r="D2374" s="2" t="s">
        <v>109</v>
      </c>
      <c r="E2374" s="2" t="s">
        <v>39</v>
      </c>
      <c r="F2374" s="2">
        <v>503373494</v>
      </c>
      <c r="G2374" s="2" t="s">
        <v>291</v>
      </c>
      <c r="H2374" s="2" t="s">
        <v>338</v>
      </c>
      <c r="I2374" s="2" t="s">
        <v>339</v>
      </c>
      <c r="J2374" s="2">
        <v>965852001</v>
      </c>
      <c r="K2374" s="2" t="s">
        <v>340</v>
      </c>
      <c r="O2374" s="2" t="s">
        <v>43</v>
      </c>
      <c r="P2374" s="2" t="s">
        <v>243</v>
      </c>
      <c r="Q2374" s="2" t="s">
        <v>244</v>
      </c>
      <c r="R2374" s="2">
        <v>2</v>
      </c>
      <c r="S2374" s="2">
        <v>57.6</v>
      </c>
      <c r="T2374" s="2">
        <v>13.247999999999999</v>
      </c>
      <c r="U2374" s="2">
        <v>70.847999999999999</v>
      </c>
      <c r="W2374" s="5">
        <f t="shared" si="231"/>
        <v>1</v>
      </c>
      <c r="Y2374" s="2" t="s">
        <v>3256</v>
      </c>
      <c r="Z2374" s="2" t="s">
        <v>46</v>
      </c>
      <c r="AA2374" s="2" t="s">
        <v>57</v>
      </c>
      <c r="AB2374" s="2" t="s">
        <v>58</v>
      </c>
      <c r="AE2374" s="2">
        <f t="shared" si="232"/>
        <v>0</v>
      </c>
      <c r="AI2374" s="2">
        <f t="shared" si="233"/>
        <v>0</v>
      </c>
      <c r="AJ2374" s="2">
        <f t="shared" si="234"/>
        <v>57.6</v>
      </c>
      <c r="AK2374" s="5">
        <f t="shared" si="230"/>
        <v>1</v>
      </c>
    </row>
    <row r="2375" spans="1:37" x14ac:dyDescent="0.2">
      <c r="A2375" s="2">
        <v>2025</v>
      </c>
      <c r="B2375" s="2">
        <v>12</v>
      </c>
      <c r="C2375" s="2" t="s">
        <v>337</v>
      </c>
      <c r="D2375" s="2" t="s">
        <v>109</v>
      </c>
      <c r="E2375" s="2" t="s">
        <v>39</v>
      </c>
      <c r="F2375" s="2">
        <v>503373494</v>
      </c>
      <c r="G2375" s="2" t="s">
        <v>291</v>
      </c>
      <c r="H2375" s="2" t="s">
        <v>338</v>
      </c>
      <c r="I2375" s="2" t="s">
        <v>339</v>
      </c>
      <c r="J2375" s="2">
        <v>965852001</v>
      </c>
      <c r="K2375" s="2" t="s">
        <v>340</v>
      </c>
      <c r="O2375" s="2" t="s">
        <v>43</v>
      </c>
      <c r="P2375" s="2" t="s">
        <v>245</v>
      </c>
      <c r="Q2375" s="2" t="s">
        <v>246</v>
      </c>
      <c r="R2375" s="2">
        <v>2</v>
      </c>
      <c r="S2375" s="2">
        <v>33.6</v>
      </c>
      <c r="T2375" s="2">
        <v>7.7280000000000006</v>
      </c>
      <c r="U2375" s="2">
        <v>41.328000000000003</v>
      </c>
      <c r="W2375" s="5">
        <f t="shared" si="231"/>
        <v>1</v>
      </c>
      <c r="Y2375" s="2" t="s">
        <v>3256</v>
      </c>
      <c r="Z2375" s="2" t="s">
        <v>46</v>
      </c>
      <c r="AA2375" s="2" t="s">
        <v>57</v>
      </c>
      <c r="AB2375" s="2" t="s">
        <v>58</v>
      </c>
      <c r="AE2375" s="2">
        <f t="shared" si="232"/>
        <v>0</v>
      </c>
      <c r="AI2375" s="2">
        <f t="shared" si="233"/>
        <v>0</v>
      </c>
      <c r="AJ2375" s="2">
        <f t="shared" si="234"/>
        <v>33.6</v>
      </c>
      <c r="AK2375" s="5">
        <f t="shared" si="230"/>
        <v>1</v>
      </c>
    </row>
    <row r="2376" spans="1:37" x14ac:dyDescent="0.2">
      <c r="A2376" s="2">
        <v>2025</v>
      </c>
      <c r="B2376" s="2">
        <v>12</v>
      </c>
      <c r="C2376" s="2" t="s">
        <v>337</v>
      </c>
      <c r="D2376" s="2" t="s">
        <v>109</v>
      </c>
      <c r="E2376" s="2" t="s">
        <v>39</v>
      </c>
      <c r="F2376" s="2">
        <v>503373494</v>
      </c>
      <c r="G2376" s="2" t="s">
        <v>291</v>
      </c>
      <c r="H2376" s="2" t="s">
        <v>338</v>
      </c>
      <c r="I2376" s="2" t="s">
        <v>339</v>
      </c>
      <c r="J2376" s="2">
        <v>965852001</v>
      </c>
      <c r="K2376" s="2" t="s">
        <v>340</v>
      </c>
      <c r="O2376" s="2" t="s">
        <v>43</v>
      </c>
      <c r="P2376" s="2" t="s">
        <v>257</v>
      </c>
      <c r="Q2376" s="2" t="s">
        <v>258</v>
      </c>
      <c r="R2376" s="2">
        <v>1</v>
      </c>
      <c r="S2376" s="2">
        <v>5</v>
      </c>
      <c r="T2376" s="2">
        <v>1.1499999999999999</v>
      </c>
      <c r="U2376" s="2">
        <v>6.15</v>
      </c>
      <c r="V2376" s="2">
        <v>0.98</v>
      </c>
      <c r="W2376" s="5">
        <f t="shared" si="231"/>
        <v>0.80399999999999994</v>
      </c>
      <c r="Y2376" s="2" t="s">
        <v>3256</v>
      </c>
      <c r="Z2376" s="2" t="s">
        <v>46</v>
      </c>
      <c r="AA2376" s="2" t="s">
        <v>91</v>
      </c>
      <c r="AB2376" s="2" t="s">
        <v>58</v>
      </c>
      <c r="AE2376" s="2">
        <f t="shared" si="232"/>
        <v>0</v>
      </c>
      <c r="AF2376" s="2">
        <v>0.98</v>
      </c>
      <c r="AG2376" s="2">
        <v>3</v>
      </c>
      <c r="AI2376" s="2">
        <f t="shared" si="233"/>
        <v>0</v>
      </c>
      <c r="AJ2376" s="2">
        <f t="shared" si="234"/>
        <v>4.0199999999999996</v>
      </c>
      <c r="AK2376" s="5">
        <f t="shared" si="230"/>
        <v>0.80399999999999994</v>
      </c>
    </row>
    <row r="2377" spans="1:37" x14ac:dyDescent="0.2">
      <c r="A2377" s="2">
        <v>2025</v>
      </c>
      <c r="B2377" s="2">
        <v>12</v>
      </c>
      <c r="C2377" s="2" t="s">
        <v>337</v>
      </c>
      <c r="D2377" s="2" t="s">
        <v>109</v>
      </c>
      <c r="E2377" s="2" t="s">
        <v>39</v>
      </c>
      <c r="F2377" s="2">
        <v>503373494</v>
      </c>
      <c r="G2377" s="2" t="s">
        <v>291</v>
      </c>
      <c r="H2377" s="2" t="s">
        <v>338</v>
      </c>
      <c r="I2377" s="2" t="s">
        <v>339</v>
      </c>
      <c r="J2377" s="2">
        <v>965852001</v>
      </c>
      <c r="K2377" s="2" t="s">
        <v>340</v>
      </c>
      <c r="O2377" s="2" t="s">
        <v>85</v>
      </c>
      <c r="P2377" s="2" t="s">
        <v>1990</v>
      </c>
      <c r="Q2377" s="2" t="s">
        <v>1991</v>
      </c>
      <c r="R2377" s="2">
        <v>1</v>
      </c>
      <c r="S2377" s="2">
        <v>15</v>
      </c>
      <c r="T2377" s="2">
        <v>3.45</v>
      </c>
      <c r="U2377" s="2">
        <v>18.45</v>
      </c>
      <c r="V2377" s="2">
        <v>6.8949999999999996</v>
      </c>
      <c r="W2377" s="5">
        <f t="shared" si="231"/>
        <v>0.54033333333333333</v>
      </c>
      <c r="Y2377" s="2" t="s">
        <v>3256</v>
      </c>
      <c r="Z2377" s="2" t="s">
        <v>88</v>
      </c>
      <c r="AA2377" s="2" t="s">
        <v>91</v>
      </c>
      <c r="AB2377" s="2" t="s">
        <v>85</v>
      </c>
      <c r="AE2377" s="2">
        <f t="shared" si="232"/>
        <v>0</v>
      </c>
      <c r="AF2377" s="2">
        <v>6.8949999999999996</v>
      </c>
      <c r="AI2377" s="2">
        <f t="shared" si="233"/>
        <v>0</v>
      </c>
      <c r="AJ2377" s="2">
        <f t="shared" si="234"/>
        <v>8.1050000000000004</v>
      </c>
      <c r="AK2377" s="5">
        <f t="shared" si="230"/>
        <v>0.54033333333333333</v>
      </c>
    </row>
    <row r="2378" spans="1:37" x14ac:dyDescent="0.2">
      <c r="A2378" s="2">
        <v>2025</v>
      </c>
      <c r="B2378" s="2">
        <v>12</v>
      </c>
      <c r="C2378" s="2" t="s">
        <v>1364</v>
      </c>
      <c r="L2378" s="2" t="s">
        <v>40</v>
      </c>
      <c r="O2378" s="2" t="s">
        <v>188</v>
      </c>
      <c r="P2378" s="2" t="s">
        <v>189</v>
      </c>
      <c r="Q2378" s="2" t="s">
        <v>190</v>
      </c>
      <c r="R2378" s="2">
        <v>1</v>
      </c>
      <c r="S2378" s="2">
        <v>0</v>
      </c>
      <c r="T2378" s="2">
        <v>0</v>
      </c>
      <c r="U2378" s="2">
        <v>0</v>
      </c>
      <c r="W2378" s="5" t="e">
        <f t="shared" si="231"/>
        <v>#DIV/0!</v>
      </c>
      <c r="Y2378" s="2" t="s">
        <v>118</v>
      </c>
      <c r="Z2378" s="2" t="s">
        <v>191</v>
      </c>
      <c r="AE2378" s="2">
        <f t="shared" si="232"/>
        <v>0</v>
      </c>
      <c r="AI2378" s="2">
        <f t="shared" si="233"/>
        <v>0</v>
      </c>
      <c r="AJ2378" s="2">
        <f t="shared" si="234"/>
        <v>0</v>
      </c>
      <c r="AK2378" s="5" t="e">
        <f t="shared" si="230"/>
        <v>#DIV/0!</v>
      </c>
    </row>
    <row r="2379" spans="1:37" x14ac:dyDescent="0.2">
      <c r="A2379" s="2">
        <v>2025</v>
      </c>
      <c r="B2379" s="2">
        <v>12</v>
      </c>
      <c r="C2379" s="2" t="s">
        <v>1364</v>
      </c>
      <c r="L2379" s="2" t="s">
        <v>40</v>
      </c>
      <c r="O2379" s="2" t="s">
        <v>188</v>
      </c>
      <c r="P2379" s="2" t="s">
        <v>192</v>
      </c>
      <c r="Q2379" s="2" t="s">
        <v>191</v>
      </c>
      <c r="R2379" s="2">
        <v>0.5</v>
      </c>
      <c r="S2379" s="2">
        <v>25</v>
      </c>
      <c r="T2379" s="2">
        <v>5.75</v>
      </c>
      <c r="U2379" s="2">
        <v>30.75</v>
      </c>
      <c r="V2379" s="2">
        <f>S2379*50%</f>
        <v>12.5</v>
      </c>
      <c r="W2379" s="5">
        <f t="shared" si="231"/>
        <v>0.5</v>
      </c>
      <c r="Y2379" s="2" t="s">
        <v>118</v>
      </c>
      <c r="Z2379" s="2" t="s">
        <v>191</v>
      </c>
      <c r="AE2379" s="2">
        <f t="shared" si="232"/>
        <v>0</v>
      </c>
      <c r="AI2379" s="2">
        <f t="shared" si="233"/>
        <v>0</v>
      </c>
      <c r="AJ2379" s="2">
        <f t="shared" si="234"/>
        <v>12.5</v>
      </c>
      <c r="AK2379" s="5">
        <f t="shared" si="230"/>
        <v>0.5</v>
      </c>
    </row>
    <row r="2380" spans="1:37" x14ac:dyDescent="0.2">
      <c r="A2380" s="2">
        <v>2025</v>
      </c>
      <c r="B2380" s="2">
        <v>12</v>
      </c>
      <c r="C2380" s="2" t="s">
        <v>1365</v>
      </c>
      <c r="D2380" s="2" t="s">
        <v>758</v>
      </c>
      <c r="E2380" s="2" t="s">
        <v>39</v>
      </c>
      <c r="F2380" s="2">
        <v>518238334</v>
      </c>
      <c r="G2380" s="2" t="s">
        <v>41</v>
      </c>
      <c r="H2380" s="2" t="s">
        <v>768</v>
      </c>
      <c r="I2380" s="2" t="s">
        <v>1366</v>
      </c>
      <c r="K2380" s="2" t="s">
        <v>422</v>
      </c>
      <c r="O2380" s="2" t="s">
        <v>283</v>
      </c>
      <c r="P2380" s="2" t="s">
        <v>1679</v>
      </c>
      <c r="Q2380" s="2" t="s">
        <v>1680</v>
      </c>
      <c r="R2380" s="2">
        <v>1</v>
      </c>
      <c r="S2380" s="2">
        <v>5500</v>
      </c>
      <c r="T2380" s="2">
        <v>1265</v>
      </c>
      <c r="U2380" s="2">
        <v>6765</v>
      </c>
      <c r="W2380" s="5">
        <f t="shared" si="231"/>
        <v>1</v>
      </c>
      <c r="AE2380" s="2">
        <f t="shared" si="232"/>
        <v>0</v>
      </c>
      <c r="AI2380" s="2">
        <f t="shared" si="233"/>
        <v>0</v>
      </c>
      <c r="AJ2380" s="2">
        <f t="shared" si="234"/>
        <v>5500</v>
      </c>
      <c r="AK2380" s="5">
        <f t="shared" si="230"/>
        <v>1</v>
      </c>
    </row>
    <row r="2381" spans="1:37" x14ac:dyDescent="0.2">
      <c r="A2381" s="2">
        <v>2025</v>
      </c>
      <c r="B2381" s="2">
        <v>12</v>
      </c>
      <c r="C2381" s="2" t="s">
        <v>1365</v>
      </c>
      <c r="D2381" s="2" t="s">
        <v>758</v>
      </c>
      <c r="E2381" s="2" t="s">
        <v>39</v>
      </c>
      <c r="F2381" s="2">
        <v>518238334</v>
      </c>
      <c r="G2381" s="2" t="s">
        <v>41</v>
      </c>
      <c r="H2381" s="2" t="s">
        <v>768</v>
      </c>
      <c r="I2381" s="2" t="s">
        <v>1366</v>
      </c>
      <c r="K2381" s="2" t="s">
        <v>422</v>
      </c>
      <c r="O2381" s="2" t="s">
        <v>283</v>
      </c>
      <c r="P2381" s="2" t="s">
        <v>1681</v>
      </c>
      <c r="Q2381" s="2" t="s">
        <v>1682</v>
      </c>
      <c r="R2381" s="2">
        <v>1</v>
      </c>
      <c r="S2381" s="2">
        <v>0</v>
      </c>
      <c r="T2381" s="2">
        <v>0</v>
      </c>
      <c r="U2381" s="2">
        <v>0</v>
      </c>
      <c r="W2381" s="5" t="e">
        <f t="shared" si="231"/>
        <v>#DIV/0!</v>
      </c>
      <c r="AE2381" s="2">
        <f t="shared" si="232"/>
        <v>0</v>
      </c>
      <c r="AI2381" s="2">
        <f t="shared" si="233"/>
        <v>0</v>
      </c>
      <c r="AJ2381" s="2">
        <f t="shared" si="234"/>
        <v>0</v>
      </c>
      <c r="AK2381" s="5" t="e">
        <f t="shared" si="230"/>
        <v>#DIV/0!</v>
      </c>
    </row>
    <row r="2382" spans="1:37" x14ac:dyDescent="0.2">
      <c r="A2382" s="2">
        <v>2025</v>
      </c>
      <c r="B2382" s="2">
        <v>12</v>
      </c>
      <c r="C2382" s="2" t="s">
        <v>1365</v>
      </c>
      <c r="D2382" s="2" t="s">
        <v>758</v>
      </c>
      <c r="E2382" s="2" t="s">
        <v>39</v>
      </c>
      <c r="F2382" s="2">
        <v>518238334</v>
      </c>
      <c r="G2382" s="2" t="s">
        <v>41</v>
      </c>
      <c r="H2382" s="2" t="s">
        <v>768</v>
      </c>
      <c r="I2382" s="2" t="s">
        <v>1366</v>
      </c>
      <c r="K2382" s="2" t="s">
        <v>422</v>
      </c>
      <c r="L2382" s="2" t="s">
        <v>41</v>
      </c>
      <c r="O2382" s="2" t="s">
        <v>43</v>
      </c>
      <c r="P2382" s="2" t="s">
        <v>49</v>
      </c>
      <c r="Q2382" s="2" t="s">
        <v>50</v>
      </c>
      <c r="R2382" s="2">
        <v>1</v>
      </c>
      <c r="S2382" s="2">
        <v>13</v>
      </c>
      <c r="T2382" s="2">
        <v>2.99</v>
      </c>
      <c r="U2382" s="2">
        <v>15.99</v>
      </c>
      <c r="V2382" s="2">
        <f>6.6267*R2382</f>
        <v>6.6266999999999996</v>
      </c>
      <c r="W2382" s="5">
        <f t="shared" si="231"/>
        <v>0.49025384615384621</v>
      </c>
      <c r="Y2382" s="2" t="s">
        <v>3256</v>
      </c>
      <c r="Z2382" s="2" t="s">
        <v>46</v>
      </c>
      <c r="AA2382" s="2" t="s">
        <v>47</v>
      </c>
      <c r="AB2382" s="2" t="s">
        <v>48</v>
      </c>
      <c r="AE2382" s="2">
        <f t="shared" si="232"/>
        <v>0</v>
      </c>
      <c r="AF2382" s="2">
        <v>6.6266999999999996</v>
      </c>
      <c r="AG2382" s="2">
        <v>12</v>
      </c>
      <c r="AI2382" s="2">
        <f t="shared" si="233"/>
        <v>0</v>
      </c>
      <c r="AJ2382" s="2">
        <f t="shared" si="234"/>
        <v>6.3733000000000004</v>
      </c>
      <c r="AK2382" s="5">
        <f t="shared" si="230"/>
        <v>0.49025384615384621</v>
      </c>
    </row>
    <row r="2383" spans="1:37" x14ac:dyDescent="0.2">
      <c r="A2383" s="2">
        <v>2025</v>
      </c>
      <c r="B2383" s="2">
        <v>12</v>
      </c>
      <c r="C2383" s="2" t="s">
        <v>1365</v>
      </c>
      <c r="D2383" s="2" t="s">
        <v>758</v>
      </c>
      <c r="E2383" s="2" t="s">
        <v>39</v>
      </c>
      <c r="F2383" s="2">
        <v>518238334</v>
      </c>
      <c r="G2383" s="2" t="s">
        <v>41</v>
      </c>
      <c r="H2383" s="2" t="s">
        <v>768</v>
      </c>
      <c r="I2383" s="2" t="s">
        <v>1366</v>
      </c>
      <c r="K2383" s="2" t="s">
        <v>422</v>
      </c>
      <c r="O2383" s="2" t="s">
        <v>85</v>
      </c>
      <c r="P2383" s="2" t="s">
        <v>275</v>
      </c>
      <c r="Q2383" s="2" t="s">
        <v>276</v>
      </c>
      <c r="R2383" s="2">
        <v>1</v>
      </c>
      <c r="S2383" s="2">
        <v>7</v>
      </c>
      <c r="T2383" s="2">
        <v>1.61</v>
      </c>
      <c r="U2383" s="2">
        <v>8.61</v>
      </c>
      <c r="V2383" s="2">
        <v>2.94</v>
      </c>
      <c r="W2383" s="5">
        <f t="shared" si="231"/>
        <v>0.58000000000000007</v>
      </c>
      <c r="Y2383" s="2" t="s">
        <v>3256</v>
      </c>
      <c r="Z2383" s="2" t="s">
        <v>88</v>
      </c>
      <c r="AA2383" s="2" t="s">
        <v>91</v>
      </c>
      <c r="AB2383" s="2" t="s">
        <v>85</v>
      </c>
      <c r="AE2383" s="2">
        <f t="shared" si="232"/>
        <v>0</v>
      </c>
      <c r="AI2383" s="2">
        <f t="shared" si="233"/>
        <v>0</v>
      </c>
      <c r="AJ2383" s="2">
        <f t="shared" si="234"/>
        <v>4.0600000000000005</v>
      </c>
      <c r="AK2383" s="5">
        <f t="shared" si="230"/>
        <v>0.58000000000000007</v>
      </c>
    </row>
    <row r="2384" spans="1:37" x14ac:dyDescent="0.2">
      <c r="A2384" s="2">
        <v>2025</v>
      </c>
      <c r="B2384" s="2">
        <v>12</v>
      </c>
      <c r="C2384" s="2" t="s">
        <v>1365</v>
      </c>
      <c r="D2384" s="2" t="s">
        <v>758</v>
      </c>
      <c r="E2384" s="2" t="s">
        <v>39</v>
      </c>
      <c r="F2384" s="2">
        <v>518238334</v>
      </c>
      <c r="G2384" s="2" t="s">
        <v>41</v>
      </c>
      <c r="H2384" s="2" t="s">
        <v>768</v>
      </c>
      <c r="I2384" s="2" t="s">
        <v>1366</v>
      </c>
      <c r="K2384" s="2" t="s">
        <v>422</v>
      </c>
      <c r="O2384" s="2" t="s">
        <v>85</v>
      </c>
      <c r="P2384" s="2" t="s">
        <v>277</v>
      </c>
      <c r="Q2384" s="2" t="s">
        <v>278</v>
      </c>
      <c r="R2384" s="2">
        <v>1</v>
      </c>
      <c r="S2384" s="2">
        <v>7</v>
      </c>
      <c r="T2384" s="2">
        <v>1.61</v>
      </c>
      <c r="U2384" s="2">
        <v>8.61</v>
      </c>
      <c r="W2384" s="5">
        <f t="shared" si="231"/>
        <v>1</v>
      </c>
      <c r="Y2384" s="2" t="s">
        <v>3256</v>
      </c>
      <c r="Z2384" s="2" t="s">
        <v>88</v>
      </c>
      <c r="AA2384" s="2" t="s">
        <v>91</v>
      </c>
      <c r="AB2384" s="2" t="s">
        <v>85</v>
      </c>
      <c r="AE2384" s="2">
        <f t="shared" si="232"/>
        <v>0</v>
      </c>
      <c r="AI2384" s="2">
        <f t="shared" si="233"/>
        <v>0</v>
      </c>
      <c r="AJ2384" s="2">
        <f t="shared" si="234"/>
        <v>7</v>
      </c>
      <c r="AK2384" s="5">
        <f t="shared" si="230"/>
        <v>1</v>
      </c>
    </row>
    <row r="2385" spans="1:37" x14ac:dyDescent="0.2">
      <c r="A2385" s="2">
        <v>2025</v>
      </c>
      <c r="B2385" s="2">
        <v>12</v>
      </c>
      <c r="C2385" s="2" t="s">
        <v>750</v>
      </c>
      <c r="D2385" s="2" t="s">
        <v>109</v>
      </c>
      <c r="E2385" s="2" t="s">
        <v>39</v>
      </c>
      <c r="F2385" s="2">
        <v>509181163</v>
      </c>
      <c r="G2385" s="2" t="s">
        <v>40</v>
      </c>
      <c r="H2385" s="2" t="s">
        <v>751</v>
      </c>
      <c r="I2385" s="2" t="s">
        <v>752</v>
      </c>
      <c r="J2385" s="2">
        <v>962372760</v>
      </c>
      <c r="K2385" s="2" t="s">
        <v>202</v>
      </c>
      <c r="O2385" s="2" t="s">
        <v>40</v>
      </c>
      <c r="P2385" s="2" t="s">
        <v>364</v>
      </c>
      <c r="Q2385" s="2" t="s">
        <v>365</v>
      </c>
      <c r="R2385" s="2">
        <v>1</v>
      </c>
      <c r="S2385" s="2">
        <v>440</v>
      </c>
      <c r="T2385" s="2">
        <v>101.2</v>
      </c>
      <c r="U2385" s="2">
        <v>541.20000000000005</v>
      </c>
      <c r="W2385" s="5">
        <f t="shared" si="231"/>
        <v>1</v>
      </c>
      <c r="Y2385" s="2" t="s">
        <v>120</v>
      </c>
      <c r="AE2385" s="2">
        <f t="shared" si="232"/>
        <v>0</v>
      </c>
      <c r="AI2385" s="2">
        <f t="shared" si="233"/>
        <v>0</v>
      </c>
      <c r="AJ2385" s="2">
        <f t="shared" si="234"/>
        <v>440</v>
      </c>
      <c r="AK2385" s="5">
        <f t="shared" si="230"/>
        <v>1</v>
      </c>
    </row>
    <row r="2386" spans="1:37" x14ac:dyDescent="0.2">
      <c r="A2386" s="2">
        <v>2025</v>
      </c>
      <c r="B2386" s="2">
        <v>12</v>
      </c>
      <c r="C2386" s="2" t="s">
        <v>2149</v>
      </c>
      <c r="L2386" s="2" t="s">
        <v>40</v>
      </c>
      <c r="O2386" s="2" t="s">
        <v>188</v>
      </c>
      <c r="P2386" s="2" t="s">
        <v>189</v>
      </c>
      <c r="Q2386" s="2" t="s">
        <v>190</v>
      </c>
      <c r="R2386" s="2">
        <v>1</v>
      </c>
      <c r="S2386" s="2">
        <v>170</v>
      </c>
      <c r="T2386" s="2">
        <v>39.1</v>
      </c>
      <c r="U2386" s="2">
        <v>209.1</v>
      </c>
      <c r="W2386" s="5">
        <f t="shared" si="231"/>
        <v>1</v>
      </c>
      <c r="Y2386" s="2" t="s">
        <v>118</v>
      </c>
      <c r="Z2386" s="2" t="s">
        <v>191</v>
      </c>
      <c r="AE2386" s="2">
        <f t="shared" si="232"/>
        <v>0</v>
      </c>
      <c r="AI2386" s="2">
        <f t="shared" si="233"/>
        <v>0</v>
      </c>
      <c r="AJ2386" s="2">
        <f t="shared" si="234"/>
        <v>170</v>
      </c>
      <c r="AK2386" s="5">
        <f t="shared" si="230"/>
        <v>1</v>
      </c>
    </row>
    <row r="2387" spans="1:37" x14ac:dyDescent="0.2">
      <c r="A2387" s="2">
        <v>2025</v>
      </c>
      <c r="B2387" s="2">
        <v>12</v>
      </c>
      <c r="C2387" s="2" t="s">
        <v>2149</v>
      </c>
      <c r="L2387" s="2" t="s">
        <v>40</v>
      </c>
      <c r="O2387" s="2" t="s">
        <v>188</v>
      </c>
      <c r="P2387" s="2" t="s">
        <v>192</v>
      </c>
      <c r="Q2387" s="2" t="s">
        <v>191</v>
      </c>
      <c r="R2387" s="2">
        <v>0.75</v>
      </c>
      <c r="S2387" s="2">
        <v>37.5</v>
      </c>
      <c r="T2387" s="2">
        <v>8.625</v>
      </c>
      <c r="U2387" s="2">
        <v>46.125</v>
      </c>
      <c r="V2387" s="2">
        <f>S2387*50%</f>
        <v>18.75</v>
      </c>
      <c r="W2387" s="5">
        <f t="shared" si="231"/>
        <v>0.5</v>
      </c>
      <c r="Y2387" s="2" t="s">
        <v>118</v>
      </c>
      <c r="Z2387" s="2" t="s">
        <v>191</v>
      </c>
      <c r="AE2387" s="2">
        <f t="shared" si="232"/>
        <v>0</v>
      </c>
      <c r="AI2387" s="2">
        <f t="shared" si="233"/>
        <v>0</v>
      </c>
      <c r="AJ2387" s="2">
        <f t="shared" si="234"/>
        <v>18.75</v>
      </c>
      <c r="AK2387" s="5">
        <f t="shared" si="230"/>
        <v>0.5</v>
      </c>
    </row>
    <row r="2388" spans="1:37" x14ac:dyDescent="0.2">
      <c r="A2388" s="2">
        <v>2025</v>
      </c>
      <c r="B2388" s="2">
        <v>12</v>
      </c>
      <c r="C2388" s="2" t="s">
        <v>755</v>
      </c>
      <c r="D2388" s="2" t="s">
        <v>109</v>
      </c>
      <c r="E2388" s="2" t="s">
        <v>39</v>
      </c>
      <c r="F2388" s="2">
        <v>510039537</v>
      </c>
      <c r="G2388" s="2" t="s">
        <v>40</v>
      </c>
      <c r="H2388" s="2" t="s">
        <v>576</v>
      </c>
      <c r="I2388" s="2" t="s">
        <v>756</v>
      </c>
      <c r="J2388" s="2">
        <v>969042927</v>
      </c>
      <c r="K2388" s="2" t="s">
        <v>576</v>
      </c>
      <c r="L2388" s="2" t="s">
        <v>40</v>
      </c>
      <c r="O2388" s="2" t="s">
        <v>188</v>
      </c>
      <c r="P2388" s="2" t="s">
        <v>189</v>
      </c>
      <c r="Q2388" s="2" t="s">
        <v>190</v>
      </c>
      <c r="R2388" s="2">
        <v>1</v>
      </c>
      <c r="S2388" s="2">
        <v>184</v>
      </c>
      <c r="T2388" s="2">
        <v>42.32</v>
      </c>
      <c r="U2388" s="2">
        <v>226.32</v>
      </c>
      <c r="W2388" s="5">
        <f t="shared" si="231"/>
        <v>1</v>
      </c>
      <c r="Y2388" s="2" t="s">
        <v>118</v>
      </c>
      <c r="Z2388" s="2" t="s">
        <v>191</v>
      </c>
      <c r="AE2388" s="2">
        <f t="shared" si="232"/>
        <v>0</v>
      </c>
      <c r="AI2388" s="2">
        <f t="shared" si="233"/>
        <v>0</v>
      </c>
      <c r="AJ2388" s="2">
        <f t="shared" si="234"/>
        <v>184</v>
      </c>
      <c r="AK2388" s="5">
        <f t="shared" si="230"/>
        <v>1</v>
      </c>
    </row>
    <row r="2389" spans="1:37" x14ac:dyDescent="0.2">
      <c r="A2389" s="2">
        <v>2025</v>
      </c>
      <c r="B2389" s="2">
        <v>12</v>
      </c>
      <c r="C2389" s="2" t="s">
        <v>755</v>
      </c>
      <c r="D2389" s="2" t="s">
        <v>109</v>
      </c>
      <c r="E2389" s="2" t="s">
        <v>39</v>
      </c>
      <c r="F2389" s="2">
        <v>510039537</v>
      </c>
      <c r="G2389" s="2" t="s">
        <v>40</v>
      </c>
      <c r="H2389" s="2" t="s">
        <v>576</v>
      </c>
      <c r="I2389" s="2" t="s">
        <v>756</v>
      </c>
      <c r="J2389" s="2">
        <v>969042927</v>
      </c>
      <c r="K2389" s="2" t="s">
        <v>576</v>
      </c>
      <c r="L2389" s="2" t="s">
        <v>40</v>
      </c>
      <c r="O2389" s="2" t="s">
        <v>188</v>
      </c>
      <c r="P2389" s="2" t="s">
        <v>192</v>
      </c>
      <c r="Q2389" s="2" t="s">
        <v>191</v>
      </c>
      <c r="R2389" s="2">
        <v>2.5</v>
      </c>
      <c r="S2389" s="2">
        <v>125</v>
      </c>
      <c r="T2389" s="2">
        <v>28.75</v>
      </c>
      <c r="U2389" s="2">
        <v>153.75</v>
      </c>
      <c r="V2389" s="2">
        <f>S2389*50%</f>
        <v>62.5</v>
      </c>
      <c r="W2389" s="5">
        <f t="shared" si="231"/>
        <v>0.5</v>
      </c>
      <c r="Y2389" s="2" t="s">
        <v>118</v>
      </c>
      <c r="Z2389" s="2" t="s">
        <v>191</v>
      </c>
      <c r="AE2389" s="2">
        <f t="shared" si="232"/>
        <v>0</v>
      </c>
      <c r="AI2389" s="2">
        <f t="shared" si="233"/>
        <v>0</v>
      </c>
      <c r="AJ2389" s="2">
        <f t="shared" si="234"/>
        <v>62.5</v>
      </c>
      <c r="AK2389" s="5">
        <f t="shared" si="230"/>
        <v>0.5</v>
      </c>
    </row>
    <row r="2390" spans="1:37" x14ac:dyDescent="0.2">
      <c r="A2390" s="2">
        <v>2025</v>
      </c>
      <c r="B2390" s="2">
        <v>12</v>
      </c>
      <c r="C2390" s="2" t="s">
        <v>1712</v>
      </c>
      <c r="L2390" s="2" t="s">
        <v>40</v>
      </c>
      <c r="O2390" s="2" t="s">
        <v>188</v>
      </c>
      <c r="P2390" s="2" t="s">
        <v>189</v>
      </c>
      <c r="Q2390" s="2" t="s">
        <v>190</v>
      </c>
      <c r="R2390" s="2">
        <v>1</v>
      </c>
      <c r="S2390" s="2">
        <v>95</v>
      </c>
      <c r="T2390" s="2">
        <v>21.85</v>
      </c>
      <c r="U2390" s="2">
        <v>116.85</v>
      </c>
      <c r="W2390" s="5">
        <f t="shared" si="231"/>
        <v>1</v>
      </c>
      <c r="Y2390" s="2" t="s">
        <v>118</v>
      </c>
      <c r="Z2390" s="2" t="s">
        <v>191</v>
      </c>
      <c r="AE2390" s="2">
        <f t="shared" si="232"/>
        <v>0</v>
      </c>
      <c r="AI2390" s="2">
        <f t="shared" si="233"/>
        <v>0</v>
      </c>
      <c r="AJ2390" s="2">
        <f t="shared" si="234"/>
        <v>95</v>
      </c>
      <c r="AK2390" s="5">
        <f t="shared" si="230"/>
        <v>1</v>
      </c>
    </row>
    <row r="2391" spans="1:37" x14ac:dyDescent="0.2">
      <c r="A2391" s="2">
        <v>2025</v>
      </c>
      <c r="B2391" s="2">
        <v>12</v>
      </c>
      <c r="C2391" s="2" t="s">
        <v>1712</v>
      </c>
      <c r="L2391" s="2" t="s">
        <v>40</v>
      </c>
      <c r="O2391" s="2" t="s">
        <v>188</v>
      </c>
      <c r="P2391" s="2" t="s">
        <v>192</v>
      </c>
      <c r="Q2391" s="2" t="s">
        <v>191</v>
      </c>
      <c r="R2391" s="2">
        <v>1</v>
      </c>
      <c r="S2391" s="2">
        <v>50</v>
      </c>
      <c r="T2391" s="2">
        <v>11.5</v>
      </c>
      <c r="U2391" s="2">
        <v>61.5</v>
      </c>
      <c r="V2391" s="2">
        <f>S2391*50%</f>
        <v>25</v>
      </c>
      <c r="W2391" s="5">
        <f t="shared" si="231"/>
        <v>0.5</v>
      </c>
      <c r="Y2391" s="2" t="s">
        <v>118</v>
      </c>
      <c r="Z2391" s="2" t="s">
        <v>191</v>
      </c>
      <c r="AE2391" s="2">
        <f t="shared" si="232"/>
        <v>0</v>
      </c>
      <c r="AI2391" s="2">
        <f t="shared" si="233"/>
        <v>0</v>
      </c>
      <c r="AJ2391" s="2">
        <f t="shared" si="234"/>
        <v>25</v>
      </c>
      <c r="AK2391" s="5">
        <f t="shared" si="230"/>
        <v>0.5</v>
      </c>
    </row>
    <row r="2392" spans="1:37" x14ac:dyDescent="0.2">
      <c r="A2392" s="2">
        <v>2025</v>
      </c>
      <c r="B2392" s="2">
        <v>12</v>
      </c>
      <c r="C2392" s="2" t="s">
        <v>1712</v>
      </c>
      <c r="O2392" s="2" t="s">
        <v>40</v>
      </c>
      <c r="P2392" s="2" t="s">
        <v>364</v>
      </c>
      <c r="Q2392" s="2" t="s">
        <v>365</v>
      </c>
      <c r="R2392" s="2">
        <v>1</v>
      </c>
      <c r="S2392" s="2">
        <v>99.75</v>
      </c>
      <c r="T2392" s="2">
        <v>22.942499999999999</v>
      </c>
      <c r="U2392" s="2">
        <v>122.6925</v>
      </c>
      <c r="W2392" s="5">
        <f t="shared" si="231"/>
        <v>1</v>
      </c>
      <c r="Y2392" s="2" t="s">
        <v>120</v>
      </c>
      <c r="AE2392" s="2">
        <f t="shared" si="232"/>
        <v>0</v>
      </c>
      <c r="AI2392" s="2">
        <f t="shared" si="233"/>
        <v>0</v>
      </c>
      <c r="AJ2392" s="2">
        <f t="shared" si="234"/>
        <v>99.75</v>
      </c>
      <c r="AK2392" s="5">
        <f t="shared" si="230"/>
        <v>1</v>
      </c>
    </row>
    <row r="2393" spans="1:37" x14ac:dyDescent="0.2">
      <c r="A2393" s="2">
        <v>2025</v>
      </c>
      <c r="B2393" s="2">
        <v>12</v>
      </c>
      <c r="C2393" s="2" t="s">
        <v>359</v>
      </c>
      <c r="D2393" s="2" t="s">
        <v>38</v>
      </c>
      <c r="E2393" s="2" t="s">
        <v>39</v>
      </c>
      <c r="F2393" s="2">
        <v>514618906</v>
      </c>
      <c r="G2393" s="2" t="s">
        <v>41</v>
      </c>
      <c r="H2393" s="2" t="s">
        <v>465</v>
      </c>
      <c r="I2393" s="2" t="s">
        <v>3143</v>
      </c>
      <c r="J2393" s="2">
        <v>917575485</v>
      </c>
      <c r="K2393" s="2" t="s">
        <v>465</v>
      </c>
      <c r="L2393" s="2" t="s">
        <v>40</v>
      </c>
      <c r="N2393" s="2" t="s">
        <v>3144</v>
      </c>
      <c r="O2393" s="2" t="s">
        <v>188</v>
      </c>
      <c r="P2393" s="2" t="s">
        <v>318</v>
      </c>
      <c r="Q2393" s="2" t="s">
        <v>319</v>
      </c>
      <c r="R2393" s="2">
        <v>1</v>
      </c>
      <c r="S2393" s="2">
        <v>723.1</v>
      </c>
      <c r="T2393" s="2">
        <v>166.31299999999999</v>
      </c>
      <c r="U2393" s="2">
        <v>889.41300000000001</v>
      </c>
      <c r="W2393" s="5">
        <f t="shared" si="231"/>
        <v>1</v>
      </c>
      <c r="Y2393" s="2" t="s">
        <v>118</v>
      </c>
      <c r="Z2393" s="2" t="s">
        <v>318</v>
      </c>
      <c r="AE2393" s="2">
        <f t="shared" si="232"/>
        <v>0</v>
      </c>
      <c r="AI2393" s="2">
        <f t="shared" si="233"/>
        <v>0</v>
      </c>
      <c r="AJ2393" s="2">
        <f t="shared" si="234"/>
        <v>723.1</v>
      </c>
      <c r="AK2393" s="5">
        <f t="shared" si="230"/>
        <v>1</v>
      </c>
    </row>
    <row r="2394" spans="1:37" x14ac:dyDescent="0.2">
      <c r="A2394" s="2">
        <v>2025</v>
      </c>
      <c r="B2394" s="2">
        <v>12</v>
      </c>
      <c r="C2394" s="2" t="s">
        <v>359</v>
      </c>
      <c r="D2394" s="2" t="s">
        <v>38</v>
      </c>
      <c r="E2394" s="2" t="s">
        <v>39</v>
      </c>
      <c r="F2394" s="2">
        <v>514618906</v>
      </c>
      <c r="G2394" s="2" t="s">
        <v>41</v>
      </c>
      <c r="H2394" s="2" t="s">
        <v>465</v>
      </c>
      <c r="I2394" s="2" t="s">
        <v>3143</v>
      </c>
      <c r="J2394" s="2">
        <v>917575485</v>
      </c>
      <c r="K2394" s="2" t="s">
        <v>465</v>
      </c>
      <c r="L2394" s="2" t="s">
        <v>40</v>
      </c>
      <c r="N2394" s="2" t="s">
        <v>3144</v>
      </c>
      <c r="O2394" s="2" t="s">
        <v>115</v>
      </c>
      <c r="P2394" s="2" t="s">
        <v>411</v>
      </c>
      <c r="Q2394" s="2" t="s">
        <v>412</v>
      </c>
      <c r="R2394" s="2">
        <v>1</v>
      </c>
      <c r="S2394" s="2">
        <v>0</v>
      </c>
      <c r="T2394" s="2">
        <v>0</v>
      </c>
      <c r="U2394" s="2">
        <v>0</v>
      </c>
      <c r="W2394" s="5">
        <v>0</v>
      </c>
      <c r="Y2394" s="2" t="s">
        <v>118</v>
      </c>
      <c r="Z2394" s="2" t="s">
        <v>3145</v>
      </c>
      <c r="AE2394" s="2">
        <f t="shared" si="232"/>
        <v>0</v>
      </c>
      <c r="AI2394" s="2">
        <f t="shared" si="233"/>
        <v>0</v>
      </c>
      <c r="AJ2394" s="2">
        <f t="shared" si="234"/>
        <v>0</v>
      </c>
      <c r="AK2394" s="5" t="e">
        <f t="shared" si="230"/>
        <v>#DIV/0!</v>
      </c>
    </row>
    <row r="2395" spans="1:37" x14ac:dyDescent="0.2">
      <c r="A2395" s="2">
        <v>2025</v>
      </c>
      <c r="B2395" s="2">
        <v>12</v>
      </c>
      <c r="C2395" s="2" t="s">
        <v>367</v>
      </c>
      <c r="D2395" s="2" t="s">
        <v>184</v>
      </c>
      <c r="E2395" s="2" t="s">
        <v>368</v>
      </c>
      <c r="F2395" s="2">
        <v>501423192</v>
      </c>
      <c r="G2395" s="2" t="s">
        <v>40</v>
      </c>
      <c r="H2395" s="2" t="s">
        <v>369</v>
      </c>
      <c r="I2395" s="2" t="s">
        <v>370</v>
      </c>
      <c r="K2395" s="2" t="s">
        <v>100</v>
      </c>
      <c r="L2395" s="2" t="s">
        <v>81</v>
      </c>
      <c r="N2395" s="2" t="s">
        <v>2150</v>
      </c>
      <c r="O2395" s="2" t="s">
        <v>73</v>
      </c>
      <c r="P2395" s="2" t="s">
        <v>74</v>
      </c>
      <c r="Q2395" s="2" t="s">
        <v>75</v>
      </c>
      <c r="R2395" s="2">
        <v>1</v>
      </c>
      <c r="S2395" s="2">
        <v>220</v>
      </c>
      <c r="T2395" s="2">
        <v>50.6</v>
      </c>
      <c r="U2395" s="2">
        <v>270.60000000000002</v>
      </c>
      <c r="V2395" s="2">
        <v>117.453</v>
      </c>
      <c r="W2395" s="5">
        <f t="shared" si="231"/>
        <v>0.46612272727272724</v>
      </c>
      <c r="Y2395" s="2" t="s">
        <v>3256</v>
      </c>
      <c r="Z2395" s="2" t="s">
        <v>76</v>
      </c>
      <c r="AA2395" s="2" t="s">
        <v>77</v>
      </c>
      <c r="AB2395" s="2" t="s">
        <v>78</v>
      </c>
      <c r="AE2395" s="2">
        <f t="shared" si="232"/>
        <v>0</v>
      </c>
      <c r="AF2395" s="2">
        <v>117.453</v>
      </c>
      <c r="AG2395" s="2">
        <v>220</v>
      </c>
      <c r="AI2395" s="2">
        <f t="shared" si="233"/>
        <v>0</v>
      </c>
      <c r="AJ2395" s="2">
        <f t="shared" si="234"/>
        <v>102.547</v>
      </c>
      <c r="AK2395" s="5">
        <f t="shared" si="230"/>
        <v>0.46612272727272724</v>
      </c>
    </row>
    <row r="2396" spans="1:37" x14ac:dyDescent="0.2">
      <c r="A2396" s="2">
        <v>2025</v>
      </c>
      <c r="B2396" s="2">
        <v>12</v>
      </c>
      <c r="C2396" s="2" t="s">
        <v>367</v>
      </c>
      <c r="D2396" s="2" t="s">
        <v>184</v>
      </c>
      <c r="E2396" s="2" t="s">
        <v>368</v>
      </c>
      <c r="F2396" s="2">
        <v>501423192</v>
      </c>
      <c r="G2396" s="2" t="s">
        <v>40</v>
      </c>
      <c r="H2396" s="2" t="s">
        <v>369</v>
      </c>
      <c r="I2396" s="2" t="s">
        <v>370</v>
      </c>
      <c r="K2396" s="2" t="s">
        <v>100</v>
      </c>
      <c r="L2396" s="2" t="s">
        <v>81</v>
      </c>
      <c r="N2396" s="2" t="s">
        <v>2150</v>
      </c>
      <c r="O2396" s="2" t="s">
        <v>94</v>
      </c>
      <c r="P2396" s="2" t="s">
        <v>95</v>
      </c>
      <c r="Q2396" s="2" t="s">
        <v>96</v>
      </c>
      <c r="R2396" s="2">
        <v>1</v>
      </c>
      <c r="S2396" s="2">
        <v>1.1399999999999999</v>
      </c>
      <c r="T2396" s="2">
        <v>0.26219999999999999</v>
      </c>
      <c r="U2396" s="2">
        <v>1.4021999999999999</v>
      </c>
      <c r="V2396" s="2">
        <v>1.1399999999999999</v>
      </c>
      <c r="W2396" s="5">
        <f t="shared" si="231"/>
        <v>0</v>
      </c>
      <c r="Y2396" s="2" t="s">
        <v>3256</v>
      </c>
      <c r="Z2396" s="2" t="s">
        <v>97</v>
      </c>
      <c r="AA2396" s="2" t="s">
        <v>77</v>
      </c>
      <c r="AB2396" s="2" t="s">
        <v>94</v>
      </c>
      <c r="AE2396" s="2">
        <f t="shared" si="232"/>
        <v>0</v>
      </c>
      <c r="AI2396" s="2">
        <f t="shared" si="233"/>
        <v>0</v>
      </c>
      <c r="AJ2396" s="2">
        <f t="shared" si="234"/>
        <v>0</v>
      </c>
      <c r="AK2396" s="5">
        <f t="shared" si="230"/>
        <v>0</v>
      </c>
    </row>
    <row r="2397" spans="1:37" x14ac:dyDescent="0.2">
      <c r="A2397" s="2">
        <v>2025</v>
      </c>
      <c r="B2397" s="2">
        <v>12</v>
      </c>
      <c r="C2397" s="2" t="s">
        <v>372</v>
      </c>
      <c r="D2397" s="2" t="s">
        <v>38</v>
      </c>
      <c r="F2397" s="2">
        <v>504498886</v>
      </c>
      <c r="G2397" s="2" t="s">
        <v>41</v>
      </c>
      <c r="H2397" s="2" t="s">
        <v>373</v>
      </c>
      <c r="I2397" s="2" t="s">
        <v>374</v>
      </c>
      <c r="J2397" s="2">
        <v>966932738</v>
      </c>
      <c r="K2397" s="2" t="s">
        <v>178</v>
      </c>
      <c r="L2397" s="2" t="s">
        <v>41</v>
      </c>
      <c r="N2397" s="2" t="s">
        <v>2151</v>
      </c>
      <c r="O2397" s="2" t="s">
        <v>115</v>
      </c>
      <c r="P2397" s="2" t="s">
        <v>375</v>
      </c>
      <c r="Q2397" s="2" t="s">
        <v>376</v>
      </c>
      <c r="R2397" s="2">
        <v>1</v>
      </c>
      <c r="S2397" s="2">
        <v>48.95</v>
      </c>
      <c r="T2397" s="2">
        <v>11.2585</v>
      </c>
      <c r="U2397" s="2">
        <v>60.208500000000001</v>
      </c>
      <c r="V2397" s="2">
        <v>22.2</v>
      </c>
      <c r="W2397" s="5">
        <f t="shared" si="231"/>
        <v>0.54647599591419815</v>
      </c>
      <c r="Y2397" s="2" t="s">
        <v>118</v>
      </c>
      <c r="Z2397" s="2" t="s">
        <v>119</v>
      </c>
      <c r="AA2397" s="2" t="s">
        <v>120</v>
      </c>
      <c r="AB2397" s="2" t="s">
        <v>115</v>
      </c>
      <c r="AE2397" s="2">
        <f t="shared" si="232"/>
        <v>0</v>
      </c>
      <c r="AI2397" s="2">
        <f t="shared" si="233"/>
        <v>0</v>
      </c>
      <c r="AJ2397" s="2">
        <f t="shared" si="234"/>
        <v>26.750000000000004</v>
      </c>
      <c r="AK2397" s="5">
        <f t="shared" si="230"/>
        <v>0.54647599591419815</v>
      </c>
    </row>
    <row r="2398" spans="1:37" x14ac:dyDescent="0.2">
      <c r="A2398" s="2">
        <v>2025</v>
      </c>
      <c r="B2398" s="2">
        <v>12</v>
      </c>
      <c r="C2398" s="2" t="s">
        <v>771</v>
      </c>
      <c r="D2398" s="2" t="s">
        <v>38</v>
      </c>
      <c r="F2398" s="2">
        <v>513686231</v>
      </c>
      <c r="G2398" s="2" t="s">
        <v>291</v>
      </c>
      <c r="H2398" s="2" t="s">
        <v>772</v>
      </c>
      <c r="I2398" s="2" t="s">
        <v>773</v>
      </c>
      <c r="K2398" s="2" t="s">
        <v>484</v>
      </c>
      <c r="L2398" s="2" t="s">
        <v>81</v>
      </c>
      <c r="N2398" s="2" t="s">
        <v>2152</v>
      </c>
      <c r="O2398" s="2" t="s">
        <v>43</v>
      </c>
      <c r="P2398" s="2" t="s">
        <v>233</v>
      </c>
      <c r="Q2398" s="2" t="s">
        <v>234</v>
      </c>
      <c r="R2398" s="2">
        <v>1</v>
      </c>
      <c r="S2398" s="2">
        <v>11.34</v>
      </c>
      <c r="T2398" s="2">
        <v>2.6082000000000001</v>
      </c>
      <c r="U2398" s="2">
        <v>13.9482</v>
      </c>
      <c r="V2398" s="2">
        <v>5.9066999999999998</v>
      </c>
      <c r="W2398" s="5">
        <f t="shared" si="231"/>
        <v>0.47912698412698412</v>
      </c>
      <c r="Y2398" s="2" t="s">
        <v>3256</v>
      </c>
      <c r="Z2398" s="2" t="s">
        <v>46</v>
      </c>
      <c r="AA2398" s="2" t="s">
        <v>57</v>
      </c>
      <c r="AB2398" s="2" t="s">
        <v>58</v>
      </c>
      <c r="AE2398" s="2">
        <f t="shared" si="232"/>
        <v>0</v>
      </c>
      <c r="AF2398" s="2">
        <v>5.9066999999999998</v>
      </c>
      <c r="AG2398" s="2">
        <v>12.6</v>
      </c>
      <c r="AI2398" s="2">
        <f t="shared" si="233"/>
        <v>0</v>
      </c>
      <c r="AJ2398" s="2">
        <f t="shared" si="234"/>
        <v>5.4333</v>
      </c>
      <c r="AK2398" s="5">
        <f t="shared" si="230"/>
        <v>0.47912698412698412</v>
      </c>
    </row>
    <row r="2399" spans="1:37" x14ac:dyDescent="0.2">
      <c r="A2399" s="2">
        <v>2025</v>
      </c>
      <c r="B2399" s="2">
        <v>12</v>
      </c>
      <c r="C2399" s="2" t="s">
        <v>771</v>
      </c>
      <c r="D2399" s="2" t="s">
        <v>38</v>
      </c>
      <c r="F2399" s="2">
        <v>513686231</v>
      </c>
      <c r="G2399" s="2" t="s">
        <v>291</v>
      </c>
      <c r="H2399" s="2" t="s">
        <v>772</v>
      </c>
      <c r="I2399" s="2" t="s">
        <v>773</v>
      </c>
      <c r="K2399" s="2" t="s">
        <v>484</v>
      </c>
      <c r="L2399" s="2" t="s">
        <v>81</v>
      </c>
      <c r="N2399" s="2" t="s">
        <v>2152</v>
      </c>
      <c r="O2399" s="2" t="s">
        <v>43</v>
      </c>
      <c r="P2399" s="2" t="s">
        <v>239</v>
      </c>
      <c r="Q2399" s="2" t="s">
        <v>240</v>
      </c>
      <c r="R2399" s="2">
        <v>1</v>
      </c>
      <c r="S2399" s="2">
        <v>21.48</v>
      </c>
      <c r="T2399" s="2">
        <v>4.9404000000000003</v>
      </c>
      <c r="U2399" s="2">
        <v>26.420400000000001</v>
      </c>
      <c r="V2399" s="2">
        <v>11.045</v>
      </c>
      <c r="W2399" s="5">
        <f t="shared" si="231"/>
        <v>0.48580074487895719</v>
      </c>
      <c r="Y2399" s="2" t="s">
        <v>3256</v>
      </c>
      <c r="Z2399" s="2" t="s">
        <v>46</v>
      </c>
      <c r="AA2399" s="2" t="s">
        <v>57</v>
      </c>
      <c r="AB2399" s="2" t="s">
        <v>58</v>
      </c>
      <c r="AE2399" s="2">
        <f t="shared" si="232"/>
        <v>0</v>
      </c>
      <c r="AF2399" s="2">
        <v>11.045</v>
      </c>
      <c r="AI2399" s="2">
        <f t="shared" si="233"/>
        <v>0</v>
      </c>
      <c r="AJ2399" s="2">
        <f t="shared" si="234"/>
        <v>10.435</v>
      </c>
      <c r="AK2399" s="5">
        <f t="shared" si="230"/>
        <v>0.48580074487895719</v>
      </c>
    </row>
    <row r="2400" spans="1:37" x14ac:dyDescent="0.2">
      <c r="A2400" s="2">
        <v>2025</v>
      </c>
      <c r="B2400" s="2">
        <v>12</v>
      </c>
      <c r="C2400" s="2" t="s">
        <v>771</v>
      </c>
      <c r="D2400" s="2" t="s">
        <v>38</v>
      </c>
      <c r="F2400" s="2">
        <v>513686231</v>
      </c>
      <c r="G2400" s="2" t="s">
        <v>291</v>
      </c>
      <c r="H2400" s="2" t="s">
        <v>772</v>
      </c>
      <c r="I2400" s="2" t="s">
        <v>773</v>
      </c>
      <c r="K2400" s="2" t="s">
        <v>484</v>
      </c>
      <c r="L2400" s="2" t="s">
        <v>81</v>
      </c>
      <c r="N2400" s="2" t="s">
        <v>2152</v>
      </c>
      <c r="O2400" s="2" t="s">
        <v>43</v>
      </c>
      <c r="P2400" s="2" t="s">
        <v>55</v>
      </c>
      <c r="Q2400" s="2" t="s">
        <v>56</v>
      </c>
      <c r="R2400" s="2">
        <v>10</v>
      </c>
      <c r="S2400" s="2">
        <v>170</v>
      </c>
      <c r="T2400" s="2">
        <v>39.1</v>
      </c>
      <c r="U2400" s="2">
        <v>209.1</v>
      </c>
      <c r="V2400" s="2">
        <f>10.6*R2400</f>
        <v>106</v>
      </c>
      <c r="W2400" s="5">
        <f t="shared" ref="W2400:W2431" si="235">(S2400-V2400)/S2400</f>
        <v>0.37647058823529411</v>
      </c>
      <c r="Y2400" s="2" t="s">
        <v>3256</v>
      </c>
      <c r="Z2400" s="2" t="s">
        <v>46</v>
      </c>
      <c r="AA2400" s="2" t="s">
        <v>57</v>
      </c>
      <c r="AB2400" s="2" t="s">
        <v>58</v>
      </c>
      <c r="AE2400" s="2">
        <f t="shared" si="232"/>
        <v>0</v>
      </c>
      <c r="AF2400" s="2">
        <v>10.6</v>
      </c>
      <c r="AG2400" s="2">
        <v>18</v>
      </c>
      <c r="AI2400" s="2">
        <f t="shared" si="233"/>
        <v>0</v>
      </c>
      <c r="AJ2400" s="2">
        <f t="shared" si="234"/>
        <v>64</v>
      </c>
      <c r="AK2400" s="5">
        <f t="shared" si="230"/>
        <v>0.37647058823529411</v>
      </c>
    </row>
    <row r="2401" spans="1:37" x14ac:dyDescent="0.2">
      <c r="A2401" s="2">
        <v>2025</v>
      </c>
      <c r="B2401" s="2">
        <v>12</v>
      </c>
      <c r="C2401" s="2" t="s">
        <v>771</v>
      </c>
      <c r="D2401" s="2" t="s">
        <v>38</v>
      </c>
      <c r="F2401" s="2">
        <v>513686231</v>
      </c>
      <c r="G2401" s="2" t="s">
        <v>291</v>
      </c>
      <c r="H2401" s="2" t="s">
        <v>772</v>
      </c>
      <c r="I2401" s="2" t="s">
        <v>773</v>
      </c>
      <c r="K2401" s="2" t="s">
        <v>484</v>
      </c>
      <c r="L2401" s="2" t="s">
        <v>81</v>
      </c>
      <c r="N2401" s="2" t="s">
        <v>2152</v>
      </c>
      <c r="O2401" s="2" t="s">
        <v>43</v>
      </c>
      <c r="P2401" s="2" t="s">
        <v>62</v>
      </c>
      <c r="Q2401" s="2" t="s">
        <v>63</v>
      </c>
      <c r="R2401" s="2">
        <v>500</v>
      </c>
      <c r="S2401" s="2">
        <v>60</v>
      </c>
      <c r="T2401" s="2">
        <v>13.8</v>
      </c>
      <c r="U2401" s="2">
        <v>73.8</v>
      </c>
      <c r="V2401" s="2">
        <f>0.082*R2401</f>
        <v>41</v>
      </c>
      <c r="W2401" s="5">
        <f t="shared" si="235"/>
        <v>0.31666666666666665</v>
      </c>
      <c r="Y2401" s="2" t="s">
        <v>3256</v>
      </c>
      <c r="Z2401" s="2" t="s">
        <v>46</v>
      </c>
      <c r="AA2401" s="2" t="s">
        <v>61</v>
      </c>
      <c r="AB2401" s="2" t="s">
        <v>58</v>
      </c>
      <c r="AE2401" s="2">
        <f t="shared" si="232"/>
        <v>0</v>
      </c>
      <c r="AF2401" s="2">
        <v>8.1999999999999993</v>
      </c>
      <c r="AG2401" s="2">
        <v>13</v>
      </c>
      <c r="AI2401" s="2">
        <f t="shared" si="233"/>
        <v>0</v>
      </c>
      <c r="AJ2401" s="2">
        <f t="shared" si="234"/>
        <v>19</v>
      </c>
      <c r="AK2401" s="5">
        <f t="shared" si="230"/>
        <v>0.31666666666666665</v>
      </c>
    </row>
    <row r="2402" spans="1:37" x14ac:dyDescent="0.2">
      <c r="A2402" s="2">
        <v>2025</v>
      </c>
      <c r="B2402" s="2">
        <v>12</v>
      </c>
      <c r="C2402" s="2" t="s">
        <v>771</v>
      </c>
      <c r="D2402" s="2" t="s">
        <v>38</v>
      </c>
      <c r="F2402" s="2">
        <v>513686231</v>
      </c>
      <c r="G2402" s="2" t="s">
        <v>291</v>
      </c>
      <c r="H2402" s="2" t="s">
        <v>772</v>
      </c>
      <c r="I2402" s="2" t="s">
        <v>773</v>
      </c>
      <c r="K2402" s="2" t="s">
        <v>484</v>
      </c>
      <c r="L2402" s="2" t="s">
        <v>81</v>
      </c>
      <c r="N2402" s="2" t="s">
        <v>2152</v>
      </c>
      <c r="O2402" s="2" t="s">
        <v>43</v>
      </c>
      <c r="P2402" s="2" t="s">
        <v>165</v>
      </c>
      <c r="Q2402" s="2" t="s">
        <v>166</v>
      </c>
      <c r="R2402" s="2">
        <v>1</v>
      </c>
      <c r="S2402" s="2">
        <v>14.55</v>
      </c>
      <c r="T2402" s="2">
        <v>3.3464999999999998</v>
      </c>
      <c r="U2402" s="2">
        <v>17.8965</v>
      </c>
      <c r="V2402" s="2">
        <f>7.9612*R2402</f>
        <v>7.9611999999999998</v>
      </c>
      <c r="W2402" s="5">
        <f t="shared" si="235"/>
        <v>0.45283848797250864</v>
      </c>
      <c r="Y2402" s="2" t="s">
        <v>3256</v>
      </c>
      <c r="Z2402" s="2" t="s">
        <v>46</v>
      </c>
      <c r="AA2402" s="2" t="s">
        <v>68</v>
      </c>
      <c r="AB2402" s="2" t="s">
        <v>58</v>
      </c>
      <c r="AE2402" s="2">
        <f t="shared" si="232"/>
        <v>0</v>
      </c>
      <c r="AF2402" s="2">
        <v>7.9611999999999998</v>
      </c>
      <c r="AG2402" s="2">
        <v>14.4</v>
      </c>
      <c r="AI2402" s="2">
        <f t="shared" si="233"/>
        <v>0</v>
      </c>
      <c r="AJ2402" s="2">
        <f t="shared" si="234"/>
        <v>6.5888000000000009</v>
      </c>
      <c r="AK2402" s="5">
        <f t="shared" si="230"/>
        <v>0.45283848797250864</v>
      </c>
    </row>
    <row r="2403" spans="1:37" x14ac:dyDescent="0.2">
      <c r="A2403" s="2">
        <v>2025</v>
      </c>
      <c r="B2403" s="2">
        <v>12</v>
      </c>
      <c r="C2403" s="2" t="s">
        <v>2153</v>
      </c>
      <c r="L2403" s="2" t="s">
        <v>40</v>
      </c>
      <c r="O2403" s="2" t="s">
        <v>188</v>
      </c>
      <c r="P2403" s="2" t="s">
        <v>189</v>
      </c>
      <c r="Q2403" s="2" t="s">
        <v>190</v>
      </c>
      <c r="R2403" s="2">
        <v>1</v>
      </c>
      <c r="S2403" s="2">
        <v>274</v>
      </c>
      <c r="T2403" s="2">
        <v>63.02</v>
      </c>
      <c r="U2403" s="2">
        <v>337.02</v>
      </c>
      <c r="W2403" s="5">
        <f t="shared" si="235"/>
        <v>1</v>
      </c>
      <c r="Y2403" s="2" t="s">
        <v>118</v>
      </c>
      <c r="Z2403" s="2" t="s">
        <v>191</v>
      </c>
      <c r="AE2403" s="2">
        <f t="shared" si="232"/>
        <v>0</v>
      </c>
      <c r="AI2403" s="2">
        <f t="shared" si="233"/>
        <v>0</v>
      </c>
      <c r="AJ2403" s="2">
        <f t="shared" si="234"/>
        <v>274</v>
      </c>
      <c r="AK2403" s="5">
        <f t="shared" si="230"/>
        <v>1</v>
      </c>
    </row>
    <row r="2404" spans="1:37" x14ac:dyDescent="0.2">
      <c r="A2404" s="2">
        <v>2025</v>
      </c>
      <c r="B2404" s="2">
        <v>12</v>
      </c>
      <c r="C2404" s="2" t="s">
        <v>2153</v>
      </c>
      <c r="L2404" s="2" t="s">
        <v>40</v>
      </c>
      <c r="O2404" s="2" t="s">
        <v>188</v>
      </c>
      <c r="P2404" s="2" t="s">
        <v>192</v>
      </c>
      <c r="Q2404" s="2" t="s">
        <v>191</v>
      </c>
      <c r="R2404" s="2">
        <v>1.25</v>
      </c>
      <c r="S2404" s="2">
        <v>62.5</v>
      </c>
      <c r="T2404" s="2">
        <v>14.375</v>
      </c>
      <c r="U2404" s="2">
        <v>76.875</v>
      </c>
      <c r="V2404" s="2">
        <f>S2404*50%</f>
        <v>31.25</v>
      </c>
      <c r="W2404" s="5">
        <f t="shared" si="235"/>
        <v>0.5</v>
      </c>
      <c r="Y2404" s="2" t="s">
        <v>118</v>
      </c>
      <c r="Z2404" s="2" t="s">
        <v>191</v>
      </c>
      <c r="AE2404" s="2">
        <f t="shared" si="232"/>
        <v>0</v>
      </c>
      <c r="AI2404" s="2">
        <f t="shared" si="233"/>
        <v>0</v>
      </c>
      <c r="AJ2404" s="2">
        <f t="shared" si="234"/>
        <v>31.25</v>
      </c>
      <c r="AK2404" s="5">
        <f t="shared" si="230"/>
        <v>0.5</v>
      </c>
    </row>
    <row r="2405" spans="1:37" x14ac:dyDescent="0.2">
      <c r="A2405" s="2">
        <v>2025</v>
      </c>
      <c r="B2405" s="2">
        <v>12</v>
      </c>
      <c r="C2405" s="2" t="s">
        <v>2154</v>
      </c>
      <c r="O2405" s="2" t="s">
        <v>115</v>
      </c>
      <c r="P2405" s="2" t="s">
        <v>911</v>
      </c>
      <c r="Q2405" s="2" t="s">
        <v>912</v>
      </c>
      <c r="R2405" s="2">
        <v>1</v>
      </c>
      <c r="S2405" s="2">
        <v>699.3</v>
      </c>
      <c r="T2405" s="2">
        <v>160.839</v>
      </c>
      <c r="U2405" s="2">
        <v>860.1389999999999</v>
      </c>
      <c r="W2405" s="5">
        <f t="shared" si="235"/>
        <v>1</v>
      </c>
      <c r="AE2405" s="2">
        <f t="shared" si="232"/>
        <v>0</v>
      </c>
      <c r="AI2405" s="2">
        <f t="shared" si="233"/>
        <v>0</v>
      </c>
      <c r="AJ2405" s="2">
        <f t="shared" si="234"/>
        <v>699.3</v>
      </c>
      <c r="AK2405" s="5">
        <f t="shared" si="230"/>
        <v>1</v>
      </c>
    </row>
    <row r="2406" spans="1:37" x14ac:dyDescent="0.2">
      <c r="A2406" s="2">
        <v>2025</v>
      </c>
      <c r="B2406" s="2">
        <v>12</v>
      </c>
      <c r="C2406" s="2" t="s">
        <v>2154</v>
      </c>
      <c r="L2406" s="2" t="s">
        <v>40</v>
      </c>
      <c r="O2406" s="2" t="s">
        <v>188</v>
      </c>
      <c r="P2406" s="2" t="s">
        <v>189</v>
      </c>
      <c r="Q2406" s="2" t="s">
        <v>190</v>
      </c>
      <c r="R2406" s="2">
        <v>1</v>
      </c>
      <c r="S2406" s="2">
        <v>174</v>
      </c>
      <c r="T2406" s="2">
        <v>40.020000000000003</v>
      </c>
      <c r="U2406" s="2">
        <v>214.02</v>
      </c>
      <c r="W2406" s="5">
        <f t="shared" si="235"/>
        <v>1</v>
      </c>
      <c r="Y2406" s="2" t="s">
        <v>118</v>
      </c>
      <c r="Z2406" s="2" t="s">
        <v>191</v>
      </c>
      <c r="AE2406" s="2">
        <f t="shared" si="232"/>
        <v>0</v>
      </c>
      <c r="AI2406" s="2">
        <f t="shared" si="233"/>
        <v>0</v>
      </c>
      <c r="AJ2406" s="2">
        <f t="shared" si="234"/>
        <v>174</v>
      </c>
      <c r="AK2406" s="5">
        <f t="shared" si="230"/>
        <v>1</v>
      </c>
    </row>
    <row r="2407" spans="1:37" x14ac:dyDescent="0.2">
      <c r="A2407" s="2">
        <v>2025</v>
      </c>
      <c r="B2407" s="2">
        <v>12</v>
      </c>
      <c r="C2407" s="2" t="s">
        <v>2154</v>
      </c>
      <c r="L2407" s="2" t="s">
        <v>40</v>
      </c>
      <c r="O2407" s="2" t="s">
        <v>188</v>
      </c>
      <c r="P2407" s="2" t="s">
        <v>192</v>
      </c>
      <c r="Q2407" s="2" t="s">
        <v>191</v>
      </c>
      <c r="R2407" s="2">
        <v>2</v>
      </c>
      <c r="S2407" s="2">
        <v>100</v>
      </c>
      <c r="T2407" s="2">
        <v>23</v>
      </c>
      <c r="U2407" s="2">
        <v>123</v>
      </c>
      <c r="V2407" s="2">
        <f>S2407*50%</f>
        <v>50</v>
      </c>
      <c r="W2407" s="5">
        <f t="shared" si="235"/>
        <v>0.5</v>
      </c>
      <c r="Y2407" s="2" t="s">
        <v>118</v>
      </c>
      <c r="Z2407" s="2" t="s">
        <v>191</v>
      </c>
      <c r="AE2407" s="2">
        <f t="shared" si="232"/>
        <v>0</v>
      </c>
      <c r="AI2407" s="2">
        <f t="shared" si="233"/>
        <v>0</v>
      </c>
      <c r="AJ2407" s="2">
        <f t="shared" si="234"/>
        <v>50</v>
      </c>
      <c r="AK2407" s="5">
        <f t="shared" si="230"/>
        <v>0.5</v>
      </c>
    </row>
    <row r="2408" spans="1:37" x14ac:dyDescent="0.2">
      <c r="A2408" s="2">
        <v>2025</v>
      </c>
      <c r="B2408" s="2">
        <v>12</v>
      </c>
      <c r="C2408" s="2" t="s">
        <v>1906</v>
      </c>
      <c r="O2408" s="2" t="s">
        <v>85</v>
      </c>
      <c r="P2408" s="2" t="s">
        <v>277</v>
      </c>
      <c r="Q2408" s="2" t="s">
        <v>278</v>
      </c>
      <c r="R2408" s="2">
        <v>1</v>
      </c>
      <c r="S2408" s="2">
        <v>6</v>
      </c>
      <c r="T2408" s="2">
        <v>1.38</v>
      </c>
      <c r="U2408" s="2">
        <v>7.38</v>
      </c>
      <c r="W2408" s="5">
        <f t="shared" si="235"/>
        <v>1</v>
      </c>
      <c r="Y2408" s="2" t="s">
        <v>3256</v>
      </c>
      <c r="Z2408" s="2" t="s">
        <v>88</v>
      </c>
      <c r="AA2408" s="2" t="s">
        <v>91</v>
      </c>
      <c r="AB2408" s="2" t="s">
        <v>85</v>
      </c>
      <c r="AE2408" s="2">
        <f t="shared" si="232"/>
        <v>0</v>
      </c>
      <c r="AI2408" s="2">
        <f t="shared" si="233"/>
        <v>0</v>
      </c>
      <c r="AJ2408" s="2">
        <f t="shared" si="234"/>
        <v>6</v>
      </c>
      <c r="AK2408" s="5">
        <f t="shared" si="230"/>
        <v>1</v>
      </c>
    </row>
    <row r="2409" spans="1:37" x14ac:dyDescent="0.2">
      <c r="A2409" s="2">
        <v>2025</v>
      </c>
      <c r="B2409" s="2">
        <v>12</v>
      </c>
      <c r="C2409" s="2" t="s">
        <v>781</v>
      </c>
      <c r="D2409" s="2" t="s">
        <v>38</v>
      </c>
      <c r="E2409" s="2" t="s">
        <v>39</v>
      </c>
      <c r="F2409" s="2">
        <v>507324560</v>
      </c>
      <c r="G2409" s="2" t="s">
        <v>40</v>
      </c>
      <c r="H2409" s="2" t="s">
        <v>782</v>
      </c>
      <c r="I2409" s="2" t="s">
        <v>783</v>
      </c>
      <c r="K2409" s="2" t="s">
        <v>340</v>
      </c>
      <c r="L2409" s="2" t="s">
        <v>40</v>
      </c>
      <c r="N2409" s="2" t="s">
        <v>2155</v>
      </c>
      <c r="O2409" s="2" t="s">
        <v>188</v>
      </c>
      <c r="P2409" s="2" t="s">
        <v>189</v>
      </c>
      <c r="Q2409" s="2" t="s">
        <v>190</v>
      </c>
      <c r="R2409" s="2">
        <v>1</v>
      </c>
      <c r="S2409" s="2">
        <v>50</v>
      </c>
      <c r="T2409" s="2">
        <v>11.5</v>
      </c>
      <c r="U2409" s="2">
        <v>61.5</v>
      </c>
      <c r="W2409" s="5">
        <f t="shared" si="235"/>
        <v>1</v>
      </c>
      <c r="Y2409" s="2" t="s">
        <v>118</v>
      </c>
      <c r="Z2409" s="2" t="s">
        <v>191</v>
      </c>
      <c r="AE2409" s="2">
        <f t="shared" si="232"/>
        <v>0</v>
      </c>
      <c r="AI2409" s="2">
        <f t="shared" si="233"/>
        <v>0</v>
      </c>
      <c r="AJ2409" s="2">
        <f t="shared" si="234"/>
        <v>50</v>
      </c>
      <c r="AK2409" s="5">
        <f t="shared" si="230"/>
        <v>1</v>
      </c>
    </row>
    <row r="2410" spans="1:37" x14ac:dyDescent="0.2">
      <c r="A2410" s="2">
        <v>2025</v>
      </c>
      <c r="B2410" s="2">
        <v>12</v>
      </c>
      <c r="C2410" s="2" t="s">
        <v>781</v>
      </c>
      <c r="D2410" s="2" t="s">
        <v>38</v>
      </c>
      <c r="E2410" s="2" t="s">
        <v>39</v>
      </c>
      <c r="F2410" s="2">
        <v>507324560</v>
      </c>
      <c r="G2410" s="2" t="s">
        <v>40</v>
      </c>
      <c r="H2410" s="2" t="s">
        <v>782</v>
      </c>
      <c r="I2410" s="2" t="s">
        <v>783</v>
      </c>
      <c r="K2410" s="2" t="s">
        <v>340</v>
      </c>
      <c r="L2410" s="2" t="s">
        <v>40</v>
      </c>
      <c r="N2410" s="2" t="s">
        <v>2155</v>
      </c>
      <c r="O2410" s="2" t="s">
        <v>188</v>
      </c>
      <c r="P2410" s="2" t="s">
        <v>192</v>
      </c>
      <c r="Q2410" s="2" t="s">
        <v>191</v>
      </c>
      <c r="R2410" s="2">
        <v>1.25</v>
      </c>
      <c r="S2410" s="2">
        <v>62.5</v>
      </c>
      <c r="T2410" s="2">
        <v>14.375</v>
      </c>
      <c r="U2410" s="2">
        <v>76.875</v>
      </c>
      <c r="V2410" s="2">
        <f>S2410*50%</f>
        <v>31.25</v>
      </c>
      <c r="W2410" s="5">
        <f t="shared" si="235"/>
        <v>0.5</v>
      </c>
      <c r="Y2410" s="2" t="s">
        <v>118</v>
      </c>
      <c r="Z2410" s="2" t="s">
        <v>191</v>
      </c>
      <c r="AE2410" s="2">
        <f t="shared" si="232"/>
        <v>0</v>
      </c>
      <c r="AI2410" s="2">
        <f t="shared" si="233"/>
        <v>0</v>
      </c>
      <c r="AJ2410" s="2">
        <f t="shared" si="234"/>
        <v>31.25</v>
      </c>
      <c r="AK2410" s="5">
        <f t="shared" si="230"/>
        <v>0.5</v>
      </c>
    </row>
    <row r="2411" spans="1:37" x14ac:dyDescent="0.2">
      <c r="A2411" s="2">
        <v>2025</v>
      </c>
      <c r="B2411" s="2">
        <v>12</v>
      </c>
      <c r="C2411" s="2" t="s">
        <v>2028</v>
      </c>
      <c r="O2411" s="2" t="s">
        <v>115</v>
      </c>
      <c r="P2411" s="2" t="s">
        <v>375</v>
      </c>
      <c r="Q2411" s="2" t="s">
        <v>376</v>
      </c>
      <c r="R2411" s="2">
        <v>1</v>
      </c>
      <c r="S2411" s="2">
        <v>48.95</v>
      </c>
      <c r="T2411" s="2">
        <v>11.2585</v>
      </c>
      <c r="U2411" s="2">
        <v>60.208500000000001</v>
      </c>
      <c r="W2411" s="5">
        <f t="shared" si="235"/>
        <v>1</v>
      </c>
      <c r="AE2411" s="2">
        <f t="shared" si="232"/>
        <v>0</v>
      </c>
      <c r="AI2411" s="2">
        <f t="shared" si="233"/>
        <v>0</v>
      </c>
      <c r="AJ2411" s="2">
        <f t="shared" si="234"/>
        <v>48.95</v>
      </c>
      <c r="AK2411" s="5">
        <f t="shared" si="230"/>
        <v>1</v>
      </c>
    </row>
    <row r="2412" spans="1:37" x14ac:dyDescent="0.2">
      <c r="A2412" s="2">
        <v>2025</v>
      </c>
      <c r="B2412" s="2">
        <v>12</v>
      </c>
      <c r="C2412" s="2" t="s">
        <v>2028</v>
      </c>
      <c r="O2412" s="2" t="s">
        <v>73</v>
      </c>
      <c r="P2412" s="2" t="s">
        <v>561</v>
      </c>
      <c r="Q2412" s="2" t="s">
        <v>308</v>
      </c>
      <c r="R2412" s="2">
        <v>1</v>
      </c>
      <c r="S2412" s="2">
        <v>210</v>
      </c>
      <c r="T2412" s="2">
        <v>48.3</v>
      </c>
      <c r="U2412" s="2">
        <v>258.3</v>
      </c>
      <c r="V2412" s="2">
        <v>122.446</v>
      </c>
      <c r="W2412" s="5">
        <f t="shared" si="235"/>
        <v>0.41692380952380953</v>
      </c>
      <c r="Y2412" s="2" t="s">
        <v>3256</v>
      </c>
      <c r="Z2412" s="2" t="s">
        <v>76</v>
      </c>
      <c r="AA2412" s="2" t="s">
        <v>77</v>
      </c>
      <c r="AB2412" s="2" t="s">
        <v>78</v>
      </c>
      <c r="AE2412" s="2">
        <f t="shared" si="232"/>
        <v>0</v>
      </c>
      <c r="AF2412" s="2">
        <v>122.446</v>
      </c>
      <c r="AG2412" s="2">
        <v>230</v>
      </c>
      <c r="AI2412" s="2">
        <f t="shared" si="233"/>
        <v>0</v>
      </c>
      <c r="AJ2412" s="2">
        <f t="shared" si="234"/>
        <v>87.554000000000002</v>
      </c>
      <c r="AK2412" s="5">
        <f t="shared" si="230"/>
        <v>0.41692380952380953</v>
      </c>
    </row>
    <row r="2413" spans="1:37" x14ac:dyDescent="0.2">
      <c r="A2413" s="2">
        <v>2025</v>
      </c>
      <c r="B2413" s="2">
        <v>12</v>
      </c>
      <c r="C2413" s="2" t="s">
        <v>2028</v>
      </c>
      <c r="O2413" s="2" t="s">
        <v>1047</v>
      </c>
      <c r="P2413" s="2" t="s">
        <v>2156</v>
      </c>
      <c r="Q2413" s="2" t="s">
        <v>2157</v>
      </c>
      <c r="R2413" s="2">
        <v>1</v>
      </c>
      <c r="S2413" s="2">
        <v>230</v>
      </c>
      <c r="T2413" s="2">
        <v>52.900000000000013</v>
      </c>
      <c r="U2413" s="2">
        <v>282.89999999999998</v>
      </c>
      <c r="W2413" s="5">
        <f t="shared" si="235"/>
        <v>1</v>
      </c>
      <c r="Y2413" s="2" t="s">
        <v>3256</v>
      </c>
      <c r="Z2413" s="2" t="s">
        <v>76</v>
      </c>
      <c r="AA2413" s="2" t="s">
        <v>77</v>
      </c>
      <c r="AB2413" s="2" t="s">
        <v>1047</v>
      </c>
      <c r="AE2413" s="2">
        <f t="shared" si="232"/>
        <v>0</v>
      </c>
      <c r="AI2413" s="2">
        <f t="shared" si="233"/>
        <v>0</v>
      </c>
      <c r="AJ2413" s="2">
        <f t="shared" si="234"/>
        <v>230</v>
      </c>
      <c r="AK2413" s="5">
        <f t="shared" si="230"/>
        <v>1</v>
      </c>
    </row>
    <row r="2414" spans="1:37" x14ac:dyDescent="0.2">
      <c r="A2414" s="2">
        <v>2025</v>
      </c>
      <c r="B2414" s="2">
        <v>12</v>
      </c>
      <c r="C2414" s="2" t="s">
        <v>2028</v>
      </c>
      <c r="O2414" s="2" t="s">
        <v>170</v>
      </c>
      <c r="P2414" s="2" t="s">
        <v>171</v>
      </c>
      <c r="Q2414" s="2" t="s">
        <v>171</v>
      </c>
      <c r="R2414" s="2">
        <v>1</v>
      </c>
      <c r="S2414" s="2">
        <v>40</v>
      </c>
      <c r="T2414" s="2">
        <v>9.2000000000000011</v>
      </c>
      <c r="U2414" s="2">
        <v>49.2</v>
      </c>
      <c r="W2414" s="5">
        <f t="shared" si="235"/>
        <v>1</v>
      </c>
      <c r="Y2414" s="2" t="s">
        <v>170</v>
      </c>
      <c r="Z2414" s="2" t="s">
        <v>170</v>
      </c>
      <c r="AE2414" s="2">
        <f t="shared" si="232"/>
        <v>0</v>
      </c>
      <c r="AI2414" s="2">
        <f t="shared" si="233"/>
        <v>0</v>
      </c>
      <c r="AJ2414" s="2">
        <f t="shared" si="234"/>
        <v>40</v>
      </c>
      <c r="AK2414" s="5">
        <f t="shared" si="230"/>
        <v>1</v>
      </c>
    </row>
    <row r="2415" spans="1:37" x14ac:dyDescent="0.2">
      <c r="A2415" s="2">
        <v>2025</v>
      </c>
      <c r="B2415" s="2">
        <v>12</v>
      </c>
      <c r="C2415" s="2" t="s">
        <v>2028</v>
      </c>
      <c r="O2415" s="2" t="s">
        <v>94</v>
      </c>
      <c r="P2415" s="2" t="s">
        <v>95</v>
      </c>
      <c r="Q2415" s="2" t="s">
        <v>96</v>
      </c>
      <c r="R2415" s="2">
        <v>2</v>
      </c>
      <c r="S2415" s="2">
        <v>2.2799999999999998</v>
      </c>
      <c r="T2415" s="2">
        <v>0.52439999999999998</v>
      </c>
      <c r="U2415" s="2">
        <v>2.8043999999999998</v>
      </c>
      <c r="V2415" s="2">
        <v>2.2799999999999998</v>
      </c>
      <c r="W2415" s="5">
        <f t="shared" si="235"/>
        <v>0</v>
      </c>
      <c r="Y2415" s="2" t="s">
        <v>3256</v>
      </c>
      <c r="Z2415" s="2" t="s">
        <v>97</v>
      </c>
      <c r="AA2415" s="2" t="s">
        <v>77</v>
      </c>
      <c r="AB2415" s="2" t="s">
        <v>94</v>
      </c>
      <c r="AE2415" s="2">
        <f t="shared" si="232"/>
        <v>0</v>
      </c>
      <c r="AI2415" s="2">
        <f t="shared" si="233"/>
        <v>0</v>
      </c>
      <c r="AJ2415" s="2">
        <f t="shared" si="234"/>
        <v>0</v>
      </c>
      <c r="AK2415" s="5">
        <f t="shared" si="230"/>
        <v>0</v>
      </c>
    </row>
    <row r="2416" spans="1:37" x14ac:dyDescent="0.2">
      <c r="A2416" s="2">
        <v>2025</v>
      </c>
      <c r="B2416" s="2">
        <v>12</v>
      </c>
      <c r="C2416" s="2" t="s">
        <v>1018</v>
      </c>
      <c r="D2416" s="2" t="s">
        <v>109</v>
      </c>
      <c r="E2416" s="2" t="s">
        <v>39</v>
      </c>
      <c r="F2416" s="2">
        <v>507063481</v>
      </c>
      <c r="G2416" s="2" t="s">
        <v>291</v>
      </c>
      <c r="H2416" s="2" t="s">
        <v>1019</v>
      </c>
      <c r="I2416" s="2" t="s">
        <v>1020</v>
      </c>
      <c r="K2416" s="2" t="s">
        <v>294</v>
      </c>
      <c r="L2416" s="2" t="s">
        <v>81</v>
      </c>
      <c r="O2416" s="2" t="s">
        <v>73</v>
      </c>
      <c r="P2416" s="2" t="s">
        <v>74</v>
      </c>
      <c r="Q2416" s="2" t="s">
        <v>75</v>
      </c>
      <c r="R2416" s="2">
        <v>1</v>
      </c>
      <c r="S2416" s="2">
        <v>220</v>
      </c>
      <c r="T2416" s="2">
        <v>50.6</v>
      </c>
      <c r="U2416" s="2">
        <v>270.60000000000002</v>
      </c>
      <c r="V2416" s="2">
        <v>117.453</v>
      </c>
      <c r="W2416" s="5">
        <f t="shared" si="235"/>
        <v>0.46612272727272724</v>
      </c>
      <c r="Y2416" s="2" t="s">
        <v>3256</v>
      </c>
      <c r="Z2416" s="2" t="s">
        <v>76</v>
      </c>
      <c r="AA2416" s="2" t="s">
        <v>77</v>
      </c>
      <c r="AB2416" s="2" t="s">
        <v>78</v>
      </c>
      <c r="AE2416" s="2">
        <f t="shared" si="232"/>
        <v>0</v>
      </c>
      <c r="AF2416" s="2">
        <v>117.453</v>
      </c>
      <c r="AG2416" s="2">
        <v>220</v>
      </c>
      <c r="AI2416" s="2">
        <f t="shared" si="233"/>
        <v>0</v>
      </c>
      <c r="AJ2416" s="2">
        <f t="shared" si="234"/>
        <v>102.547</v>
      </c>
      <c r="AK2416" s="5">
        <f t="shared" si="230"/>
        <v>0.46612272727272724</v>
      </c>
    </row>
    <row r="2417" spans="1:37" x14ac:dyDescent="0.2">
      <c r="A2417" s="2">
        <v>2025</v>
      </c>
      <c r="B2417" s="2">
        <v>12</v>
      </c>
      <c r="C2417" s="2" t="s">
        <v>1018</v>
      </c>
      <c r="D2417" s="2" t="s">
        <v>109</v>
      </c>
      <c r="E2417" s="2" t="s">
        <v>39</v>
      </c>
      <c r="F2417" s="2">
        <v>507063481</v>
      </c>
      <c r="G2417" s="2" t="s">
        <v>291</v>
      </c>
      <c r="H2417" s="2" t="s">
        <v>1019</v>
      </c>
      <c r="I2417" s="2" t="s">
        <v>1020</v>
      </c>
      <c r="K2417" s="2" t="s">
        <v>294</v>
      </c>
      <c r="L2417" s="2" t="s">
        <v>40</v>
      </c>
      <c r="O2417" s="2" t="s">
        <v>188</v>
      </c>
      <c r="P2417" s="2" t="s">
        <v>189</v>
      </c>
      <c r="Q2417" s="2" t="s">
        <v>190</v>
      </c>
      <c r="R2417" s="2">
        <v>1</v>
      </c>
      <c r="S2417" s="2">
        <v>41.25</v>
      </c>
      <c r="T2417" s="2">
        <v>9.4875000000000007</v>
      </c>
      <c r="U2417" s="2">
        <v>50.737499999999997</v>
      </c>
      <c r="W2417" s="5">
        <f t="shared" si="235"/>
        <v>1</v>
      </c>
      <c r="Y2417" s="2" t="s">
        <v>118</v>
      </c>
      <c r="Z2417" s="2" t="s">
        <v>191</v>
      </c>
      <c r="AE2417" s="2">
        <f t="shared" si="232"/>
        <v>0</v>
      </c>
      <c r="AI2417" s="2">
        <f t="shared" si="233"/>
        <v>0</v>
      </c>
      <c r="AJ2417" s="2">
        <f t="shared" si="234"/>
        <v>41.25</v>
      </c>
      <c r="AK2417" s="5">
        <f t="shared" si="230"/>
        <v>1</v>
      </c>
    </row>
    <row r="2418" spans="1:37" x14ac:dyDescent="0.2">
      <c r="A2418" s="2">
        <v>2025</v>
      </c>
      <c r="B2418" s="2">
        <v>12</v>
      </c>
      <c r="C2418" s="2" t="s">
        <v>1018</v>
      </c>
      <c r="D2418" s="2" t="s">
        <v>109</v>
      </c>
      <c r="E2418" s="2" t="s">
        <v>39</v>
      </c>
      <c r="F2418" s="2">
        <v>507063481</v>
      </c>
      <c r="G2418" s="2" t="s">
        <v>291</v>
      </c>
      <c r="H2418" s="2" t="s">
        <v>1019</v>
      </c>
      <c r="I2418" s="2" t="s">
        <v>1020</v>
      </c>
      <c r="K2418" s="2" t="s">
        <v>294</v>
      </c>
      <c r="L2418" s="2" t="s">
        <v>40</v>
      </c>
      <c r="O2418" s="2" t="s">
        <v>188</v>
      </c>
      <c r="P2418" s="2" t="s">
        <v>192</v>
      </c>
      <c r="Q2418" s="2" t="s">
        <v>191</v>
      </c>
      <c r="R2418" s="2">
        <v>1</v>
      </c>
      <c r="S2418" s="2">
        <v>45</v>
      </c>
      <c r="T2418" s="2">
        <v>10.35</v>
      </c>
      <c r="U2418" s="2">
        <v>55.35</v>
      </c>
      <c r="V2418" s="2">
        <f>S2418*50%</f>
        <v>22.5</v>
      </c>
      <c r="W2418" s="5">
        <f t="shared" si="235"/>
        <v>0.5</v>
      </c>
      <c r="Y2418" s="2" t="s">
        <v>118</v>
      </c>
      <c r="Z2418" s="2" t="s">
        <v>191</v>
      </c>
      <c r="AE2418" s="2">
        <f t="shared" si="232"/>
        <v>0</v>
      </c>
      <c r="AI2418" s="2">
        <f t="shared" si="233"/>
        <v>0</v>
      </c>
      <c r="AJ2418" s="2">
        <f t="shared" si="234"/>
        <v>22.5</v>
      </c>
      <c r="AK2418" s="5">
        <f t="shared" si="230"/>
        <v>0.5</v>
      </c>
    </row>
    <row r="2419" spans="1:37" x14ac:dyDescent="0.2">
      <c r="A2419" s="2">
        <v>2025</v>
      </c>
      <c r="B2419" s="2">
        <v>12</v>
      </c>
      <c r="C2419" s="2" t="s">
        <v>1018</v>
      </c>
      <c r="D2419" s="2" t="s">
        <v>109</v>
      </c>
      <c r="E2419" s="2" t="s">
        <v>39</v>
      </c>
      <c r="F2419" s="2">
        <v>507063481</v>
      </c>
      <c r="G2419" s="2" t="s">
        <v>291</v>
      </c>
      <c r="H2419" s="2" t="s">
        <v>1019</v>
      </c>
      <c r="I2419" s="2" t="s">
        <v>1020</v>
      </c>
      <c r="K2419" s="2" t="s">
        <v>294</v>
      </c>
      <c r="O2419" s="2" t="s">
        <v>94</v>
      </c>
      <c r="P2419" s="2" t="s">
        <v>95</v>
      </c>
      <c r="Q2419" s="2" t="s">
        <v>96</v>
      </c>
      <c r="R2419" s="2">
        <v>1</v>
      </c>
      <c r="S2419" s="2">
        <v>1.1399999999999999</v>
      </c>
      <c r="T2419" s="2">
        <v>0.26219999999999999</v>
      </c>
      <c r="U2419" s="2">
        <v>1.4021999999999999</v>
      </c>
      <c r="V2419" s="2">
        <v>1.1399999999999999</v>
      </c>
      <c r="W2419" s="5">
        <f t="shared" si="235"/>
        <v>0</v>
      </c>
      <c r="Y2419" s="2" t="s">
        <v>3256</v>
      </c>
      <c r="Z2419" s="2" t="s">
        <v>97</v>
      </c>
      <c r="AA2419" s="2" t="s">
        <v>77</v>
      </c>
      <c r="AB2419" s="2" t="s">
        <v>94</v>
      </c>
      <c r="AE2419" s="2">
        <f t="shared" si="232"/>
        <v>0</v>
      </c>
      <c r="AI2419" s="2">
        <f t="shared" si="233"/>
        <v>0</v>
      </c>
      <c r="AJ2419" s="2">
        <f t="shared" si="234"/>
        <v>0</v>
      </c>
      <c r="AK2419" s="5">
        <f t="shared" ref="AK2419:AK2482" si="236">(S2419-V2419)/S2419</f>
        <v>0</v>
      </c>
    </row>
    <row r="2420" spans="1:37" x14ac:dyDescent="0.2">
      <c r="A2420" s="2">
        <v>2025</v>
      </c>
      <c r="B2420" s="2">
        <v>12</v>
      </c>
      <c r="C2420" s="2" t="s">
        <v>1018</v>
      </c>
      <c r="D2420" s="2" t="s">
        <v>109</v>
      </c>
      <c r="E2420" s="2" t="s">
        <v>39</v>
      </c>
      <c r="F2420" s="2">
        <v>507063481</v>
      </c>
      <c r="G2420" s="2" t="s">
        <v>291</v>
      </c>
      <c r="H2420" s="2" t="s">
        <v>1019</v>
      </c>
      <c r="I2420" s="2" t="s">
        <v>1020</v>
      </c>
      <c r="K2420" s="2" t="s">
        <v>294</v>
      </c>
      <c r="O2420" s="2" t="s">
        <v>40</v>
      </c>
      <c r="P2420" s="2" t="s">
        <v>364</v>
      </c>
      <c r="Q2420" s="2" t="s">
        <v>365</v>
      </c>
      <c r="R2420" s="2">
        <v>1</v>
      </c>
      <c r="S2420" s="2">
        <v>28.5</v>
      </c>
      <c r="T2420" s="2">
        <v>6.5550000000000006</v>
      </c>
      <c r="U2420" s="2">
        <v>35.055</v>
      </c>
      <c r="W2420" s="5">
        <f t="shared" si="235"/>
        <v>1</v>
      </c>
      <c r="Y2420" s="2" t="s">
        <v>120</v>
      </c>
      <c r="AE2420" s="2">
        <f t="shared" si="232"/>
        <v>0</v>
      </c>
      <c r="AI2420" s="2">
        <f t="shared" si="233"/>
        <v>0</v>
      </c>
      <c r="AJ2420" s="2">
        <f t="shared" si="234"/>
        <v>28.5</v>
      </c>
      <c r="AK2420" s="5">
        <f t="shared" si="236"/>
        <v>1</v>
      </c>
    </row>
    <row r="2421" spans="1:37" x14ac:dyDescent="0.2">
      <c r="A2421" s="2">
        <v>2025</v>
      </c>
      <c r="B2421" s="2">
        <v>12</v>
      </c>
      <c r="C2421" s="2" t="s">
        <v>406</v>
      </c>
      <c r="D2421" s="2" t="s">
        <v>38</v>
      </c>
      <c r="E2421" s="2" t="s">
        <v>39</v>
      </c>
      <c r="F2421" s="2">
        <v>109095197</v>
      </c>
      <c r="G2421" s="2" t="s">
        <v>40</v>
      </c>
      <c r="H2421" s="2" t="s">
        <v>2498</v>
      </c>
      <c r="I2421" s="2" t="s">
        <v>3147</v>
      </c>
      <c r="J2421" s="2">
        <v>965864665</v>
      </c>
      <c r="K2421" s="2" t="s">
        <v>345</v>
      </c>
      <c r="L2421" s="2" t="s">
        <v>40</v>
      </c>
      <c r="N2421" s="2" t="s">
        <v>3152</v>
      </c>
      <c r="O2421" s="2" t="s">
        <v>115</v>
      </c>
      <c r="P2421" s="2" t="s">
        <v>416</v>
      </c>
      <c r="Q2421" s="2" t="s">
        <v>417</v>
      </c>
      <c r="R2421" s="2">
        <v>1</v>
      </c>
      <c r="S2421" s="2">
        <v>14990</v>
      </c>
      <c r="T2421" s="2">
        <v>3447.7</v>
      </c>
      <c r="U2421" s="2">
        <v>18437.7</v>
      </c>
      <c r="V2421" s="2">
        <v>10669.4</v>
      </c>
      <c r="W2421" s="5">
        <f t="shared" si="235"/>
        <v>0.28823215476984659</v>
      </c>
      <c r="Y2421" s="2" t="s">
        <v>105</v>
      </c>
      <c r="Z2421" s="2" t="s">
        <v>418</v>
      </c>
      <c r="AA2421" s="2" t="s">
        <v>152</v>
      </c>
      <c r="AB2421" s="2" t="s">
        <v>115</v>
      </c>
      <c r="AE2421" s="2">
        <f t="shared" si="232"/>
        <v>0</v>
      </c>
      <c r="AF2421" s="2">
        <v>10669.4</v>
      </c>
      <c r="AI2421" s="2">
        <f t="shared" si="233"/>
        <v>0</v>
      </c>
      <c r="AJ2421" s="2">
        <f t="shared" si="234"/>
        <v>4320.6000000000004</v>
      </c>
      <c r="AK2421" s="5">
        <f t="shared" si="236"/>
        <v>0.28823215476984659</v>
      </c>
    </row>
    <row r="2422" spans="1:37" x14ac:dyDescent="0.2">
      <c r="A2422" s="2">
        <v>2025</v>
      </c>
      <c r="B2422" s="2">
        <v>12</v>
      </c>
      <c r="C2422" s="2" t="s">
        <v>419</v>
      </c>
      <c r="D2422" s="2" t="s">
        <v>38</v>
      </c>
      <c r="E2422" s="2" t="s">
        <v>39</v>
      </c>
      <c r="F2422" s="2">
        <v>219908800</v>
      </c>
      <c r="G2422" s="2" t="s">
        <v>41</v>
      </c>
      <c r="H2422" s="2" t="s">
        <v>420</v>
      </c>
      <c r="I2422" s="2" t="s">
        <v>421</v>
      </c>
      <c r="K2422" s="2" t="s">
        <v>422</v>
      </c>
      <c r="O2422" s="2" t="s">
        <v>115</v>
      </c>
      <c r="P2422" s="2" t="s">
        <v>375</v>
      </c>
      <c r="Q2422" s="2" t="s">
        <v>376</v>
      </c>
      <c r="R2422" s="2">
        <v>1</v>
      </c>
      <c r="S2422" s="2">
        <v>48.95</v>
      </c>
      <c r="T2422" s="2">
        <v>11.2585</v>
      </c>
      <c r="U2422" s="2">
        <v>60.208500000000001</v>
      </c>
      <c r="W2422" s="5">
        <f t="shared" si="235"/>
        <v>1</v>
      </c>
      <c r="AE2422" s="2">
        <f t="shared" si="232"/>
        <v>0</v>
      </c>
      <c r="AI2422" s="2">
        <f t="shared" si="233"/>
        <v>0</v>
      </c>
      <c r="AJ2422" s="2">
        <f t="shared" si="234"/>
        <v>48.95</v>
      </c>
      <c r="AK2422" s="5">
        <f t="shared" si="236"/>
        <v>1</v>
      </c>
    </row>
    <row r="2423" spans="1:37" x14ac:dyDescent="0.2">
      <c r="A2423" s="2">
        <v>2025</v>
      </c>
      <c r="B2423" s="2">
        <v>12</v>
      </c>
      <c r="C2423" s="2" t="s">
        <v>419</v>
      </c>
      <c r="D2423" s="2" t="s">
        <v>38</v>
      </c>
      <c r="E2423" s="2" t="s">
        <v>39</v>
      </c>
      <c r="F2423" s="2">
        <v>219908800</v>
      </c>
      <c r="G2423" s="2" t="s">
        <v>41</v>
      </c>
      <c r="H2423" s="2" t="s">
        <v>420</v>
      </c>
      <c r="I2423" s="2" t="s">
        <v>421</v>
      </c>
      <c r="K2423" s="2" t="s">
        <v>422</v>
      </c>
      <c r="L2423" s="2" t="s">
        <v>41</v>
      </c>
      <c r="O2423" s="2" t="s">
        <v>43</v>
      </c>
      <c r="P2423" s="2" t="s">
        <v>424</v>
      </c>
      <c r="Q2423" s="2" t="s">
        <v>425</v>
      </c>
      <c r="R2423" s="2">
        <v>8</v>
      </c>
      <c r="S2423" s="2">
        <v>52.8</v>
      </c>
      <c r="T2423" s="2">
        <v>12.144</v>
      </c>
      <c r="U2423" s="2">
        <v>64.944000000000003</v>
      </c>
      <c r="V2423" s="2">
        <f>3.7556*R2423</f>
        <v>30.044799999999999</v>
      </c>
      <c r="W2423" s="5">
        <f t="shared" si="235"/>
        <v>0.43096969696969695</v>
      </c>
      <c r="Y2423" s="2" t="s">
        <v>3256</v>
      </c>
      <c r="Z2423" s="2" t="s">
        <v>46</v>
      </c>
      <c r="AA2423" s="2" t="s">
        <v>61</v>
      </c>
      <c r="AB2423" s="2" t="s">
        <v>58</v>
      </c>
      <c r="AE2423" s="2">
        <f t="shared" si="232"/>
        <v>0</v>
      </c>
      <c r="AF2423" s="2">
        <v>3.7555999999999998</v>
      </c>
      <c r="AG2423" s="2">
        <v>7.2</v>
      </c>
      <c r="AI2423" s="2">
        <f t="shared" si="233"/>
        <v>0</v>
      </c>
      <c r="AJ2423" s="2">
        <f t="shared" si="234"/>
        <v>22.755199999999999</v>
      </c>
      <c r="AK2423" s="5">
        <f t="shared" si="236"/>
        <v>0.43096969696969695</v>
      </c>
    </row>
    <row r="2424" spans="1:37" x14ac:dyDescent="0.2">
      <c r="A2424" s="2">
        <v>2025</v>
      </c>
      <c r="B2424" s="2">
        <v>12</v>
      </c>
      <c r="C2424" s="2" t="s">
        <v>419</v>
      </c>
      <c r="D2424" s="2" t="s">
        <v>38</v>
      </c>
      <c r="E2424" s="2" t="s">
        <v>39</v>
      </c>
      <c r="F2424" s="2">
        <v>219908800</v>
      </c>
      <c r="G2424" s="2" t="s">
        <v>41</v>
      </c>
      <c r="H2424" s="2" t="s">
        <v>420</v>
      </c>
      <c r="I2424" s="2" t="s">
        <v>421</v>
      </c>
      <c r="K2424" s="2" t="s">
        <v>422</v>
      </c>
      <c r="O2424" s="2" t="s">
        <v>170</v>
      </c>
      <c r="P2424" s="2" t="s">
        <v>171</v>
      </c>
      <c r="Q2424" s="2" t="s">
        <v>171</v>
      </c>
      <c r="R2424" s="2">
        <v>2</v>
      </c>
      <c r="S2424" s="2">
        <v>13.5</v>
      </c>
      <c r="T2424" s="2">
        <v>3.105</v>
      </c>
      <c r="U2424" s="2">
        <v>16.605</v>
      </c>
      <c r="W2424" s="5">
        <f t="shared" si="235"/>
        <v>1</v>
      </c>
      <c r="Y2424" s="2" t="s">
        <v>170</v>
      </c>
      <c r="Z2424" s="2" t="s">
        <v>170</v>
      </c>
      <c r="AE2424" s="2">
        <f t="shared" si="232"/>
        <v>0</v>
      </c>
      <c r="AI2424" s="2">
        <f t="shared" si="233"/>
        <v>0</v>
      </c>
      <c r="AJ2424" s="2">
        <f t="shared" si="234"/>
        <v>13.5</v>
      </c>
      <c r="AK2424" s="5">
        <f t="shared" si="236"/>
        <v>1</v>
      </c>
    </row>
    <row r="2425" spans="1:37" x14ac:dyDescent="0.2">
      <c r="A2425" s="2">
        <v>2025</v>
      </c>
      <c r="B2425" s="2">
        <v>12</v>
      </c>
      <c r="C2425" s="2" t="s">
        <v>426</v>
      </c>
      <c r="D2425" s="2" t="s">
        <v>99</v>
      </c>
      <c r="E2425" s="2" t="s">
        <v>39</v>
      </c>
      <c r="F2425" s="2">
        <v>503523470</v>
      </c>
      <c r="G2425" s="2" t="s">
        <v>40</v>
      </c>
      <c r="H2425" s="2" t="s">
        <v>427</v>
      </c>
      <c r="I2425" s="2" t="s">
        <v>428</v>
      </c>
      <c r="K2425" s="2" t="s">
        <v>202</v>
      </c>
      <c r="L2425" s="2" t="s">
        <v>81</v>
      </c>
      <c r="O2425" s="2" t="s">
        <v>43</v>
      </c>
      <c r="P2425" s="2" t="s">
        <v>62</v>
      </c>
      <c r="Q2425" s="2" t="s">
        <v>63</v>
      </c>
      <c r="R2425" s="2">
        <v>200</v>
      </c>
      <c r="S2425" s="2">
        <v>26</v>
      </c>
      <c r="T2425" s="2">
        <v>5.98</v>
      </c>
      <c r="U2425" s="2">
        <v>31.98</v>
      </c>
      <c r="V2425" s="2">
        <f>0.082*R2425</f>
        <v>16.400000000000002</v>
      </c>
      <c r="W2425" s="5">
        <f t="shared" si="235"/>
        <v>0.36923076923076914</v>
      </c>
      <c r="Y2425" s="2" t="s">
        <v>3256</v>
      </c>
      <c r="Z2425" s="2" t="s">
        <v>46</v>
      </c>
      <c r="AA2425" s="2" t="s">
        <v>61</v>
      </c>
      <c r="AB2425" s="2" t="s">
        <v>58</v>
      </c>
      <c r="AE2425" s="2">
        <f t="shared" si="232"/>
        <v>0</v>
      </c>
      <c r="AF2425" s="2">
        <v>8.1999999999999993</v>
      </c>
      <c r="AG2425" s="2">
        <v>13</v>
      </c>
      <c r="AI2425" s="2">
        <f t="shared" si="233"/>
        <v>0</v>
      </c>
      <c r="AJ2425" s="2">
        <f t="shared" si="234"/>
        <v>9.5999999999999979</v>
      </c>
      <c r="AK2425" s="5">
        <f t="shared" si="236"/>
        <v>0.36923076923076914</v>
      </c>
    </row>
    <row r="2426" spans="1:37" x14ac:dyDescent="0.2">
      <c r="A2426" s="2">
        <v>2025</v>
      </c>
      <c r="B2426" s="2">
        <v>12</v>
      </c>
      <c r="C2426" s="2" t="s">
        <v>429</v>
      </c>
      <c r="D2426" s="2" t="s">
        <v>99</v>
      </c>
      <c r="E2426" s="2" t="s">
        <v>39</v>
      </c>
      <c r="F2426" s="2">
        <v>510613888</v>
      </c>
      <c r="G2426" s="2" t="s">
        <v>40</v>
      </c>
      <c r="H2426" s="2" t="s">
        <v>430</v>
      </c>
      <c r="I2426" s="2" t="s">
        <v>431</v>
      </c>
      <c r="K2426" s="2" t="s">
        <v>100</v>
      </c>
      <c r="L2426" s="2" t="s">
        <v>81</v>
      </c>
      <c r="O2426" s="2" t="s">
        <v>43</v>
      </c>
      <c r="P2426" s="2" t="s">
        <v>55</v>
      </c>
      <c r="Q2426" s="2" t="s">
        <v>56</v>
      </c>
      <c r="R2426" s="2">
        <v>1</v>
      </c>
      <c r="S2426" s="2">
        <v>18</v>
      </c>
      <c r="T2426" s="2">
        <v>4.1400000000000006</v>
      </c>
      <c r="U2426" s="2">
        <v>22.14</v>
      </c>
      <c r="V2426" s="2">
        <f>10.6*R2426</f>
        <v>10.6</v>
      </c>
      <c r="W2426" s="5">
        <f t="shared" si="235"/>
        <v>0.41111111111111115</v>
      </c>
      <c r="Y2426" s="2" t="s">
        <v>3256</v>
      </c>
      <c r="Z2426" s="2" t="s">
        <v>46</v>
      </c>
      <c r="AA2426" s="2" t="s">
        <v>57</v>
      </c>
      <c r="AB2426" s="2" t="s">
        <v>58</v>
      </c>
      <c r="AE2426" s="2">
        <f t="shared" si="232"/>
        <v>0</v>
      </c>
      <c r="AF2426" s="2">
        <v>10.6</v>
      </c>
      <c r="AG2426" s="2">
        <v>18</v>
      </c>
      <c r="AI2426" s="2">
        <f t="shared" si="233"/>
        <v>0</v>
      </c>
      <c r="AJ2426" s="2">
        <f t="shared" si="234"/>
        <v>7.4</v>
      </c>
      <c r="AK2426" s="5">
        <f t="shared" si="236"/>
        <v>0.41111111111111115</v>
      </c>
    </row>
    <row r="2427" spans="1:37" x14ac:dyDescent="0.2">
      <c r="A2427" s="2">
        <v>2025</v>
      </c>
      <c r="B2427" s="2">
        <v>12</v>
      </c>
      <c r="C2427" s="2" t="s">
        <v>429</v>
      </c>
      <c r="D2427" s="2" t="s">
        <v>99</v>
      </c>
      <c r="E2427" s="2" t="s">
        <v>39</v>
      </c>
      <c r="F2427" s="2">
        <v>510613888</v>
      </c>
      <c r="G2427" s="2" t="s">
        <v>40</v>
      </c>
      <c r="H2427" s="2" t="s">
        <v>430</v>
      </c>
      <c r="I2427" s="2" t="s">
        <v>431</v>
      </c>
      <c r="K2427" s="2" t="s">
        <v>100</v>
      </c>
      <c r="L2427" s="2" t="s">
        <v>81</v>
      </c>
      <c r="O2427" s="2" t="s">
        <v>43</v>
      </c>
      <c r="P2427" s="2" t="s">
        <v>62</v>
      </c>
      <c r="Q2427" s="2" t="s">
        <v>63</v>
      </c>
      <c r="R2427" s="2">
        <v>100</v>
      </c>
      <c r="S2427" s="2">
        <v>13</v>
      </c>
      <c r="T2427" s="2">
        <v>2.99</v>
      </c>
      <c r="U2427" s="2">
        <v>15.99</v>
      </c>
      <c r="V2427" s="2">
        <f>0.082*R2427</f>
        <v>8.2000000000000011</v>
      </c>
      <c r="W2427" s="5">
        <f t="shared" si="235"/>
        <v>0.36923076923076914</v>
      </c>
      <c r="Y2427" s="2" t="s">
        <v>3256</v>
      </c>
      <c r="Z2427" s="2" t="s">
        <v>46</v>
      </c>
      <c r="AA2427" s="2" t="s">
        <v>61</v>
      </c>
      <c r="AB2427" s="2" t="s">
        <v>58</v>
      </c>
      <c r="AE2427" s="2">
        <f t="shared" si="232"/>
        <v>0</v>
      </c>
      <c r="AF2427" s="2">
        <v>8.1999999999999993</v>
      </c>
      <c r="AG2427" s="2">
        <v>13</v>
      </c>
      <c r="AI2427" s="2">
        <f t="shared" si="233"/>
        <v>0</v>
      </c>
      <c r="AJ2427" s="2">
        <f t="shared" si="234"/>
        <v>4.7999999999999989</v>
      </c>
      <c r="AK2427" s="5">
        <f t="shared" si="236"/>
        <v>0.36923076923076914</v>
      </c>
    </row>
    <row r="2428" spans="1:37" x14ac:dyDescent="0.2">
      <c r="A2428" s="2">
        <v>2025</v>
      </c>
      <c r="B2428" s="2">
        <v>12</v>
      </c>
      <c r="C2428" s="2" t="s">
        <v>429</v>
      </c>
      <c r="D2428" s="2" t="s">
        <v>99</v>
      </c>
      <c r="E2428" s="2" t="s">
        <v>39</v>
      </c>
      <c r="F2428" s="2">
        <v>510613888</v>
      </c>
      <c r="G2428" s="2" t="s">
        <v>40</v>
      </c>
      <c r="H2428" s="2" t="s">
        <v>430</v>
      </c>
      <c r="I2428" s="2" t="s">
        <v>431</v>
      </c>
      <c r="K2428" s="2" t="s">
        <v>100</v>
      </c>
      <c r="L2428" s="2" t="s">
        <v>81</v>
      </c>
      <c r="O2428" s="2" t="s">
        <v>43</v>
      </c>
      <c r="P2428" s="2" t="s">
        <v>66</v>
      </c>
      <c r="Q2428" s="2" t="s">
        <v>67</v>
      </c>
      <c r="R2428" s="2">
        <v>1</v>
      </c>
      <c r="S2428" s="2">
        <v>26.4</v>
      </c>
      <c r="T2428" s="2">
        <v>6.0720000000000001</v>
      </c>
      <c r="U2428" s="2">
        <v>32.472000000000001</v>
      </c>
      <c r="V2428" s="2">
        <f>15.0203*R2428</f>
        <v>15.020300000000001</v>
      </c>
      <c r="W2428" s="5">
        <f t="shared" si="235"/>
        <v>0.43104924242424236</v>
      </c>
      <c r="Y2428" s="2" t="s">
        <v>3256</v>
      </c>
      <c r="Z2428" s="2" t="s">
        <v>46</v>
      </c>
      <c r="AA2428" s="2" t="s">
        <v>68</v>
      </c>
      <c r="AB2428" s="2" t="s">
        <v>58</v>
      </c>
      <c r="AE2428" s="2">
        <f t="shared" si="232"/>
        <v>0</v>
      </c>
      <c r="AF2428" s="2">
        <v>15.020300000000001</v>
      </c>
      <c r="AG2428" s="2">
        <v>27.6</v>
      </c>
      <c r="AI2428" s="2">
        <f t="shared" si="233"/>
        <v>0</v>
      </c>
      <c r="AJ2428" s="2">
        <f t="shared" si="234"/>
        <v>11.379699999999998</v>
      </c>
      <c r="AK2428" s="5">
        <f t="shared" si="236"/>
        <v>0.43104924242424236</v>
      </c>
    </row>
    <row r="2429" spans="1:37" x14ac:dyDescent="0.2">
      <c r="A2429" s="2">
        <v>2025</v>
      </c>
      <c r="B2429" s="2">
        <v>12</v>
      </c>
      <c r="C2429" s="2" t="s">
        <v>2158</v>
      </c>
      <c r="O2429" s="2" t="s">
        <v>115</v>
      </c>
      <c r="P2429" s="2" t="s">
        <v>2159</v>
      </c>
      <c r="Q2429" s="2" t="s">
        <v>2160</v>
      </c>
      <c r="R2429" s="2">
        <v>1</v>
      </c>
      <c r="S2429" s="2">
        <v>13500</v>
      </c>
      <c r="T2429" s="2">
        <v>3105</v>
      </c>
      <c r="U2429" s="2">
        <v>16605</v>
      </c>
      <c r="W2429" s="5">
        <f t="shared" si="235"/>
        <v>1</v>
      </c>
      <c r="AE2429" s="2">
        <f t="shared" si="232"/>
        <v>0</v>
      </c>
      <c r="AI2429" s="2">
        <f t="shared" si="233"/>
        <v>0</v>
      </c>
      <c r="AJ2429" s="2">
        <f t="shared" si="234"/>
        <v>13500</v>
      </c>
      <c r="AK2429" s="5">
        <f t="shared" si="236"/>
        <v>1</v>
      </c>
    </row>
    <row r="2430" spans="1:37" x14ac:dyDescent="0.2">
      <c r="A2430" s="2">
        <v>2025</v>
      </c>
      <c r="B2430" s="2">
        <v>12</v>
      </c>
      <c r="C2430" s="2" t="s">
        <v>1386</v>
      </c>
      <c r="D2430" s="2" t="s">
        <v>38</v>
      </c>
      <c r="E2430" s="2" t="s">
        <v>39</v>
      </c>
      <c r="F2430" s="2">
        <v>503116670</v>
      </c>
      <c r="G2430" s="2" t="s">
        <v>41</v>
      </c>
      <c r="H2430" s="2" t="s">
        <v>1387</v>
      </c>
      <c r="I2430" s="2" t="s">
        <v>1388</v>
      </c>
      <c r="J2430" s="2">
        <v>962004640</v>
      </c>
      <c r="K2430" s="2" t="s">
        <v>422</v>
      </c>
      <c r="L2430" s="2" t="s">
        <v>81</v>
      </c>
      <c r="O2430" s="2" t="s">
        <v>73</v>
      </c>
      <c r="P2430" s="2" t="s">
        <v>74</v>
      </c>
      <c r="Q2430" s="2" t="s">
        <v>75</v>
      </c>
      <c r="R2430" s="2">
        <v>1</v>
      </c>
      <c r="S2430" s="2">
        <v>220</v>
      </c>
      <c r="T2430" s="2">
        <v>50.6</v>
      </c>
      <c r="U2430" s="2">
        <v>270.60000000000002</v>
      </c>
      <c r="V2430" s="2">
        <v>117.453</v>
      </c>
      <c r="W2430" s="5">
        <f t="shared" si="235"/>
        <v>0.46612272727272724</v>
      </c>
      <c r="Y2430" s="2" t="s">
        <v>3256</v>
      </c>
      <c r="Z2430" s="2" t="s">
        <v>76</v>
      </c>
      <c r="AA2430" s="2" t="s">
        <v>77</v>
      </c>
      <c r="AB2430" s="2" t="s">
        <v>78</v>
      </c>
      <c r="AE2430" s="2">
        <f t="shared" si="232"/>
        <v>0</v>
      </c>
      <c r="AF2430" s="2">
        <v>117.453</v>
      </c>
      <c r="AG2430" s="2">
        <v>220</v>
      </c>
      <c r="AI2430" s="2">
        <f t="shared" si="233"/>
        <v>0</v>
      </c>
      <c r="AJ2430" s="2">
        <f t="shared" si="234"/>
        <v>102.547</v>
      </c>
      <c r="AK2430" s="5">
        <f t="shared" si="236"/>
        <v>0.46612272727272724</v>
      </c>
    </row>
    <row r="2431" spans="1:37" x14ac:dyDescent="0.2">
      <c r="A2431" s="2">
        <v>2025</v>
      </c>
      <c r="B2431" s="2">
        <v>12</v>
      </c>
      <c r="C2431" s="2" t="s">
        <v>1386</v>
      </c>
      <c r="D2431" s="2" t="s">
        <v>38</v>
      </c>
      <c r="E2431" s="2" t="s">
        <v>39</v>
      </c>
      <c r="F2431" s="2">
        <v>503116670</v>
      </c>
      <c r="G2431" s="2" t="s">
        <v>41</v>
      </c>
      <c r="H2431" s="2" t="s">
        <v>1387</v>
      </c>
      <c r="I2431" s="2" t="s">
        <v>1388</v>
      </c>
      <c r="J2431" s="2">
        <v>962004640</v>
      </c>
      <c r="K2431" s="2" t="s">
        <v>422</v>
      </c>
      <c r="L2431" s="2" t="s">
        <v>81</v>
      </c>
      <c r="O2431" s="2" t="s">
        <v>94</v>
      </c>
      <c r="P2431" s="2" t="s">
        <v>95</v>
      </c>
      <c r="Q2431" s="2" t="s">
        <v>96</v>
      </c>
      <c r="R2431" s="2">
        <v>1</v>
      </c>
      <c r="S2431" s="2">
        <v>1.1399999999999999</v>
      </c>
      <c r="T2431" s="2">
        <v>0.26219999999999999</v>
      </c>
      <c r="U2431" s="2">
        <v>1.4021999999999999</v>
      </c>
      <c r="V2431" s="2">
        <v>1.1399999999999999</v>
      </c>
      <c r="W2431" s="5">
        <f t="shared" si="235"/>
        <v>0</v>
      </c>
      <c r="Y2431" s="2" t="s">
        <v>3256</v>
      </c>
      <c r="Z2431" s="2" t="s">
        <v>97</v>
      </c>
      <c r="AA2431" s="2" t="s">
        <v>77</v>
      </c>
      <c r="AB2431" s="2" t="s">
        <v>94</v>
      </c>
      <c r="AE2431" s="2">
        <f t="shared" si="232"/>
        <v>0</v>
      </c>
      <c r="AI2431" s="2">
        <f t="shared" si="233"/>
        <v>0</v>
      </c>
      <c r="AJ2431" s="2">
        <f t="shared" si="234"/>
        <v>0</v>
      </c>
      <c r="AK2431" s="5">
        <f t="shared" si="236"/>
        <v>0</v>
      </c>
    </row>
    <row r="2432" spans="1:37" x14ac:dyDescent="0.2">
      <c r="A2432" s="2">
        <v>2025</v>
      </c>
      <c r="B2432" s="2">
        <v>12</v>
      </c>
      <c r="C2432" s="2" t="s">
        <v>2037</v>
      </c>
      <c r="O2432" s="2" t="s">
        <v>115</v>
      </c>
      <c r="P2432" s="2" t="s">
        <v>911</v>
      </c>
      <c r="Q2432" s="2" t="s">
        <v>912</v>
      </c>
      <c r="R2432" s="2">
        <v>1</v>
      </c>
      <c r="S2432" s="2">
        <v>699.3</v>
      </c>
      <c r="T2432" s="2">
        <v>160.839</v>
      </c>
      <c r="U2432" s="2">
        <v>860.1389999999999</v>
      </c>
      <c r="W2432" s="5">
        <f t="shared" ref="W2432:W2450" si="237">(S2432-V2432)/S2432</f>
        <v>1</v>
      </c>
      <c r="AE2432" s="2">
        <f t="shared" si="232"/>
        <v>0</v>
      </c>
      <c r="AI2432" s="2">
        <f t="shared" si="233"/>
        <v>0</v>
      </c>
      <c r="AJ2432" s="2">
        <f t="shared" si="234"/>
        <v>699.3</v>
      </c>
      <c r="AK2432" s="5">
        <f t="shared" si="236"/>
        <v>1</v>
      </c>
    </row>
    <row r="2433" spans="1:37" x14ac:dyDescent="0.2">
      <c r="A2433" s="2">
        <v>2025</v>
      </c>
      <c r="B2433" s="2">
        <v>12</v>
      </c>
      <c r="C2433" s="2" t="s">
        <v>2037</v>
      </c>
      <c r="L2433" s="2" t="s">
        <v>41</v>
      </c>
      <c r="N2433" s="2" t="s">
        <v>2161</v>
      </c>
      <c r="O2433" s="2" t="s">
        <v>43</v>
      </c>
      <c r="P2433" s="2" t="s">
        <v>159</v>
      </c>
      <c r="Q2433" s="2" t="s">
        <v>160</v>
      </c>
      <c r="R2433" s="2">
        <v>1</v>
      </c>
      <c r="S2433" s="2">
        <v>17.05</v>
      </c>
      <c r="T2433" s="2">
        <v>3.9215</v>
      </c>
      <c r="U2433" s="2">
        <v>20.971499999999999</v>
      </c>
      <c r="V2433" s="2">
        <f>9.3*R2433</f>
        <v>9.3000000000000007</v>
      </c>
      <c r="W2433" s="5">
        <f t="shared" si="237"/>
        <v>0.45454545454545453</v>
      </c>
      <c r="Y2433" s="2" t="s">
        <v>3256</v>
      </c>
      <c r="Z2433" s="2" t="s">
        <v>46</v>
      </c>
      <c r="AA2433" s="2" t="s">
        <v>47</v>
      </c>
      <c r="AB2433" s="2" t="s">
        <v>48</v>
      </c>
      <c r="AE2433" s="2">
        <f t="shared" si="232"/>
        <v>0</v>
      </c>
      <c r="AF2433" s="2">
        <v>9.3000000000000007</v>
      </c>
      <c r="AG2433" s="2">
        <v>21</v>
      </c>
      <c r="AI2433" s="2">
        <f t="shared" si="233"/>
        <v>0</v>
      </c>
      <c r="AJ2433" s="2">
        <f t="shared" si="234"/>
        <v>7.75</v>
      </c>
      <c r="AK2433" s="5">
        <f t="shared" si="236"/>
        <v>0.45454545454545453</v>
      </c>
    </row>
    <row r="2434" spans="1:37" x14ac:dyDescent="0.2">
      <c r="A2434" s="2">
        <v>2025</v>
      </c>
      <c r="B2434" s="2">
        <v>12</v>
      </c>
      <c r="C2434" s="2" t="s">
        <v>2037</v>
      </c>
      <c r="O2434" s="2" t="s">
        <v>43</v>
      </c>
      <c r="P2434" s="2" t="s">
        <v>49</v>
      </c>
      <c r="Q2434" s="2" t="s">
        <v>50</v>
      </c>
      <c r="R2434" s="2">
        <v>1</v>
      </c>
      <c r="S2434" s="2">
        <v>12</v>
      </c>
      <c r="T2434" s="2">
        <v>2.76</v>
      </c>
      <c r="U2434" s="2">
        <v>14.76</v>
      </c>
      <c r="V2434" s="2">
        <f>6.6267*R2434</f>
        <v>6.6266999999999996</v>
      </c>
      <c r="W2434" s="5">
        <f t="shared" si="237"/>
        <v>0.44777500000000003</v>
      </c>
      <c r="Y2434" s="2" t="s">
        <v>3256</v>
      </c>
      <c r="Z2434" s="2" t="s">
        <v>46</v>
      </c>
      <c r="AA2434" s="2" t="s">
        <v>47</v>
      </c>
      <c r="AB2434" s="2" t="s">
        <v>48</v>
      </c>
      <c r="AE2434" s="2">
        <f t="shared" si="232"/>
        <v>0</v>
      </c>
      <c r="AF2434" s="2">
        <v>6.6266999999999996</v>
      </c>
      <c r="AG2434" s="2">
        <v>12</v>
      </c>
      <c r="AI2434" s="2">
        <f t="shared" si="233"/>
        <v>0</v>
      </c>
      <c r="AJ2434" s="2">
        <f t="shared" si="234"/>
        <v>5.3733000000000004</v>
      </c>
      <c r="AK2434" s="5">
        <f t="shared" si="236"/>
        <v>0.44777500000000003</v>
      </c>
    </row>
    <row r="2435" spans="1:37" x14ac:dyDescent="0.2">
      <c r="A2435" s="2">
        <v>2025</v>
      </c>
      <c r="B2435" s="2">
        <v>12</v>
      </c>
      <c r="C2435" s="2" t="s">
        <v>2037</v>
      </c>
      <c r="O2435" s="2" t="s">
        <v>43</v>
      </c>
      <c r="P2435" s="2" t="s">
        <v>55</v>
      </c>
      <c r="Q2435" s="2" t="s">
        <v>56</v>
      </c>
      <c r="R2435" s="2">
        <v>2</v>
      </c>
      <c r="S2435" s="2">
        <v>36</v>
      </c>
      <c r="T2435" s="2">
        <v>8.2800000000000011</v>
      </c>
      <c r="U2435" s="2">
        <v>44.28</v>
      </c>
      <c r="V2435" s="2">
        <f>10.6*R2435</f>
        <v>21.2</v>
      </c>
      <c r="W2435" s="5">
        <f t="shared" si="237"/>
        <v>0.41111111111111115</v>
      </c>
      <c r="Y2435" s="2" t="s">
        <v>3256</v>
      </c>
      <c r="Z2435" s="2" t="s">
        <v>46</v>
      </c>
      <c r="AA2435" s="2" t="s">
        <v>57</v>
      </c>
      <c r="AB2435" s="2" t="s">
        <v>58</v>
      </c>
      <c r="AE2435" s="2">
        <f t="shared" ref="AE2435:AE2498" si="238">AI2435</f>
        <v>0</v>
      </c>
      <c r="AF2435" s="2">
        <v>10.6</v>
      </c>
      <c r="AG2435" s="2">
        <v>18</v>
      </c>
      <c r="AI2435" s="2">
        <f t="shared" ref="AI2435:AI2498" si="239">AH2435*S2435</f>
        <v>0</v>
      </c>
      <c r="AJ2435" s="2">
        <f t="shared" ref="AJ2435:AJ2498" si="240">S2435-V2435</f>
        <v>14.8</v>
      </c>
      <c r="AK2435" s="5">
        <f t="shared" si="236"/>
        <v>0.41111111111111115</v>
      </c>
    </row>
    <row r="2436" spans="1:37" x14ac:dyDescent="0.2">
      <c r="A2436" s="2">
        <v>2025</v>
      </c>
      <c r="B2436" s="2">
        <v>12</v>
      </c>
      <c r="C2436" s="2" t="s">
        <v>2037</v>
      </c>
      <c r="L2436" s="2" t="s">
        <v>40</v>
      </c>
      <c r="O2436" s="2" t="s">
        <v>188</v>
      </c>
      <c r="P2436" s="2" t="s">
        <v>189</v>
      </c>
      <c r="Q2436" s="2" t="s">
        <v>190</v>
      </c>
      <c r="R2436" s="2">
        <v>1</v>
      </c>
      <c r="S2436" s="2">
        <v>60</v>
      </c>
      <c r="T2436" s="2">
        <v>13.8</v>
      </c>
      <c r="U2436" s="2">
        <v>73.8</v>
      </c>
      <c r="W2436" s="5">
        <f t="shared" si="237"/>
        <v>1</v>
      </c>
      <c r="Y2436" s="2" t="s">
        <v>118</v>
      </c>
      <c r="Z2436" s="2" t="s">
        <v>191</v>
      </c>
      <c r="AE2436" s="2">
        <f t="shared" si="238"/>
        <v>0</v>
      </c>
      <c r="AI2436" s="2">
        <f t="shared" si="239"/>
        <v>0</v>
      </c>
      <c r="AJ2436" s="2">
        <f t="shared" si="240"/>
        <v>60</v>
      </c>
      <c r="AK2436" s="5">
        <f t="shared" si="236"/>
        <v>1</v>
      </c>
    </row>
    <row r="2437" spans="1:37" x14ac:dyDescent="0.2">
      <c r="A2437" s="2">
        <v>2025</v>
      </c>
      <c r="B2437" s="2">
        <v>12</v>
      </c>
      <c r="C2437" s="2" t="s">
        <v>2037</v>
      </c>
      <c r="L2437" s="2" t="s">
        <v>40</v>
      </c>
      <c r="O2437" s="2" t="s">
        <v>188</v>
      </c>
      <c r="P2437" s="2" t="s">
        <v>192</v>
      </c>
      <c r="Q2437" s="2" t="s">
        <v>191</v>
      </c>
      <c r="R2437" s="2">
        <v>1</v>
      </c>
      <c r="S2437" s="2">
        <v>50</v>
      </c>
      <c r="T2437" s="2">
        <v>11.5</v>
      </c>
      <c r="U2437" s="2">
        <v>61.5</v>
      </c>
      <c r="V2437" s="2">
        <f>S2437*50%</f>
        <v>25</v>
      </c>
      <c r="W2437" s="5">
        <f t="shared" si="237"/>
        <v>0.5</v>
      </c>
      <c r="Y2437" s="2" t="s">
        <v>118</v>
      </c>
      <c r="Z2437" s="2" t="s">
        <v>191</v>
      </c>
      <c r="AE2437" s="2">
        <f t="shared" si="238"/>
        <v>0</v>
      </c>
      <c r="AI2437" s="2">
        <f t="shared" si="239"/>
        <v>0</v>
      </c>
      <c r="AJ2437" s="2">
        <f t="shared" si="240"/>
        <v>25</v>
      </c>
      <c r="AK2437" s="5">
        <f t="shared" si="236"/>
        <v>0.5</v>
      </c>
    </row>
    <row r="2438" spans="1:37" x14ac:dyDescent="0.2">
      <c r="A2438" s="2">
        <v>2025</v>
      </c>
      <c r="B2438" s="2">
        <v>12</v>
      </c>
      <c r="C2438" s="2" t="s">
        <v>2162</v>
      </c>
      <c r="L2438" s="2" t="s">
        <v>40</v>
      </c>
      <c r="O2438" s="2" t="s">
        <v>115</v>
      </c>
      <c r="P2438" s="2" t="s">
        <v>180</v>
      </c>
      <c r="Q2438" s="2" t="s">
        <v>181</v>
      </c>
      <c r="R2438" s="2">
        <v>1</v>
      </c>
      <c r="S2438" s="2">
        <v>699.3</v>
      </c>
      <c r="T2438" s="2">
        <v>160.839</v>
      </c>
      <c r="U2438" s="2">
        <v>860.1389999999999</v>
      </c>
      <c r="V2438" s="2">
        <v>346.57</v>
      </c>
      <c r="W2438" s="5">
        <f t="shared" si="237"/>
        <v>0.50440440440440437</v>
      </c>
      <c r="Y2438" s="2" t="s">
        <v>118</v>
      </c>
      <c r="Z2438" s="2" t="s">
        <v>182</v>
      </c>
      <c r="AE2438" s="2">
        <f t="shared" si="238"/>
        <v>0</v>
      </c>
      <c r="AI2438" s="2">
        <f t="shared" si="239"/>
        <v>0</v>
      </c>
      <c r="AJ2438" s="2">
        <f t="shared" si="240"/>
        <v>352.72999999999996</v>
      </c>
      <c r="AK2438" s="5">
        <f t="shared" si="236"/>
        <v>0.50440440440440437</v>
      </c>
    </row>
    <row r="2439" spans="1:37" x14ac:dyDescent="0.2">
      <c r="A2439" s="2">
        <v>2025</v>
      </c>
      <c r="B2439" s="2">
        <v>12</v>
      </c>
      <c r="C2439" s="2" t="s">
        <v>2162</v>
      </c>
      <c r="L2439" s="2" t="s">
        <v>40</v>
      </c>
      <c r="O2439" s="2" t="s">
        <v>188</v>
      </c>
      <c r="P2439" s="2" t="s">
        <v>189</v>
      </c>
      <c r="Q2439" s="2" t="s">
        <v>190</v>
      </c>
      <c r="R2439" s="2">
        <v>1</v>
      </c>
      <c r="S2439" s="2">
        <v>171</v>
      </c>
      <c r="T2439" s="2">
        <v>39.33</v>
      </c>
      <c r="U2439" s="2">
        <v>210.33</v>
      </c>
      <c r="W2439" s="5">
        <f t="shared" si="237"/>
        <v>1</v>
      </c>
      <c r="Y2439" s="2" t="s">
        <v>118</v>
      </c>
      <c r="Z2439" s="2" t="s">
        <v>191</v>
      </c>
      <c r="AE2439" s="2">
        <f t="shared" si="238"/>
        <v>0</v>
      </c>
      <c r="AI2439" s="2">
        <f t="shared" si="239"/>
        <v>0</v>
      </c>
      <c r="AJ2439" s="2">
        <f t="shared" si="240"/>
        <v>171</v>
      </c>
      <c r="AK2439" s="5">
        <f t="shared" si="236"/>
        <v>1</v>
      </c>
    </row>
    <row r="2440" spans="1:37" x14ac:dyDescent="0.2">
      <c r="A2440" s="2">
        <v>2025</v>
      </c>
      <c r="B2440" s="2">
        <v>12</v>
      </c>
      <c r="C2440" s="2" t="s">
        <v>2162</v>
      </c>
      <c r="L2440" s="2" t="s">
        <v>40</v>
      </c>
      <c r="O2440" s="2" t="s">
        <v>188</v>
      </c>
      <c r="P2440" s="2" t="s">
        <v>192</v>
      </c>
      <c r="Q2440" s="2" t="s">
        <v>191</v>
      </c>
      <c r="R2440" s="2">
        <v>1</v>
      </c>
      <c r="S2440" s="2">
        <v>50</v>
      </c>
      <c r="T2440" s="2">
        <v>11.5</v>
      </c>
      <c r="U2440" s="2">
        <v>61.5</v>
      </c>
      <c r="V2440" s="2">
        <f>S2440*50%</f>
        <v>25</v>
      </c>
      <c r="W2440" s="5">
        <f t="shared" si="237"/>
        <v>0.5</v>
      </c>
      <c r="Y2440" s="2" t="s">
        <v>118</v>
      </c>
      <c r="Z2440" s="2" t="s">
        <v>191</v>
      </c>
      <c r="AE2440" s="2">
        <f t="shared" si="238"/>
        <v>0</v>
      </c>
      <c r="AI2440" s="2">
        <f t="shared" si="239"/>
        <v>0</v>
      </c>
      <c r="AJ2440" s="2">
        <f t="shared" si="240"/>
        <v>25</v>
      </c>
      <c r="AK2440" s="5">
        <f t="shared" si="236"/>
        <v>0.5</v>
      </c>
    </row>
    <row r="2441" spans="1:37" x14ac:dyDescent="0.2">
      <c r="A2441" s="2">
        <v>2025</v>
      </c>
      <c r="B2441" s="2">
        <v>12</v>
      </c>
      <c r="C2441" s="2" t="s">
        <v>455</v>
      </c>
      <c r="D2441" s="2" t="s">
        <v>109</v>
      </c>
      <c r="E2441" s="2" t="s">
        <v>39</v>
      </c>
      <c r="F2441" s="2">
        <v>506085686</v>
      </c>
      <c r="G2441" s="2" t="s">
        <v>40</v>
      </c>
      <c r="H2441" s="2" t="s">
        <v>456</v>
      </c>
      <c r="I2441" s="2" t="s">
        <v>457</v>
      </c>
      <c r="J2441" s="2">
        <v>917241919</v>
      </c>
      <c r="K2441" s="2" t="s">
        <v>400</v>
      </c>
      <c r="O2441" s="2" t="s">
        <v>704</v>
      </c>
      <c r="P2441" s="2" t="s">
        <v>2163</v>
      </c>
      <c r="Q2441" s="2" t="s">
        <v>2164</v>
      </c>
      <c r="R2441" s="2">
        <v>1</v>
      </c>
      <c r="S2441" s="2">
        <v>25662</v>
      </c>
      <c r="T2441" s="2">
        <v>5902.26</v>
      </c>
      <c r="U2441" s="2">
        <v>31564.26</v>
      </c>
      <c r="V2441" s="2">
        <v>19000</v>
      </c>
      <c r="W2441" s="5">
        <f t="shared" si="237"/>
        <v>0.25960564258436597</v>
      </c>
      <c r="Y2441" s="2" t="s">
        <v>105</v>
      </c>
      <c r="Z2441" s="2" t="s">
        <v>418</v>
      </c>
      <c r="AA2441" s="2" t="s">
        <v>1121</v>
      </c>
      <c r="AB2441" s="2" t="s">
        <v>704</v>
      </c>
      <c r="AE2441" s="2">
        <f t="shared" si="238"/>
        <v>0</v>
      </c>
      <c r="AI2441" s="2">
        <f t="shared" si="239"/>
        <v>0</v>
      </c>
      <c r="AJ2441" s="2">
        <f t="shared" si="240"/>
        <v>6662</v>
      </c>
      <c r="AK2441" s="5">
        <f t="shared" si="236"/>
        <v>0.25960564258436597</v>
      </c>
    </row>
    <row r="2442" spans="1:37" x14ac:dyDescent="0.2">
      <c r="A2442" s="2">
        <v>2025</v>
      </c>
      <c r="B2442" s="2">
        <v>12</v>
      </c>
      <c r="C2442" s="2" t="s">
        <v>839</v>
      </c>
      <c r="L2442" s="2" t="s">
        <v>40</v>
      </c>
      <c r="O2442" s="2" t="s">
        <v>115</v>
      </c>
      <c r="P2442" s="2" t="s">
        <v>180</v>
      </c>
      <c r="Q2442" s="2" t="s">
        <v>181</v>
      </c>
      <c r="R2442" s="2">
        <v>1</v>
      </c>
      <c r="S2442" s="2">
        <v>629.37</v>
      </c>
      <c r="T2442" s="2">
        <v>144.7551</v>
      </c>
      <c r="U2442" s="2">
        <v>774.12509999999997</v>
      </c>
      <c r="V2442" s="2">
        <v>346.57</v>
      </c>
      <c r="W2442" s="5">
        <f t="shared" si="237"/>
        <v>0.44933822711600491</v>
      </c>
      <c r="Y2442" s="2" t="s">
        <v>118</v>
      </c>
      <c r="Z2442" s="2" t="s">
        <v>182</v>
      </c>
      <c r="AE2442" s="2">
        <f t="shared" si="238"/>
        <v>0</v>
      </c>
      <c r="AI2442" s="2">
        <f t="shared" si="239"/>
        <v>0</v>
      </c>
      <c r="AJ2442" s="2">
        <f t="shared" si="240"/>
        <v>282.8</v>
      </c>
      <c r="AK2442" s="5">
        <f t="shared" si="236"/>
        <v>0.44933822711600491</v>
      </c>
    </row>
    <row r="2443" spans="1:37" x14ac:dyDescent="0.2">
      <c r="A2443" s="2">
        <v>2025</v>
      </c>
      <c r="B2443" s="2">
        <v>12</v>
      </c>
      <c r="C2443" s="2" t="s">
        <v>839</v>
      </c>
      <c r="L2443" s="2" t="s">
        <v>40</v>
      </c>
      <c r="O2443" s="2" t="s">
        <v>188</v>
      </c>
      <c r="P2443" s="2" t="s">
        <v>189</v>
      </c>
      <c r="Q2443" s="2" t="s">
        <v>190</v>
      </c>
      <c r="R2443" s="2">
        <v>1</v>
      </c>
      <c r="S2443" s="2">
        <v>71</v>
      </c>
      <c r="T2443" s="2">
        <v>16.329999999999998</v>
      </c>
      <c r="U2443" s="2">
        <v>87.33</v>
      </c>
      <c r="W2443" s="5">
        <f t="shared" si="237"/>
        <v>1</v>
      </c>
      <c r="Y2443" s="2" t="s">
        <v>118</v>
      </c>
      <c r="Z2443" s="2" t="s">
        <v>191</v>
      </c>
      <c r="AE2443" s="2">
        <f t="shared" si="238"/>
        <v>0</v>
      </c>
      <c r="AI2443" s="2">
        <f t="shared" si="239"/>
        <v>0</v>
      </c>
      <c r="AJ2443" s="2">
        <f t="shared" si="240"/>
        <v>71</v>
      </c>
      <c r="AK2443" s="5">
        <f t="shared" si="236"/>
        <v>1</v>
      </c>
    </row>
    <row r="2444" spans="1:37" x14ac:dyDescent="0.2">
      <c r="A2444" s="2">
        <v>2025</v>
      </c>
      <c r="B2444" s="2">
        <v>12</v>
      </c>
      <c r="C2444" s="2" t="s">
        <v>839</v>
      </c>
      <c r="L2444" s="2" t="s">
        <v>40</v>
      </c>
      <c r="O2444" s="2" t="s">
        <v>188</v>
      </c>
      <c r="P2444" s="2" t="s">
        <v>192</v>
      </c>
      <c r="Q2444" s="2" t="s">
        <v>191</v>
      </c>
      <c r="R2444" s="2">
        <v>2</v>
      </c>
      <c r="S2444" s="2">
        <v>0</v>
      </c>
      <c r="T2444" s="2">
        <v>0</v>
      </c>
      <c r="U2444" s="2">
        <v>0</v>
      </c>
      <c r="V2444" s="2">
        <f>S2444*50%</f>
        <v>0</v>
      </c>
      <c r="W2444" s="5" t="e">
        <f t="shared" si="237"/>
        <v>#DIV/0!</v>
      </c>
      <c r="Y2444" s="2" t="s">
        <v>118</v>
      </c>
      <c r="Z2444" s="2" t="s">
        <v>191</v>
      </c>
      <c r="AE2444" s="2">
        <f t="shared" si="238"/>
        <v>0</v>
      </c>
      <c r="AI2444" s="2">
        <f t="shared" si="239"/>
        <v>0</v>
      </c>
      <c r="AJ2444" s="2">
        <f t="shared" si="240"/>
        <v>0</v>
      </c>
      <c r="AK2444" s="5" t="e">
        <f t="shared" si="236"/>
        <v>#DIV/0!</v>
      </c>
    </row>
    <row r="2445" spans="1:37" x14ac:dyDescent="0.2">
      <c r="A2445" s="2">
        <v>2025</v>
      </c>
      <c r="B2445" s="2">
        <v>12</v>
      </c>
      <c r="C2445" s="2" t="s">
        <v>839</v>
      </c>
      <c r="O2445" s="2" t="s">
        <v>40</v>
      </c>
      <c r="P2445" s="2" t="s">
        <v>364</v>
      </c>
      <c r="Q2445" s="2" t="s">
        <v>365</v>
      </c>
      <c r="R2445" s="2">
        <v>1</v>
      </c>
      <c r="S2445" s="2">
        <v>629.37</v>
      </c>
      <c r="T2445" s="2">
        <v>144.7551</v>
      </c>
      <c r="U2445" s="2">
        <v>774.12509999999997</v>
      </c>
      <c r="W2445" s="5">
        <f t="shared" si="237"/>
        <v>1</v>
      </c>
      <c r="Y2445" s="2" t="s">
        <v>120</v>
      </c>
      <c r="AE2445" s="2">
        <f t="shared" si="238"/>
        <v>0</v>
      </c>
      <c r="AI2445" s="2">
        <f t="shared" si="239"/>
        <v>0</v>
      </c>
      <c r="AJ2445" s="2">
        <f t="shared" si="240"/>
        <v>629.37</v>
      </c>
      <c r="AK2445" s="5">
        <f t="shared" si="236"/>
        <v>1</v>
      </c>
    </row>
    <row r="2446" spans="1:37" x14ac:dyDescent="0.2">
      <c r="A2446" s="2">
        <v>2025</v>
      </c>
      <c r="B2446" s="2">
        <v>12</v>
      </c>
      <c r="C2446" s="2" t="s">
        <v>462</v>
      </c>
      <c r="D2446" s="2" t="s">
        <v>109</v>
      </c>
      <c r="E2446" s="2" t="s">
        <v>39</v>
      </c>
      <c r="F2446" s="2">
        <v>507016173</v>
      </c>
      <c r="G2446" s="2" t="s">
        <v>110</v>
      </c>
      <c r="H2446" s="2" t="s">
        <v>463</v>
      </c>
      <c r="I2446" s="2" t="s">
        <v>464</v>
      </c>
      <c r="K2446" s="2" t="s">
        <v>465</v>
      </c>
      <c r="O2446" s="2" t="s">
        <v>43</v>
      </c>
      <c r="P2446" s="2" t="s">
        <v>62</v>
      </c>
      <c r="Q2446" s="2" t="s">
        <v>63</v>
      </c>
      <c r="R2446" s="2">
        <v>1000</v>
      </c>
      <c r="S2446" s="2">
        <v>110</v>
      </c>
      <c r="T2446" s="2">
        <v>25.3</v>
      </c>
      <c r="U2446" s="2">
        <v>135.30000000000001</v>
      </c>
      <c r="V2446" s="2">
        <f>0.082*R2446</f>
        <v>82</v>
      </c>
      <c r="W2446" s="5">
        <f t="shared" si="237"/>
        <v>0.25454545454545452</v>
      </c>
      <c r="Y2446" s="2" t="s">
        <v>3256</v>
      </c>
      <c r="Z2446" s="2" t="s">
        <v>46</v>
      </c>
      <c r="AA2446" s="2" t="s">
        <v>61</v>
      </c>
      <c r="AB2446" s="2" t="s">
        <v>58</v>
      </c>
      <c r="AE2446" s="2">
        <f t="shared" si="238"/>
        <v>0</v>
      </c>
      <c r="AF2446" s="2">
        <v>8.1999999999999993</v>
      </c>
      <c r="AG2446" s="2">
        <v>13</v>
      </c>
      <c r="AI2446" s="2">
        <f t="shared" si="239"/>
        <v>0</v>
      </c>
      <c r="AJ2446" s="2">
        <f t="shared" si="240"/>
        <v>28</v>
      </c>
      <c r="AK2446" s="5">
        <f t="shared" si="236"/>
        <v>0.25454545454545452</v>
      </c>
    </row>
    <row r="2447" spans="1:37" x14ac:dyDescent="0.2">
      <c r="A2447" s="2">
        <v>2025</v>
      </c>
      <c r="B2447" s="2">
        <v>12</v>
      </c>
      <c r="C2447" s="2" t="s">
        <v>2165</v>
      </c>
      <c r="L2447" s="2" t="s">
        <v>81</v>
      </c>
      <c r="O2447" s="2" t="s">
        <v>73</v>
      </c>
      <c r="P2447" s="2" t="s">
        <v>74</v>
      </c>
      <c r="Q2447" s="2" t="s">
        <v>75</v>
      </c>
      <c r="R2447" s="2">
        <v>1</v>
      </c>
      <c r="S2447" s="2">
        <v>220</v>
      </c>
      <c r="T2447" s="2">
        <v>50.6</v>
      </c>
      <c r="U2447" s="2">
        <v>270.60000000000002</v>
      </c>
      <c r="V2447" s="2">
        <v>117.453</v>
      </c>
      <c r="W2447" s="5">
        <f t="shared" si="237"/>
        <v>0.46612272727272724</v>
      </c>
      <c r="Y2447" s="2" t="s">
        <v>3256</v>
      </c>
      <c r="Z2447" s="2" t="s">
        <v>76</v>
      </c>
      <c r="AA2447" s="2" t="s">
        <v>77</v>
      </c>
      <c r="AB2447" s="2" t="s">
        <v>78</v>
      </c>
      <c r="AE2447" s="2">
        <f t="shared" si="238"/>
        <v>0</v>
      </c>
      <c r="AF2447" s="2">
        <v>117.453</v>
      </c>
      <c r="AG2447" s="2">
        <v>220</v>
      </c>
      <c r="AI2447" s="2">
        <f t="shared" si="239"/>
        <v>0</v>
      </c>
      <c r="AJ2447" s="2">
        <f t="shared" si="240"/>
        <v>102.547</v>
      </c>
      <c r="AK2447" s="5">
        <f t="shared" si="236"/>
        <v>0.46612272727272724</v>
      </c>
    </row>
    <row r="2448" spans="1:37" x14ac:dyDescent="0.2">
      <c r="A2448" s="2">
        <v>2025</v>
      </c>
      <c r="B2448" s="2">
        <v>12</v>
      </c>
      <c r="C2448" s="2" t="s">
        <v>2165</v>
      </c>
      <c r="O2448" s="2" t="s">
        <v>94</v>
      </c>
      <c r="P2448" s="2" t="s">
        <v>95</v>
      </c>
      <c r="Q2448" s="2" t="s">
        <v>96</v>
      </c>
      <c r="R2448" s="2">
        <v>1</v>
      </c>
      <c r="S2448" s="2">
        <v>1.1399999999999999</v>
      </c>
      <c r="T2448" s="2">
        <v>0.26219999999999999</v>
      </c>
      <c r="U2448" s="2">
        <v>1.4021999999999999</v>
      </c>
      <c r="V2448" s="2">
        <v>1.1399999999999999</v>
      </c>
      <c r="W2448" s="5">
        <f t="shared" si="237"/>
        <v>0</v>
      </c>
      <c r="Y2448" s="2" t="s">
        <v>3256</v>
      </c>
      <c r="Z2448" s="2" t="s">
        <v>97</v>
      </c>
      <c r="AA2448" s="2" t="s">
        <v>77</v>
      </c>
      <c r="AB2448" s="2" t="s">
        <v>94</v>
      </c>
      <c r="AE2448" s="2">
        <f t="shared" si="238"/>
        <v>0</v>
      </c>
      <c r="AI2448" s="2">
        <f t="shared" si="239"/>
        <v>0</v>
      </c>
      <c r="AJ2448" s="2">
        <f t="shared" si="240"/>
        <v>0</v>
      </c>
      <c r="AK2448" s="5">
        <f t="shared" si="236"/>
        <v>0</v>
      </c>
    </row>
    <row r="2449" spans="1:37" x14ac:dyDescent="0.2">
      <c r="A2449" s="2">
        <v>2025</v>
      </c>
      <c r="B2449" s="2">
        <v>12</v>
      </c>
      <c r="C2449" s="2" t="s">
        <v>473</v>
      </c>
      <c r="D2449" s="2" t="s">
        <v>38</v>
      </c>
      <c r="E2449" s="2" t="s">
        <v>474</v>
      </c>
      <c r="F2449" s="2">
        <v>513626930</v>
      </c>
      <c r="G2449" s="2" t="s">
        <v>40</v>
      </c>
      <c r="H2449" s="2" t="s">
        <v>340</v>
      </c>
      <c r="I2449" s="2" t="s">
        <v>475</v>
      </c>
      <c r="K2449" s="2" t="s">
        <v>340</v>
      </c>
      <c r="L2449" s="2" t="s">
        <v>40</v>
      </c>
      <c r="O2449" s="2" t="s">
        <v>115</v>
      </c>
      <c r="P2449" s="2" t="s">
        <v>963</v>
      </c>
      <c r="Q2449" s="2" t="s">
        <v>964</v>
      </c>
      <c r="R2449" s="2">
        <v>1</v>
      </c>
      <c r="S2449" s="2">
        <v>9459.2099999999991</v>
      </c>
      <c r="T2449" s="2">
        <v>2175.6183000000001</v>
      </c>
      <c r="U2449" s="2">
        <v>11634.828299999999</v>
      </c>
      <c r="V2449" s="2">
        <v>6468.73</v>
      </c>
      <c r="W2449" s="5">
        <f t="shared" si="237"/>
        <v>0.31614479433271908</v>
      </c>
      <c r="Y2449" s="2" t="s">
        <v>105</v>
      </c>
      <c r="Z2449" s="2" t="s">
        <v>621</v>
      </c>
      <c r="AA2449" s="2" t="s">
        <v>965</v>
      </c>
      <c r="AB2449" s="2" t="s">
        <v>115</v>
      </c>
      <c r="AE2449" s="2">
        <f t="shared" si="238"/>
        <v>0</v>
      </c>
      <c r="AF2449" s="2">
        <v>6468.73</v>
      </c>
      <c r="AI2449" s="2">
        <f t="shared" si="239"/>
        <v>0</v>
      </c>
      <c r="AJ2449" s="2">
        <f t="shared" si="240"/>
        <v>2990.4799999999996</v>
      </c>
      <c r="AK2449" s="5">
        <f t="shared" si="236"/>
        <v>0.31614479433271908</v>
      </c>
    </row>
    <row r="2450" spans="1:37" x14ac:dyDescent="0.2">
      <c r="A2450" s="2">
        <v>2025</v>
      </c>
      <c r="B2450" s="2">
        <v>12</v>
      </c>
      <c r="C2450" s="2" t="s">
        <v>473</v>
      </c>
      <c r="D2450" s="2" t="s">
        <v>38</v>
      </c>
      <c r="E2450" s="2" t="s">
        <v>474</v>
      </c>
      <c r="F2450" s="2">
        <v>513626930</v>
      </c>
      <c r="G2450" s="2" t="s">
        <v>40</v>
      </c>
      <c r="H2450" s="2" t="s">
        <v>340</v>
      </c>
      <c r="I2450" s="2" t="s">
        <v>475</v>
      </c>
      <c r="K2450" s="2" t="s">
        <v>340</v>
      </c>
      <c r="L2450" s="2" t="s">
        <v>40</v>
      </c>
      <c r="N2450" s="2" t="s">
        <v>2166</v>
      </c>
      <c r="O2450" s="2" t="s">
        <v>283</v>
      </c>
      <c r="P2450" s="2" t="s">
        <v>1292</v>
      </c>
      <c r="Q2450" s="2" t="s">
        <v>1293</v>
      </c>
      <c r="R2450" s="2">
        <v>1</v>
      </c>
      <c r="S2450" s="2">
        <v>1510</v>
      </c>
      <c r="T2450" s="2">
        <v>347.3</v>
      </c>
      <c r="U2450" s="2">
        <v>1857.3</v>
      </c>
      <c r="V2450" s="2">
        <v>1389</v>
      </c>
      <c r="W2450" s="5">
        <f t="shared" si="237"/>
        <v>8.0132450331125829E-2</v>
      </c>
      <c r="Y2450" s="2" t="s">
        <v>105</v>
      </c>
      <c r="Z2450" s="2" t="s">
        <v>1590</v>
      </c>
      <c r="AA2450" s="2" t="s">
        <v>390</v>
      </c>
      <c r="AB2450" s="2" t="s">
        <v>1337</v>
      </c>
      <c r="AE2450" s="2">
        <f t="shared" si="238"/>
        <v>0</v>
      </c>
      <c r="AF2450" s="2">
        <f>1294+95</f>
        <v>1389</v>
      </c>
      <c r="AI2450" s="2">
        <f t="shared" si="239"/>
        <v>0</v>
      </c>
      <c r="AJ2450" s="2">
        <f t="shared" si="240"/>
        <v>121</v>
      </c>
      <c r="AK2450" s="5">
        <f t="shared" si="236"/>
        <v>8.0132450331125829E-2</v>
      </c>
    </row>
    <row r="2451" spans="1:37" x14ac:dyDescent="0.2">
      <c r="A2451" s="2">
        <v>2025</v>
      </c>
      <c r="B2451" s="2">
        <v>12</v>
      </c>
      <c r="C2451" s="2" t="s">
        <v>473</v>
      </c>
      <c r="D2451" s="2" t="s">
        <v>38</v>
      </c>
      <c r="E2451" s="2" t="s">
        <v>474</v>
      </c>
      <c r="F2451" s="2">
        <v>513626930</v>
      </c>
      <c r="G2451" s="2" t="s">
        <v>40</v>
      </c>
      <c r="H2451" s="2" t="s">
        <v>340</v>
      </c>
      <c r="I2451" s="2" t="s">
        <v>475</v>
      </c>
      <c r="K2451" s="2" t="s">
        <v>340</v>
      </c>
      <c r="L2451" s="2" t="s">
        <v>40</v>
      </c>
      <c r="N2451" s="2" t="s">
        <v>2166</v>
      </c>
      <c r="O2451" s="2" t="s">
        <v>283</v>
      </c>
      <c r="P2451" s="2" t="s">
        <v>1294</v>
      </c>
      <c r="Q2451" s="2" t="s">
        <v>1295</v>
      </c>
      <c r="R2451" s="2">
        <v>1</v>
      </c>
      <c r="S2451" s="2">
        <v>0</v>
      </c>
      <c r="T2451" s="2">
        <v>0</v>
      </c>
      <c r="U2451" s="2">
        <v>0</v>
      </c>
      <c r="V2451" s="2">
        <v>0</v>
      </c>
      <c r="W2451" s="5">
        <v>0</v>
      </c>
      <c r="Y2451" s="2" t="s">
        <v>105</v>
      </c>
      <c r="Z2451" s="2" t="s">
        <v>1590</v>
      </c>
      <c r="AA2451" s="2" t="s">
        <v>390</v>
      </c>
      <c r="AB2451" s="2" t="s">
        <v>1337</v>
      </c>
      <c r="AE2451" s="2">
        <f t="shared" si="238"/>
        <v>0</v>
      </c>
      <c r="AI2451" s="2">
        <f t="shared" si="239"/>
        <v>0</v>
      </c>
      <c r="AJ2451" s="2">
        <f t="shared" si="240"/>
        <v>0</v>
      </c>
      <c r="AK2451" s="5" t="e">
        <f t="shared" si="236"/>
        <v>#DIV/0!</v>
      </c>
    </row>
    <row r="2452" spans="1:37" x14ac:dyDescent="0.2">
      <c r="A2452" s="2">
        <v>2025</v>
      </c>
      <c r="B2452" s="2">
        <v>12</v>
      </c>
      <c r="C2452" s="2" t="s">
        <v>473</v>
      </c>
      <c r="D2452" s="2" t="s">
        <v>38</v>
      </c>
      <c r="E2452" s="2" t="s">
        <v>474</v>
      </c>
      <c r="F2452" s="2">
        <v>513626930</v>
      </c>
      <c r="G2452" s="2" t="s">
        <v>40</v>
      </c>
      <c r="H2452" s="2" t="s">
        <v>340</v>
      </c>
      <c r="I2452" s="2" t="s">
        <v>475</v>
      </c>
      <c r="K2452" s="2" t="s">
        <v>340</v>
      </c>
      <c r="L2452" s="2" t="s">
        <v>40</v>
      </c>
      <c r="N2452" s="2" t="s">
        <v>2166</v>
      </c>
      <c r="O2452" s="2" t="s">
        <v>283</v>
      </c>
      <c r="P2452" s="2" t="s">
        <v>1163</v>
      </c>
      <c r="Q2452" s="2" t="s">
        <v>1164</v>
      </c>
      <c r="R2452" s="2">
        <v>1</v>
      </c>
      <c r="S2452" s="2">
        <v>2990</v>
      </c>
      <c r="T2452" s="2">
        <v>687.7</v>
      </c>
      <c r="U2452" s="2">
        <v>3677.7</v>
      </c>
      <c r="V2452" s="2">
        <v>2190</v>
      </c>
      <c r="W2452" s="5">
        <f>(S2452-V2452)/S2452</f>
        <v>0.26755852842809363</v>
      </c>
      <c r="Y2452" s="2" t="s">
        <v>105</v>
      </c>
      <c r="Z2452" s="2" t="s">
        <v>1590</v>
      </c>
      <c r="AA2452" s="2" t="s">
        <v>390</v>
      </c>
      <c r="AB2452" s="2" t="s">
        <v>1337</v>
      </c>
      <c r="AE2452" s="2">
        <f t="shared" si="238"/>
        <v>0</v>
      </c>
      <c r="AF2452" s="2">
        <v>2190</v>
      </c>
      <c r="AI2452" s="2">
        <f t="shared" si="239"/>
        <v>0</v>
      </c>
      <c r="AJ2452" s="2">
        <f t="shared" si="240"/>
        <v>800</v>
      </c>
      <c r="AK2452" s="5">
        <f t="shared" si="236"/>
        <v>0.26755852842809363</v>
      </c>
    </row>
    <row r="2453" spans="1:37" x14ac:dyDescent="0.2">
      <c r="A2453" s="2">
        <v>2025</v>
      </c>
      <c r="B2453" s="2">
        <v>12</v>
      </c>
      <c r="C2453" s="2" t="s">
        <v>473</v>
      </c>
      <c r="D2453" s="2" t="s">
        <v>38</v>
      </c>
      <c r="E2453" s="2" t="s">
        <v>474</v>
      </c>
      <c r="F2453" s="2">
        <v>513626930</v>
      </c>
      <c r="G2453" s="2" t="s">
        <v>40</v>
      </c>
      <c r="H2453" s="2" t="s">
        <v>340</v>
      </c>
      <c r="I2453" s="2" t="s">
        <v>475</v>
      </c>
      <c r="K2453" s="2" t="s">
        <v>340</v>
      </c>
      <c r="L2453" s="2" t="s">
        <v>40</v>
      </c>
      <c r="N2453" s="2" t="s">
        <v>2166</v>
      </c>
      <c r="O2453" s="2" t="s">
        <v>283</v>
      </c>
      <c r="P2453" s="2" t="s">
        <v>1167</v>
      </c>
      <c r="Q2453" s="2" t="s">
        <v>1168</v>
      </c>
      <c r="R2453" s="2">
        <v>1</v>
      </c>
      <c r="S2453" s="2">
        <v>0</v>
      </c>
      <c r="T2453" s="2">
        <v>0</v>
      </c>
      <c r="U2453" s="2">
        <v>0</v>
      </c>
      <c r="V2453" s="2">
        <v>0</v>
      </c>
      <c r="W2453" s="5">
        <v>0</v>
      </c>
      <c r="Y2453" s="2" t="s">
        <v>105</v>
      </c>
      <c r="Z2453" s="2" t="s">
        <v>1590</v>
      </c>
      <c r="AA2453" s="2" t="s">
        <v>390</v>
      </c>
      <c r="AB2453" s="2" t="s">
        <v>1337</v>
      </c>
      <c r="AE2453" s="2">
        <f t="shared" si="238"/>
        <v>0</v>
      </c>
      <c r="AI2453" s="2">
        <f t="shared" si="239"/>
        <v>0</v>
      </c>
      <c r="AJ2453" s="2">
        <f t="shared" si="240"/>
        <v>0</v>
      </c>
      <c r="AK2453" s="5" t="e">
        <f t="shared" si="236"/>
        <v>#DIV/0!</v>
      </c>
    </row>
    <row r="2454" spans="1:37" x14ac:dyDescent="0.2">
      <c r="A2454" s="2">
        <v>2025</v>
      </c>
      <c r="B2454" s="2">
        <v>12</v>
      </c>
      <c r="C2454" s="2" t="s">
        <v>480</v>
      </c>
      <c r="D2454" s="2" t="s">
        <v>109</v>
      </c>
      <c r="E2454" s="2" t="s">
        <v>481</v>
      </c>
      <c r="F2454" s="2">
        <v>500864365</v>
      </c>
      <c r="G2454" s="2" t="s">
        <v>41</v>
      </c>
      <c r="H2454" s="2" t="s">
        <v>482</v>
      </c>
      <c r="I2454" s="2" t="s">
        <v>483</v>
      </c>
      <c r="K2454" s="2" t="s">
        <v>484</v>
      </c>
      <c r="L2454" s="2" t="s">
        <v>41</v>
      </c>
      <c r="N2454" s="2" t="s">
        <v>3189</v>
      </c>
      <c r="O2454" s="2" t="s">
        <v>1047</v>
      </c>
      <c r="P2454" s="2" t="s">
        <v>2167</v>
      </c>
      <c r="Q2454" s="2" t="s">
        <v>2168</v>
      </c>
      <c r="R2454" s="2">
        <v>1</v>
      </c>
      <c r="S2454" s="2">
        <v>220.8</v>
      </c>
      <c r="T2454" s="2">
        <v>50.784000000000013</v>
      </c>
      <c r="U2454" s="2">
        <v>271.584</v>
      </c>
      <c r="V2454" s="2">
        <v>107.72</v>
      </c>
      <c r="W2454" s="5">
        <f t="shared" ref="W2454:W2485" si="241">(S2454-V2454)/S2454</f>
        <v>0.51213768115942027</v>
      </c>
      <c r="Y2454" s="2" t="s">
        <v>3256</v>
      </c>
      <c r="Z2454" s="2" t="s">
        <v>76</v>
      </c>
      <c r="AA2454" s="2" t="s">
        <v>77</v>
      </c>
      <c r="AB2454" s="2" t="s">
        <v>1047</v>
      </c>
      <c r="AE2454" s="2">
        <f t="shared" si="238"/>
        <v>0</v>
      </c>
      <c r="AF2454" s="2">
        <v>107.72</v>
      </c>
      <c r="AI2454" s="2">
        <f t="shared" si="239"/>
        <v>0</v>
      </c>
      <c r="AJ2454" s="2">
        <f t="shared" si="240"/>
        <v>113.08000000000001</v>
      </c>
      <c r="AK2454" s="5">
        <f t="shared" si="236"/>
        <v>0.51213768115942027</v>
      </c>
    </row>
    <row r="2455" spans="1:37" x14ac:dyDescent="0.2">
      <c r="A2455" s="2">
        <v>2025</v>
      </c>
      <c r="B2455" s="2">
        <v>12</v>
      </c>
      <c r="C2455" s="2" t="s">
        <v>480</v>
      </c>
      <c r="D2455" s="2" t="s">
        <v>109</v>
      </c>
      <c r="E2455" s="2" t="s">
        <v>481</v>
      </c>
      <c r="F2455" s="2">
        <v>500864365</v>
      </c>
      <c r="G2455" s="2" t="s">
        <v>41</v>
      </c>
      <c r="H2455" s="2" t="s">
        <v>482</v>
      </c>
      <c r="I2455" s="2" t="s">
        <v>483</v>
      </c>
      <c r="K2455" s="2" t="s">
        <v>484</v>
      </c>
      <c r="L2455" s="2" t="s">
        <v>41</v>
      </c>
      <c r="O2455" s="2" t="s">
        <v>170</v>
      </c>
      <c r="P2455" s="2" t="s">
        <v>171</v>
      </c>
      <c r="Q2455" s="2" t="s">
        <v>171</v>
      </c>
      <c r="R2455" s="2">
        <v>1</v>
      </c>
      <c r="S2455" s="2">
        <v>25</v>
      </c>
      <c r="T2455" s="2">
        <v>5.75</v>
      </c>
      <c r="U2455" s="2">
        <v>30.75</v>
      </c>
      <c r="W2455" s="5">
        <f t="shared" si="241"/>
        <v>1</v>
      </c>
      <c r="Y2455" s="2" t="s">
        <v>170</v>
      </c>
      <c r="Z2455" s="2" t="s">
        <v>170</v>
      </c>
      <c r="AE2455" s="2">
        <f t="shared" si="238"/>
        <v>0</v>
      </c>
      <c r="AI2455" s="2">
        <f t="shared" si="239"/>
        <v>0</v>
      </c>
      <c r="AJ2455" s="2">
        <f t="shared" si="240"/>
        <v>25</v>
      </c>
      <c r="AK2455" s="5">
        <f t="shared" si="236"/>
        <v>1</v>
      </c>
    </row>
    <row r="2456" spans="1:37" x14ac:dyDescent="0.2">
      <c r="A2456" s="2">
        <v>2025</v>
      </c>
      <c r="B2456" s="2">
        <v>12</v>
      </c>
      <c r="C2456" s="2" t="s">
        <v>480</v>
      </c>
      <c r="D2456" s="2" t="s">
        <v>109</v>
      </c>
      <c r="E2456" s="2" t="s">
        <v>481</v>
      </c>
      <c r="F2456" s="2">
        <v>500864365</v>
      </c>
      <c r="G2456" s="2" t="s">
        <v>41</v>
      </c>
      <c r="H2456" s="2" t="s">
        <v>482</v>
      </c>
      <c r="I2456" s="2" t="s">
        <v>483</v>
      </c>
      <c r="K2456" s="2" t="s">
        <v>484</v>
      </c>
      <c r="O2456" s="2" t="s">
        <v>94</v>
      </c>
      <c r="P2456" s="2" t="s">
        <v>95</v>
      </c>
      <c r="Q2456" s="2" t="s">
        <v>96</v>
      </c>
      <c r="R2456" s="2">
        <v>1</v>
      </c>
      <c r="S2456" s="2">
        <v>1.1399999999999999</v>
      </c>
      <c r="T2456" s="2">
        <v>0.26219999999999999</v>
      </c>
      <c r="U2456" s="2">
        <v>1.4021999999999999</v>
      </c>
      <c r="V2456" s="2">
        <v>1.1399999999999999</v>
      </c>
      <c r="W2456" s="5">
        <f t="shared" si="241"/>
        <v>0</v>
      </c>
      <c r="Y2456" s="2" t="s">
        <v>3256</v>
      </c>
      <c r="Z2456" s="2" t="s">
        <v>97</v>
      </c>
      <c r="AA2456" s="2" t="s">
        <v>77</v>
      </c>
      <c r="AB2456" s="2" t="s">
        <v>94</v>
      </c>
      <c r="AE2456" s="2">
        <f t="shared" si="238"/>
        <v>0</v>
      </c>
      <c r="AI2456" s="2">
        <f t="shared" si="239"/>
        <v>0</v>
      </c>
      <c r="AJ2456" s="2">
        <f t="shared" si="240"/>
        <v>0</v>
      </c>
      <c r="AK2456" s="5">
        <f t="shared" si="236"/>
        <v>0</v>
      </c>
    </row>
    <row r="2457" spans="1:37" x14ac:dyDescent="0.2">
      <c r="A2457" s="2">
        <v>2025</v>
      </c>
      <c r="B2457" s="2">
        <v>12</v>
      </c>
      <c r="C2457" s="2" t="s">
        <v>492</v>
      </c>
      <c r="D2457" s="2" t="s">
        <v>38</v>
      </c>
      <c r="E2457" s="2" t="s">
        <v>39</v>
      </c>
      <c r="F2457" s="2">
        <v>507380312</v>
      </c>
      <c r="G2457" s="2" t="s">
        <v>40</v>
      </c>
      <c r="H2457" s="2" t="s">
        <v>493</v>
      </c>
      <c r="I2457" s="2" t="s">
        <v>494</v>
      </c>
      <c r="J2457" s="2">
        <v>912293443</v>
      </c>
      <c r="K2457" s="2" t="s">
        <v>100</v>
      </c>
      <c r="L2457" s="2" t="s">
        <v>40</v>
      </c>
      <c r="O2457" s="2" t="s">
        <v>40</v>
      </c>
      <c r="P2457" s="2" t="s">
        <v>495</v>
      </c>
      <c r="Q2457" s="2" t="s">
        <v>496</v>
      </c>
      <c r="R2457" s="2">
        <v>1</v>
      </c>
      <c r="S2457" s="2">
        <v>664.04</v>
      </c>
      <c r="T2457" s="2">
        <v>152.72919999999999</v>
      </c>
      <c r="U2457" s="2">
        <v>816.76919999999996</v>
      </c>
      <c r="W2457" s="5">
        <f t="shared" si="241"/>
        <v>1</v>
      </c>
      <c r="Y2457" s="2" t="s">
        <v>120</v>
      </c>
      <c r="AE2457" s="2">
        <f t="shared" si="238"/>
        <v>0</v>
      </c>
      <c r="AI2457" s="2">
        <f t="shared" si="239"/>
        <v>0</v>
      </c>
      <c r="AJ2457" s="2">
        <f t="shared" si="240"/>
        <v>664.04</v>
      </c>
      <c r="AK2457" s="5">
        <f t="shared" si="236"/>
        <v>1</v>
      </c>
    </row>
    <row r="2458" spans="1:37" x14ac:dyDescent="0.2">
      <c r="A2458" s="2">
        <v>2025</v>
      </c>
      <c r="B2458" s="2">
        <v>12</v>
      </c>
      <c r="C2458" s="2" t="s">
        <v>1266</v>
      </c>
      <c r="O2458" s="2" t="s">
        <v>115</v>
      </c>
      <c r="P2458" s="2" t="s">
        <v>933</v>
      </c>
      <c r="Q2458" s="2" t="s">
        <v>934</v>
      </c>
      <c r="R2458" s="2">
        <v>1</v>
      </c>
      <c r="S2458" s="2">
        <v>0</v>
      </c>
      <c r="T2458" s="2">
        <v>0</v>
      </c>
      <c r="U2458" s="2">
        <v>0</v>
      </c>
      <c r="W2458" s="5" t="e">
        <f t="shared" si="241"/>
        <v>#DIV/0!</v>
      </c>
      <c r="AE2458" s="2">
        <f t="shared" si="238"/>
        <v>0</v>
      </c>
      <c r="AI2458" s="2">
        <f t="shared" si="239"/>
        <v>0</v>
      </c>
      <c r="AJ2458" s="2">
        <f t="shared" si="240"/>
        <v>0</v>
      </c>
      <c r="AK2458" s="5" t="e">
        <f t="shared" si="236"/>
        <v>#DIV/0!</v>
      </c>
    </row>
    <row r="2459" spans="1:37" x14ac:dyDescent="0.2">
      <c r="A2459" s="2">
        <v>2025</v>
      </c>
      <c r="B2459" s="2">
        <v>12</v>
      </c>
      <c r="C2459" s="2" t="s">
        <v>1266</v>
      </c>
      <c r="O2459" s="2" t="s">
        <v>115</v>
      </c>
      <c r="P2459" s="2" t="s">
        <v>2169</v>
      </c>
      <c r="Q2459" s="2" t="s">
        <v>2170</v>
      </c>
      <c r="R2459" s="2">
        <v>1</v>
      </c>
      <c r="S2459" s="2">
        <v>8500</v>
      </c>
      <c r="T2459" s="2">
        <v>1955</v>
      </c>
      <c r="U2459" s="2">
        <v>10455</v>
      </c>
      <c r="W2459" s="5">
        <f t="shared" si="241"/>
        <v>1</v>
      </c>
      <c r="Y2459" s="2" t="s">
        <v>105</v>
      </c>
      <c r="AE2459" s="2">
        <f t="shared" si="238"/>
        <v>0</v>
      </c>
      <c r="AI2459" s="2">
        <f t="shared" si="239"/>
        <v>0</v>
      </c>
      <c r="AJ2459" s="2">
        <f t="shared" si="240"/>
        <v>8500</v>
      </c>
      <c r="AK2459" s="5">
        <f t="shared" si="236"/>
        <v>1</v>
      </c>
    </row>
    <row r="2460" spans="1:37" x14ac:dyDescent="0.2">
      <c r="A2460" s="2">
        <v>2025</v>
      </c>
      <c r="B2460" s="2">
        <v>12</v>
      </c>
      <c r="C2460" s="2" t="s">
        <v>1267</v>
      </c>
      <c r="O2460" s="2" t="s">
        <v>115</v>
      </c>
      <c r="P2460" s="2" t="s">
        <v>416</v>
      </c>
      <c r="Q2460" s="2" t="s">
        <v>417</v>
      </c>
      <c r="R2460" s="2">
        <v>1</v>
      </c>
      <c r="S2460" s="2">
        <v>14990</v>
      </c>
      <c r="T2460" s="2">
        <v>3447.7</v>
      </c>
      <c r="U2460" s="2">
        <v>18437.7</v>
      </c>
      <c r="V2460" s="2">
        <v>10669.4</v>
      </c>
      <c r="W2460" s="5">
        <f t="shared" si="241"/>
        <v>0.28823215476984659</v>
      </c>
      <c r="Y2460" s="2" t="s">
        <v>105</v>
      </c>
      <c r="Z2460" s="2" t="s">
        <v>418</v>
      </c>
      <c r="AA2460" s="2" t="s">
        <v>152</v>
      </c>
      <c r="AB2460" s="2" t="s">
        <v>115</v>
      </c>
      <c r="AE2460" s="2">
        <f t="shared" si="238"/>
        <v>0</v>
      </c>
      <c r="AI2460" s="2">
        <f t="shared" si="239"/>
        <v>0</v>
      </c>
      <c r="AJ2460" s="2">
        <f t="shared" si="240"/>
        <v>4320.6000000000004</v>
      </c>
      <c r="AK2460" s="5">
        <f t="shared" si="236"/>
        <v>0.28823215476984659</v>
      </c>
    </row>
    <row r="2461" spans="1:37" x14ac:dyDescent="0.2">
      <c r="A2461" s="2">
        <v>2025</v>
      </c>
      <c r="B2461" s="2">
        <v>12</v>
      </c>
      <c r="C2461" s="2" t="s">
        <v>1058</v>
      </c>
      <c r="D2461" s="2" t="s">
        <v>109</v>
      </c>
      <c r="E2461" s="2" t="s">
        <v>535</v>
      </c>
      <c r="F2461" s="2">
        <v>504586351</v>
      </c>
      <c r="G2461" s="2" t="s">
        <v>291</v>
      </c>
      <c r="H2461" s="2" t="s">
        <v>1059</v>
      </c>
      <c r="I2461" s="2" t="s">
        <v>1060</v>
      </c>
      <c r="K2461" s="2" t="s">
        <v>340</v>
      </c>
      <c r="L2461" s="2" t="s">
        <v>40</v>
      </c>
      <c r="N2461" s="2" t="s">
        <v>2171</v>
      </c>
      <c r="O2461" s="2" t="s">
        <v>188</v>
      </c>
      <c r="P2461" s="2" t="s">
        <v>189</v>
      </c>
      <c r="Q2461" s="2" t="s">
        <v>190</v>
      </c>
      <c r="R2461" s="2">
        <v>1</v>
      </c>
      <c r="S2461" s="2">
        <v>50</v>
      </c>
      <c r="T2461" s="2">
        <v>11.5</v>
      </c>
      <c r="U2461" s="2">
        <v>61.5</v>
      </c>
      <c r="W2461" s="5">
        <f t="shared" si="241"/>
        <v>1</v>
      </c>
      <c r="Y2461" s="2" t="s">
        <v>118</v>
      </c>
      <c r="Z2461" s="2" t="s">
        <v>191</v>
      </c>
      <c r="AE2461" s="2">
        <f t="shared" si="238"/>
        <v>0</v>
      </c>
      <c r="AI2461" s="2">
        <f t="shared" si="239"/>
        <v>0</v>
      </c>
      <c r="AJ2461" s="2">
        <f t="shared" si="240"/>
        <v>50</v>
      </c>
      <c r="AK2461" s="5">
        <f t="shared" si="236"/>
        <v>1</v>
      </c>
    </row>
    <row r="2462" spans="1:37" x14ac:dyDescent="0.2">
      <c r="A2462" s="2">
        <v>2025</v>
      </c>
      <c r="B2462" s="2">
        <v>12</v>
      </c>
      <c r="C2462" s="2" t="s">
        <v>1058</v>
      </c>
      <c r="D2462" s="2" t="s">
        <v>109</v>
      </c>
      <c r="E2462" s="2" t="s">
        <v>535</v>
      </c>
      <c r="F2462" s="2">
        <v>504586351</v>
      </c>
      <c r="G2462" s="2" t="s">
        <v>291</v>
      </c>
      <c r="H2462" s="2" t="s">
        <v>1059</v>
      </c>
      <c r="I2462" s="2" t="s">
        <v>1060</v>
      </c>
      <c r="K2462" s="2" t="s">
        <v>340</v>
      </c>
      <c r="L2462" s="2" t="s">
        <v>40</v>
      </c>
      <c r="N2462" s="2" t="s">
        <v>2171</v>
      </c>
      <c r="O2462" s="2" t="s">
        <v>188</v>
      </c>
      <c r="P2462" s="2" t="s">
        <v>192</v>
      </c>
      <c r="Q2462" s="2" t="s">
        <v>191</v>
      </c>
      <c r="R2462" s="2">
        <v>1</v>
      </c>
      <c r="S2462" s="2">
        <v>50</v>
      </c>
      <c r="T2462" s="2">
        <v>11.5</v>
      </c>
      <c r="U2462" s="2">
        <v>61.5</v>
      </c>
      <c r="V2462" s="2">
        <f>S2462*50%</f>
        <v>25</v>
      </c>
      <c r="W2462" s="5">
        <f t="shared" si="241"/>
        <v>0.5</v>
      </c>
      <c r="Y2462" s="2" t="s">
        <v>118</v>
      </c>
      <c r="Z2462" s="2" t="s">
        <v>191</v>
      </c>
      <c r="AE2462" s="2">
        <f t="shared" si="238"/>
        <v>0</v>
      </c>
      <c r="AI2462" s="2">
        <f t="shared" si="239"/>
        <v>0</v>
      </c>
      <c r="AJ2462" s="2">
        <f t="shared" si="240"/>
        <v>25</v>
      </c>
      <c r="AK2462" s="5">
        <f t="shared" si="236"/>
        <v>0.5</v>
      </c>
    </row>
    <row r="2463" spans="1:37" x14ac:dyDescent="0.2">
      <c r="A2463" s="2">
        <v>2025</v>
      </c>
      <c r="B2463" s="2">
        <v>12</v>
      </c>
      <c r="C2463" s="2" t="s">
        <v>1058</v>
      </c>
      <c r="D2463" s="2" t="s">
        <v>109</v>
      </c>
      <c r="E2463" s="2" t="s">
        <v>535</v>
      </c>
      <c r="F2463" s="2">
        <v>504586351</v>
      </c>
      <c r="G2463" s="2" t="s">
        <v>291</v>
      </c>
      <c r="H2463" s="2" t="s">
        <v>1059</v>
      </c>
      <c r="I2463" s="2" t="s">
        <v>1060</v>
      </c>
      <c r="K2463" s="2" t="s">
        <v>340</v>
      </c>
      <c r="L2463" s="2" t="s">
        <v>40</v>
      </c>
      <c r="N2463" s="2" t="s">
        <v>2171</v>
      </c>
      <c r="O2463" s="2" t="s">
        <v>40</v>
      </c>
      <c r="P2463" s="2" t="s">
        <v>364</v>
      </c>
      <c r="Q2463" s="2" t="s">
        <v>365</v>
      </c>
      <c r="R2463" s="2">
        <v>1</v>
      </c>
      <c r="S2463" s="2">
        <v>699.3</v>
      </c>
      <c r="T2463" s="2">
        <v>160.839</v>
      </c>
      <c r="U2463" s="2">
        <v>860.1389999999999</v>
      </c>
      <c r="W2463" s="5">
        <f t="shared" si="241"/>
        <v>1</v>
      </c>
      <c r="Y2463" s="2" t="s">
        <v>118</v>
      </c>
      <c r="Z2463" s="2" t="s">
        <v>182</v>
      </c>
      <c r="AE2463" s="2">
        <f t="shared" si="238"/>
        <v>0</v>
      </c>
      <c r="AI2463" s="2">
        <f t="shared" si="239"/>
        <v>0</v>
      </c>
      <c r="AJ2463" s="2">
        <f t="shared" si="240"/>
        <v>699.3</v>
      </c>
      <c r="AK2463" s="5">
        <f t="shared" si="236"/>
        <v>1</v>
      </c>
    </row>
    <row r="2464" spans="1:37" x14ac:dyDescent="0.2">
      <c r="A2464" s="2">
        <v>2025</v>
      </c>
      <c r="B2464" s="2">
        <v>12</v>
      </c>
      <c r="C2464" s="2" t="s">
        <v>2172</v>
      </c>
      <c r="O2464" s="2" t="s">
        <v>115</v>
      </c>
      <c r="P2464" s="2" t="s">
        <v>911</v>
      </c>
      <c r="Q2464" s="2" t="s">
        <v>912</v>
      </c>
      <c r="R2464" s="2">
        <v>1</v>
      </c>
      <c r="S2464" s="2">
        <v>599.4</v>
      </c>
      <c r="T2464" s="2">
        <v>137.86199999999999</v>
      </c>
      <c r="U2464" s="2">
        <v>737.26199999999994</v>
      </c>
      <c r="W2464" s="5">
        <f t="shared" si="241"/>
        <v>1</v>
      </c>
      <c r="AE2464" s="2">
        <f t="shared" si="238"/>
        <v>0</v>
      </c>
      <c r="AI2464" s="2">
        <f t="shared" si="239"/>
        <v>0</v>
      </c>
      <c r="AJ2464" s="2">
        <f t="shared" si="240"/>
        <v>599.4</v>
      </c>
      <c r="AK2464" s="5">
        <f t="shared" si="236"/>
        <v>1</v>
      </c>
    </row>
    <row r="2465" spans="1:37" x14ac:dyDescent="0.2">
      <c r="A2465" s="2">
        <v>2025</v>
      </c>
      <c r="B2465" s="2">
        <v>12</v>
      </c>
      <c r="C2465" s="2" t="s">
        <v>2172</v>
      </c>
      <c r="L2465" s="2" t="s">
        <v>40</v>
      </c>
      <c r="O2465" s="2" t="s">
        <v>188</v>
      </c>
      <c r="P2465" s="2" t="s">
        <v>189</v>
      </c>
      <c r="Q2465" s="2" t="s">
        <v>190</v>
      </c>
      <c r="R2465" s="2">
        <v>1</v>
      </c>
      <c r="S2465" s="2">
        <v>67</v>
      </c>
      <c r="T2465" s="2">
        <v>15.41</v>
      </c>
      <c r="U2465" s="2">
        <v>82.41</v>
      </c>
      <c r="W2465" s="5">
        <f t="shared" si="241"/>
        <v>1</v>
      </c>
      <c r="Y2465" s="2" t="s">
        <v>118</v>
      </c>
      <c r="Z2465" s="2" t="s">
        <v>191</v>
      </c>
      <c r="AE2465" s="2">
        <f t="shared" si="238"/>
        <v>0</v>
      </c>
      <c r="AI2465" s="2">
        <f t="shared" si="239"/>
        <v>0</v>
      </c>
      <c r="AJ2465" s="2">
        <f t="shared" si="240"/>
        <v>67</v>
      </c>
      <c r="AK2465" s="5">
        <f t="shared" si="236"/>
        <v>1</v>
      </c>
    </row>
    <row r="2466" spans="1:37" x14ac:dyDescent="0.2">
      <c r="A2466" s="2">
        <v>2025</v>
      </c>
      <c r="B2466" s="2">
        <v>12</v>
      </c>
      <c r="C2466" s="2" t="s">
        <v>2172</v>
      </c>
      <c r="L2466" s="2" t="s">
        <v>40</v>
      </c>
      <c r="O2466" s="2" t="s">
        <v>188</v>
      </c>
      <c r="P2466" s="2" t="s">
        <v>192</v>
      </c>
      <c r="Q2466" s="2" t="s">
        <v>191</v>
      </c>
      <c r="R2466" s="2">
        <v>1</v>
      </c>
      <c r="S2466" s="2">
        <v>50</v>
      </c>
      <c r="T2466" s="2">
        <v>11.5</v>
      </c>
      <c r="U2466" s="2">
        <v>61.5</v>
      </c>
      <c r="V2466" s="2">
        <f>S2466*50%</f>
        <v>25</v>
      </c>
      <c r="W2466" s="5">
        <f t="shared" si="241"/>
        <v>0.5</v>
      </c>
      <c r="Y2466" s="2" t="s">
        <v>118</v>
      </c>
      <c r="Z2466" s="2" t="s">
        <v>191</v>
      </c>
      <c r="AE2466" s="2">
        <f t="shared" si="238"/>
        <v>0</v>
      </c>
      <c r="AI2466" s="2">
        <f t="shared" si="239"/>
        <v>0</v>
      </c>
      <c r="AJ2466" s="2">
        <f t="shared" si="240"/>
        <v>25</v>
      </c>
      <c r="AK2466" s="5">
        <f t="shared" si="236"/>
        <v>0.5</v>
      </c>
    </row>
    <row r="2467" spans="1:37" x14ac:dyDescent="0.2">
      <c r="A2467" s="2">
        <v>2025</v>
      </c>
      <c r="B2467" s="2">
        <v>12</v>
      </c>
      <c r="C2467" s="2" t="s">
        <v>860</v>
      </c>
      <c r="D2467" s="2" t="s">
        <v>109</v>
      </c>
      <c r="E2467" s="2" t="s">
        <v>39</v>
      </c>
      <c r="F2467" s="2">
        <v>505128128</v>
      </c>
      <c r="G2467" s="2" t="s">
        <v>41</v>
      </c>
      <c r="H2467" s="2" t="s">
        <v>861</v>
      </c>
      <c r="I2467" s="2" t="s">
        <v>862</v>
      </c>
      <c r="J2467" s="2">
        <v>917665950</v>
      </c>
      <c r="K2467" s="2" t="s">
        <v>100</v>
      </c>
      <c r="L2467" s="2" t="s">
        <v>41</v>
      </c>
      <c r="N2467" s="2" t="s">
        <v>2173</v>
      </c>
      <c r="O2467" s="2" t="s">
        <v>43</v>
      </c>
      <c r="P2467" s="2" t="s">
        <v>49</v>
      </c>
      <c r="Q2467" s="2" t="s">
        <v>50</v>
      </c>
      <c r="R2467" s="2">
        <v>2</v>
      </c>
      <c r="S2467" s="2">
        <v>24</v>
      </c>
      <c r="T2467" s="2">
        <v>5.52</v>
      </c>
      <c r="U2467" s="2">
        <v>29.52</v>
      </c>
      <c r="V2467" s="2">
        <f>6.6267*R2467</f>
        <v>13.253399999999999</v>
      </c>
      <c r="W2467" s="5">
        <f t="shared" si="241"/>
        <v>0.44777500000000003</v>
      </c>
      <c r="Y2467" s="2" t="s">
        <v>3256</v>
      </c>
      <c r="Z2467" s="2" t="s">
        <v>46</v>
      </c>
      <c r="AA2467" s="2" t="s">
        <v>47</v>
      </c>
      <c r="AB2467" s="2" t="s">
        <v>48</v>
      </c>
      <c r="AE2467" s="2">
        <f t="shared" si="238"/>
        <v>0</v>
      </c>
      <c r="AF2467" s="2">
        <v>6.6266999999999996</v>
      </c>
      <c r="AG2467" s="2">
        <v>12</v>
      </c>
      <c r="AI2467" s="2">
        <f t="shared" si="239"/>
        <v>0</v>
      </c>
      <c r="AJ2467" s="2">
        <f t="shared" si="240"/>
        <v>10.746600000000001</v>
      </c>
      <c r="AK2467" s="5">
        <f t="shared" si="236"/>
        <v>0.44777500000000003</v>
      </c>
    </row>
    <row r="2468" spans="1:37" x14ac:dyDescent="0.2">
      <c r="A2468" s="2">
        <v>2025</v>
      </c>
      <c r="B2468" s="2">
        <v>12</v>
      </c>
      <c r="C2468" s="2" t="s">
        <v>860</v>
      </c>
      <c r="D2468" s="2" t="s">
        <v>109</v>
      </c>
      <c r="E2468" s="2" t="s">
        <v>39</v>
      </c>
      <c r="F2468" s="2">
        <v>505128128</v>
      </c>
      <c r="G2468" s="2" t="s">
        <v>41</v>
      </c>
      <c r="H2468" s="2" t="s">
        <v>861</v>
      </c>
      <c r="I2468" s="2" t="s">
        <v>862</v>
      </c>
      <c r="J2468" s="2">
        <v>917665950</v>
      </c>
      <c r="K2468" s="2" t="s">
        <v>100</v>
      </c>
      <c r="L2468" s="2" t="s">
        <v>41</v>
      </c>
      <c r="N2468" s="2" t="s">
        <v>2173</v>
      </c>
      <c r="O2468" s="2" t="s">
        <v>43</v>
      </c>
      <c r="P2468" s="2" t="s">
        <v>866</v>
      </c>
      <c r="Q2468" s="2" t="s">
        <v>867</v>
      </c>
      <c r="R2468" s="2">
        <v>1</v>
      </c>
      <c r="S2468" s="2">
        <v>19.2</v>
      </c>
      <c r="T2468" s="2">
        <v>4.4160000000000004</v>
      </c>
      <c r="U2468" s="2">
        <v>23.616</v>
      </c>
      <c r="W2468" s="5">
        <f t="shared" si="241"/>
        <v>1</v>
      </c>
      <c r="Y2468" s="2" t="s">
        <v>3256</v>
      </c>
      <c r="Z2468" s="2" t="s">
        <v>46</v>
      </c>
      <c r="AA2468" s="2" t="s">
        <v>47</v>
      </c>
      <c r="AB2468" s="2" t="s">
        <v>48</v>
      </c>
      <c r="AE2468" s="2">
        <f t="shared" si="238"/>
        <v>0</v>
      </c>
      <c r="AI2468" s="2">
        <f t="shared" si="239"/>
        <v>0</v>
      </c>
      <c r="AJ2468" s="2">
        <f t="shared" si="240"/>
        <v>19.2</v>
      </c>
      <c r="AK2468" s="5">
        <f t="shared" si="236"/>
        <v>1</v>
      </c>
    </row>
    <row r="2469" spans="1:37" x14ac:dyDescent="0.2">
      <c r="A2469" s="2">
        <v>2025</v>
      </c>
      <c r="B2469" s="2">
        <v>12</v>
      </c>
      <c r="C2469" s="2" t="s">
        <v>860</v>
      </c>
      <c r="D2469" s="2" t="s">
        <v>109</v>
      </c>
      <c r="E2469" s="2" t="s">
        <v>39</v>
      </c>
      <c r="F2469" s="2">
        <v>505128128</v>
      </c>
      <c r="G2469" s="2" t="s">
        <v>41</v>
      </c>
      <c r="H2469" s="2" t="s">
        <v>861</v>
      </c>
      <c r="I2469" s="2" t="s">
        <v>862</v>
      </c>
      <c r="J2469" s="2">
        <v>917665950</v>
      </c>
      <c r="K2469" s="2" t="s">
        <v>100</v>
      </c>
      <c r="L2469" s="2" t="s">
        <v>41</v>
      </c>
      <c r="N2469" s="2" t="s">
        <v>2173</v>
      </c>
      <c r="O2469" s="2" t="s">
        <v>43</v>
      </c>
      <c r="P2469" s="2" t="s">
        <v>223</v>
      </c>
      <c r="Q2469" s="2" t="s">
        <v>224</v>
      </c>
      <c r="R2469" s="2">
        <v>1</v>
      </c>
      <c r="S2469" s="2">
        <v>27</v>
      </c>
      <c r="T2469" s="2">
        <v>6.21</v>
      </c>
      <c r="U2469" s="2">
        <v>33.21</v>
      </c>
      <c r="W2469" s="5">
        <f t="shared" si="241"/>
        <v>1</v>
      </c>
      <c r="Y2469" s="2" t="s">
        <v>3256</v>
      </c>
      <c r="Z2469" s="2" t="s">
        <v>46</v>
      </c>
      <c r="AA2469" s="2" t="s">
        <v>57</v>
      </c>
      <c r="AB2469" s="2" t="s">
        <v>58</v>
      </c>
      <c r="AE2469" s="2">
        <f t="shared" si="238"/>
        <v>0</v>
      </c>
      <c r="AI2469" s="2">
        <f t="shared" si="239"/>
        <v>0</v>
      </c>
      <c r="AJ2469" s="2">
        <f t="shared" si="240"/>
        <v>27</v>
      </c>
      <c r="AK2469" s="5">
        <f t="shared" si="236"/>
        <v>1</v>
      </c>
    </row>
    <row r="2470" spans="1:37" x14ac:dyDescent="0.2">
      <c r="A2470" s="2">
        <v>2025</v>
      </c>
      <c r="B2470" s="2">
        <v>12</v>
      </c>
      <c r="C2470" s="2" t="s">
        <v>860</v>
      </c>
      <c r="D2470" s="2" t="s">
        <v>109</v>
      </c>
      <c r="E2470" s="2" t="s">
        <v>39</v>
      </c>
      <c r="F2470" s="2">
        <v>505128128</v>
      </c>
      <c r="G2470" s="2" t="s">
        <v>41</v>
      </c>
      <c r="H2470" s="2" t="s">
        <v>861</v>
      </c>
      <c r="I2470" s="2" t="s">
        <v>862</v>
      </c>
      <c r="J2470" s="2">
        <v>917665950</v>
      </c>
      <c r="K2470" s="2" t="s">
        <v>100</v>
      </c>
      <c r="L2470" s="2" t="s">
        <v>41</v>
      </c>
      <c r="N2470" s="2" t="s">
        <v>2173</v>
      </c>
      <c r="O2470" s="2" t="s">
        <v>43</v>
      </c>
      <c r="P2470" s="2" t="s">
        <v>233</v>
      </c>
      <c r="Q2470" s="2" t="s">
        <v>234</v>
      </c>
      <c r="R2470" s="2">
        <v>1</v>
      </c>
      <c r="S2470" s="2">
        <v>12</v>
      </c>
      <c r="T2470" s="2">
        <v>2.76</v>
      </c>
      <c r="U2470" s="2">
        <v>14.76</v>
      </c>
      <c r="V2470" s="2">
        <v>5.9066999999999998</v>
      </c>
      <c r="W2470" s="5">
        <f t="shared" si="241"/>
        <v>0.50777499999999998</v>
      </c>
      <c r="Y2470" s="2" t="s">
        <v>3256</v>
      </c>
      <c r="Z2470" s="2" t="s">
        <v>46</v>
      </c>
      <c r="AA2470" s="2" t="s">
        <v>57</v>
      </c>
      <c r="AB2470" s="2" t="s">
        <v>58</v>
      </c>
      <c r="AE2470" s="2">
        <f t="shared" si="238"/>
        <v>0</v>
      </c>
      <c r="AF2470" s="2">
        <v>5.9066999999999998</v>
      </c>
      <c r="AG2470" s="2">
        <v>12.6</v>
      </c>
      <c r="AI2470" s="2">
        <f t="shared" si="239"/>
        <v>0</v>
      </c>
      <c r="AJ2470" s="2">
        <f t="shared" si="240"/>
        <v>6.0933000000000002</v>
      </c>
      <c r="AK2470" s="5">
        <f t="shared" si="236"/>
        <v>0.50777499999999998</v>
      </c>
    </row>
    <row r="2471" spans="1:37" x14ac:dyDescent="0.2">
      <c r="A2471" s="2">
        <v>2025</v>
      </c>
      <c r="B2471" s="2">
        <v>12</v>
      </c>
      <c r="C2471" s="2" t="s">
        <v>860</v>
      </c>
      <c r="D2471" s="2" t="s">
        <v>109</v>
      </c>
      <c r="E2471" s="2" t="s">
        <v>39</v>
      </c>
      <c r="F2471" s="2">
        <v>505128128</v>
      </c>
      <c r="G2471" s="2" t="s">
        <v>41</v>
      </c>
      <c r="H2471" s="2" t="s">
        <v>861</v>
      </c>
      <c r="I2471" s="2" t="s">
        <v>862</v>
      </c>
      <c r="J2471" s="2">
        <v>917665950</v>
      </c>
      <c r="K2471" s="2" t="s">
        <v>100</v>
      </c>
      <c r="L2471" s="2" t="s">
        <v>41</v>
      </c>
      <c r="N2471" s="2" t="s">
        <v>2173</v>
      </c>
      <c r="O2471" s="2" t="s">
        <v>43</v>
      </c>
      <c r="P2471" s="2" t="s">
        <v>235</v>
      </c>
      <c r="Q2471" s="2" t="s">
        <v>236</v>
      </c>
      <c r="R2471" s="2">
        <v>1</v>
      </c>
      <c r="S2471" s="2">
        <v>13.2</v>
      </c>
      <c r="T2471" s="2">
        <v>3.036</v>
      </c>
      <c r="U2471" s="2">
        <v>16.236000000000001</v>
      </c>
      <c r="V2471" s="2">
        <v>7.2217000000000002</v>
      </c>
      <c r="W2471" s="5">
        <f t="shared" si="241"/>
        <v>0.45290151515151511</v>
      </c>
      <c r="Y2471" s="2" t="s">
        <v>3256</v>
      </c>
      <c r="Z2471" s="2" t="s">
        <v>46</v>
      </c>
      <c r="AA2471" s="2" t="s">
        <v>57</v>
      </c>
      <c r="AB2471" s="2" t="s">
        <v>58</v>
      </c>
      <c r="AE2471" s="2">
        <f t="shared" si="238"/>
        <v>0</v>
      </c>
      <c r="AF2471" s="2">
        <v>7.2217000000000002</v>
      </c>
      <c r="AG2471" s="2">
        <v>14.4</v>
      </c>
      <c r="AI2471" s="2">
        <f t="shared" si="239"/>
        <v>0</v>
      </c>
      <c r="AJ2471" s="2">
        <f t="shared" si="240"/>
        <v>5.9782999999999991</v>
      </c>
      <c r="AK2471" s="5">
        <f t="shared" si="236"/>
        <v>0.45290151515151511</v>
      </c>
    </row>
    <row r="2472" spans="1:37" x14ac:dyDescent="0.2">
      <c r="A2472" s="2">
        <v>2025</v>
      </c>
      <c r="B2472" s="2">
        <v>12</v>
      </c>
      <c r="C2472" s="2" t="s">
        <v>860</v>
      </c>
      <c r="D2472" s="2" t="s">
        <v>109</v>
      </c>
      <c r="E2472" s="2" t="s">
        <v>39</v>
      </c>
      <c r="F2472" s="2">
        <v>505128128</v>
      </c>
      <c r="G2472" s="2" t="s">
        <v>41</v>
      </c>
      <c r="H2472" s="2" t="s">
        <v>861</v>
      </c>
      <c r="I2472" s="2" t="s">
        <v>862</v>
      </c>
      <c r="J2472" s="2">
        <v>917665950</v>
      </c>
      <c r="K2472" s="2" t="s">
        <v>100</v>
      </c>
      <c r="L2472" s="2" t="s">
        <v>41</v>
      </c>
      <c r="N2472" s="2" t="s">
        <v>2173</v>
      </c>
      <c r="O2472" s="2" t="s">
        <v>43</v>
      </c>
      <c r="P2472" s="2" t="s">
        <v>241</v>
      </c>
      <c r="Q2472" s="2" t="s">
        <v>242</v>
      </c>
      <c r="R2472" s="2">
        <v>1</v>
      </c>
      <c r="S2472" s="2">
        <v>24</v>
      </c>
      <c r="T2472" s="2">
        <v>5.52</v>
      </c>
      <c r="U2472" s="2">
        <v>29.52</v>
      </c>
      <c r="W2472" s="5">
        <f t="shared" si="241"/>
        <v>1</v>
      </c>
      <c r="Y2472" s="2" t="s">
        <v>3256</v>
      </c>
      <c r="Z2472" s="2" t="s">
        <v>46</v>
      </c>
      <c r="AA2472" s="2" t="s">
        <v>57</v>
      </c>
      <c r="AB2472" s="2" t="s">
        <v>58</v>
      </c>
      <c r="AE2472" s="2">
        <f t="shared" si="238"/>
        <v>0</v>
      </c>
      <c r="AI2472" s="2">
        <f t="shared" si="239"/>
        <v>0</v>
      </c>
      <c r="AJ2472" s="2">
        <f t="shared" si="240"/>
        <v>24</v>
      </c>
      <c r="AK2472" s="5">
        <f t="shared" si="236"/>
        <v>1</v>
      </c>
    </row>
    <row r="2473" spans="1:37" x14ac:dyDescent="0.2">
      <c r="A2473" s="2">
        <v>2025</v>
      </c>
      <c r="B2473" s="2">
        <v>12</v>
      </c>
      <c r="C2473" s="2" t="s">
        <v>860</v>
      </c>
      <c r="D2473" s="2" t="s">
        <v>109</v>
      </c>
      <c r="E2473" s="2" t="s">
        <v>39</v>
      </c>
      <c r="F2473" s="2">
        <v>505128128</v>
      </c>
      <c r="G2473" s="2" t="s">
        <v>41</v>
      </c>
      <c r="H2473" s="2" t="s">
        <v>861</v>
      </c>
      <c r="I2473" s="2" t="s">
        <v>862</v>
      </c>
      <c r="J2473" s="2">
        <v>917665950</v>
      </c>
      <c r="K2473" s="2" t="s">
        <v>100</v>
      </c>
      <c r="L2473" s="2" t="s">
        <v>41</v>
      </c>
      <c r="N2473" s="2" t="s">
        <v>2173</v>
      </c>
      <c r="O2473" s="2" t="s">
        <v>43</v>
      </c>
      <c r="P2473" s="2" t="s">
        <v>55</v>
      </c>
      <c r="Q2473" s="2" t="s">
        <v>56</v>
      </c>
      <c r="R2473" s="2">
        <v>2</v>
      </c>
      <c r="S2473" s="2">
        <v>45.6</v>
      </c>
      <c r="T2473" s="2">
        <v>10.488</v>
      </c>
      <c r="U2473" s="2">
        <v>56.088000000000001</v>
      </c>
      <c r="V2473" s="2">
        <f>10.6*R2473</f>
        <v>21.2</v>
      </c>
      <c r="W2473" s="5">
        <f t="shared" si="241"/>
        <v>0.53508771929824561</v>
      </c>
      <c r="Y2473" s="2" t="s">
        <v>3256</v>
      </c>
      <c r="Z2473" s="2" t="s">
        <v>46</v>
      </c>
      <c r="AA2473" s="2" t="s">
        <v>57</v>
      </c>
      <c r="AB2473" s="2" t="s">
        <v>58</v>
      </c>
      <c r="AE2473" s="2">
        <f t="shared" si="238"/>
        <v>0</v>
      </c>
      <c r="AF2473" s="2">
        <v>10.6</v>
      </c>
      <c r="AG2473" s="2">
        <v>18</v>
      </c>
      <c r="AI2473" s="2">
        <f t="shared" si="239"/>
        <v>0</v>
      </c>
      <c r="AJ2473" s="2">
        <f t="shared" si="240"/>
        <v>24.400000000000002</v>
      </c>
      <c r="AK2473" s="5">
        <f t="shared" si="236"/>
        <v>0.53508771929824561</v>
      </c>
    </row>
    <row r="2474" spans="1:37" x14ac:dyDescent="0.2">
      <c r="A2474" s="2">
        <v>2025</v>
      </c>
      <c r="B2474" s="2">
        <v>12</v>
      </c>
      <c r="C2474" s="2" t="s">
        <v>2174</v>
      </c>
      <c r="O2474" s="2" t="s">
        <v>115</v>
      </c>
      <c r="P2474" s="2" t="s">
        <v>911</v>
      </c>
      <c r="Q2474" s="2" t="s">
        <v>912</v>
      </c>
      <c r="R2474" s="2">
        <v>1</v>
      </c>
      <c r="S2474" s="2">
        <v>699.3</v>
      </c>
      <c r="T2474" s="2">
        <v>160.839</v>
      </c>
      <c r="U2474" s="2">
        <v>860.1389999999999</v>
      </c>
      <c r="W2474" s="5">
        <f t="shared" si="241"/>
        <v>1</v>
      </c>
      <c r="AE2474" s="2">
        <f t="shared" si="238"/>
        <v>0</v>
      </c>
      <c r="AI2474" s="2">
        <f t="shared" si="239"/>
        <v>0</v>
      </c>
      <c r="AJ2474" s="2">
        <f t="shared" si="240"/>
        <v>699.3</v>
      </c>
      <c r="AK2474" s="5">
        <f t="shared" si="236"/>
        <v>1</v>
      </c>
    </row>
    <row r="2475" spans="1:37" x14ac:dyDescent="0.2">
      <c r="A2475" s="2">
        <v>2025</v>
      </c>
      <c r="B2475" s="2">
        <v>12</v>
      </c>
      <c r="C2475" s="2" t="s">
        <v>2174</v>
      </c>
      <c r="L2475" s="2" t="s">
        <v>40</v>
      </c>
      <c r="O2475" s="2" t="s">
        <v>188</v>
      </c>
      <c r="P2475" s="2" t="s">
        <v>189</v>
      </c>
      <c r="Q2475" s="2" t="s">
        <v>190</v>
      </c>
      <c r="R2475" s="2">
        <v>1</v>
      </c>
      <c r="S2475" s="2">
        <v>115</v>
      </c>
      <c r="T2475" s="2">
        <v>26.45</v>
      </c>
      <c r="U2475" s="2">
        <v>141.44999999999999</v>
      </c>
      <c r="W2475" s="5">
        <f t="shared" si="241"/>
        <v>1</v>
      </c>
      <c r="Y2475" s="2" t="s">
        <v>118</v>
      </c>
      <c r="Z2475" s="2" t="s">
        <v>191</v>
      </c>
      <c r="AE2475" s="2">
        <f t="shared" si="238"/>
        <v>0</v>
      </c>
      <c r="AI2475" s="2">
        <f t="shared" si="239"/>
        <v>0</v>
      </c>
      <c r="AJ2475" s="2">
        <f t="shared" si="240"/>
        <v>115</v>
      </c>
      <c r="AK2475" s="5">
        <f t="shared" si="236"/>
        <v>1</v>
      </c>
    </row>
    <row r="2476" spans="1:37" x14ac:dyDescent="0.2">
      <c r="A2476" s="2">
        <v>2025</v>
      </c>
      <c r="B2476" s="2">
        <v>12</v>
      </c>
      <c r="C2476" s="2" t="s">
        <v>2174</v>
      </c>
      <c r="L2476" s="2" t="s">
        <v>40</v>
      </c>
      <c r="O2476" s="2" t="s">
        <v>188</v>
      </c>
      <c r="P2476" s="2" t="s">
        <v>192</v>
      </c>
      <c r="Q2476" s="2" t="s">
        <v>191</v>
      </c>
      <c r="R2476" s="2">
        <v>1</v>
      </c>
      <c r="S2476" s="2">
        <v>50</v>
      </c>
      <c r="T2476" s="2">
        <v>11.5</v>
      </c>
      <c r="U2476" s="2">
        <v>61.5</v>
      </c>
      <c r="V2476" s="2">
        <f>S2476*50%</f>
        <v>25</v>
      </c>
      <c r="W2476" s="5">
        <f t="shared" si="241"/>
        <v>0.5</v>
      </c>
      <c r="Y2476" s="2" t="s">
        <v>118</v>
      </c>
      <c r="Z2476" s="2" t="s">
        <v>191</v>
      </c>
      <c r="AE2476" s="2">
        <f t="shared" si="238"/>
        <v>0</v>
      </c>
      <c r="AI2476" s="2">
        <f t="shared" si="239"/>
        <v>0</v>
      </c>
      <c r="AJ2476" s="2">
        <f t="shared" si="240"/>
        <v>25</v>
      </c>
      <c r="AK2476" s="5">
        <f t="shared" si="236"/>
        <v>0.5</v>
      </c>
    </row>
    <row r="2477" spans="1:37" x14ac:dyDescent="0.2">
      <c r="A2477" s="2">
        <v>2025</v>
      </c>
      <c r="B2477" s="2">
        <v>12</v>
      </c>
      <c r="C2477" s="2" t="s">
        <v>1074</v>
      </c>
      <c r="O2477" s="2" t="s">
        <v>43</v>
      </c>
      <c r="P2477" s="2" t="s">
        <v>66</v>
      </c>
      <c r="Q2477" s="2" t="s">
        <v>67</v>
      </c>
      <c r="R2477" s="2">
        <v>10</v>
      </c>
      <c r="S2477" s="2">
        <v>215</v>
      </c>
      <c r="T2477" s="2">
        <v>49.45</v>
      </c>
      <c r="U2477" s="2">
        <v>264.45</v>
      </c>
      <c r="V2477" s="2">
        <f>15.0203*R2477</f>
        <v>150.203</v>
      </c>
      <c r="W2477" s="5">
        <f t="shared" si="241"/>
        <v>0.30138139534883718</v>
      </c>
      <c r="Y2477" s="2" t="s">
        <v>3256</v>
      </c>
      <c r="Z2477" s="2" t="s">
        <v>46</v>
      </c>
      <c r="AA2477" s="2" t="s">
        <v>68</v>
      </c>
      <c r="AB2477" s="2" t="s">
        <v>58</v>
      </c>
      <c r="AE2477" s="2">
        <f t="shared" si="238"/>
        <v>0</v>
      </c>
      <c r="AF2477" s="2">
        <v>15.020300000000001</v>
      </c>
      <c r="AG2477" s="2">
        <v>27.6</v>
      </c>
      <c r="AI2477" s="2">
        <f t="shared" si="239"/>
        <v>0</v>
      </c>
      <c r="AJ2477" s="2">
        <f t="shared" si="240"/>
        <v>64.796999999999997</v>
      </c>
      <c r="AK2477" s="5">
        <f t="shared" si="236"/>
        <v>0.30138139534883718</v>
      </c>
    </row>
    <row r="2478" spans="1:37" x14ac:dyDescent="0.2">
      <c r="A2478" s="2">
        <v>2025</v>
      </c>
      <c r="B2478" s="2">
        <v>12</v>
      </c>
      <c r="C2478" s="2" t="s">
        <v>512</v>
      </c>
      <c r="O2478" s="2" t="s">
        <v>43</v>
      </c>
      <c r="P2478" s="2" t="s">
        <v>55</v>
      </c>
      <c r="Q2478" s="2" t="s">
        <v>56</v>
      </c>
      <c r="R2478" s="2">
        <v>4</v>
      </c>
      <c r="S2478" s="2">
        <v>72</v>
      </c>
      <c r="T2478" s="2">
        <v>16.559999999999999</v>
      </c>
      <c r="U2478" s="2">
        <v>88.56</v>
      </c>
      <c r="V2478" s="2">
        <f>10.6*R2478</f>
        <v>42.4</v>
      </c>
      <c r="W2478" s="5">
        <f t="shared" si="241"/>
        <v>0.41111111111111115</v>
      </c>
      <c r="Y2478" s="2" t="s">
        <v>3256</v>
      </c>
      <c r="Z2478" s="2" t="s">
        <v>46</v>
      </c>
      <c r="AA2478" s="2" t="s">
        <v>57</v>
      </c>
      <c r="AB2478" s="2" t="s">
        <v>58</v>
      </c>
      <c r="AE2478" s="2">
        <f t="shared" si="238"/>
        <v>0</v>
      </c>
      <c r="AF2478" s="2">
        <v>10.6</v>
      </c>
      <c r="AG2478" s="2">
        <v>18</v>
      </c>
      <c r="AI2478" s="2">
        <f t="shared" si="239"/>
        <v>0</v>
      </c>
      <c r="AJ2478" s="2">
        <f t="shared" si="240"/>
        <v>29.6</v>
      </c>
      <c r="AK2478" s="5">
        <f t="shared" si="236"/>
        <v>0.41111111111111115</v>
      </c>
    </row>
    <row r="2479" spans="1:37" x14ac:dyDescent="0.2">
      <c r="A2479" s="2">
        <v>2025</v>
      </c>
      <c r="B2479" s="2">
        <v>12</v>
      </c>
      <c r="C2479" s="2" t="s">
        <v>512</v>
      </c>
      <c r="O2479" s="2" t="s">
        <v>43</v>
      </c>
      <c r="P2479" s="2" t="s">
        <v>62</v>
      </c>
      <c r="Q2479" s="2" t="s">
        <v>63</v>
      </c>
      <c r="R2479" s="2">
        <v>400</v>
      </c>
      <c r="S2479" s="2">
        <v>48</v>
      </c>
      <c r="T2479" s="2">
        <v>11.04</v>
      </c>
      <c r="U2479" s="2">
        <v>59.04</v>
      </c>
      <c r="V2479" s="2">
        <f>0.082*R2479</f>
        <v>32.800000000000004</v>
      </c>
      <c r="W2479" s="5">
        <f t="shared" si="241"/>
        <v>0.3166666666666666</v>
      </c>
      <c r="Y2479" s="2" t="s">
        <v>3256</v>
      </c>
      <c r="Z2479" s="2" t="s">
        <v>46</v>
      </c>
      <c r="AA2479" s="2" t="s">
        <v>61</v>
      </c>
      <c r="AB2479" s="2" t="s">
        <v>58</v>
      </c>
      <c r="AE2479" s="2">
        <f t="shared" si="238"/>
        <v>0</v>
      </c>
      <c r="AF2479" s="2">
        <v>8.1999999999999993</v>
      </c>
      <c r="AG2479" s="2">
        <v>13</v>
      </c>
      <c r="AI2479" s="2">
        <f t="shared" si="239"/>
        <v>0</v>
      </c>
      <c r="AJ2479" s="2">
        <f t="shared" si="240"/>
        <v>15.199999999999996</v>
      </c>
      <c r="AK2479" s="5">
        <f t="shared" si="236"/>
        <v>0.3166666666666666</v>
      </c>
    </row>
    <row r="2480" spans="1:37" x14ac:dyDescent="0.2">
      <c r="A2480" s="2">
        <v>2025</v>
      </c>
      <c r="B2480" s="2">
        <v>12</v>
      </c>
      <c r="C2480" s="2" t="s">
        <v>512</v>
      </c>
      <c r="O2480" s="2" t="s">
        <v>43</v>
      </c>
      <c r="P2480" s="2" t="s">
        <v>165</v>
      </c>
      <c r="Q2480" s="2" t="s">
        <v>166</v>
      </c>
      <c r="R2480" s="2">
        <v>2</v>
      </c>
      <c r="S2480" s="2">
        <v>29</v>
      </c>
      <c r="T2480" s="2">
        <v>6.67</v>
      </c>
      <c r="U2480" s="2">
        <v>35.67</v>
      </c>
      <c r="V2480" s="2">
        <f>7.9612*R2480</f>
        <v>15.9224</v>
      </c>
      <c r="W2480" s="5">
        <f t="shared" si="241"/>
        <v>0.45095172413793105</v>
      </c>
      <c r="Y2480" s="2" t="s">
        <v>3256</v>
      </c>
      <c r="Z2480" s="2" t="s">
        <v>46</v>
      </c>
      <c r="AA2480" s="2" t="s">
        <v>68</v>
      </c>
      <c r="AB2480" s="2" t="s">
        <v>58</v>
      </c>
      <c r="AE2480" s="2">
        <f t="shared" si="238"/>
        <v>0</v>
      </c>
      <c r="AF2480" s="2">
        <v>7.9611999999999998</v>
      </c>
      <c r="AG2480" s="2">
        <v>14.4</v>
      </c>
      <c r="AI2480" s="2">
        <f t="shared" si="239"/>
        <v>0</v>
      </c>
      <c r="AJ2480" s="2">
        <f t="shared" si="240"/>
        <v>13.0776</v>
      </c>
      <c r="AK2480" s="5">
        <f t="shared" si="236"/>
        <v>0.45095172413793105</v>
      </c>
    </row>
    <row r="2481" spans="1:37" x14ac:dyDescent="0.2">
      <c r="A2481" s="2">
        <v>2025</v>
      </c>
      <c r="B2481" s="2">
        <v>12</v>
      </c>
      <c r="C2481" s="2" t="s">
        <v>2175</v>
      </c>
      <c r="O2481" s="2" t="s">
        <v>115</v>
      </c>
      <c r="P2481" s="2" t="s">
        <v>2176</v>
      </c>
      <c r="Q2481" s="2" t="s">
        <v>2177</v>
      </c>
      <c r="R2481" s="2">
        <v>4</v>
      </c>
      <c r="S2481" s="2">
        <v>65.72</v>
      </c>
      <c r="T2481" s="2">
        <v>15.115600000000001</v>
      </c>
      <c r="U2481" s="2">
        <v>80.835599999999999</v>
      </c>
      <c r="W2481" s="5">
        <f t="shared" si="241"/>
        <v>1</v>
      </c>
      <c r="AE2481" s="2">
        <f t="shared" si="238"/>
        <v>0</v>
      </c>
      <c r="AI2481" s="2">
        <f t="shared" si="239"/>
        <v>0</v>
      </c>
      <c r="AJ2481" s="2">
        <f t="shared" si="240"/>
        <v>65.72</v>
      </c>
      <c r="AK2481" s="5">
        <f t="shared" si="236"/>
        <v>1</v>
      </c>
    </row>
    <row r="2482" spans="1:37" x14ac:dyDescent="0.2">
      <c r="A2482" s="2">
        <v>2025</v>
      </c>
      <c r="B2482" s="2">
        <v>12</v>
      </c>
      <c r="C2482" s="2" t="s">
        <v>2175</v>
      </c>
      <c r="O2482" s="2" t="s">
        <v>115</v>
      </c>
      <c r="P2482" s="2" t="s">
        <v>565</v>
      </c>
      <c r="Q2482" s="2" t="s">
        <v>566</v>
      </c>
      <c r="R2482" s="2">
        <v>2</v>
      </c>
      <c r="S2482" s="2">
        <v>28.57</v>
      </c>
      <c r="T2482" s="2">
        <v>6.5711000000000004</v>
      </c>
      <c r="U2482" s="2">
        <v>35.141100000000002</v>
      </c>
      <c r="W2482" s="5">
        <f t="shared" si="241"/>
        <v>1</v>
      </c>
      <c r="AE2482" s="2">
        <f t="shared" si="238"/>
        <v>0</v>
      </c>
      <c r="AI2482" s="2">
        <f t="shared" si="239"/>
        <v>0</v>
      </c>
      <c r="AJ2482" s="2">
        <f t="shared" si="240"/>
        <v>28.57</v>
      </c>
      <c r="AK2482" s="5">
        <f t="shared" si="236"/>
        <v>1</v>
      </c>
    </row>
    <row r="2483" spans="1:37" x14ac:dyDescent="0.2">
      <c r="A2483" s="2">
        <v>2025</v>
      </c>
      <c r="B2483" s="2">
        <v>12</v>
      </c>
      <c r="C2483" s="2" t="s">
        <v>1606</v>
      </c>
      <c r="L2483" s="2" t="s">
        <v>40</v>
      </c>
      <c r="O2483" s="2" t="s">
        <v>188</v>
      </c>
      <c r="P2483" s="2" t="s">
        <v>189</v>
      </c>
      <c r="Q2483" s="2" t="s">
        <v>190</v>
      </c>
      <c r="R2483" s="2">
        <v>1</v>
      </c>
      <c r="S2483" s="2">
        <v>184</v>
      </c>
      <c r="T2483" s="2">
        <v>42.32</v>
      </c>
      <c r="U2483" s="2">
        <v>226.32</v>
      </c>
      <c r="W2483" s="5">
        <f t="shared" si="241"/>
        <v>1</v>
      </c>
      <c r="Y2483" s="2" t="s">
        <v>118</v>
      </c>
      <c r="Z2483" s="2" t="s">
        <v>191</v>
      </c>
      <c r="AE2483" s="2">
        <f t="shared" si="238"/>
        <v>0</v>
      </c>
      <c r="AI2483" s="2">
        <f t="shared" si="239"/>
        <v>0</v>
      </c>
      <c r="AJ2483" s="2">
        <f t="shared" si="240"/>
        <v>184</v>
      </c>
      <c r="AK2483" s="5">
        <f t="shared" ref="AK2483:AK2513" si="242">(S2483-V2483)/S2483</f>
        <v>1</v>
      </c>
    </row>
    <row r="2484" spans="1:37" x14ac:dyDescent="0.2">
      <c r="A2484" s="2">
        <v>2025</v>
      </c>
      <c r="B2484" s="2">
        <v>12</v>
      </c>
      <c r="C2484" s="2" t="s">
        <v>1606</v>
      </c>
      <c r="L2484" s="2" t="s">
        <v>40</v>
      </c>
      <c r="O2484" s="2" t="s">
        <v>188</v>
      </c>
      <c r="P2484" s="2" t="s">
        <v>192</v>
      </c>
      <c r="Q2484" s="2" t="s">
        <v>191</v>
      </c>
      <c r="R2484" s="2">
        <v>1.25</v>
      </c>
      <c r="S2484" s="2">
        <v>62.5</v>
      </c>
      <c r="T2484" s="2">
        <v>14.375</v>
      </c>
      <c r="U2484" s="2">
        <v>76.875</v>
      </c>
      <c r="V2484" s="2">
        <f>S2484*50%</f>
        <v>31.25</v>
      </c>
      <c r="W2484" s="5">
        <f t="shared" si="241"/>
        <v>0.5</v>
      </c>
      <c r="Y2484" s="2" t="s">
        <v>118</v>
      </c>
      <c r="Z2484" s="2" t="s">
        <v>191</v>
      </c>
      <c r="AE2484" s="2">
        <f t="shared" si="238"/>
        <v>0</v>
      </c>
      <c r="AI2484" s="2">
        <f t="shared" si="239"/>
        <v>0</v>
      </c>
      <c r="AJ2484" s="2">
        <f t="shared" si="240"/>
        <v>31.25</v>
      </c>
      <c r="AK2484" s="5">
        <f t="shared" si="242"/>
        <v>0.5</v>
      </c>
    </row>
    <row r="2485" spans="1:37" x14ac:dyDescent="0.2">
      <c r="A2485" s="2">
        <v>2025</v>
      </c>
      <c r="B2485" s="2">
        <v>12</v>
      </c>
      <c r="C2485" s="2" t="s">
        <v>529</v>
      </c>
      <c r="D2485" s="2" t="s">
        <v>109</v>
      </c>
      <c r="E2485" s="2" t="s">
        <v>39</v>
      </c>
      <c r="F2485" s="2">
        <v>509391583</v>
      </c>
      <c r="G2485" s="2" t="s">
        <v>40</v>
      </c>
      <c r="H2485" s="2" t="s">
        <v>530</v>
      </c>
      <c r="I2485" s="2" t="s">
        <v>531</v>
      </c>
      <c r="K2485" s="2" t="s">
        <v>345</v>
      </c>
      <c r="O2485" s="2" t="s">
        <v>115</v>
      </c>
      <c r="P2485" s="2" t="s">
        <v>963</v>
      </c>
      <c r="Q2485" s="2" t="s">
        <v>964</v>
      </c>
      <c r="R2485" s="2">
        <v>1</v>
      </c>
      <c r="S2485" s="2">
        <v>9930</v>
      </c>
      <c r="T2485" s="2">
        <v>2283.9</v>
      </c>
      <c r="U2485" s="2">
        <v>12213.9</v>
      </c>
      <c r="V2485" s="2">
        <v>6468.73</v>
      </c>
      <c r="W2485" s="5">
        <f t="shared" si="241"/>
        <v>0.34856696878147031</v>
      </c>
      <c r="Y2485" s="2" t="s">
        <v>105</v>
      </c>
      <c r="Z2485" s="2" t="s">
        <v>621</v>
      </c>
      <c r="AA2485" s="2" t="s">
        <v>965</v>
      </c>
      <c r="AB2485" s="2" t="s">
        <v>115</v>
      </c>
      <c r="AE2485" s="2">
        <f t="shared" si="238"/>
        <v>0</v>
      </c>
      <c r="AF2485" s="2">
        <v>6468.73</v>
      </c>
      <c r="AI2485" s="2">
        <f t="shared" si="239"/>
        <v>0</v>
      </c>
      <c r="AJ2485" s="2">
        <f t="shared" si="240"/>
        <v>3461.2700000000004</v>
      </c>
      <c r="AK2485" s="5">
        <f t="shared" si="242"/>
        <v>0.34856696878147031</v>
      </c>
    </row>
    <row r="2486" spans="1:37" x14ac:dyDescent="0.2">
      <c r="A2486" s="2">
        <v>2025</v>
      </c>
      <c r="B2486" s="2">
        <v>12</v>
      </c>
      <c r="C2486" s="2" t="s">
        <v>534</v>
      </c>
      <c r="D2486" s="2" t="s">
        <v>109</v>
      </c>
      <c r="E2486" s="2" t="s">
        <v>535</v>
      </c>
      <c r="F2486" s="2">
        <v>502139552</v>
      </c>
      <c r="G2486" s="2" t="s">
        <v>40</v>
      </c>
      <c r="H2486" s="2" t="s">
        <v>340</v>
      </c>
      <c r="I2486" s="2" t="s">
        <v>536</v>
      </c>
      <c r="K2486" s="2" t="s">
        <v>340</v>
      </c>
      <c r="L2486" s="2" t="s">
        <v>81</v>
      </c>
      <c r="O2486" s="2" t="s">
        <v>73</v>
      </c>
      <c r="P2486" s="2" t="s">
        <v>74</v>
      </c>
      <c r="Q2486" s="2" t="s">
        <v>75</v>
      </c>
      <c r="R2486" s="2">
        <v>1</v>
      </c>
      <c r="S2486" s="2">
        <v>219.88</v>
      </c>
      <c r="T2486" s="2">
        <v>50.572400000000002</v>
      </c>
      <c r="U2486" s="2">
        <v>270.45240000000001</v>
      </c>
      <c r="V2486" s="2">
        <v>117.453</v>
      </c>
      <c r="W2486" s="5">
        <f t="shared" ref="W2486:W2513" si="243">(S2486-V2486)/S2486</f>
        <v>0.46583136256139712</v>
      </c>
      <c r="Y2486" s="2" t="s">
        <v>3256</v>
      </c>
      <c r="Z2486" s="2" t="s">
        <v>76</v>
      </c>
      <c r="AA2486" s="2" t="s">
        <v>77</v>
      </c>
      <c r="AB2486" s="2" t="s">
        <v>78</v>
      </c>
      <c r="AE2486" s="2">
        <f t="shared" si="238"/>
        <v>0</v>
      </c>
      <c r="AF2486" s="2">
        <v>117.453</v>
      </c>
      <c r="AG2486" s="2">
        <v>220</v>
      </c>
      <c r="AI2486" s="2">
        <f t="shared" si="239"/>
        <v>0</v>
      </c>
      <c r="AJ2486" s="2">
        <f t="shared" si="240"/>
        <v>102.42699999999999</v>
      </c>
      <c r="AK2486" s="5">
        <f t="shared" si="242"/>
        <v>0.46583136256139712</v>
      </c>
    </row>
    <row r="2487" spans="1:37" x14ac:dyDescent="0.2">
      <c r="A2487" s="2">
        <v>2025</v>
      </c>
      <c r="B2487" s="2">
        <v>12</v>
      </c>
      <c r="C2487" s="2" t="s">
        <v>534</v>
      </c>
      <c r="D2487" s="2" t="s">
        <v>109</v>
      </c>
      <c r="E2487" s="2" t="s">
        <v>535</v>
      </c>
      <c r="F2487" s="2">
        <v>502139552</v>
      </c>
      <c r="G2487" s="2" t="s">
        <v>40</v>
      </c>
      <c r="H2487" s="2" t="s">
        <v>340</v>
      </c>
      <c r="I2487" s="2" t="s">
        <v>536</v>
      </c>
      <c r="K2487" s="2" t="s">
        <v>340</v>
      </c>
      <c r="L2487" s="2" t="s">
        <v>81</v>
      </c>
      <c r="O2487" s="2" t="s">
        <v>73</v>
      </c>
      <c r="P2487" s="2" t="s">
        <v>1355</v>
      </c>
      <c r="Q2487" s="2" t="s">
        <v>80</v>
      </c>
      <c r="R2487" s="2">
        <v>1</v>
      </c>
      <c r="S2487" s="2">
        <v>209.76</v>
      </c>
      <c r="T2487" s="2">
        <v>48.244799999999998</v>
      </c>
      <c r="U2487" s="2">
        <v>258.00479999999999</v>
      </c>
      <c r="W2487" s="5">
        <f t="shared" si="243"/>
        <v>1</v>
      </c>
      <c r="Y2487" s="2" t="s">
        <v>3256</v>
      </c>
      <c r="Z2487" s="2" t="s">
        <v>76</v>
      </c>
      <c r="AA2487" s="2" t="s">
        <v>77</v>
      </c>
      <c r="AB2487" s="2" t="s">
        <v>78</v>
      </c>
      <c r="AE2487" s="2">
        <f t="shared" si="238"/>
        <v>0</v>
      </c>
      <c r="AI2487" s="2">
        <f t="shared" si="239"/>
        <v>0</v>
      </c>
      <c r="AJ2487" s="2">
        <f t="shared" si="240"/>
        <v>209.76</v>
      </c>
      <c r="AK2487" s="5">
        <f t="shared" si="242"/>
        <v>1</v>
      </c>
    </row>
    <row r="2488" spans="1:37" x14ac:dyDescent="0.2">
      <c r="A2488" s="2">
        <v>2025</v>
      </c>
      <c r="B2488" s="2">
        <v>12</v>
      </c>
      <c r="C2488" s="2" t="s">
        <v>534</v>
      </c>
      <c r="D2488" s="2" t="s">
        <v>109</v>
      </c>
      <c r="E2488" s="2" t="s">
        <v>535</v>
      </c>
      <c r="F2488" s="2">
        <v>502139552</v>
      </c>
      <c r="G2488" s="2" t="s">
        <v>40</v>
      </c>
      <c r="H2488" s="2" t="s">
        <v>340</v>
      </c>
      <c r="I2488" s="2" t="s">
        <v>536</v>
      </c>
      <c r="K2488" s="2" t="s">
        <v>340</v>
      </c>
      <c r="L2488" s="2" t="s">
        <v>40</v>
      </c>
      <c r="O2488" s="2" t="s">
        <v>40</v>
      </c>
      <c r="P2488" s="2" t="s">
        <v>141</v>
      </c>
      <c r="Q2488" s="2" t="s">
        <v>142</v>
      </c>
      <c r="R2488" s="2">
        <v>-1</v>
      </c>
      <c r="S2488" s="2">
        <v>-7.03</v>
      </c>
      <c r="T2488" s="2">
        <v>-1.6169</v>
      </c>
      <c r="U2488" s="2">
        <v>-8.6469000000000005</v>
      </c>
      <c r="W2488" s="5">
        <f t="shared" si="243"/>
        <v>1</v>
      </c>
      <c r="Y2488" s="2" t="s">
        <v>120</v>
      </c>
      <c r="Z2488" s="2" t="s">
        <v>143</v>
      </c>
      <c r="AE2488" s="2">
        <f t="shared" si="238"/>
        <v>0</v>
      </c>
      <c r="AI2488" s="2">
        <f t="shared" si="239"/>
        <v>0</v>
      </c>
      <c r="AJ2488" s="2">
        <f t="shared" si="240"/>
        <v>-7.03</v>
      </c>
      <c r="AK2488" s="5">
        <f t="shared" si="242"/>
        <v>1</v>
      </c>
    </row>
    <row r="2489" spans="1:37" x14ac:dyDescent="0.2">
      <c r="A2489" s="2">
        <v>2025</v>
      </c>
      <c r="B2489" s="2">
        <v>12</v>
      </c>
      <c r="C2489" s="2" t="s">
        <v>534</v>
      </c>
      <c r="D2489" s="2" t="s">
        <v>109</v>
      </c>
      <c r="E2489" s="2" t="s">
        <v>535</v>
      </c>
      <c r="F2489" s="2">
        <v>502139552</v>
      </c>
      <c r="G2489" s="2" t="s">
        <v>40</v>
      </c>
      <c r="H2489" s="2" t="s">
        <v>340</v>
      </c>
      <c r="I2489" s="2" t="s">
        <v>536</v>
      </c>
      <c r="K2489" s="2" t="s">
        <v>340</v>
      </c>
      <c r="L2489" s="2" t="s">
        <v>81</v>
      </c>
      <c r="O2489" s="2" t="s">
        <v>94</v>
      </c>
      <c r="P2489" s="2" t="s">
        <v>95</v>
      </c>
      <c r="Q2489" s="2" t="s">
        <v>96</v>
      </c>
      <c r="R2489" s="2">
        <v>2</v>
      </c>
      <c r="S2489" s="2">
        <v>2.2799999999999998</v>
      </c>
      <c r="T2489" s="2">
        <v>0.52439999999999998</v>
      </c>
      <c r="U2489" s="2">
        <v>2.8043999999999998</v>
      </c>
      <c r="V2489" s="2">
        <v>2.2799999999999998</v>
      </c>
      <c r="W2489" s="5">
        <f t="shared" si="243"/>
        <v>0</v>
      </c>
      <c r="Y2489" s="2" t="s">
        <v>3256</v>
      </c>
      <c r="Z2489" s="2" t="s">
        <v>97</v>
      </c>
      <c r="AA2489" s="2" t="s">
        <v>77</v>
      </c>
      <c r="AB2489" s="2" t="s">
        <v>94</v>
      </c>
      <c r="AE2489" s="2">
        <f t="shared" si="238"/>
        <v>0</v>
      </c>
      <c r="AI2489" s="2">
        <f t="shared" si="239"/>
        <v>0</v>
      </c>
      <c r="AJ2489" s="2">
        <f t="shared" si="240"/>
        <v>0</v>
      </c>
      <c r="AK2489" s="5">
        <f t="shared" si="242"/>
        <v>0</v>
      </c>
    </row>
    <row r="2490" spans="1:37" x14ac:dyDescent="0.2">
      <c r="A2490" s="2">
        <v>2025</v>
      </c>
      <c r="B2490" s="2">
        <v>12</v>
      </c>
      <c r="C2490" s="2" t="s">
        <v>539</v>
      </c>
      <c r="D2490" s="2" t="s">
        <v>109</v>
      </c>
      <c r="E2490" s="2" t="s">
        <v>39</v>
      </c>
      <c r="F2490" s="2">
        <v>500973903</v>
      </c>
      <c r="G2490" s="2" t="s">
        <v>41</v>
      </c>
      <c r="H2490" s="2" t="s">
        <v>540</v>
      </c>
      <c r="I2490" s="2" t="s">
        <v>541</v>
      </c>
      <c r="K2490" s="2" t="s">
        <v>465</v>
      </c>
      <c r="L2490" s="2" t="s">
        <v>40</v>
      </c>
      <c r="N2490" s="2" t="s">
        <v>2178</v>
      </c>
      <c r="O2490" s="2" t="s">
        <v>115</v>
      </c>
      <c r="P2490" s="2" t="s">
        <v>471</v>
      </c>
      <c r="Q2490" s="2" t="s">
        <v>472</v>
      </c>
      <c r="R2490" s="2">
        <v>1</v>
      </c>
      <c r="S2490" s="2">
        <v>488.82</v>
      </c>
      <c r="T2490" s="2">
        <v>112.4286</v>
      </c>
      <c r="U2490" s="2">
        <v>601.24860000000001</v>
      </c>
      <c r="W2490" s="5">
        <f t="shared" si="243"/>
        <v>1</v>
      </c>
      <c r="AE2490" s="2">
        <f t="shared" si="238"/>
        <v>0</v>
      </c>
      <c r="AI2490" s="2">
        <f t="shared" si="239"/>
        <v>0</v>
      </c>
      <c r="AJ2490" s="2">
        <f t="shared" si="240"/>
        <v>488.82</v>
      </c>
      <c r="AK2490" s="5">
        <f t="shared" si="242"/>
        <v>1</v>
      </c>
    </row>
    <row r="2491" spans="1:37" x14ac:dyDescent="0.2">
      <c r="A2491" s="2">
        <v>2025</v>
      </c>
      <c r="B2491" s="2">
        <v>12</v>
      </c>
      <c r="C2491" s="2" t="s">
        <v>539</v>
      </c>
      <c r="D2491" s="2" t="s">
        <v>109</v>
      </c>
      <c r="E2491" s="2" t="s">
        <v>39</v>
      </c>
      <c r="F2491" s="2">
        <v>500973903</v>
      </c>
      <c r="G2491" s="2" t="s">
        <v>41</v>
      </c>
      <c r="H2491" s="2" t="s">
        <v>540</v>
      </c>
      <c r="I2491" s="2" t="s">
        <v>541</v>
      </c>
      <c r="K2491" s="2" t="s">
        <v>465</v>
      </c>
      <c r="L2491" s="2" t="s">
        <v>40</v>
      </c>
      <c r="N2491" s="2" t="s">
        <v>2178</v>
      </c>
      <c r="O2491" s="2" t="s">
        <v>188</v>
      </c>
      <c r="P2491" s="2" t="s">
        <v>189</v>
      </c>
      <c r="Q2491" s="2" t="s">
        <v>190</v>
      </c>
      <c r="R2491" s="2">
        <v>1</v>
      </c>
      <c r="S2491" s="2">
        <v>134</v>
      </c>
      <c r="T2491" s="2">
        <v>30.82</v>
      </c>
      <c r="U2491" s="2">
        <v>164.82</v>
      </c>
      <c r="W2491" s="5">
        <f t="shared" si="243"/>
        <v>1</v>
      </c>
      <c r="Y2491" s="2" t="s">
        <v>118</v>
      </c>
      <c r="Z2491" s="2" t="s">
        <v>191</v>
      </c>
      <c r="AE2491" s="2">
        <f t="shared" si="238"/>
        <v>0</v>
      </c>
      <c r="AI2491" s="2">
        <f t="shared" si="239"/>
        <v>0</v>
      </c>
      <c r="AJ2491" s="2">
        <f t="shared" si="240"/>
        <v>134</v>
      </c>
      <c r="AK2491" s="5">
        <f t="shared" si="242"/>
        <v>1</v>
      </c>
    </row>
    <row r="2492" spans="1:37" x14ac:dyDescent="0.2">
      <c r="A2492" s="2">
        <v>2025</v>
      </c>
      <c r="B2492" s="2">
        <v>12</v>
      </c>
      <c r="C2492" s="2" t="s">
        <v>539</v>
      </c>
      <c r="D2492" s="2" t="s">
        <v>109</v>
      </c>
      <c r="E2492" s="2" t="s">
        <v>39</v>
      </c>
      <c r="F2492" s="2">
        <v>500973903</v>
      </c>
      <c r="G2492" s="2" t="s">
        <v>41</v>
      </c>
      <c r="H2492" s="2" t="s">
        <v>540</v>
      </c>
      <c r="I2492" s="2" t="s">
        <v>541</v>
      </c>
      <c r="K2492" s="2" t="s">
        <v>465</v>
      </c>
      <c r="L2492" s="2" t="s">
        <v>40</v>
      </c>
      <c r="N2492" s="2" t="s">
        <v>2178</v>
      </c>
      <c r="O2492" s="2" t="s">
        <v>188</v>
      </c>
      <c r="P2492" s="2" t="s">
        <v>192</v>
      </c>
      <c r="Q2492" s="2" t="s">
        <v>191</v>
      </c>
      <c r="R2492" s="2">
        <v>1</v>
      </c>
      <c r="S2492" s="2">
        <v>50</v>
      </c>
      <c r="T2492" s="2">
        <v>11.5</v>
      </c>
      <c r="U2492" s="2">
        <v>61.5</v>
      </c>
      <c r="V2492" s="2">
        <f>S2492*50%</f>
        <v>25</v>
      </c>
      <c r="W2492" s="5">
        <f t="shared" si="243"/>
        <v>0.5</v>
      </c>
      <c r="Y2492" s="2" t="s">
        <v>118</v>
      </c>
      <c r="Z2492" s="2" t="s">
        <v>191</v>
      </c>
      <c r="AE2492" s="2">
        <f t="shared" si="238"/>
        <v>0</v>
      </c>
      <c r="AI2492" s="2">
        <f t="shared" si="239"/>
        <v>0</v>
      </c>
      <c r="AJ2492" s="2">
        <f t="shared" si="240"/>
        <v>25</v>
      </c>
      <c r="AK2492" s="5">
        <f t="shared" si="242"/>
        <v>0.5</v>
      </c>
    </row>
    <row r="2493" spans="1:37" x14ac:dyDescent="0.2">
      <c r="A2493" s="2">
        <v>2025</v>
      </c>
      <c r="B2493" s="2">
        <v>12</v>
      </c>
      <c r="C2493" s="2" t="s">
        <v>1430</v>
      </c>
      <c r="L2493" s="2" t="s">
        <v>81</v>
      </c>
      <c r="O2493" s="2" t="s">
        <v>1047</v>
      </c>
      <c r="P2493" s="2" t="s">
        <v>1937</v>
      </c>
      <c r="Q2493" s="2" t="s">
        <v>1938</v>
      </c>
      <c r="R2493" s="2">
        <v>-4</v>
      </c>
      <c r="S2493" s="2">
        <v>-691.06</v>
      </c>
      <c r="T2493" s="2">
        <v>-158.94380000000001</v>
      </c>
      <c r="U2493" s="2">
        <v>-850.00379999999996</v>
      </c>
      <c r="V2493" s="2">
        <f>108.6*4</f>
        <v>434.4</v>
      </c>
      <c r="Y2493" s="2" t="s">
        <v>3256</v>
      </c>
      <c r="Z2493" s="2" t="s">
        <v>1050</v>
      </c>
      <c r="AA2493" s="2" t="s">
        <v>1328</v>
      </c>
      <c r="AB2493" s="2" t="s">
        <v>1047</v>
      </c>
      <c r="AE2493" s="2">
        <f t="shared" si="238"/>
        <v>0</v>
      </c>
      <c r="AI2493" s="2">
        <f t="shared" si="239"/>
        <v>0</v>
      </c>
      <c r="AJ2493" s="2">
        <f t="shared" si="240"/>
        <v>-1125.46</v>
      </c>
      <c r="AK2493" s="5">
        <f t="shared" si="242"/>
        <v>1.6285995427314561</v>
      </c>
    </row>
    <row r="2494" spans="1:37" x14ac:dyDescent="0.2">
      <c r="A2494" s="2">
        <v>2025</v>
      </c>
      <c r="B2494" s="2">
        <v>12</v>
      </c>
      <c r="C2494" s="2" t="s">
        <v>1430</v>
      </c>
      <c r="L2494" s="2" t="s">
        <v>81</v>
      </c>
      <c r="O2494" s="2" t="s">
        <v>1047</v>
      </c>
      <c r="P2494" s="2" t="s">
        <v>2179</v>
      </c>
      <c r="Q2494" s="2" t="s">
        <v>2180</v>
      </c>
      <c r="R2494" s="2">
        <v>4</v>
      </c>
      <c r="S2494" s="2">
        <v>528.46</v>
      </c>
      <c r="T2494" s="2">
        <v>121.5458</v>
      </c>
      <c r="U2494" s="2">
        <v>650.00580000000002</v>
      </c>
      <c r="W2494" s="5">
        <f t="shared" si="243"/>
        <v>1</v>
      </c>
      <c r="Y2494" s="2" t="s">
        <v>3256</v>
      </c>
      <c r="Z2494" s="2" t="s">
        <v>1050</v>
      </c>
      <c r="AA2494" s="2" t="s">
        <v>1328</v>
      </c>
      <c r="AB2494" s="2" t="s">
        <v>1047</v>
      </c>
      <c r="AE2494" s="2">
        <f t="shared" si="238"/>
        <v>0</v>
      </c>
      <c r="AI2494" s="2">
        <f t="shared" si="239"/>
        <v>0</v>
      </c>
      <c r="AJ2494" s="2">
        <f t="shared" si="240"/>
        <v>528.46</v>
      </c>
      <c r="AK2494" s="5">
        <f t="shared" si="242"/>
        <v>1</v>
      </c>
    </row>
    <row r="2495" spans="1:37" x14ac:dyDescent="0.2">
      <c r="A2495" s="2">
        <v>2025</v>
      </c>
      <c r="B2495" s="2">
        <v>12</v>
      </c>
      <c r="C2495" s="2" t="s">
        <v>562</v>
      </c>
      <c r="D2495" s="2" t="s">
        <v>109</v>
      </c>
      <c r="E2495" s="2" t="s">
        <v>39</v>
      </c>
      <c r="F2495" s="2">
        <v>506517233</v>
      </c>
      <c r="G2495" s="2" t="s">
        <v>81</v>
      </c>
      <c r="H2495" s="2" t="s">
        <v>563</v>
      </c>
      <c r="I2495" s="2" t="s">
        <v>564</v>
      </c>
      <c r="K2495" s="2" t="s">
        <v>134</v>
      </c>
      <c r="L2495" s="2" t="s">
        <v>40</v>
      </c>
      <c r="O2495" s="2" t="s">
        <v>115</v>
      </c>
      <c r="P2495" s="2" t="s">
        <v>1223</v>
      </c>
      <c r="Q2495" s="2" t="s">
        <v>1224</v>
      </c>
      <c r="R2495" s="2">
        <v>1</v>
      </c>
      <c r="S2495" s="2">
        <v>49.71</v>
      </c>
      <c r="T2495" s="2">
        <v>11.433299999999999</v>
      </c>
      <c r="U2495" s="2">
        <v>61.143300000000004</v>
      </c>
      <c r="V2495" s="2">
        <v>23.836400000000001</v>
      </c>
      <c r="W2495" s="5">
        <f t="shared" si="243"/>
        <v>0.52049084691209013</v>
      </c>
      <c r="Y2495" s="2" t="s">
        <v>118</v>
      </c>
      <c r="Z2495" s="2" t="s">
        <v>119</v>
      </c>
      <c r="AA2495" s="2" t="s">
        <v>120</v>
      </c>
      <c r="AB2495" s="2" t="s">
        <v>115</v>
      </c>
      <c r="AE2495" s="2">
        <f t="shared" si="238"/>
        <v>0</v>
      </c>
      <c r="AI2495" s="2">
        <f t="shared" si="239"/>
        <v>0</v>
      </c>
      <c r="AJ2495" s="2">
        <f t="shared" si="240"/>
        <v>25.8736</v>
      </c>
      <c r="AK2495" s="5">
        <f t="shared" si="242"/>
        <v>0.52049084691209013</v>
      </c>
    </row>
    <row r="2496" spans="1:37" x14ac:dyDescent="0.2">
      <c r="A2496" s="2">
        <v>2025</v>
      </c>
      <c r="B2496" s="2">
        <v>12</v>
      </c>
      <c r="C2496" s="2" t="s">
        <v>562</v>
      </c>
      <c r="D2496" s="2" t="s">
        <v>109</v>
      </c>
      <c r="E2496" s="2" t="s">
        <v>39</v>
      </c>
      <c r="F2496" s="2">
        <v>506517233</v>
      </c>
      <c r="G2496" s="2" t="s">
        <v>81</v>
      </c>
      <c r="H2496" s="2" t="s">
        <v>563</v>
      </c>
      <c r="I2496" s="2" t="s">
        <v>564</v>
      </c>
      <c r="K2496" s="2" t="s">
        <v>134</v>
      </c>
      <c r="O2496" s="2" t="s">
        <v>115</v>
      </c>
      <c r="P2496" s="2" t="s">
        <v>1582</v>
      </c>
      <c r="Q2496" s="2" t="s">
        <v>1583</v>
      </c>
      <c r="R2496" s="2">
        <v>1</v>
      </c>
      <c r="S2496" s="2">
        <v>845.25</v>
      </c>
      <c r="T2496" s="2">
        <v>194.4075</v>
      </c>
      <c r="U2496" s="2">
        <v>1039.6575</v>
      </c>
      <c r="W2496" s="5">
        <f t="shared" si="243"/>
        <v>1</v>
      </c>
      <c r="AE2496" s="2">
        <f t="shared" si="238"/>
        <v>0</v>
      </c>
      <c r="AI2496" s="2">
        <f t="shared" si="239"/>
        <v>0</v>
      </c>
      <c r="AJ2496" s="2">
        <f t="shared" si="240"/>
        <v>845.25</v>
      </c>
      <c r="AK2496" s="5">
        <f t="shared" si="242"/>
        <v>1</v>
      </c>
    </row>
    <row r="2497" spans="1:37" x14ac:dyDescent="0.2">
      <c r="A2497" s="2">
        <v>2025</v>
      </c>
      <c r="B2497" s="2">
        <v>12</v>
      </c>
      <c r="C2497" s="2" t="s">
        <v>562</v>
      </c>
      <c r="D2497" s="2" t="s">
        <v>109</v>
      </c>
      <c r="E2497" s="2" t="s">
        <v>39</v>
      </c>
      <c r="F2497" s="2">
        <v>506517233</v>
      </c>
      <c r="G2497" s="2" t="s">
        <v>81</v>
      </c>
      <c r="H2497" s="2" t="s">
        <v>563</v>
      </c>
      <c r="I2497" s="2" t="s">
        <v>564</v>
      </c>
      <c r="K2497" s="2" t="s">
        <v>134</v>
      </c>
      <c r="O2497" s="2" t="s">
        <v>115</v>
      </c>
      <c r="P2497" s="2" t="s">
        <v>2181</v>
      </c>
      <c r="Q2497" s="2" t="s">
        <v>2182</v>
      </c>
      <c r="R2497" s="2">
        <v>1</v>
      </c>
      <c r="S2497" s="2">
        <v>886.2</v>
      </c>
      <c r="T2497" s="2">
        <v>203.82599999999999</v>
      </c>
      <c r="U2497" s="2">
        <v>1090.0260000000001</v>
      </c>
      <c r="W2497" s="5">
        <f t="shared" si="243"/>
        <v>1</v>
      </c>
      <c r="AE2497" s="2">
        <f t="shared" si="238"/>
        <v>0</v>
      </c>
      <c r="AI2497" s="2">
        <f t="shared" si="239"/>
        <v>0</v>
      </c>
      <c r="AJ2497" s="2">
        <f t="shared" si="240"/>
        <v>886.2</v>
      </c>
      <c r="AK2497" s="5">
        <f t="shared" si="242"/>
        <v>1</v>
      </c>
    </row>
    <row r="2498" spans="1:37" x14ac:dyDescent="0.2">
      <c r="A2498" s="2">
        <v>2025</v>
      </c>
      <c r="B2498" s="2">
        <v>12</v>
      </c>
      <c r="C2498" s="2" t="s">
        <v>562</v>
      </c>
      <c r="D2498" s="2" t="s">
        <v>109</v>
      </c>
      <c r="E2498" s="2" t="s">
        <v>39</v>
      </c>
      <c r="F2498" s="2">
        <v>506517233</v>
      </c>
      <c r="G2498" s="2" t="s">
        <v>81</v>
      </c>
      <c r="H2498" s="2" t="s">
        <v>563</v>
      </c>
      <c r="I2498" s="2" t="s">
        <v>564</v>
      </c>
      <c r="K2498" s="2" t="s">
        <v>134</v>
      </c>
      <c r="O2498" s="2" t="s">
        <v>115</v>
      </c>
      <c r="P2498" s="2" t="s">
        <v>310</v>
      </c>
      <c r="Q2498" s="2" t="s">
        <v>311</v>
      </c>
      <c r="R2498" s="2">
        <v>1</v>
      </c>
      <c r="S2498" s="2">
        <v>631.04999999999995</v>
      </c>
      <c r="T2498" s="2">
        <v>145.14150000000001</v>
      </c>
      <c r="U2498" s="2">
        <v>776.19149999999991</v>
      </c>
      <c r="W2498" s="5">
        <f t="shared" si="243"/>
        <v>1</v>
      </c>
      <c r="AE2498" s="2">
        <f t="shared" si="238"/>
        <v>0</v>
      </c>
      <c r="AI2498" s="2">
        <f t="shared" si="239"/>
        <v>0</v>
      </c>
      <c r="AJ2498" s="2">
        <f t="shared" si="240"/>
        <v>631.04999999999995</v>
      </c>
      <c r="AK2498" s="5">
        <f t="shared" si="242"/>
        <v>1</v>
      </c>
    </row>
    <row r="2499" spans="1:37" x14ac:dyDescent="0.2">
      <c r="A2499" s="2">
        <v>2025</v>
      </c>
      <c r="B2499" s="2">
        <v>12</v>
      </c>
      <c r="C2499" s="2" t="s">
        <v>562</v>
      </c>
      <c r="D2499" s="2" t="s">
        <v>109</v>
      </c>
      <c r="E2499" s="2" t="s">
        <v>39</v>
      </c>
      <c r="F2499" s="2">
        <v>506517233</v>
      </c>
      <c r="G2499" s="2" t="s">
        <v>81</v>
      </c>
      <c r="H2499" s="2" t="s">
        <v>563</v>
      </c>
      <c r="I2499" s="2" t="s">
        <v>564</v>
      </c>
      <c r="K2499" s="2" t="s">
        <v>134</v>
      </c>
      <c r="L2499" s="2" t="s">
        <v>81</v>
      </c>
      <c r="O2499" s="2" t="s">
        <v>1047</v>
      </c>
      <c r="P2499" s="2" t="s">
        <v>2183</v>
      </c>
      <c r="Q2499" s="2" t="s">
        <v>2184</v>
      </c>
      <c r="R2499" s="2">
        <v>4</v>
      </c>
      <c r="S2499" s="2">
        <v>499.55</v>
      </c>
      <c r="T2499" s="2">
        <v>114.8965</v>
      </c>
      <c r="U2499" s="2">
        <v>614.44650000000001</v>
      </c>
      <c r="W2499" s="5">
        <f t="shared" si="243"/>
        <v>1</v>
      </c>
      <c r="Y2499" s="2" t="s">
        <v>3256</v>
      </c>
      <c r="Z2499" s="2" t="s">
        <v>1050</v>
      </c>
      <c r="AA2499" s="2" t="s">
        <v>1328</v>
      </c>
      <c r="AB2499" s="2" t="s">
        <v>1047</v>
      </c>
      <c r="AE2499" s="2">
        <f t="shared" ref="AE2499:AE2562" si="244">AI2499</f>
        <v>0</v>
      </c>
      <c r="AI2499" s="2">
        <f t="shared" ref="AI2499:AI2562" si="245">AH2499*S2499</f>
        <v>0</v>
      </c>
      <c r="AJ2499" s="2">
        <f t="shared" ref="AJ2499:AJ2562" si="246">S2499-V2499</f>
        <v>499.55</v>
      </c>
      <c r="AK2499" s="5">
        <f t="shared" si="242"/>
        <v>1</v>
      </c>
    </row>
    <row r="2500" spans="1:37" x14ac:dyDescent="0.2">
      <c r="A2500" s="2">
        <v>2025</v>
      </c>
      <c r="B2500" s="2">
        <v>12</v>
      </c>
      <c r="C2500" s="2" t="s">
        <v>562</v>
      </c>
      <c r="D2500" s="2" t="s">
        <v>109</v>
      </c>
      <c r="E2500" s="2" t="s">
        <v>39</v>
      </c>
      <c r="F2500" s="2">
        <v>506517233</v>
      </c>
      <c r="G2500" s="2" t="s">
        <v>81</v>
      </c>
      <c r="H2500" s="2" t="s">
        <v>563</v>
      </c>
      <c r="I2500" s="2" t="s">
        <v>564</v>
      </c>
      <c r="K2500" s="2" t="s">
        <v>134</v>
      </c>
      <c r="L2500" s="2" t="s">
        <v>81</v>
      </c>
      <c r="O2500" s="2" t="s">
        <v>1047</v>
      </c>
      <c r="P2500" s="2" t="s">
        <v>1941</v>
      </c>
      <c r="Q2500" s="2" t="s">
        <v>1942</v>
      </c>
      <c r="R2500" s="2">
        <v>8</v>
      </c>
      <c r="S2500" s="2">
        <v>927.71</v>
      </c>
      <c r="T2500" s="2">
        <v>213.3733</v>
      </c>
      <c r="U2500" s="2">
        <v>1141.0833</v>
      </c>
      <c r="W2500" s="5">
        <f t="shared" si="243"/>
        <v>1</v>
      </c>
      <c r="Y2500" s="2" t="s">
        <v>3256</v>
      </c>
      <c r="Z2500" s="2" t="s">
        <v>1050</v>
      </c>
      <c r="AA2500" s="2" t="s">
        <v>1280</v>
      </c>
      <c r="AB2500" s="2" t="s">
        <v>1047</v>
      </c>
      <c r="AE2500" s="2">
        <f t="shared" si="244"/>
        <v>0</v>
      </c>
      <c r="AI2500" s="2">
        <f t="shared" si="245"/>
        <v>0</v>
      </c>
      <c r="AJ2500" s="2">
        <f t="shared" si="246"/>
        <v>927.71</v>
      </c>
      <c r="AK2500" s="5">
        <f t="shared" si="242"/>
        <v>1</v>
      </c>
    </row>
    <row r="2501" spans="1:37" x14ac:dyDescent="0.2">
      <c r="A2501" s="2">
        <v>2025</v>
      </c>
      <c r="B2501" s="2">
        <v>12</v>
      </c>
      <c r="C2501" s="2" t="s">
        <v>562</v>
      </c>
      <c r="D2501" s="2" t="s">
        <v>109</v>
      </c>
      <c r="E2501" s="2" t="s">
        <v>39</v>
      </c>
      <c r="F2501" s="2">
        <v>506517233</v>
      </c>
      <c r="G2501" s="2" t="s">
        <v>81</v>
      </c>
      <c r="H2501" s="2" t="s">
        <v>563</v>
      </c>
      <c r="I2501" s="2" t="s">
        <v>564</v>
      </c>
      <c r="K2501" s="2" t="s">
        <v>134</v>
      </c>
      <c r="L2501" s="2" t="s">
        <v>81</v>
      </c>
      <c r="O2501" s="2" t="s">
        <v>1047</v>
      </c>
      <c r="P2501" s="2" t="s">
        <v>2185</v>
      </c>
      <c r="Q2501" s="2" t="s">
        <v>2186</v>
      </c>
      <c r="R2501" s="2">
        <v>8</v>
      </c>
      <c r="S2501" s="2">
        <v>875.1</v>
      </c>
      <c r="T2501" s="2">
        <v>201.273</v>
      </c>
      <c r="U2501" s="2">
        <v>1076.373</v>
      </c>
      <c r="W2501" s="5">
        <f t="shared" si="243"/>
        <v>1</v>
      </c>
      <c r="Y2501" s="2" t="s">
        <v>3256</v>
      </c>
      <c r="Z2501" s="2" t="s">
        <v>1050</v>
      </c>
      <c r="AA2501" s="2" t="s">
        <v>1280</v>
      </c>
      <c r="AB2501" s="2" t="s">
        <v>1047</v>
      </c>
      <c r="AE2501" s="2">
        <f t="shared" si="244"/>
        <v>0</v>
      </c>
      <c r="AI2501" s="2">
        <f t="shared" si="245"/>
        <v>0</v>
      </c>
      <c r="AJ2501" s="2">
        <f t="shared" si="246"/>
        <v>875.1</v>
      </c>
      <c r="AK2501" s="5">
        <f t="shared" si="242"/>
        <v>1</v>
      </c>
    </row>
    <row r="2502" spans="1:37" x14ac:dyDescent="0.2">
      <c r="A2502" s="2">
        <v>2025</v>
      </c>
      <c r="B2502" s="2">
        <v>12</v>
      </c>
      <c r="C2502" s="2" t="s">
        <v>562</v>
      </c>
      <c r="D2502" s="2" t="s">
        <v>109</v>
      </c>
      <c r="E2502" s="2" t="s">
        <v>39</v>
      </c>
      <c r="F2502" s="2">
        <v>506517233</v>
      </c>
      <c r="G2502" s="2" t="s">
        <v>81</v>
      </c>
      <c r="H2502" s="2" t="s">
        <v>563</v>
      </c>
      <c r="I2502" s="2" t="s">
        <v>564</v>
      </c>
      <c r="K2502" s="2" t="s">
        <v>134</v>
      </c>
      <c r="L2502" s="2" t="s">
        <v>81</v>
      </c>
      <c r="O2502" s="2" t="s">
        <v>1047</v>
      </c>
      <c r="P2502" s="2" t="s">
        <v>1945</v>
      </c>
      <c r="Q2502" s="2" t="s">
        <v>1946</v>
      </c>
      <c r="R2502" s="2">
        <v>4</v>
      </c>
      <c r="S2502" s="2">
        <v>499.94</v>
      </c>
      <c r="T2502" s="2">
        <v>114.9862</v>
      </c>
      <c r="U2502" s="2">
        <v>614.92619999999999</v>
      </c>
      <c r="W2502" s="5">
        <f t="shared" si="243"/>
        <v>1</v>
      </c>
      <c r="Y2502" s="2" t="s">
        <v>3256</v>
      </c>
      <c r="Z2502" s="2" t="s">
        <v>1050</v>
      </c>
      <c r="AA2502" s="2" t="s">
        <v>1328</v>
      </c>
      <c r="AB2502" s="2" t="s">
        <v>1047</v>
      </c>
      <c r="AE2502" s="2">
        <f t="shared" si="244"/>
        <v>0</v>
      </c>
      <c r="AI2502" s="2">
        <f t="shared" si="245"/>
        <v>0</v>
      </c>
      <c r="AJ2502" s="2">
        <f t="shared" si="246"/>
        <v>499.94</v>
      </c>
      <c r="AK2502" s="5">
        <f t="shared" si="242"/>
        <v>1</v>
      </c>
    </row>
    <row r="2503" spans="1:37" x14ac:dyDescent="0.2">
      <c r="A2503" s="2">
        <v>2025</v>
      </c>
      <c r="B2503" s="2">
        <v>12</v>
      </c>
      <c r="C2503" s="2" t="s">
        <v>562</v>
      </c>
      <c r="D2503" s="2" t="s">
        <v>109</v>
      </c>
      <c r="E2503" s="2" t="s">
        <v>39</v>
      </c>
      <c r="F2503" s="2">
        <v>506517233</v>
      </c>
      <c r="G2503" s="2" t="s">
        <v>81</v>
      </c>
      <c r="H2503" s="2" t="s">
        <v>563</v>
      </c>
      <c r="I2503" s="2" t="s">
        <v>564</v>
      </c>
      <c r="K2503" s="2" t="s">
        <v>134</v>
      </c>
      <c r="L2503" s="2" t="s">
        <v>40</v>
      </c>
      <c r="O2503" s="2" t="s">
        <v>2104</v>
      </c>
      <c r="P2503" s="2" t="s">
        <v>2187</v>
      </c>
      <c r="Q2503" s="2" t="s">
        <v>2188</v>
      </c>
      <c r="R2503" s="2">
        <v>4</v>
      </c>
      <c r="S2503" s="2">
        <v>519.96</v>
      </c>
      <c r="T2503" s="2">
        <v>119.5908</v>
      </c>
      <c r="U2503" s="2">
        <v>639.55080000000009</v>
      </c>
      <c r="W2503" s="5">
        <f t="shared" si="243"/>
        <v>1</v>
      </c>
      <c r="Y2503" s="2" t="s">
        <v>3256</v>
      </c>
      <c r="Z2503" s="2" t="s">
        <v>2189</v>
      </c>
      <c r="AA2503" s="2" t="s">
        <v>2190</v>
      </c>
      <c r="AB2503" s="2" t="s">
        <v>2104</v>
      </c>
      <c r="AE2503" s="2">
        <f t="shared" si="244"/>
        <v>0</v>
      </c>
      <c r="AI2503" s="2">
        <f t="shared" si="245"/>
        <v>0</v>
      </c>
      <c r="AJ2503" s="2">
        <f t="shared" si="246"/>
        <v>519.96</v>
      </c>
      <c r="AK2503" s="5">
        <f t="shared" si="242"/>
        <v>1</v>
      </c>
    </row>
    <row r="2504" spans="1:37" x14ac:dyDescent="0.2">
      <c r="A2504" s="2">
        <v>2025</v>
      </c>
      <c r="B2504" s="2">
        <v>12</v>
      </c>
      <c r="C2504" s="2" t="s">
        <v>562</v>
      </c>
      <c r="D2504" s="2" t="s">
        <v>109</v>
      </c>
      <c r="E2504" s="2" t="s">
        <v>39</v>
      </c>
      <c r="F2504" s="2">
        <v>506517233</v>
      </c>
      <c r="G2504" s="2" t="s">
        <v>81</v>
      </c>
      <c r="H2504" s="2" t="s">
        <v>563</v>
      </c>
      <c r="I2504" s="2" t="s">
        <v>564</v>
      </c>
      <c r="K2504" s="2" t="s">
        <v>134</v>
      </c>
      <c r="L2504" s="2" t="s">
        <v>40</v>
      </c>
      <c r="O2504" s="2" t="s">
        <v>2104</v>
      </c>
      <c r="P2504" s="2" t="s">
        <v>2191</v>
      </c>
      <c r="Q2504" s="2" t="s">
        <v>2192</v>
      </c>
      <c r="R2504" s="2">
        <v>2</v>
      </c>
      <c r="S2504" s="2">
        <v>182.09</v>
      </c>
      <c r="T2504" s="2">
        <v>41.880699999999997</v>
      </c>
      <c r="U2504" s="2">
        <v>223.97069999999999</v>
      </c>
      <c r="W2504" s="5">
        <f t="shared" si="243"/>
        <v>1</v>
      </c>
      <c r="Y2504" s="2" t="s">
        <v>3256</v>
      </c>
      <c r="Z2504" s="2" t="s">
        <v>2189</v>
      </c>
      <c r="AA2504" s="2" t="s">
        <v>2051</v>
      </c>
      <c r="AB2504" s="2" t="s">
        <v>2104</v>
      </c>
      <c r="AE2504" s="2">
        <f t="shared" si="244"/>
        <v>0</v>
      </c>
      <c r="AI2504" s="2">
        <f t="shared" si="245"/>
        <v>0</v>
      </c>
      <c r="AJ2504" s="2">
        <f t="shared" si="246"/>
        <v>182.09</v>
      </c>
      <c r="AK2504" s="5">
        <f t="shared" si="242"/>
        <v>1</v>
      </c>
    </row>
    <row r="2505" spans="1:37" x14ac:dyDescent="0.2">
      <c r="A2505" s="2">
        <v>2025</v>
      </c>
      <c r="B2505" s="2">
        <v>12</v>
      </c>
      <c r="C2505" s="2" t="s">
        <v>562</v>
      </c>
      <c r="D2505" s="2" t="s">
        <v>109</v>
      </c>
      <c r="E2505" s="2" t="s">
        <v>39</v>
      </c>
      <c r="F2505" s="2">
        <v>506517233</v>
      </c>
      <c r="G2505" s="2" t="s">
        <v>81</v>
      </c>
      <c r="H2505" s="2" t="s">
        <v>563</v>
      </c>
      <c r="I2505" s="2" t="s">
        <v>564</v>
      </c>
      <c r="K2505" s="2" t="s">
        <v>134</v>
      </c>
      <c r="L2505" s="2" t="s">
        <v>40</v>
      </c>
      <c r="O2505" s="2" t="s">
        <v>2104</v>
      </c>
      <c r="P2505" s="2" t="s">
        <v>2193</v>
      </c>
      <c r="Q2505" s="2" t="s">
        <v>2194</v>
      </c>
      <c r="R2505" s="2">
        <v>2</v>
      </c>
      <c r="S2505" s="2">
        <v>182.09</v>
      </c>
      <c r="T2505" s="2">
        <v>41.880699999999997</v>
      </c>
      <c r="U2505" s="2">
        <v>223.97069999999999</v>
      </c>
      <c r="W2505" s="5">
        <f t="shared" si="243"/>
        <v>1</v>
      </c>
      <c r="Y2505" s="2" t="s">
        <v>3256</v>
      </c>
      <c r="Z2505" s="2" t="s">
        <v>2189</v>
      </c>
      <c r="AA2505" s="2" t="s">
        <v>2051</v>
      </c>
      <c r="AB2505" s="2" t="s">
        <v>2104</v>
      </c>
      <c r="AE2505" s="2">
        <f t="shared" si="244"/>
        <v>0</v>
      </c>
      <c r="AI2505" s="2">
        <f t="shared" si="245"/>
        <v>0</v>
      </c>
      <c r="AJ2505" s="2">
        <f t="shared" si="246"/>
        <v>182.09</v>
      </c>
      <c r="AK2505" s="5">
        <f t="shared" si="242"/>
        <v>1</v>
      </c>
    </row>
    <row r="2506" spans="1:37" x14ac:dyDescent="0.2">
      <c r="A2506" s="2">
        <v>2025</v>
      </c>
      <c r="B2506" s="2">
        <v>12</v>
      </c>
      <c r="C2506" s="2" t="s">
        <v>562</v>
      </c>
      <c r="D2506" s="2" t="s">
        <v>109</v>
      </c>
      <c r="E2506" s="2" t="s">
        <v>39</v>
      </c>
      <c r="F2506" s="2">
        <v>506517233</v>
      </c>
      <c r="G2506" s="2" t="s">
        <v>81</v>
      </c>
      <c r="H2506" s="2" t="s">
        <v>563</v>
      </c>
      <c r="I2506" s="2" t="s">
        <v>564</v>
      </c>
      <c r="K2506" s="2" t="s">
        <v>134</v>
      </c>
      <c r="L2506" s="2" t="s">
        <v>81</v>
      </c>
      <c r="O2506" s="2" t="s">
        <v>170</v>
      </c>
      <c r="P2506" s="2" t="s">
        <v>171</v>
      </c>
      <c r="Q2506" s="2" t="s">
        <v>171</v>
      </c>
      <c r="R2506" s="2">
        <v>1</v>
      </c>
      <c r="S2506" s="2">
        <v>115</v>
      </c>
      <c r="T2506" s="2">
        <v>26.45</v>
      </c>
      <c r="U2506" s="2">
        <v>141.44999999999999</v>
      </c>
      <c r="W2506" s="5">
        <f t="shared" si="243"/>
        <v>1</v>
      </c>
      <c r="Y2506" s="2" t="s">
        <v>170</v>
      </c>
      <c r="Z2506" s="2" t="s">
        <v>170</v>
      </c>
      <c r="AE2506" s="2">
        <f t="shared" si="244"/>
        <v>0</v>
      </c>
      <c r="AI2506" s="2">
        <f t="shared" si="245"/>
        <v>0</v>
      </c>
      <c r="AJ2506" s="2">
        <f t="shared" si="246"/>
        <v>115</v>
      </c>
      <c r="AK2506" s="5">
        <f t="shared" si="242"/>
        <v>1</v>
      </c>
    </row>
    <row r="2507" spans="1:37" x14ac:dyDescent="0.2">
      <c r="A2507" s="2">
        <v>2025</v>
      </c>
      <c r="B2507" s="2">
        <v>12</v>
      </c>
      <c r="C2507" s="2" t="s">
        <v>2195</v>
      </c>
      <c r="O2507" s="2" t="s">
        <v>115</v>
      </c>
      <c r="P2507" s="2" t="s">
        <v>2196</v>
      </c>
      <c r="Q2507" s="2" t="s">
        <v>2197</v>
      </c>
      <c r="R2507" s="2">
        <v>1</v>
      </c>
      <c r="S2507" s="2">
        <v>10.78</v>
      </c>
      <c r="T2507" s="2">
        <v>2.4794</v>
      </c>
      <c r="U2507" s="2">
        <v>13.259399999999999</v>
      </c>
      <c r="W2507" s="5">
        <f t="shared" si="243"/>
        <v>1</v>
      </c>
      <c r="AE2507" s="2">
        <f t="shared" si="244"/>
        <v>0</v>
      </c>
      <c r="AI2507" s="2">
        <f t="shared" si="245"/>
        <v>0</v>
      </c>
      <c r="AJ2507" s="2">
        <f t="shared" si="246"/>
        <v>10.78</v>
      </c>
      <c r="AK2507" s="5">
        <f t="shared" si="242"/>
        <v>1</v>
      </c>
    </row>
    <row r="2508" spans="1:37" x14ac:dyDescent="0.2">
      <c r="A2508" s="2">
        <v>2025</v>
      </c>
      <c r="B2508" s="2">
        <v>12</v>
      </c>
      <c r="C2508" s="2" t="s">
        <v>2195</v>
      </c>
      <c r="L2508" s="2" t="s">
        <v>40</v>
      </c>
      <c r="O2508" s="2" t="s">
        <v>188</v>
      </c>
      <c r="P2508" s="2" t="s">
        <v>189</v>
      </c>
      <c r="Q2508" s="2" t="s">
        <v>190</v>
      </c>
      <c r="R2508" s="2">
        <v>1</v>
      </c>
      <c r="S2508" s="2">
        <v>73</v>
      </c>
      <c r="T2508" s="2">
        <v>16.79</v>
      </c>
      <c r="U2508" s="2">
        <v>89.789999999999992</v>
      </c>
      <c r="W2508" s="5">
        <f t="shared" si="243"/>
        <v>1</v>
      </c>
      <c r="Y2508" s="2" t="s">
        <v>118</v>
      </c>
      <c r="Z2508" s="2" t="s">
        <v>191</v>
      </c>
      <c r="AE2508" s="2">
        <f t="shared" si="244"/>
        <v>0</v>
      </c>
      <c r="AI2508" s="2">
        <f t="shared" si="245"/>
        <v>0</v>
      </c>
      <c r="AJ2508" s="2">
        <f t="shared" si="246"/>
        <v>73</v>
      </c>
      <c r="AK2508" s="5">
        <f t="shared" si="242"/>
        <v>1</v>
      </c>
    </row>
    <row r="2509" spans="1:37" x14ac:dyDescent="0.2">
      <c r="A2509" s="2">
        <v>2025</v>
      </c>
      <c r="B2509" s="2">
        <v>12</v>
      </c>
      <c r="C2509" s="2" t="s">
        <v>2195</v>
      </c>
      <c r="L2509" s="2" t="s">
        <v>40</v>
      </c>
      <c r="O2509" s="2" t="s">
        <v>188</v>
      </c>
      <c r="P2509" s="2" t="s">
        <v>192</v>
      </c>
      <c r="Q2509" s="2" t="s">
        <v>191</v>
      </c>
      <c r="R2509" s="2">
        <v>1</v>
      </c>
      <c r="S2509" s="2">
        <v>50</v>
      </c>
      <c r="T2509" s="2">
        <v>11.5</v>
      </c>
      <c r="U2509" s="2">
        <v>61.5</v>
      </c>
      <c r="V2509" s="2">
        <f>S2509*50%</f>
        <v>25</v>
      </c>
      <c r="W2509" s="5">
        <f t="shared" si="243"/>
        <v>0.5</v>
      </c>
      <c r="Y2509" s="2" t="s">
        <v>118</v>
      </c>
      <c r="Z2509" s="2" t="s">
        <v>191</v>
      </c>
      <c r="AE2509" s="2">
        <f t="shared" si="244"/>
        <v>0</v>
      </c>
      <c r="AI2509" s="2">
        <f t="shared" si="245"/>
        <v>0</v>
      </c>
      <c r="AJ2509" s="2">
        <f t="shared" si="246"/>
        <v>25</v>
      </c>
      <c r="AK2509" s="5">
        <f t="shared" si="242"/>
        <v>0.5</v>
      </c>
    </row>
    <row r="2510" spans="1:37" x14ac:dyDescent="0.2">
      <c r="A2510" s="2">
        <v>2025</v>
      </c>
      <c r="B2510" s="2">
        <v>12</v>
      </c>
      <c r="C2510" s="2" t="s">
        <v>2195</v>
      </c>
      <c r="O2510" s="2" t="s">
        <v>40</v>
      </c>
      <c r="P2510" s="2" t="s">
        <v>364</v>
      </c>
      <c r="Q2510" s="2" t="s">
        <v>365</v>
      </c>
      <c r="R2510" s="2">
        <v>1</v>
      </c>
      <c r="S2510" s="2">
        <v>50.05</v>
      </c>
      <c r="T2510" s="2">
        <v>11.5115</v>
      </c>
      <c r="U2510" s="2">
        <v>61.561500000000002</v>
      </c>
      <c r="W2510" s="5">
        <f t="shared" si="243"/>
        <v>1</v>
      </c>
      <c r="Y2510" s="2" t="s">
        <v>120</v>
      </c>
      <c r="AE2510" s="2">
        <f t="shared" si="244"/>
        <v>0</v>
      </c>
      <c r="AI2510" s="2">
        <f t="shared" si="245"/>
        <v>0</v>
      </c>
      <c r="AJ2510" s="2">
        <f t="shared" si="246"/>
        <v>50.05</v>
      </c>
      <c r="AK2510" s="5">
        <f t="shared" si="242"/>
        <v>1</v>
      </c>
    </row>
    <row r="2511" spans="1:37" x14ac:dyDescent="0.2">
      <c r="A2511" s="2">
        <v>2025</v>
      </c>
      <c r="B2511" s="2">
        <v>12</v>
      </c>
      <c r="C2511" s="2" t="s">
        <v>1638</v>
      </c>
      <c r="D2511" s="2" t="s">
        <v>109</v>
      </c>
      <c r="E2511" s="2" t="s">
        <v>481</v>
      </c>
      <c r="F2511" s="2">
        <v>504161342</v>
      </c>
      <c r="G2511" s="2" t="s">
        <v>291</v>
      </c>
      <c r="H2511" s="2" t="s">
        <v>1639</v>
      </c>
      <c r="I2511" s="2" t="s">
        <v>1640</v>
      </c>
      <c r="K2511" s="2" t="s">
        <v>294</v>
      </c>
      <c r="L2511" s="2" t="s">
        <v>1181</v>
      </c>
      <c r="N2511" s="2" t="s">
        <v>2198</v>
      </c>
      <c r="O2511" s="2" t="s">
        <v>115</v>
      </c>
      <c r="P2511" s="2" t="s">
        <v>2199</v>
      </c>
      <c r="Q2511" s="2" t="s">
        <v>2200</v>
      </c>
      <c r="R2511" s="2">
        <v>1</v>
      </c>
      <c r="S2511" s="2">
        <v>16990</v>
      </c>
      <c r="T2511" s="2">
        <v>3907.7</v>
      </c>
      <c r="U2511" s="2">
        <v>20897.7</v>
      </c>
      <c r="V2511" s="2">
        <v>11472.65</v>
      </c>
      <c r="W2511" s="5">
        <f t="shared" si="243"/>
        <v>0.3247410241318423</v>
      </c>
      <c r="Y2511" s="2" t="s">
        <v>105</v>
      </c>
      <c r="Z2511" s="2" t="s">
        <v>151</v>
      </c>
      <c r="AA2511" s="2" t="s">
        <v>1121</v>
      </c>
      <c r="AB2511" s="2" t="s">
        <v>115</v>
      </c>
      <c r="AE2511" s="2">
        <f t="shared" si="244"/>
        <v>0</v>
      </c>
      <c r="AF2511" s="2">
        <f>10972.65+500</f>
        <v>11472.65</v>
      </c>
      <c r="AI2511" s="2">
        <f t="shared" si="245"/>
        <v>0</v>
      </c>
      <c r="AJ2511" s="2">
        <f t="shared" si="246"/>
        <v>5517.35</v>
      </c>
      <c r="AK2511" s="5">
        <f t="shared" si="242"/>
        <v>0.3247410241318423</v>
      </c>
    </row>
    <row r="2512" spans="1:37" x14ac:dyDescent="0.2">
      <c r="A2512" s="2">
        <v>2025</v>
      </c>
      <c r="B2512" s="2">
        <v>12</v>
      </c>
      <c r="C2512" s="2" t="s">
        <v>1961</v>
      </c>
      <c r="O2512" s="2" t="s">
        <v>115</v>
      </c>
      <c r="P2512" s="2" t="s">
        <v>1397</v>
      </c>
      <c r="Q2512" s="2" t="s">
        <v>1089</v>
      </c>
      <c r="R2512" s="2">
        <v>1</v>
      </c>
      <c r="S2512" s="2">
        <v>94.68</v>
      </c>
      <c r="T2512" s="2">
        <v>21.776399999999999</v>
      </c>
      <c r="U2512" s="2">
        <v>116.4564</v>
      </c>
      <c r="W2512" s="5">
        <f t="shared" si="243"/>
        <v>1</v>
      </c>
      <c r="AE2512" s="2">
        <f t="shared" si="244"/>
        <v>0</v>
      </c>
      <c r="AI2512" s="2">
        <f t="shared" si="245"/>
        <v>0</v>
      </c>
      <c r="AJ2512" s="2">
        <f t="shared" si="246"/>
        <v>94.68</v>
      </c>
      <c r="AK2512" s="5">
        <f t="shared" si="242"/>
        <v>1</v>
      </c>
    </row>
    <row r="2513" spans="1:37" x14ac:dyDescent="0.2">
      <c r="A2513" s="2">
        <v>2025</v>
      </c>
      <c r="B2513" s="2">
        <v>12</v>
      </c>
      <c r="C2513" s="2" t="s">
        <v>587</v>
      </c>
      <c r="D2513" s="2" t="s">
        <v>109</v>
      </c>
      <c r="F2513" s="2">
        <v>503850276</v>
      </c>
      <c r="G2513" s="2" t="s">
        <v>40</v>
      </c>
      <c r="H2513" s="2" t="s">
        <v>588</v>
      </c>
      <c r="I2513" s="2" t="s">
        <v>589</v>
      </c>
      <c r="K2513" s="2" t="s">
        <v>202</v>
      </c>
      <c r="O2513" s="2" t="s">
        <v>115</v>
      </c>
      <c r="P2513" s="2" t="s">
        <v>1923</v>
      </c>
      <c r="Q2513" s="2" t="s">
        <v>1924</v>
      </c>
      <c r="R2513" s="2">
        <v>1</v>
      </c>
      <c r="S2513" s="2">
        <v>27850</v>
      </c>
      <c r="T2513" s="2">
        <v>6405.5</v>
      </c>
      <c r="U2513" s="2">
        <v>34255.5</v>
      </c>
      <c r="V2513" s="2">
        <v>17000.97</v>
      </c>
      <c r="W2513" s="5">
        <f t="shared" si="243"/>
        <v>0.38955224416517054</v>
      </c>
      <c r="Y2513" s="2" t="s">
        <v>105</v>
      </c>
      <c r="Z2513" s="2" t="s">
        <v>418</v>
      </c>
      <c r="AA2513" s="2" t="s">
        <v>152</v>
      </c>
      <c r="AB2513" s="2" t="s">
        <v>115</v>
      </c>
      <c r="AE2513" s="2">
        <f t="shared" si="244"/>
        <v>0</v>
      </c>
      <c r="AI2513" s="2">
        <f t="shared" si="245"/>
        <v>0</v>
      </c>
      <c r="AJ2513" s="2">
        <f t="shared" si="246"/>
        <v>10849.029999999999</v>
      </c>
      <c r="AK2513" s="5">
        <f t="shared" si="242"/>
        <v>0.38955224416517054</v>
      </c>
    </row>
    <row r="2514" spans="1:37" x14ac:dyDescent="0.2">
      <c r="A2514" s="2">
        <v>2025</v>
      </c>
      <c r="B2514" s="2">
        <v>12</v>
      </c>
      <c r="C2514" s="2" t="s">
        <v>587</v>
      </c>
      <c r="D2514" s="2" t="s">
        <v>109</v>
      </c>
      <c r="F2514" s="2">
        <v>503850276</v>
      </c>
      <c r="G2514" s="2" t="s">
        <v>40</v>
      </c>
      <c r="H2514" s="2" t="s">
        <v>588</v>
      </c>
      <c r="I2514" s="2" t="s">
        <v>589</v>
      </c>
      <c r="K2514" s="2" t="s">
        <v>202</v>
      </c>
      <c r="L2514" s="2" t="s">
        <v>81</v>
      </c>
      <c r="O2514" s="2" t="s">
        <v>73</v>
      </c>
      <c r="P2514" s="2" t="s">
        <v>1084</v>
      </c>
      <c r="Q2514" s="2" t="s">
        <v>84</v>
      </c>
      <c r="R2514" s="2">
        <v>-1</v>
      </c>
      <c r="S2514" s="2">
        <v>-248.4</v>
      </c>
      <c r="T2514" s="2">
        <v>-57.132000000000012</v>
      </c>
      <c r="U2514" s="2">
        <v>-305.53199999999998</v>
      </c>
      <c r="V2514" s="2">
        <v>159.54</v>
      </c>
      <c r="Y2514" s="2" t="s">
        <v>3256</v>
      </c>
      <c r="Z2514" s="2" t="s">
        <v>76</v>
      </c>
      <c r="AA2514" s="2" t="s">
        <v>77</v>
      </c>
      <c r="AB2514" s="2" t="s">
        <v>78</v>
      </c>
      <c r="AE2514" s="2">
        <f t="shared" si="244"/>
        <v>0</v>
      </c>
      <c r="AF2514" s="2">
        <f>144.14+15.4</f>
        <v>159.54</v>
      </c>
      <c r="AG2514" s="2">
        <v>280</v>
      </c>
      <c r="AI2514" s="2">
        <f t="shared" si="245"/>
        <v>0</v>
      </c>
      <c r="AJ2514" s="2">
        <f t="shared" si="246"/>
        <v>-407.94</v>
      </c>
    </row>
    <row r="2515" spans="1:37" x14ac:dyDescent="0.2">
      <c r="A2515" s="2">
        <v>2025</v>
      </c>
      <c r="B2515" s="2">
        <v>12</v>
      </c>
      <c r="C2515" s="2" t="s">
        <v>587</v>
      </c>
      <c r="D2515" s="2" t="s">
        <v>109</v>
      </c>
      <c r="F2515" s="2">
        <v>503850276</v>
      </c>
      <c r="G2515" s="2" t="s">
        <v>40</v>
      </c>
      <c r="H2515" s="2" t="s">
        <v>588</v>
      </c>
      <c r="I2515" s="2" t="s">
        <v>589</v>
      </c>
      <c r="K2515" s="2" t="s">
        <v>202</v>
      </c>
      <c r="L2515" s="2" t="s">
        <v>81</v>
      </c>
      <c r="O2515" s="2" t="s">
        <v>94</v>
      </c>
      <c r="P2515" s="2" t="s">
        <v>95</v>
      </c>
      <c r="Q2515" s="2" t="s">
        <v>96</v>
      </c>
      <c r="R2515" s="2">
        <v>-1</v>
      </c>
      <c r="S2515" s="2">
        <v>-1.1399999999999999</v>
      </c>
      <c r="T2515" s="2">
        <v>-0.26219999999999999</v>
      </c>
      <c r="U2515" s="2">
        <v>-1.4021999999999999</v>
      </c>
      <c r="V2515" s="2">
        <v>-1.1399999999999999</v>
      </c>
      <c r="W2515" s="5">
        <f t="shared" ref="W2515:W2520" si="247">(S2515-V2515)/S2515</f>
        <v>0</v>
      </c>
      <c r="Y2515" s="2" t="s">
        <v>3256</v>
      </c>
      <c r="Z2515" s="2" t="s">
        <v>97</v>
      </c>
      <c r="AA2515" s="2" t="s">
        <v>77</v>
      </c>
      <c r="AB2515" s="2" t="s">
        <v>94</v>
      </c>
      <c r="AE2515" s="2">
        <f t="shared" si="244"/>
        <v>0</v>
      </c>
      <c r="AI2515" s="2">
        <f t="shared" si="245"/>
        <v>0</v>
      </c>
      <c r="AJ2515" s="2">
        <f t="shared" si="246"/>
        <v>0</v>
      </c>
      <c r="AK2515" s="5">
        <f t="shared" ref="AK2515:AK2520" si="248">(S2515-V2515)/S2515</f>
        <v>0</v>
      </c>
    </row>
    <row r="2516" spans="1:37" x14ac:dyDescent="0.2">
      <c r="A2516" s="2">
        <v>2025</v>
      </c>
      <c r="B2516" s="2">
        <v>12</v>
      </c>
      <c r="C2516" s="2" t="s">
        <v>593</v>
      </c>
      <c r="D2516" s="2" t="s">
        <v>38</v>
      </c>
      <c r="E2516" s="2" t="s">
        <v>39</v>
      </c>
      <c r="F2516" s="2">
        <v>510339298</v>
      </c>
      <c r="G2516" s="2" t="s">
        <v>41</v>
      </c>
      <c r="H2516" s="2" t="s">
        <v>178</v>
      </c>
      <c r="I2516" s="2" t="s">
        <v>594</v>
      </c>
      <c r="K2516" s="2" t="s">
        <v>178</v>
      </c>
      <c r="O2516" s="2" t="s">
        <v>283</v>
      </c>
      <c r="P2516" s="2" t="s">
        <v>1078</v>
      </c>
      <c r="Q2516" s="2" t="s">
        <v>1079</v>
      </c>
      <c r="R2516" s="2">
        <v>2</v>
      </c>
      <c r="S2516" s="2">
        <v>18.16</v>
      </c>
      <c r="T2516" s="2">
        <v>4.1768000000000001</v>
      </c>
      <c r="U2516" s="2">
        <v>22.3368</v>
      </c>
      <c r="W2516" s="5">
        <f t="shared" si="247"/>
        <v>1</v>
      </c>
      <c r="AE2516" s="2">
        <f t="shared" si="244"/>
        <v>0</v>
      </c>
      <c r="AI2516" s="2">
        <f t="shared" si="245"/>
        <v>0</v>
      </c>
      <c r="AJ2516" s="2">
        <f t="shared" si="246"/>
        <v>18.16</v>
      </c>
      <c r="AK2516" s="5">
        <f t="shared" si="248"/>
        <v>1</v>
      </c>
    </row>
    <row r="2517" spans="1:37" x14ac:dyDescent="0.2">
      <c r="A2517" s="2">
        <v>2025</v>
      </c>
      <c r="B2517" s="2">
        <v>12</v>
      </c>
      <c r="C2517" s="2" t="s">
        <v>593</v>
      </c>
      <c r="D2517" s="2" t="s">
        <v>38</v>
      </c>
      <c r="E2517" s="2" t="s">
        <v>39</v>
      </c>
      <c r="F2517" s="2">
        <v>510339298</v>
      </c>
      <c r="G2517" s="2" t="s">
        <v>41</v>
      </c>
      <c r="H2517" s="2" t="s">
        <v>178</v>
      </c>
      <c r="I2517" s="2" t="s">
        <v>594</v>
      </c>
      <c r="K2517" s="2" t="s">
        <v>178</v>
      </c>
      <c r="L2517" s="2" t="s">
        <v>41</v>
      </c>
      <c r="O2517" s="2" t="s">
        <v>43</v>
      </c>
      <c r="P2517" s="2" t="s">
        <v>49</v>
      </c>
      <c r="Q2517" s="2" t="s">
        <v>50</v>
      </c>
      <c r="R2517" s="2">
        <v>2</v>
      </c>
      <c r="S2517" s="2">
        <v>26</v>
      </c>
      <c r="T2517" s="2">
        <v>5.98</v>
      </c>
      <c r="U2517" s="2">
        <v>31.98</v>
      </c>
      <c r="V2517" s="2">
        <f>6.6267*R2517</f>
        <v>13.253399999999999</v>
      </c>
      <c r="W2517" s="5">
        <f t="shared" si="247"/>
        <v>0.49025384615384621</v>
      </c>
      <c r="Y2517" s="2" t="s">
        <v>3256</v>
      </c>
      <c r="Z2517" s="2" t="s">
        <v>46</v>
      </c>
      <c r="AA2517" s="2" t="s">
        <v>47</v>
      </c>
      <c r="AB2517" s="2" t="s">
        <v>48</v>
      </c>
      <c r="AE2517" s="2">
        <f t="shared" si="244"/>
        <v>0</v>
      </c>
      <c r="AF2517" s="2">
        <v>6.6266999999999996</v>
      </c>
      <c r="AG2517" s="2">
        <v>12</v>
      </c>
      <c r="AI2517" s="2">
        <f t="shared" si="245"/>
        <v>0</v>
      </c>
      <c r="AJ2517" s="2">
        <f t="shared" si="246"/>
        <v>12.746600000000001</v>
      </c>
      <c r="AK2517" s="5">
        <f t="shared" si="248"/>
        <v>0.49025384615384621</v>
      </c>
    </row>
    <row r="2518" spans="1:37" x14ac:dyDescent="0.2">
      <c r="A2518" s="2">
        <v>2025</v>
      </c>
      <c r="B2518" s="2">
        <v>12</v>
      </c>
      <c r="C2518" s="2" t="s">
        <v>593</v>
      </c>
      <c r="D2518" s="2" t="s">
        <v>38</v>
      </c>
      <c r="E2518" s="2" t="s">
        <v>39</v>
      </c>
      <c r="F2518" s="2">
        <v>510339298</v>
      </c>
      <c r="G2518" s="2" t="s">
        <v>41</v>
      </c>
      <c r="H2518" s="2" t="s">
        <v>178</v>
      </c>
      <c r="I2518" s="2" t="s">
        <v>594</v>
      </c>
      <c r="K2518" s="2" t="s">
        <v>178</v>
      </c>
      <c r="L2518" s="2" t="s">
        <v>41</v>
      </c>
      <c r="O2518" s="2" t="s">
        <v>43</v>
      </c>
      <c r="P2518" s="2" t="s">
        <v>161</v>
      </c>
      <c r="Q2518" s="2" t="s">
        <v>162</v>
      </c>
      <c r="R2518" s="2">
        <v>1</v>
      </c>
      <c r="S2518" s="2">
        <v>7.8</v>
      </c>
      <c r="T2518" s="2">
        <v>1.794</v>
      </c>
      <c r="U2518" s="2">
        <v>9.5939999999999994</v>
      </c>
      <c r="V2518" s="2">
        <f>3.7358*R2518</f>
        <v>3.7357999999999998</v>
      </c>
      <c r="W2518" s="5">
        <f t="shared" si="247"/>
        <v>0.52105128205128204</v>
      </c>
      <c r="Y2518" s="2" t="s">
        <v>3256</v>
      </c>
      <c r="Z2518" s="2" t="s">
        <v>46</v>
      </c>
      <c r="AA2518" s="2" t="s">
        <v>47</v>
      </c>
      <c r="AB2518" s="2" t="s">
        <v>48</v>
      </c>
      <c r="AE2518" s="2">
        <f t="shared" si="244"/>
        <v>0</v>
      </c>
      <c r="AF2518" s="2">
        <v>3.7357999999999998</v>
      </c>
      <c r="AG2518" s="2">
        <v>9</v>
      </c>
      <c r="AI2518" s="2">
        <f t="shared" si="245"/>
        <v>0</v>
      </c>
      <c r="AJ2518" s="2">
        <f t="shared" si="246"/>
        <v>4.0641999999999996</v>
      </c>
      <c r="AK2518" s="5">
        <f t="shared" si="248"/>
        <v>0.52105128205128204</v>
      </c>
    </row>
    <row r="2519" spans="1:37" x14ac:dyDescent="0.2">
      <c r="A2519" s="2">
        <v>2025</v>
      </c>
      <c r="B2519" s="2">
        <v>12</v>
      </c>
      <c r="C2519" s="2" t="s">
        <v>599</v>
      </c>
      <c r="D2519" s="2" t="s">
        <v>109</v>
      </c>
      <c r="E2519" s="2" t="s">
        <v>397</v>
      </c>
      <c r="F2519" s="2">
        <v>507476352</v>
      </c>
      <c r="G2519" s="2" t="s">
        <v>110</v>
      </c>
      <c r="H2519" s="2" t="s">
        <v>113</v>
      </c>
      <c r="I2519" s="2" t="s">
        <v>600</v>
      </c>
      <c r="K2519" s="2" t="s">
        <v>113</v>
      </c>
      <c r="L2519" s="2" t="s">
        <v>40</v>
      </c>
      <c r="N2519" s="2" t="s">
        <v>2201</v>
      </c>
      <c r="O2519" s="2" t="s">
        <v>188</v>
      </c>
      <c r="P2519" s="2" t="s">
        <v>189</v>
      </c>
      <c r="Q2519" s="2" t="s">
        <v>190</v>
      </c>
      <c r="R2519" s="2">
        <v>1</v>
      </c>
      <c r="S2519" s="2">
        <v>131</v>
      </c>
      <c r="T2519" s="2">
        <v>30.13</v>
      </c>
      <c r="U2519" s="2">
        <v>161.13</v>
      </c>
      <c r="W2519" s="5">
        <f t="shared" si="247"/>
        <v>1</v>
      </c>
      <c r="Y2519" s="2" t="s">
        <v>118</v>
      </c>
      <c r="Z2519" s="2" t="s">
        <v>191</v>
      </c>
      <c r="AE2519" s="2">
        <f t="shared" si="244"/>
        <v>0</v>
      </c>
      <c r="AI2519" s="2">
        <f t="shared" si="245"/>
        <v>0</v>
      </c>
      <c r="AJ2519" s="2">
        <f t="shared" si="246"/>
        <v>131</v>
      </c>
      <c r="AK2519" s="5">
        <f t="shared" si="248"/>
        <v>1</v>
      </c>
    </row>
    <row r="2520" spans="1:37" x14ac:dyDescent="0.2">
      <c r="A2520" s="2">
        <v>2025</v>
      </c>
      <c r="B2520" s="2">
        <v>12</v>
      </c>
      <c r="C2520" s="2" t="s">
        <v>599</v>
      </c>
      <c r="D2520" s="2" t="s">
        <v>109</v>
      </c>
      <c r="E2520" s="2" t="s">
        <v>397</v>
      </c>
      <c r="F2520" s="2">
        <v>507476352</v>
      </c>
      <c r="G2520" s="2" t="s">
        <v>110</v>
      </c>
      <c r="H2520" s="2" t="s">
        <v>113</v>
      </c>
      <c r="I2520" s="2" t="s">
        <v>600</v>
      </c>
      <c r="K2520" s="2" t="s">
        <v>113</v>
      </c>
      <c r="L2520" s="2" t="s">
        <v>40</v>
      </c>
      <c r="N2520" s="2" t="s">
        <v>2201</v>
      </c>
      <c r="O2520" s="2" t="s">
        <v>188</v>
      </c>
      <c r="P2520" s="2" t="s">
        <v>192</v>
      </c>
      <c r="Q2520" s="2" t="s">
        <v>191</v>
      </c>
      <c r="R2520" s="2">
        <v>2</v>
      </c>
      <c r="S2520" s="2">
        <v>100</v>
      </c>
      <c r="T2520" s="2">
        <v>23</v>
      </c>
      <c r="U2520" s="2">
        <v>123</v>
      </c>
      <c r="V2520" s="2">
        <f>S2520*50%</f>
        <v>50</v>
      </c>
      <c r="W2520" s="5">
        <f t="shared" si="247"/>
        <v>0.5</v>
      </c>
      <c r="Y2520" s="2" t="s">
        <v>118</v>
      </c>
      <c r="Z2520" s="2" t="s">
        <v>191</v>
      </c>
      <c r="AE2520" s="2">
        <f t="shared" si="244"/>
        <v>0</v>
      </c>
      <c r="AI2520" s="2">
        <f t="shared" si="245"/>
        <v>0</v>
      </c>
      <c r="AJ2520" s="2">
        <f t="shared" si="246"/>
        <v>50</v>
      </c>
      <c r="AK2520" s="5">
        <f t="shared" si="248"/>
        <v>0.5</v>
      </c>
    </row>
    <row r="2521" spans="1:37" x14ac:dyDescent="0.2">
      <c r="A2521" s="2">
        <v>2025</v>
      </c>
      <c r="B2521" s="2">
        <v>12</v>
      </c>
      <c r="C2521" s="2" t="s">
        <v>602</v>
      </c>
      <c r="D2521" s="2" t="s">
        <v>38</v>
      </c>
      <c r="E2521" s="2" t="s">
        <v>39</v>
      </c>
      <c r="F2521" s="2">
        <v>509680364</v>
      </c>
      <c r="G2521" s="2" t="s">
        <v>41</v>
      </c>
      <c r="H2521" s="2" t="s">
        <v>603</v>
      </c>
      <c r="I2521" s="2" t="s">
        <v>604</v>
      </c>
      <c r="J2521" s="2">
        <v>919603867</v>
      </c>
      <c r="K2521" s="2" t="s">
        <v>605</v>
      </c>
      <c r="L2521" s="2" t="s">
        <v>41</v>
      </c>
      <c r="N2521" s="2" t="s">
        <v>2202</v>
      </c>
      <c r="O2521" s="2" t="s">
        <v>43</v>
      </c>
      <c r="P2521" s="2" t="s">
        <v>59</v>
      </c>
      <c r="Q2521" s="2" t="s">
        <v>60</v>
      </c>
      <c r="R2521" s="2">
        <v>200</v>
      </c>
      <c r="S2521" s="2">
        <v>0</v>
      </c>
      <c r="T2521" s="2">
        <v>0</v>
      </c>
      <c r="U2521" s="2">
        <v>0</v>
      </c>
      <c r="V2521" s="2">
        <f>0.0914*R2521</f>
        <v>18.279999999999998</v>
      </c>
      <c r="W2521" s="5">
        <f>IF(S2521=0,IF(V2521&gt;0,-100%,0%),(S2521-V2521)/S2521)</f>
        <v>-1</v>
      </c>
      <c r="Y2521" s="2" t="s">
        <v>3256</v>
      </c>
      <c r="Z2521" s="2" t="s">
        <v>46</v>
      </c>
      <c r="AA2521" s="2" t="s">
        <v>61</v>
      </c>
      <c r="AB2521" s="2" t="s">
        <v>58</v>
      </c>
      <c r="AE2521" s="2">
        <f t="shared" si="244"/>
        <v>0</v>
      </c>
      <c r="AF2521" s="2">
        <v>9.14</v>
      </c>
      <c r="AG2521" s="2">
        <v>16</v>
      </c>
      <c r="AI2521" s="2">
        <f t="shared" si="245"/>
        <v>0</v>
      </c>
      <c r="AJ2521" s="2">
        <f t="shared" si="246"/>
        <v>-18.279999999999998</v>
      </c>
      <c r="AK2521" s="5">
        <f>IF(S2521=0,IF(V2521&gt;0,-100%,0%),(S2521-V2521)/S2521)</f>
        <v>-1</v>
      </c>
    </row>
    <row r="2522" spans="1:37" x14ac:dyDescent="0.2">
      <c r="A2522" s="2">
        <v>2025</v>
      </c>
      <c r="B2522" s="2">
        <v>12</v>
      </c>
      <c r="C2522" s="2" t="s">
        <v>602</v>
      </c>
      <c r="D2522" s="2" t="s">
        <v>38</v>
      </c>
      <c r="E2522" s="2" t="s">
        <v>39</v>
      </c>
      <c r="F2522" s="2">
        <v>509680364</v>
      </c>
      <c r="G2522" s="2" t="s">
        <v>41</v>
      </c>
      <c r="H2522" s="2" t="s">
        <v>603</v>
      </c>
      <c r="I2522" s="2" t="s">
        <v>604</v>
      </c>
      <c r="J2522" s="2">
        <v>919603867</v>
      </c>
      <c r="K2522" s="2" t="s">
        <v>605</v>
      </c>
      <c r="L2522" s="2" t="s">
        <v>41</v>
      </c>
      <c r="N2522" s="2" t="s">
        <v>2202</v>
      </c>
      <c r="O2522" s="2" t="s">
        <v>43</v>
      </c>
      <c r="P2522" s="2" t="s">
        <v>62</v>
      </c>
      <c r="Q2522" s="2" t="s">
        <v>63</v>
      </c>
      <c r="R2522" s="2">
        <v>200</v>
      </c>
      <c r="S2522" s="2">
        <v>0</v>
      </c>
      <c r="T2522" s="2">
        <v>0</v>
      </c>
      <c r="U2522" s="2">
        <v>0</v>
      </c>
      <c r="V2522" s="2">
        <f>0.082*R2522</f>
        <v>16.400000000000002</v>
      </c>
      <c r="W2522" s="5">
        <f>IF(S2522=0,IF(V2522&gt;0,-100%,0%),(S2522-V2522)/S2522)</f>
        <v>-1</v>
      </c>
      <c r="Y2522" s="2" t="s">
        <v>3256</v>
      </c>
      <c r="Z2522" s="2" t="s">
        <v>46</v>
      </c>
      <c r="AA2522" s="2" t="s">
        <v>61</v>
      </c>
      <c r="AB2522" s="2" t="s">
        <v>58</v>
      </c>
      <c r="AE2522" s="2">
        <f t="shared" si="244"/>
        <v>0</v>
      </c>
      <c r="AF2522" s="2">
        <v>8.1999999999999993</v>
      </c>
      <c r="AG2522" s="2">
        <v>13</v>
      </c>
      <c r="AI2522" s="2">
        <f t="shared" si="245"/>
        <v>0</v>
      </c>
      <c r="AJ2522" s="2">
        <f t="shared" si="246"/>
        <v>-16.400000000000002</v>
      </c>
      <c r="AK2522" s="5">
        <f>IF(S2522=0,IF(V2522&gt;0,-100%,0%),(S2522-V2522)/S2522)</f>
        <v>-1</v>
      </c>
    </row>
    <row r="2523" spans="1:37" x14ac:dyDescent="0.2">
      <c r="A2523" s="2">
        <v>2025</v>
      </c>
      <c r="B2523" s="2">
        <v>12</v>
      </c>
      <c r="C2523" s="2" t="s">
        <v>602</v>
      </c>
      <c r="D2523" s="2" t="s">
        <v>38</v>
      </c>
      <c r="E2523" s="2" t="s">
        <v>39</v>
      </c>
      <c r="F2523" s="2">
        <v>509680364</v>
      </c>
      <c r="G2523" s="2" t="s">
        <v>41</v>
      </c>
      <c r="H2523" s="2" t="s">
        <v>603</v>
      </c>
      <c r="I2523" s="2" t="s">
        <v>604</v>
      </c>
      <c r="J2523" s="2">
        <v>919603867</v>
      </c>
      <c r="K2523" s="2" t="s">
        <v>605</v>
      </c>
      <c r="L2523" s="2" t="s">
        <v>41</v>
      </c>
      <c r="N2523" s="2" t="s">
        <v>2202</v>
      </c>
      <c r="O2523" s="2" t="s">
        <v>43</v>
      </c>
      <c r="P2523" s="2" t="s">
        <v>255</v>
      </c>
      <c r="Q2523" s="2" t="s">
        <v>256</v>
      </c>
      <c r="R2523" s="2">
        <v>200</v>
      </c>
      <c r="S2523" s="2">
        <v>0</v>
      </c>
      <c r="T2523" s="2">
        <v>0</v>
      </c>
      <c r="U2523" s="2">
        <v>0</v>
      </c>
      <c r="W2523" s="5">
        <f>IF(S2523=0,IF(V2523&gt;0,-100%,0%),(S2523-V2523)/S2523)</f>
        <v>0</v>
      </c>
      <c r="Y2523" s="2" t="s">
        <v>3256</v>
      </c>
      <c r="Z2523" s="2" t="s">
        <v>46</v>
      </c>
      <c r="AA2523" s="2" t="s">
        <v>61</v>
      </c>
      <c r="AB2523" s="2" t="s">
        <v>58</v>
      </c>
      <c r="AE2523" s="2">
        <f t="shared" si="244"/>
        <v>0</v>
      </c>
      <c r="AI2523" s="2">
        <f t="shared" si="245"/>
        <v>0</v>
      </c>
      <c r="AJ2523" s="2">
        <f t="shared" si="246"/>
        <v>0</v>
      </c>
      <c r="AK2523" s="5">
        <f>IF(S2523=0,IF(V2523&gt;0,-100%,0%),(S2523-V2523)/S2523)</f>
        <v>0</v>
      </c>
    </row>
    <row r="2524" spans="1:37" x14ac:dyDescent="0.2">
      <c r="A2524" s="2">
        <v>2025</v>
      </c>
      <c r="B2524" s="2">
        <v>12</v>
      </c>
      <c r="C2524" s="2" t="s">
        <v>602</v>
      </c>
      <c r="D2524" s="2" t="s">
        <v>38</v>
      </c>
      <c r="E2524" s="2" t="s">
        <v>39</v>
      </c>
      <c r="F2524" s="2">
        <v>509680364</v>
      </c>
      <c r="G2524" s="2" t="s">
        <v>41</v>
      </c>
      <c r="H2524" s="2" t="s">
        <v>603</v>
      </c>
      <c r="I2524" s="2" t="s">
        <v>604</v>
      </c>
      <c r="J2524" s="2">
        <v>919603867</v>
      </c>
      <c r="K2524" s="2" t="s">
        <v>605</v>
      </c>
      <c r="L2524" s="2" t="s">
        <v>41</v>
      </c>
      <c r="N2524" s="2" t="s">
        <v>2202</v>
      </c>
      <c r="O2524" s="2" t="s">
        <v>43</v>
      </c>
      <c r="P2524" s="2" t="s">
        <v>66</v>
      </c>
      <c r="Q2524" s="2" t="s">
        <v>67</v>
      </c>
      <c r="R2524" s="2">
        <v>3</v>
      </c>
      <c r="S2524" s="2">
        <v>0</v>
      </c>
      <c r="T2524" s="2">
        <v>0</v>
      </c>
      <c r="U2524" s="2">
        <v>0</v>
      </c>
      <c r="V2524" s="2">
        <f>15.0203*R2524</f>
        <v>45.060900000000004</v>
      </c>
      <c r="W2524" s="5">
        <f>IF(S2524=0,IF(V2524&gt;0,-100%,0%),(S2524-V2524)/S2524)</f>
        <v>-1</v>
      </c>
      <c r="Y2524" s="2" t="s">
        <v>3256</v>
      </c>
      <c r="Z2524" s="2" t="s">
        <v>46</v>
      </c>
      <c r="AA2524" s="2" t="s">
        <v>68</v>
      </c>
      <c r="AB2524" s="2" t="s">
        <v>58</v>
      </c>
      <c r="AE2524" s="2">
        <f t="shared" si="244"/>
        <v>0</v>
      </c>
      <c r="AF2524" s="2">
        <v>15.020300000000001</v>
      </c>
      <c r="AG2524" s="2">
        <v>27.6</v>
      </c>
      <c r="AI2524" s="2">
        <f t="shared" si="245"/>
        <v>0</v>
      </c>
      <c r="AJ2524" s="2">
        <f t="shared" si="246"/>
        <v>-45.060900000000004</v>
      </c>
      <c r="AK2524" s="5">
        <f>IF(S2524=0,IF(V2524&gt;0,-100%,0%),(S2524-V2524)/S2524)</f>
        <v>-1</v>
      </c>
    </row>
    <row r="2525" spans="1:37" x14ac:dyDescent="0.2">
      <c r="A2525" s="2">
        <v>2025</v>
      </c>
      <c r="B2525" s="2">
        <v>12</v>
      </c>
      <c r="C2525" s="2" t="s">
        <v>602</v>
      </c>
      <c r="D2525" s="2" t="s">
        <v>38</v>
      </c>
      <c r="E2525" s="2" t="s">
        <v>39</v>
      </c>
      <c r="F2525" s="2">
        <v>509680364</v>
      </c>
      <c r="G2525" s="2" t="s">
        <v>41</v>
      </c>
      <c r="H2525" s="2" t="s">
        <v>603</v>
      </c>
      <c r="I2525" s="2" t="s">
        <v>604</v>
      </c>
      <c r="J2525" s="2">
        <v>919603867</v>
      </c>
      <c r="K2525" s="2" t="s">
        <v>605</v>
      </c>
      <c r="L2525" s="2" t="s">
        <v>41</v>
      </c>
      <c r="N2525" s="2" t="s">
        <v>2202</v>
      </c>
      <c r="O2525" s="2" t="s">
        <v>167</v>
      </c>
      <c r="P2525" s="2" t="s">
        <v>2203</v>
      </c>
      <c r="Q2525" s="2" t="s">
        <v>2204</v>
      </c>
      <c r="R2525" s="2">
        <v>10</v>
      </c>
      <c r="S2525" s="2">
        <v>0</v>
      </c>
      <c r="T2525" s="2">
        <v>0</v>
      </c>
      <c r="U2525" s="2">
        <v>0</v>
      </c>
      <c r="W2525" s="5">
        <v>0</v>
      </c>
      <c r="Y2525" s="2" t="s">
        <v>3256</v>
      </c>
      <c r="Z2525" s="2" t="s">
        <v>88</v>
      </c>
      <c r="AA2525" s="2" t="s">
        <v>120</v>
      </c>
      <c r="AB2525" s="2" t="s">
        <v>167</v>
      </c>
      <c r="AE2525" s="2">
        <f t="shared" si="244"/>
        <v>0</v>
      </c>
      <c r="AI2525" s="2">
        <f t="shared" si="245"/>
        <v>0</v>
      </c>
      <c r="AJ2525" s="2">
        <f t="shared" si="246"/>
        <v>0</v>
      </c>
      <c r="AK2525" s="5" t="e">
        <f t="shared" ref="AK2525:AK2588" si="249">(S2525-V2525)/S2525</f>
        <v>#DIV/0!</v>
      </c>
    </row>
    <row r="2526" spans="1:37" x14ac:dyDescent="0.2">
      <c r="A2526" s="2">
        <v>2025</v>
      </c>
      <c r="B2526" s="2">
        <v>12</v>
      </c>
      <c r="C2526" s="2" t="s">
        <v>602</v>
      </c>
      <c r="D2526" s="2" t="s">
        <v>38</v>
      </c>
      <c r="E2526" s="2" t="s">
        <v>39</v>
      </c>
      <c r="F2526" s="2">
        <v>509680364</v>
      </c>
      <c r="G2526" s="2" t="s">
        <v>41</v>
      </c>
      <c r="H2526" s="2" t="s">
        <v>603</v>
      </c>
      <c r="I2526" s="2" t="s">
        <v>604</v>
      </c>
      <c r="J2526" s="2">
        <v>919603867</v>
      </c>
      <c r="K2526" s="2" t="s">
        <v>605</v>
      </c>
      <c r="L2526" s="2" t="s">
        <v>41</v>
      </c>
      <c r="N2526" s="2" t="s">
        <v>2202</v>
      </c>
      <c r="O2526" s="2" t="s">
        <v>85</v>
      </c>
      <c r="P2526" s="2" t="s">
        <v>1218</v>
      </c>
      <c r="Q2526" s="2" t="s">
        <v>1219</v>
      </c>
      <c r="R2526" s="2">
        <v>10</v>
      </c>
      <c r="S2526" s="2">
        <v>0</v>
      </c>
      <c r="T2526" s="2">
        <v>0</v>
      </c>
      <c r="U2526" s="2">
        <v>0</v>
      </c>
      <c r="W2526" s="5" t="e">
        <f t="shared" ref="W2526:W2588" si="250">(S2526-V2526)/S2526</f>
        <v>#DIV/0!</v>
      </c>
      <c r="Y2526" s="2" t="s">
        <v>3256</v>
      </c>
      <c r="Z2526" s="2" t="s">
        <v>88</v>
      </c>
      <c r="AA2526" s="2" t="s">
        <v>61</v>
      </c>
      <c r="AB2526" s="2" t="s">
        <v>85</v>
      </c>
      <c r="AE2526" s="2">
        <f t="shared" si="244"/>
        <v>0</v>
      </c>
      <c r="AI2526" s="2">
        <f t="shared" si="245"/>
        <v>0</v>
      </c>
      <c r="AJ2526" s="2">
        <f t="shared" si="246"/>
        <v>0</v>
      </c>
      <c r="AK2526" s="5" t="e">
        <f t="shared" si="249"/>
        <v>#DIV/0!</v>
      </c>
    </row>
    <row r="2527" spans="1:37" x14ac:dyDescent="0.2">
      <c r="A2527" s="2">
        <v>2025</v>
      </c>
      <c r="B2527" s="2">
        <v>12</v>
      </c>
      <c r="C2527" s="2" t="s">
        <v>602</v>
      </c>
      <c r="D2527" s="2" t="s">
        <v>38</v>
      </c>
      <c r="E2527" s="2" t="s">
        <v>39</v>
      </c>
      <c r="F2527" s="2">
        <v>509680364</v>
      </c>
      <c r="G2527" s="2" t="s">
        <v>41</v>
      </c>
      <c r="H2527" s="2" t="s">
        <v>603</v>
      </c>
      <c r="I2527" s="2" t="s">
        <v>604</v>
      </c>
      <c r="J2527" s="2">
        <v>919603867</v>
      </c>
      <c r="K2527" s="2" t="s">
        <v>605</v>
      </c>
      <c r="L2527" s="2" t="s">
        <v>41</v>
      </c>
      <c r="N2527" s="2" t="s">
        <v>2202</v>
      </c>
      <c r="O2527" s="2" t="s">
        <v>85</v>
      </c>
      <c r="P2527" s="2" t="s">
        <v>1990</v>
      </c>
      <c r="Q2527" s="2" t="s">
        <v>1991</v>
      </c>
      <c r="R2527" s="2">
        <v>1</v>
      </c>
      <c r="S2527" s="2">
        <v>0</v>
      </c>
      <c r="T2527" s="2">
        <v>0</v>
      </c>
      <c r="U2527" s="2">
        <v>0</v>
      </c>
      <c r="W2527" s="5" t="e">
        <f t="shared" si="250"/>
        <v>#DIV/0!</v>
      </c>
      <c r="Y2527" s="2" t="s">
        <v>3256</v>
      </c>
      <c r="Z2527" s="2" t="s">
        <v>88</v>
      </c>
      <c r="AA2527" s="2" t="s">
        <v>91</v>
      </c>
      <c r="AB2527" s="2" t="s">
        <v>85</v>
      </c>
      <c r="AE2527" s="2">
        <f t="shared" si="244"/>
        <v>0</v>
      </c>
      <c r="AI2527" s="2">
        <f t="shared" si="245"/>
        <v>0</v>
      </c>
      <c r="AJ2527" s="2">
        <f t="shared" si="246"/>
        <v>0</v>
      </c>
      <c r="AK2527" s="5" t="e">
        <f t="shared" si="249"/>
        <v>#DIV/0!</v>
      </c>
    </row>
    <row r="2528" spans="1:37" x14ac:dyDescent="0.2">
      <c r="A2528" s="2">
        <v>2025</v>
      </c>
      <c r="B2528" s="2">
        <v>12</v>
      </c>
      <c r="C2528" s="2" t="s">
        <v>611</v>
      </c>
      <c r="D2528" s="2" t="s">
        <v>109</v>
      </c>
      <c r="E2528" s="2" t="s">
        <v>39</v>
      </c>
      <c r="F2528" s="2">
        <v>504822187</v>
      </c>
      <c r="G2528" s="2" t="s">
        <v>110</v>
      </c>
      <c r="H2528" s="2" t="s">
        <v>612</v>
      </c>
      <c r="I2528" s="2" t="s">
        <v>613</v>
      </c>
      <c r="J2528" s="2">
        <v>966216853</v>
      </c>
      <c r="K2528" s="2" t="s">
        <v>465</v>
      </c>
      <c r="O2528" s="2" t="s">
        <v>283</v>
      </c>
      <c r="P2528" s="2" t="s">
        <v>1214</v>
      </c>
      <c r="Q2528" s="2" t="s">
        <v>1215</v>
      </c>
      <c r="R2528" s="2">
        <v>1</v>
      </c>
      <c r="S2528" s="2">
        <v>23.9</v>
      </c>
      <c r="T2528" s="2">
        <v>5.4969999999999999</v>
      </c>
      <c r="U2528" s="2">
        <v>29.396999999999998</v>
      </c>
      <c r="W2528" s="5">
        <f t="shared" si="250"/>
        <v>1</v>
      </c>
      <c r="AE2528" s="2">
        <f t="shared" si="244"/>
        <v>0</v>
      </c>
      <c r="AI2528" s="2">
        <f t="shared" si="245"/>
        <v>0</v>
      </c>
      <c r="AJ2528" s="2">
        <f t="shared" si="246"/>
        <v>23.9</v>
      </c>
      <c r="AK2528" s="5">
        <f t="shared" si="249"/>
        <v>1</v>
      </c>
    </row>
    <row r="2529" spans="1:37" x14ac:dyDescent="0.2">
      <c r="A2529" s="2">
        <v>2025</v>
      </c>
      <c r="B2529" s="2">
        <v>12</v>
      </c>
      <c r="C2529" s="2" t="s">
        <v>611</v>
      </c>
      <c r="D2529" s="2" t="s">
        <v>109</v>
      </c>
      <c r="E2529" s="2" t="s">
        <v>39</v>
      </c>
      <c r="F2529" s="2">
        <v>504822187</v>
      </c>
      <c r="G2529" s="2" t="s">
        <v>110</v>
      </c>
      <c r="H2529" s="2" t="s">
        <v>612</v>
      </c>
      <c r="I2529" s="2" t="s">
        <v>613</v>
      </c>
      <c r="J2529" s="2">
        <v>966216853</v>
      </c>
      <c r="K2529" s="2" t="s">
        <v>465</v>
      </c>
      <c r="O2529" s="2" t="s">
        <v>43</v>
      </c>
      <c r="P2529" s="2" t="s">
        <v>55</v>
      </c>
      <c r="Q2529" s="2" t="s">
        <v>56</v>
      </c>
      <c r="R2529" s="2">
        <v>5</v>
      </c>
      <c r="S2529" s="2">
        <v>80</v>
      </c>
      <c r="T2529" s="2">
        <v>18.399999999999999</v>
      </c>
      <c r="U2529" s="2">
        <v>98.4</v>
      </c>
      <c r="V2529" s="2">
        <f>10.6*R2529</f>
        <v>53</v>
      </c>
      <c r="W2529" s="5">
        <f t="shared" si="250"/>
        <v>0.33750000000000002</v>
      </c>
      <c r="Y2529" s="2" t="s">
        <v>3256</v>
      </c>
      <c r="Z2529" s="2" t="s">
        <v>46</v>
      </c>
      <c r="AA2529" s="2" t="s">
        <v>57</v>
      </c>
      <c r="AB2529" s="2" t="s">
        <v>58</v>
      </c>
      <c r="AE2529" s="2">
        <f t="shared" si="244"/>
        <v>0</v>
      </c>
      <c r="AF2529" s="2">
        <v>10.6</v>
      </c>
      <c r="AG2529" s="2">
        <v>18</v>
      </c>
      <c r="AI2529" s="2">
        <f t="shared" si="245"/>
        <v>0</v>
      </c>
      <c r="AJ2529" s="2">
        <f t="shared" si="246"/>
        <v>27</v>
      </c>
      <c r="AK2529" s="5">
        <f t="shared" si="249"/>
        <v>0.33750000000000002</v>
      </c>
    </row>
    <row r="2530" spans="1:37" x14ac:dyDescent="0.2">
      <c r="A2530" s="2">
        <v>2025</v>
      </c>
      <c r="B2530" s="2">
        <v>12</v>
      </c>
      <c r="C2530" s="2" t="s">
        <v>611</v>
      </c>
      <c r="D2530" s="2" t="s">
        <v>109</v>
      </c>
      <c r="E2530" s="2" t="s">
        <v>39</v>
      </c>
      <c r="F2530" s="2">
        <v>504822187</v>
      </c>
      <c r="G2530" s="2" t="s">
        <v>110</v>
      </c>
      <c r="H2530" s="2" t="s">
        <v>612</v>
      </c>
      <c r="I2530" s="2" t="s">
        <v>613</v>
      </c>
      <c r="J2530" s="2">
        <v>966216853</v>
      </c>
      <c r="K2530" s="2" t="s">
        <v>465</v>
      </c>
      <c r="O2530" s="2" t="s">
        <v>43</v>
      </c>
      <c r="P2530" s="2" t="s">
        <v>66</v>
      </c>
      <c r="Q2530" s="2" t="s">
        <v>67</v>
      </c>
      <c r="R2530" s="2">
        <v>1</v>
      </c>
      <c r="S2530" s="2">
        <v>25</v>
      </c>
      <c r="T2530" s="2">
        <v>5.75</v>
      </c>
      <c r="U2530" s="2">
        <v>30.75</v>
      </c>
      <c r="V2530" s="2">
        <f>15.0203*R2530</f>
        <v>15.020300000000001</v>
      </c>
      <c r="W2530" s="5">
        <f t="shared" si="250"/>
        <v>0.39918799999999999</v>
      </c>
      <c r="Y2530" s="2" t="s">
        <v>3256</v>
      </c>
      <c r="Z2530" s="2" t="s">
        <v>46</v>
      </c>
      <c r="AA2530" s="2" t="s">
        <v>68</v>
      </c>
      <c r="AB2530" s="2" t="s">
        <v>58</v>
      </c>
      <c r="AE2530" s="2">
        <f t="shared" si="244"/>
        <v>0</v>
      </c>
      <c r="AF2530" s="2">
        <v>15.020300000000001</v>
      </c>
      <c r="AG2530" s="2">
        <v>27.6</v>
      </c>
      <c r="AI2530" s="2">
        <f t="shared" si="245"/>
        <v>0</v>
      </c>
      <c r="AJ2530" s="2">
        <f t="shared" si="246"/>
        <v>9.9796999999999993</v>
      </c>
      <c r="AK2530" s="5">
        <f t="shared" si="249"/>
        <v>0.39918799999999999</v>
      </c>
    </row>
    <row r="2531" spans="1:37" x14ac:dyDescent="0.2">
      <c r="A2531" s="2">
        <v>2025</v>
      </c>
      <c r="B2531" s="2">
        <v>12</v>
      </c>
      <c r="C2531" s="2" t="s">
        <v>611</v>
      </c>
      <c r="D2531" s="2" t="s">
        <v>109</v>
      </c>
      <c r="E2531" s="2" t="s">
        <v>39</v>
      </c>
      <c r="F2531" s="2">
        <v>504822187</v>
      </c>
      <c r="G2531" s="2" t="s">
        <v>110</v>
      </c>
      <c r="H2531" s="2" t="s">
        <v>612</v>
      </c>
      <c r="I2531" s="2" t="s">
        <v>613</v>
      </c>
      <c r="J2531" s="2">
        <v>966216853</v>
      </c>
      <c r="K2531" s="2" t="s">
        <v>465</v>
      </c>
      <c r="O2531" s="2" t="s">
        <v>170</v>
      </c>
      <c r="P2531" s="2" t="s">
        <v>171</v>
      </c>
      <c r="Q2531" s="2" t="s">
        <v>171</v>
      </c>
      <c r="R2531" s="2">
        <v>1</v>
      </c>
      <c r="S2531" s="2">
        <v>5</v>
      </c>
      <c r="T2531" s="2">
        <v>1.1499999999999999</v>
      </c>
      <c r="U2531" s="2">
        <v>6.15</v>
      </c>
      <c r="W2531" s="5">
        <f t="shared" si="250"/>
        <v>1</v>
      </c>
      <c r="Y2531" s="2" t="s">
        <v>170</v>
      </c>
      <c r="Z2531" s="2" t="s">
        <v>170</v>
      </c>
      <c r="AE2531" s="2">
        <f t="shared" si="244"/>
        <v>0</v>
      </c>
      <c r="AI2531" s="2">
        <f t="shared" si="245"/>
        <v>0</v>
      </c>
      <c r="AJ2531" s="2">
        <f t="shared" si="246"/>
        <v>5</v>
      </c>
      <c r="AK2531" s="5">
        <f t="shared" si="249"/>
        <v>1</v>
      </c>
    </row>
    <row r="2532" spans="1:37" x14ac:dyDescent="0.2">
      <c r="A2532" s="2">
        <v>2025</v>
      </c>
      <c r="B2532" s="2">
        <v>12</v>
      </c>
      <c r="C2532" s="2" t="s">
        <v>2092</v>
      </c>
      <c r="O2532" s="2" t="s">
        <v>283</v>
      </c>
      <c r="P2532" s="2" t="s">
        <v>1546</v>
      </c>
      <c r="Q2532" s="2" t="s">
        <v>1547</v>
      </c>
      <c r="R2532" s="2">
        <v>1</v>
      </c>
      <c r="S2532" s="2">
        <v>54</v>
      </c>
      <c r="T2532" s="2">
        <v>12.42</v>
      </c>
      <c r="U2532" s="2">
        <v>66.42</v>
      </c>
      <c r="W2532" s="5">
        <f t="shared" si="250"/>
        <v>1</v>
      </c>
      <c r="AE2532" s="2">
        <f t="shared" si="244"/>
        <v>0</v>
      </c>
      <c r="AI2532" s="2">
        <f t="shared" si="245"/>
        <v>0</v>
      </c>
      <c r="AJ2532" s="2">
        <f t="shared" si="246"/>
        <v>54</v>
      </c>
      <c r="AK2532" s="5">
        <f t="shared" si="249"/>
        <v>1</v>
      </c>
    </row>
    <row r="2533" spans="1:37" x14ac:dyDescent="0.2">
      <c r="A2533" s="2">
        <v>2025</v>
      </c>
      <c r="B2533" s="2">
        <v>12</v>
      </c>
      <c r="C2533" s="2" t="s">
        <v>2092</v>
      </c>
      <c r="O2533" s="2" t="s">
        <v>283</v>
      </c>
      <c r="P2533" s="2" t="s">
        <v>2205</v>
      </c>
      <c r="Q2533" s="2" t="s">
        <v>2206</v>
      </c>
      <c r="R2533" s="2">
        <v>1</v>
      </c>
      <c r="S2533" s="2">
        <v>32</v>
      </c>
      <c r="T2533" s="2">
        <v>7.36</v>
      </c>
      <c r="U2533" s="2">
        <v>39.36</v>
      </c>
      <c r="W2533" s="5">
        <f t="shared" si="250"/>
        <v>1</v>
      </c>
      <c r="Y2533" s="2" t="s">
        <v>3256</v>
      </c>
      <c r="Z2533" s="2" t="s">
        <v>583</v>
      </c>
      <c r="AA2533" s="2" t="s">
        <v>120</v>
      </c>
      <c r="AB2533" s="2" t="s">
        <v>1337</v>
      </c>
      <c r="AE2533" s="2">
        <f t="shared" si="244"/>
        <v>0</v>
      </c>
      <c r="AI2533" s="2">
        <f t="shared" si="245"/>
        <v>0</v>
      </c>
      <c r="AJ2533" s="2">
        <f t="shared" si="246"/>
        <v>32</v>
      </c>
      <c r="AK2533" s="5">
        <f t="shared" si="249"/>
        <v>1</v>
      </c>
    </row>
    <row r="2534" spans="1:37" x14ac:dyDescent="0.2">
      <c r="A2534" s="2">
        <v>2025</v>
      </c>
      <c r="B2534" s="2">
        <v>12</v>
      </c>
      <c r="C2534" s="2" t="s">
        <v>1305</v>
      </c>
      <c r="D2534" s="2" t="s">
        <v>184</v>
      </c>
      <c r="E2534" s="2" t="s">
        <v>368</v>
      </c>
      <c r="F2534" s="2">
        <v>500625654</v>
      </c>
      <c r="G2534" s="2" t="s">
        <v>291</v>
      </c>
      <c r="H2534" s="2" t="s">
        <v>340</v>
      </c>
      <c r="I2534" s="2" t="s">
        <v>1306</v>
      </c>
      <c r="K2534" s="2" t="s">
        <v>340</v>
      </c>
      <c r="O2534" s="2" t="s">
        <v>73</v>
      </c>
      <c r="P2534" s="2" t="s">
        <v>347</v>
      </c>
      <c r="Q2534" s="2" t="s">
        <v>75</v>
      </c>
      <c r="R2534" s="2">
        <v>1</v>
      </c>
      <c r="S2534" s="2">
        <v>213.4</v>
      </c>
      <c r="T2534" s="2">
        <v>49.082000000000001</v>
      </c>
      <c r="U2534" s="2">
        <v>262.48200000000003</v>
      </c>
      <c r="V2534" s="2">
        <v>124.4</v>
      </c>
      <c r="W2534" s="5">
        <f t="shared" si="250"/>
        <v>0.41705716963448919</v>
      </c>
      <c r="Y2534" s="2" t="s">
        <v>3256</v>
      </c>
      <c r="Z2534" s="2" t="s">
        <v>76</v>
      </c>
      <c r="AA2534" s="2" t="s">
        <v>77</v>
      </c>
      <c r="AB2534" s="2" t="s">
        <v>78</v>
      </c>
      <c r="AE2534" s="2">
        <f t="shared" si="244"/>
        <v>0</v>
      </c>
      <c r="AF2534" s="2">
        <v>124.4</v>
      </c>
      <c r="AG2534" s="2">
        <v>200</v>
      </c>
      <c r="AI2534" s="2">
        <f t="shared" si="245"/>
        <v>0</v>
      </c>
      <c r="AJ2534" s="2">
        <f t="shared" si="246"/>
        <v>89</v>
      </c>
      <c r="AK2534" s="5">
        <f t="shared" si="249"/>
        <v>0.41705716963448919</v>
      </c>
    </row>
    <row r="2535" spans="1:37" x14ac:dyDescent="0.2">
      <c r="A2535" s="2">
        <v>2025</v>
      </c>
      <c r="B2535" s="2">
        <v>12</v>
      </c>
      <c r="C2535" s="2" t="s">
        <v>1305</v>
      </c>
      <c r="D2535" s="2" t="s">
        <v>184</v>
      </c>
      <c r="E2535" s="2" t="s">
        <v>368</v>
      </c>
      <c r="F2535" s="2">
        <v>500625654</v>
      </c>
      <c r="G2535" s="2" t="s">
        <v>291</v>
      </c>
      <c r="H2535" s="2" t="s">
        <v>340</v>
      </c>
      <c r="I2535" s="2" t="s">
        <v>1306</v>
      </c>
      <c r="K2535" s="2" t="s">
        <v>340</v>
      </c>
      <c r="O2535" s="2" t="s">
        <v>1047</v>
      </c>
      <c r="P2535" s="2" t="s">
        <v>1972</v>
      </c>
      <c r="Q2535" s="2" t="s">
        <v>1973</v>
      </c>
      <c r="R2535" s="2">
        <v>1</v>
      </c>
      <c r="S2535" s="2">
        <v>213.4</v>
      </c>
      <c r="T2535" s="2">
        <v>49.082000000000001</v>
      </c>
      <c r="U2535" s="2">
        <v>262.48200000000003</v>
      </c>
      <c r="W2535" s="5">
        <f t="shared" si="250"/>
        <v>1</v>
      </c>
      <c r="Y2535" s="2" t="s">
        <v>3256</v>
      </c>
      <c r="Z2535" s="2" t="s">
        <v>76</v>
      </c>
      <c r="AA2535" s="2" t="s">
        <v>77</v>
      </c>
      <c r="AB2535" s="2" t="s">
        <v>1047</v>
      </c>
      <c r="AE2535" s="2">
        <f t="shared" si="244"/>
        <v>0</v>
      </c>
      <c r="AI2535" s="2">
        <f t="shared" si="245"/>
        <v>0</v>
      </c>
      <c r="AJ2535" s="2">
        <f t="shared" si="246"/>
        <v>213.4</v>
      </c>
      <c r="AK2535" s="5">
        <f t="shared" si="249"/>
        <v>1</v>
      </c>
    </row>
    <row r="2536" spans="1:37" x14ac:dyDescent="0.2">
      <c r="A2536" s="2">
        <v>2025</v>
      </c>
      <c r="B2536" s="2">
        <v>12</v>
      </c>
      <c r="C2536" s="2" t="s">
        <v>1305</v>
      </c>
      <c r="D2536" s="2" t="s">
        <v>184</v>
      </c>
      <c r="E2536" s="2" t="s">
        <v>368</v>
      </c>
      <c r="F2536" s="2">
        <v>500625654</v>
      </c>
      <c r="G2536" s="2" t="s">
        <v>291</v>
      </c>
      <c r="H2536" s="2" t="s">
        <v>340</v>
      </c>
      <c r="I2536" s="2" t="s">
        <v>1306</v>
      </c>
      <c r="K2536" s="2" t="s">
        <v>340</v>
      </c>
      <c r="L2536" s="2" t="s">
        <v>81</v>
      </c>
      <c r="O2536" s="2" t="s">
        <v>170</v>
      </c>
      <c r="P2536" s="2" t="s">
        <v>171</v>
      </c>
      <c r="Q2536" s="2" t="s">
        <v>171</v>
      </c>
      <c r="R2536" s="2">
        <v>1</v>
      </c>
      <c r="S2536" s="2">
        <v>30</v>
      </c>
      <c r="T2536" s="2">
        <v>6.9</v>
      </c>
      <c r="U2536" s="2">
        <v>36.9</v>
      </c>
      <c r="V2536" s="2">
        <v>23</v>
      </c>
      <c r="W2536" s="5">
        <f t="shared" si="250"/>
        <v>0.23333333333333334</v>
      </c>
      <c r="Y2536" s="2" t="s">
        <v>170</v>
      </c>
      <c r="Z2536" s="2" t="s">
        <v>170</v>
      </c>
      <c r="AE2536" s="2">
        <f t="shared" si="244"/>
        <v>0</v>
      </c>
      <c r="AI2536" s="2">
        <f t="shared" si="245"/>
        <v>0</v>
      </c>
      <c r="AJ2536" s="2">
        <f t="shared" si="246"/>
        <v>7</v>
      </c>
      <c r="AK2536" s="5">
        <f t="shared" si="249"/>
        <v>0.23333333333333334</v>
      </c>
    </row>
    <row r="2537" spans="1:37" x14ac:dyDescent="0.2">
      <c r="A2537" s="2">
        <v>2025</v>
      </c>
      <c r="B2537" s="2">
        <v>12</v>
      </c>
      <c r="C2537" s="2" t="s">
        <v>1305</v>
      </c>
      <c r="D2537" s="2" t="s">
        <v>184</v>
      </c>
      <c r="E2537" s="2" t="s">
        <v>368</v>
      </c>
      <c r="F2537" s="2">
        <v>500625654</v>
      </c>
      <c r="G2537" s="2" t="s">
        <v>291</v>
      </c>
      <c r="H2537" s="2" t="s">
        <v>340</v>
      </c>
      <c r="I2537" s="2" t="s">
        <v>1306</v>
      </c>
      <c r="K2537" s="2" t="s">
        <v>340</v>
      </c>
      <c r="O2537" s="2" t="s">
        <v>94</v>
      </c>
      <c r="P2537" s="2" t="s">
        <v>95</v>
      </c>
      <c r="Q2537" s="2" t="s">
        <v>96</v>
      </c>
      <c r="R2537" s="2">
        <v>2</v>
      </c>
      <c r="S2537" s="2">
        <v>2.2799999999999998</v>
      </c>
      <c r="T2537" s="2">
        <v>0.52439999999999998</v>
      </c>
      <c r="U2537" s="2">
        <v>2.8043999999999998</v>
      </c>
      <c r="V2537" s="2">
        <v>2.2799999999999998</v>
      </c>
      <c r="W2537" s="5">
        <f t="shared" si="250"/>
        <v>0</v>
      </c>
      <c r="Y2537" s="2" t="s">
        <v>3256</v>
      </c>
      <c r="Z2537" s="2" t="s">
        <v>97</v>
      </c>
      <c r="AA2537" s="2" t="s">
        <v>77</v>
      </c>
      <c r="AB2537" s="2" t="s">
        <v>94</v>
      </c>
      <c r="AE2537" s="2">
        <f t="shared" si="244"/>
        <v>0</v>
      </c>
      <c r="AI2537" s="2">
        <f t="shared" si="245"/>
        <v>0</v>
      </c>
      <c r="AJ2537" s="2">
        <f t="shared" si="246"/>
        <v>0</v>
      </c>
      <c r="AK2537" s="5">
        <f t="shared" si="249"/>
        <v>0</v>
      </c>
    </row>
    <row r="2538" spans="1:37" x14ac:dyDescent="0.2">
      <c r="A2538" s="2">
        <v>2025</v>
      </c>
      <c r="B2538" s="2">
        <v>12</v>
      </c>
      <c r="C2538" s="2" t="s">
        <v>623</v>
      </c>
      <c r="D2538" s="2" t="s">
        <v>38</v>
      </c>
      <c r="E2538" s="2" t="s">
        <v>39</v>
      </c>
      <c r="F2538" s="2">
        <v>513759654</v>
      </c>
      <c r="G2538" s="2" t="s">
        <v>41</v>
      </c>
      <c r="H2538" s="2" t="s">
        <v>624</v>
      </c>
      <c r="I2538" s="2" t="s">
        <v>625</v>
      </c>
      <c r="K2538" s="2" t="s">
        <v>422</v>
      </c>
      <c r="O2538" s="2" t="s">
        <v>43</v>
      </c>
      <c r="P2538" s="2" t="s">
        <v>1373</v>
      </c>
      <c r="Q2538" s="2" t="s">
        <v>1374</v>
      </c>
      <c r="R2538" s="2">
        <v>1</v>
      </c>
      <c r="S2538" s="2">
        <v>28.2</v>
      </c>
      <c r="T2538" s="2">
        <v>6.4859999999999998</v>
      </c>
      <c r="U2538" s="2">
        <v>34.686</v>
      </c>
      <c r="W2538" s="5">
        <f t="shared" si="250"/>
        <v>1</v>
      </c>
      <c r="Y2538" s="2" t="s">
        <v>3256</v>
      </c>
      <c r="Z2538" s="2" t="s">
        <v>46</v>
      </c>
      <c r="AA2538" s="2" t="s">
        <v>47</v>
      </c>
      <c r="AB2538" s="2" t="s">
        <v>48</v>
      </c>
      <c r="AE2538" s="2">
        <f t="shared" si="244"/>
        <v>0</v>
      </c>
      <c r="AI2538" s="2">
        <f t="shared" si="245"/>
        <v>0</v>
      </c>
      <c r="AJ2538" s="2">
        <f t="shared" si="246"/>
        <v>28.2</v>
      </c>
      <c r="AK2538" s="5">
        <f t="shared" si="249"/>
        <v>1</v>
      </c>
    </row>
    <row r="2539" spans="1:37" x14ac:dyDescent="0.2">
      <c r="A2539" s="2">
        <v>2025</v>
      </c>
      <c r="B2539" s="2">
        <v>12</v>
      </c>
      <c r="C2539" s="2" t="s">
        <v>623</v>
      </c>
      <c r="D2539" s="2" t="s">
        <v>38</v>
      </c>
      <c r="E2539" s="2" t="s">
        <v>39</v>
      </c>
      <c r="F2539" s="2">
        <v>513759654</v>
      </c>
      <c r="G2539" s="2" t="s">
        <v>41</v>
      </c>
      <c r="H2539" s="2" t="s">
        <v>624</v>
      </c>
      <c r="I2539" s="2" t="s">
        <v>625</v>
      </c>
      <c r="K2539" s="2" t="s">
        <v>422</v>
      </c>
      <c r="O2539" s="2" t="s">
        <v>43</v>
      </c>
      <c r="P2539" s="2" t="s">
        <v>55</v>
      </c>
      <c r="Q2539" s="2" t="s">
        <v>56</v>
      </c>
      <c r="R2539" s="2">
        <v>10</v>
      </c>
      <c r="S2539" s="2">
        <v>140</v>
      </c>
      <c r="T2539" s="2">
        <v>32.200000000000003</v>
      </c>
      <c r="U2539" s="2">
        <v>172.2</v>
      </c>
      <c r="V2539" s="2">
        <f>10.6*R2539</f>
        <v>106</v>
      </c>
      <c r="W2539" s="5">
        <f t="shared" si="250"/>
        <v>0.24285714285714285</v>
      </c>
      <c r="Y2539" s="2" t="s">
        <v>3256</v>
      </c>
      <c r="Z2539" s="2" t="s">
        <v>46</v>
      </c>
      <c r="AA2539" s="2" t="s">
        <v>57</v>
      </c>
      <c r="AB2539" s="2" t="s">
        <v>58</v>
      </c>
      <c r="AE2539" s="2">
        <f t="shared" si="244"/>
        <v>0</v>
      </c>
      <c r="AF2539" s="2">
        <v>10.6</v>
      </c>
      <c r="AG2539" s="2">
        <v>18</v>
      </c>
      <c r="AI2539" s="2">
        <f t="shared" si="245"/>
        <v>0</v>
      </c>
      <c r="AJ2539" s="2">
        <f t="shared" si="246"/>
        <v>34</v>
      </c>
      <c r="AK2539" s="5">
        <f t="shared" si="249"/>
        <v>0.24285714285714285</v>
      </c>
    </row>
    <row r="2540" spans="1:37" x14ac:dyDescent="0.2">
      <c r="A2540" s="2">
        <v>2025</v>
      </c>
      <c r="B2540" s="2">
        <v>12</v>
      </c>
      <c r="C2540" s="2" t="s">
        <v>623</v>
      </c>
      <c r="D2540" s="2" t="s">
        <v>38</v>
      </c>
      <c r="E2540" s="2" t="s">
        <v>39</v>
      </c>
      <c r="F2540" s="2">
        <v>513759654</v>
      </c>
      <c r="G2540" s="2" t="s">
        <v>41</v>
      </c>
      <c r="H2540" s="2" t="s">
        <v>624</v>
      </c>
      <c r="I2540" s="2" t="s">
        <v>625</v>
      </c>
      <c r="K2540" s="2" t="s">
        <v>422</v>
      </c>
      <c r="O2540" s="2" t="s">
        <v>43</v>
      </c>
      <c r="P2540" s="2" t="s">
        <v>59</v>
      </c>
      <c r="Q2540" s="2" t="s">
        <v>60</v>
      </c>
      <c r="R2540" s="2">
        <v>300</v>
      </c>
      <c r="S2540" s="2">
        <v>39</v>
      </c>
      <c r="T2540" s="2">
        <v>8.9700000000000006</v>
      </c>
      <c r="U2540" s="2">
        <v>47.97</v>
      </c>
      <c r="V2540" s="2">
        <f>0.0914*R2540</f>
        <v>27.419999999999998</v>
      </c>
      <c r="W2540" s="5">
        <f t="shared" si="250"/>
        <v>0.29692307692307696</v>
      </c>
      <c r="Y2540" s="2" t="s">
        <v>3256</v>
      </c>
      <c r="Z2540" s="2" t="s">
        <v>46</v>
      </c>
      <c r="AA2540" s="2" t="s">
        <v>61</v>
      </c>
      <c r="AB2540" s="2" t="s">
        <v>58</v>
      </c>
      <c r="AE2540" s="2">
        <f t="shared" si="244"/>
        <v>0</v>
      </c>
      <c r="AF2540" s="2">
        <v>9.14</v>
      </c>
      <c r="AG2540" s="2">
        <v>16</v>
      </c>
      <c r="AI2540" s="2">
        <f t="shared" si="245"/>
        <v>0</v>
      </c>
      <c r="AJ2540" s="2">
        <f t="shared" si="246"/>
        <v>11.580000000000002</v>
      </c>
      <c r="AK2540" s="5">
        <f t="shared" si="249"/>
        <v>0.29692307692307696</v>
      </c>
    </row>
    <row r="2541" spans="1:37" x14ac:dyDescent="0.2">
      <c r="A2541" s="2">
        <v>2025</v>
      </c>
      <c r="B2541" s="2">
        <v>12</v>
      </c>
      <c r="C2541" s="2" t="s">
        <v>623</v>
      </c>
      <c r="D2541" s="2" t="s">
        <v>38</v>
      </c>
      <c r="E2541" s="2" t="s">
        <v>39</v>
      </c>
      <c r="F2541" s="2">
        <v>513759654</v>
      </c>
      <c r="G2541" s="2" t="s">
        <v>41</v>
      </c>
      <c r="H2541" s="2" t="s">
        <v>624</v>
      </c>
      <c r="I2541" s="2" t="s">
        <v>625</v>
      </c>
      <c r="K2541" s="2" t="s">
        <v>422</v>
      </c>
      <c r="O2541" s="2" t="s">
        <v>43</v>
      </c>
      <c r="P2541" s="2" t="s">
        <v>62</v>
      </c>
      <c r="Q2541" s="2" t="s">
        <v>63</v>
      </c>
      <c r="R2541" s="2">
        <v>300</v>
      </c>
      <c r="S2541" s="2">
        <v>39</v>
      </c>
      <c r="T2541" s="2">
        <v>8.9700000000000006</v>
      </c>
      <c r="U2541" s="2">
        <v>47.97</v>
      </c>
      <c r="V2541" s="2">
        <f>0.082*R2541</f>
        <v>24.6</v>
      </c>
      <c r="W2541" s="5">
        <f t="shared" si="250"/>
        <v>0.3692307692307692</v>
      </c>
      <c r="Y2541" s="2" t="s">
        <v>3256</v>
      </c>
      <c r="Z2541" s="2" t="s">
        <v>46</v>
      </c>
      <c r="AA2541" s="2" t="s">
        <v>61</v>
      </c>
      <c r="AB2541" s="2" t="s">
        <v>58</v>
      </c>
      <c r="AE2541" s="2">
        <f t="shared" si="244"/>
        <v>0</v>
      </c>
      <c r="AF2541" s="2">
        <v>8.1999999999999993</v>
      </c>
      <c r="AG2541" s="2">
        <v>13</v>
      </c>
      <c r="AI2541" s="2">
        <f t="shared" si="245"/>
        <v>0</v>
      </c>
      <c r="AJ2541" s="2">
        <f t="shared" si="246"/>
        <v>14.399999999999999</v>
      </c>
      <c r="AK2541" s="5">
        <f t="shared" si="249"/>
        <v>0.3692307692307692</v>
      </c>
    </row>
    <row r="2542" spans="1:37" x14ac:dyDescent="0.2">
      <c r="A2542" s="2">
        <v>2025</v>
      </c>
      <c r="B2542" s="2">
        <v>12</v>
      </c>
      <c r="C2542" s="2" t="s">
        <v>630</v>
      </c>
      <c r="D2542" s="2" t="s">
        <v>38</v>
      </c>
      <c r="E2542" s="2" t="s">
        <v>39</v>
      </c>
      <c r="F2542" s="2" t="s">
        <v>631</v>
      </c>
      <c r="G2542" s="2" t="s">
        <v>40</v>
      </c>
      <c r="H2542" s="2" t="s">
        <v>632</v>
      </c>
      <c r="I2542" s="2" t="s">
        <v>633</v>
      </c>
      <c r="K2542" s="2" t="s">
        <v>632</v>
      </c>
      <c r="L2542" s="2" t="s">
        <v>40</v>
      </c>
      <c r="O2542" s="2" t="s">
        <v>115</v>
      </c>
      <c r="P2542" s="2" t="s">
        <v>1898</v>
      </c>
      <c r="Q2542" s="2" t="s">
        <v>1899</v>
      </c>
      <c r="R2542" s="2">
        <v>1</v>
      </c>
      <c r="S2542" s="2">
        <v>975.21</v>
      </c>
      <c r="T2542" s="2">
        <v>224.29830000000001</v>
      </c>
      <c r="U2542" s="2">
        <v>1199.5083</v>
      </c>
      <c r="W2542" s="5">
        <f t="shared" si="250"/>
        <v>1</v>
      </c>
      <c r="AE2542" s="2">
        <f t="shared" si="244"/>
        <v>0</v>
      </c>
      <c r="AI2542" s="2">
        <f t="shared" si="245"/>
        <v>0</v>
      </c>
      <c r="AJ2542" s="2">
        <f t="shared" si="246"/>
        <v>975.21</v>
      </c>
      <c r="AK2542" s="5">
        <f t="shared" si="249"/>
        <v>1</v>
      </c>
    </row>
    <row r="2543" spans="1:37" x14ac:dyDescent="0.2">
      <c r="A2543" s="2">
        <v>2025</v>
      </c>
      <c r="B2543" s="2">
        <v>12</v>
      </c>
      <c r="C2543" s="2" t="s">
        <v>1668</v>
      </c>
      <c r="D2543" s="2" t="s">
        <v>38</v>
      </c>
      <c r="E2543" s="2" t="s">
        <v>39</v>
      </c>
      <c r="G2543" s="2" t="s">
        <v>41</v>
      </c>
      <c r="H2543" s="2" t="s">
        <v>1669</v>
      </c>
      <c r="I2543" s="2" t="s">
        <v>1670</v>
      </c>
      <c r="K2543" s="2" t="s">
        <v>113</v>
      </c>
      <c r="L2543" s="2" t="s">
        <v>40</v>
      </c>
      <c r="N2543" s="2" t="s">
        <v>2207</v>
      </c>
      <c r="O2543" s="2" t="s">
        <v>188</v>
      </c>
      <c r="P2543" s="2" t="s">
        <v>189</v>
      </c>
      <c r="Q2543" s="2" t="s">
        <v>190</v>
      </c>
      <c r="R2543" s="2">
        <v>5</v>
      </c>
      <c r="S2543" s="2">
        <v>134</v>
      </c>
      <c r="T2543" s="2">
        <v>30.82</v>
      </c>
      <c r="U2543" s="2">
        <v>164.82</v>
      </c>
      <c r="W2543" s="5">
        <f t="shared" si="250"/>
        <v>1</v>
      </c>
      <c r="Y2543" s="2" t="s">
        <v>118</v>
      </c>
      <c r="Z2543" s="2" t="s">
        <v>191</v>
      </c>
      <c r="AE2543" s="2">
        <f t="shared" si="244"/>
        <v>0</v>
      </c>
      <c r="AI2543" s="2">
        <f t="shared" si="245"/>
        <v>0</v>
      </c>
      <c r="AJ2543" s="2">
        <f t="shared" si="246"/>
        <v>134</v>
      </c>
      <c r="AK2543" s="5">
        <f t="shared" si="249"/>
        <v>1</v>
      </c>
    </row>
    <row r="2544" spans="1:37" x14ac:dyDescent="0.2">
      <c r="A2544" s="2">
        <v>2025</v>
      </c>
      <c r="B2544" s="2">
        <v>12</v>
      </c>
      <c r="C2544" s="2" t="s">
        <v>1668</v>
      </c>
      <c r="D2544" s="2" t="s">
        <v>38</v>
      </c>
      <c r="E2544" s="2" t="s">
        <v>39</v>
      </c>
      <c r="G2544" s="2" t="s">
        <v>41</v>
      </c>
      <c r="H2544" s="2" t="s">
        <v>1669</v>
      </c>
      <c r="I2544" s="2" t="s">
        <v>1670</v>
      </c>
      <c r="K2544" s="2" t="s">
        <v>113</v>
      </c>
      <c r="L2544" s="2" t="s">
        <v>40</v>
      </c>
      <c r="N2544" s="2" t="s">
        <v>2207</v>
      </c>
      <c r="O2544" s="2" t="s">
        <v>188</v>
      </c>
      <c r="P2544" s="2" t="s">
        <v>192</v>
      </c>
      <c r="Q2544" s="2" t="s">
        <v>191</v>
      </c>
      <c r="R2544" s="2">
        <v>13</v>
      </c>
      <c r="S2544" s="2">
        <v>100</v>
      </c>
      <c r="T2544" s="2">
        <v>23</v>
      </c>
      <c r="U2544" s="2">
        <v>123</v>
      </c>
      <c r="V2544" s="2">
        <f>S2544*50%</f>
        <v>50</v>
      </c>
      <c r="W2544" s="5">
        <f t="shared" si="250"/>
        <v>0.5</v>
      </c>
      <c r="Y2544" s="2" t="s">
        <v>118</v>
      </c>
      <c r="Z2544" s="2" t="s">
        <v>191</v>
      </c>
      <c r="AE2544" s="2">
        <f t="shared" si="244"/>
        <v>0</v>
      </c>
      <c r="AI2544" s="2">
        <f t="shared" si="245"/>
        <v>0</v>
      </c>
      <c r="AJ2544" s="2">
        <f t="shared" si="246"/>
        <v>50</v>
      </c>
      <c r="AK2544" s="5">
        <f t="shared" si="249"/>
        <v>0.5</v>
      </c>
    </row>
    <row r="2545" spans="1:37" x14ac:dyDescent="0.2">
      <c r="A2545" s="2">
        <v>2025</v>
      </c>
      <c r="B2545" s="2">
        <v>12</v>
      </c>
      <c r="C2545" s="2" t="s">
        <v>1668</v>
      </c>
      <c r="D2545" s="2" t="s">
        <v>38</v>
      </c>
      <c r="E2545" s="2" t="s">
        <v>39</v>
      </c>
      <c r="G2545" s="2" t="s">
        <v>41</v>
      </c>
      <c r="H2545" s="2" t="s">
        <v>1669</v>
      </c>
      <c r="I2545" s="2" t="s">
        <v>1670</v>
      </c>
      <c r="K2545" s="2" t="s">
        <v>113</v>
      </c>
      <c r="L2545" s="2" t="s">
        <v>40</v>
      </c>
      <c r="N2545" s="2" t="s">
        <v>2207</v>
      </c>
      <c r="O2545" s="2" t="s">
        <v>40</v>
      </c>
      <c r="P2545" s="2" t="s">
        <v>364</v>
      </c>
      <c r="Q2545" s="2" t="s">
        <v>365</v>
      </c>
      <c r="R2545" s="2">
        <v>6</v>
      </c>
      <c r="S2545" s="2">
        <v>1165.2</v>
      </c>
      <c r="T2545" s="2">
        <v>267.99599999999998</v>
      </c>
      <c r="U2545" s="2">
        <v>1433.1959999999999</v>
      </c>
      <c r="W2545" s="5">
        <f t="shared" si="250"/>
        <v>1</v>
      </c>
      <c r="Y2545" s="2" t="s">
        <v>118</v>
      </c>
      <c r="Z2545" s="2" t="s">
        <v>119</v>
      </c>
      <c r="AE2545" s="2">
        <f t="shared" si="244"/>
        <v>0</v>
      </c>
      <c r="AI2545" s="2">
        <f t="shared" si="245"/>
        <v>0</v>
      </c>
      <c r="AJ2545" s="2">
        <f t="shared" si="246"/>
        <v>1165.2</v>
      </c>
      <c r="AK2545" s="5">
        <f t="shared" si="249"/>
        <v>1</v>
      </c>
    </row>
    <row r="2546" spans="1:37" x14ac:dyDescent="0.2">
      <c r="A2546" s="2">
        <v>2025</v>
      </c>
      <c r="B2546" s="2">
        <v>12</v>
      </c>
      <c r="C2546" s="2" t="s">
        <v>2208</v>
      </c>
      <c r="L2546" s="2" t="s">
        <v>40</v>
      </c>
      <c r="O2546" s="2" t="s">
        <v>188</v>
      </c>
      <c r="P2546" s="2" t="s">
        <v>189</v>
      </c>
      <c r="Q2546" s="2" t="s">
        <v>190</v>
      </c>
      <c r="R2546" s="2">
        <v>1</v>
      </c>
      <c r="S2546" s="2">
        <v>50</v>
      </c>
      <c r="T2546" s="2">
        <v>11.5</v>
      </c>
      <c r="U2546" s="2">
        <v>61.5</v>
      </c>
      <c r="W2546" s="5">
        <f t="shared" si="250"/>
        <v>1</v>
      </c>
      <c r="Y2546" s="2" t="s">
        <v>118</v>
      </c>
      <c r="Z2546" s="2" t="s">
        <v>191</v>
      </c>
      <c r="AE2546" s="2">
        <f t="shared" si="244"/>
        <v>0</v>
      </c>
      <c r="AI2546" s="2">
        <f t="shared" si="245"/>
        <v>0</v>
      </c>
      <c r="AJ2546" s="2">
        <f t="shared" si="246"/>
        <v>50</v>
      </c>
      <c r="AK2546" s="5">
        <f t="shared" si="249"/>
        <v>1</v>
      </c>
    </row>
    <row r="2547" spans="1:37" x14ac:dyDescent="0.2">
      <c r="A2547" s="2">
        <v>2025</v>
      </c>
      <c r="B2547" s="2">
        <v>12</v>
      </c>
      <c r="C2547" s="2" t="s">
        <v>2208</v>
      </c>
      <c r="L2547" s="2" t="s">
        <v>40</v>
      </c>
      <c r="O2547" s="2" t="s">
        <v>188</v>
      </c>
      <c r="P2547" s="2" t="s">
        <v>192</v>
      </c>
      <c r="Q2547" s="2" t="s">
        <v>191</v>
      </c>
      <c r="R2547" s="2">
        <v>2</v>
      </c>
      <c r="S2547" s="2">
        <v>100</v>
      </c>
      <c r="T2547" s="2">
        <v>23</v>
      </c>
      <c r="U2547" s="2">
        <v>123</v>
      </c>
      <c r="V2547" s="2">
        <f>S2547*50%</f>
        <v>50</v>
      </c>
      <c r="W2547" s="5">
        <f t="shared" si="250"/>
        <v>0.5</v>
      </c>
      <c r="Y2547" s="2" t="s">
        <v>118</v>
      </c>
      <c r="Z2547" s="2" t="s">
        <v>191</v>
      </c>
      <c r="AE2547" s="2">
        <f t="shared" si="244"/>
        <v>0</v>
      </c>
      <c r="AI2547" s="2">
        <f t="shared" si="245"/>
        <v>0</v>
      </c>
      <c r="AJ2547" s="2">
        <f t="shared" si="246"/>
        <v>50</v>
      </c>
      <c r="AK2547" s="5">
        <f t="shared" si="249"/>
        <v>0.5</v>
      </c>
    </row>
    <row r="2548" spans="1:37" x14ac:dyDescent="0.2">
      <c r="A2548" s="2">
        <v>2025</v>
      </c>
      <c r="B2548" s="2">
        <v>12</v>
      </c>
      <c r="C2548" s="2" t="s">
        <v>916</v>
      </c>
      <c r="D2548" s="2" t="s">
        <v>38</v>
      </c>
      <c r="E2548" s="2" t="s">
        <v>39</v>
      </c>
      <c r="F2548" s="2">
        <v>514401788</v>
      </c>
      <c r="G2548" s="2" t="s">
        <v>110</v>
      </c>
      <c r="H2548" s="2" t="s">
        <v>134</v>
      </c>
      <c r="I2548" s="2" t="s">
        <v>917</v>
      </c>
      <c r="J2548" s="2">
        <v>914878988</v>
      </c>
      <c r="K2548" s="2" t="s">
        <v>134</v>
      </c>
      <c r="L2548" s="2" t="s">
        <v>40</v>
      </c>
      <c r="N2548" s="2" t="s">
        <v>2209</v>
      </c>
      <c r="O2548" s="2" t="s">
        <v>40</v>
      </c>
      <c r="P2548" s="2" t="s">
        <v>364</v>
      </c>
      <c r="Q2548" s="2" t="s">
        <v>365</v>
      </c>
      <c r="R2548" s="2">
        <v>1</v>
      </c>
      <c r="S2548" s="2">
        <v>166.25</v>
      </c>
      <c r="T2548" s="2">
        <v>38.237499999999997</v>
      </c>
      <c r="U2548" s="2">
        <v>204.48750000000001</v>
      </c>
      <c r="W2548" s="5">
        <f t="shared" si="250"/>
        <v>1</v>
      </c>
      <c r="Y2548" s="2" t="s">
        <v>120</v>
      </c>
      <c r="Z2548" s="2" t="s">
        <v>366</v>
      </c>
      <c r="AE2548" s="2">
        <f t="shared" si="244"/>
        <v>0</v>
      </c>
      <c r="AI2548" s="2">
        <f t="shared" si="245"/>
        <v>0</v>
      </c>
      <c r="AJ2548" s="2">
        <f t="shared" si="246"/>
        <v>166.25</v>
      </c>
      <c r="AK2548" s="5">
        <f t="shared" si="249"/>
        <v>1</v>
      </c>
    </row>
    <row r="2549" spans="1:37" x14ac:dyDescent="0.2">
      <c r="A2549" s="2">
        <v>2025</v>
      </c>
      <c r="B2549" s="2">
        <v>12</v>
      </c>
      <c r="C2549" s="2" t="s">
        <v>649</v>
      </c>
      <c r="D2549" s="2" t="s">
        <v>38</v>
      </c>
      <c r="E2549" s="2" t="s">
        <v>39</v>
      </c>
      <c r="F2549" s="2">
        <v>509056946</v>
      </c>
      <c r="G2549" s="2" t="s">
        <v>110</v>
      </c>
      <c r="H2549" s="2" t="s">
        <v>650</v>
      </c>
      <c r="I2549" s="2" t="s">
        <v>651</v>
      </c>
      <c r="J2549" s="2">
        <v>964495536</v>
      </c>
      <c r="K2549" s="2" t="s">
        <v>113</v>
      </c>
      <c r="O2549" s="2" t="s">
        <v>283</v>
      </c>
      <c r="P2549" s="2" t="s">
        <v>1448</v>
      </c>
      <c r="Q2549" s="2" t="s">
        <v>1449</v>
      </c>
      <c r="R2549" s="2">
        <v>10</v>
      </c>
      <c r="S2549" s="2">
        <v>79</v>
      </c>
      <c r="T2549" s="2">
        <v>18.170000000000002</v>
      </c>
      <c r="U2549" s="2">
        <v>97.17</v>
      </c>
      <c r="W2549" s="5">
        <f t="shared" si="250"/>
        <v>1</v>
      </c>
      <c r="AE2549" s="2">
        <f t="shared" si="244"/>
        <v>0</v>
      </c>
      <c r="AI2549" s="2">
        <f t="shared" si="245"/>
        <v>0</v>
      </c>
      <c r="AJ2549" s="2">
        <f t="shared" si="246"/>
        <v>79</v>
      </c>
      <c r="AK2549" s="5">
        <f t="shared" si="249"/>
        <v>1</v>
      </c>
    </row>
    <row r="2550" spans="1:37" x14ac:dyDescent="0.2">
      <c r="A2550" s="2">
        <v>2025</v>
      </c>
      <c r="B2550" s="2">
        <v>12</v>
      </c>
      <c r="C2550" s="2" t="s">
        <v>2210</v>
      </c>
      <c r="O2550" s="2" t="s">
        <v>115</v>
      </c>
      <c r="P2550" s="2" t="s">
        <v>2211</v>
      </c>
      <c r="Q2550" s="2" t="s">
        <v>2212</v>
      </c>
      <c r="R2550" s="2">
        <v>1</v>
      </c>
      <c r="S2550" s="2">
        <v>0</v>
      </c>
      <c r="T2550" s="2">
        <v>0</v>
      </c>
      <c r="U2550" s="2">
        <v>0</v>
      </c>
      <c r="W2550" s="5" t="e">
        <f t="shared" si="250"/>
        <v>#DIV/0!</v>
      </c>
      <c r="AE2550" s="2">
        <f t="shared" si="244"/>
        <v>0</v>
      </c>
      <c r="AI2550" s="2">
        <f t="shared" si="245"/>
        <v>0</v>
      </c>
      <c r="AJ2550" s="2">
        <f t="shared" si="246"/>
        <v>0</v>
      </c>
      <c r="AK2550" s="5" t="e">
        <f t="shared" si="249"/>
        <v>#DIV/0!</v>
      </c>
    </row>
    <row r="2551" spans="1:37" x14ac:dyDescent="0.2">
      <c r="A2551" s="2">
        <v>2025</v>
      </c>
      <c r="B2551" s="2">
        <v>12</v>
      </c>
      <c r="C2551" s="2" t="s">
        <v>2210</v>
      </c>
      <c r="O2551" s="2" t="s">
        <v>115</v>
      </c>
      <c r="P2551" s="2" t="s">
        <v>842</v>
      </c>
      <c r="Q2551" s="2" t="s">
        <v>843</v>
      </c>
      <c r="R2551" s="2">
        <v>1</v>
      </c>
      <c r="S2551" s="2">
        <v>14990</v>
      </c>
      <c r="T2551" s="2">
        <v>3447.7</v>
      </c>
      <c r="U2551" s="2">
        <v>18437.7</v>
      </c>
      <c r="W2551" s="5">
        <f t="shared" si="250"/>
        <v>1</v>
      </c>
      <c r="Y2551" s="2" t="s">
        <v>105</v>
      </c>
      <c r="AE2551" s="2">
        <f t="shared" si="244"/>
        <v>0</v>
      </c>
      <c r="AI2551" s="2">
        <f t="shared" si="245"/>
        <v>0</v>
      </c>
      <c r="AJ2551" s="2">
        <f t="shared" si="246"/>
        <v>14990</v>
      </c>
      <c r="AK2551" s="5">
        <f t="shared" si="249"/>
        <v>1</v>
      </c>
    </row>
    <row r="2552" spans="1:37" x14ac:dyDescent="0.2">
      <c r="A2552" s="2">
        <v>2025</v>
      </c>
      <c r="B2552" s="2">
        <v>12</v>
      </c>
      <c r="C2552" s="2" t="s">
        <v>2210</v>
      </c>
      <c r="O2552" s="2" t="s">
        <v>3260</v>
      </c>
      <c r="P2552" s="2" t="s">
        <v>1901</v>
      </c>
      <c r="Q2552" s="2" t="s">
        <v>1902</v>
      </c>
      <c r="R2552" s="2">
        <v>1</v>
      </c>
      <c r="S2552" s="2">
        <v>2435</v>
      </c>
      <c r="T2552" s="2">
        <v>560.05000000000007</v>
      </c>
      <c r="U2552" s="2">
        <v>2995.05</v>
      </c>
      <c r="V2552" s="2">
        <v>987.72270000000003</v>
      </c>
      <c r="W2552" s="5">
        <f t="shared" si="250"/>
        <v>0.59436439425051335</v>
      </c>
      <c r="Y2552" s="2" t="s">
        <v>105</v>
      </c>
      <c r="Z2552" s="2" t="s">
        <v>106</v>
      </c>
      <c r="AA2552" s="2" t="s">
        <v>107</v>
      </c>
      <c r="AB2552" s="2" t="s">
        <v>3260</v>
      </c>
      <c r="AE2552" s="2">
        <f t="shared" si="244"/>
        <v>0</v>
      </c>
      <c r="AI2552" s="2">
        <f t="shared" si="245"/>
        <v>0</v>
      </c>
      <c r="AJ2552" s="2">
        <f t="shared" si="246"/>
        <v>1447.2773</v>
      </c>
      <c r="AK2552" s="5">
        <f t="shared" si="249"/>
        <v>0.59436439425051335</v>
      </c>
    </row>
    <row r="2553" spans="1:37" x14ac:dyDescent="0.2">
      <c r="A2553" s="2">
        <v>2025</v>
      </c>
      <c r="B2553" s="2">
        <v>12</v>
      </c>
      <c r="C2553" s="2" t="s">
        <v>2213</v>
      </c>
      <c r="O2553" s="2" t="s">
        <v>43</v>
      </c>
      <c r="P2553" s="2" t="s">
        <v>64</v>
      </c>
      <c r="Q2553" s="2" t="s">
        <v>65</v>
      </c>
      <c r="R2553" s="2">
        <v>20</v>
      </c>
      <c r="S2553" s="2">
        <v>36</v>
      </c>
      <c r="T2553" s="2">
        <v>8.2800000000000011</v>
      </c>
      <c r="U2553" s="2">
        <v>44.28</v>
      </c>
      <c r="V2553" s="2">
        <f>0.8561*R2553</f>
        <v>17.122</v>
      </c>
      <c r="W2553" s="5">
        <f t="shared" si="250"/>
        <v>0.5243888888888889</v>
      </c>
      <c r="Y2553" s="2" t="s">
        <v>3256</v>
      </c>
      <c r="Z2553" s="2" t="s">
        <v>46</v>
      </c>
      <c r="AA2553" s="2" t="s">
        <v>61</v>
      </c>
      <c r="AB2553" s="2" t="s">
        <v>58</v>
      </c>
      <c r="AE2553" s="2">
        <f t="shared" si="244"/>
        <v>0</v>
      </c>
      <c r="AF2553" s="2">
        <v>0.85609999999999997</v>
      </c>
      <c r="AG2553" s="2">
        <v>1.8</v>
      </c>
      <c r="AI2553" s="2">
        <f t="shared" si="245"/>
        <v>0</v>
      </c>
      <c r="AJ2553" s="2">
        <f t="shared" si="246"/>
        <v>18.878</v>
      </c>
      <c r="AK2553" s="5">
        <f t="shared" si="249"/>
        <v>0.5243888888888889</v>
      </c>
    </row>
    <row r="2554" spans="1:37" x14ac:dyDescent="0.2">
      <c r="A2554" s="2">
        <v>2025</v>
      </c>
      <c r="B2554" s="2">
        <v>12</v>
      </c>
      <c r="C2554" s="2" t="s">
        <v>2213</v>
      </c>
      <c r="O2554" s="2" t="s">
        <v>170</v>
      </c>
      <c r="P2554" s="2" t="s">
        <v>171</v>
      </c>
      <c r="Q2554" s="2" t="s">
        <v>171</v>
      </c>
      <c r="R2554" s="2">
        <v>1</v>
      </c>
      <c r="S2554" s="2">
        <v>8</v>
      </c>
      <c r="T2554" s="2">
        <v>1.84</v>
      </c>
      <c r="U2554" s="2">
        <v>9.84</v>
      </c>
      <c r="W2554" s="5">
        <f t="shared" si="250"/>
        <v>1</v>
      </c>
      <c r="Y2554" s="2" t="s">
        <v>170</v>
      </c>
      <c r="Z2554" s="2" t="s">
        <v>170</v>
      </c>
      <c r="AE2554" s="2">
        <f t="shared" si="244"/>
        <v>0</v>
      </c>
      <c r="AI2554" s="2">
        <f t="shared" si="245"/>
        <v>0</v>
      </c>
      <c r="AJ2554" s="2">
        <f t="shared" si="246"/>
        <v>8</v>
      </c>
      <c r="AK2554" s="5">
        <f t="shared" si="249"/>
        <v>1</v>
      </c>
    </row>
    <row r="2555" spans="1:37" x14ac:dyDescent="0.2">
      <c r="A2555" s="2">
        <v>2025</v>
      </c>
      <c r="B2555" s="2">
        <v>12</v>
      </c>
      <c r="C2555" s="2" t="s">
        <v>1322</v>
      </c>
      <c r="D2555" s="2" t="s">
        <v>38</v>
      </c>
      <c r="E2555" s="2" t="s">
        <v>39</v>
      </c>
      <c r="F2555" s="2">
        <v>509512739</v>
      </c>
      <c r="G2555" s="2" t="s">
        <v>41</v>
      </c>
      <c r="H2555" s="2" t="s">
        <v>178</v>
      </c>
      <c r="I2555" s="2" t="s">
        <v>1323</v>
      </c>
      <c r="K2555" s="2" t="s">
        <v>178</v>
      </c>
      <c r="L2555" s="2" t="s">
        <v>40</v>
      </c>
      <c r="N2555" s="2" t="s">
        <v>2214</v>
      </c>
      <c r="O2555" s="2" t="s">
        <v>115</v>
      </c>
      <c r="P2555" s="2" t="s">
        <v>2215</v>
      </c>
      <c r="Q2555" s="2" t="s">
        <v>2216</v>
      </c>
      <c r="R2555" s="2">
        <v>1</v>
      </c>
      <c r="S2555" s="2">
        <v>15.88</v>
      </c>
      <c r="T2555" s="2">
        <v>3.652400000000001</v>
      </c>
      <c r="U2555" s="2">
        <v>19.532399999999999</v>
      </c>
      <c r="V2555" s="2">
        <v>7.2733999999999996</v>
      </c>
      <c r="W2555" s="5">
        <f t="shared" si="250"/>
        <v>0.54197732997481107</v>
      </c>
      <c r="Y2555" s="2" t="s">
        <v>118</v>
      </c>
      <c r="Z2555" s="2" t="s">
        <v>119</v>
      </c>
      <c r="AA2555" s="2" t="s">
        <v>120</v>
      </c>
      <c r="AB2555" s="2" t="s">
        <v>115</v>
      </c>
      <c r="AE2555" s="2">
        <f t="shared" si="244"/>
        <v>0</v>
      </c>
      <c r="AF2555" s="2">
        <v>7.2733999999999996</v>
      </c>
      <c r="AI2555" s="2">
        <f t="shared" si="245"/>
        <v>0</v>
      </c>
      <c r="AJ2555" s="2">
        <f t="shared" si="246"/>
        <v>8.6066000000000003</v>
      </c>
      <c r="AK2555" s="5">
        <f t="shared" si="249"/>
        <v>0.54197732997481107</v>
      </c>
    </row>
    <row r="2556" spans="1:37" x14ac:dyDescent="0.2">
      <c r="A2556" s="2">
        <v>2025</v>
      </c>
      <c r="B2556" s="2">
        <v>12</v>
      </c>
      <c r="C2556" s="2" t="s">
        <v>1322</v>
      </c>
      <c r="D2556" s="2" t="s">
        <v>38</v>
      </c>
      <c r="E2556" s="2" t="s">
        <v>39</v>
      </c>
      <c r="F2556" s="2">
        <v>509512739</v>
      </c>
      <c r="G2556" s="2" t="s">
        <v>41</v>
      </c>
      <c r="H2556" s="2" t="s">
        <v>178</v>
      </c>
      <c r="I2556" s="2" t="s">
        <v>1323</v>
      </c>
      <c r="K2556" s="2" t="s">
        <v>178</v>
      </c>
      <c r="L2556" s="2" t="s">
        <v>41</v>
      </c>
      <c r="N2556" s="2" t="s">
        <v>2214</v>
      </c>
      <c r="O2556" s="2" t="s">
        <v>43</v>
      </c>
      <c r="P2556" s="2" t="s">
        <v>55</v>
      </c>
      <c r="Q2556" s="2" t="s">
        <v>56</v>
      </c>
      <c r="R2556" s="2">
        <v>2</v>
      </c>
      <c r="S2556" s="2">
        <v>36</v>
      </c>
      <c r="T2556" s="2">
        <v>8.2800000000000011</v>
      </c>
      <c r="U2556" s="2">
        <v>44.28</v>
      </c>
      <c r="V2556" s="2">
        <f>10.6*R2556</f>
        <v>21.2</v>
      </c>
      <c r="W2556" s="5">
        <f t="shared" si="250"/>
        <v>0.41111111111111115</v>
      </c>
      <c r="Y2556" s="2" t="s">
        <v>3256</v>
      </c>
      <c r="Z2556" s="2" t="s">
        <v>46</v>
      </c>
      <c r="AA2556" s="2" t="s">
        <v>57</v>
      </c>
      <c r="AB2556" s="2" t="s">
        <v>58</v>
      </c>
      <c r="AE2556" s="2">
        <f t="shared" si="244"/>
        <v>0</v>
      </c>
      <c r="AF2556" s="2">
        <v>10.6</v>
      </c>
      <c r="AG2556" s="2">
        <v>18</v>
      </c>
      <c r="AI2556" s="2">
        <f t="shared" si="245"/>
        <v>0</v>
      </c>
      <c r="AJ2556" s="2">
        <f t="shared" si="246"/>
        <v>14.8</v>
      </c>
      <c r="AK2556" s="5">
        <f t="shared" si="249"/>
        <v>0.41111111111111115</v>
      </c>
    </row>
    <row r="2557" spans="1:37" x14ac:dyDescent="0.2">
      <c r="A2557" s="2">
        <v>2025</v>
      </c>
      <c r="B2557" s="2">
        <v>12</v>
      </c>
      <c r="C2557" s="2" t="s">
        <v>1322</v>
      </c>
      <c r="D2557" s="2" t="s">
        <v>38</v>
      </c>
      <c r="E2557" s="2" t="s">
        <v>39</v>
      </c>
      <c r="F2557" s="2">
        <v>509512739</v>
      </c>
      <c r="G2557" s="2" t="s">
        <v>41</v>
      </c>
      <c r="H2557" s="2" t="s">
        <v>178</v>
      </c>
      <c r="I2557" s="2" t="s">
        <v>1323</v>
      </c>
      <c r="K2557" s="2" t="s">
        <v>178</v>
      </c>
      <c r="L2557" s="2" t="s">
        <v>41</v>
      </c>
      <c r="N2557" s="2" t="s">
        <v>2217</v>
      </c>
      <c r="O2557" s="2" t="s">
        <v>43</v>
      </c>
      <c r="P2557" s="2" t="s">
        <v>251</v>
      </c>
      <c r="Q2557" s="2" t="s">
        <v>252</v>
      </c>
      <c r="R2557" s="2">
        <v>1</v>
      </c>
      <c r="S2557" s="2">
        <v>60</v>
      </c>
      <c r="T2557" s="2">
        <v>13.8</v>
      </c>
      <c r="U2557" s="2">
        <v>73.8</v>
      </c>
      <c r="V2557" s="2">
        <v>25.79</v>
      </c>
      <c r="W2557" s="5">
        <f t="shared" si="250"/>
        <v>0.57016666666666671</v>
      </c>
      <c r="Y2557" s="2" t="s">
        <v>3256</v>
      </c>
      <c r="Z2557" s="2" t="s">
        <v>46</v>
      </c>
      <c r="AA2557" s="2" t="s">
        <v>91</v>
      </c>
      <c r="AB2557" s="2" t="s">
        <v>58</v>
      </c>
      <c r="AE2557" s="2">
        <f t="shared" si="244"/>
        <v>0</v>
      </c>
      <c r="AF2557" s="2">
        <v>25.79</v>
      </c>
      <c r="AI2557" s="2">
        <f t="shared" si="245"/>
        <v>0</v>
      </c>
      <c r="AJ2557" s="2">
        <f t="shared" si="246"/>
        <v>34.21</v>
      </c>
      <c r="AK2557" s="5">
        <f t="shared" si="249"/>
        <v>0.57016666666666671</v>
      </c>
    </row>
    <row r="2558" spans="1:37" x14ac:dyDescent="0.2">
      <c r="A2558" s="2">
        <v>2025</v>
      </c>
      <c r="B2558" s="2">
        <v>12</v>
      </c>
      <c r="C2558" s="2" t="s">
        <v>1322</v>
      </c>
      <c r="D2558" s="2" t="s">
        <v>38</v>
      </c>
      <c r="E2558" s="2" t="s">
        <v>39</v>
      </c>
      <c r="F2558" s="2">
        <v>509512739</v>
      </c>
      <c r="G2558" s="2" t="s">
        <v>41</v>
      </c>
      <c r="H2558" s="2" t="s">
        <v>178</v>
      </c>
      <c r="I2558" s="2" t="s">
        <v>1323</v>
      </c>
      <c r="K2558" s="2" t="s">
        <v>178</v>
      </c>
      <c r="L2558" s="2" t="s">
        <v>41</v>
      </c>
      <c r="N2558" s="2" t="s">
        <v>2217</v>
      </c>
      <c r="O2558" s="2" t="s">
        <v>43</v>
      </c>
      <c r="P2558" s="2" t="s">
        <v>59</v>
      </c>
      <c r="Q2558" s="2" t="s">
        <v>60</v>
      </c>
      <c r="R2558" s="2">
        <v>100</v>
      </c>
      <c r="S2558" s="2">
        <v>14</v>
      </c>
      <c r="T2558" s="2">
        <v>3.22</v>
      </c>
      <c r="U2558" s="2">
        <v>17.22</v>
      </c>
      <c r="V2558" s="2">
        <f>0.0914*R2558</f>
        <v>9.1399999999999988</v>
      </c>
      <c r="W2558" s="5">
        <f t="shared" si="250"/>
        <v>0.34714285714285725</v>
      </c>
      <c r="Y2558" s="2" t="s">
        <v>3256</v>
      </c>
      <c r="Z2558" s="2" t="s">
        <v>46</v>
      </c>
      <c r="AA2558" s="2" t="s">
        <v>61</v>
      </c>
      <c r="AB2558" s="2" t="s">
        <v>58</v>
      </c>
      <c r="AE2558" s="2">
        <f t="shared" si="244"/>
        <v>0</v>
      </c>
      <c r="AF2558" s="2">
        <v>9.14</v>
      </c>
      <c r="AG2558" s="2">
        <v>16</v>
      </c>
      <c r="AI2558" s="2">
        <f t="shared" si="245"/>
        <v>0</v>
      </c>
      <c r="AJ2558" s="2">
        <f t="shared" si="246"/>
        <v>4.8600000000000012</v>
      </c>
      <c r="AK2558" s="5">
        <f t="shared" si="249"/>
        <v>0.34714285714285725</v>
      </c>
    </row>
    <row r="2559" spans="1:37" x14ac:dyDescent="0.2">
      <c r="A2559" s="2">
        <v>2025</v>
      </c>
      <c r="B2559" s="2">
        <v>12</v>
      </c>
      <c r="C2559" s="2" t="s">
        <v>1322</v>
      </c>
      <c r="D2559" s="2" t="s">
        <v>38</v>
      </c>
      <c r="E2559" s="2" t="s">
        <v>39</v>
      </c>
      <c r="F2559" s="2">
        <v>509512739</v>
      </c>
      <c r="G2559" s="2" t="s">
        <v>41</v>
      </c>
      <c r="H2559" s="2" t="s">
        <v>178</v>
      </c>
      <c r="I2559" s="2" t="s">
        <v>1323</v>
      </c>
      <c r="K2559" s="2" t="s">
        <v>178</v>
      </c>
      <c r="L2559" s="2" t="s">
        <v>41</v>
      </c>
      <c r="N2559" s="2" t="s">
        <v>2217</v>
      </c>
      <c r="O2559" s="2" t="s">
        <v>43</v>
      </c>
      <c r="P2559" s="2" t="s">
        <v>62</v>
      </c>
      <c r="Q2559" s="2" t="s">
        <v>63</v>
      </c>
      <c r="R2559" s="2">
        <v>200</v>
      </c>
      <c r="S2559" s="2">
        <v>26</v>
      </c>
      <c r="T2559" s="2">
        <v>5.98</v>
      </c>
      <c r="U2559" s="2">
        <v>31.98</v>
      </c>
      <c r="V2559" s="2">
        <f>0.082*R2559</f>
        <v>16.400000000000002</v>
      </c>
      <c r="W2559" s="5">
        <f t="shared" si="250"/>
        <v>0.36923076923076914</v>
      </c>
      <c r="Y2559" s="2" t="s">
        <v>3256</v>
      </c>
      <c r="Z2559" s="2" t="s">
        <v>46</v>
      </c>
      <c r="AA2559" s="2" t="s">
        <v>61</v>
      </c>
      <c r="AB2559" s="2" t="s">
        <v>58</v>
      </c>
      <c r="AE2559" s="2">
        <f t="shared" si="244"/>
        <v>0</v>
      </c>
      <c r="AF2559" s="2">
        <v>8.1999999999999993</v>
      </c>
      <c r="AG2559" s="2">
        <v>13</v>
      </c>
      <c r="AI2559" s="2">
        <f t="shared" si="245"/>
        <v>0</v>
      </c>
      <c r="AJ2559" s="2">
        <f t="shared" si="246"/>
        <v>9.5999999999999979</v>
      </c>
      <c r="AK2559" s="5">
        <f t="shared" si="249"/>
        <v>0.36923076923076914</v>
      </c>
    </row>
    <row r="2560" spans="1:37" x14ac:dyDescent="0.2">
      <c r="A2560" s="2">
        <v>2025</v>
      </c>
      <c r="B2560" s="2">
        <v>12</v>
      </c>
      <c r="C2560" s="2" t="s">
        <v>1322</v>
      </c>
      <c r="D2560" s="2" t="s">
        <v>38</v>
      </c>
      <c r="E2560" s="2" t="s">
        <v>39</v>
      </c>
      <c r="F2560" s="2">
        <v>509512739</v>
      </c>
      <c r="G2560" s="2" t="s">
        <v>41</v>
      </c>
      <c r="H2560" s="2" t="s">
        <v>178</v>
      </c>
      <c r="I2560" s="2" t="s">
        <v>1323</v>
      </c>
      <c r="K2560" s="2" t="s">
        <v>178</v>
      </c>
      <c r="L2560" s="2" t="s">
        <v>41</v>
      </c>
      <c r="N2560" s="2" t="s">
        <v>2217</v>
      </c>
      <c r="O2560" s="2" t="s">
        <v>43</v>
      </c>
      <c r="P2560" s="2" t="s">
        <v>255</v>
      </c>
      <c r="Q2560" s="2" t="s">
        <v>256</v>
      </c>
      <c r="R2560" s="2">
        <v>100</v>
      </c>
      <c r="S2560" s="2">
        <v>14</v>
      </c>
      <c r="T2560" s="2">
        <v>3.22</v>
      </c>
      <c r="U2560" s="2">
        <v>17.22</v>
      </c>
      <c r="W2560" s="5">
        <f t="shared" si="250"/>
        <v>1</v>
      </c>
      <c r="Y2560" s="2" t="s">
        <v>3256</v>
      </c>
      <c r="Z2560" s="2" t="s">
        <v>46</v>
      </c>
      <c r="AA2560" s="2" t="s">
        <v>61</v>
      </c>
      <c r="AB2560" s="2" t="s">
        <v>58</v>
      </c>
      <c r="AE2560" s="2">
        <f t="shared" si="244"/>
        <v>0</v>
      </c>
      <c r="AI2560" s="2">
        <f t="shared" si="245"/>
        <v>0</v>
      </c>
      <c r="AJ2560" s="2">
        <f t="shared" si="246"/>
        <v>14</v>
      </c>
      <c r="AK2560" s="5">
        <f t="shared" si="249"/>
        <v>1</v>
      </c>
    </row>
    <row r="2561" spans="1:37" x14ac:dyDescent="0.2">
      <c r="A2561" s="2">
        <v>2025</v>
      </c>
      <c r="B2561" s="2">
        <v>12</v>
      </c>
      <c r="C2561" s="2" t="s">
        <v>1322</v>
      </c>
      <c r="D2561" s="2" t="s">
        <v>38</v>
      </c>
      <c r="E2561" s="2" t="s">
        <v>39</v>
      </c>
      <c r="F2561" s="2">
        <v>509512739</v>
      </c>
      <c r="G2561" s="2" t="s">
        <v>41</v>
      </c>
      <c r="H2561" s="2" t="s">
        <v>178</v>
      </c>
      <c r="I2561" s="2" t="s">
        <v>1323</v>
      </c>
      <c r="K2561" s="2" t="s">
        <v>178</v>
      </c>
      <c r="L2561" s="2" t="s">
        <v>41</v>
      </c>
      <c r="N2561" s="2" t="s">
        <v>2214</v>
      </c>
      <c r="O2561" s="2" t="s">
        <v>43</v>
      </c>
      <c r="P2561" s="2" t="s">
        <v>205</v>
      </c>
      <c r="Q2561" s="2" t="s">
        <v>206</v>
      </c>
      <c r="R2561" s="2">
        <v>4</v>
      </c>
      <c r="S2561" s="2">
        <v>11.2</v>
      </c>
      <c r="T2561" s="2">
        <v>2.5760000000000001</v>
      </c>
      <c r="U2561" s="2">
        <v>13.776</v>
      </c>
      <c r="V2561" s="2">
        <f>1.832*R2561</f>
        <v>7.3280000000000003</v>
      </c>
      <c r="W2561" s="5">
        <f t="shared" si="250"/>
        <v>0.34571428571428564</v>
      </c>
      <c r="Y2561" s="2" t="s">
        <v>3256</v>
      </c>
      <c r="Z2561" s="2" t="s">
        <v>46</v>
      </c>
      <c r="AA2561" s="2" t="s">
        <v>61</v>
      </c>
      <c r="AB2561" s="2" t="s">
        <v>58</v>
      </c>
      <c r="AE2561" s="2">
        <f t="shared" si="244"/>
        <v>0</v>
      </c>
      <c r="AF2561" s="2">
        <v>1.8320000000000001</v>
      </c>
      <c r="AG2561" s="2">
        <v>2.4</v>
      </c>
      <c r="AI2561" s="2">
        <f t="shared" si="245"/>
        <v>0</v>
      </c>
      <c r="AJ2561" s="2">
        <f t="shared" si="246"/>
        <v>3.871999999999999</v>
      </c>
      <c r="AK2561" s="5">
        <f t="shared" si="249"/>
        <v>0.34571428571428564</v>
      </c>
    </row>
    <row r="2562" spans="1:37" x14ac:dyDescent="0.2">
      <c r="A2562" s="2">
        <v>2025</v>
      </c>
      <c r="B2562" s="2">
        <v>12</v>
      </c>
      <c r="C2562" s="2" t="s">
        <v>2218</v>
      </c>
      <c r="O2562" s="2" t="s">
        <v>115</v>
      </c>
      <c r="P2562" s="2" t="s">
        <v>911</v>
      </c>
      <c r="Q2562" s="2" t="s">
        <v>912</v>
      </c>
      <c r="R2562" s="2">
        <v>1</v>
      </c>
      <c r="S2562" s="2">
        <v>599.4</v>
      </c>
      <c r="T2562" s="2">
        <v>137.86199999999999</v>
      </c>
      <c r="U2562" s="2">
        <v>737.26199999999994</v>
      </c>
      <c r="W2562" s="5">
        <f t="shared" si="250"/>
        <v>1</v>
      </c>
      <c r="AE2562" s="2">
        <f t="shared" si="244"/>
        <v>0</v>
      </c>
      <c r="AI2562" s="2">
        <f t="shared" si="245"/>
        <v>0</v>
      </c>
      <c r="AJ2562" s="2">
        <f t="shared" si="246"/>
        <v>599.4</v>
      </c>
      <c r="AK2562" s="5">
        <f t="shared" si="249"/>
        <v>1</v>
      </c>
    </row>
    <row r="2563" spans="1:37" x14ac:dyDescent="0.2">
      <c r="A2563" s="2">
        <v>2025</v>
      </c>
      <c r="B2563" s="2">
        <v>12</v>
      </c>
      <c r="C2563" s="2" t="s">
        <v>2218</v>
      </c>
      <c r="L2563" s="2" t="s">
        <v>40</v>
      </c>
      <c r="O2563" s="2" t="s">
        <v>188</v>
      </c>
      <c r="P2563" s="2" t="s">
        <v>189</v>
      </c>
      <c r="Q2563" s="2" t="s">
        <v>190</v>
      </c>
      <c r="R2563" s="2">
        <v>1</v>
      </c>
      <c r="S2563" s="2">
        <v>261</v>
      </c>
      <c r="T2563" s="2">
        <v>60.03</v>
      </c>
      <c r="U2563" s="2">
        <v>321.02999999999997</v>
      </c>
      <c r="W2563" s="5">
        <f t="shared" si="250"/>
        <v>1</v>
      </c>
      <c r="Y2563" s="2" t="s">
        <v>118</v>
      </c>
      <c r="Z2563" s="2" t="s">
        <v>191</v>
      </c>
      <c r="AE2563" s="2">
        <f t="shared" ref="AE2563:AE2626" si="251">AI2563</f>
        <v>0</v>
      </c>
      <c r="AI2563" s="2">
        <f t="shared" ref="AI2563:AI2626" si="252">AH2563*S2563</f>
        <v>0</v>
      </c>
      <c r="AJ2563" s="2">
        <f t="shared" ref="AJ2563:AJ2626" si="253">S2563-V2563</f>
        <v>261</v>
      </c>
      <c r="AK2563" s="5">
        <f t="shared" si="249"/>
        <v>1</v>
      </c>
    </row>
    <row r="2564" spans="1:37" x14ac:dyDescent="0.2">
      <c r="A2564" s="2">
        <v>2025</v>
      </c>
      <c r="B2564" s="2">
        <v>12</v>
      </c>
      <c r="C2564" s="2" t="s">
        <v>2218</v>
      </c>
      <c r="L2564" s="2" t="s">
        <v>40</v>
      </c>
      <c r="O2564" s="2" t="s">
        <v>188</v>
      </c>
      <c r="P2564" s="2" t="s">
        <v>192</v>
      </c>
      <c r="Q2564" s="2" t="s">
        <v>191</v>
      </c>
      <c r="R2564" s="2">
        <v>3</v>
      </c>
      <c r="S2564" s="2">
        <v>150</v>
      </c>
      <c r="T2564" s="2">
        <v>34.5</v>
      </c>
      <c r="U2564" s="2">
        <v>184.5</v>
      </c>
      <c r="V2564" s="2">
        <f>S2564*50%</f>
        <v>75</v>
      </c>
      <c r="W2564" s="5">
        <f t="shared" si="250"/>
        <v>0.5</v>
      </c>
      <c r="Y2564" s="2" t="s">
        <v>118</v>
      </c>
      <c r="Z2564" s="2" t="s">
        <v>191</v>
      </c>
      <c r="AE2564" s="2">
        <f t="shared" si="251"/>
        <v>0</v>
      </c>
      <c r="AI2564" s="2">
        <f t="shared" si="252"/>
        <v>0</v>
      </c>
      <c r="AJ2564" s="2">
        <f t="shared" si="253"/>
        <v>75</v>
      </c>
      <c r="AK2564" s="5">
        <f t="shared" si="249"/>
        <v>0.5</v>
      </c>
    </row>
    <row r="2565" spans="1:37" x14ac:dyDescent="0.2">
      <c r="A2565" s="2">
        <v>2025</v>
      </c>
      <c r="B2565" s="2">
        <v>12</v>
      </c>
      <c r="C2565" s="2" t="s">
        <v>2102</v>
      </c>
      <c r="O2565" s="2" t="s">
        <v>1047</v>
      </c>
      <c r="P2565" s="2" t="s">
        <v>2219</v>
      </c>
      <c r="Q2565" s="2" t="s">
        <v>2220</v>
      </c>
      <c r="R2565" s="2">
        <v>1</v>
      </c>
      <c r="S2565" s="2">
        <v>260</v>
      </c>
      <c r="T2565" s="2">
        <v>59.8</v>
      </c>
      <c r="U2565" s="2">
        <v>319.8</v>
      </c>
      <c r="W2565" s="5">
        <f t="shared" si="250"/>
        <v>1</v>
      </c>
      <c r="Y2565" s="2" t="s">
        <v>3256</v>
      </c>
      <c r="Z2565" s="2" t="s">
        <v>76</v>
      </c>
      <c r="AA2565" s="2" t="s">
        <v>77</v>
      </c>
      <c r="AB2565" s="2" t="s">
        <v>1047</v>
      </c>
      <c r="AE2565" s="2">
        <f t="shared" si="251"/>
        <v>0</v>
      </c>
      <c r="AI2565" s="2">
        <f t="shared" si="252"/>
        <v>0</v>
      </c>
      <c r="AJ2565" s="2">
        <f t="shared" si="253"/>
        <v>260</v>
      </c>
      <c r="AK2565" s="5">
        <f t="shared" si="249"/>
        <v>1</v>
      </c>
    </row>
    <row r="2566" spans="1:37" x14ac:dyDescent="0.2">
      <c r="A2566" s="2">
        <v>2025</v>
      </c>
      <c r="B2566" s="2">
        <v>12</v>
      </c>
      <c r="C2566" s="2" t="s">
        <v>2102</v>
      </c>
      <c r="O2566" s="2" t="s">
        <v>170</v>
      </c>
      <c r="P2566" s="2" t="s">
        <v>171</v>
      </c>
      <c r="Q2566" s="2" t="s">
        <v>171</v>
      </c>
      <c r="R2566" s="2">
        <v>1</v>
      </c>
      <c r="S2566" s="2">
        <v>40</v>
      </c>
      <c r="T2566" s="2">
        <v>9.2000000000000011</v>
      </c>
      <c r="U2566" s="2">
        <v>49.2</v>
      </c>
      <c r="W2566" s="5">
        <f t="shared" si="250"/>
        <v>1</v>
      </c>
      <c r="Y2566" s="2" t="s">
        <v>170</v>
      </c>
      <c r="Z2566" s="2" t="s">
        <v>170</v>
      </c>
      <c r="AE2566" s="2">
        <f t="shared" si="251"/>
        <v>0</v>
      </c>
      <c r="AI2566" s="2">
        <f t="shared" si="252"/>
        <v>0</v>
      </c>
      <c r="AJ2566" s="2">
        <f t="shared" si="253"/>
        <v>40</v>
      </c>
      <c r="AK2566" s="5">
        <f t="shared" si="249"/>
        <v>1</v>
      </c>
    </row>
    <row r="2567" spans="1:37" x14ac:dyDescent="0.2">
      <c r="A2567" s="2">
        <v>2025</v>
      </c>
      <c r="B2567" s="2">
        <v>12</v>
      </c>
      <c r="C2567" s="2" t="s">
        <v>2102</v>
      </c>
      <c r="O2567" s="2" t="s">
        <v>94</v>
      </c>
      <c r="P2567" s="2" t="s">
        <v>95</v>
      </c>
      <c r="Q2567" s="2" t="s">
        <v>96</v>
      </c>
      <c r="R2567" s="2">
        <v>1</v>
      </c>
      <c r="S2567" s="2">
        <v>1.1399999999999999</v>
      </c>
      <c r="T2567" s="2">
        <v>0.26219999999999999</v>
      </c>
      <c r="U2567" s="2">
        <v>1.4021999999999999</v>
      </c>
      <c r="V2567" s="2">
        <v>1.1399999999999999</v>
      </c>
      <c r="W2567" s="5">
        <f t="shared" si="250"/>
        <v>0</v>
      </c>
      <c r="Y2567" s="2" t="s">
        <v>3256</v>
      </c>
      <c r="Z2567" s="2" t="s">
        <v>97</v>
      </c>
      <c r="AA2567" s="2" t="s">
        <v>77</v>
      </c>
      <c r="AB2567" s="2" t="s">
        <v>94</v>
      </c>
      <c r="AE2567" s="2">
        <f t="shared" si="251"/>
        <v>0</v>
      </c>
      <c r="AI2567" s="2">
        <f t="shared" si="252"/>
        <v>0</v>
      </c>
      <c r="AJ2567" s="2">
        <f t="shared" si="253"/>
        <v>0</v>
      </c>
      <c r="AK2567" s="5">
        <f t="shared" si="249"/>
        <v>0</v>
      </c>
    </row>
    <row r="2568" spans="1:37" x14ac:dyDescent="0.2">
      <c r="A2568" s="2">
        <v>2025</v>
      </c>
      <c r="B2568" s="2">
        <v>9</v>
      </c>
      <c r="C2568" s="2" t="s">
        <v>37</v>
      </c>
      <c r="D2568" s="2" t="s">
        <v>38</v>
      </c>
      <c r="E2568" s="2" t="s">
        <v>39</v>
      </c>
      <c r="G2568" s="2" t="s">
        <v>40</v>
      </c>
      <c r="O2568" s="2" t="s">
        <v>43</v>
      </c>
      <c r="P2568" s="2" t="s">
        <v>55</v>
      </c>
      <c r="Q2568" s="2" t="s">
        <v>56</v>
      </c>
      <c r="R2568" s="2">
        <v>10</v>
      </c>
      <c r="S2568" s="2">
        <v>140</v>
      </c>
      <c r="T2568" s="2">
        <v>32.200000000000003</v>
      </c>
      <c r="U2568" s="2">
        <v>172.2</v>
      </c>
      <c r="V2568" s="2">
        <f>10.6*R2568</f>
        <v>106</v>
      </c>
      <c r="W2568" s="5">
        <f t="shared" si="250"/>
        <v>0.24285714285714285</v>
      </c>
      <c r="Y2568" s="2" t="s">
        <v>3256</v>
      </c>
      <c r="Z2568" s="2" t="s">
        <v>46</v>
      </c>
      <c r="AA2568" s="2" t="s">
        <v>57</v>
      </c>
      <c r="AB2568" s="2" t="s">
        <v>58</v>
      </c>
      <c r="AE2568" s="2">
        <f t="shared" si="251"/>
        <v>0</v>
      </c>
      <c r="AF2568" s="2">
        <v>10.6</v>
      </c>
      <c r="AG2568" s="2">
        <v>18</v>
      </c>
      <c r="AI2568" s="2">
        <f t="shared" si="252"/>
        <v>0</v>
      </c>
      <c r="AJ2568" s="2">
        <f t="shared" si="253"/>
        <v>34</v>
      </c>
      <c r="AK2568" s="5">
        <f t="shared" si="249"/>
        <v>0.24285714285714285</v>
      </c>
    </row>
    <row r="2569" spans="1:37" x14ac:dyDescent="0.2">
      <c r="A2569" s="2">
        <v>2025</v>
      </c>
      <c r="B2569" s="2">
        <v>9</v>
      </c>
      <c r="C2569" s="2" t="s">
        <v>37</v>
      </c>
      <c r="D2569" s="2" t="s">
        <v>38</v>
      </c>
      <c r="E2569" s="2" t="s">
        <v>39</v>
      </c>
      <c r="G2569" s="2" t="s">
        <v>40</v>
      </c>
      <c r="O2569" s="2" t="s">
        <v>43</v>
      </c>
      <c r="P2569" s="2" t="s">
        <v>59</v>
      </c>
      <c r="Q2569" s="2" t="s">
        <v>60</v>
      </c>
      <c r="R2569" s="2">
        <v>500</v>
      </c>
      <c r="S2569" s="2">
        <v>65</v>
      </c>
      <c r="T2569" s="2">
        <v>14.95</v>
      </c>
      <c r="U2569" s="2">
        <v>79.95</v>
      </c>
      <c r="V2569" s="2">
        <f>0.0914*R2569</f>
        <v>45.699999999999996</v>
      </c>
      <c r="W2569" s="5">
        <f t="shared" si="250"/>
        <v>0.29692307692307701</v>
      </c>
      <c r="Y2569" s="2" t="s">
        <v>3256</v>
      </c>
      <c r="Z2569" s="2" t="s">
        <v>46</v>
      </c>
      <c r="AA2569" s="2" t="s">
        <v>61</v>
      </c>
      <c r="AB2569" s="2" t="s">
        <v>58</v>
      </c>
      <c r="AE2569" s="2">
        <f t="shared" si="251"/>
        <v>0</v>
      </c>
      <c r="AF2569" s="2">
        <v>9.14</v>
      </c>
      <c r="AG2569" s="2">
        <v>16</v>
      </c>
      <c r="AI2569" s="2">
        <f t="shared" si="252"/>
        <v>0</v>
      </c>
      <c r="AJ2569" s="2">
        <f t="shared" si="253"/>
        <v>19.300000000000004</v>
      </c>
      <c r="AK2569" s="5">
        <f t="shared" si="249"/>
        <v>0.29692307692307701</v>
      </c>
    </row>
    <row r="2570" spans="1:37" x14ac:dyDescent="0.2">
      <c r="A2570" s="2">
        <v>2025</v>
      </c>
      <c r="B2570" s="2">
        <v>9</v>
      </c>
      <c r="C2570" s="2" t="s">
        <v>37</v>
      </c>
      <c r="D2570" s="2" t="s">
        <v>38</v>
      </c>
      <c r="E2570" s="2" t="s">
        <v>39</v>
      </c>
      <c r="G2570" s="2" t="s">
        <v>40</v>
      </c>
      <c r="O2570" s="2" t="s">
        <v>43</v>
      </c>
      <c r="P2570" s="2" t="s">
        <v>62</v>
      </c>
      <c r="Q2570" s="2" t="s">
        <v>63</v>
      </c>
      <c r="R2570" s="2">
        <v>2000</v>
      </c>
      <c r="S2570" s="2">
        <v>210</v>
      </c>
      <c r="T2570" s="2">
        <v>48.3</v>
      </c>
      <c r="U2570" s="2">
        <v>258.3</v>
      </c>
      <c r="V2570" s="2">
        <f>0.082*R2570</f>
        <v>164</v>
      </c>
      <c r="W2570" s="5">
        <f t="shared" si="250"/>
        <v>0.21904761904761905</v>
      </c>
      <c r="Y2570" s="2" t="s">
        <v>3256</v>
      </c>
      <c r="Z2570" s="2" t="s">
        <v>46</v>
      </c>
      <c r="AA2570" s="2" t="s">
        <v>61</v>
      </c>
      <c r="AB2570" s="2" t="s">
        <v>58</v>
      </c>
      <c r="AE2570" s="2">
        <f t="shared" si="251"/>
        <v>0</v>
      </c>
      <c r="AF2570" s="2">
        <v>8.1999999999999993</v>
      </c>
      <c r="AG2570" s="2">
        <v>13</v>
      </c>
      <c r="AI2570" s="2">
        <f t="shared" si="252"/>
        <v>0</v>
      </c>
      <c r="AJ2570" s="2">
        <f t="shared" si="253"/>
        <v>46</v>
      </c>
      <c r="AK2570" s="5">
        <f t="shared" si="249"/>
        <v>0.21904761904761905</v>
      </c>
    </row>
    <row r="2571" spans="1:37" x14ac:dyDescent="0.2">
      <c r="A2571" s="2">
        <v>2025</v>
      </c>
      <c r="B2571" s="2">
        <v>9</v>
      </c>
      <c r="C2571" s="2" t="s">
        <v>37</v>
      </c>
      <c r="D2571" s="2" t="s">
        <v>38</v>
      </c>
      <c r="E2571" s="2" t="s">
        <v>39</v>
      </c>
      <c r="G2571" s="2" t="s">
        <v>40</v>
      </c>
      <c r="O2571" s="2" t="s">
        <v>43</v>
      </c>
      <c r="P2571" s="2" t="s">
        <v>165</v>
      </c>
      <c r="Q2571" s="2" t="s">
        <v>166</v>
      </c>
      <c r="R2571" s="2">
        <v>1</v>
      </c>
      <c r="S2571" s="2">
        <v>22</v>
      </c>
      <c r="T2571" s="2">
        <v>5.0599999999999996</v>
      </c>
      <c r="U2571" s="2">
        <v>27.06</v>
      </c>
      <c r="V2571" s="2">
        <f>7.9612*R2571</f>
        <v>7.9611999999999998</v>
      </c>
      <c r="W2571" s="5">
        <f t="shared" si="250"/>
        <v>0.63812727272727277</v>
      </c>
      <c r="Y2571" s="2" t="s">
        <v>3256</v>
      </c>
      <c r="Z2571" s="2" t="s">
        <v>46</v>
      </c>
      <c r="AA2571" s="2" t="s">
        <v>68</v>
      </c>
      <c r="AB2571" s="2" t="s">
        <v>58</v>
      </c>
      <c r="AE2571" s="2">
        <f t="shared" si="251"/>
        <v>0</v>
      </c>
      <c r="AF2571" s="2">
        <v>7.9611999999999998</v>
      </c>
      <c r="AG2571" s="2">
        <v>14.4</v>
      </c>
      <c r="AI2571" s="2">
        <f t="shared" si="252"/>
        <v>0</v>
      </c>
      <c r="AJ2571" s="2">
        <f t="shared" si="253"/>
        <v>14.0388</v>
      </c>
      <c r="AK2571" s="5">
        <f t="shared" si="249"/>
        <v>0.63812727272727277</v>
      </c>
    </row>
    <row r="2572" spans="1:37" x14ac:dyDescent="0.2">
      <c r="A2572" s="2">
        <v>2025</v>
      </c>
      <c r="B2572" s="2">
        <v>9</v>
      </c>
      <c r="C2572" s="2" t="s">
        <v>37</v>
      </c>
      <c r="D2572" s="2" t="s">
        <v>38</v>
      </c>
      <c r="E2572" s="2" t="s">
        <v>39</v>
      </c>
      <c r="G2572" s="2" t="s">
        <v>40</v>
      </c>
      <c r="O2572" s="2" t="s">
        <v>43</v>
      </c>
      <c r="P2572" s="2" t="s">
        <v>66</v>
      </c>
      <c r="Q2572" s="2" t="s">
        <v>67</v>
      </c>
      <c r="R2572" s="2">
        <v>1</v>
      </c>
      <c r="S2572" s="2">
        <v>22</v>
      </c>
      <c r="T2572" s="2">
        <v>5.0599999999999996</v>
      </c>
      <c r="U2572" s="2">
        <v>27.06</v>
      </c>
      <c r="V2572" s="2">
        <f>15.0203*R2572</f>
        <v>15.020300000000001</v>
      </c>
      <c r="W2572" s="5">
        <f t="shared" si="250"/>
        <v>0.31725909090909088</v>
      </c>
      <c r="Y2572" s="2" t="s">
        <v>3256</v>
      </c>
      <c r="Z2572" s="2" t="s">
        <v>46</v>
      </c>
      <c r="AA2572" s="2" t="s">
        <v>68</v>
      </c>
      <c r="AB2572" s="2" t="s">
        <v>58</v>
      </c>
      <c r="AE2572" s="2">
        <f t="shared" si="251"/>
        <v>0</v>
      </c>
      <c r="AF2572" s="2">
        <v>15.020300000000001</v>
      </c>
      <c r="AG2572" s="2">
        <v>27.6</v>
      </c>
      <c r="AI2572" s="2">
        <f t="shared" si="252"/>
        <v>0</v>
      </c>
      <c r="AJ2572" s="2">
        <f t="shared" si="253"/>
        <v>6.9796999999999993</v>
      </c>
      <c r="AK2572" s="5">
        <f t="shared" si="249"/>
        <v>0.31725909090909088</v>
      </c>
    </row>
    <row r="2573" spans="1:37" x14ac:dyDescent="0.2">
      <c r="A2573" s="2">
        <v>2025</v>
      </c>
      <c r="B2573" s="2">
        <v>9</v>
      </c>
      <c r="C2573" s="2" t="s">
        <v>37</v>
      </c>
      <c r="D2573" s="2" t="s">
        <v>38</v>
      </c>
      <c r="E2573" s="2" t="s">
        <v>39</v>
      </c>
      <c r="G2573" s="2" t="s">
        <v>40</v>
      </c>
      <c r="H2573" s="2" t="s">
        <v>2221</v>
      </c>
      <c r="K2573" s="2" t="s">
        <v>100</v>
      </c>
      <c r="L2573" s="2" t="s">
        <v>81</v>
      </c>
      <c r="N2573" s="2" t="s">
        <v>2222</v>
      </c>
      <c r="O2573" s="2" t="s">
        <v>73</v>
      </c>
      <c r="P2573" s="2" t="s">
        <v>331</v>
      </c>
      <c r="Q2573" s="2" t="s">
        <v>332</v>
      </c>
      <c r="R2573" s="2">
        <v>1</v>
      </c>
      <c r="S2573" s="2">
        <v>210.24</v>
      </c>
      <c r="T2573" s="2">
        <v>48.355200000000004</v>
      </c>
      <c r="U2573" s="2">
        <v>258.59519999999998</v>
      </c>
      <c r="V2573" s="2">
        <v>111.11</v>
      </c>
      <c r="W2573" s="5">
        <f t="shared" si="250"/>
        <v>0.47150875190258756</v>
      </c>
      <c r="Y2573" s="2" t="s">
        <v>3256</v>
      </c>
      <c r="Z2573" s="2" t="s">
        <v>76</v>
      </c>
      <c r="AA2573" s="2" t="s">
        <v>77</v>
      </c>
      <c r="AB2573" s="2" t="s">
        <v>78</v>
      </c>
      <c r="AE2573" s="2">
        <f t="shared" si="251"/>
        <v>0</v>
      </c>
      <c r="AF2573" s="2">
        <v>101.30500000000001</v>
      </c>
      <c r="AG2573" s="2">
        <v>190</v>
      </c>
      <c r="AI2573" s="2">
        <f t="shared" si="252"/>
        <v>0</v>
      </c>
      <c r="AJ2573" s="2">
        <f t="shared" si="253"/>
        <v>99.13000000000001</v>
      </c>
      <c r="AK2573" s="5">
        <f t="shared" si="249"/>
        <v>0.47150875190258756</v>
      </c>
    </row>
    <row r="2574" spans="1:37" x14ac:dyDescent="0.2">
      <c r="A2574" s="2">
        <v>2025</v>
      </c>
      <c r="B2574" s="2">
        <v>9</v>
      </c>
      <c r="C2574" s="2" t="s">
        <v>37</v>
      </c>
      <c r="D2574" s="2" t="s">
        <v>38</v>
      </c>
      <c r="E2574" s="2" t="s">
        <v>39</v>
      </c>
      <c r="G2574" s="2" t="s">
        <v>40</v>
      </c>
      <c r="O2574" s="2" t="s">
        <v>73</v>
      </c>
      <c r="P2574" s="2" t="s">
        <v>560</v>
      </c>
      <c r="Q2574" s="2" t="s">
        <v>383</v>
      </c>
      <c r="R2574" s="2">
        <v>1</v>
      </c>
      <c r="S2574" s="2">
        <v>226.5</v>
      </c>
      <c r="T2574" s="2">
        <v>52.094999999999999</v>
      </c>
      <c r="U2574" s="2">
        <v>278.59500000000003</v>
      </c>
      <c r="W2574" s="5">
        <f t="shared" si="250"/>
        <v>1</v>
      </c>
      <c r="Y2574" s="2" t="s">
        <v>3256</v>
      </c>
      <c r="Z2574" s="2" t="s">
        <v>76</v>
      </c>
      <c r="AA2574" s="2" t="s">
        <v>77</v>
      </c>
      <c r="AB2574" s="2" t="s">
        <v>78</v>
      </c>
      <c r="AE2574" s="2">
        <f t="shared" si="251"/>
        <v>0</v>
      </c>
      <c r="AI2574" s="2">
        <f t="shared" si="252"/>
        <v>0</v>
      </c>
      <c r="AJ2574" s="2">
        <f t="shared" si="253"/>
        <v>226.5</v>
      </c>
      <c r="AK2574" s="5">
        <f t="shared" si="249"/>
        <v>1</v>
      </c>
    </row>
    <row r="2575" spans="1:37" x14ac:dyDescent="0.2">
      <c r="A2575" s="2">
        <v>2025</v>
      </c>
      <c r="B2575" s="2">
        <v>9</v>
      </c>
      <c r="C2575" s="2" t="s">
        <v>37</v>
      </c>
      <c r="D2575" s="2" t="s">
        <v>38</v>
      </c>
      <c r="E2575" s="2" t="s">
        <v>39</v>
      </c>
      <c r="G2575" s="2" t="s">
        <v>40</v>
      </c>
      <c r="O2575" s="2" t="s">
        <v>94</v>
      </c>
      <c r="P2575" s="2" t="s">
        <v>95</v>
      </c>
      <c r="Q2575" s="2" t="s">
        <v>96</v>
      </c>
      <c r="R2575" s="2">
        <v>2</v>
      </c>
      <c r="S2575" s="2">
        <v>2.2799999999999998</v>
      </c>
      <c r="T2575" s="2">
        <v>0.52439999999999998</v>
      </c>
      <c r="U2575" s="2">
        <v>2.8043999999999998</v>
      </c>
      <c r="V2575" s="2">
        <v>2.2799999999999998</v>
      </c>
      <c r="W2575" s="5">
        <f t="shared" si="250"/>
        <v>0</v>
      </c>
      <c r="Y2575" s="2" t="s">
        <v>3256</v>
      </c>
      <c r="Z2575" s="2" t="s">
        <v>97</v>
      </c>
      <c r="AA2575" s="2" t="s">
        <v>77</v>
      </c>
      <c r="AB2575" s="2" t="s">
        <v>94</v>
      </c>
      <c r="AE2575" s="2">
        <f t="shared" si="251"/>
        <v>0</v>
      </c>
      <c r="AI2575" s="2">
        <f t="shared" si="252"/>
        <v>0</v>
      </c>
      <c r="AJ2575" s="2">
        <f t="shared" si="253"/>
        <v>0</v>
      </c>
      <c r="AK2575" s="5">
        <f t="shared" si="249"/>
        <v>0</v>
      </c>
    </row>
    <row r="2576" spans="1:37" x14ac:dyDescent="0.2">
      <c r="A2576" s="2">
        <v>2025</v>
      </c>
      <c r="B2576" s="2">
        <v>9</v>
      </c>
      <c r="C2576" s="2" t="s">
        <v>1877</v>
      </c>
      <c r="D2576" s="2" t="s">
        <v>109</v>
      </c>
      <c r="F2576" s="2">
        <v>515549134</v>
      </c>
      <c r="G2576" s="2" t="s">
        <v>41</v>
      </c>
      <c r="H2576" s="2" t="s">
        <v>1878</v>
      </c>
      <c r="I2576" s="2" t="s">
        <v>1879</v>
      </c>
      <c r="K2576" s="2" t="s">
        <v>178</v>
      </c>
      <c r="L2576" s="2" t="s">
        <v>41</v>
      </c>
      <c r="N2576" s="2" t="s">
        <v>2223</v>
      </c>
      <c r="O2576" s="2" t="s">
        <v>43</v>
      </c>
      <c r="P2576" s="2" t="s">
        <v>215</v>
      </c>
      <c r="Q2576" s="2" t="s">
        <v>216</v>
      </c>
      <c r="R2576" s="2">
        <v>1</v>
      </c>
      <c r="S2576" s="2">
        <v>13.8</v>
      </c>
      <c r="T2576" s="2">
        <v>3.1739999999999999</v>
      </c>
      <c r="U2576" s="2">
        <v>16.974</v>
      </c>
      <c r="V2576" s="2">
        <v>7.915</v>
      </c>
      <c r="W2576" s="5">
        <f t="shared" si="250"/>
        <v>0.42644927536231886</v>
      </c>
      <c r="Y2576" s="2" t="s">
        <v>3256</v>
      </c>
      <c r="Z2576" s="2" t="s">
        <v>46</v>
      </c>
      <c r="AA2576" s="2" t="s">
        <v>57</v>
      </c>
      <c r="AB2576" s="2" t="s">
        <v>58</v>
      </c>
      <c r="AE2576" s="2">
        <f t="shared" si="251"/>
        <v>0</v>
      </c>
      <c r="AF2576" s="2">
        <v>7.915</v>
      </c>
      <c r="AI2576" s="2">
        <f t="shared" si="252"/>
        <v>0</v>
      </c>
      <c r="AJ2576" s="2">
        <f t="shared" si="253"/>
        <v>5.8850000000000007</v>
      </c>
      <c r="AK2576" s="5">
        <f t="shared" si="249"/>
        <v>0.42644927536231886</v>
      </c>
    </row>
    <row r="2577" spans="1:37" x14ac:dyDescent="0.2">
      <c r="A2577" s="2">
        <v>2025</v>
      </c>
      <c r="B2577" s="2">
        <v>9</v>
      </c>
      <c r="C2577" s="2" t="s">
        <v>1877</v>
      </c>
      <c r="D2577" s="2" t="s">
        <v>109</v>
      </c>
      <c r="F2577" s="2">
        <v>515549134</v>
      </c>
      <c r="G2577" s="2" t="s">
        <v>41</v>
      </c>
      <c r="H2577" s="2" t="s">
        <v>1878</v>
      </c>
      <c r="I2577" s="2" t="s">
        <v>1879</v>
      </c>
      <c r="K2577" s="2" t="s">
        <v>178</v>
      </c>
      <c r="L2577" s="2" t="s">
        <v>41</v>
      </c>
      <c r="N2577" s="2" t="s">
        <v>2223</v>
      </c>
      <c r="O2577" s="2" t="s">
        <v>43</v>
      </c>
      <c r="P2577" s="2" t="s">
        <v>217</v>
      </c>
      <c r="Q2577" s="2" t="s">
        <v>218</v>
      </c>
      <c r="R2577" s="2">
        <v>1</v>
      </c>
      <c r="S2577" s="2">
        <v>17.399999999999999</v>
      </c>
      <c r="T2577" s="2">
        <v>4.0019999999999998</v>
      </c>
      <c r="U2577" s="2">
        <v>21.402000000000001</v>
      </c>
      <c r="V2577" s="2">
        <v>10.035</v>
      </c>
      <c r="W2577" s="5">
        <f t="shared" si="250"/>
        <v>0.42327586206896545</v>
      </c>
      <c r="Y2577" s="2" t="s">
        <v>3256</v>
      </c>
      <c r="Z2577" s="2" t="s">
        <v>46</v>
      </c>
      <c r="AA2577" s="2" t="s">
        <v>57</v>
      </c>
      <c r="AB2577" s="2" t="s">
        <v>58</v>
      </c>
      <c r="AE2577" s="2">
        <f t="shared" si="251"/>
        <v>0</v>
      </c>
      <c r="AF2577" s="2">
        <v>10.035</v>
      </c>
      <c r="AI2577" s="2">
        <f t="shared" si="252"/>
        <v>0</v>
      </c>
      <c r="AJ2577" s="2">
        <f t="shared" si="253"/>
        <v>7.3649999999999984</v>
      </c>
      <c r="AK2577" s="5">
        <f t="shared" si="249"/>
        <v>0.42327586206896545</v>
      </c>
    </row>
    <row r="2578" spans="1:37" x14ac:dyDescent="0.2">
      <c r="A2578" s="2">
        <v>2025</v>
      </c>
      <c r="B2578" s="2">
        <v>9</v>
      </c>
      <c r="C2578" s="2" t="s">
        <v>1877</v>
      </c>
      <c r="D2578" s="2" t="s">
        <v>109</v>
      </c>
      <c r="F2578" s="2">
        <v>515549134</v>
      </c>
      <c r="G2578" s="2" t="s">
        <v>41</v>
      </c>
      <c r="H2578" s="2" t="s">
        <v>1878</v>
      </c>
      <c r="I2578" s="2" t="s">
        <v>1879</v>
      </c>
      <c r="K2578" s="2" t="s">
        <v>178</v>
      </c>
      <c r="L2578" s="2" t="s">
        <v>41</v>
      </c>
      <c r="N2578" s="2" t="s">
        <v>2223</v>
      </c>
      <c r="O2578" s="2" t="s">
        <v>43</v>
      </c>
      <c r="P2578" s="2" t="s">
        <v>219</v>
      </c>
      <c r="Q2578" s="2" t="s">
        <v>220</v>
      </c>
      <c r="R2578" s="2">
        <v>1</v>
      </c>
      <c r="S2578" s="2">
        <v>21</v>
      </c>
      <c r="T2578" s="2">
        <v>4.83</v>
      </c>
      <c r="U2578" s="2">
        <v>25.83</v>
      </c>
      <c r="V2578" s="2">
        <v>12.4434</v>
      </c>
      <c r="W2578" s="5">
        <f t="shared" si="250"/>
        <v>0.40745714285714285</v>
      </c>
      <c r="Y2578" s="2" t="s">
        <v>3256</v>
      </c>
      <c r="Z2578" s="2" t="s">
        <v>46</v>
      </c>
      <c r="AA2578" s="2" t="s">
        <v>57</v>
      </c>
      <c r="AB2578" s="2" t="s">
        <v>58</v>
      </c>
      <c r="AE2578" s="2">
        <f t="shared" si="251"/>
        <v>0</v>
      </c>
      <c r="AF2578" s="2">
        <v>12.4434</v>
      </c>
      <c r="AI2578" s="2">
        <f t="shared" si="252"/>
        <v>0</v>
      </c>
      <c r="AJ2578" s="2">
        <f t="shared" si="253"/>
        <v>8.5565999999999995</v>
      </c>
      <c r="AK2578" s="5">
        <f t="shared" si="249"/>
        <v>0.40745714285714285</v>
      </c>
    </row>
    <row r="2579" spans="1:37" x14ac:dyDescent="0.2">
      <c r="A2579" s="2">
        <v>2025</v>
      </c>
      <c r="B2579" s="2">
        <v>9</v>
      </c>
      <c r="C2579" s="2" t="s">
        <v>1877</v>
      </c>
      <c r="D2579" s="2" t="s">
        <v>109</v>
      </c>
      <c r="F2579" s="2">
        <v>515549134</v>
      </c>
      <c r="G2579" s="2" t="s">
        <v>41</v>
      </c>
      <c r="H2579" s="2" t="s">
        <v>1878</v>
      </c>
      <c r="I2579" s="2" t="s">
        <v>1879</v>
      </c>
      <c r="K2579" s="2" t="s">
        <v>178</v>
      </c>
      <c r="L2579" s="2" t="s">
        <v>41</v>
      </c>
      <c r="N2579" s="2" t="s">
        <v>2224</v>
      </c>
      <c r="O2579" s="2" t="s">
        <v>43</v>
      </c>
      <c r="P2579" s="2" t="s">
        <v>239</v>
      </c>
      <c r="Q2579" s="2" t="s">
        <v>240</v>
      </c>
      <c r="R2579" s="2">
        <v>1</v>
      </c>
      <c r="S2579" s="2">
        <v>19.8</v>
      </c>
      <c r="T2579" s="2">
        <v>4.5540000000000003</v>
      </c>
      <c r="U2579" s="2">
        <v>24.353999999999999</v>
      </c>
      <c r="V2579" s="2">
        <v>11.087999999999999</v>
      </c>
      <c r="W2579" s="5">
        <f t="shared" si="250"/>
        <v>0.44000000000000006</v>
      </c>
      <c r="Y2579" s="2" t="s">
        <v>3256</v>
      </c>
      <c r="Z2579" s="2" t="s">
        <v>46</v>
      </c>
      <c r="AA2579" s="2" t="s">
        <v>57</v>
      </c>
      <c r="AB2579" s="2" t="s">
        <v>58</v>
      </c>
      <c r="AE2579" s="2">
        <f t="shared" si="251"/>
        <v>0</v>
      </c>
      <c r="AF2579" s="2">
        <v>11.087999999999999</v>
      </c>
      <c r="AI2579" s="2">
        <f t="shared" si="252"/>
        <v>0</v>
      </c>
      <c r="AJ2579" s="2">
        <f t="shared" si="253"/>
        <v>8.7120000000000015</v>
      </c>
      <c r="AK2579" s="5">
        <f t="shared" si="249"/>
        <v>0.44000000000000006</v>
      </c>
    </row>
    <row r="2580" spans="1:37" x14ac:dyDescent="0.2">
      <c r="A2580" s="2">
        <v>2025</v>
      </c>
      <c r="B2580" s="2">
        <v>9</v>
      </c>
      <c r="C2580" s="2" t="s">
        <v>108</v>
      </c>
      <c r="D2580" s="2" t="s">
        <v>109</v>
      </c>
      <c r="E2580" s="2" t="s">
        <v>39</v>
      </c>
      <c r="F2580" s="2">
        <v>507499760</v>
      </c>
      <c r="G2580" s="2" t="s">
        <v>110</v>
      </c>
      <c r="H2580" s="2" t="s">
        <v>111</v>
      </c>
      <c r="I2580" s="2" t="s">
        <v>112</v>
      </c>
      <c r="J2580" s="2">
        <v>962002636</v>
      </c>
      <c r="K2580" s="2" t="s">
        <v>113</v>
      </c>
      <c r="L2580" s="2" t="s">
        <v>40</v>
      </c>
      <c r="N2580" s="2" t="s">
        <v>2225</v>
      </c>
      <c r="O2580" s="2" t="s">
        <v>40</v>
      </c>
      <c r="P2580" s="2" t="s">
        <v>364</v>
      </c>
      <c r="Q2580" s="2" t="s">
        <v>365</v>
      </c>
      <c r="R2580" s="2">
        <v>1</v>
      </c>
      <c r="S2580" s="2">
        <v>3500</v>
      </c>
      <c r="T2580" s="2">
        <v>805</v>
      </c>
      <c r="U2580" s="2">
        <v>4305</v>
      </c>
      <c r="W2580" s="5">
        <f t="shared" si="250"/>
        <v>1</v>
      </c>
      <c r="Y2580" s="2" t="s">
        <v>105</v>
      </c>
      <c r="Z2580" s="2" t="s">
        <v>418</v>
      </c>
      <c r="AA2580" s="2" t="s">
        <v>479</v>
      </c>
      <c r="AB2580" s="2" t="s">
        <v>115</v>
      </c>
      <c r="AE2580" s="2">
        <f t="shared" si="251"/>
        <v>0</v>
      </c>
      <c r="AI2580" s="2">
        <f t="shared" si="252"/>
        <v>0</v>
      </c>
      <c r="AJ2580" s="2">
        <f t="shared" si="253"/>
        <v>3500</v>
      </c>
      <c r="AK2580" s="5">
        <f t="shared" si="249"/>
        <v>1</v>
      </c>
    </row>
    <row r="2581" spans="1:37" x14ac:dyDescent="0.2">
      <c r="A2581" s="2">
        <v>2025</v>
      </c>
      <c r="B2581" s="2">
        <v>9</v>
      </c>
      <c r="C2581" s="2" t="s">
        <v>1149</v>
      </c>
      <c r="D2581" s="2" t="s">
        <v>109</v>
      </c>
      <c r="E2581" s="2" t="s">
        <v>39</v>
      </c>
      <c r="F2581" s="2">
        <v>504576658</v>
      </c>
      <c r="G2581" s="2" t="s">
        <v>41</v>
      </c>
      <c r="H2581" s="2" t="s">
        <v>1150</v>
      </c>
      <c r="I2581" s="2" t="s">
        <v>1151</v>
      </c>
      <c r="K2581" s="2" t="s">
        <v>100</v>
      </c>
      <c r="L2581" s="2" t="s">
        <v>41</v>
      </c>
      <c r="N2581" s="2" t="s">
        <v>2226</v>
      </c>
      <c r="O2581" s="2" t="s">
        <v>43</v>
      </c>
      <c r="P2581" s="2" t="s">
        <v>62</v>
      </c>
      <c r="Q2581" s="2" t="s">
        <v>63</v>
      </c>
      <c r="R2581" s="2">
        <v>1000</v>
      </c>
      <c r="S2581" s="2">
        <v>105</v>
      </c>
      <c r="T2581" s="2">
        <v>24.15</v>
      </c>
      <c r="U2581" s="2">
        <v>129.15</v>
      </c>
      <c r="V2581" s="2">
        <f>0.082*R2581</f>
        <v>82</v>
      </c>
      <c r="W2581" s="5">
        <f t="shared" si="250"/>
        <v>0.21904761904761905</v>
      </c>
      <c r="Y2581" s="2" t="s">
        <v>3256</v>
      </c>
      <c r="Z2581" s="2" t="s">
        <v>46</v>
      </c>
      <c r="AA2581" s="2" t="s">
        <v>61</v>
      </c>
      <c r="AB2581" s="2" t="s">
        <v>58</v>
      </c>
      <c r="AE2581" s="2">
        <f t="shared" si="251"/>
        <v>0</v>
      </c>
      <c r="AF2581" s="2">
        <v>8.1999999999999993</v>
      </c>
      <c r="AG2581" s="2">
        <v>13</v>
      </c>
      <c r="AI2581" s="2">
        <f t="shared" si="252"/>
        <v>0</v>
      </c>
      <c r="AJ2581" s="2">
        <f t="shared" si="253"/>
        <v>23</v>
      </c>
      <c r="AK2581" s="5">
        <f t="shared" si="249"/>
        <v>0.21904761904761905</v>
      </c>
    </row>
    <row r="2582" spans="1:37" x14ac:dyDescent="0.2">
      <c r="A2582" s="2">
        <v>2025</v>
      </c>
      <c r="B2582" s="2">
        <v>9</v>
      </c>
      <c r="C2582" s="2" t="s">
        <v>1149</v>
      </c>
      <c r="D2582" s="2" t="s">
        <v>109</v>
      </c>
      <c r="F2582" s="2">
        <v>504576658</v>
      </c>
      <c r="G2582" s="2" t="s">
        <v>41</v>
      </c>
      <c r="H2582" s="2" t="s">
        <v>1150</v>
      </c>
      <c r="I2582" s="2" t="s">
        <v>1151</v>
      </c>
      <c r="K2582" s="2" t="s">
        <v>100</v>
      </c>
      <c r="L2582" s="2" t="s">
        <v>41</v>
      </c>
      <c r="N2582" s="2" t="s">
        <v>2226</v>
      </c>
      <c r="O2582" s="2" t="s">
        <v>170</v>
      </c>
      <c r="P2582" s="2" t="s">
        <v>171</v>
      </c>
      <c r="Q2582" s="2" t="s">
        <v>171</v>
      </c>
      <c r="R2582" s="2">
        <v>1</v>
      </c>
      <c r="S2582" s="2">
        <v>8</v>
      </c>
      <c r="T2582" s="2">
        <v>1.84</v>
      </c>
      <c r="U2582" s="2">
        <v>9.84</v>
      </c>
      <c r="W2582" s="5">
        <f t="shared" si="250"/>
        <v>1</v>
      </c>
      <c r="Y2582" s="2" t="s">
        <v>170</v>
      </c>
      <c r="Z2582" s="2" t="s">
        <v>170</v>
      </c>
      <c r="AE2582" s="2">
        <f t="shared" si="251"/>
        <v>0</v>
      </c>
      <c r="AI2582" s="2">
        <f t="shared" si="252"/>
        <v>0</v>
      </c>
      <c r="AJ2582" s="2">
        <f t="shared" si="253"/>
        <v>8</v>
      </c>
      <c r="AK2582" s="5">
        <f t="shared" si="249"/>
        <v>1</v>
      </c>
    </row>
    <row r="2583" spans="1:37" x14ac:dyDescent="0.2">
      <c r="A2583" s="2">
        <v>2025</v>
      </c>
      <c r="B2583" s="2">
        <v>9</v>
      </c>
      <c r="C2583" s="2" t="s">
        <v>2227</v>
      </c>
      <c r="L2583" s="2" t="s">
        <v>40</v>
      </c>
      <c r="O2583" s="2" t="s">
        <v>188</v>
      </c>
      <c r="P2583" s="2" t="s">
        <v>189</v>
      </c>
      <c r="Q2583" s="2" t="s">
        <v>190</v>
      </c>
      <c r="R2583" s="2">
        <v>1</v>
      </c>
      <c r="S2583" s="2">
        <v>37.5</v>
      </c>
      <c r="T2583" s="2">
        <v>8.625</v>
      </c>
      <c r="U2583" s="2">
        <v>46.125</v>
      </c>
      <c r="W2583" s="5">
        <f t="shared" si="250"/>
        <v>1</v>
      </c>
      <c r="Y2583" s="2" t="s">
        <v>118</v>
      </c>
      <c r="Z2583" s="2" t="s">
        <v>191</v>
      </c>
      <c r="AE2583" s="2">
        <f t="shared" si="251"/>
        <v>0</v>
      </c>
      <c r="AI2583" s="2">
        <f t="shared" si="252"/>
        <v>0</v>
      </c>
      <c r="AJ2583" s="2">
        <f t="shared" si="253"/>
        <v>37.5</v>
      </c>
      <c r="AK2583" s="5">
        <f t="shared" si="249"/>
        <v>1</v>
      </c>
    </row>
    <row r="2584" spans="1:37" x14ac:dyDescent="0.2">
      <c r="A2584" s="2">
        <v>2025</v>
      </c>
      <c r="B2584" s="2">
        <v>9</v>
      </c>
      <c r="C2584" s="2" t="s">
        <v>2227</v>
      </c>
      <c r="L2584" s="2" t="s">
        <v>40</v>
      </c>
      <c r="O2584" s="2" t="s">
        <v>188</v>
      </c>
      <c r="P2584" s="2" t="s">
        <v>192</v>
      </c>
      <c r="Q2584" s="2" t="s">
        <v>191</v>
      </c>
      <c r="R2584" s="2">
        <v>2</v>
      </c>
      <c r="S2584" s="2">
        <v>90</v>
      </c>
      <c r="T2584" s="2">
        <v>20.7</v>
      </c>
      <c r="U2584" s="2">
        <v>110.7</v>
      </c>
      <c r="V2584" s="2">
        <f>S2584*50%</f>
        <v>45</v>
      </c>
      <c r="W2584" s="5">
        <f t="shared" si="250"/>
        <v>0.5</v>
      </c>
      <c r="Y2584" s="2" t="s">
        <v>118</v>
      </c>
      <c r="Z2584" s="2" t="s">
        <v>191</v>
      </c>
      <c r="AE2584" s="2">
        <f t="shared" si="251"/>
        <v>0</v>
      </c>
      <c r="AI2584" s="2">
        <f t="shared" si="252"/>
        <v>0</v>
      </c>
      <c r="AJ2584" s="2">
        <f t="shared" si="253"/>
        <v>45</v>
      </c>
      <c r="AK2584" s="5">
        <f t="shared" si="249"/>
        <v>0.5</v>
      </c>
    </row>
    <row r="2585" spans="1:37" x14ac:dyDescent="0.2">
      <c r="A2585" s="2">
        <v>2025</v>
      </c>
      <c r="B2585" s="2">
        <v>9</v>
      </c>
      <c r="C2585" s="2" t="s">
        <v>2227</v>
      </c>
      <c r="O2585" s="2" t="s">
        <v>40</v>
      </c>
      <c r="P2585" s="2" t="s">
        <v>364</v>
      </c>
      <c r="Q2585" s="2" t="s">
        <v>365</v>
      </c>
      <c r="R2585" s="2">
        <v>1</v>
      </c>
      <c r="S2585" s="2">
        <v>255</v>
      </c>
      <c r="T2585" s="2">
        <v>58.650000000000013</v>
      </c>
      <c r="U2585" s="2">
        <v>313.64999999999998</v>
      </c>
      <c r="W2585" s="5">
        <f t="shared" si="250"/>
        <v>1</v>
      </c>
      <c r="Y2585" s="2" t="s">
        <v>120</v>
      </c>
      <c r="AE2585" s="2">
        <f t="shared" si="251"/>
        <v>0</v>
      </c>
      <c r="AI2585" s="2">
        <f t="shared" si="252"/>
        <v>0</v>
      </c>
      <c r="AJ2585" s="2">
        <f t="shared" si="253"/>
        <v>255</v>
      </c>
      <c r="AK2585" s="5">
        <f t="shared" si="249"/>
        <v>1</v>
      </c>
    </row>
    <row r="2586" spans="1:37" x14ac:dyDescent="0.2">
      <c r="A2586" s="2">
        <v>2025</v>
      </c>
      <c r="B2586" s="2">
        <v>9</v>
      </c>
      <c r="C2586" s="2" t="s">
        <v>2228</v>
      </c>
      <c r="O2586" s="2" t="s">
        <v>73</v>
      </c>
      <c r="P2586" s="2" t="s">
        <v>1084</v>
      </c>
      <c r="Q2586" s="2" t="s">
        <v>84</v>
      </c>
      <c r="R2586" s="2">
        <v>1</v>
      </c>
      <c r="S2586" s="2">
        <v>270</v>
      </c>
      <c r="T2586" s="2">
        <v>62.1</v>
      </c>
      <c r="U2586" s="2">
        <v>332.1</v>
      </c>
      <c r="V2586" s="2">
        <v>159.54</v>
      </c>
      <c r="W2586" s="5">
        <f t="shared" si="250"/>
        <v>0.40911111111111115</v>
      </c>
      <c r="Y2586" s="2" t="s">
        <v>3256</v>
      </c>
      <c r="Z2586" s="2" t="s">
        <v>76</v>
      </c>
      <c r="AA2586" s="2" t="s">
        <v>77</v>
      </c>
      <c r="AB2586" s="2" t="s">
        <v>78</v>
      </c>
      <c r="AE2586" s="2">
        <f t="shared" si="251"/>
        <v>0</v>
      </c>
      <c r="AF2586" s="2">
        <f>144.14+15.4</f>
        <v>159.54</v>
      </c>
      <c r="AG2586" s="2">
        <v>280</v>
      </c>
      <c r="AI2586" s="2">
        <f t="shared" si="252"/>
        <v>0</v>
      </c>
      <c r="AJ2586" s="2">
        <f t="shared" si="253"/>
        <v>110.46000000000001</v>
      </c>
      <c r="AK2586" s="5">
        <f t="shared" si="249"/>
        <v>0.40911111111111115</v>
      </c>
    </row>
    <row r="2587" spans="1:37" x14ac:dyDescent="0.2">
      <c r="A2587" s="2">
        <v>2025</v>
      </c>
      <c r="B2587" s="2">
        <v>9</v>
      </c>
      <c r="C2587" s="2" t="s">
        <v>2228</v>
      </c>
      <c r="O2587" s="2" t="s">
        <v>94</v>
      </c>
      <c r="P2587" s="2" t="s">
        <v>95</v>
      </c>
      <c r="Q2587" s="2" t="s">
        <v>96</v>
      </c>
      <c r="R2587" s="2">
        <v>1</v>
      </c>
      <c r="S2587" s="2">
        <v>1.1399999999999999</v>
      </c>
      <c r="T2587" s="2">
        <v>0.26219999999999999</v>
      </c>
      <c r="U2587" s="2">
        <v>1.4021999999999999</v>
      </c>
      <c r="V2587" s="2">
        <v>1.1399999999999999</v>
      </c>
      <c r="W2587" s="5">
        <f t="shared" si="250"/>
        <v>0</v>
      </c>
      <c r="Y2587" s="2" t="s">
        <v>3256</v>
      </c>
      <c r="Z2587" s="2" t="s">
        <v>97</v>
      </c>
      <c r="AA2587" s="2" t="s">
        <v>77</v>
      </c>
      <c r="AB2587" s="2" t="s">
        <v>94</v>
      </c>
      <c r="AE2587" s="2">
        <f t="shared" si="251"/>
        <v>0</v>
      </c>
      <c r="AI2587" s="2">
        <f t="shared" si="252"/>
        <v>0</v>
      </c>
      <c r="AJ2587" s="2">
        <f t="shared" si="253"/>
        <v>0</v>
      </c>
      <c r="AK2587" s="5">
        <f t="shared" si="249"/>
        <v>0</v>
      </c>
    </row>
    <row r="2588" spans="1:37" x14ac:dyDescent="0.2">
      <c r="A2588" s="2">
        <v>2025</v>
      </c>
      <c r="B2588" s="2">
        <v>9</v>
      </c>
      <c r="C2588" s="2" t="s">
        <v>946</v>
      </c>
      <c r="O2588" s="2" t="s">
        <v>115</v>
      </c>
      <c r="P2588" s="2" t="s">
        <v>565</v>
      </c>
      <c r="Q2588" s="2" t="s">
        <v>566</v>
      </c>
      <c r="R2588" s="2">
        <v>2</v>
      </c>
      <c r="S2588" s="2">
        <v>28.57</v>
      </c>
      <c r="T2588" s="2">
        <v>6.5711000000000004</v>
      </c>
      <c r="U2588" s="2">
        <v>35.141100000000002</v>
      </c>
      <c r="W2588" s="5">
        <f t="shared" si="250"/>
        <v>1</v>
      </c>
      <c r="AE2588" s="2">
        <f t="shared" si="251"/>
        <v>0</v>
      </c>
      <c r="AI2588" s="2">
        <f t="shared" si="252"/>
        <v>0</v>
      </c>
      <c r="AJ2588" s="2">
        <f t="shared" si="253"/>
        <v>28.57</v>
      </c>
      <c r="AK2588" s="5">
        <f t="shared" si="249"/>
        <v>1</v>
      </c>
    </row>
    <row r="2589" spans="1:37" x14ac:dyDescent="0.2">
      <c r="A2589" s="2">
        <v>2025</v>
      </c>
      <c r="B2589" s="2">
        <v>9</v>
      </c>
      <c r="C2589" s="2" t="s">
        <v>175</v>
      </c>
      <c r="D2589" s="2" t="s">
        <v>38</v>
      </c>
      <c r="F2589" s="2">
        <v>507685261</v>
      </c>
      <c r="G2589" s="2" t="s">
        <v>41</v>
      </c>
      <c r="H2589" s="2" t="s">
        <v>176</v>
      </c>
      <c r="I2589" s="2" t="s">
        <v>177</v>
      </c>
      <c r="J2589" s="2">
        <v>932748418</v>
      </c>
      <c r="K2589" s="2" t="s">
        <v>178</v>
      </c>
      <c r="L2589" s="2" t="s">
        <v>40</v>
      </c>
      <c r="N2589" s="2" t="s">
        <v>2229</v>
      </c>
      <c r="O2589" s="2" t="s">
        <v>188</v>
      </c>
      <c r="P2589" s="2" t="s">
        <v>189</v>
      </c>
      <c r="Q2589" s="2" t="s">
        <v>190</v>
      </c>
      <c r="R2589" s="2">
        <v>1</v>
      </c>
      <c r="S2589" s="2">
        <v>60</v>
      </c>
      <c r="T2589" s="2">
        <v>13.8</v>
      </c>
      <c r="U2589" s="2">
        <v>73.8</v>
      </c>
      <c r="W2589" s="5">
        <f t="shared" ref="W2589:W2652" si="254">(S2589-V2589)/S2589</f>
        <v>1</v>
      </c>
      <c r="Y2589" s="2" t="s">
        <v>118</v>
      </c>
      <c r="Z2589" s="2" t="s">
        <v>191</v>
      </c>
      <c r="AE2589" s="2">
        <f t="shared" si="251"/>
        <v>0</v>
      </c>
      <c r="AI2589" s="2">
        <f t="shared" si="252"/>
        <v>0</v>
      </c>
      <c r="AJ2589" s="2">
        <f t="shared" si="253"/>
        <v>60</v>
      </c>
      <c r="AK2589" s="5">
        <f t="shared" ref="AK2589:AK2652" si="255">(S2589-V2589)/S2589</f>
        <v>1</v>
      </c>
    </row>
    <row r="2590" spans="1:37" x14ac:dyDescent="0.2">
      <c r="A2590" s="2">
        <v>2025</v>
      </c>
      <c r="B2590" s="2">
        <v>9</v>
      </c>
      <c r="C2590" s="2" t="s">
        <v>175</v>
      </c>
      <c r="D2590" s="2" t="s">
        <v>38</v>
      </c>
      <c r="F2590" s="2">
        <v>507685261</v>
      </c>
      <c r="G2590" s="2" t="s">
        <v>41</v>
      </c>
      <c r="H2590" s="2" t="s">
        <v>176</v>
      </c>
      <c r="I2590" s="2" t="s">
        <v>177</v>
      </c>
      <c r="J2590" s="2">
        <v>932748418</v>
      </c>
      <c r="K2590" s="2" t="s">
        <v>178</v>
      </c>
      <c r="L2590" s="2" t="s">
        <v>40</v>
      </c>
      <c r="N2590" s="2" t="s">
        <v>2229</v>
      </c>
      <c r="O2590" s="2" t="s">
        <v>188</v>
      </c>
      <c r="P2590" s="2" t="s">
        <v>192</v>
      </c>
      <c r="Q2590" s="2" t="s">
        <v>191</v>
      </c>
      <c r="R2590" s="2">
        <v>1</v>
      </c>
      <c r="S2590" s="2">
        <v>50</v>
      </c>
      <c r="T2590" s="2">
        <v>11.5</v>
      </c>
      <c r="U2590" s="2">
        <v>61.5</v>
      </c>
      <c r="V2590" s="2">
        <f>S2590*50%</f>
        <v>25</v>
      </c>
      <c r="W2590" s="5">
        <f t="shared" si="254"/>
        <v>0.5</v>
      </c>
      <c r="Y2590" s="2" t="s">
        <v>118</v>
      </c>
      <c r="Z2590" s="2" t="s">
        <v>191</v>
      </c>
      <c r="AE2590" s="2">
        <f t="shared" si="251"/>
        <v>0</v>
      </c>
      <c r="AI2590" s="2">
        <f t="shared" si="252"/>
        <v>0</v>
      </c>
      <c r="AJ2590" s="2">
        <f t="shared" si="253"/>
        <v>25</v>
      </c>
      <c r="AK2590" s="5">
        <f t="shared" si="255"/>
        <v>0.5</v>
      </c>
    </row>
    <row r="2591" spans="1:37" x14ac:dyDescent="0.2">
      <c r="A2591" s="2">
        <v>2025</v>
      </c>
      <c r="B2591" s="2">
        <v>9</v>
      </c>
      <c r="C2591" s="2" t="s">
        <v>175</v>
      </c>
      <c r="D2591" s="2" t="s">
        <v>38</v>
      </c>
      <c r="F2591" s="2">
        <v>507685261</v>
      </c>
      <c r="G2591" s="2" t="s">
        <v>41</v>
      </c>
      <c r="H2591" s="2" t="s">
        <v>176</v>
      </c>
      <c r="I2591" s="2" t="s">
        <v>177</v>
      </c>
      <c r="J2591" s="2">
        <v>932748418</v>
      </c>
      <c r="K2591" s="2" t="s">
        <v>178</v>
      </c>
      <c r="L2591" s="2" t="s">
        <v>41</v>
      </c>
      <c r="N2591" s="2" t="s">
        <v>2229</v>
      </c>
      <c r="O2591" s="2" t="s">
        <v>40</v>
      </c>
      <c r="P2591" s="2" t="s">
        <v>364</v>
      </c>
      <c r="Q2591" s="2" t="s">
        <v>365</v>
      </c>
      <c r="R2591" s="2">
        <v>1</v>
      </c>
      <c r="S2591" s="2">
        <v>99.75</v>
      </c>
      <c r="T2591" s="2">
        <v>22.942499999999999</v>
      </c>
      <c r="U2591" s="2">
        <v>122.6925</v>
      </c>
      <c r="W2591" s="5">
        <f t="shared" si="254"/>
        <v>1</v>
      </c>
      <c r="Y2591" s="2" t="s">
        <v>120</v>
      </c>
      <c r="AE2591" s="2">
        <f t="shared" si="251"/>
        <v>0</v>
      </c>
      <c r="AI2591" s="2">
        <f t="shared" si="252"/>
        <v>0</v>
      </c>
      <c r="AJ2591" s="2">
        <f t="shared" si="253"/>
        <v>99.75</v>
      </c>
      <c r="AK2591" s="5">
        <f t="shared" si="255"/>
        <v>1</v>
      </c>
    </row>
    <row r="2592" spans="1:37" x14ac:dyDescent="0.2">
      <c r="A2592" s="2">
        <v>2025</v>
      </c>
      <c r="B2592" s="2">
        <v>9</v>
      </c>
      <c r="C2592" s="2" t="s">
        <v>2230</v>
      </c>
      <c r="L2592" s="2" t="s">
        <v>40</v>
      </c>
      <c r="O2592" s="2" t="s">
        <v>188</v>
      </c>
      <c r="P2592" s="2" t="s">
        <v>189</v>
      </c>
      <c r="Q2592" s="2" t="s">
        <v>190</v>
      </c>
      <c r="R2592" s="2">
        <v>1</v>
      </c>
      <c r="S2592" s="2">
        <v>60</v>
      </c>
      <c r="T2592" s="2">
        <v>13.8</v>
      </c>
      <c r="U2592" s="2">
        <v>73.8</v>
      </c>
      <c r="W2592" s="5">
        <f t="shared" si="254"/>
        <v>1</v>
      </c>
      <c r="Y2592" s="2" t="s">
        <v>118</v>
      </c>
      <c r="Z2592" s="2" t="s">
        <v>191</v>
      </c>
      <c r="AE2592" s="2">
        <f t="shared" si="251"/>
        <v>0</v>
      </c>
      <c r="AI2592" s="2">
        <f t="shared" si="252"/>
        <v>0</v>
      </c>
      <c r="AJ2592" s="2">
        <f t="shared" si="253"/>
        <v>60</v>
      </c>
      <c r="AK2592" s="5">
        <f t="shared" si="255"/>
        <v>1</v>
      </c>
    </row>
    <row r="2593" spans="1:37" x14ac:dyDescent="0.2">
      <c r="A2593" s="2">
        <v>2025</v>
      </c>
      <c r="B2593" s="2">
        <v>9</v>
      </c>
      <c r="C2593" s="2" t="s">
        <v>2230</v>
      </c>
      <c r="L2593" s="2" t="s">
        <v>40</v>
      </c>
      <c r="O2593" s="2" t="s">
        <v>188</v>
      </c>
      <c r="P2593" s="2" t="s">
        <v>192</v>
      </c>
      <c r="Q2593" s="2" t="s">
        <v>191</v>
      </c>
      <c r="R2593" s="2">
        <v>1.5</v>
      </c>
      <c r="S2593" s="2">
        <v>75</v>
      </c>
      <c r="T2593" s="2">
        <v>17.25</v>
      </c>
      <c r="U2593" s="2">
        <v>92.25</v>
      </c>
      <c r="V2593" s="2">
        <f>S2593*50%</f>
        <v>37.5</v>
      </c>
      <c r="W2593" s="5">
        <f t="shared" si="254"/>
        <v>0.5</v>
      </c>
      <c r="Y2593" s="2" t="s">
        <v>118</v>
      </c>
      <c r="Z2593" s="2" t="s">
        <v>191</v>
      </c>
      <c r="AE2593" s="2">
        <f t="shared" si="251"/>
        <v>0</v>
      </c>
      <c r="AI2593" s="2">
        <f t="shared" si="252"/>
        <v>0</v>
      </c>
      <c r="AJ2593" s="2">
        <f t="shared" si="253"/>
        <v>37.5</v>
      </c>
      <c r="AK2593" s="5">
        <f t="shared" si="255"/>
        <v>0.5</v>
      </c>
    </row>
    <row r="2594" spans="1:37" x14ac:dyDescent="0.2">
      <c r="A2594" s="2">
        <v>2025</v>
      </c>
      <c r="B2594" s="2">
        <v>9</v>
      </c>
      <c r="C2594" s="2" t="s">
        <v>2230</v>
      </c>
      <c r="O2594" s="2" t="s">
        <v>40</v>
      </c>
      <c r="P2594" s="2" t="s">
        <v>364</v>
      </c>
      <c r="Q2594" s="2" t="s">
        <v>365</v>
      </c>
      <c r="R2594" s="2">
        <v>5</v>
      </c>
      <c r="S2594" s="2">
        <v>66.97</v>
      </c>
      <c r="T2594" s="2">
        <v>15.4031</v>
      </c>
      <c r="U2594" s="2">
        <v>82.373099999999994</v>
      </c>
      <c r="W2594" s="5">
        <f t="shared" si="254"/>
        <v>1</v>
      </c>
      <c r="Y2594" s="2" t="s">
        <v>120</v>
      </c>
      <c r="AE2594" s="2">
        <f t="shared" si="251"/>
        <v>0</v>
      </c>
      <c r="AI2594" s="2">
        <f t="shared" si="252"/>
        <v>0</v>
      </c>
      <c r="AJ2594" s="2">
        <f t="shared" si="253"/>
        <v>66.97</v>
      </c>
      <c r="AK2594" s="5">
        <f t="shared" si="255"/>
        <v>1</v>
      </c>
    </row>
    <row r="2595" spans="1:37" x14ac:dyDescent="0.2">
      <c r="A2595" s="2">
        <v>2025</v>
      </c>
      <c r="B2595" s="2">
        <v>9</v>
      </c>
      <c r="C2595" s="2" t="s">
        <v>2231</v>
      </c>
      <c r="O2595" s="2" t="s">
        <v>73</v>
      </c>
      <c r="P2595" s="2" t="s">
        <v>326</v>
      </c>
      <c r="Q2595" s="2" t="s">
        <v>80</v>
      </c>
      <c r="R2595" s="2">
        <v>1</v>
      </c>
      <c r="S2595" s="2">
        <v>210</v>
      </c>
      <c r="T2595" s="2">
        <v>48.3</v>
      </c>
      <c r="U2595" s="2">
        <v>258.3</v>
      </c>
      <c r="V2595" s="2">
        <f>110.68*R2595</f>
        <v>110.68</v>
      </c>
      <c r="W2595" s="5">
        <f t="shared" si="254"/>
        <v>0.4729523809523809</v>
      </c>
      <c r="Y2595" s="2" t="s">
        <v>3256</v>
      </c>
      <c r="Z2595" s="2" t="s">
        <v>76</v>
      </c>
      <c r="AA2595" s="2" t="s">
        <v>77</v>
      </c>
      <c r="AB2595" s="2" t="s">
        <v>78</v>
      </c>
      <c r="AE2595" s="2">
        <f t="shared" si="251"/>
        <v>0</v>
      </c>
      <c r="AF2595" s="2">
        <v>110.68</v>
      </c>
      <c r="AG2595" s="2">
        <v>210</v>
      </c>
      <c r="AI2595" s="2">
        <f t="shared" si="252"/>
        <v>0</v>
      </c>
      <c r="AJ2595" s="2">
        <f t="shared" si="253"/>
        <v>99.32</v>
      </c>
      <c r="AK2595" s="5">
        <f t="shared" si="255"/>
        <v>0.4729523809523809</v>
      </c>
    </row>
    <row r="2596" spans="1:37" x14ac:dyDescent="0.2">
      <c r="A2596" s="2">
        <v>2025</v>
      </c>
      <c r="B2596" s="2">
        <v>9</v>
      </c>
      <c r="C2596" s="2" t="s">
        <v>2231</v>
      </c>
      <c r="O2596" s="2" t="s">
        <v>94</v>
      </c>
      <c r="P2596" s="2" t="s">
        <v>95</v>
      </c>
      <c r="Q2596" s="2" t="s">
        <v>96</v>
      </c>
      <c r="R2596" s="2">
        <v>1</v>
      </c>
      <c r="S2596" s="2">
        <v>1.1399999999999999</v>
      </c>
      <c r="T2596" s="2">
        <v>0.26219999999999999</v>
      </c>
      <c r="U2596" s="2">
        <v>1.4021999999999999</v>
      </c>
      <c r="V2596" s="2">
        <v>1.1399999999999999</v>
      </c>
      <c r="W2596" s="5">
        <f t="shared" si="254"/>
        <v>0</v>
      </c>
      <c r="Y2596" s="2" t="s">
        <v>3256</v>
      </c>
      <c r="Z2596" s="2" t="s">
        <v>97</v>
      </c>
      <c r="AA2596" s="2" t="s">
        <v>77</v>
      </c>
      <c r="AB2596" s="2" t="s">
        <v>94</v>
      </c>
      <c r="AE2596" s="2">
        <f t="shared" si="251"/>
        <v>0</v>
      </c>
      <c r="AI2596" s="2">
        <f t="shared" si="252"/>
        <v>0</v>
      </c>
      <c r="AJ2596" s="2">
        <f t="shared" si="253"/>
        <v>0</v>
      </c>
      <c r="AK2596" s="5">
        <f t="shared" si="255"/>
        <v>0</v>
      </c>
    </row>
    <row r="2597" spans="1:37" x14ac:dyDescent="0.2">
      <c r="A2597" s="2">
        <v>2025</v>
      </c>
      <c r="B2597" s="2">
        <v>9</v>
      </c>
      <c r="C2597" s="2" t="s">
        <v>290</v>
      </c>
      <c r="D2597" s="2" t="s">
        <v>109</v>
      </c>
      <c r="E2597" s="2" t="s">
        <v>39</v>
      </c>
      <c r="F2597" s="2">
        <v>508428300</v>
      </c>
      <c r="G2597" s="2" t="s">
        <v>291</v>
      </c>
      <c r="H2597" s="2" t="s">
        <v>292</v>
      </c>
      <c r="I2597" s="2" t="s">
        <v>293</v>
      </c>
      <c r="J2597" s="2">
        <v>917165642</v>
      </c>
      <c r="K2597" s="2" t="s">
        <v>294</v>
      </c>
      <c r="L2597" s="2" t="s">
        <v>40</v>
      </c>
      <c r="N2597" s="2" t="s">
        <v>2232</v>
      </c>
      <c r="O2597" s="2" t="s">
        <v>115</v>
      </c>
      <c r="P2597" s="2" t="s">
        <v>2233</v>
      </c>
      <c r="Q2597" s="2" t="s">
        <v>2234</v>
      </c>
      <c r="R2597" s="2">
        <v>1</v>
      </c>
      <c r="S2597" s="2">
        <v>131.16</v>
      </c>
      <c r="T2597" s="2">
        <v>30.166799999999999</v>
      </c>
      <c r="U2597" s="2">
        <v>161.32679999999999</v>
      </c>
      <c r="V2597" s="2">
        <v>78.570099999999996</v>
      </c>
      <c r="W2597" s="5">
        <f t="shared" si="254"/>
        <v>0.40095989630985057</v>
      </c>
      <c r="Y2597" s="2" t="s">
        <v>118</v>
      </c>
      <c r="Z2597" s="2" t="s">
        <v>119</v>
      </c>
      <c r="AA2597" s="2" t="s">
        <v>120</v>
      </c>
      <c r="AB2597" s="2" t="s">
        <v>115</v>
      </c>
      <c r="AE2597" s="2">
        <f t="shared" si="251"/>
        <v>0</v>
      </c>
      <c r="AF2597" s="2">
        <v>78.570099999999996</v>
      </c>
      <c r="AI2597" s="2">
        <f t="shared" si="252"/>
        <v>0</v>
      </c>
      <c r="AJ2597" s="2">
        <f t="shared" si="253"/>
        <v>52.5899</v>
      </c>
      <c r="AK2597" s="5">
        <f t="shared" si="255"/>
        <v>0.40095989630985057</v>
      </c>
    </row>
    <row r="2598" spans="1:37" x14ac:dyDescent="0.2">
      <c r="A2598" s="2">
        <v>2025</v>
      </c>
      <c r="B2598" s="2">
        <v>9</v>
      </c>
      <c r="C2598" s="2" t="s">
        <v>699</v>
      </c>
      <c r="D2598" s="2" t="s">
        <v>38</v>
      </c>
      <c r="E2598" s="2" t="s">
        <v>39</v>
      </c>
      <c r="F2598" s="2">
        <v>508574358</v>
      </c>
      <c r="G2598" s="2" t="s">
        <v>41</v>
      </c>
      <c r="H2598" s="2" t="s">
        <v>700</v>
      </c>
      <c r="I2598" s="2" t="s">
        <v>701</v>
      </c>
      <c r="J2598" s="2">
        <v>917295518</v>
      </c>
      <c r="K2598" s="2" t="s">
        <v>178</v>
      </c>
      <c r="L2598" s="2" t="s">
        <v>41</v>
      </c>
      <c r="O2598" s="2" t="s">
        <v>43</v>
      </c>
      <c r="P2598" s="2" t="s">
        <v>64</v>
      </c>
      <c r="Q2598" s="2" t="s">
        <v>65</v>
      </c>
      <c r="R2598" s="2">
        <v>20</v>
      </c>
      <c r="S2598" s="2">
        <v>36</v>
      </c>
      <c r="T2598" s="2">
        <v>8.2800000000000011</v>
      </c>
      <c r="U2598" s="2">
        <v>44.28</v>
      </c>
      <c r="V2598" s="2">
        <f>0.8561*R2598</f>
        <v>17.122</v>
      </c>
      <c r="W2598" s="5">
        <f t="shared" si="254"/>
        <v>0.5243888888888889</v>
      </c>
      <c r="Y2598" s="2" t="s">
        <v>3256</v>
      </c>
      <c r="Z2598" s="2" t="s">
        <v>46</v>
      </c>
      <c r="AA2598" s="2" t="s">
        <v>61</v>
      </c>
      <c r="AB2598" s="2" t="s">
        <v>58</v>
      </c>
      <c r="AE2598" s="2">
        <f t="shared" si="251"/>
        <v>0</v>
      </c>
      <c r="AF2598" s="2">
        <v>0.85609999999999997</v>
      </c>
      <c r="AG2598" s="2">
        <v>1.8</v>
      </c>
      <c r="AI2598" s="2">
        <f t="shared" si="252"/>
        <v>0</v>
      </c>
      <c r="AJ2598" s="2">
        <f t="shared" si="253"/>
        <v>18.878</v>
      </c>
      <c r="AK2598" s="5">
        <f t="shared" si="255"/>
        <v>0.5243888888888889</v>
      </c>
    </row>
    <row r="2599" spans="1:37" x14ac:dyDescent="0.2">
      <c r="A2599" s="2">
        <v>2025</v>
      </c>
      <c r="B2599" s="2">
        <v>9</v>
      </c>
      <c r="C2599" s="2" t="s">
        <v>699</v>
      </c>
      <c r="D2599" s="2" t="s">
        <v>38</v>
      </c>
      <c r="E2599" s="2" t="s">
        <v>39</v>
      </c>
      <c r="F2599" s="2">
        <v>508574358</v>
      </c>
      <c r="G2599" s="2" t="s">
        <v>41</v>
      </c>
      <c r="H2599" s="2" t="s">
        <v>700</v>
      </c>
      <c r="I2599" s="2" t="s">
        <v>701</v>
      </c>
      <c r="J2599" s="2">
        <v>917295518</v>
      </c>
      <c r="K2599" s="2" t="s">
        <v>178</v>
      </c>
      <c r="L2599" s="2" t="s">
        <v>41</v>
      </c>
      <c r="O2599" s="2" t="s">
        <v>43</v>
      </c>
      <c r="P2599" s="2" t="s">
        <v>335</v>
      </c>
      <c r="Q2599" s="2" t="s">
        <v>336</v>
      </c>
      <c r="R2599" s="2">
        <v>10</v>
      </c>
      <c r="S2599" s="2">
        <v>30</v>
      </c>
      <c r="T2599" s="2">
        <v>6.9</v>
      </c>
      <c r="U2599" s="2">
        <v>36.9</v>
      </c>
      <c r="V2599" s="2">
        <f>1.1122*R2599</f>
        <v>11.122</v>
      </c>
      <c r="W2599" s="5">
        <f t="shared" si="254"/>
        <v>0.62926666666666664</v>
      </c>
      <c r="Y2599" s="2" t="s">
        <v>3256</v>
      </c>
      <c r="Z2599" s="2" t="s">
        <v>46</v>
      </c>
      <c r="AA2599" s="2" t="s">
        <v>61</v>
      </c>
      <c r="AB2599" s="2" t="s">
        <v>58</v>
      </c>
      <c r="AE2599" s="2">
        <f t="shared" si="251"/>
        <v>0</v>
      </c>
      <c r="AF2599" s="2">
        <v>1.1122000000000001</v>
      </c>
      <c r="AG2599" s="2">
        <v>3</v>
      </c>
      <c r="AI2599" s="2">
        <f t="shared" si="252"/>
        <v>0</v>
      </c>
      <c r="AJ2599" s="2">
        <f t="shared" si="253"/>
        <v>18.878</v>
      </c>
      <c r="AK2599" s="5">
        <f t="shared" si="255"/>
        <v>0.62926666666666664</v>
      </c>
    </row>
    <row r="2600" spans="1:37" x14ac:dyDescent="0.2">
      <c r="A2600" s="2">
        <v>2025</v>
      </c>
      <c r="B2600" s="2">
        <v>9</v>
      </c>
      <c r="C2600" s="2" t="s">
        <v>699</v>
      </c>
      <c r="D2600" s="2" t="s">
        <v>38</v>
      </c>
      <c r="E2600" s="2" t="s">
        <v>39</v>
      </c>
      <c r="F2600" s="2">
        <v>508574358</v>
      </c>
      <c r="G2600" s="2" t="s">
        <v>41</v>
      </c>
      <c r="H2600" s="2" t="s">
        <v>700</v>
      </c>
      <c r="I2600" s="2" t="s">
        <v>701</v>
      </c>
      <c r="J2600" s="2">
        <v>917295518</v>
      </c>
      <c r="K2600" s="2" t="s">
        <v>178</v>
      </c>
      <c r="L2600" s="2" t="s">
        <v>41</v>
      </c>
      <c r="O2600" s="2" t="s">
        <v>170</v>
      </c>
      <c r="P2600" s="2" t="s">
        <v>171</v>
      </c>
      <c r="Q2600" s="2" t="s">
        <v>171</v>
      </c>
      <c r="R2600" s="2">
        <v>1</v>
      </c>
      <c r="S2600" s="2">
        <v>8</v>
      </c>
      <c r="T2600" s="2">
        <v>1.84</v>
      </c>
      <c r="U2600" s="2">
        <v>9.84</v>
      </c>
      <c r="W2600" s="5">
        <f t="shared" si="254"/>
        <v>1</v>
      </c>
      <c r="Y2600" s="2" t="s">
        <v>170</v>
      </c>
      <c r="Z2600" s="2" t="s">
        <v>170</v>
      </c>
      <c r="AE2600" s="2">
        <f t="shared" si="251"/>
        <v>0</v>
      </c>
      <c r="AI2600" s="2">
        <f t="shared" si="252"/>
        <v>0</v>
      </c>
      <c r="AJ2600" s="2">
        <f t="shared" si="253"/>
        <v>8</v>
      </c>
      <c r="AK2600" s="5">
        <f t="shared" si="255"/>
        <v>1</v>
      </c>
    </row>
    <row r="2601" spans="1:37" x14ac:dyDescent="0.2">
      <c r="A2601" s="2">
        <v>2025</v>
      </c>
      <c r="B2601" s="2">
        <v>9</v>
      </c>
      <c r="C2601" s="2" t="s">
        <v>2235</v>
      </c>
      <c r="O2601" s="2" t="s">
        <v>73</v>
      </c>
      <c r="P2601" s="2" t="s">
        <v>1083</v>
      </c>
      <c r="Q2601" s="2" t="s">
        <v>308</v>
      </c>
      <c r="R2601" s="2">
        <v>1</v>
      </c>
      <c r="S2601" s="2">
        <v>220</v>
      </c>
      <c r="T2601" s="2">
        <v>50.6</v>
      </c>
      <c r="U2601" s="2">
        <v>270.60000000000002</v>
      </c>
      <c r="W2601" s="5">
        <f t="shared" si="254"/>
        <v>1</v>
      </c>
      <c r="Y2601" s="2" t="s">
        <v>3256</v>
      </c>
      <c r="Z2601" s="2" t="s">
        <v>76</v>
      </c>
      <c r="AA2601" s="2" t="s">
        <v>77</v>
      </c>
      <c r="AB2601" s="2" t="s">
        <v>78</v>
      </c>
      <c r="AE2601" s="2">
        <f t="shared" si="251"/>
        <v>0</v>
      </c>
      <c r="AI2601" s="2">
        <f t="shared" si="252"/>
        <v>0</v>
      </c>
      <c r="AJ2601" s="2">
        <f t="shared" si="253"/>
        <v>220</v>
      </c>
      <c r="AK2601" s="5">
        <f t="shared" si="255"/>
        <v>1</v>
      </c>
    </row>
    <row r="2602" spans="1:37" x14ac:dyDescent="0.2">
      <c r="A2602" s="2">
        <v>2025</v>
      </c>
      <c r="B2602" s="2">
        <v>9</v>
      </c>
      <c r="C2602" s="2" t="s">
        <v>2235</v>
      </c>
      <c r="O2602" s="2" t="s">
        <v>94</v>
      </c>
      <c r="P2602" s="2" t="s">
        <v>95</v>
      </c>
      <c r="Q2602" s="2" t="s">
        <v>96</v>
      </c>
      <c r="R2602" s="2">
        <v>1</v>
      </c>
      <c r="S2602" s="2">
        <v>1.1399999999999999</v>
      </c>
      <c r="T2602" s="2">
        <v>0.26219999999999999</v>
      </c>
      <c r="U2602" s="2">
        <v>1.4021999999999999</v>
      </c>
      <c r="V2602" s="2">
        <v>1.1399999999999999</v>
      </c>
      <c r="W2602" s="5">
        <f t="shared" si="254"/>
        <v>0</v>
      </c>
      <c r="Y2602" s="2" t="s">
        <v>3256</v>
      </c>
      <c r="Z2602" s="2" t="s">
        <v>97</v>
      </c>
      <c r="AA2602" s="2" t="s">
        <v>77</v>
      </c>
      <c r="AB2602" s="2" t="s">
        <v>94</v>
      </c>
      <c r="AE2602" s="2">
        <f t="shared" si="251"/>
        <v>0</v>
      </c>
      <c r="AI2602" s="2">
        <f t="shared" si="252"/>
        <v>0</v>
      </c>
      <c r="AJ2602" s="2">
        <f t="shared" si="253"/>
        <v>0</v>
      </c>
      <c r="AK2602" s="5">
        <f t="shared" si="255"/>
        <v>0</v>
      </c>
    </row>
    <row r="2603" spans="1:37" x14ac:dyDescent="0.2">
      <c r="A2603" s="2">
        <v>2025</v>
      </c>
      <c r="B2603" s="2">
        <v>9</v>
      </c>
      <c r="C2603" s="2" t="s">
        <v>1498</v>
      </c>
      <c r="O2603" s="2" t="s">
        <v>40</v>
      </c>
      <c r="P2603" s="2" t="s">
        <v>364</v>
      </c>
      <c r="Q2603" s="2" t="s">
        <v>365</v>
      </c>
      <c r="R2603" s="2">
        <v>1</v>
      </c>
      <c r="S2603" s="2">
        <v>99.75</v>
      </c>
      <c r="T2603" s="2">
        <v>22.942499999999999</v>
      </c>
      <c r="U2603" s="2">
        <v>122.6925</v>
      </c>
      <c r="W2603" s="5">
        <f t="shared" si="254"/>
        <v>1</v>
      </c>
      <c r="Y2603" s="2" t="s">
        <v>120</v>
      </c>
      <c r="AE2603" s="2">
        <f t="shared" si="251"/>
        <v>0</v>
      </c>
      <c r="AI2603" s="2">
        <f t="shared" si="252"/>
        <v>0</v>
      </c>
      <c r="AJ2603" s="2">
        <f t="shared" si="253"/>
        <v>99.75</v>
      </c>
      <c r="AK2603" s="5">
        <f t="shared" si="255"/>
        <v>1</v>
      </c>
    </row>
    <row r="2604" spans="1:37" x14ac:dyDescent="0.2">
      <c r="A2604" s="2">
        <v>2025</v>
      </c>
      <c r="B2604" s="2">
        <v>9</v>
      </c>
      <c r="C2604" s="2" t="s">
        <v>2236</v>
      </c>
      <c r="O2604" s="2" t="s">
        <v>43</v>
      </c>
      <c r="P2604" s="2" t="s">
        <v>49</v>
      </c>
      <c r="Q2604" s="2" t="s">
        <v>50</v>
      </c>
      <c r="R2604" s="2">
        <v>2</v>
      </c>
      <c r="S2604" s="2">
        <v>26</v>
      </c>
      <c r="T2604" s="2">
        <v>5.98</v>
      </c>
      <c r="U2604" s="2">
        <v>31.98</v>
      </c>
      <c r="V2604" s="2">
        <f>6.6267*R2604</f>
        <v>13.253399999999999</v>
      </c>
      <c r="W2604" s="5">
        <f t="shared" si="254"/>
        <v>0.49025384615384621</v>
      </c>
      <c r="Y2604" s="2" t="s">
        <v>3256</v>
      </c>
      <c r="Z2604" s="2" t="s">
        <v>46</v>
      </c>
      <c r="AA2604" s="2" t="s">
        <v>47</v>
      </c>
      <c r="AB2604" s="2" t="s">
        <v>48</v>
      </c>
      <c r="AE2604" s="2">
        <f t="shared" si="251"/>
        <v>0</v>
      </c>
      <c r="AF2604" s="2">
        <v>6.6266999999999996</v>
      </c>
      <c r="AG2604" s="2">
        <v>12</v>
      </c>
      <c r="AI2604" s="2">
        <f t="shared" si="252"/>
        <v>0</v>
      </c>
      <c r="AJ2604" s="2">
        <f t="shared" si="253"/>
        <v>12.746600000000001</v>
      </c>
      <c r="AK2604" s="5">
        <f t="shared" si="255"/>
        <v>0.49025384615384621</v>
      </c>
    </row>
    <row r="2605" spans="1:37" x14ac:dyDescent="0.2">
      <c r="A2605" s="2">
        <v>2025</v>
      </c>
      <c r="B2605" s="2">
        <v>9</v>
      </c>
      <c r="C2605" s="2" t="s">
        <v>2236</v>
      </c>
      <c r="O2605" s="2" t="s">
        <v>43</v>
      </c>
      <c r="P2605" s="2" t="s">
        <v>55</v>
      </c>
      <c r="Q2605" s="2" t="s">
        <v>56</v>
      </c>
      <c r="R2605" s="2">
        <v>2</v>
      </c>
      <c r="S2605" s="2">
        <v>36</v>
      </c>
      <c r="T2605" s="2">
        <v>8.2800000000000011</v>
      </c>
      <c r="U2605" s="2">
        <v>44.28</v>
      </c>
      <c r="V2605" s="2">
        <f>10.6*R2605</f>
        <v>21.2</v>
      </c>
      <c r="W2605" s="5">
        <f t="shared" si="254"/>
        <v>0.41111111111111115</v>
      </c>
      <c r="Y2605" s="2" t="s">
        <v>3256</v>
      </c>
      <c r="Z2605" s="2" t="s">
        <v>46</v>
      </c>
      <c r="AA2605" s="2" t="s">
        <v>57</v>
      </c>
      <c r="AB2605" s="2" t="s">
        <v>58</v>
      </c>
      <c r="AE2605" s="2">
        <f t="shared" si="251"/>
        <v>0</v>
      </c>
      <c r="AF2605" s="2">
        <v>10.6</v>
      </c>
      <c r="AG2605" s="2">
        <v>18</v>
      </c>
      <c r="AI2605" s="2">
        <f t="shared" si="252"/>
        <v>0</v>
      </c>
      <c r="AJ2605" s="2">
        <f t="shared" si="253"/>
        <v>14.8</v>
      </c>
      <c r="AK2605" s="5">
        <f t="shared" si="255"/>
        <v>0.41111111111111115</v>
      </c>
    </row>
    <row r="2606" spans="1:37" x14ac:dyDescent="0.2">
      <c r="A2606" s="2">
        <v>2025</v>
      </c>
      <c r="B2606" s="2">
        <v>9</v>
      </c>
      <c r="C2606" s="2" t="s">
        <v>1501</v>
      </c>
      <c r="O2606" s="2" t="s">
        <v>115</v>
      </c>
      <c r="P2606" s="2" t="s">
        <v>785</v>
      </c>
      <c r="Q2606" s="2" t="s">
        <v>786</v>
      </c>
      <c r="R2606" s="2">
        <v>2</v>
      </c>
      <c r="S2606" s="2">
        <v>131.44</v>
      </c>
      <c r="T2606" s="2">
        <v>30.231200000000001</v>
      </c>
      <c r="U2606" s="2">
        <v>161.6712</v>
      </c>
      <c r="W2606" s="5">
        <f t="shared" si="254"/>
        <v>1</v>
      </c>
      <c r="AE2606" s="2">
        <f t="shared" si="251"/>
        <v>0</v>
      </c>
      <c r="AI2606" s="2">
        <f t="shared" si="252"/>
        <v>0</v>
      </c>
      <c r="AJ2606" s="2">
        <f t="shared" si="253"/>
        <v>131.44</v>
      </c>
      <c r="AK2606" s="5">
        <f t="shared" si="255"/>
        <v>1</v>
      </c>
    </row>
    <row r="2607" spans="1:37" x14ac:dyDescent="0.2">
      <c r="A2607" s="2">
        <v>2025</v>
      </c>
      <c r="B2607" s="2">
        <v>9</v>
      </c>
      <c r="C2607" s="2" t="s">
        <v>1502</v>
      </c>
      <c r="O2607" s="2" t="s">
        <v>115</v>
      </c>
      <c r="P2607" s="2" t="s">
        <v>1594</v>
      </c>
      <c r="Q2607" s="2" t="s">
        <v>1595</v>
      </c>
      <c r="R2607" s="2">
        <v>1</v>
      </c>
      <c r="S2607" s="2">
        <v>6680</v>
      </c>
      <c r="T2607" s="2">
        <v>1536.4</v>
      </c>
      <c r="U2607" s="2">
        <v>8216.4</v>
      </c>
      <c r="W2607" s="5">
        <f t="shared" si="254"/>
        <v>1</v>
      </c>
      <c r="AE2607" s="2">
        <f t="shared" si="251"/>
        <v>0</v>
      </c>
      <c r="AI2607" s="2">
        <f t="shared" si="252"/>
        <v>0</v>
      </c>
      <c r="AJ2607" s="2">
        <f t="shared" si="253"/>
        <v>6680</v>
      </c>
      <c r="AK2607" s="5">
        <f t="shared" si="255"/>
        <v>1</v>
      </c>
    </row>
    <row r="2608" spans="1:37" x14ac:dyDescent="0.2">
      <c r="A2608" s="2">
        <v>2025</v>
      </c>
      <c r="B2608" s="2">
        <v>9</v>
      </c>
      <c r="C2608" s="2" t="s">
        <v>1502</v>
      </c>
      <c r="O2608" s="2" t="s">
        <v>188</v>
      </c>
      <c r="P2608" s="2" t="s">
        <v>1318</v>
      </c>
      <c r="Q2608" s="2" t="s">
        <v>1319</v>
      </c>
      <c r="R2608" s="2">
        <v>1</v>
      </c>
      <c r="S2608" s="2">
        <v>0</v>
      </c>
      <c r="T2608" s="2">
        <v>0</v>
      </c>
      <c r="U2608" s="2">
        <v>0</v>
      </c>
      <c r="W2608" s="5" t="e">
        <f t="shared" si="254"/>
        <v>#DIV/0!</v>
      </c>
      <c r="Y2608" s="2" t="s">
        <v>118</v>
      </c>
      <c r="Z2608" s="2" t="s">
        <v>1320</v>
      </c>
      <c r="AE2608" s="2">
        <f t="shared" si="251"/>
        <v>0</v>
      </c>
      <c r="AI2608" s="2">
        <f t="shared" si="252"/>
        <v>0</v>
      </c>
      <c r="AJ2608" s="2">
        <f t="shared" si="253"/>
        <v>0</v>
      </c>
      <c r="AK2608" s="5" t="e">
        <f t="shared" si="255"/>
        <v>#DIV/0!</v>
      </c>
    </row>
    <row r="2609" spans="1:37" x14ac:dyDescent="0.2">
      <c r="A2609" s="2">
        <v>2025</v>
      </c>
      <c r="B2609" s="2">
        <v>9</v>
      </c>
      <c r="C2609" s="2" t="s">
        <v>2133</v>
      </c>
      <c r="O2609" s="2" t="s">
        <v>40</v>
      </c>
      <c r="P2609" s="2" t="s">
        <v>364</v>
      </c>
      <c r="Q2609" s="2" t="s">
        <v>365</v>
      </c>
      <c r="R2609" s="2">
        <v>1</v>
      </c>
      <c r="S2609" s="2">
        <v>1520</v>
      </c>
      <c r="T2609" s="2">
        <v>349.6</v>
      </c>
      <c r="U2609" s="2">
        <v>1869.6</v>
      </c>
      <c r="W2609" s="5">
        <f t="shared" si="254"/>
        <v>1</v>
      </c>
      <c r="Y2609" s="2" t="s">
        <v>120</v>
      </c>
      <c r="AE2609" s="2">
        <f t="shared" si="251"/>
        <v>0</v>
      </c>
      <c r="AI2609" s="2">
        <f t="shared" si="252"/>
        <v>0</v>
      </c>
      <c r="AJ2609" s="2">
        <f t="shared" si="253"/>
        <v>1520</v>
      </c>
      <c r="AK2609" s="5">
        <f t="shared" si="255"/>
        <v>1</v>
      </c>
    </row>
    <row r="2610" spans="1:37" x14ac:dyDescent="0.2">
      <c r="A2610" s="2">
        <v>2025</v>
      </c>
      <c r="B2610" s="2">
        <v>9</v>
      </c>
      <c r="C2610" s="2" t="s">
        <v>298</v>
      </c>
      <c r="D2610" s="2" t="s">
        <v>38</v>
      </c>
      <c r="E2610" s="2" t="s">
        <v>39</v>
      </c>
      <c r="F2610" s="2">
        <v>510939570</v>
      </c>
      <c r="G2610" s="2" t="s">
        <v>41</v>
      </c>
      <c r="H2610" s="2" t="s">
        <v>299</v>
      </c>
      <c r="I2610" s="2" t="s">
        <v>300</v>
      </c>
      <c r="J2610" s="2">
        <v>962678129</v>
      </c>
      <c r="K2610" s="2" t="s">
        <v>178</v>
      </c>
      <c r="N2610" s="2" t="s">
        <v>2237</v>
      </c>
      <c r="O2610" s="2" t="s">
        <v>115</v>
      </c>
      <c r="P2610" s="2" t="s">
        <v>2238</v>
      </c>
      <c r="Q2610" s="2" t="s">
        <v>1441</v>
      </c>
      <c r="R2610" s="2">
        <v>1</v>
      </c>
      <c r="S2610" s="2">
        <v>39.049999999999997</v>
      </c>
      <c r="T2610" s="2">
        <v>8.9815000000000005</v>
      </c>
      <c r="U2610" s="2">
        <v>48.031499999999987</v>
      </c>
      <c r="W2610" s="5">
        <f t="shared" si="254"/>
        <v>1</v>
      </c>
      <c r="AE2610" s="2">
        <f t="shared" si="251"/>
        <v>0</v>
      </c>
      <c r="AI2610" s="2">
        <f t="shared" si="252"/>
        <v>0</v>
      </c>
      <c r="AJ2610" s="2">
        <f t="shared" si="253"/>
        <v>39.049999999999997</v>
      </c>
      <c r="AK2610" s="5">
        <f t="shared" si="255"/>
        <v>1</v>
      </c>
    </row>
    <row r="2611" spans="1:37" x14ac:dyDescent="0.2">
      <c r="A2611" s="2">
        <v>2025</v>
      </c>
      <c r="B2611" s="2">
        <v>9</v>
      </c>
      <c r="C2611" s="2" t="s">
        <v>298</v>
      </c>
      <c r="D2611" s="2" t="s">
        <v>38</v>
      </c>
      <c r="E2611" s="2" t="s">
        <v>39</v>
      </c>
      <c r="F2611" s="2">
        <v>510939570</v>
      </c>
      <c r="G2611" s="2" t="s">
        <v>41</v>
      </c>
      <c r="H2611" s="2" t="s">
        <v>299</v>
      </c>
      <c r="I2611" s="2" t="s">
        <v>300</v>
      </c>
      <c r="J2611" s="2">
        <v>962678129</v>
      </c>
      <c r="K2611" s="2" t="s">
        <v>178</v>
      </c>
      <c r="L2611" s="2" t="s">
        <v>40</v>
      </c>
      <c r="N2611" s="2" t="s">
        <v>2239</v>
      </c>
      <c r="O2611" s="2" t="s">
        <v>115</v>
      </c>
      <c r="P2611" s="2" t="s">
        <v>375</v>
      </c>
      <c r="Q2611" s="2" t="s">
        <v>376</v>
      </c>
      <c r="R2611" s="2">
        <v>1</v>
      </c>
      <c r="S2611" s="2">
        <v>41.96</v>
      </c>
      <c r="T2611" s="2">
        <v>9.6508000000000003</v>
      </c>
      <c r="U2611" s="2">
        <v>51.610799999999998</v>
      </c>
      <c r="W2611" s="5">
        <f t="shared" si="254"/>
        <v>1</v>
      </c>
      <c r="AE2611" s="2">
        <f t="shared" si="251"/>
        <v>0</v>
      </c>
      <c r="AI2611" s="2">
        <f t="shared" si="252"/>
        <v>0</v>
      </c>
      <c r="AJ2611" s="2">
        <f t="shared" si="253"/>
        <v>41.96</v>
      </c>
      <c r="AK2611" s="5">
        <f t="shared" si="255"/>
        <v>1</v>
      </c>
    </row>
    <row r="2612" spans="1:37" x14ac:dyDescent="0.2">
      <c r="A2612" s="2">
        <v>2025</v>
      </c>
      <c r="B2612" s="2">
        <v>9</v>
      </c>
      <c r="C2612" s="2" t="s">
        <v>298</v>
      </c>
      <c r="D2612" s="2" t="s">
        <v>38</v>
      </c>
      <c r="E2612" s="2" t="s">
        <v>39</v>
      </c>
      <c r="F2612" s="2">
        <v>510939570</v>
      </c>
      <c r="G2612" s="2" t="s">
        <v>41</v>
      </c>
      <c r="H2612" s="2" t="s">
        <v>299</v>
      </c>
      <c r="I2612" s="2" t="s">
        <v>300</v>
      </c>
      <c r="J2612" s="2">
        <v>962678129</v>
      </c>
      <c r="K2612" s="2" t="s">
        <v>178</v>
      </c>
      <c r="N2612" s="2" t="s">
        <v>2240</v>
      </c>
      <c r="O2612" s="2" t="s">
        <v>115</v>
      </c>
      <c r="P2612" s="2" t="s">
        <v>471</v>
      </c>
      <c r="Q2612" s="2" t="s">
        <v>472</v>
      </c>
      <c r="R2612" s="2">
        <v>1</v>
      </c>
      <c r="S2612" s="2">
        <v>488.82</v>
      </c>
      <c r="T2612" s="2">
        <v>112.4286</v>
      </c>
      <c r="U2612" s="2">
        <v>601.24860000000001</v>
      </c>
      <c r="W2612" s="5">
        <f t="shared" si="254"/>
        <v>1</v>
      </c>
      <c r="AE2612" s="2">
        <f t="shared" si="251"/>
        <v>0</v>
      </c>
      <c r="AI2612" s="2">
        <f t="shared" si="252"/>
        <v>0</v>
      </c>
      <c r="AJ2612" s="2">
        <f t="shared" si="253"/>
        <v>488.82</v>
      </c>
      <c r="AK2612" s="5">
        <f t="shared" si="255"/>
        <v>1</v>
      </c>
    </row>
    <row r="2613" spans="1:37" x14ac:dyDescent="0.2">
      <c r="A2613" s="2">
        <v>2025</v>
      </c>
      <c r="B2613" s="2">
        <v>9</v>
      </c>
      <c r="C2613" s="2" t="s">
        <v>298</v>
      </c>
      <c r="D2613" s="2" t="s">
        <v>38</v>
      </c>
      <c r="E2613" s="2" t="s">
        <v>39</v>
      </c>
      <c r="F2613" s="2">
        <v>510939570</v>
      </c>
      <c r="G2613" s="2" t="s">
        <v>41</v>
      </c>
      <c r="H2613" s="2" t="s">
        <v>299</v>
      </c>
      <c r="I2613" s="2" t="s">
        <v>300</v>
      </c>
      <c r="J2613" s="2">
        <v>962678129</v>
      </c>
      <c r="K2613" s="2" t="s">
        <v>178</v>
      </c>
      <c r="L2613" s="2" t="s">
        <v>41</v>
      </c>
      <c r="N2613" s="2" t="s">
        <v>2239</v>
      </c>
      <c r="O2613" s="2" t="s">
        <v>43</v>
      </c>
      <c r="P2613" s="2" t="s">
        <v>53</v>
      </c>
      <c r="Q2613" s="2" t="s">
        <v>54</v>
      </c>
      <c r="R2613" s="2">
        <v>2</v>
      </c>
      <c r="S2613" s="2">
        <v>19.2</v>
      </c>
      <c r="T2613" s="2">
        <v>4.4160000000000004</v>
      </c>
      <c r="U2613" s="2">
        <v>23.616</v>
      </c>
      <c r="V2613" s="2">
        <f>5.2973*R2613</f>
        <v>10.5946</v>
      </c>
      <c r="W2613" s="5">
        <f t="shared" si="254"/>
        <v>0.44819791666666664</v>
      </c>
      <c r="Y2613" s="2" t="s">
        <v>3256</v>
      </c>
      <c r="Z2613" s="2" t="s">
        <v>46</v>
      </c>
      <c r="AA2613" s="2" t="s">
        <v>47</v>
      </c>
      <c r="AB2613" s="2" t="s">
        <v>48</v>
      </c>
      <c r="AE2613" s="2">
        <f t="shared" si="251"/>
        <v>0</v>
      </c>
      <c r="AF2613" s="2">
        <v>5.2972999999999999</v>
      </c>
      <c r="AG2613" s="2">
        <v>10.8</v>
      </c>
      <c r="AI2613" s="2">
        <f t="shared" si="252"/>
        <v>0</v>
      </c>
      <c r="AJ2613" s="2">
        <f t="shared" si="253"/>
        <v>8.6053999999999995</v>
      </c>
      <c r="AK2613" s="5">
        <f t="shared" si="255"/>
        <v>0.44819791666666664</v>
      </c>
    </row>
    <row r="2614" spans="1:37" x14ac:dyDescent="0.2">
      <c r="A2614" s="2">
        <v>2025</v>
      </c>
      <c r="B2614" s="2">
        <v>9</v>
      </c>
      <c r="C2614" s="2" t="s">
        <v>298</v>
      </c>
      <c r="D2614" s="2" t="s">
        <v>38</v>
      </c>
      <c r="E2614" s="2" t="s">
        <v>39</v>
      </c>
      <c r="F2614" s="2">
        <v>510939570</v>
      </c>
      <c r="G2614" s="2" t="s">
        <v>41</v>
      </c>
      <c r="H2614" s="2" t="s">
        <v>299</v>
      </c>
      <c r="I2614" s="2" t="s">
        <v>300</v>
      </c>
      <c r="J2614" s="2">
        <v>962678129</v>
      </c>
      <c r="K2614" s="2" t="s">
        <v>178</v>
      </c>
      <c r="L2614" s="2" t="s">
        <v>40</v>
      </c>
      <c r="N2614" s="2" t="s">
        <v>2240</v>
      </c>
      <c r="O2614" s="2" t="s">
        <v>188</v>
      </c>
      <c r="P2614" s="2" t="s">
        <v>189</v>
      </c>
      <c r="Q2614" s="2" t="s">
        <v>190</v>
      </c>
      <c r="R2614" s="2">
        <v>1</v>
      </c>
      <c r="S2614" s="2">
        <v>79</v>
      </c>
      <c r="T2614" s="2">
        <v>18.170000000000002</v>
      </c>
      <c r="U2614" s="2">
        <v>97.17</v>
      </c>
      <c r="W2614" s="5">
        <f t="shared" si="254"/>
        <v>1</v>
      </c>
      <c r="Y2614" s="2" t="s">
        <v>118</v>
      </c>
      <c r="Z2614" s="2" t="s">
        <v>191</v>
      </c>
      <c r="AE2614" s="2">
        <f t="shared" si="251"/>
        <v>0</v>
      </c>
      <c r="AI2614" s="2">
        <f t="shared" si="252"/>
        <v>0</v>
      </c>
      <c r="AJ2614" s="2">
        <f t="shared" si="253"/>
        <v>79</v>
      </c>
      <c r="AK2614" s="5">
        <f t="shared" si="255"/>
        <v>1</v>
      </c>
    </row>
    <row r="2615" spans="1:37" x14ac:dyDescent="0.2">
      <c r="A2615" s="2">
        <v>2025</v>
      </c>
      <c r="B2615" s="2">
        <v>9</v>
      </c>
      <c r="C2615" s="2" t="s">
        <v>298</v>
      </c>
      <c r="D2615" s="2" t="s">
        <v>38</v>
      </c>
      <c r="E2615" s="2" t="s">
        <v>39</v>
      </c>
      <c r="F2615" s="2">
        <v>510939570</v>
      </c>
      <c r="G2615" s="2" t="s">
        <v>41</v>
      </c>
      <c r="H2615" s="2" t="s">
        <v>299</v>
      </c>
      <c r="I2615" s="2" t="s">
        <v>300</v>
      </c>
      <c r="J2615" s="2">
        <v>962678129</v>
      </c>
      <c r="K2615" s="2" t="s">
        <v>178</v>
      </c>
      <c r="L2615" s="2" t="s">
        <v>40</v>
      </c>
      <c r="N2615" s="2" t="s">
        <v>2240</v>
      </c>
      <c r="O2615" s="2" t="s">
        <v>188</v>
      </c>
      <c r="P2615" s="2" t="s">
        <v>192</v>
      </c>
      <c r="Q2615" s="2" t="s">
        <v>191</v>
      </c>
      <c r="R2615" s="2">
        <v>1</v>
      </c>
      <c r="S2615" s="2">
        <v>50</v>
      </c>
      <c r="T2615" s="2">
        <v>11.5</v>
      </c>
      <c r="U2615" s="2">
        <v>61.5</v>
      </c>
      <c r="V2615" s="2">
        <f>S2615*50%</f>
        <v>25</v>
      </c>
      <c r="W2615" s="5">
        <f t="shared" si="254"/>
        <v>0.5</v>
      </c>
      <c r="Y2615" s="2" t="s">
        <v>118</v>
      </c>
      <c r="Z2615" s="2" t="s">
        <v>191</v>
      </c>
      <c r="AE2615" s="2">
        <f t="shared" si="251"/>
        <v>0</v>
      </c>
      <c r="AI2615" s="2">
        <f t="shared" si="252"/>
        <v>0</v>
      </c>
      <c r="AJ2615" s="2">
        <f t="shared" si="253"/>
        <v>25</v>
      </c>
      <c r="AK2615" s="5">
        <f t="shared" si="255"/>
        <v>0.5</v>
      </c>
    </row>
    <row r="2616" spans="1:37" x14ac:dyDescent="0.2">
      <c r="A2616" s="2">
        <v>2025</v>
      </c>
      <c r="B2616" s="2">
        <v>9</v>
      </c>
      <c r="C2616" s="2" t="s">
        <v>315</v>
      </c>
      <c r="D2616" s="2" t="s">
        <v>109</v>
      </c>
      <c r="F2616" s="2">
        <v>503270520</v>
      </c>
      <c r="G2616" s="2" t="s">
        <v>40</v>
      </c>
      <c r="H2616" s="2" t="s">
        <v>316</v>
      </c>
      <c r="I2616" s="2" t="s">
        <v>317</v>
      </c>
      <c r="K2616" s="2" t="s">
        <v>100</v>
      </c>
      <c r="O2616" s="2" t="s">
        <v>73</v>
      </c>
      <c r="P2616" s="2" t="s">
        <v>919</v>
      </c>
      <c r="Q2616" s="2" t="s">
        <v>75</v>
      </c>
      <c r="R2616" s="2">
        <v>1</v>
      </c>
      <c r="S2616" s="2">
        <v>220</v>
      </c>
      <c r="T2616" s="2">
        <v>50.6</v>
      </c>
      <c r="U2616" s="2">
        <v>270.60000000000002</v>
      </c>
      <c r="W2616" s="5">
        <f t="shared" si="254"/>
        <v>1</v>
      </c>
      <c r="Y2616" s="2" t="s">
        <v>3256</v>
      </c>
      <c r="Z2616" s="2" t="s">
        <v>76</v>
      </c>
      <c r="AA2616" s="2" t="s">
        <v>77</v>
      </c>
      <c r="AB2616" s="2" t="s">
        <v>78</v>
      </c>
      <c r="AE2616" s="2">
        <f t="shared" si="251"/>
        <v>0</v>
      </c>
      <c r="AI2616" s="2">
        <f t="shared" si="252"/>
        <v>0</v>
      </c>
      <c r="AJ2616" s="2">
        <f t="shared" si="253"/>
        <v>220</v>
      </c>
      <c r="AK2616" s="5">
        <f t="shared" si="255"/>
        <v>1</v>
      </c>
    </row>
    <row r="2617" spans="1:37" x14ac:dyDescent="0.2">
      <c r="A2617" s="2">
        <v>2025</v>
      </c>
      <c r="B2617" s="2">
        <v>9</v>
      </c>
      <c r="C2617" s="2" t="s">
        <v>315</v>
      </c>
      <c r="D2617" s="2" t="s">
        <v>109</v>
      </c>
      <c r="F2617" s="2">
        <v>503270520</v>
      </c>
      <c r="G2617" s="2" t="s">
        <v>40</v>
      </c>
      <c r="H2617" s="2" t="s">
        <v>316</v>
      </c>
      <c r="I2617" s="2" t="s">
        <v>317</v>
      </c>
      <c r="K2617" s="2" t="s">
        <v>100</v>
      </c>
      <c r="O2617" s="2" t="s">
        <v>94</v>
      </c>
      <c r="P2617" s="2" t="s">
        <v>95</v>
      </c>
      <c r="Q2617" s="2" t="s">
        <v>96</v>
      </c>
      <c r="R2617" s="2">
        <v>1</v>
      </c>
      <c r="S2617" s="2">
        <v>1.1399999999999999</v>
      </c>
      <c r="T2617" s="2">
        <v>0.26219999999999999</v>
      </c>
      <c r="U2617" s="2">
        <v>1.4021999999999999</v>
      </c>
      <c r="V2617" s="2">
        <v>1.1399999999999999</v>
      </c>
      <c r="W2617" s="5">
        <f t="shared" si="254"/>
        <v>0</v>
      </c>
      <c r="Y2617" s="2" t="s">
        <v>3256</v>
      </c>
      <c r="Z2617" s="2" t="s">
        <v>97</v>
      </c>
      <c r="AA2617" s="2" t="s">
        <v>77</v>
      </c>
      <c r="AB2617" s="2" t="s">
        <v>94</v>
      </c>
      <c r="AE2617" s="2">
        <f t="shared" si="251"/>
        <v>0</v>
      </c>
      <c r="AI2617" s="2">
        <f t="shared" si="252"/>
        <v>0</v>
      </c>
      <c r="AJ2617" s="2">
        <f t="shared" si="253"/>
        <v>0</v>
      </c>
      <c r="AK2617" s="5">
        <f t="shared" si="255"/>
        <v>0</v>
      </c>
    </row>
    <row r="2618" spans="1:37" x14ac:dyDescent="0.2">
      <c r="A2618" s="2">
        <v>2025</v>
      </c>
      <c r="B2618" s="2">
        <v>9</v>
      </c>
      <c r="C2618" s="2" t="s">
        <v>320</v>
      </c>
      <c r="D2618" s="2" t="s">
        <v>38</v>
      </c>
      <c r="E2618" s="2" t="s">
        <v>39</v>
      </c>
      <c r="F2618" s="2">
        <v>500883262</v>
      </c>
      <c r="G2618" s="2" t="s">
        <v>40</v>
      </c>
      <c r="H2618" s="2" t="s">
        <v>100</v>
      </c>
      <c r="I2618" s="2" t="s">
        <v>321</v>
      </c>
      <c r="K2618" s="2" t="s">
        <v>100</v>
      </c>
      <c r="L2618" s="2" t="s">
        <v>81</v>
      </c>
      <c r="N2618" s="2" t="s">
        <v>2241</v>
      </c>
      <c r="O2618" s="2" t="s">
        <v>43</v>
      </c>
      <c r="P2618" s="2" t="s">
        <v>977</v>
      </c>
      <c r="Q2618" s="2" t="s">
        <v>978</v>
      </c>
      <c r="R2618" s="2">
        <v>8</v>
      </c>
      <c r="S2618" s="2">
        <v>232</v>
      </c>
      <c r="T2618" s="2">
        <v>53.36</v>
      </c>
      <c r="U2618" s="2">
        <v>285.36</v>
      </c>
      <c r="W2618" s="5">
        <f t="shared" si="254"/>
        <v>1</v>
      </c>
      <c r="Y2618" s="2" t="s">
        <v>3256</v>
      </c>
      <c r="Z2618" s="2" t="s">
        <v>46</v>
      </c>
      <c r="AA2618" s="2" t="s">
        <v>61</v>
      </c>
      <c r="AB2618" s="2" t="s">
        <v>58</v>
      </c>
      <c r="AE2618" s="2">
        <f t="shared" si="251"/>
        <v>0</v>
      </c>
      <c r="AI2618" s="2">
        <f t="shared" si="252"/>
        <v>0</v>
      </c>
      <c r="AJ2618" s="2">
        <f t="shared" si="253"/>
        <v>232</v>
      </c>
      <c r="AK2618" s="5">
        <f t="shared" si="255"/>
        <v>1</v>
      </c>
    </row>
    <row r="2619" spans="1:37" x14ac:dyDescent="0.2">
      <c r="A2619" s="2">
        <v>2025</v>
      </c>
      <c r="B2619" s="2">
        <v>9</v>
      </c>
      <c r="C2619" s="2" t="s">
        <v>320</v>
      </c>
      <c r="D2619" s="2" t="s">
        <v>38</v>
      </c>
      <c r="E2619" s="2" t="s">
        <v>39</v>
      </c>
      <c r="F2619" s="2">
        <v>500883262</v>
      </c>
      <c r="G2619" s="2" t="s">
        <v>40</v>
      </c>
      <c r="H2619" s="2" t="s">
        <v>100</v>
      </c>
      <c r="I2619" s="2" t="s">
        <v>321</v>
      </c>
      <c r="K2619" s="2" t="s">
        <v>100</v>
      </c>
      <c r="L2619" s="2" t="s">
        <v>81</v>
      </c>
      <c r="N2619" s="2" t="s">
        <v>2241</v>
      </c>
      <c r="O2619" s="2" t="s">
        <v>43</v>
      </c>
      <c r="P2619" s="2" t="s">
        <v>979</v>
      </c>
      <c r="Q2619" s="2" t="s">
        <v>980</v>
      </c>
      <c r="R2619" s="2">
        <v>9</v>
      </c>
      <c r="S2619" s="2">
        <v>261</v>
      </c>
      <c r="T2619" s="2">
        <v>60.03</v>
      </c>
      <c r="U2619" s="2">
        <v>321.02999999999997</v>
      </c>
      <c r="W2619" s="5">
        <f t="shared" si="254"/>
        <v>1</v>
      </c>
      <c r="Y2619" s="2" t="s">
        <v>3256</v>
      </c>
      <c r="Z2619" s="2" t="s">
        <v>46</v>
      </c>
      <c r="AA2619" s="2" t="s">
        <v>61</v>
      </c>
      <c r="AB2619" s="2" t="s">
        <v>58</v>
      </c>
      <c r="AE2619" s="2">
        <f t="shared" si="251"/>
        <v>0</v>
      </c>
      <c r="AI2619" s="2">
        <f t="shared" si="252"/>
        <v>0</v>
      </c>
      <c r="AJ2619" s="2">
        <f t="shared" si="253"/>
        <v>261</v>
      </c>
      <c r="AK2619" s="5">
        <f t="shared" si="255"/>
        <v>1</v>
      </c>
    </row>
    <row r="2620" spans="1:37" x14ac:dyDescent="0.2">
      <c r="A2620" s="2">
        <v>2025</v>
      </c>
      <c r="B2620" s="2">
        <v>9</v>
      </c>
      <c r="C2620" s="2" t="s">
        <v>320</v>
      </c>
      <c r="D2620" s="2" t="s">
        <v>38</v>
      </c>
      <c r="E2620" s="2" t="s">
        <v>39</v>
      </c>
      <c r="F2620" s="2">
        <v>500883262</v>
      </c>
      <c r="G2620" s="2" t="s">
        <v>40</v>
      </c>
      <c r="H2620" s="2" t="s">
        <v>100</v>
      </c>
      <c r="I2620" s="2" t="s">
        <v>321</v>
      </c>
      <c r="K2620" s="2" t="s">
        <v>100</v>
      </c>
      <c r="L2620" s="2" t="s">
        <v>81</v>
      </c>
      <c r="N2620" s="2" t="s">
        <v>2242</v>
      </c>
      <c r="O2620" s="2" t="s">
        <v>73</v>
      </c>
      <c r="P2620" s="2" t="s">
        <v>74</v>
      </c>
      <c r="Q2620" s="2" t="s">
        <v>75</v>
      </c>
      <c r="R2620" s="2">
        <v>2</v>
      </c>
      <c r="S2620" s="2">
        <v>440</v>
      </c>
      <c r="T2620" s="2">
        <v>101.2</v>
      </c>
      <c r="U2620" s="2">
        <v>541.20000000000005</v>
      </c>
      <c r="V2620" s="2">
        <v>117.453</v>
      </c>
      <c r="W2620" s="5">
        <f t="shared" si="254"/>
        <v>0.73306136363636365</v>
      </c>
      <c r="Y2620" s="2" t="s">
        <v>3256</v>
      </c>
      <c r="Z2620" s="2" t="s">
        <v>76</v>
      </c>
      <c r="AA2620" s="2" t="s">
        <v>77</v>
      </c>
      <c r="AB2620" s="2" t="s">
        <v>78</v>
      </c>
      <c r="AE2620" s="2">
        <f t="shared" si="251"/>
        <v>0</v>
      </c>
      <c r="AF2620" s="2">
        <v>117.453</v>
      </c>
      <c r="AG2620" s="2">
        <v>220</v>
      </c>
      <c r="AI2620" s="2">
        <f t="shared" si="252"/>
        <v>0</v>
      </c>
      <c r="AJ2620" s="2">
        <f t="shared" si="253"/>
        <v>322.54700000000003</v>
      </c>
      <c r="AK2620" s="5">
        <f t="shared" si="255"/>
        <v>0.73306136363636365</v>
      </c>
    </row>
    <row r="2621" spans="1:37" x14ac:dyDescent="0.2">
      <c r="A2621" s="2">
        <v>2025</v>
      </c>
      <c r="B2621" s="2">
        <v>9</v>
      </c>
      <c r="C2621" s="2" t="s">
        <v>320</v>
      </c>
      <c r="D2621" s="2" t="s">
        <v>38</v>
      </c>
      <c r="E2621" s="2" t="s">
        <v>39</v>
      </c>
      <c r="F2621" s="2">
        <v>500883262</v>
      </c>
      <c r="G2621" s="2" t="s">
        <v>40</v>
      </c>
      <c r="H2621" s="2" t="s">
        <v>100</v>
      </c>
      <c r="I2621" s="2" t="s">
        <v>321</v>
      </c>
      <c r="K2621" s="2" t="s">
        <v>100</v>
      </c>
      <c r="L2621" s="2" t="s">
        <v>81</v>
      </c>
      <c r="N2621" s="2" t="s">
        <v>2242</v>
      </c>
      <c r="O2621" s="2" t="s">
        <v>94</v>
      </c>
      <c r="P2621" s="2" t="s">
        <v>95</v>
      </c>
      <c r="Q2621" s="2" t="s">
        <v>96</v>
      </c>
      <c r="R2621" s="2">
        <v>2</v>
      </c>
      <c r="S2621" s="2">
        <v>2.2799999999999998</v>
      </c>
      <c r="T2621" s="2">
        <v>0.52439999999999998</v>
      </c>
      <c r="U2621" s="2">
        <v>2.8043999999999998</v>
      </c>
      <c r="V2621" s="2">
        <v>2.2799999999999998</v>
      </c>
      <c r="W2621" s="5">
        <f t="shared" si="254"/>
        <v>0</v>
      </c>
      <c r="Y2621" s="2" t="s">
        <v>3256</v>
      </c>
      <c r="Z2621" s="2" t="s">
        <v>97</v>
      </c>
      <c r="AA2621" s="2" t="s">
        <v>77</v>
      </c>
      <c r="AB2621" s="2" t="s">
        <v>94</v>
      </c>
      <c r="AE2621" s="2">
        <f t="shared" si="251"/>
        <v>0</v>
      </c>
      <c r="AI2621" s="2">
        <f t="shared" si="252"/>
        <v>0</v>
      </c>
      <c r="AJ2621" s="2">
        <f t="shared" si="253"/>
        <v>0</v>
      </c>
      <c r="AK2621" s="5">
        <f t="shared" si="255"/>
        <v>0</v>
      </c>
    </row>
    <row r="2622" spans="1:37" x14ac:dyDescent="0.2">
      <c r="A2622" s="2">
        <v>2025</v>
      </c>
      <c r="B2622" s="2">
        <v>9</v>
      </c>
      <c r="C2622" s="2" t="s">
        <v>1778</v>
      </c>
      <c r="O2622" s="2" t="s">
        <v>115</v>
      </c>
      <c r="P2622" s="2" t="s">
        <v>933</v>
      </c>
      <c r="Q2622" s="2" t="s">
        <v>934</v>
      </c>
      <c r="R2622" s="2">
        <v>1</v>
      </c>
      <c r="S2622" s="2">
        <v>430</v>
      </c>
      <c r="T2622" s="2">
        <v>98.9</v>
      </c>
      <c r="U2622" s="2">
        <v>528.9</v>
      </c>
      <c r="W2622" s="5">
        <f t="shared" si="254"/>
        <v>1</v>
      </c>
      <c r="AE2622" s="2">
        <f t="shared" si="251"/>
        <v>0</v>
      </c>
      <c r="AI2622" s="2">
        <f t="shared" si="252"/>
        <v>0</v>
      </c>
      <c r="AJ2622" s="2">
        <f t="shared" si="253"/>
        <v>430</v>
      </c>
      <c r="AK2622" s="5">
        <f t="shared" si="255"/>
        <v>1</v>
      </c>
    </row>
    <row r="2623" spans="1:37" x14ac:dyDescent="0.2">
      <c r="A2623" s="2">
        <v>2025</v>
      </c>
      <c r="B2623" s="2">
        <v>9</v>
      </c>
      <c r="C2623" s="2" t="s">
        <v>2243</v>
      </c>
      <c r="O2623" s="2" t="s">
        <v>115</v>
      </c>
      <c r="P2623" s="2" t="s">
        <v>136</v>
      </c>
      <c r="Q2623" s="2" t="s">
        <v>137</v>
      </c>
      <c r="R2623" s="2">
        <v>1</v>
      </c>
      <c r="S2623" s="2">
        <v>725.58</v>
      </c>
      <c r="T2623" s="2">
        <v>166.88339999999999</v>
      </c>
      <c r="U2623" s="2">
        <v>892.46340000000009</v>
      </c>
      <c r="W2623" s="5">
        <f t="shared" si="254"/>
        <v>1</v>
      </c>
      <c r="AE2623" s="2">
        <f t="shared" si="251"/>
        <v>0</v>
      </c>
      <c r="AI2623" s="2">
        <f t="shared" si="252"/>
        <v>0</v>
      </c>
      <c r="AJ2623" s="2">
        <f t="shared" si="253"/>
        <v>725.58</v>
      </c>
      <c r="AK2623" s="5">
        <f t="shared" si="255"/>
        <v>1</v>
      </c>
    </row>
    <row r="2624" spans="1:37" x14ac:dyDescent="0.2">
      <c r="A2624" s="2">
        <v>2025</v>
      </c>
      <c r="B2624" s="2">
        <v>9</v>
      </c>
      <c r="C2624" s="2" t="s">
        <v>327</v>
      </c>
      <c r="D2624" s="2" t="s">
        <v>109</v>
      </c>
      <c r="E2624" s="2" t="s">
        <v>39</v>
      </c>
      <c r="F2624" s="2">
        <v>501544801</v>
      </c>
      <c r="G2624" s="2" t="s">
        <v>41</v>
      </c>
      <c r="H2624" s="2" t="s">
        <v>328</v>
      </c>
      <c r="I2624" s="2" t="s">
        <v>329</v>
      </c>
      <c r="K2624" s="2" t="s">
        <v>178</v>
      </c>
      <c r="P2624" s="2" t="s">
        <v>2244</v>
      </c>
      <c r="Q2624" s="2" t="s">
        <v>1119</v>
      </c>
      <c r="R2624" s="2">
        <v>1</v>
      </c>
      <c r="S2624" s="2">
        <v>1450</v>
      </c>
      <c r="T2624" s="2">
        <v>333.5</v>
      </c>
      <c r="U2624" s="2">
        <v>1783.5</v>
      </c>
      <c r="W2624" s="5">
        <f t="shared" si="254"/>
        <v>1</v>
      </c>
      <c r="AE2624" s="2">
        <f t="shared" si="251"/>
        <v>0</v>
      </c>
      <c r="AI2624" s="2">
        <f t="shared" si="252"/>
        <v>0</v>
      </c>
      <c r="AJ2624" s="2">
        <f t="shared" si="253"/>
        <v>1450</v>
      </c>
      <c r="AK2624" s="5">
        <f t="shared" si="255"/>
        <v>1</v>
      </c>
    </row>
    <row r="2625" spans="1:37" x14ac:dyDescent="0.2">
      <c r="A2625" s="2">
        <v>2025</v>
      </c>
      <c r="B2625" s="2">
        <v>9</v>
      </c>
      <c r="C2625" s="2" t="s">
        <v>333</v>
      </c>
      <c r="D2625" s="2" t="s">
        <v>109</v>
      </c>
      <c r="E2625" s="2" t="s">
        <v>39</v>
      </c>
      <c r="F2625" s="2">
        <v>513493557</v>
      </c>
      <c r="G2625" s="2" t="s">
        <v>41</v>
      </c>
      <c r="H2625" s="2" t="s">
        <v>280</v>
      </c>
      <c r="I2625" s="2" t="s">
        <v>334</v>
      </c>
      <c r="K2625" s="2" t="s">
        <v>178</v>
      </c>
      <c r="L2625" s="2" t="s">
        <v>41</v>
      </c>
      <c r="O2625" s="2" t="s">
        <v>43</v>
      </c>
      <c r="P2625" s="2" t="s">
        <v>241</v>
      </c>
      <c r="Q2625" s="2" t="s">
        <v>242</v>
      </c>
      <c r="R2625" s="2">
        <v>1</v>
      </c>
      <c r="S2625" s="2">
        <v>24</v>
      </c>
      <c r="T2625" s="2">
        <v>5.52</v>
      </c>
      <c r="U2625" s="2">
        <v>29.52</v>
      </c>
      <c r="W2625" s="5">
        <f t="shared" si="254"/>
        <v>1</v>
      </c>
      <c r="Y2625" s="2" t="s">
        <v>3256</v>
      </c>
      <c r="Z2625" s="2" t="s">
        <v>46</v>
      </c>
      <c r="AA2625" s="2" t="s">
        <v>57</v>
      </c>
      <c r="AB2625" s="2" t="s">
        <v>58</v>
      </c>
      <c r="AE2625" s="2">
        <f t="shared" si="251"/>
        <v>0</v>
      </c>
      <c r="AI2625" s="2">
        <f t="shared" si="252"/>
        <v>0</v>
      </c>
      <c r="AJ2625" s="2">
        <f t="shared" si="253"/>
        <v>24</v>
      </c>
      <c r="AK2625" s="5">
        <f t="shared" si="255"/>
        <v>1</v>
      </c>
    </row>
    <row r="2626" spans="1:37" x14ac:dyDescent="0.2">
      <c r="A2626" s="2">
        <v>2025</v>
      </c>
      <c r="B2626" s="2">
        <v>9</v>
      </c>
      <c r="C2626" s="2" t="s">
        <v>333</v>
      </c>
      <c r="D2626" s="2" t="s">
        <v>109</v>
      </c>
      <c r="E2626" s="2" t="s">
        <v>39</v>
      </c>
      <c r="F2626" s="2">
        <v>513493557</v>
      </c>
      <c r="G2626" s="2" t="s">
        <v>41</v>
      </c>
      <c r="H2626" s="2" t="s">
        <v>280</v>
      </c>
      <c r="I2626" s="2" t="s">
        <v>334</v>
      </c>
      <c r="K2626" s="2" t="s">
        <v>178</v>
      </c>
      <c r="L2626" s="2" t="s">
        <v>41</v>
      </c>
      <c r="O2626" s="2" t="s">
        <v>43</v>
      </c>
      <c r="P2626" s="2" t="s">
        <v>59</v>
      </c>
      <c r="Q2626" s="2" t="s">
        <v>60</v>
      </c>
      <c r="R2626" s="2">
        <v>500</v>
      </c>
      <c r="S2626" s="2">
        <v>65</v>
      </c>
      <c r="T2626" s="2">
        <v>14.95</v>
      </c>
      <c r="U2626" s="2">
        <v>79.95</v>
      </c>
      <c r="V2626" s="2">
        <f>0.0914*R2626</f>
        <v>45.699999999999996</v>
      </c>
      <c r="W2626" s="5">
        <f t="shared" si="254"/>
        <v>0.29692307692307701</v>
      </c>
      <c r="Y2626" s="2" t="s">
        <v>3256</v>
      </c>
      <c r="Z2626" s="2" t="s">
        <v>46</v>
      </c>
      <c r="AA2626" s="2" t="s">
        <v>61</v>
      </c>
      <c r="AB2626" s="2" t="s">
        <v>58</v>
      </c>
      <c r="AE2626" s="2">
        <f t="shared" si="251"/>
        <v>0</v>
      </c>
      <c r="AF2626" s="2">
        <v>9.14</v>
      </c>
      <c r="AG2626" s="2">
        <v>16</v>
      </c>
      <c r="AI2626" s="2">
        <f t="shared" si="252"/>
        <v>0</v>
      </c>
      <c r="AJ2626" s="2">
        <f t="shared" si="253"/>
        <v>19.300000000000004</v>
      </c>
      <c r="AK2626" s="5">
        <f t="shared" si="255"/>
        <v>0.29692307692307701</v>
      </c>
    </row>
    <row r="2627" spans="1:37" x14ac:dyDescent="0.2">
      <c r="A2627" s="2">
        <v>2025</v>
      </c>
      <c r="B2627" s="2">
        <v>9</v>
      </c>
      <c r="C2627" s="2" t="s">
        <v>333</v>
      </c>
      <c r="D2627" s="2" t="s">
        <v>109</v>
      </c>
      <c r="E2627" s="2" t="s">
        <v>39</v>
      </c>
      <c r="F2627" s="2">
        <v>513493557</v>
      </c>
      <c r="G2627" s="2" t="s">
        <v>41</v>
      </c>
      <c r="H2627" s="2" t="s">
        <v>280</v>
      </c>
      <c r="I2627" s="2" t="s">
        <v>334</v>
      </c>
      <c r="K2627" s="2" t="s">
        <v>178</v>
      </c>
      <c r="L2627" s="2" t="s">
        <v>41</v>
      </c>
      <c r="O2627" s="2" t="s">
        <v>43</v>
      </c>
      <c r="P2627" s="2" t="s">
        <v>66</v>
      </c>
      <c r="Q2627" s="2" t="s">
        <v>67</v>
      </c>
      <c r="R2627" s="2">
        <v>4</v>
      </c>
      <c r="S2627" s="2">
        <v>88</v>
      </c>
      <c r="T2627" s="2">
        <v>20.239999999999998</v>
      </c>
      <c r="U2627" s="2">
        <v>108.24</v>
      </c>
      <c r="V2627" s="2">
        <f>15.0203*R2627</f>
        <v>60.081200000000003</v>
      </c>
      <c r="W2627" s="5">
        <f t="shared" si="254"/>
        <v>0.31725909090909088</v>
      </c>
      <c r="Y2627" s="2" t="s">
        <v>3256</v>
      </c>
      <c r="Z2627" s="2" t="s">
        <v>46</v>
      </c>
      <c r="AA2627" s="2" t="s">
        <v>68</v>
      </c>
      <c r="AB2627" s="2" t="s">
        <v>58</v>
      </c>
      <c r="AE2627" s="2">
        <f t="shared" ref="AE2627:AE2690" si="256">AI2627</f>
        <v>0</v>
      </c>
      <c r="AF2627" s="2">
        <v>15.020300000000001</v>
      </c>
      <c r="AG2627" s="2">
        <v>27.6</v>
      </c>
      <c r="AI2627" s="2">
        <f t="shared" ref="AI2627:AI2690" si="257">AH2627*S2627</f>
        <v>0</v>
      </c>
      <c r="AJ2627" s="2">
        <f t="shared" ref="AJ2627:AJ2690" si="258">S2627-V2627</f>
        <v>27.918799999999997</v>
      </c>
      <c r="AK2627" s="5">
        <f t="shared" si="255"/>
        <v>0.31725909090909088</v>
      </c>
    </row>
    <row r="2628" spans="1:37" x14ac:dyDescent="0.2">
      <c r="A2628" s="2">
        <v>2025</v>
      </c>
      <c r="B2628" s="2">
        <v>9</v>
      </c>
      <c r="C2628" s="2" t="s">
        <v>333</v>
      </c>
      <c r="D2628" s="2" t="s">
        <v>109</v>
      </c>
      <c r="E2628" s="2" t="s">
        <v>39</v>
      </c>
      <c r="F2628" s="2">
        <v>513493557</v>
      </c>
      <c r="G2628" s="2" t="s">
        <v>41</v>
      </c>
      <c r="H2628" s="2" t="s">
        <v>280</v>
      </c>
      <c r="I2628" s="2" t="s">
        <v>334</v>
      </c>
      <c r="K2628" s="2" t="s">
        <v>178</v>
      </c>
      <c r="L2628" s="2" t="s">
        <v>41</v>
      </c>
      <c r="O2628" s="2" t="s">
        <v>43</v>
      </c>
      <c r="P2628" s="2" t="s">
        <v>261</v>
      </c>
      <c r="Q2628" s="2" t="s">
        <v>262</v>
      </c>
      <c r="R2628" s="2">
        <v>2</v>
      </c>
      <c r="S2628" s="2">
        <v>26</v>
      </c>
      <c r="T2628" s="2">
        <v>5.98</v>
      </c>
      <c r="U2628" s="2">
        <v>31.98</v>
      </c>
      <c r="V2628" s="2">
        <f>8.3145*R2628</f>
        <v>16.629000000000001</v>
      </c>
      <c r="W2628" s="5">
        <f t="shared" si="254"/>
        <v>0.36042307692307685</v>
      </c>
      <c r="Y2628" s="2" t="s">
        <v>3256</v>
      </c>
      <c r="Z2628" s="2" t="s">
        <v>46</v>
      </c>
      <c r="AA2628" s="2" t="s">
        <v>68</v>
      </c>
      <c r="AB2628" s="2" t="s">
        <v>58</v>
      </c>
      <c r="AE2628" s="2">
        <f t="shared" si="256"/>
        <v>0</v>
      </c>
      <c r="AF2628" s="2">
        <v>8.3145000000000007</v>
      </c>
      <c r="AG2628" s="2">
        <v>15</v>
      </c>
      <c r="AI2628" s="2">
        <f t="shared" si="257"/>
        <v>0</v>
      </c>
      <c r="AJ2628" s="2">
        <f t="shared" si="258"/>
        <v>9.3709999999999987</v>
      </c>
      <c r="AK2628" s="5">
        <f t="shared" si="255"/>
        <v>0.36042307692307685</v>
      </c>
    </row>
    <row r="2629" spans="1:37" x14ac:dyDescent="0.2">
      <c r="A2629" s="2">
        <v>2025</v>
      </c>
      <c r="B2629" s="2">
        <v>9</v>
      </c>
      <c r="C2629" s="2" t="s">
        <v>988</v>
      </c>
      <c r="O2629" s="2" t="s">
        <v>43</v>
      </c>
      <c r="P2629" s="2" t="s">
        <v>223</v>
      </c>
      <c r="Q2629" s="2" t="s">
        <v>224</v>
      </c>
      <c r="R2629" s="2">
        <v>1</v>
      </c>
      <c r="S2629" s="2">
        <v>45</v>
      </c>
      <c r="T2629" s="2">
        <v>10.35</v>
      </c>
      <c r="U2629" s="2">
        <v>55.35</v>
      </c>
      <c r="W2629" s="5">
        <f t="shared" si="254"/>
        <v>1</v>
      </c>
      <c r="Y2629" s="2" t="s">
        <v>3256</v>
      </c>
      <c r="Z2629" s="2" t="s">
        <v>46</v>
      </c>
      <c r="AA2629" s="2" t="s">
        <v>57</v>
      </c>
      <c r="AB2629" s="2" t="s">
        <v>58</v>
      </c>
      <c r="AE2629" s="2">
        <f t="shared" si="256"/>
        <v>0</v>
      </c>
      <c r="AI2629" s="2">
        <f t="shared" si="257"/>
        <v>0</v>
      </c>
      <c r="AJ2629" s="2">
        <f t="shared" si="258"/>
        <v>45</v>
      </c>
      <c r="AK2629" s="5">
        <f t="shared" si="255"/>
        <v>1</v>
      </c>
    </row>
    <row r="2630" spans="1:37" x14ac:dyDescent="0.2">
      <c r="A2630" s="2">
        <v>2025</v>
      </c>
      <c r="B2630" s="2">
        <v>9</v>
      </c>
      <c r="C2630" s="2" t="s">
        <v>988</v>
      </c>
      <c r="O2630" s="2" t="s">
        <v>43</v>
      </c>
      <c r="P2630" s="2" t="s">
        <v>59</v>
      </c>
      <c r="Q2630" s="2" t="s">
        <v>60</v>
      </c>
      <c r="R2630" s="2">
        <v>100</v>
      </c>
      <c r="S2630" s="2">
        <v>14</v>
      </c>
      <c r="T2630" s="2">
        <v>3.22</v>
      </c>
      <c r="U2630" s="2">
        <v>17.22</v>
      </c>
      <c r="V2630" s="2">
        <f>0.0914*R2630</f>
        <v>9.1399999999999988</v>
      </c>
      <c r="W2630" s="5">
        <f t="shared" si="254"/>
        <v>0.34714285714285725</v>
      </c>
      <c r="Y2630" s="2" t="s">
        <v>3256</v>
      </c>
      <c r="Z2630" s="2" t="s">
        <v>46</v>
      </c>
      <c r="AA2630" s="2" t="s">
        <v>61</v>
      </c>
      <c r="AB2630" s="2" t="s">
        <v>58</v>
      </c>
      <c r="AE2630" s="2">
        <f t="shared" si="256"/>
        <v>0</v>
      </c>
      <c r="AF2630" s="2">
        <v>9.14</v>
      </c>
      <c r="AG2630" s="2">
        <v>16</v>
      </c>
      <c r="AI2630" s="2">
        <f t="shared" si="257"/>
        <v>0</v>
      </c>
      <c r="AJ2630" s="2">
        <f t="shared" si="258"/>
        <v>4.8600000000000012</v>
      </c>
      <c r="AK2630" s="5">
        <f t="shared" si="255"/>
        <v>0.34714285714285725</v>
      </c>
    </row>
    <row r="2631" spans="1:37" x14ac:dyDescent="0.2">
      <c r="A2631" s="2">
        <v>2025</v>
      </c>
      <c r="B2631" s="2">
        <v>9</v>
      </c>
      <c r="C2631" s="2" t="s">
        <v>988</v>
      </c>
      <c r="O2631" s="2" t="s">
        <v>43</v>
      </c>
      <c r="P2631" s="2" t="s">
        <v>62</v>
      </c>
      <c r="Q2631" s="2" t="s">
        <v>63</v>
      </c>
      <c r="R2631" s="2">
        <v>100</v>
      </c>
      <c r="S2631" s="2">
        <v>13</v>
      </c>
      <c r="T2631" s="2">
        <v>2.99</v>
      </c>
      <c r="U2631" s="2">
        <v>15.99</v>
      </c>
      <c r="V2631" s="2">
        <f>0.082*R2631</f>
        <v>8.2000000000000011</v>
      </c>
      <c r="W2631" s="5">
        <f t="shared" si="254"/>
        <v>0.36923076923076914</v>
      </c>
      <c r="Y2631" s="2" t="s">
        <v>3256</v>
      </c>
      <c r="Z2631" s="2" t="s">
        <v>46</v>
      </c>
      <c r="AA2631" s="2" t="s">
        <v>61</v>
      </c>
      <c r="AB2631" s="2" t="s">
        <v>58</v>
      </c>
      <c r="AE2631" s="2">
        <f t="shared" si="256"/>
        <v>0</v>
      </c>
      <c r="AF2631" s="2">
        <v>8.1999999999999993</v>
      </c>
      <c r="AG2631" s="2">
        <v>13</v>
      </c>
      <c r="AI2631" s="2">
        <f t="shared" si="257"/>
        <v>0</v>
      </c>
      <c r="AJ2631" s="2">
        <f t="shared" si="258"/>
        <v>4.7999999999999989</v>
      </c>
      <c r="AK2631" s="5">
        <f t="shared" si="255"/>
        <v>0.36923076923076914</v>
      </c>
    </row>
    <row r="2632" spans="1:37" x14ac:dyDescent="0.2">
      <c r="A2632" s="2">
        <v>2025</v>
      </c>
      <c r="B2632" s="2">
        <v>9</v>
      </c>
      <c r="C2632" s="2" t="s">
        <v>988</v>
      </c>
      <c r="O2632" s="2" t="s">
        <v>43</v>
      </c>
      <c r="P2632" s="2" t="s">
        <v>255</v>
      </c>
      <c r="Q2632" s="2" t="s">
        <v>256</v>
      </c>
      <c r="R2632" s="2">
        <v>100</v>
      </c>
      <c r="S2632" s="2">
        <v>15</v>
      </c>
      <c r="T2632" s="2">
        <v>3.45</v>
      </c>
      <c r="U2632" s="2">
        <v>18.45</v>
      </c>
      <c r="W2632" s="5">
        <f t="shared" si="254"/>
        <v>1</v>
      </c>
      <c r="Y2632" s="2" t="s">
        <v>3256</v>
      </c>
      <c r="Z2632" s="2" t="s">
        <v>46</v>
      </c>
      <c r="AA2632" s="2" t="s">
        <v>61</v>
      </c>
      <c r="AB2632" s="2" t="s">
        <v>58</v>
      </c>
      <c r="AE2632" s="2">
        <f t="shared" si="256"/>
        <v>0</v>
      </c>
      <c r="AI2632" s="2">
        <f t="shared" si="257"/>
        <v>0</v>
      </c>
      <c r="AJ2632" s="2">
        <f t="shared" si="258"/>
        <v>15</v>
      </c>
      <c r="AK2632" s="5">
        <f t="shared" si="255"/>
        <v>1</v>
      </c>
    </row>
    <row r="2633" spans="1:37" x14ac:dyDescent="0.2">
      <c r="A2633" s="2">
        <v>2025</v>
      </c>
      <c r="B2633" s="2">
        <v>9</v>
      </c>
      <c r="C2633" s="2" t="s">
        <v>989</v>
      </c>
      <c r="D2633" s="2" t="s">
        <v>109</v>
      </c>
      <c r="E2633" s="2" t="s">
        <v>723</v>
      </c>
      <c r="F2633" s="2">
        <v>500594309</v>
      </c>
      <c r="G2633" s="2" t="s">
        <v>291</v>
      </c>
      <c r="H2633" s="2" t="s">
        <v>990</v>
      </c>
      <c r="I2633" s="2" t="s">
        <v>991</v>
      </c>
      <c r="K2633" s="2" t="s">
        <v>294</v>
      </c>
      <c r="L2633" s="2" t="s">
        <v>81</v>
      </c>
      <c r="N2633" s="2" t="s">
        <v>2245</v>
      </c>
      <c r="O2633" s="2" t="s">
        <v>73</v>
      </c>
      <c r="P2633" s="2" t="s">
        <v>382</v>
      </c>
      <c r="Q2633" s="2" t="s">
        <v>383</v>
      </c>
      <c r="R2633" s="2">
        <v>1</v>
      </c>
      <c r="S2633" s="2">
        <v>240</v>
      </c>
      <c r="T2633" s="2">
        <v>55.2</v>
      </c>
      <c r="U2633" s="2">
        <v>295.2</v>
      </c>
      <c r="V2633" s="2">
        <v>139.46</v>
      </c>
      <c r="W2633" s="5">
        <f t="shared" si="254"/>
        <v>0.41891666666666666</v>
      </c>
      <c r="Y2633" s="2" t="s">
        <v>3256</v>
      </c>
      <c r="Z2633" s="2" t="s">
        <v>76</v>
      </c>
      <c r="AA2633" s="2" t="s">
        <v>77</v>
      </c>
      <c r="AB2633" s="2" t="s">
        <v>78</v>
      </c>
      <c r="AE2633" s="2">
        <f t="shared" si="256"/>
        <v>0</v>
      </c>
      <c r="AI2633" s="2">
        <f t="shared" si="257"/>
        <v>0</v>
      </c>
      <c r="AJ2633" s="2">
        <f t="shared" si="258"/>
        <v>100.53999999999999</v>
      </c>
      <c r="AK2633" s="5">
        <f t="shared" si="255"/>
        <v>0.41891666666666666</v>
      </c>
    </row>
    <row r="2634" spans="1:37" x14ac:dyDescent="0.2">
      <c r="A2634" s="2">
        <v>2025</v>
      </c>
      <c r="B2634" s="2">
        <v>9</v>
      </c>
      <c r="C2634" s="2" t="s">
        <v>989</v>
      </c>
      <c r="D2634" s="2" t="s">
        <v>109</v>
      </c>
      <c r="E2634" s="2" t="s">
        <v>723</v>
      </c>
      <c r="F2634" s="2">
        <v>500594309</v>
      </c>
      <c r="G2634" s="2" t="s">
        <v>291</v>
      </c>
      <c r="H2634" s="2" t="s">
        <v>990</v>
      </c>
      <c r="I2634" s="2" t="s">
        <v>991</v>
      </c>
      <c r="K2634" s="2" t="s">
        <v>294</v>
      </c>
      <c r="L2634" s="2" t="s">
        <v>81</v>
      </c>
      <c r="N2634" s="2" t="s">
        <v>2245</v>
      </c>
      <c r="O2634" s="2" t="s">
        <v>94</v>
      </c>
      <c r="P2634" s="2" t="s">
        <v>95</v>
      </c>
      <c r="Q2634" s="2" t="s">
        <v>96</v>
      </c>
      <c r="R2634" s="2">
        <v>1</v>
      </c>
      <c r="S2634" s="2">
        <v>1.1399999999999999</v>
      </c>
      <c r="T2634" s="2">
        <v>0.26219999999999999</v>
      </c>
      <c r="U2634" s="2">
        <v>1.4021999999999999</v>
      </c>
      <c r="V2634" s="2">
        <v>1.1399999999999999</v>
      </c>
      <c r="W2634" s="5">
        <f t="shared" si="254"/>
        <v>0</v>
      </c>
      <c r="Y2634" s="2" t="s">
        <v>3256</v>
      </c>
      <c r="Z2634" s="2" t="s">
        <v>97</v>
      </c>
      <c r="AA2634" s="2" t="s">
        <v>77</v>
      </c>
      <c r="AB2634" s="2" t="s">
        <v>94</v>
      </c>
      <c r="AE2634" s="2">
        <f t="shared" si="256"/>
        <v>0</v>
      </c>
      <c r="AF2634" s="2">
        <v>1.1399999999999999</v>
      </c>
      <c r="AG2634" s="2">
        <v>1.1399999999999999</v>
      </c>
      <c r="AI2634" s="2">
        <f t="shared" si="257"/>
        <v>0</v>
      </c>
      <c r="AJ2634" s="2">
        <f t="shared" si="258"/>
        <v>0</v>
      </c>
      <c r="AK2634" s="5">
        <f t="shared" si="255"/>
        <v>0</v>
      </c>
    </row>
    <row r="2635" spans="1:37" x14ac:dyDescent="0.2">
      <c r="A2635" s="2">
        <v>2025</v>
      </c>
      <c r="B2635" s="2">
        <v>9</v>
      </c>
      <c r="C2635" s="2" t="s">
        <v>750</v>
      </c>
      <c r="D2635" s="2" t="s">
        <v>109</v>
      </c>
      <c r="E2635" s="2" t="s">
        <v>39</v>
      </c>
      <c r="F2635" s="2">
        <v>509181163</v>
      </c>
      <c r="G2635" s="2" t="s">
        <v>40</v>
      </c>
      <c r="H2635" s="2" t="s">
        <v>751</v>
      </c>
      <c r="I2635" s="2" t="s">
        <v>752</v>
      </c>
      <c r="J2635" s="2">
        <v>962372760</v>
      </c>
      <c r="K2635" s="2" t="s">
        <v>202</v>
      </c>
      <c r="L2635" s="2" t="s">
        <v>40</v>
      </c>
      <c r="N2635" s="2" t="s">
        <v>2246</v>
      </c>
      <c r="O2635" s="2" t="s">
        <v>115</v>
      </c>
      <c r="P2635" s="2" t="s">
        <v>2247</v>
      </c>
      <c r="Q2635" s="2" t="s">
        <v>2248</v>
      </c>
      <c r="R2635" s="2">
        <v>1</v>
      </c>
      <c r="S2635" s="2">
        <v>11.25</v>
      </c>
      <c r="T2635" s="2">
        <v>2.5874999999999999</v>
      </c>
      <c r="U2635" s="2">
        <v>13.8375</v>
      </c>
      <c r="V2635" s="2">
        <v>5.35</v>
      </c>
      <c r="W2635" s="5">
        <f t="shared" si="254"/>
        <v>0.52444444444444449</v>
      </c>
      <c r="Y2635" s="2" t="s">
        <v>118</v>
      </c>
      <c r="Z2635" s="2" t="s">
        <v>119</v>
      </c>
      <c r="AA2635" s="2" t="s">
        <v>120</v>
      </c>
      <c r="AB2635" s="2" t="s">
        <v>115</v>
      </c>
      <c r="AE2635" s="2">
        <f t="shared" si="256"/>
        <v>0</v>
      </c>
      <c r="AF2635" s="2">
        <v>5.35</v>
      </c>
      <c r="AI2635" s="2">
        <f t="shared" si="257"/>
        <v>0</v>
      </c>
      <c r="AJ2635" s="2">
        <f t="shared" si="258"/>
        <v>5.9</v>
      </c>
      <c r="AK2635" s="5">
        <f t="shared" si="255"/>
        <v>0.52444444444444449</v>
      </c>
    </row>
    <row r="2636" spans="1:37" x14ac:dyDescent="0.2">
      <c r="A2636" s="2">
        <v>2025</v>
      </c>
      <c r="B2636" s="2">
        <v>9</v>
      </c>
      <c r="C2636" s="2" t="s">
        <v>750</v>
      </c>
      <c r="D2636" s="2" t="s">
        <v>109</v>
      </c>
      <c r="E2636" s="2" t="s">
        <v>39</v>
      </c>
      <c r="F2636" s="2">
        <v>509181163</v>
      </c>
      <c r="G2636" s="2" t="s">
        <v>40</v>
      </c>
      <c r="H2636" s="2" t="s">
        <v>751</v>
      </c>
      <c r="I2636" s="2" t="s">
        <v>752</v>
      </c>
      <c r="J2636" s="2">
        <v>962372760</v>
      </c>
      <c r="K2636" s="2" t="s">
        <v>202</v>
      </c>
      <c r="O2636" s="2" t="s">
        <v>115</v>
      </c>
      <c r="P2636" s="2" t="s">
        <v>2249</v>
      </c>
      <c r="Q2636" s="2" t="s">
        <v>2250</v>
      </c>
      <c r="R2636" s="2">
        <v>3</v>
      </c>
      <c r="S2636" s="2">
        <v>145.26</v>
      </c>
      <c r="T2636" s="2">
        <v>33.409799999999997</v>
      </c>
      <c r="U2636" s="2">
        <v>178.66980000000001</v>
      </c>
      <c r="W2636" s="5">
        <f t="shared" si="254"/>
        <v>1</v>
      </c>
      <c r="AE2636" s="2">
        <f t="shared" si="256"/>
        <v>0</v>
      </c>
      <c r="AI2636" s="2">
        <f t="shared" si="257"/>
        <v>0</v>
      </c>
      <c r="AJ2636" s="2">
        <f t="shared" si="258"/>
        <v>145.26</v>
      </c>
      <c r="AK2636" s="5">
        <f t="shared" si="255"/>
        <v>1</v>
      </c>
    </row>
    <row r="2637" spans="1:37" x14ac:dyDescent="0.2">
      <c r="A2637" s="2">
        <v>2025</v>
      </c>
      <c r="B2637" s="2">
        <v>9</v>
      </c>
      <c r="C2637" s="2" t="s">
        <v>750</v>
      </c>
      <c r="D2637" s="2" t="s">
        <v>109</v>
      </c>
      <c r="E2637" s="2" t="s">
        <v>39</v>
      </c>
      <c r="F2637" s="2">
        <v>509181163</v>
      </c>
      <c r="G2637" s="2" t="s">
        <v>40</v>
      </c>
      <c r="H2637" s="2" t="s">
        <v>751</v>
      </c>
      <c r="I2637" s="2" t="s">
        <v>752</v>
      </c>
      <c r="J2637" s="2">
        <v>962372760</v>
      </c>
      <c r="K2637" s="2" t="s">
        <v>202</v>
      </c>
      <c r="O2637" s="2" t="s">
        <v>115</v>
      </c>
      <c r="P2637" s="2" t="s">
        <v>1138</v>
      </c>
      <c r="Q2637" s="2" t="s">
        <v>1139</v>
      </c>
      <c r="R2637" s="2">
        <v>1</v>
      </c>
      <c r="S2637" s="2">
        <v>9.82</v>
      </c>
      <c r="T2637" s="2">
        <v>2.2585999999999999</v>
      </c>
      <c r="U2637" s="2">
        <v>12.0786</v>
      </c>
      <c r="W2637" s="5">
        <f t="shared" si="254"/>
        <v>1</v>
      </c>
      <c r="AE2637" s="2">
        <f t="shared" si="256"/>
        <v>0</v>
      </c>
      <c r="AI2637" s="2">
        <f t="shared" si="257"/>
        <v>0</v>
      </c>
      <c r="AJ2637" s="2">
        <f t="shared" si="258"/>
        <v>9.82</v>
      </c>
      <c r="AK2637" s="5">
        <f t="shared" si="255"/>
        <v>1</v>
      </c>
    </row>
    <row r="2638" spans="1:37" x14ac:dyDescent="0.2">
      <c r="A2638" s="2">
        <v>2025</v>
      </c>
      <c r="B2638" s="2">
        <v>9</v>
      </c>
      <c r="C2638" s="2" t="s">
        <v>750</v>
      </c>
      <c r="D2638" s="2" t="s">
        <v>109</v>
      </c>
      <c r="E2638" s="2" t="s">
        <v>39</v>
      </c>
      <c r="F2638" s="2">
        <v>509181163</v>
      </c>
      <c r="G2638" s="2" t="s">
        <v>40</v>
      </c>
      <c r="H2638" s="2" t="s">
        <v>751</v>
      </c>
      <c r="I2638" s="2" t="s">
        <v>752</v>
      </c>
      <c r="J2638" s="2">
        <v>962372760</v>
      </c>
      <c r="K2638" s="2" t="s">
        <v>202</v>
      </c>
      <c r="L2638" s="2" t="s">
        <v>40</v>
      </c>
      <c r="O2638" s="2" t="s">
        <v>188</v>
      </c>
      <c r="P2638" s="2" t="s">
        <v>189</v>
      </c>
      <c r="Q2638" s="2" t="s">
        <v>190</v>
      </c>
      <c r="R2638" s="2">
        <v>1</v>
      </c>
      <c r="S2638" s="2">
        <v>50</v>
      </c>
      <c r="T2638" s="2">
        <v>11.5</v>
      </c>
      <c r="U2638" s="2">
        <v>61.5</v>
      </c>
      <c r="W2638" s="5">
        <f t="shared" si="254"/>
        <v>1</v>
      </c>
      <c r="Y2638" s="2" t="s">
        <v>118</v>
      </c>
      <c r="Z2638" s="2" t="s">
        <v>191</v>
      </c>
      <c r="AE2638" s="2">
        <f t="shared" si="256"/>
        <v>0</v>
      </c>
      <c r="AI2638" s="2">
        <f t="shared" si="257"/>
        <v>0</v>
      </c>
      <c r="AJ2638" s="2">
        <f t="shared" si="258"/>
        <v>50</v>
      </c>
      <c r="AK2638" s="5">
        <f t="shared" si="255"/>
        <v>1</v>
      </c>
    </row>
    <row r="2639" spans="1:37" x14ac:dyDescent="0.2">
      <c r="A2639" s="2">
        <v>2025</v>
      </c>
      <c r="B2639" s="2">
        <v>9</v>
      </c>
      <c r="C2639" s="2" t="s">
        <v>750</v>
      </c>
      <c r="D2639" s="2" t="s">
        <v>109</v>
      </c>
      <c r="E2639" s="2" t="s">
        <v>39</v>
      </c>
      <c r="F2639" s="2">
        <v>509181163</v>
      </c>
      <c r="G2639" s="2" t="s">
        <v>40</v>
      </c>
      <c r="H2639" s="2" t="s">
        <v>751</v>
      </c>
      <c r="I2639" s="2" t="s">
        <v>752</v>
      </c>
      <c r="J2639" s="2">
        <v>962372760</v>
      </c>
      <c r="K2639" s="2" t="s">
        <v>202</v>
      </c>
      <c r="L2639" s="2" t="s">
        <v>40</v>
      </c>
      <c r="O2639" s="2" t="s">
        <v>188</v>
      </c>
      <c r="P2639" s="2" t="s">
        <v>192</v>
      </c>
      <c r="Q2639" s="2" t="s">
        <v>191</v>
      </c>
      <c r="R2639" s="2">
        <v>6</v>
      </c>
      <c r="S2639" s="2">
        <v>100</v>
      </c>
      <c r="T2639" s="2">
        <v>23</v>
      </c>
      <c r="U2639" s="2">
        <v>123</v>
      </c>
      <c r="V2639" s="2">
        <f>S2639*50%</f>
        <v>50</v>
      </c>
      <c r="W2639" s="5">
        <f t="shared" si="254"/>
        <v>0.5</v>
      </c>
      <c r="Y2639" s="2" t="s">
        <v>118</v>
      </c>
      <c r="Z2639" s="2" t="s">
        <v>191</v>
      </c>
      <c r="AE2639" s="2">
        <f t="shared" si="256"/>
        <v>0</v>
      </c>
      <c r="AI2639" s="2">
        <f t="shared" si="257"/>
        <v>0</v>
      </c>
      <c r="AJ2639" s="2">
        <f t="shared" si="258"/>
        <v>50</v>
      </c>
      <c r="AK2639" s="5">
        <f t="shared" si="255"/>
        <v>0.5</v>
      </c>
    </row>
    <row r="2640" spans="1:37" x14ac:dyDescent="0.2">
      <c r="A2640" s="2">
        <v>2025</v>
      </c>
      <c r="B2640" s="2">
        <v>9</v>
      </c>
      <c r="C2640" s="2" t="s">
        <v>750</v>
      </c>
      <c r="D2640" s="2" t="s">
        <v>109</v>
      </c>
      <c r="E2640" s="2" t="s">
        <v>39</v>
      </c>
      <c r="F2640" s="2">
        <v>509181163</v>
      </c>
      <c r="G2640" s="2" t="s">
        <v>40</v>
      </c>
      <c r="H2640" s="2" t="s">
        <v>751</v>
      </c>
      <c r="I2640" s="2" t="s">
        <v>752</v>
      </c>
      <c r="J2640" s="2">
        <v>962372760</v>
      </c>
      <c r="K2640" s="2" t="s">
        <v>202</v>
      </c>
      <c r="O2640" s="2" t="s">
        <v>40</v>
      </c>
      <c r="P2640" s="2" t="s">
        <v>364</v>
      </c>
      <c r="Q2640" s="2" t="s">
        <v>365</v>
      </c>
      <c r="R2640" s="2">
        <v>1</v>
      </c>
      <c r="S2640" s="2">
        <v>278.01</v>
      </c>
      <c r="T2640" s="2">
        <v>63.942300000000003</v>
      </c>
      <c r="U2640" s="2">
        <v>341.95229999999998</v>
      </c>
      <c r="W2640" s="5">
        <f t="shared" si="254"/>
        <v>1</v>
      </c>
      <c r="Y2640" s="2" t="s">
        <v>120</v>
      </c>
      <c r="AE2640" s="2">
        <f t="shared" si="256"/>
        <v>0</v>
      </c>
      <c r="AI2640" s="2">
        <f t="shared" si="257"/>
        <v>0</v>
      </c>
      <c r="AJ2640" s="2">
        <f t="shared" si="258"/>
        <v>278.01</v>
      </c>
      <c r="AK2640" s="5">
        <f t="shared" si="255"/>
        <v>1</v>
      </c>
    </row>
    <row r="2641" spans="1:37" x14ac:dyDescent="0.2">
      <c r="A2641" s="2">
        <v>2025</v>
      </c>
      <c r="B2641" s="2">
        <v>9</v>
      </c>
      <c r="C2641" s="2" t="s">
        <v>755</v>
      </c>
      <c r="D2641" s="2" t="s">
        <v>109</v>
      </c>
      <c r="E2641" s="2" t="s">
        <v>39</v>
      </c>
      <c r="F2641" s="2">
        <v>510039537</v>
      </c>
      <c r="G2641" s="2" t="s">
        <v>40</v>
      </c>
      <c r="H2641" s="2" t="s">
        <v>576</v>
      </c>
      <c r="I2641" s="2" t="s">
        <v>756</v>
      </c>
      <c r="J2641" s="2">
        <v>969042927</v>
      </c>
      <c r="K2641" s="2" t="s">
        <v>576</v>
      </c>
      <c r="O2641" s="2" t="s">
        <v>73</v>
      </c>
      <c r="P2641" s="2" t="s">
        <v>1084</v>
      </c>
      <c r="Q2641" s="2" t="s">
        <v>84</v>
      </c>
      <c r="R2641" s="2">
        <v>1</v>
      </c>
      <c r="S2641" s="2">
        <v>270</v>
      </c>
      <c r="T2641" s="2">
        <v>62.1</v>
      </c>
      <c r="U2641" s="2">
        <v>332.1</v>
      </c>
      <c r="V2641" s="2">
        <v>159.54</v>
      </c>
      <c r="W2641" s="5">
        <f t="shared" si="254"/>
        <v>0.40911111111111115</v>
      </c>
      <c r="Y2641" s="2" t="s">
        <v>3256</v>
      </c>
      <c r="Z2641" s="2" t="s">
        <v>76</v>
      </c>
      <c r="AA2641" s="2" t="s">
        <v>77</v>
      </c>
      <c r="AB2641" s="2" t="s">
        <v>78</v>
      </c>
      <c r="AE2641" s="2">
        <f t="shared" si="256"/>
        <v>0</v>
      </c>
      <c r="AF2641" s="2">
        <f>144.14+15.4</f>
        <v>159.54</v>
      </c>
      <c r="AG2641" s="2">
        <v>280</v>
      </c>
      <c r="AI2641" s="2">
        <f t="shared" si="257"/>
        <v>0</v>
      </c>
      <c r="AJ2641" s="2">
        <f t="shared" si="258"/>
        <v>110.46000000000001</v>
      </c>
      <c r="AK2641" s="5">
        <f t="shared" si="255"/>
        <v>0.40911111111111115</v>
      </c>
    </row>
    <row r="2642" spans="1:37" x14ac:dyDescent="0.2">
      <c r="A2642" s="2">
        <v>2025</v>
      </c>
      <c r="B2642" s="2">
        <v>9</v>
      </c>
      <c r="C2642" s="2" t="s">
        <v>755</v>
      </c>
      <c r="D2642" s="2" t="s">
        <v>109</v>
      </c>
      <c r="E2642" s="2" t="s">
        <v>39</v>
      </c>
      <c r="F2642" s="2">
        <v>510039537</v>
      </c>
      <c r="G2642" s="2" t="s">
        <v>40</v>
      </c>
      <c r="H2642" s="2" t="s">
        <v>576</v>
      </c>
      <c r="I2642" s="2" t="s">
        <v>756</v>
      </c>
      <c r="J2642" s="2">
        <v>969042927</v>
      </c>
      <c r="K2642" s="2" t="s">
        <v>576</v>
      </c>
      <c r="O2642" s="2" t="s">
        <v>94</v>
      </c>
      <c r="P2642" s="2" t="s">
        <v>95</v>
      </c>
      <c r="Q2642" s="2" t="s">
        <v>96</v>
      </c>
      <c r="R2642" s="2">
        <v>1</v>
      </c>
      <c r="S2642" s="2">
        <v>1.1399999999999999</v>
      </c>
      <c r="T2642" s="2">
        <v>0.26219999999999999</v>
      </c>
      <c r="U2642" s="2">
        <v>1.4021999999999999</v>
      </c>
      <c r="V2642" s="2">
        <v>1.1399999999999999</v>
      </c>
      <c r="W2642" s="5">
        <f t="shared" si="254"/>
        <v>0</v>
      </c>
      <c r="Y2642" s="2" t="s">
        <v>3256</v>
      </c>
      <c r="Z2642" s="2" t="s">
        <v>97</v>
      </c>
      <c r="AA2642" s="2" t="s">
        <v>77</v>
      </c>
      <c r="AB2642" s="2" t="s">
        <v>94</v>
      </c>
      <c r="AE2642" s="2">
        <f t="shared" si="256"/>
        <v>0</v>
      </c>
      <c r="AI2642" s="2">
        <f t="shared" si="257"/>
        <v>0</v>
      </c>
      <c r="AJ2642" s="2">
        <f t="shared" si="258"/>
        <v>0</v>
      </c>
      <c r="AK2642" s="5">
        <f t="shared" si="255"/>
        <v>0</v>
      </c>
    </row>
    <row r="2643" spans="1:37" x14ac:dyDescent="0.2">
      <c r="A2643" s="2">
        <v>2025</v>
      </c>
      <c r="B2643" s="2">
        <v>9</v>
      </c>
      <c r="C2643" s="2" t="s">
        <v>348</v>
      </c>
      <c r="D2643" s="2" t="s">
        <v>109</v>
      </c>
      <c r="E2643" s="2" t="s">
        <v>39</v>
      </c>
      <c r="F2643" s="2">
        <v>517451123</v>
      </c>
      <c r="G2643" s="2" t="s">
        <v>41</v>
      </c>
      <c r="H2643" s="2" t="s">
        <v>349</v>
      </c>
      <c r="I2643" s="2" t="s">
        <v>350</v>
      </c>
      <c r="J2643" s="2">
        <v>915209128</v>
      </c>
      <c r="K2643" s="2" t="s">
        <v>178</v>
      </c>
      <c r="L2643" s="2" t="s">
        <v>41</v>
      </c>
      <c r="N2643" s="2" t="s">
        <v>2251</v>
      </c>
      <c r="O2643" s="2" t="s">
        <v>43</v>
      </c>
      <c r="P2643" s="2" t="s">
        <v>55</v>
      </c>
      <c r="Q2643" s="2" t="s">
        <v>56</v>
      </c>
      <c r="R2643" s="2">
        <v>10</v>
      </c>
      <c r="S2643" s="2">
        <v>140</v>
      </c>
      <c r="T2643" s="2">
        <v>32.200000000000003</v>
      </c>
      <c r="U2643" s="2">
        <v>172.2</v>
      </c>
      <c r="V2643" s="2">
        <f>10.6*R2643</f>
        <v>106</v>
      </c>
      <c r="W2643" s="5">
        <f t="shared" si="254"/>
        <v>0.24285714285714285</v>
      </c>
      <c r="Y2643" s="2" t="s">
        <v>3256</v>
      </c>
      <c r="Z2643" s="2" t="s">
        <v>46</v>
      </c>
      <c r="AA2643" s="2" t="s">
        <v>57</v>
      </c>
      <c r="AB2643" s="2" t="s">
        <v>58</v>
      </c>
      <c r="AE2643" s="2">
        <f t="shared" si="256"/>
        <v>0</v>
      </c>
      <c r="AF2643" s="2">
        <v>10.6</v>
      </c>
      <c r="AG2643" s="2">
        <v>18</v>
      </c>
      <c r="AI2643" s="2">
        <f t="shared" si="257"/>
        <v>0</v>
      </c>
      <c r="AJ2643" s="2">
        <f t="shared" si="258"/>
        <v>34</v>
      </c>
      <c r="AK2643" s="5">
        <f t="shared" si="255"/>
        <v>0.24285714285714285</v>
      </c>
    </row>
    <row r="2644" spans="1:37" x14ac:dyDescent="0.2">
      <c r="A2644" s="2">
        <v>2025</v>
      </c>
      <c r="B2644" s="2">
        <v>9</v>
      </c>
      <c r="C2644" s="2" t="s">
        <v>2252</v>
      </c>
      <c r="O2644" s="2" t="s">
        <v>115</v>
      </c>
      <c r="P2644" s="2" t="s">
        <v>1301</v>
      </c>
      <c r="Q2644" s="2" t="s">
        <v>1302</v>
      </c>
      <c r="R2644" s="2">
        <v>1</v>
      </c>
      <c r="S2644" s="2">
        <v>900</v>
      </c>
      <c r="T2644" s="2">
        <v>207</v>
      </c>
      <c r="U2644" s="2">
        <v>1107</v>
      </c>
      <c r="W2644" s="5">
        <f t="shared" si="254"/>
        <v>1</v>
      </c>
      <c r="AE2644" s="2">
        <f t="shared" si="256"/>
        <v>0</v>
      </c>
      <c r="AI2644" s="2">
        <f t="shared" si="257"/>
        <v>0</v>
      </c>
      <c r="AJ2644" s="2">
        <f t="shared" si="258"/>
        <v>900</v>
      </c>
      <c r="AK2644" s="5">
        <f t="shared" si="255"/>
        <v>1</v>
      </c>
    </row>
    <row r="2645" spans="1:37" x14ac:dyDescent="0.2">
      <c r="A2645" s="2">
        <v>2025</v>
      </c>
      <c r="B2645" s="2">
        <v>9</v>
      </c>
      <c r="C2645" s="2" t="s">
        <v>2253</v>
      </c>
      <c r="O2645" s="2" t="s">
        <v>40</v>
      </c>
      <c r="P2645" s="2" t="s">
        <v>364</v>
      </c>
      <c r="Q2645" s="2" t="s">
        <v>365</v>
      </c>
      <c r="R2645" s="2">
        <v>1</v>
      </c>
      <c r="S2645" s="2">
        <v>100.94</v>
      </c>
      <c r="T2645" s="2">
        <v>23.216200000000001</v>
      </c>
      <c r="U2645" s="2">
        <v>124.1562</v>
      </c>
      <c r="W2645" s="5">
        <f t="shared" si="254"/>
        <v>1</v>
      </c>
      <c r="Y2645" s="2" t="s">
        <v>120</v>
      </c>
      <c r="AE2645" s="2">
        <f t="shared" si="256"/>
        <v>0</v>
      </c>
      <c r="AI2645" s="2">
        <f t="shared" si="257"/>
        <v>0</v>
      </c>
      <c r="AJ2645" s="2">
        <f t="shared" si="258"/>
        <v>100.94</v>
      </c>
      <c r="AK2645" s="5">
        <f t="shared" si="255"/>
        <v>1</v>
      </c>
    </row>
    <row r="2646" spans="1:37" x14ac:dyDescent="0.2">
      <c r="A2646" s="2">
        <v>2025</v>
      </c>
      <c r="B2646" s="2">
        <v>9</v>
      </c>
      <c r="C2646" s="2" t="s">
        <v>1005</v>
      </c>
      <c r="O2646" s="2" t="s">
        <v>73</v>
      </c>
      <c r="P2646" s="2" t="s">
        <v>670</v>
      </c>
      <c r="Q2646" s="2" t="s">
        <v>80</v>
      </c>
      <c r="R2646" s="2">
        <v>1</v>
      </c>
      <c r="S2646" s="2">
        <v>210</v>
      </c>
      <c r="T2646" s="2">
        <v>48.3</v>
      </c>
      <c r="U2646" s="2">
        <v>258.3</v>
      </c>
      <c r="W2646" s="5">
        <f t="shared" si="254"/>
        <v>1</v>
      </c>
      <c r="Y2646" s="2" t="s">
        <v>3256</v>
      </c>
      <c r="Z2646" s="2" t="s">
        <v>76</v>
      </c>
      <c r="AA2646" s="2" t="s">
        <v>77</v>
      </c>
      <c r="AB2646" s="2" t="s">
        <v>78</v>
      </c>
      <c r="AE2646" s="2">
        <f t="shared" si="256"/>
        <v>0</v>
      </c>
      <c r="AI2646" s="2">
        <f t="shared" si="257"/>
        <v>0</v>
      </c>
      <c r="AJ2646" s="2">
        <f t="shared" si="258"/>
        <v>210</v>
      </c>
      <c r="AK2646" s="5">
        <f t="shared" si="255"/>
        <v>1</v>
      </c>
    </row>
    <row r="2647" spans="1:37" x14ac:dyDescent="0.2">
      <c r="A2647" s="2">
        <v>2025</v>
      </c>
      <c r="B2647" s="2">
        <v>9</v>
      </c>
      <c r="C2647" s="2" t="s">
        <v>1005</v>
      </c>
      <c r="O2647" s="2" t="s">
        <v>94</v>
      </c>
      <c r="P2647" s="2" t="s">
        <v>95</v>
      </c>
      <c r="Q2647" s="2" t="s">
        <v>96</v>
      </c>
      <c r="R2647" s="2">
        <v>1</v>
      </c>
      <c r="S2647" s="2">
        <v>1.1399999999999999</v>
      </c>
      <c r="T2647" s="2">
        <v>0.26219999999999999</v>
      </c>
      <c r="U2647" s="2">
        <v>1.4021999999999999</v>
      </c>
      <c r="V2647" s="2">
        <v>1.1399999999999999</v>
      </c>
      <c r="W2647" s="5">
        <f t="shared" si="254"/>
        <v>0</v>
      </c>
      <c r="Y2647" s="2" t="s">
        <v>3256</v>
      </c>
      <c r="Z2647" s="2" t="s">
        <v>97</v>
      </c>
      <c r="AA2647" s="2" t="s">
        <v>77</v>
      </c>
      <c r="AB2647" s="2" t="s">
        <v>94</v>
      </c>
      <c r="AE2647" s="2">
        <f t="shared" si="256"/>
        <v>0</v>
      </c>
      <c r="AI2647" s="2">
        <f t="shared" si="257"/>
        <v>0</v>
      </c>
      <c r="AJ2647" s="2">
        <f t="shared" si="258"/>
        <v>0</v>
      </c>
      <c r="AK2647" s="5">
        <f t="shared" si="255"/>
        <v>0</v>
      </c>
    </row>
    <row r="2648" spans="1:37" x14ac:dyDescent="0.2">
      <c r="A2648" s="2">
        <v>2025</v>
      </c>
      <c r="B2648" s="2">
        <v>9</v>
      </c>
      <c r="C2648" s="2" t="s">
        <v>1714</v>
      </c>
      <c r="O2648" s="2" t="s">
        <v>283</v>
      </c>
      <c r="P2648" s="2" t="s">
        <v>1262</v>
      </c>
      <c r="Q2648" s="2" t="s">
        <v>1263</v>
      </c>
      <c r="R2648" s="2">
        <v>1</v>
      </c>
      <c r="S2648" s="2">
        <v>2840</v>
      </c>
      <c r="T2648" s="2">
        <v>653.20000000000005</v>
      </c>
      <c r="U2648" s="2">
        <v>3493.2</v>
      </c>
      <c r="W2648" s="5">
        <f t="shared" si="254"/>
        <v>1</v>
      </c>
      <c r="AE2648" s="2">
        <f t="shared" si="256"/>
        <v>0</v>
      </c>
      <c r="AI2648" s="2">
        <f t="shared" si="257"/>
        <v>0</v>
      </c>
      <c r="AJ2648" s="2">
        <f t="shared" si="258"/>
        <v>2840</v>
      </c>
      <c r="AK2648" s="5">
        <f t="shared" si="255"/>
        <v>1</v>
      </c>
    </row>
    <row r="2649" spans="1:37" x14ac:dyDescent="0.2">
      <c r="A2649" s="2">
        <v>2025</v>
      </c>
      <c r="B2649" s="2">
        <v>9</v>
      </c>
      <c r="C2649" s="2" t="s">
        <v>2153</v>
      </c>
      <c r="L2649" s="2" t="s">
        <v>40</v>
      </c>
      <c r="O2649" s="2" t="s">
        <v>188</v>
      </c>
      <c r="P2649" s="2" t="s">
        <v>318</v>
      </c>
      <c r="Q2649" s="2" t="s">
        <v>319</v>
      </c>
      <c r="R2649" s="2">
        <v>1</v>
      </c>
      <c r="S2649" s="2">
        <v>975</v>
      </c>
      <c r="T2649" s="2">
        <v>224.25</v>
      </c>
      <c r="U2649" s="2">
        <v>1199.25</v>
      </c>
      <c r="W2649" s="5">
        <f t="shared" si="254"/>
        <v>1</v>
      </c>
      <c r="Y2649" s="2" t="s">
        <v>118</v>
      </c>
      <c r="Z2649" s="2" t="s">
        <v>318</v>
      </c>
      <c r="AE2649" s="2">
        <f t="shared" si="256"/>
        <v>0</v>
      </c>
      <c r="AI2649" s="2">
        <f t="shared" si="257"/>
        <v>0</v>
      </c>
      <c r="AJ2649" s="2">
        <f t="shared" si="258"/>
        <v>975</v>
      </c>
      <c r="AK2649" s="5">
        <f t="shared" si="255"/>
        <v>1</v>
      </c>
    </row>
    <row r="2650" spans="1:37" x14ac:dyDescent="0.2">
      <c r="A2650" s="2">
        <v>2025</v>
      </c>
      <c r="B2650" s="2">
        <v>9</v>
      </c>
      <c r="C2650" s="2" t="s">
        <v>2153</v>
      </c>
      <c r="L2650" s="2" t="s">
        <v>40</v>
      </c>
      <c r="O2650" s="2" t="s">
        <v>115</v>
      </c>
      <c r="P2650" s="2" t="s">
        <v>411</v>
      </c>
      <c r="Q2650" s="2" t="s">
        <v>412</v>
      </c>
      <c r="R2650" s="2">
        <v>1</v>
      </c>
      <c r="S2650" s="2">
        <v>0</v>
      </c>
      <c r="T2650" s="2">
        <v>0</v>
      </c>
      <c r="U2650" s="2">
        <v>0</v>
      </c>
      <c r="W2650" s="5" t="e">
        <f t="shared" si="254"/>
        <v>#DIV/0!</v>
      </c>
      <c r="Y2650" s="2" t="s">
        <v>118</v>
      </c>
      <c r="Z2650" s="2" t="s">
        <v>318</v>
      </c>
      <c r="AE2650" s="2">
        <f t="shared" si="256"/>
        <v>0</v>
      </c>
      <c r="AI2650" s="2">
        <f t="shared" si="257"/>
        <v>0</v>
      </c>
      <c r="AJ2650" s="2">
        <f t="shared" si="258"/>
        <v>0</v>
      </c>
      <c r="AK2650" s="5" t="e">
        <f t="shared" si="255"/>
        <v>#DIV/0!</v>
      </c>
    </row>
    <row r="2651" spans="1:37" x14ac:dyDescent="0.2">
      <c r="A2651" s="2">
        <v>2025</v>
      </c>
      <c r="B2651" s="2">
        <v>9</v>
      </c>
      <c r="C2651" s="2" t="s">
        <v>1807</v>
      </c>
      <c r="O2651" s="2" t="s">
        <v>115</v>
      </c>
      <c r="P2651" s="2" t="s">
        <v>840</v>
      </c>
      <c r="Q2651" s="2" t="s">
        <v>841</v>
      </c>
      <c r="R2651" s="2">
        <v>1</v>
      </c>
      <c r="S2651" s="2">
        <v>0</v>
      </c>
      <c r="T2651" s="2">
        <v>0</v>
      </c>
      <c r="U2651" s="2">
        <v>0</v>
      </c>
      <c r="W2651" s="5" t="e">
        <f t="shared" si="254"/>
        <v>#DIV/0!</v>
      </c>
      <c r="AE2651" s="2">
        <f t="shared" si="256"/>
        <v>0</v>
      </c>
      <c r="AI2651" s="2">
        <f t="shared" si="257"/>
        <v>0</v>
      </c>
      <c r="AJ2651" s="2">
        <f t="shared" si="258"/>
        <v>0</v>
      </c>
      <c r="AK2651" s="5" t="e">
        <f t="shared" si="255"/>
        <v>#DIV/0!</v>
      </c>
    </row>
    <row r="2652" spans="1:37" x14ac:dyDescent="0.2">
      <c r="A2652" s="2">
        <v>2025</v>
      </c>
      <c r="B2652" s="2">
        <v>9</v>
      </c>
      <c r="C2652" s="2" t="s">
        <v>1807</v>
      </c>
      <c r="O2652" s="2" t="s">
        <v>115</v>
      </c>
      <c r="P2652" s="2" t="s">
        <v>842</v>
      </c>
      <c r="Q2652" s="2" t="s">
        <v>843</v>
      </c>
      <c r="R2652" s="2">
        <v>1</v>
      </c>
      <c r="S2652" s="2">
        <v>15990</v>
      </c>
      <c r="T2652" s="2">
        <v>3677.7</v>
      </c>
      <c r="U2652" s="2">
        <v>19667.7</v>
      </c>
      <c r="W2652" s="5">
        <f t="shared" si="254"/>
        <v>1</v>
      </c>
      <c r="Y2652" s="2" t="s">
        <v>105</v>
      </c>
      <c r="AE2652" s="2">
        <f t="shared" si="256"/>
        <v>0</v>
      </c>
      <c r="AI2652" s="2">
        <f t="shared" si="257"/>
        <v>0</v>
      </c>
      <c r="AJ2652" s="2">
        <f t="shared" si="258"/>
        <v>15990</v>
      </c>
      <c r="AK2652" s="5">
        <f t="shared" si="255"/>
        <v>1</v>
      </c>
    </row>
    <row r="2653" spans="1:37" x14ac:dyDescent="0.2">
      <c r="A2653" s="2">
        <v>2025</v>
      </c>
      <c r="B2653" s="2">
        <v>9</v>
      </c>
      <c r="C2653" s="2" t="s">
        <v>1807</v>
      </c>
      <c r="O2653" s="2" t="s">
        <v>115</v>
      </c>
      <c r="P2653" s="2" t="s">
        <v>416</v>
      </c>
      <c r="Q2653" s="2" t="s">
        <v>417</v>
      </c>
      <c r="R2653" s="2">
        <v>-1</v>
      </c>
      <c r="S2653" s="2">
        <v>-15990</v>
      </c>
      <c r="T2653" s="2">
        <v>-3677.7</v>
      </c>
      <c r="U2653" s="2">
        <v>-19667.7</v>
      </c>
      <c r="V2653" s="2">
        <v>10669.4</v>
      </c>
      <c r="W2653" s="5">
        <f t="shared" ref="W2653:W2716" si="259">(S2653-V2653)/S2653</f>
        <v>1.6672545340838025</v>
      </c>
      <c r="Y2653" s="2" t="s">
        <v>105</v>
      </c>
      <c r="Z2653" s="2" t="s">
        <v>418</v>
      </c>
      <c r="AA2653" s="2" t="s">
        <v>152</v>
      </c>
      <c r="AB2653" s="2" t="s">
        <v>115</v>
      </c>
      <c r="AE2653" s="2">
        <f t="shared" si="256"/>
        <v>0</v>
      </c>
      <c r="AI2653" s="2">
        <f t="shared" si="257"/>
        <v>0</v>
      </c>
      <c r="AJ2653" s="2">
        <f t="shared" si="258"/>
        <v>-26659.4</v>
      </c>
      <c r="AK2653" s="5">
        <f t="shared" ref="AK2653:AK2716" si="260">(S2653-V2653)/S2653</f>
        <v>1.6672545340838025</v>
      </c>
    </row>
    <row r="2654" spans="1:37" x14ac:dyDescent="0.2">
      <c r="A2654" s="2">
        <v>2025</v>
      </c>
      <c r="B2654" s="2">
        <v>9</v>
      </c>
      <c r="C2654" s="2" t="s">
        <v>1906</v>
      </c>
      <c r="O2654" s="2" t="s">
        <v>43</v>
      </c>
      <c r="P2654" s="2" t="s">
        <v>335</v>
      </c>
      <c r="Q2654" s="2" t="s">
        <v>336</v>
      </c>
      <c r="R2654" s="2">
        <v>8</v>
      </c>
      <c r="S2654" s="2">
        <v>24</v>
      </c>
      <c r="T2654" s="2">
        <v>5.52</v>
      </c>
      <c r="U2654" s="2">
        <v>29.52</v>
      </c>
      <c r="V2654" s="2">
        <f>1.1122*R2654</f>
        <v>8.8976000000000006</v>
      </c>
      <c r="W2654" s="5">
        <f t="shared" si="259"/>
        <v>0.62926666666666664</v>
      </c>
      <c r="Y2654" s="2" t="s">
        <v>3256</v>
      </c>
      <c r="Z2654" s="2" t="s">
        <v>46</v>
      </c>
      <c r="AA2654" s="2" t="s">
        <v>61</v>
      </c>
      <c r="AB2654" s="2" t="s">
        <v>58</v>
      </c>
      <c r="AE2654" s="2">
        <f t="shared" si="256"/>
        <v>0</v>
      </c>
      <c r="AF2654" s="2">
        <v>1.1122000000000001</v>
      </c>
      <c r="AG2654" s="2">
        <v>3</v>
      </c>
      <c r="AI2654" s="2">
        <f t="shared" si="257"/>
        <v>0</v>
      </c>
      <c r="AJ2654" s="2">
        <f t="shared" si="258"/>
        <v>15.102399999999999</v>
      </c>
      <c r="AK2654" s="5">
        <f t="shared" si="260"/>
        <v>0.62926666666666664</v>
      </c>
    </row>
    <row r="2655" spans="1:37" x14ac:dyDescent="0.2">
      <c r="A2655" s="2">
        <v>2025</v>
      </c>
      <c r="B2655" s="2">
        <v>9</v>
      </c>
      <c r="C2655" s="2" t="s">
        <v>396</v>
      </c>
      <c r="D2655" s="2" t="s">
        <v>109</v>
      </c>
      <c r="E2655" s="2" t="s">
        <v>397</v>
      </c>
      <c r="F2655" s="2">
        <v>501787160</v>
      </c>
      <c r="G2655" s="2" t="s">
        <v>41</v>
      </c>
      <c r="H2655" s="2" t="s">
        <v>398</v>
      </c>
      <c r="I2655" s="2" t="s">
        <v>399</v>
      </c>
      <c r="K2655" s="2" t="s">
        <v>400</v>
      </c>
      <c r="O2655" s="2" t="s">
        <v>283</v>
      </c>
      <c r="P2655" s="2" t="s">
        <v>401</v>
      </c>
      <c r="Q2655" s="2" t="s">
        <v>402</v>
      </c>
      <c r="R2655" s="2">
        <v>10</v>
      </c>
      <c r="S2655" s="2">
        <v>290</v>
      </c>
      <c r="T2655" s="2">
        <v>66.7</v>
      </c>
      <c r="U2655" s="2">
        <v>356.7</v>
      </c>
      <c r="W2655" s="5">
        <f t="shared" si="259"/>
        <v>1</v>
      </c>
      <c r="Y2655" s="2" t="s">
        <v>3256</v>
      </c>
      <c r="Z2655" s="2" t="s">
        <v>46</v>
      </c>
      <c r="AA2655" s="2" t="s">
        <v>61</v>
      </c>
      <c r="AB2655" s="2" t="s">
        <v>403</v>
      </c>
      <c r="AE2655" s="2">
        <f t="shared" si="256"/>
        <v>0</v>
      </c>
      <c r="AI2655" s="2">
        <f t="shared" si="257"/>
        <v>0</v>
      </c>
      <c r="AJ2655" s="2">
        <f t="shared" si="258"/>
        <v>290</v>
      </c>
      <c r="AK2655" s="5">
        <f t="shared" si="260"/>
        <v>1</v>
      </c>
    </row>
    <row r="2656" spans="1:37" x14ac:dyDescent="0.2">
      <c r="A2656" s="2">
        <v>2025</v>
      </c>
      <c r="B2656" s="2">
        <v>9</v>
      </c>
      <c r="C2656" s="2" t="s">
        <v>396</v>
      </c>
      <c r="D2656" s="2" t="s">
        <v>109</v>
      </c>
      <c r="E2656" s="2" t="s">
        <v>397</v>
      </c>
      <c r="F2656" s="2">
        <v>501787160</v>
      </c>
      <c r="G2656" s="2" t="s">
        <v>41</v>
      </c>
      <c r="H2656" s="2" t="s">
        <v>398</v>
      </c>
      <c r="I2656" s="2" t="s">
        <v>399</v>
      </c>
      <c r="K2656" s="2" t="s">
        <v>400</v>
      </c>
      <c r="O2656" s="2" t="s">
        <v>283</v>
      </c>
      <c r="P2656" s="2" t="s">
        <v>404</v>
      </c>
      <c r="Q2656" s="2" t="s">
        <v>405</v>
      </c>
      <c r="R2656" s="2">
        <v>11</v>
      </c>
      <c r="S2656" s="2">
        <v>319</v>
      </c>
      <c r="T2656" s="2">
        <v>73.37</v>
      </c>
      <c r="U2656" s="2">
        <v>392.37</v>
      </c>
      <c r="W2656" s="5">
        <f t="shared" si="259"/>
        <v>1</v>
      </c>
      <c r="Y2656" s="2" t="s">
        <v>3256</v>
      </c>
      <c r="Z2656" s="2" t="s">
        <v>46</v>
      </c>
      <c r="AA2656" s="2" t="s">
        <v>61</v>
      </c>
      <c r="AB2656" s="2" t="s">
        <v>403</v>
      </c>
      <c r="AE2656" s="2">
        <f t="shared" si="256"/>
        <v>0</v>
      </c>
      <c r="AI2656" s="2">
        <f t="shared" si="257"/>
        <v>0</v>
      </c>
      <c r="AJ2656" s="2">
        <f t="shared" si="258"/>
        <v>319</v>
      </c>
      <c r="AK2656" s="5">
        <f t="shared" si="260"/>
        <v>1</v>
      </c>
    </row>
    <row r="2657" spans="1:37" x14ac:dyDescent="0.2">
      <c r="A2657" s="2">
        <v>2025</v>
      </c>
      <c r="B2657" s="2">
        <v>9</v>
      </c>
      <c r="C2657" s="2" t="s">
        <v>406</v>
      </c>
      <c r="D2657" s="2" t="s">
        <v>38</v>
      </c>
      <c r="E2657" s="2" t="s">
        <v>39</v>
      </c>
      <c r="F2657" s="2">
        <v>109095197</v>
      </c>
      <c r="G2657" s="2" t="s">
        <v>40</v>
      </c>
      <c r="H2657" s="2" t="s">
        <v>2498</v>
      </c>
      <c r="I2657" s="2" t="s">
        <v>3147</v>
      </c>
      <c r="J2657" s="2">
        <v>965864665</v>
      </c>
      <c r="K2657" s="2" t="s">
        <v>345</v>
      </c>
      <c r="L2657" s="2" t="s">
        <v>81</v>
      </c>
      <c r="N2657" s="2" t="s">
        <v>3149</v>
      </c>
      <c r="O2657" s="2" t="s">
        <v>73</v>
      </c>
      <c r="P2657" s="2" t="s">
        <v>733</v>
      </c>
      <c r="Q2657" s="2" t="s">
        <v>198</v>
      </c>
      <c r="R2657" s="2">
        <v>1</v>
      </c>
      <c r="S2657" s="2">
        <v>270</v>
      </c>
      <c r="T2657" s="2">
        <v>62.1</v>
      </c>
      <c r="U2657" s="2">
        <v>332.1</v>
      </c>
      <c r="V2657" s="2">
        <v>140.86000000000001</v>
      </c>
      <c r="W2657" s="5">
        <f t="shared" si="259"/>
        <v>0.47829629629629622</v>
      </c>
      <c r="Y2657" s="2" t="s">
        <v>3256</v>
      </c>
      <c r="Z2657" s="2" t="s">
        <v>76</v>
      </c>
      <c r="AA2657" s="2" t="s">
        <v>77</v>
      </c>
      <c r="AB2657" s="2" t="s">
        <v>78</v>
      </c>
      <c r="AE2657" s="2">
        <f t="shared" si="256"/>
        <v>0</v>
      </c>
      <c r="AF2657" s="2">
        <f>132.55+8.31</f>
        <v>140.86000000000001</v>
      </c>
      <c r="AG2657" s="2">
        <v>250</v>
      </c>
      <c r="AI2657" s="2">
        <f t="shared" si="257"/>
        <v>0</v>
      </c>
      <c r="AJ2657" s="2">
        <f t="shared" si="258"/>
        <v>129.13999999999999</v>
      </c>
      <c r="AK2657" s="5">
        <f t="shared" si="260"/>
        <v>0.47829629629629622</v>
      </c>
    </row>
    <row r="2658" spans="1:37" x14ac:dyDescent="0.2">
      <c r="A2658" s="2">
        <v>2025</v>
      </c>
      <c r="B2658" s="2">
        <v>9</v>
      </c>
      <c r="C2658" s="2" t="s">
        <v>406</v>
      </c>
      <c r="D2658" s="2" t="s">
        <v>38</v>
      </c>
      <c r="E2658" s="2" t="s">
        <v>39</v>
      </c>
      <c r="F2658" s="2">
        <v>109095197</v>
      </c>
      <c r="G2658" s="2" t="s">
        <v>40</v>
      </c>
      <c r="H2658" s="2" t="s">
        <v>2498</v>
      </c>
      <c r="I2658" s="2" t="s">
        <v>3147</v>
      </c>
      <c r="J2658" s="2">
        <v>965864665</v>
      </c>
      <c r="K2658" s="2" t="s">
        <v>345</v>
      </c>
      <c r="L2658" s="2" t="s">
        <v>81</v>
      </c>
      <c r="N2658" s="2" t="s">
        <v>3149</v>
      </c>
      <c r="O2658" s="2" t="s">
        <v>94</v>
      </c>
      <c r="P2658" s="2" t="s">
        <v>95</v>
      </c>
      <c r="Q2658" s="2" t="s">
        <v>96</v>
      </c>
      <c r="R2658" s="2">
        <v>1</v>
      </c>
      <c r="S2658" s="2">
        <v>1.1399999999999999</v>
      </c>
      <c r="T2658" s="2">
        <v>0.26219999999999999</v>
      </c>
      <c r="U2658" s="2">
        <v>1.4021999999999999</v>
      </c>
      <c r="V2658" s="2">
        <v>1.1399999999999999</v>
      </c>
      <c r="W2658" s="5">
        <f t="shared" si="259"/>
        <v>0</v>
      </c>
      <c r="Y2658" s="2" t="s">
        <v>3256</v>
      </c>
      <c r="Z2658" s="2" t="s">
        <v>97</v>
      </c>
      <c r="AA2658" s="2" t="s">
        <v>77</v>
      </c>
      <c r="AB2658" s="2" t="s">
        <v>94</v>
      </c>
      <c r="AE2658" s="2">
        <f t="shared" si="256"/>
        <v>0</v>
      </c>
      <c r="AI2658" s="2">
        <f t="shared" si="257"/>
        <v>0</v>
      </c>
      <c r="AJ2658" s="2">
        <f t="shared" si="258"/>
        <v>0</v>
      </c>
      <c r="AK2658" s="5">
        <f t="shared" si="260"/>
        <v>0</v>
      </c>
    </row>
    <row r="2659" spans="1:37" x14ac:dyDescent="0.2">
      <c r="A2659" s="2">
        <v>2025</v>
      </c>
      <c r="B2659" s="2">
        <v>9</v>
      </c>
      <c r="C2659" s="2" t="s">
        <v>413</v>
      </c>
      <c r="D2659" s="2" t="s">
        <v>38</v>
      </c>
      <c r="E2659" s="2" t="s">
        <v>39</v>
      </c>
      <c r="F2659" s="2">
        <v>510415962</v>
      </c>
      <c r="G2659" s="2" t="s">
        <v>40</v>
      </c>
      <c r="H2659" s="2" t="s">
        <v>345</v>
      </c>
      <c r="I2659" s="2" t="s">
        <v>3153</v>
      </c>
      <c r="J2659" s="2">
        <v>962555043</v>
      </c>
      <c r="K2659" s="2" t="s">
        <v>345</v>
      </c>
      <c r="L2659" s="2" t="s">
        <v>40</v>
      </c>
      <c r="N2659" s="2" t="s">
        <v>3155</v>
      </c>
      <c r="O2659" s="2" t="s">
        <v>188</v>
      </c>
      <c r="P2659" s="2" t="s">
        <v>318</v>
      </c>
      <c r="Q2659" s="2" t="s">
        <v>319</v>
      </c>
      <c r="R2659" s="2">
        <v>-1</v>
      </c>
      <c r="S2659" s="2">
        <v>-975</v>
      </c>
      <c r="T2659" s="2">
        <v>-224.25</v>
      </c>
      <c r="U2659" s="2">
        <v>-1199.25</v>
      </c>
      <c r="W2659" s="5">
        <f t="shared" si="259"/>
        <v>1</v>
      </c>
      <c r="Y2659" s="2" t="s">
        <v>118</v>
      </c>
      <c r="Z2659" s="2" t="s">
        <v>318</v>
      </c>
      <c r="AE2659" s="2">
        <f t="shared" si="256"/>
        <v>0</v>
      </c>
      <c r="AI2659" s="2">
        <f t="shared" si="257"/>
        <v>0</v>
      </c>
      <c r="AJ2659" s="2">
        <f t="shared" si="258"/>
        <v>-975</v>
      </c>
      <c r="AK2659" s="5">
        <f t="shared" si="260"/>
        <v>1</v>
      </c>
    </row>
    <row r="2660" spans="1:37" x14ac:dyDescent="0.2">
      <c r="A2660" s="2">
        <v>2025</v>
      </c>
      <c r="B2660" s="2">
        <v>9</v>
      </c>
      <c r="C2660" s="2" t="s">
        <v>413</v>
      </c>
      <c r="D2660" s="2" t="s">
        <v>38</v>
      </c>
      <c r="E2660" s="2" t="s">
        <v>39</v>
      </c>
      <c r="F2660" s="2">
        <v>510415962</v>
      </c>
      <c r="G2660" s="2" t="s">
        <v>40</v>
      </c>
      <c r="H2660" s="2" t="s">
        <v>345</v>
      </c>
      <c r="I2660" s="2" t="s">
        <v>3153</v>
      </c>
      <c r="J2660" s="2">
        <v>962555043</v>
      </c>
      <c r="K2660" s="2" t="s">
        <v>345</v>
      </c>
      <c r="L2660" s="2" t="s">
        <v>40</v>
      </c>
      <c r="N2660" s="2" t="s">
        <v>3155</v>
      </c>
      <c r="O2660" s="2" t="s">
        <v>115</v>
      </c>
      <c r="P2660" s="2" t="s">
        <v>411</v>
      </c>
      <c r="Q2660" s="2" t="s">
        <v>412</v>
      </c>
      <c r="R2660" s="2">
        <v>-1</v>
      </c>
      <c r="S2660" s="2">
        <v>0</v>
      </c>
      <c r="T2660" s="2">
        <v>0</v>
      </c>
      <c r="U2660" s="2">
        <v>0</v>
      </c>
      <c r="W2660" s="5" t="e">
        <f t="shared" si="259"/>
        <v>#DIV/0!</v>
      </c>
      <c r="Y2660" s="2" t="s">
        <v>118</v>
      </c>
      <c r="Z2660" s="2" t="s">
        <v>318</v>
      </c>
      <c r="AE2660" s="2">
        <f t="shared" si="256"/>
        <v>0</v>
      </c>
      <c r="AI2660" s="2">
        <f t="shared" si="257"/>
        <v>0</v>
      </c>
      <c r="AJ2660" s="2">
        <f t="shared" si="258"/>
        <v>0</v>
      </c>
      <c r="AK2660" s="5" t="e">
        <f t="shared" si="260"/>
        <v>#DIV/0!</v>
      </c>
    </row>
    <row r="2661" spans="1:37" x14ac:dyDescent="0.2">
      <c r="A2661" s="2">
        <v>2025</v>
      </c>
      <c r="B2661" s="2">
        <v>9</v>
      </c>
      <c r="C2661" s="2" t="s">
        <v>794</v>
      </c>
      <c r="D2661" s="2" t="s">
        <v>38</v>
      </c>
      <c r="E2661" s="2" t="s">
        <v>39</v>
      </c>
      <c r="F2661" s="2">
        <v>507389689</v>
      </c>
      <c r="G2661" s="2" t="s">
        <v>40</v>
      </c>
      <c r="H2661" s="2" t="s">
        <v>795</v>
      </c>
      <c r="I2661" s="2" t="s">
        <v>796</v>
      </c>
      <c r="J2661" s="2">
        <v>912216027</v>
      </c>
      <c r="K2661" s="2" t="s">
        <v>294</v>
      </c>
      <c r="L2661" s="2" t="s">
        <v>40</v>
      </c>
      <c r="N2661" s="2" t="s">
        <v>2254</v>
      </c>
      <c r="O2661" s="2" t="s">
        <v>115</v>
      </c>
      <c r="P2661" s="2" t="s">
        <v>2247</v>
      </c>
      <c r="Q2661" s="2" t="s">
        <v>2248</v>
      </c>
      <c r="R2661" s="2">
        <v>1</v>
      </c>
      <c r="S2661" s="2">
        <v>9.64</v>
      </c>
      <c r="T2661" s="2">
        <v>2.2172000000000001</v>
      </c>
      <c r="U2661" s="2">
        <v>11.857200000000001</v>
      </c>
      <c r="V2661" s="2">
        <v>5.35</v>
      </c>
      <c r="W2661" s="5">
        <f t="shared" si="259"/>
        <v>0.44502074688796689</v>
      </c>
      <c r="Y2661" s="2" t="s">
        <v>118</v>
      </c>
      <c r="Z2661" s="2" t="s">
        <v>119</v>
      </c>
      <c r="AA2661" s="2" t="s">
        <v>120</v>
      </c>
      <c r="AB2661" s="2" t="s">
        <v>115</v>
      </c>
      <c r="AE2661" s="2">
        <f t="shared" si="256"/>
        <v>0</v>
      </c>
      <c r="AF2661" s="2">
        <v>5.35</v>
      </c>
      <c r="AI2661" s="2">
        <f t="shared" si="257"/>
        <v>0</v>
      </c>
      <c r="AJ2661" s="2">
        <f t="shared" si="258"/>
        <v>4.2900000000000009</v>
      </c>
      <c r="AK2661" s="5">
        <f t="shared" si="260"/>
        <v>0.44502074688796689</v>
      </c>
    </row>
    <row r="2662" spans="1:37" x14ac:dyDescent="0.2">
      <c r="A2662" s="2">
        <v>2025</v>
      </c>
      <c r="B2662" s="2">
        <v>9</v>
      </c>
      <c r="C2662" s="2" t="s">
        <v>794</v>
      </c>
      <c r="D2662" s="2" t="s">
        <v>38</v>
      </c>
      <c r="E2662" s="2" t="s">
        <v>39</v>
      </c>
      <c r="F2662" s="2">
        <v>507389689</v>
      </c>
      <c r="G2662" s="2" t="s">
        <v>40</v>
      </c>
      <c r="H2662" s="2" t="s">
        <v>795</v>
      </c>
      <c r="I2662" s="2" t="s">
        <v>796</v>
      </c>
      <c r="J2662" s="2">
        <v>912216027</v>
      </c>
      <c r="K2662" s="2" t="s">
        <v>294</v>
      </c>
      <c r="L2662" s="2" t="s">
        <v>40</v>
      </c>
      <c r="O2662" s="2" t="s">
        <v>170</v>
      </c>
      <c r="P2662" s="2" t="s">
        <v>171</v>
      </c>
      <c r="Q2662" s="2" t="s">
        <v>171</v>
      </c>
      <c r="R2662" s="2">
        <v>1</v>
      </c>
      <c r="S2662" s="2">
        <v>8</v>
      </c>
      <c r="T2662" s="2">
        <v>1.84</v>
      </c>
      <c r="U2662" s="2">
        <v>9.84</v>
      </c>
      <c r="W2662" s="5">
        <f t="shared" si="259"/>
        <v>1</v>
      </c>
      <c r="Y2662" s="2" t="s">
        <v>170</v>
      </c>
      <c r="Z2662" s="2" t="s">
        <v>170</v>
      </c>
      <c r="AE2662" s="2">
        <f t="shared" si="256"/>
        <v>0</v>
      </c>
      <c r="AI2662" s="2">
        <f t="shared" si="257"/>
        <v>0</v>
      </c>
      <c r="AJ2662" s="2">
        <f t="shared" si="258"/>
        <v>8</v>
      </c>
      <c r="AK2662" s="5">
        <f t="shared" si="260"/>
        <v>1</v>
      </c>
    </row>
    <row r="2663" spans="1:37" x14ac:dyDescent="0.2">
      <c r="A2663" s="2">
        <v>2025</v>
      </c>
      <c r="B2663" s="2">
        <v>9</v>
      </c>
      <c r="C2663" s="2" t="s">
        <v>1024</v>
      </c>
      <c r="O2663" s="2" t="s">
        <v>283</v>
      </c>
      <c r="P2663" s="2" t="s">
        <v>2255</v>
      </c>
      <c r="Q2663" s="2" t="s">
        <v>2256</v>
      </c>
      <c r="R2663" s="2">
        <v>3</v>
      </c>
      <c r="S2663" s="2">
        <v>37.17</v>
      </c>
      <c r="T2663" s="2">
        <v>8.549100000000001</v>
      </c>
      <c r="U2663" s="2">
        <v>45.719099999999997</v>
      </c>
      <c r="W2663" s="5">
        <f t="shared" si="259"/>
        <v>1</v>
      </c>
      <c r="AE2663" s="2">
        <f t="shared" si="256"/>
        <v>0</v>
      </c>
      <c r="AI2663" s="2">
        <f t="shared" si="257"/>
        <v>0</v>
      </c>
      <c r="AJ2663" s="2">
        <f t="shared" si="258"/>
        <v>37.17</v>
      </c>
      <c r="AK2663" s="5">
        <f t="shared" si="260"/>
        <v>1</v>
      </c>
    </row>
    <row r="2664" spans="1:37" x14ac:dyDescent="0.2">
      <c r="A2664" s="2">
        <v>2025</v>
      </c>
      <c r="B2664" s="2">
        <v>9</v>
      </c>
      <c r="C2664" s="2" t="s">
        <v>1024</v>
      </c>
      <c r="O2664" s="2" t="s">
        <v>43</v>
      </c>
      <c r="P2664" s="2" t="s">
        <v>161</v>
      </c>
      <c r="Q2664" s="2" t="s">
        <v>162</v>
      </c>
      <c r="R2664" s="2">
        <v>4</v>
      </c>
      <c r="S2664" s="2">
        <v>31.2</v>
      </c>
      <c r="T2664" s="2">
        <v>7.1760000000000002</v>
      </c>
      <c r="U2664" s="2">
        <v>38.375999999999998</v>
      </c>
      <c r="V2664" s="2">
        <f>3.7358*R2664</f>
        <v>14.943199999999999</v>
      </c>
      <c r="W2664" s="5">
        <f t="shared" si="259"/>
        <v>0.52105128205128204</v>
      </c>
      <c r="Y2664" s="2" t="s">
        <v>3256</v>
      </c>
      <c r="Z2664" s="2" t="s">
        <v>46</v>
      </c>
      <c r="AA2664" s="2" t="s">
        <v>47</v>
      </c>
      <c r="AB2664" s="2" t="s">
        <v>48</v>
      </c>
      <c r="AE2664" s="2">
        <f t="shared" si="256"/>
        <v>0</v>
      </c>
      <c r="AF2664" s="2">
        <v>3.7357999999999998</v>
      </c>
      <c r="AG2664" s="2">
        <v>9</v>
      </c>
      <c r="AI2664" s="2">
        <f t="shared" si="257"/>
        <v>0</v>
      </c>
      <c r="AJ2664" s="2">
        <f t="shared" si="258"/>
        <v>16.256799999999998</v>
      </c>
      <c r="AK2664" s="5">
        <f t="shared" si="260"/>
        <v>0.52105128205128204</v>
      </c>
    </row>
    <row r="2665" spans="1:37" x14ac:dyDescent="0.2">
      <c r="A2665" s="2">
        <v>2025</v>
      </c>
      <c r="B2665" s="2">
        <v>9</v>
      </c>
      <c r="C2665" s="2" t="s">
        <v>432</v>
      </c>
      <c r="D2665" s="2" t="s">
        <v>38</v>
      </c>
      <c r="F2665" s="2">
        <v>500820384</v>
      </c>
      <c r="G2665" s="2" t="s">
        <v>40</v>
      </c>
      <c r="H2665" s="2" t="s">
        <v>433</v>
      </c>
      <c r="I2665" s="2" t="s">
        <v>434</v>
      </c>
      <c r="K2665" s="2" t="s">
        <v>100</v>
      </c>
      <c r="L2665" s="2" t="s">
        <v>81</v>
      </c>
      <c r="N2665" s="2" t="s">
        <v>2257</v>
      </c>
      <c r="O2665" s="2" t="s">
        <v>73</v>
      </c>
      <c r="P2665" s="2" t="s">
        <v>560</v>
      </c>
      <c r="Q2665" s="2" t="s">
        <v>383</v>
      </c>
      <c r="R2665" s="2">
        <v>2</v>
      </c>
      <c r="S2665" s="2">
        <v>446.2</v>
      </c>
      <c r="T2665" s="2">
        <v>102.626</v>
      </c>
      <c r="U2665" s="2">
        <v>548.82600000000002</v>
      </c>
      <c r="W2665" s="5">
        <f t="shared" si="259"/>
        <v>1</v>
      </c>
      <c r="Y2665" s="2" t="s">
        <v>3256</v>
      </c>
      <c r="Z2665" s="2" t="s">
        <v>76</v>
      </c>
      <c r="AA2665" s="2" t="s">
        <v>77</v>
      </c>
      <c r="AB2665" s="2" t="s">
        <v>78</v>
      </c>
      <c r="AE2665" s="2">
        <f t="shared" si="256"/>
        <v>0</v>
      </c>
      <c r="AI2665" s="2">
        <f t="shared" si="257"/>
        <v>0</v>
      </c>
      <c r="AJ2665" s="2">
        <f t="shared" si="258"/>
        <v>446.2</v>
      </c>
      <c r="AK2665" s="5">
        <f t="shared" si="260"/>
        <v>1</v>
      </c>
    </row>
    <row r="2666" spans="1:37" x14ac:dyDescent="0.2">
      <c r="A2666" s="2">
        <v>2025</v>
      </c>
      <c r="B2666" s="2">
        <v>9</v>
      </c>
      <c r="C2666" s="2" t="s">
        <v>432</v>
      </c>
      <c r="D2666" s="2" t="s">
        <v>38</v>
      </c>
      <c r="F2666" s="2">
        <v>500820384</v>
      </c>
      <c r="G2666" s="2" t="s">
        <v>40</v>
      </c>
      <c r="H2666" s="2" t="s">
        <v>433</v>
      </c>
      <c r="I2666" s="2" t="s">
        <v>434</v>
      </c>
      <c r="K2666" s="2" t="s">
        <v>100</v>
      </c>
      <c r="L2666" s="2" t="s">
        <v>81</v>
      </c>
      <c r="N2666" s="2" t="s">
        <v>2257</v>
      </c>
      <c r="O2666" s="2" t="s">
        <v>94</v>
      </c>
      <c r="P2666" s="2" t="s">
        <v>95</v>
      </c>
      <c r="Q2666" s="2" t="s">
        <v>96</v>
      </c>
      <c r="R2666" s="2">
        <v>2</v>
      </c>
      <c r="S2666" s="2">
        <v>2.2799999999999998</v>
      </c>
      <c r="T2666" s="2">
        <v>0.52439999999999998</v>
      </c>
      <c r="U2666" s="2">
        <v>2.8043999999999998</v>
      </c>
      <c r="V2666" s="2">
        <v>2.2799999999999998</v>
      </c>
      <c r="W2666" s="5">
        <f t="shared" si="259"/>
        <v>0</v>
      </c>
      <c r="Y2666" s="2" t="s">
        <v>3256</v>
      </c>
      <c r="Z2666" s="2" t="s">
        <v>97</v>
      </c>
      <c r="AA2666" s="2" t="s">
        <v>77</v>
      </c>
      <c r="AB2666" s="2" t="s">
        <v>94</v>
      </c>
      <c r="AE2666" s="2">
        <f t="shared" si="256"/>
        <v>0</v>
      </c>
      <c r="AI2666" s="2">
        <f t="shared" si="257"/>
        <v>0</v>
      </c>
      <c r="AJ2666" s="2">
        <f t="shared" si="258"/>
        <v>0</v>
      </c>
      <c r="AK2666" s="5">
        <f t="shared" si="260"/>
        <v>0</v>
      </c>
    </row>
    <row r="2667" spans="1:37" x14ac:dyDescent="0.2">
      <c r="A2667" s="2">
        <v>2025</v>
      </c>
      <c r="B2667" s="2">
        <v>9</v>
      </c>
      <c r="C2667" s="2" t="s">
        <v>1814</v>
      </c>
      <c r="O2667" s="2" t="s">
        <v>3260</v>
      </c>
      <c r="P2667" s="2" t="s">
        <v>1805</v>
      </c>
      <c r="Q2667" s="2" t="s">
        <v>1806</v>
      </c>
      <c r="R2667" s="2">
        <v>-1</v>
      </c>
      <c r="S2667" s="2">
        <v>-1800</v>
      </c>
      <c r="T2667" s="2">
        <v>-414</v>
      </c>
      <c r="U2667" s="2">
        <v>-2214</v>
      </c>
      <c r="V2667" s="2">
        <v>1036.96</v>
      </c>
      <c r="W2667" s="5">
        <f t="shared" si="259"/>
        <v>1.5760888888888889</v>
      </c>
      <c r="Y2667" s="2" t="s">
        <v>105</v>
      </c>
      <c r="Z2667" s="2" t="s">
        <v>106</v>
      </c>
      <c r="AA2667" s="2" t="s">
        <v>107</v>
      </c>
      <c r="AB2667" s="2" t="s">
        <v>3260</v>
      </c>
      <c r="AE2667" s="2">
        <f t="shared" si="256"/>
        <v>0</v>
      </c>
      <c r="AI2667" s="2">
        <f t="shared" si="257"/>
        <v>0</v>
      </c>
      <c r="AJ2667" s="2">
        <f t="shared" si="258"/>
        <v>-2836.96</v>
      </c>
      <c r="AK2667" s="5">
        <f t="shared" si="260"/>
        <v>1.5760888888888889</v>
      </c>
    </row>
    <row r="2668" spans="1:37" x14ac:dyDescent="0.2">
      <c r="A2668" s="2">
        <v>2025</v>
      </c>
      <c r="B2668" s="2">
        <v>9</v>
      </c>
      <c r="C2668" s="2" t="s">
        <v>2258</v>
      </c>
      <c r="O2668" s="2" t="s">
        <v>3260</v>
      </c>
      <c r="P2668" s="2" t="s">
        <v>1805</v>
      </c>
      <c r="Q2668" s="2" t="s">
        <v>1806</v>
      </c>
      <c r="R2668" s="2">
        <v>1</v>
      </c>
      <c r="S2668" s="2">
        <v>1800</v>
      </c>
      <c r="T2668" s="2">
        <v>414</v>
      </c>
      <c r="U2668" s="2">
        <v>2214</v>
      </c>
      <c r="V2668" s="2">
        <v>1036.96</v>
      </c>
      <c r="W2668" s="5">
        <f t="shared" si="259"/>
        <v>0.42391111111111107</v>
      </c>
      <c r="Y2668" s="2" t="s">
        <v>105</v>
      </c>
      <c r="Z2668" s="2" t="s">
        <v>106</v>
      </c>
      <c r="AA2668" s="2" t="s">
        <v>107</v>
      </c>
      <c r="AB2668" s="2" t="s">
        <v>3260</v>
      </c>
      <c r="AE2668" s="2">
        <f t="shared" si="256"/>
        <v>0</v>
      </c>
      <c r="AI2668" s="2">
        <f t="shared" si="257"/>
        <v>0</v>
      </c>
      <c r="AJ2668" s="2">
        <f t="shared" si="258"/>
        <v>763.04</v>
      </c>
      <c r="AK2668" s="5">
        <f t="shared" si="260"/>
        <v>0.42391111111111107</v>
      </c>
    </row>
    <row r="2669" spans="1:37" x14ac:dyDescent="0.2">
      <c r="A2669" s="2">
        <v>2025</v>
      </c>
      <c r="B2669" s="2">
        <v>9</v>
      </c>
      <c r="C2669" s="2" t="s">
        <v>822</v>
      </c>
      <c r="O2669" s="2" t="s">
        <v>73</v>
      </c>
      <c r="P2669" s="2" t="s">
        <v>302</v>
      </c>
      <c r="Q2669" s="2" t="s">
        <v>75</v>
      </c>
      <c r="R2669" s="2">
        <v>1</v>
      </c>
      <c r="S2669" s="2">
        <v>210</v>
      </c>
      <c r="T2669" s="2">
        <v>48.3</v>
      </c>
      <c r="U2669" s="2">
        <v>258.3</v>
      </c>
      <c r="V2669" s="2">
        <v>121.46</v>
      </c>
      <c r="W2669" s="5">
        <f t="shared" si="259"/>
        <v>0.42161904761904767</v>
      </c>
      <c r="Y2669" s="2" t="s">
        <v>3256</v>
      </c>
      <c r="Z2669" s="2" t="s">
        <v>76</v>
      </c>
      <c r="AA2669" s="2" t="s">
        <v>77</v>
      </c>
      <c r="AB2669" s="2" t="s">
        <v>78</v>
      </c>
      <c r="AE2669" s="2">
        <f t="shared" si="256"/>
        <v>0</v>
      </c>
      <c r="AF2669" s="2">
        <v>121.46</v>
      </c>
      <c r="AG2669" s="2">
        <v>210</v>
      </c>
      <c r="AI2669" s="2">
        <f t="shared" si="257"/>
        <v>0</v>
      </c>
      <c r="AJ2669" s="2">
        <f t="shared" si="258"/>
        <v>88.54</v>
      </c>
      <c r="AK2669" s="5">
        <f t="shared" si="260"/>
        <v>0.42161904761904767</v>
      </c>
    </row>
    <row r="2670" spans="1:37" x14ac:dyDescent="0.2">
      <c r="A2670" s="2">
        <v>2025</v>
      </c>
      <c r="B2670" s="2">
        <v>9</v>
      </c>
      <c r="C2670" s="2" t="s">
        <v>822</v>
      </c>
      <c r="O2670" s="2" t="s">
        <v>94</v>
      </c>
      <c r="P2670" s="2" t="s">
        <v>95</v>
      </c>
      <c r="Q2670" s="2" t="s">
        <v>96</v>
      </c>
      <c r="R2670" s="2">
        <v>1</v>
      </c>
      <c r="S2670" s="2">
        <v>1.1399999999999999</v>
      </c>
      <c r="T2670" s="2">
        <v>0.26219999999999999</v>
      </c>
      <c r="U2670" s="2">
        <v>1.4021999999999999</v>
      </c>
      <c r="V2670" s="2">
        <v>1.1399999999999999</v>
      </c>
      <c r="W2670" s="5">
        <f t="shared" si="259"/>
        <v>0</v>
      </c>
      <c r="Y2670" s="2" t="s">
        <v>3256</v>
      </c>
      <c r="Z2670" s="2" t="s">
        <v>97</v>
      </c>
      <c r="AA2670" s="2" t="s">
        <v>77</v>
      </c>
      <c r="AB2670" s="2" t="s">
        <v>94</v>
      </c>
      <c r="AE2670" s="2">
        <f t="shared" si="256"/>
        <v>0</v>
      </c>
      <c r="AI2670" s="2">
        <f t="shared" si="257"/>
        <v>0</v>
      </c>
      <c r="AJ2670" s="2">
        <f t="shared" si="258"/>
        <v>0</v>
      </c>
      <c r="AK2670" s="5">
        <f t="shared" si="260"/>
        <v>0</v>
      </c>
    </row>
    <row r="2671" spans="1:37" x14ac:dyDescent="0.2">
      <c r="A2671" s="2">
        <v>2025</v>
      </c>
      <c r="B2671" s="2">
        <v>9</v>
      </c>
      <c r="C2671" s="2" t="s">
        <v>2259</v>
      </c>
      <c r="O2671" s="2" t="s">
        <v>73</v>
      </c>
      <c r="P2671" s="2" t="s">
        <v>488</v>
      </c>
      <c r="Q2671" s="2" t="s">
        <v>75</v>
      </c>
      <c r="R2671" s="2">
        <v>1</v>
      </c>
      <c r="S2671" s="2">
        <v>220</v>
      </c>
      <c r="T2671" s="2">
        <v>50.6</v>
      </c>
      <c r="U2671" s="2">
        <v>270.60000000000002</v>
      </c>
      <c r="V2671" s="2">
        <v>131.93</v>
      </c>
      <c r="W2671" s="5">
        <f t="shared" si="259"/>
        <v>0.4003181818181818</v>
      </c>
      <c r="Y2671" s="2" t="s">
        <v>3256</v>
      </c>
      <c r="Z2671" s="2" t="s">
        <v>76</v>
      </c>
      <c r="AA2671" s="2" t="s">
        <v>77</v>
      </c>
      <c r="AB2671" s="2" t="s">
        <v>78</v>
      </c>
      <c r="AE2671" s="2">
        <f t="shared" si="256"/>
        <v>0</v>
      </c>
      <c r="AF2671" s="2">
        <v>131.93</v>
      </c>
      <c r="AG2671" s="2">
        <v>220</v>
      </c>
      <c r="AI2671" s="2">
        <f t="shared" si="257"/>
        <v>0</v>
      </c>
      <c r="AJ2671" s="2">
        <f t="shared" si="258"/>
        <v>88.07</v>
      </c>
      <c r="AK2671" s="5">
        <f t="shared" si="260"/>
        <v>0.4003181818181818</v>
      </c>
    </row>
    <row r="2672" spans="1:37" x14ac:dyDescent="0.2">
      <c r="A2672" s="2">
        <v>2025</v>
      </c>
      <c r="B2672" s="2">
        <v>9</v>
      </c>
      <c r="C2672" s="2" t="s">
        <v>2259</v>
      </c>
      <c r="O2672" s="2" t="s">
        <v>94</v>
      </c>
      <c r="P2672" s="2" t="s">
        <v>95</v>
      </c>
      <c r="Q2672" s="2" t="s">
        <v>96</v>
      </c>
      <c r="R2672" s="2">
        <v>1</v>
      </c>
      <c r="S2672" s="2">
        <v>1.1399999999999999</v>
      </c>
      <c r="T2672" s="2">
        <v>0.26219999999999999</v>
      </c>
      <c r="U2672" s="2">
        <v>1.4021999999999999</v>
      </c>
      <c r="V2672" s="2">
        <v>1.1399999999999999</v>
      </c>
      <c r="W2672" s="5">
        <f t="shared" si="259"/>
        <v>0</v>
      </c>
      <c r="Y2672" s="2" t="s">
        <v>3256</v>
      </c>
      <c r="Z2672" s="2" t="s">
        <v>97</v>
      </c>
      <c r="AA2672" s="2" t="s">
        <v>77</v>
      </c>
      <c r="AB2672" s="2" t="s">
        <v>94</v>
      </c>
      <c r="AE2672" s="2">
        <f t="shared" si="256"/>
        <v>0</v>
      </c>
      <c r="AI2672" s="2">
        <f t="shared" si="257"/>
        <v>0</v>
      </c>
      <c r="AJ2672" s="2">
        <f t="shared" si="258"/>
        <v>0</v>
      </c>
      <c r="AK2672" s="5">
        <f t="shared" si="260"/>
        <v>0</v>
      </c>
    </row>
    <row r="2673" spans="1:37" x14ac:dyDescent="0.2">
      <c r="A2673" s="2">
        <v>2025</v>
      </c>
      <c r="B2673" s="2">
        <v>9</v>
      </c>
      <c r="C2673" s="2" t="s">
        <v>1580</v>
      </c>
      <c r="O2673" s="2" t="s">
        <v>73</v>
      </c>
      <c r="P2673" s="2" t="s">
        <v>74</v>
      </c>
      <c r="Q2673" s="2" t="s">
        <v>75</v>
      </c>
      <c r="R2673" s="2">
        <v>1</v>
      </c>
      <c r="S2673" s="2">
        <v>210</v>
      </c>
      <c r="T2673" s="2">
        <v>48.3</v>
      </c>
      <c r="U2673" s="2">
        <v>258.3</v>
      </c>
      <c r="V2673" s="2">
        <v>117.453</v>
      </c>
      <c r="W2673" s="5">
        <f t="shared" si="259"/>
        <v>0.44069999999999998</v>
      </c>
      <c r="Y2673" s="2" t="s">
        <v>3256</v>
      </c>
      <c r="Z2673" s="2" t="s">
        <v>76</v>
      </c>
      <c r="AA2673" s="2" t="s">
        <v>77</v>
      </c>
      <c r="AB2673" s="2" t="s">
        <v>78</v>
      </c>
      <c r="AE2673" s="2">
        <f t="shared" si="256"/>
        <v>0</v>
      </c>
      <c r="AF2673" s="2">
        <v>117.453</v>
      </c>
      <c r="AG2673" s="2">
        <v>220</v>
      </c>
      <c r="AI2673" s="2">
        <f t="shared" si="257"/>
        <v>0</v>
      </c>
      <c r="AJ2673" s="2">
        <f t="shared" si="258"/>
        <v>92.546999999999997</v>
      </c>
      <c r="AK2673" s="5">
        <f t="shared" si="260"/>
        <v>0.44069999999999998</v>
      </c>
    </row>
    <row r="2674" spans="1:37" x14ac:dyDescent="0.2">
      <c r="A2674" s="2">
        <v>2025</v>
      </c>
      <c r="B2674" s="2">
        <v>9</v>
      </c>
      <c r="C2674" s="2" t="s">
        <v>1580</v>
      </c>
      <c r="O2674" s="2" t="s">
        <v>94</v>
      </c>
      <c r="P2674" s="2" t="s">
        <v>95</v>
      </c>
      <c r="Q2674" s="2" t="s">
        <v>96</v>
      </c>
      <c r="R2674" s="2">
        <v>1</v>
      </c>
      <c r="S2674" s="2">
        <v>1.1399999999999999</v>
      </c>
      <c r="T2674" s="2">
        <v>0.26219999999999999</v>
      </c>
      <c r="U2674" s="2">
        <v>1.4021999999999999</v>
      </c>
      <c r="V2674" s="2">
        <v>1.1399999999999999</v>
      </c>
      <c r="W2674" s="5">
        <f t="shared" si="259"/>
        <v>0</v>
      </c>
      <c r="Y2674" s="2" t="s">
        <v>3256</v>
      </c>
      <c r="Z2674" s="2" t="s">
        <v>97</v>
      </c>
      <c r="AA2674" s="2" t="s">
        <v>77</v>
      </c>
      <c r="AB2674" s="2" t="s">
        <v>94</v>
      </c>
      <c r="AE2674" s="2">
        <f t="shared" si="256"/>
        <v>0</v>
      </c>
      <c r="AI2674" s="2">
        <f t="shared" si="257"/>
        <v>0</v>
      </c>
      <c r="AJ2674" s="2">
        <f t="shared" si="258"/>
        <v>0</v>
      </c>
      <c r="AK2674" s="5">
        <f t="shared" si="260"/>
        <v>0</v>
      </c>
    </row>
    <row r="2675" spans="1:37" x14ac:dyDescent="0.2">
      <c r="A2675" s="2">
        <v>2025</v>
      </c>
      <c r="B2675" s="2">
        <v>9</v>
      </c>
      <c r="C2675" s="2" t="s">
        <v>455</v>
      </c>
      <c r="D2675" s="2" t="s">
        <v>109</v>
      </c>
      <c r="E2675" s="2" t="s">
        <v>39</v>
      </c>
      <c r="F2675" s="2">
        <v>506085686</v>
      </c>
      <c r="G2675" s="2" t="s">
        <v>40</v>
      </c>
      <c r="H2675" s="2" t="s">
        <v>456</v>
      </c>
      <c r="I2675" s="2" t="s">
        <v>457</v>
      </c>
      <c r="J2675" s="2">
        <v>917241919</v>
      </c>
      <c r="K2675" s="2" t="s">
        <v>400</v>
      </c>
      <c r="O2675" s="2" t="s">
        <v>115</v>
      </c>
      <c r="P2675" s="2" t="s">
        <v>518</v>
      </c>
      <c r="Q2675" s="2" t="s">
        <v>519</v>
      </c>
      <c r="R2675" s="2">
        <v>1</v>
      </c>
      <c r="S2675" s="2">
        <v>257.64999999999998</v>
      </c>
      <c r="T2675" s="2">
        <v>59.259500000000003</v>
      </c>
      <c r="U2675" s="2">
        <v>316.90949999999998</v>
      </c>
      <c r="W2675" s="5">
        <f t="shared" si="259"/>
        <v>1</v>
      </c>
      <c r="AE2675" s="2">
        <f t="shared" si="256"/>
        <v>0</v>
      </c>
      <c r="AI2675" s="2">
        <f t="shared" si="257"/>
        <v>0</v>
      </c>
      <c r="AJ2675" s="2">
        <f t="shared" si="258"/>
        <v>257.64999999999998</v>
      </c>
      <c r="AK2675" s="5">
        <f t="shared" si="260"/>
        <v>1</v>
      </c>
    </row>
    <row r="2676" spans="1:37" x14ac:dyDescent="0.2">
      <c r="A2676" s="2">
        <v>2025</v>
      </c>
      <c r="B2676" s="2">
        <v>9</v>
      </c>
      <c r="C2676" s="2" t="s">
        <v>455</v>
      </c>
      <c r="D2676" s="2" t="s">
        <v>109</v>
      </c>
      <c r="E2676" s="2" t="s">
        <v>39</v>
      </c>
      <c r="F2676" s="2">
        <v>506085686</v>
      </c>
      <c r="G2676" s="2" t="s">
        <v>40</v>
      </c>
      <c r="H2676" s="2" t="s">
        <v>456</v>
      </c>
      <c r="I2676" s="2" t="s">
        <v>457</v>
      </c>
      <c r="J2676" s="2">
        <v>917241919</v>
      </c>
      <c r="K2676" s="2" t="s">
        <v>400</v>
      </c>
      <c r="L2676" s="2" t="s">
        <v>40</v>
      </c>
      <c r="O2676" s="2" t="s">
        <v>1117</v>
      </c>
      <c r="P2676" s="2" t="s">
        <v>1118</v>
      </c>
      <c r="Q2676" s="2" t="s">
        <v>1119</v>
      </c>
      <c r="R2676" s="2">
        <v>1</v>
      </c>
      <c r="S2676" s="2">
        <v>2650</v>
      </c>
      <c r="T2676" s="2">
        <v>609.5</v>
      </c>
      <c r="U2676" s="2">
        <v>3259.5</v>
      </c>
      <c r="V2676" s="2">
        <v>2242.31</v>
      </c>
      <c r="W2676" s="5">
        <f t="shared" si="259"/>
        <v>0.15384528301886793</v>
      </c>
      <c r="Y2676" s="2" t="s">
        <v>105</v>
      </c>
      <c r="Z2676" s="2" t="s">
        <v>1120</v>
      </c>
      <c r="AA2676" s="2" t="s">
        <v>1121</v>
      </c>
      <c r="AB2676" s="2" t="s">
        <v>1117</v>
      </c>
      <c r="AE2676" s="2">
        <f t="shared" si="256"/>
        <v>0</v>
      </c>
      <c r="AF2676" s="2">
        <v>2242.31</v>
      </c>
      <c r="AI2676" s="2">
        <f t="shared" si="257"/>
        <v>0</v>
      </c>
      <c r="AJ2676" s="2">
        <f t="shared" si="258"/>
        <v>407.69000000000005</v>
      </c>
      <c r="AK2676" s="5">
        <f t="shared" si="260"/>
        <v>0.15384528301886793</v>
      </c>
    </row>
    <row r="2677" spans="1:37" x14ac:dyDescent="0.2">
      <c r="A2677" s="2">
        <v>2025</v>
      </c>
      <c r="B2677" s="2">
        <v>9</v>
      </c>
      <c r="C2677" s="2" t="s">
        <v>455</v>
      </c>
      <c r="D2677" s="2" t="s">
        <v>109</v>
      </c>
      <c r="E2677" s="2" t="s">
        <v>39</v>
      </c>
      <c r="F2677" s="2">
        <v>506085686</v>
      </c>
      <c r="G2677" s="2" t="s">
        <v>40</v>
      </c>
      <c r="H2677" s="2" t="s">
        <v>456</v>
      </c>
      <c r="I2677" s="2" t="s">
        <v>457</v>
      </c>
      <c r="J2677" s="2">
        <v>917241919</v>
      </c>
      <c r="K2677" s="2" t="s">
        <v>400</v>
      </c>
      <c r="L2677" s="2" t="s">
        <v>40</v>
      </c>
      <c r="O2677" s="2" t="s">
        <v>188</v>
      </c>
      <c r="P2677" s="2" t="s">
        <v>189</v>
      </c>
      <c r="Q2677" s="2" t="s">
        <v>190</v>
      </c>
      <c r="R2677" s="2">
        <v>2</v>
      </c>
      <c r="S2677" s="2">
        <v>221.25</v>
      </c>
      <c r="T2677" s="2">
        <v>50.887500000000003</v>
      </c>
      <c r="U2677" s="2">
        <v>272.13749999999999</v>
      </c>
      <c r="W2677" s="5">
        <f t="shared" si="259"/>
        <v>1</v>
      </c>
      <c r="Y2677" s="2" t="s">
        <v>118</v>
      </c>
      <c r="Z2677" s="2" t="s">
        <v>191</v>
      </c>
      <c r="AE2677" s="2">
        <f t="shared" si="256"/>
        <v>0</v>
      </c>
      <c r="AI2677" s="2">
        <f t="shared" si="257"/>
        <v>0</v>
      </c>
      <c r="AJ2677" s="2">
        <f t="shared" si="258"/>
        <v>221.25</v>
      </c>
      <c r="AK2677" s="5">
        <f t="shared" si="260"/>
        <v>1</v>
      </c>
    </row>
    <row r="2678" spans="1:37" x14ac:dyDescent="0.2">
      <c r="A2678" s="2">
        <v>2025</v>
      </c>
      <c r="B2678" s="2">
        <v>9</v>
      </c>
      <c r="C2678" s="2" t="s">
        <v>455</v>
      </c>
      <c r="D2678" s="2" t="s">
        <v>109</v>
      </c>
      <c r="E2678" s="2" t="s">
        <v>39</v>
      </c>
      <c r="F2678" s="2">
        <v>506085686</v>
      </c>
      <c r="G2678" s="2" t="s">
        <v>40</v>
      </c>
      <c r="H2678" s="2" t="s">
        <v>456</v>
      </c>
      <c r="I2678" s="2" t="s">
        <v>457</v>
      </c>
      <c r="J2678" s="2">
        <v>917241919</v>
      </c>
      <c r="K2678" s="2" t="s">
        <v>400</v>
      </c>
      <c r="L2678" s="2" t="s">
        <v>40</v>
      </c>
      <c r="O2678" s="2" t="s">
        <v>188</v>
      </c>
      <c r="P2678" s="2" t="s">
        <v>192</v>
      </c>
      <c r="Q2678" s="2" t="s">
        <v>191</v>
      </c>
      <c r="R2678" s="2">
        <v>4.5</v>
      </c>
      <c r="S2678" s="2">
        <v>202.5</v>
      </c>
      <c r="T2678" s="2">
        <v>46.575000000000003</v>
      </c>
      <c r="U2678" s="2">
        <v>249.07499999999999</v>
      </c>
      <c r="V2678" s="2">
        <f>S2678*50%</f>
        <v>101.25</v>
      </c>
      <c r="W2678" s="5">
        <f t="shared" si="259"/>
        <v>0.5</v>
      </c>
      <c r="Y2678" s="2" t="s">
        <v>118</v>
      </c>
      <c r="Z2678" s="2" t="s">
        <v>191</v>
      </c>
      <c r="AE2678" s="2">
        <f t="shared" si="256"/>
        <v>0</v>
      </c>
      <c r="AI2678" s="2">
        <f t="shared" si="257"/>
        <v>0</v>
      </c>
      <c r="AJ2678" s="2">
        <f t="shared" si="258"/>
        <v>101.25</v>
      </c>
      <c r="AK2678" s="5">
        <f t="shared" si="260"/>
        <v>0.5</v>
      </c>
    </row>
    <row r="2679" spans="1:37" x14ac:dyDescent="0.2">
      <c r="A2679" s="2">
        <v>2025</v>
      </c>
      <c r="B2679" s="2">
        <v>9</v>
      </c>
      <c r="C2679" s="2" t="s">
        <v>455</v>
      </c>
      <c r="D2679" s="2" t="s">
        <v>109</v>
      </c>
      <c r="E2679" s="2" t="s">
        <v>39</v>
      </c>
      <c r="F2679" s="2">
        <v>506085686</v>
      </c>
      <c r="G2679" s="2" t="s">
        <v>40</v>
      </c>
      <c r="H2679" s="2" t="s">
        <v>456</v>
      </c>
      <c r="I2679" s="2" t="s">
        <v>457</v>
      </c>
      <c r="J2679" s="2">
        <v>917241919</v>
      </c>
      <c r="K2679" s="2" t="s">
        <v>400</v>
      </c>
      <c r="O2679" s="2" t="s">
        <v>40</v>
      </c>
      <c r="P2679" s="2" t="s">
        <v>364</v>
      </c>
      <c r="Q2679" s="2" t="s">
        <v>365</v>
      </c>
      <c r="R2679" s="2">
        <v>1</v>
      </c>
      <c r="S2679" s="2">
        <v>75</v>
      </c>
      <c r="T2679" s="2">
        <v>17.25</v>
      </c>
      <c r="U2679" s="2">
        <v>92.25</v>
      </c>
      <c r="W2679" s="5">
        <f t="shared" si="259"/>
        <v>1</v>
      </c>
      <c r="Y2679" s="2" t="s">
        <v>120</v>
      </c>
      <c r="AE2679" s="2">
        <f t="shared" si="256"/>
        <v>0</v>
      </c>
      <c r="AI2679" s="2">
        <f t="shared" si="257"/>
        <v>0</v>
      </c>
      <c r="AJ2679" s="2">
        <f t="shared" si="258"/>
        <v>75</v>
      </c>
      <c r="AK2679" s="5">
        <f t="shared" si="260"/>
        <v>1</v>
      </c>
    </row>
    <row r="2680" spans="1:37" x14ac:dyDescent="0.2">
      <c r="A2680" s="2">
        <v>2025</v>
      </c>
      <c r="B2680" s="2">
        <v>9</v>
      </c>
      <c r="C2680" s="2" t="s">
        <v>1581</v>
      </c>
      <c r="L2680" s="2" t="s">
        <v>40</v>
      </c>
      <c r="O2680" s="2" t="s">
        <v>188</v>
      </c>
      <c r="P2680" s="2" t="s">
        <v>192</v>
      </c>
      <c r="Q2680" s="2" t="s">
        <v>191</v>
      </c>
      <c r="R2680" s="2">
        <v>1</v>
      </c>
      <c r="S2680" s="2">
        <v>50</v>
      </c>
      <c r="T2680" s="2">
        <v>11.5</v>
      </c>
      <c r="U2680" s="2">
        <v>61.5</v>
      </c>
      <c r="V2680" s="2">
        <f>S2680*50%</f>
        <v>25</v>
      </c>
      <c r="W2680" s="5">
        <f t="shared" si="259"/>
        <v>0.5</v>
      </c>
      <c r="Y2680" s="2" t="s">
        <v>118</v>
      </c>
      <c r="Z2680" s="2" t="s">
        <v>191</v>
      </c>
      <c r="AE2680" s="2">
        <f t="shared" si="256"/>
        <v>0</v>
      </c>
      <c r="AI2680" s="2">
        <f t="shared" si="257"/>
        <v>0</v>
      </c>
      <c r="AJ2680" s="2">
        <f t="shared" si="258"/>
        <v>25</v>
      </c>
      <c r="AK2680" s="5">
        <f t="shared" si="260"/>
        <v>0.5</v>
      </c>
    </row>
    <row r="2681" spans="1:37" x14ac:dyDescent="0.2">
      <c r="A2681" s="2">
        <v>2025</v>
      </c>
      <c r="B2681" s="2">
        <v>9</v>
      </c>
      <c r="C2681" s="2" t="s">
        <v>1581</v>
      </c>
      <c r="O2681" s="2" t="s">
        <v>40</v>
      </c>
      <c r="P2681" s="2" t="s">
        <v>364</v>
      </c>
      <c r="Q2681" s="2" t="s">
        <v>365</v>
      </c>
      <c r="R2681" s="2">
        <v>1</v>
      </c>
      <c r="S2681" s="2">
        <v>178.91</v>
      </c>
      <c r="T2681" s="2">
        <v>41.149299999999997</v>
      </c>
      <c r="U2681" s="2">
        <v>220.05930000000001</v>
      </c>
      <c r="W2681" s="5">
        <f t="shared" si="259"/>
        <v>1</v>
      </c>
      <c r="Y2681" s="2" t="s">
        <v>120</v>
      </c>
      <c r="AE2681" s="2">
        <f t="shared" si="256"/>
        <v>0</v>
      </c>
      <c r="AI2681" s="2">
        <f t="shared" si="257"/>
        <v>0</v>
      </c>
      <c r="AJ2681" s="2">
        <f t="shared" si="258"/>
        <v>178.91</v>
      </c>
      <c r="AK2681" s="5">
        <f t="shared" si="260"/>
        <v>1</v>
      </c>
    </row>
    <row r="2682" spans="1:37" x14ac:dyDescent="0.2">
      <c r="A2682" s="2">
        <v>2025</v>
      </c>
      <c r="B2682" s="2">
        <v>9</v>
      </c>
      <c r="C2682" s="2" t="s">
        <v>1035</v>
      </c>
      <c r="D2682" s="2" t="s">
        <v>38</v>
      </c>
      <c r="E2682" s="2" t="s">
        <v>39</v>
      </c>
      <c r="F2682" s="2">
        <v>514229829</v>
      </c>
      <c r="G2682" s="2" t="s">
        <v>41</v>
      </c>
      <c r="H2682" s="2" t="s">
        <v>1036</v>
      </c>
      <c r="I2682" s="2" t="s">
        <v>1037</v>
      </c>
      <c r="J2682" s="2">
        <v>963046242</v>
      </c>
      <c r="K2682" s="2" t="s">
        <v>178</v>
      </c>
      <c r="O2682" s="2" t="s">
        <v>283</v>
      </c>
      <c r="P2682" s="2" t="s">
        <v>438</v>
      </c>
      <c r="Q2682" s="2" t="s">
        <v>439</v>
      </c>
      <c r="R2682" s="2">
        <v>1</v>
      </c>
      <c r="S2682" s="2">
        <v>695</v>
      </c>
      <c r="T2682" s="2">
        <v>159.85</v>
      </c>
      <c r="U2682" s="2">
        <v>854.85</v>
      </c>
      <c r="W2682" s="5">
        <f t="shared" si="259"/>
        <v>1</v>
      </c>
      <c r="Y2682" s="2" t="s">
        <v>105</v>
      </c>
      <c r="AE2682" s="2">
        <f t="shared" si="256"/>
        <v>0</v>
      </c>
      <c r="AI2682" s="2">
        <f t="shared" si="257"/>
        <v>0</v>
      </c>
      <c r="AJ2682" s="2">
        <f t="shared" si="258"/>
        <v>695</v>
      </c>
      <c r="AK2682" s="5">
        <f t="shared" si="260"/>
        <v>1</v>
      </c>
    </row>
    <row r="2683" spans="1:37" x14ac:dyDescent="0.2">
      <c r="A2683" s="2">
        <v>2025</v>
      </c>
      <c r="B2683" s="2">
        <v>9</v>
      </c>
      <c r="C2683" s="2" t="s">
        <v>839</v>
      </c>
      <c r="O2683" s="2" t="s">
        <v>115</v>
      </c>
      <c r="P2683" s="2" t="s">
        <v>1342</v>
      </c>
      <c r="Q2683" s="2" t="s">
        <v>1343</v>
      </c>
      <c r="R2683" s="2">
        <v>1</v>
      </c>
      <c r="S2683" s="2">
        <v>65.510000000000005</v>
      </c>
      <c r="T2683" s="2">
        <v>15.067299999999999</v>
      </c>
      <c r="U2683" s="2">
        <v>80.577300000000008</v>
      </c>
      <c r="W2683" s="5">
        <f t="shared" si="259"/>
        <v>1</v>
      </c>
      <c r="AE2683" s="2">
        <f t="shared" si="256"/>
        <v>0</v>
      </c>
      <c r="AI2683" s="2">
        <f t="shared" si="257"/>
        <v>0</v>
      </c>
      <c r="AJ2683" s="2">
        <f t="shared" si="258"/>
        <v>65.510000000000005</v>
      </c>
      <c r="AK2683" s="5">
        <f t="shared" si="260"/>
        <v>1</v>
      </c>
    </row>
    <row r="2684" spans="1:37" x14ac:dyDescent="0.2">
      <c r="A2684" s="2">
        <v>2025</v>
      </c>
      <c r="B2684" s="2">
        <v>9</v>
      </c>
      <c r="C2684" s="2" t="s">
        <v>839</v>
      </c>
      <c r="L2684" s="2" t="s">
        <v>40</v>
      </c>
      <c r="O2684" s="2" t="s">
        <v>188</v>
      </c>
      <c r="P2684" s="2" t="s">
        <v>189</v>
      </c>
      <c r="Q2684" s="2" t="s">
        <v>190</v>
      </c>
      <c r="R2684" s="2">
        <v>1</v>
      </c>
      <c r="S2684" s="2">
        <v>71</v>
      </c>
      <c r="T2684" s="2">
        <v>16.329999999999998</v>
      </c>
      <c r="U2684" s="2">
        <v>87.33</v>
      </c>
      <c r="W2684" s="5">
        <f t="shared" si="259"/>
        <v>1</v>
      </c>
      <c r="Y2684" s="2" t="s">
        <v>118</v>
      </c>
      <c r="Z2684" s="2" t="s">
        <v>191</v>
      </c>
      <c r="AE2684" s="2">
        <f t="shared" si="256"/>
        <v>0</v>
      </c>
      <c r="AI2684" s="2">
        <f t="shared" si="257"/>
        <v>0</v>
      </c>
      <c r="AJ2684" s="2">
        <f t="shared" si="258"/>
        <v>71</v>
      </c>
      <c r="AK2684" s="5">
        <f t="shared" si="260"/>
        <v>1</v>
      </c>
    </row>
    <row r="2685" spans="1:37" x14ac:dyDescent="0.2">
      <c r="A2685" s="2">
        <v>2025</v>
      </c>
      <c r="B2685" s="2">
        <v>9</v>
      </c>
      <c r="C2685" s="2" t="s">
        <v>839</v>
      </c>
      <c r="L2685" s="2" t="s">
        <v>40</v>
      </c>
      <c r="O2685" s="2" t="s">
        <v>188</v>
      </c>
      <c r="P2685" s="2" t="s">
        <v>192</v>
      </c>
      <c r="Q2685" s="2" t="s">
        <v>191</v>
      </c>
      <c r="R2685" s="2">
        <v>1</v>
      </c>
      <c r="S2685" s="2">
        <v>50</v>
      </c>
      <c r="T2685" s="2">
        <v>11.5</v>
      </c>
      <c r="U2685" s="2">
        <v>61.5</v>
      </c>
      <c r="V2685" s="2">
        <f>S2685*50%</f>
        <v>25</v>
      </c>
      <c r="W2685" s="5">
        <f t="shared" si="259"/>
        <v>0.5</v>
      </c>
      <c r="Y2685" s="2" t="s">
        <v>118</v>
      </c>
      <c r="Z2685" s="2" t="s">
        <v>191</v>
      </c>
      <c r="AE2685" s="2">
        <f t="shared" si="256"/>
        <v>0</v>
      </c>
      <c r="AI2685" s="2">
        <f t="shared" si="257"/>
        <v>0</v>
      </c>
      <c r="AJ2685" s="2">
        <f t="shared" si="258"/>
        <v>25</v>
      </c>
      <c r="AK2685" s="5">
        <f t="shared" si="260"/>
        <v>0.5</v>
      </c>
    </row>
    <row r="2686" spans="1:37" x14ac:dyDescent="0.2">
      <c r="A2686" s="2">
        <v>2025</v>
      </c>
      <c r="B2686" s="2">
        <v>9</v>
      </c>
      <c r="C2686" s="2" t="s">
        <v>839</v>
      </c>
      <c r="O2686" s="2" t="s">
        <v>40</v>
      </c>
      <c r="P2686" s="2" t="s">
        <v>364</v>
      </c>
      <c r="Q2686" s="2" t="s">
        <v>365</v>
      </c>
      <c r="R2686" s="2">
        <v>1</v>
      </c>
      <c r="S2686" s="2">
        <v>99.75</v>
      </c>
      <c r="T2686" s="2">
        <v>22.942499999999999</v>
      </c>
      <c r="U2686" s="2">
        <v>122.6925</v>
      </c>
      <c r="W2686" s="5">
        <f t="shared" si="259"/>
        <v>1</v>
      </c>
      <c r="Y2686" s="2" t="s">
        <v>120</v>
      </c>
      <c r="AE2686" s="2">
        <f t="shared" si="256"/>
        <v>0</v>
      </c>
      <c r="AI2686" s="2">
        <f t="shared" si="257"/>
        <v>0</v>
      </c>
      <c r="AJ2686" s="2">
        <f t="shared" si="258"/>
        <v>99.75</v>
      </c>
      <c r="AK2686" s="5">
        <f t="shared" si="260"/>
        <v>1</v>
      </c>
    </row>
    <row r="2687" spans="1:37" x14ac:dyDescent="0.2">
      <c r="A2687" s="2">
        <v>2025</v>
      </c>
      <c r="B2687" s="2">
        <v>9</v>
      </c>
      <c r="C2687" s="2" t="s">
        <v>2260</v>
      </c>
      <c r="O2687" s="2" t="s">
        <v>115</v>
      </c>
      <c r="P2687" s="2" t="s">
        <v>829</v>
      </c>
      <c r="Q2687" s="2" t="s">
        <v>830</v>
      </c>
      <c r="R2687" s="2">
        <v>1</v>
      </c>
      <c r="S2687" s="2">
        <v>234.11</v>
      </c>
      <c r="T2687" s="2">
        <v>53.845300000000009</v>
      </c>
      <c r="U2687" s="2">
        <v>287.95530000000002</v>
      </c>
      <c r="W2687" s="5">
        <f t="shared" si="259"/>
        <v>1</v>
      </c>
      <c r="AE2687" s="2">
        <f t="shared" si="256"/>
        <v>0</v>
      </c>
      <c r="AI2687" s="2">
        <f t="shared" si="257"/>
        <v>0</v>
      </c>
      <c r="AJ2687" s="2">
        <f t="shared" si="258"/>
        <v>234.11</v>
      </c>
      <c r="AK2687" s="5">
        <f t="shared" si="260"/>
        <v>1</v>
      </c>
    </row>
    <row r="2688" spans="1:37" x14ac:dyDescent="0.2">
      <c r="A2688" s="2">
        <v>2025</v>
      </c>
      <c r="B2688" s="2">
        <v>9</v>
      </c>
      <c r="C2688" s="2" t="s">
        <v>462</v>
      </c>
      <c r="D2688" s="2" t="s">
        <v>109</v>
      </c>
      <c r="E2688" s="2" t="s">
        <v>39</v>
      </c>
      <c r="F2688" s="2">
        <v>507016173</v>
      </c>
      <c r="G2688" s="2" t="s">
        <v>110</v>
      </c>
      <c r="H2688" s="2" t="s">
        <v>463</v>
      </c>
      <c r="I2688" s="2" t="s">
        <v>464</v>
      </c>
      <c r="K2688" s="2" t="s">
        <v>465</v>
      </c>
      <c r="O2688" s="2" t="s">
        <v>283</v>
      </c>
      <c r="P2688" s="2" t="s">
        <v>401</v>
      </c>
      <c r="Q2688" s="2" t="s">
        <v>402</v>
      </c>
      <c r="R2688" s="2">
        <v>8</v>
      </c>
      <c r="S2688" s="2">
        <v>232</v>
      </c>
      <c r="T2688" s="2">
        <v>53.36</v>
      </c>
      <c r="U2688" s="2">
        <v>285.36</v>
      </c>
      <c r="W2688" s="5">
        <f t="shared" si="259"/>
        <v>1</v>
      </c>
      <c r="Y2688" s="2" t="s">
        <v>3256</v>
      </c>
      <c r="Z2688" s="2" t="s">
        <v>46</v>
      </c>
      <c r="AA2688" s="2" t="s">
        <v>61</v>
      </c>
      <c r="AB2688" s="2" t="s">
        <v>403</v>
      </c>
      <c r="AE2688" s="2">
        <f t="shared" si="256"/>
        <v>0</v>
      </c>
      <c r="AI2688" s="2">
        <f t="shared" si="257"/>
        <v>0</v>
      </c>
      <c r="AJ2688" s="2">
        <f t="shared" si="258"/>
        <v>232</v>
      </c>
      <c r="AK2688" s="5">
        <f t="shared" si="260"/>
        <v>1</v>
      </c>
    </row>
    <row r="2689" spans="1:37" x14ac:dyDescent="0.2">
      <c r="A2689" s="2">
        <v>2025</v>
      </c>
      <c r="B2689" s="2">
        <v>9</v>
      </c>
      <c r="C2689" s="2" t="s">
        <v>462</v>
      </c>
      <c r="D2689" s="2" t="s">
        <v>109</v>
      </c>
      <c r="E2689" s="2" t="s">
        <v>39</v>
      </c>
      <c r="F2689" s="2">
        <v>507016173</v>
      </c>
      <c r="G2689" s="2" t="s">
        <v>110</v>
      </c>
      <c r="H2689" s="2" t="s">
        <v>463</v>
      </c>
      <c r="I2689" s="2" t="s">
        <v>464</v>
      </c>
      <c r="K2689" s="2" t="s">
        <v>465</v>
      </c>
      <c r="O2689" s="2" t="s">
        <v>43</v>
      </c>
      <c r="P2689" s="2" t="s">
        <v>239</v>
      </c>
      <c r="Q2689" s="2" t="s">
        <v>240</v>
      </c>
      <c r="R2689" s="2">
        <v>1</v>
      </c>
      <c r="S2689" s="2">
        <v>28.8</v>
      </c>
      <c r="T2689" s="2">
        <v>6.6240000000000014</v>
      </c>
      <c r="U2689" s="2">
        <v>35.423999999999999</v>
      </c>
      <c r="W2689" s="5">
        <f t="shared" si="259"/>
        <v>1</v>
      </c>
      <c r="Y2689" s="2" t="s">
        <v>3256</v>
      </c>
      <c r="Z2689" s="2" t="s">
        <v>46</v>
      </c>
      <c r="AA2689" s="2" t="s">
        <v>57</v>
      </c>
      <c r="AB2689" s="2" t="s">
        <v>58</v>
      </c>
      <c r="AE2689" s="2">
        <f t="shared" si="256"/>
        <v>0</v>
      </c>
      <c r="AI2689" s="2">
        <f t="shared" si="257"/>
        <v>0</v>
      </c>
      <c r="AJ2689" s="2">
        <f t="shared" si="258"/>
        <v>28.8</v>
      </c>
      <c r="AK2689" s="5">
        <f t="shared" si="260"/>
        <v>1</v>
      </c>
    </row>
    <row r="2690" spans="1:37" x14ac:dyDescent="0.2">
      <c r="A2690" s="2">
        <v>2025</v>
      </c>
      <c r="B2690" s="2">
        <v>9</v>
      </c>
      <c r="C2690" s="2" t="s">
        <v>462</v>
      </c>
      <c r="D2690" s="2" t="s">
        <v>109</v>
      </c>
      <c r="E2690" s="2" t="s">
        <v>39</v>
      </c>
      <c r="F2690" s="2">
        <v>507016173</v>
      </c>
      <c r="G2690" s="2" t="s">
        <v>110</v>
      </c>
      <c r="H2690" s="2" t="s">
        <v>463</v>
      </c>
      <c r="I2690" s="2" t="s">
        <v>464</v>
      </c>
      <c r="K2690" s="2" t="s">
        <v>465</v>
      </c>
      <c r="O2690" s="2" t="s">
        <v>43</v>
      </c>
      <c r="P2690" s="2" t="s">
        <v>241</v>
      </c>
      <c r="Q2690" s="2" t="s">
        <v>242</v>
      </c>
      <c r="R2690" s="2">
        <v>1</v>
      </c>
      <c r="S2690" s="2">
        <v>24</v>
      </c>
      <c r="T2690" s="2">
        <v>5.52</v>
      </c>
      <c r="U2690" s="2">
        <v>29.52</v>
      </c>
      <c r="W2690" s="5">
        <f t="shared" si="259"/>
        <v>1</v>
      </c>
      <c r="Y2690" s="2" t="s">
        <v>3256</v>
      </c>
      <c r="Z2690" s="2" t="s">
        <v>46</v>
      </c>
      <c r="AA2690" s="2" t="s">
        <v>57</v>
      </c>
      <c r="AB2690" s="2" t="s">
        <v>58</v>
      </c>
      <c r="AE2690" s="2">
        <f t="shared" si="256"/>
        <v>0</v>
      </c>
      <c r="AI2690" s="2">
        <f t="shared" si="257"/>
        <v>0</v>
      </c>
      <c r="AJ2690" s="2">
        <f t="shared" si="258"/>
        <v>24</v>
      </c>
      <c r="AK2690" s="5">
        <f t="shared" si="260"/>
        <v>1</v>
      </c>
    </row>
    <row r="2691" spans="1:37" x14ac:dyDescent="0.2">
      <c r="A2691" s="2">
        <v>2025</v>
      </c>
      <c r="B2691" s="2">
        <v>9</v>
      </c>
      <c r="C2691" s="2" t="s">
        <v>462</v>
      </c>
      <c r="D2691" s="2" t="s">
        <v>109</v>
      </c>
      <c r="E2691" s="2" t="s">
        <v>39</v>
      </c>
      <c r="F2691" s="2">
        <v>507016173</v>
      </c>
      <c r="G2691" s="2" t="s">
        <v>110</v>
      </c>
      <c r="H2691" s="2" t="s">
        <v>463</v>
      </c>
      <c r="I2691" s="2" t="s">
        <v>464</v>
      </c>
      <c r="K2691" s="2" t="s">
        <v>465</v>
      </c>
      <c r="O2691" s="2" t="s">
        <v>43</v>
      </c>
      <c r="P2691" s="2" t="s">
        <v>245</v>
      </c>
      <c r="Q2691" s="2" t="s">
        <v>246</v>
      </c>
      <c r="R2691" s="2">
        <v>1</v>
      </c>
      <c r="S2691" s="2">
        <v>16.8</v>
      </c>
      <c r="T2691" s="2">
        <v>3.8639999999999999</v>
      </c>
      <c r="U2691" s="2">
        <v>20.664000000000001</v>
      </c>
      <c r="W2691" s="5">
        <f t="shared" si="259"/>
        <v>1</v>
      </c>
      <c r="Y2691" s="2" t="s">
        <v>3256</v>
      </c>
      <c r="Z2691" s="2" t="s">
        <v>46</v>
      </c>
      <c r="AA2691" s="2" t="s">
        <v>57</v>
      </c>
      <c r="AB2691" s="2" t="s">
        <v>58</v>
      </c>
      <c r="AE2691" s="2">
        <f t="shared" ref="AE2691:AE2754" si="261">AI2691</f>
        <v>0</v>
      </c>
      <c r="AI2691" s="2">
        <f t="shared" ref="AI2691:AI2754" si="262">AH2691*S2691</f>
        <v>0</v>
      </c>
      <c r="AJ2691" s="2">
        <f t="shared" ref="AJ2691:AJ2754" si="263">S2691-V2691</f>
        <v>16.8</v>
      </c>
      <c r="AK2691" s="5">
        <f t="shared" si="260"/>
        <v>1</v>
      </c>
    </row>
    <row r="2692" spans="1:37" x14ac:dyDescent="0.2">
      <c r="A2692" s="2">
        <v>2025</v>
      </c>
      <c r="B2692" s="2">
        <v>9</v>
      </c>
      <c r="C2692" s="2" t="s">
        <v>462</v>
      </c>
      <c r="D2692" s="2" t="s">
        <v>109</v>
      </c>
      <c r="E2692" s="2" t="s">
        <v>39</v>
      </c>
      <c r="F2692" s="2">
        <v>507016173</v>
      </c>
      <c r="G2692" s="2" t="s">
        <v>110</v>
      </c>
      <c r="H2692" s="2" t="s">
        <v>463</v>
      </c>
      <c r="I2692" s="2" t="s">
        <v>464</v>
      </c>
      <c r="K2692" s="2" t="s">
        <v>465</v>
      </c>
      <c r="O2692" s="2" t="s">
        <v>43</v>
      </c>
      <c r="P2692" s="2" t="s">
        <v>62</v>
      </c>
      <c r="Q2692" s="2" t="s">
        <v>63</v>
      </c>
      <c r="R2692" s="2">
        <v>1000</v>
      </c>
      <c r="S2692" s="2">
        <v>110</v>
      </c>
      <c r="T2692" s="2">
        <v>25.3</v>
      </c>
      <c r="U2692" s="2">
        <v>135.30000000000001</v>
      </c>
      <c r="V2692" s="2">
        <f>0.082*R2692</f>
        <v>82</v>
      </c>
      <c r="W2692" s="5">
        <f t="shared" si="259"/>
        <v>0.25454545454545452</v>
      </c>
      <c r="Y2692" s="2" t="s">
        <v>3256</v>
      </c>
      <c r="Z2692" s="2" t="s">
        <v>46</v>
      </c>
      <c r="AA2692" s="2" t="s">
        <v>61</v>
      </c>
      <c r="AB2692" s="2" t="s">
        <v>58</v>
      </c>
      <c r="AE2692" s="2">
        <f t="shared" si="261"/>
        <v>0</v>
      </c>
      <c r="AF2692" s="2">
        <v>8.1999999999999993</v>
      </c>
      <c r="AG2692" s="2">
        <v>13</v>
      </c>
      <c r="AI2692" s="2">
        <f t="shared" si="262"/>
        <v>0</v>
      </c>
      <c r="AJ2692" s="2">
        <f t="shared" si="263"/>
        <v>28</v>
      </c>
      <c r="AK2692" s="5">
        <f t="shared" si="260"/>
        <v>0.25454545454545452</v>
      </c>
    </row>
    <row r="2693" spans="1:37" x14ac:dyDescent="0.2">
      <c r="A2693" s="2">
        <v>2025</v>
      </c>
      <c r="B2693" s="2">
        <v>9</v>
      </c>
      <c r="C2693" s="2" t="s">
        <v>462</v>
      </c>
      <c r="D2693" s="2" t="s">
        <v>109</v>
      </c>
      <c r="E2693" s="2" t="s">
        <v>39</v>
      </c>
      <c r="F2693" s="2">
        <v>507016173</v>
      </c>
      <c r="G2693" s="2" t="s">
        <v>110</v>
      </c>
      <c r="H2693" s="2" t="s">
        <v>463</v>
      </c>
      <c r="I2693" s="2" t="s">
        <v>464</v>
      </c>
      <c r="K2693" s="2" t="s">
        <v>465</v>
      </c>
      <c r="O2693" s="2" t="s">
        <v>43</v>
      </c>
      <c r="P2693" s="2" t="s">
        <v>507</v>
      </c>
      <c r="Q2693" s="2" t="s">
        <v>508</v>
      </c>
      <c r="R2693" s="2">
        <v>20</v>
      </c>
      <c r="S2693" s="2">
        <v>18</v>
      </c>
      <c r="T2693" s="2">
        <v>4.1400000000000006</v>
      </c>
      <c r="U2693" s="2">
        <v>22.14</v>
      </c>
      <c r="W2693" s="5">
        <f t="shared" si="259"/>
        <v>1</v>
      </c>
      <c r="Y2693" s="2" t="s">
        <v>3256</v>
      </c>
      <c r="Z2693" s="2" t="s">
        <v>46</v>
      </c>
      <c r="AA2693" s="2" t="s">
        <v>61</v>
      </c>
      <c r="AB2693" s="2" t="s">
        <v>58</v>
      </c>
      <c r="AE2693" s="2">
        <f t="shared" si="261"/>
        <v>0</v>
      </c>
      <c r="AI2693" s="2">
        <f t="shared" si="262"/>
        <v>0</v>
      </c>
      <c r="AJ2693" s="2">
        <f t="shared" si="263"/>
        <v>18</v>
      </c>
      <c r="AK2693" s="5">
        <f t="shared" si="260"/>
        <v>1</v>
      </c>
    </row>
    <row r="2694" spans="1:37" x14ac:dyDescent="0.2">
      <c r="A2694" s="2">
        <v>2025</v>
      </c>
      <c r="B2694" s="2">
        <v>9</v>
      </c>
      <c r="C2694" s="2" t="s">
        <v>1589</v>
      </c>
      <c r="O2694" s="2" t="s">
        <v>283</v>
      </c>
      <c r="P2694" s="2" t="s">
        <v>2261</v>
      </c>
      <c r="Q2694" s="2" t="s">
        <v>2262</v>
      </c>
      <c r="R2694" s="2">
        <v>1</v>
      </c>
      <c r="S2694" s="2">
        <v>160</v>
      </c>
      <c r="T2694" s="2">
        <v>36.799999999999997</v>
      </c>
      <c r="U2694" s="2">
        <v>196.8</v>
      </c>
      <c r="W2694" s="5">
        <f t="shared" si="259"/>
        <v>1</v>
      </c>
      <c r="AE2694" s="2">
        <f t="shared" si="261"/>
        <v>0</v>
      </c>
      <c r="AI2694" s="2">
        <f t="shared" si="262"/>
        <v>0</v>
      </c>
      <c r="AJ2694" s="2">
        <f t="shared" si="263"/>
        <v>160</v>
      </c>
      <c r="AK2694" s="5">
        <f t="shared" si="260"/>
        <v>1</v>
      </c>
    </row>
    <row r="2695" spans="1:37" x14ac:dyDescent="0.2">
      <c r="A2695" s="2">
        <v>2025</v>
      </c>
      <c r="B2695" s="2">
        <v>9</v>
      </c>
      <c r="C2695" s="2" t="s">
        <v>473</v>
      </c>
      <c r="D2695" s="2" t="s">
        <v>38</v>
      </c>
      <c r="E2695" s="2" t="s">
        <v>474</v>
      </c>
      <c r="F2695" s="2">
        <v>513626930</v>
      </c>
      <c r="G2695" s="2" t="s">
        <v>40</v>
      </c>
      <c r="H2695" s="2" t="s">
        <v>340</v>
      </c>
      <c r="I2695" s="2" t="s">
        <v>475</v>
      </c>
      <c r="K2695" s="2" t="s">
        <v>340</v>
      </c>
      <c r="L2695" s="2" t="s">
        <v>40</v>
      </c>
      <c r="O2695" s="2" t="s">
        <v>115</v>
      </c>
      <c r="P2695" s="2" t="s">
        <v>416</v>
      </c>
      <c r="Q2695" s="2" t="s">
        <v>417</v>
      </c>
      <c r="R2695" s="2">
        <v>1</v>
      </c>
      <c r="S2695" s="2">
        <v>15000</v>
      </c>
      <c r="T2695" s="2">
        <v>3450</v>
      </c>
      <c r="U2695" s="2">
        <v>18450</v>
      </c>
      <c r="V2695" s="2">
        <v>10669.4</v>
      </c>
      <c r="W2695" s="5">
        <f t="shared" si="259"/>
        <v>0.28870666666666667</v>
      </c>
      <c r="Y2695" s="2" t="s">
        <v>105</v>
      </c>
      <c r="Z2695" s="2" t="s">
        <v>418</v>
      </c>
      <c r="AA2695" s="2" t="s">
        <v>152</v>
      </c>
      <c r="AB2695" s="2" t="s">
        <v>115</v>
      </c>
      <c r="AE2695" s="2">
        <f t="shared" si="261"/>
        <v>0</v>
      </c>
      <c r="AI2695" s="2">
        <f t="shared" si="262"/>
        <v>0</v>
      </c>
      <c r="AJ2695" s="2">
        <f t="shared" si="263"/>
        <v>4330.6000000000004</v>
      </c>
      <c r="AK2695" s="5">
        <f t="shared" si="260"/>
        <v>0.28870666666666667</v>
      </c>
    </row>
    <row r="2696" spans="1:37" x14ac:dyDescent="0.2">
      <c r="A2696" s="2">
        <v>2025</v>
      </c>
      <c r="B2696" s="2">
        <v>9</v>
      </c>
      <c r="C2696" s="2" t="s">
        <v>473</v>
      </c>
      <c r="D2696" s="2" t="s">
        <v>38</v>
      </c>
      <c r="E2696" s="2" t="s">
        <v>474</v>
      </c>
      <c r="F2696" s="2">
        <v>513626930</v>
      </c>
      <c r="G2696" s="2" t="s">
        <v>40</v>
      </c>
      <c r="H2696" s="2" t="s">
        <v>340</v>
      </c>
      <c r="I2696" s="2" t="s">
        <v>475</v>
      </c>
      <c r="K2696" s="2" t="s">
        <v>340</v>
      </c>
      <c r="L2696" s="2" t="s">
        <v>40</v>
      </c>
      <c r="O2696" s="2" t="s">
        <v>1203</v>
      </c>
      <c r="P2696" s="2" t="s">
        <v>2263</v>
      </c>
      <c r="Q2696" s="2" t="s">
        <v>2264</v>
      </c>
      <c r="R2696" s="2">
        <v>1</v>
      </c>
      <c r="S2696" s="2">
        <v>2400</v>
      </c>
      <c r="T2696" s="2">
        <v>552</v>
      </c>
      <c r="U2696" s="2">
        <v>2952</v>
      </c>
      <c r="W2696" s="5">
        <f t="shared" si="259"/>
        <v>1</v>
      </c>
      <c r="Y2696" s="2" t="s">
        <v>105</v>
      </c>
      <c r="Z2696" s="2" t="s">
        <v>1208</v>
      </c>
      <c r="AA2696" s="2" t="s">
        <v>120</v>
      </c>
      <c r="AB2696" s="2" t="s">
        <v>1203</v>
      </c>
      <c r="AE2696" s="2">
        <f t="shared" si="261"/>
        <v>0</v>
      </c>
      <c r="AI2696" s="2">
        <f t="shared" si="262"/>
        <v>0</v>
      </c>
      <c r="AJ2696" s="2">
        <f t="shared" si="263"/>
        <v>2400</v>
      </c>
      <c r="AK2696" s="5">
        <f t="shared" si="260"/>
        <v>1</v>
      </c>
    </row>
    <row r="2697" spans="1:37" x14ac:dyDescent="0.2">
      <c r="A2697" s="2">
        <v>2025</v>
      </c>
      <c r="B2697" s="2">
        <v>9</v>
      </c>
      <c r="C2697" s="2" t="s">
        <v>846</v>
      </c>
      <c r="D2697" s="2" t="s">
        <v>109</v>
      </c>
      <c r="E2697" s="2" t="s">
        <v>847</v>
      </c>
      <c r="F2697" s="2">
        <v>504981285</v>
      </c>
      <c r="G2697" s="2" t="s">
        <v>291</v>
      </c>
      <c r="H2697" s="2" t="s">
        <v>848</v>
      </c>
      <c r="I2697" s="2" t="s">
        <v>849</v>
      </c>
      <c r="J2697" s="2">
        <v>932209225</v>
      </c>
      <c r="K2697" s="2" t="s">
        <v>340</v>
      </c>
      <c r="L2697" s="2" t="s">
        <v>40</v>
      </c>
      <c r="O2697" s="2" t="s">
        <v>115</v>
      </c>
      <c r="P2697" s="2" t="s">
        <v>565</v>
      </c>
      <c r="Q2697" s="2" t="s">
        <v>566</v>
      </c>
      <c r="R2697" s="2">
        <v>4</v>
      </c>
      <c r="S2697" s="2">
        <v>57.15</v>
      </c>
      <c r="T2697" s="2">
        <v>13.144500000000001</v>
      </c>
      <c r="U2697" s="2">
        <v>70.294499999999999</v>
      </c>
      <c r="W2697" s="5">
        <f t="shared" si="259"/>
        <v>1</v>
      </c>
      <c r="Y2697" s="2" t="s">
        <v>118</v>
      </c>
      <c r="Z2697" s="2" t="s">
        <v>119</v>
      </c>
      <c r="AE2697" s="2">
        <f t="shared" si="261"/>
        <v>0</v>
      </c>
      <c r="AI2697" s="2">
        <f t="shared" si="262"/>
        <v>0</v>
      </c>
      <c r="AJ2697" s="2">
        <f t="shared" si="263"/>
        <v>57.15</v>
      </c>
      <c r="AK2697" s="5">
        <f t="shared" si="260"/>
        <v>1</v>
      </c>
    </row>
    <row r="2698" spans="1:37" x14ac:dyDescent="0.2">
      <c r="A2698" s="2">
        <v>2025</v>
      </c>
      <c r="B2698" s="2">
        <v>9</v>
      </c>
      <c r="C2698" s="2" t="s">
        <v>2265</v>
      </c>
      <c r="O2698" s="2" t="s">
        <v>73</v>
      </c>
      <c r="P2698" s="2" t="s">
        <v>1402</v>
      </c>
      <c r="Q2698" s="2" t="s">
        <v>75</v>
      </c>
      <c r="R2698" s="2">
        <v>1</v>
      </c>
      <c r="S2698" s="2">
        <v>210</v>
      </c>
      <c r="T2698" s="2">
        <v>48.3</v>
      </c>
      <c r="U2698" s="2">
        <v>258.3</v>
      </c>
      <c r="W2698" s="5">
        <f t="shared" si="259"/>
        <v>1</v>
      </c>
      <c r="Y2698" s="2" t="s">
        <v>3256</v>
      </c>
      <c r="Z2698" s="2" t="s">
        <v>76</v>
      </c>
      <c r="AA2698" s="2" t="s">
        <v>77</v>
      </c>
      <c r="AB2698" s="2" t="s">
        <v>78</v>
      </c>
      <c r="AE2698" s="2">
        <f t="shared" si="261"/>
        <v>0</v>
      </c>
      <c r="AI2698" s="2">
        <f t="shared" si="262"/>
        <v>0</v>
      </c>
      <c r="AJ2698" s="2">
        <f t="shared" si="263"/>
        <v>210</v>
      </c>
      <c r="AK2698" s="5">
        <f t="shared" si="260"/>
        <v>1</v>
      </c>
    </row>
    <row r="2699" spans="1:37" x14ac:dyDescent="0.2">
      <c r="A2699" s="2">
        <v>2025</v>
      </c>
      <c r="B2699" s="2">
        <v>9</v>
      </c>
      <c r="C2699" s="2" t="s">
        <v>2265</v>
      </c>
      <c r="O2699" s="2" t="s">
        <v>94</v>
      </c>
      <c r="P2699" s="2" t="s">
        <v>95</v>
      </c>
      <c r="Q2699" s="2" t="s">
        <v>96</v>
      </c>
      <c r="R2699" s="2">
        <v>1</v>
      </c>
      <c r="S2699" s="2">
        <v>1.1399999999999999</v>
      </c>
      <c r="T2699" s="2">
        <v>0.26219999999999999</v>
      </c>
      <c r="U2699" s="2">
        <v>1.4021999999999999</v>
      </c>
      <c r="V2699" s="2">
        <v>1.1399999999999999</v>
      </c>
      <c r="W2699" s="5">
        <f t="shared" si="259"/>
        <v>0</v>
      </c>
      <c r="Y2699" s="2" t="s">
        <v>3256</v>
      </c>
      <c r="Z2699" s="2" t="s">
        <v>97</v>
      </c>
      <c r="AA2699" s="2" t="s">
        <v>77</v>
      </c>
      <c r="AB2699" s="2" t="s">
        <v>94</v>
      </c>
      <c r="AE2699" s="2">
        <f t="shared" si="261"/>
        <v>0</v>
      </c>
      <c r="AI2699" s="2">
        <f t="shared" si="262"/>
        <v>0</v>
      </c>
      <c r="AJ2699" s="2">
        <f t="shared" si="263"/>
        <v>0</v>
      </c>
      <c r="AK2699" s="5">
        <f t="shared" si="260"/>
        <v>0</v>
      </c>
    </row>
    <row r="2700" spans="1:37" x14ac:dyDescent="0.2">
      <c r="A2700" s="2">
        <v>2025</v>
      </c>
      <c r="B2700" s="2">
        <v>9</v>
      </c>
      <c r="C2700" s="2" t="s">
        <v>489</v>
      </c>
      <c r="D2700" s="2" t="s">
        <v>109</v>
      </c>
      <c r="E2700" s="2" t="s">
        <v>39</v>
      </c>
      <c r="F2700" s="2">
        <v>506834689</v>
      </c>
      <c r="G2700" s="2" t="s">
        <v>41</v>
      </c>
      <c r="H2700" s="2" t="s">
        <v>490</v>
      </c>
      <c r="I2700" s="2" t="s">
        <v>491</v>
      </c>
      <c r="J2700" s="2">
        <v>919866237</v>
      </c>
      <c r="K2700" s="2" t="s">
        <v>465</v>
      </c>
      <c r="L2700" s="2" t="s">
        <v>41</v>
      </c>
      <c r="N2700" s="2" t="s">
        <v>3172</v>
      </c>
      <c r="O2700" s="2" t="s">
        <v>1047</v>
      </c>
      <c r="P2700" s="2" t="s">
        <v>1048</v>
      </c>
      <c r="Q2700" s="2" t="s">
        <v>1049</v>
      </c>
      <c r="R2700" s="2">
        <v>1</v>
      </c>
      <c r="S2700" s="2">
        <v>203.25</v>
      </c>
      <c r="T2700" s="2">
        <v>46.747500000000002</v>
      </c>
      <c r="U2700" s="2">
        <v>249.9975</v>
      </c>
      <c r="V2700" s="2">
        <v>150.37</v>
      </c>
      <c r="W2700" s="5">
        <f t="shared" si="259"/>
        <v>0.26017220172201722</v>
      </c>
      <c r="Y2700" s="2" t="s">
        <v>3256</v>
      </c>
      <c r="Z2700" s="2" t="s">
        <v>1050</v>
      </c>
      <c r="AA2700" s="2" t="s">
        <v>1051</v>
      </c>
      <c r="AB2700" s="2" t="s">
        <v>1047</v>
      </c>
      <c r="AE2700" s="2">
        <f t="shared" si="261"/>
        <v>0</v>
      </c>
      <c r="AF2700" s="2">
        <v>150.37</v>
      </c>
      <c r="AI2700" s="2">
        <f t="shared" si="262"/>
        <v>0</v>
      </c>
      <c r="AJ2700" s="2">
        <f t="shared" si="263"/>
        <v>52.879999999999995</v>
      </c>
      <c r="AK2700" s="5">
        <f t="shared" si="260"/>
        <v>0.26017220172201722</v>
      </c>
    </row>
    <row r="2701" spans="1:37" x14ac:dyDescent="0.2">
      <c r="A2701" s="2">
        <v>2025</v>
      </c>
      <c r="B2701" s="2">
        <v>9</v>
      </c>
      <c r="C2701" s="2" t="s">
        <v>489</v>
      </c>
      <c r="D2701" s="2" t="s">
        <v>109</v>
      </c>
      <c r="E2701" s="2" t="s">
        <v>39</v>
      </c>
      <c r="F2701" s="2">
        <v>506834689</v>
      </c>
      <c r="G2701" s="2" t="s">
        <v>41</v>
      </c>
      <c r="H2701" s="2" t="s">
        <v>490</v>
      </c>
      <c r="I2701" s="2" t="s">
        <v>491</v>
      </c>
      <c r="J2701" s="2">
        <v>919866237</v>
      </c>
      <c r="K2701" s="2" t="s">
        <v>465</v>
      </c>
      <c r="L2701" s="2" t="s">
        <v>41</v>
      </c>
      <c r="O2701" s="2" t="s">
        <v>170</v>
      </c>
      <c r="P2701" s="2" t="s">
        <v>171</v>
      </c>
      <c r="Q2701" s="2" t="s">
        <v>171</v>
      </c>
      <c r="R2701" s="2">
        <v>1</v>
      </c>
      <c r="S2701" s="2">
        <v>30</v>
      </c>
      <c r="T2701" s="2">
        <v>6.9</v>
      </c>
      <c r="U2701" s="2">
        <v>36.9</v>
      </c>
      <c r="V2701" s="2">
        <v>23</v>
      </c>
      <c r="W2701" s="5">
        <f t="shared" si="259"/>
        <v>0.23333333333333334</v>
      </c>
      <c r="Y2701" s="2" t="s">
        <v>170</v>
      </c>
      <c r="Z2701" s="2" t="s">
        <v>170</v>
      </c>
      <c r="AE2701" s="2">
        <f t="shared" si="261"/>
        <v>0</v>
      </c>
      <c r="AI2701" s="2">
        <f t="shared" si="262"/>
        <v>0</v>
      </c>
      <c r="AJ2701" s="2">
        <f t="shared" si="263"/>
        <v>7</v>
      </c>
      <c r="AK2701" s="5">
        <f t="shared" si="260"/>
        <v>0.23333333333333334</v>
      </c>
    </row>
    <row r="2702" spans="1:37" x14ac:dyDescent="0.2">
      <c r="A2702" s="2">
        <v>2025</v>
      </c>
      <c r="B2702" s="2">
        <v>9</v>
      </c>
      <c r="C2702" s="2" t="s">
        <v>2266</v>
      </c>
      <c r="O2702" s="2" t="s">
        <v>73</v>
      </c>
      <c r="P2702" s="2" t="s">
        <v>307</v>
      </c>
      <c r="Q2702" s="2" t="s">
        <v>308</v>
      </c>
      <c r="R2702" s="2">
        <v>1</v>
      </c>
      <c r="S2702" s="2">
        <v>220</v>
      </c>
      <c r="T2702" s="2">
        <v>50.6</v>
      </c>
      <c r="U2702" s="2">
        <v>270.60000000000002</v>
      </c>
      <c r="V2702" s="2">
        <v>119.33</v>
      </c>
      <c r="W2702" s="5">
        <f t="shared" si="259"/>
        <v>0.4575909090909091</v>
      </c>
      <c r="Y2702" s="2" t="s">
        <v>3256</v>
      </c>
      <c r="Z2702" s="2" t="s">
        <v>76</v>
      </c>
      <c r="AA2702" s="2" t="s">
        <v>77</v>
      </c>
      <c r="AB2702" s="2" t="s">
        <v>78</v>
      </c>
      <c r="AE2702" s="2">
        <f t="shared" si="261"/>
        <v>0</v>
      </c>
      <c r="AF2702" s="2">
        <v>119.33</v>
      </c>
      <c r="AG2702" s="2">
        <v>220</v>
      </c>
      <c r="AI2702" s="2">
        <f t="shared" si="262"/>
        <v>0</v>
      </c>
      <c r="AJ2702" s="2">
        <f t="shared" si="263"/>
        <v>100.67</v>
      </c>
      <c r="AK2702" s="5">
        <f t="shared" si="260"/>
        <v>0.4575909090909091</v>
      </c>
    </row>
    <row r="2703" spans="1:37" x14ac:dyDescent="0.2">
      <c r="A2703" s="2">
        <v>2025</v>
      </c>
      <c r="B2703" s="2">
        <v>9</v>
      </c>
      <c r="C2703" s="2" t="s">
        <v>2266</v>
      </c>
      <c r="O2703" s="2" t="s">
        <v>94</v>
      </c>
      <c r="P2703" s="2" t="s">
        <v>95</v>
      </c>
      <c r="Q2703" s="2" t="s">
        <v>96</v>
      </c>
      <c r="R2703" s="2">
        <v>1</v>
      </c>
      <c r="S2703" s="2">
        <v>1.1399999999999999</v>
      </c>
      <c r="T2703" s="2">
        <v>0.26219999999999999</v>
      </c>
      <c r="U2703" s="2">
        <v>1.4021999999999999</v>
      </c>
      <c r="V2703" s="2">
        <v>1.1399999999999999</v>
      </c>
      <c r="W2703" s="5">
        <f t="shared" si="259"/>
        <v>0</v>
      </c>
      <c r="Y2703" s="2" t="s">
        <v>3256</v>
      </c>
      <c r="Z2703" s="2" t="s">
        <v>97</v>
      </c>
      <c r="AA2703" s="2" t="s">
        <v>77</v>
      </c>
      <c r="AB2703" s="2" t="s">
        <v>94</v>
      </c>
      <c r="AE2703" s="2">
        <f t="shared" si="261"/>
        <v>0</v>
      </c>
      <c r="AI2703" s="2">
        <f t="shared" si="262"/>
        <v>0</v>
      </c>
      <c r="AJ2703" s="2">
        <f t="shared" si="263"/>
        <v>0</v>
      </c>
      <c r="AK2703" s="5">
        <f t="shared" si="260"/>
        <v>0</v>
      </c>
    </row>
    <row r="2704" spans="1:37" x14ac:dyDescent="0.2">
      <c r="A2704" s="2">
        <v>2025</v>
      </c>
      <c r="B2704" s="2">
        <v>9</v>
      </c>
      <c r="C2704" s="2" t="s">
        <v>1265</v>
      </c>
      <c r="F2704" s="2">
        <v>513777377</v>
      </c>
      <c r="L2704" s="2" t="s">
        <v>81</v>
      </c>
      <c r="N2704" s="2" t="s">
        <v>3191</v>
      </c>
      <c r="O2704" s="2" t="s">
        <v>1047</v>
      </c>
      <c r="P2704" s="2" t="s">
        <v>2267</v>
      </c>
      <c r="Q2704" s="2" t="s">
        <v>2268</v>
      </c>
      <c r="R2704" s="2">
        <v>4</v>
      </c>
      <c r="S2704" s="2">
        <v>1219.51</v>
      </c>
      <c r="T2704" s="2">
        <v>280.4873</v>
      </c>
      <c r="U2704" s="2">
        <v>1499.9973</v>
      </c>
      <c r="V2704" s="2">
        <f>193.975*R2704</f>
        <v>775.9</v>
      </c>
      <c r="W2704" s="5">
        <f t="shared" si="259"/>
        <v>0.36376085476953862</v>
      </c>
      <c r="Y2704" s="2" t="s">
        <v>3256</v>
      </c>
      <c r="Z2704" s="2" t="s">
        <v>1050</v>
      </c>
      <c r="AA2704" s="2" t="s">
        <v>2269</v>
      </c>
      <c r="AB2704" s="2" t="s">
        <v>1047</v>
      </c>
      <c r="AE2704" s="2">
        <f t="shared" si="261"/>
        <v>0</v>
      </c>
      <c r="AI2704" s="2">
        <f t="shared" si="262"/>
        <v>0</v>
      </c>
      <c r="AJ2704" s="2">
        <f t="shared" si="263"/>
        <v>443.61</v>
      </c>
      <c r="AK2704" s="5">
        <f t="shared" si="260"/>
        <v>0.36376085476953862</v>
      </c>
    </row>
    <row r="2705" spans="1:37" x14ac:dyDescent="0.2">
      <c r="A2705" s="2">
        <v>2025</v>
      </c>
      <c r="B2705" s="2">
        <v>9</v>
      </c>
      <c r="C2705" s="2" t="s">
        <v>492</v>
      </c>
      <c r="D2705" s="2" t="s">
        <v>38</v>
      </c>
      <c r="E2705" s="2" t="s">
        <v>39</v>
      </c>
      <c r="F2705" s="2">
        <v>507380312</v>
      </c>
      <c r="G2705" s="2" t="s">
        <v>40</v>
      </c>
      <c r="H2705" s="2" t="s">
        <v>493</v>
      </c>
      <c r="I2705" s="2" t="s">
        <v>494</v>
      </c>
      <c r="J2705" s="2">
        <v>912293443</v>
      </c>
      <c r="K2705" s="2" t="s">
        <v>100</v>
      </c>
      <c r="L2705" s="2" t="s">
        <v>40</v>
      </c>
      <c r="O2705" s="2" t="s">
        <v>40</v>
      </c>
      <c r="P2705" s="2" t="s">
        <v>495</v>
      </c>
      <c r="Q2705" s="2" t="s">
        <v>496</v>
      </c>
      <c r="R2705" s="2">
        <v>1</v>
      </c>
      <c r="S2705" s="2">
        <v>664.04</v>
      </c>
      <c r="T2705" s="2">
        <v>152.72919999999999</v>
      </c>
      <c r="U2705" s="2">
        <v>816.76919999999996</v>
      </c>
      <c r="W2705" s="5">
        <f t="shared" si="259"/>
        <v>1</v>
      </c>
      <c r="Y2705" s="2" t="s">
        <v>120</v>
      </c>
      <c r="AE2705" s="2">
        <f t="shared" si="261"/>
        <v>0</v>
      </c>
      <c r="AI2705" s="2">
        <f t="shared" si="262"/>
        <v>0</v>
      </c>
      <c r="AJ2705" s="2">
        <f t="shared" si="263"/>
        <v>664.04</v>
      </c>
      <c r="AK2705" s="5">
        <f t="shared" si="260"/>
        <v>1</v>
      </c>
    </row>
    <row r="2706" spans="1:37" x14ac:dyDescent="0.2">
      <c r="A2706" s="2">
        <v>2025</v>
      </c>
      <c r="B2706" s="2">
        <v>9</v>
      </c>
      <c r="C2706" s="2" t="s">
        <v>2270</v>
      </c>
      <c r="O2706" s="2" t="s">
        <v>43</v>
      </c>
      <c r="P2706" s="2" t="s">
        <v>49</v>
      </c>
      <c r="Q2706" s="2" t="s">
        <v>50</v>
      </c>
      <c r="R2706" s="2">
        <v>1</v>
      </c>
      <c r="S2706" s="2">
        <v>12</v>
      </c>
      <c r="T2706" s="2">
        <v>2.76</v>
      </c>
      <c r="U2706" s="2">
        <v>14.76</v>
      </c>
      <c r="V2706" s="2">
        <f>6.6267*R2706</f>
        <v>6.6266999999999996</v>
      </c>
      <c r="W2706" s="5">
        <f t="shared" si="259"/>
        <v>0.44777500000000003</v>
      </c>
      <c r="Y2706" s="2" t="s">
        <v>3256</v>
      </c>
      <c r="Z2706" s="2" t="s">
        <v>46</v>
      </c>
      <c r="AA2706" s="2" t="s">
        <v>47</v>
      </c>
      <c r="AB2706" s="2" t="s">
        <v>48</v>
      </c>
      <c r="AE2706" s="2">
        <f t="shared" si="261"/>
        <v>0</v>
      </c>
      <c r="AF2706" s="2">
        <v>6.6266999999999996</v>
      </c>
      <c r="AG2706" s="2">
        <v>12</v>
      </c>
      <c r="AI2706" s="2">
        <f t="shared" si="262"/>
        <v>0</v>
      </c>
      <c r="AJ2706" s="2">
        <f t="shared" si="263"/>
        <v>5.3733000000000004</v>
      </c>
      <c r="AK2706" s="5">
        <f t="shared" si="260"/>
        <v>0.44777500000000003</v>
      </c>
    </row>
    <row r="2707" spans="1:37" x14ac:dyDescent="0.2">
      <c r="A2707" s="2">
        <v>2025</v>
      </c>
      <c r="B2707" s="2">
        <v>9</v>
      </c>
      <c r="C2707" s="2" t="s">
        <v>2270</v>
      </c>
      <c r="O2707" s="2" t="s">
        <v>43</v>
      </c>
      <c r="P2707" s="2" t="s">
        <v>161</v>
      </c>
      <c r="Q2707" s="2" t="s">
        <v>162</v>
      </c>
      <c r="R2707" s="2">
        <v>1</v>
      </c>
      <c r="S2707" s="2">
        <v>7.8</v>
      </c>
      <c r="T2707" s="2">
        <v>1.794</v>
      </c>
      <c r="U2707" s="2">
        <v>9.5939999999999994</v>
      </c>
      <c r="V2707" s="2">
        <f>3.7358*R2707</f>
        <v>3.7357999999999998</v>
      </c>
      <c r="W2707" s="5">
        <f t="shared" si="259"/>
        <v>0.52105128205128204</v>
      </c>
      <c r="Y2707" s="2" t="s">
        <v>3256</v>
      </c>
      <c r="Z2707" s="2" t="s">
        <v>46</v>
      </c>
      <c r="AA2707" s="2" t="s">
        <v>47</v>
      </c>
      <c r="AB2707" s="2" t="s">
        <v>48</v>
      </c>
      <c r="AE2707" s="2">
        <f t="shared" si="261"/>
        <v>0</v>
      </c>
      <c r="AF2707" s="2">
        <v>3.7357999999999998</v>
      </c>
      <c r="AG2707" s="2">
        <v>9</v>
      </c>
      <c r="AI2707" s="2">
        <f t="shared" si="262"/>
        <v>0</v>
      </c>
      <c r="AJ2707" s="2">
        <f t="shared" si="263"/>
        <v>4.0641999999999996</v>
      </c>
      <c r="AK2707" s="5">
        <f t="shared" si="260"/>
        <v>0.52105128205128204</v>
      </c>
    </row>
    <row r="2708" spans="1:37" x14ac:dyDescent="0.2">
      <c r="A2708" s="2">
        <v>2025</v>
      </c>
      <c r="B2708" s="2">
        <v>9</v>
      </c>
      <c r="C2708" s="2" t="s">
        <v>2271</v>
      </c>
      <c r="O2708" s="2" t="s">
        <v>115</v>
      </c>
      <c r="P2708" s="2" t="s">
        <v>785</v>
      </c>
      <c r="Q2708" s="2" t="s">
        <v>786</v>
      </c>
      <c r="R2708" s="2">
        <v>1</v>
      </c>
      <c r="S2708" s="2">
        <v>65.72</v>
      </c>
      <c r="T2708" s="2">
        <v>15.115600000000001</v>
      </c>
      <c r="U2708" s="2">
        <v>80.835599999999999</v>
      </c>
      <c r="W2708" s="5">
        <f t="shared" si="259"/>
        <v>1</v>
      </c>
      <c r="AE2708" s="2">
        <f t="shared" si="261"/>
        <v>0</v>
      </c>
      <c r="AI2708" s="2">
        <f t="shared" si="262"/>
        <v>0</v>
      </c>
      <c r="AJ2708" s="2">
        <f t="shared" si="263"/>
        <v>65.72</v>
      </c>
      <c r="AK2708" s="5">
        <f t="shared" si="260"/>
        <v>1</v>
      </c>
    </row>
    <row r="2709" spans="1:37" x14ac:dyDescent="0.2">
      <c r="A2709" s="2">
        <v>2025</v>
      </c>
      <c r="B2709" s="2">
        <v>9</v>
      </c>
      <c r="C2709" s="2" t="s">
        <v>2271</v>
      </c>
      <c r="L2709" s="2" t="s">
        <v>40</v>
      </c>
      <c r="O2709" s="2" t="s">
        <v>188</v>
      </c>
      <c r="P2709" s="2" t="s">
        <v>192</v>
      </c>
      <c r="Q2709" s="2" t="s">
        <v>191</v>
      </c>
      <c r="R2709" s="2">
        <v>1</v>
      </c>
      <c r="S2709" s="2">
        <v>45</v>
      </c>
      <c r="T2709" s="2">
        <v>10.35</v>
      </c>
      <c r="U2709" s="2">
        <v>55.35</v>
      </c>
      <c r="V2709" s="2">
        <f>S2709*50%</f>
        <v>22.5</v>
      </c>
      <c r="W2709" s="5">
        <f t="shared" si="259"/>
        <v>0.5</v>
      </c>
      <c r="Y2709" s="2" t="s">
        <v>118</v>
      </c>
      <c r="Z2709" s="2" t="s">
        <v>191</v>
      </c>
      <c r="AE2709" s="2">
        <f t="shared" si="261"/>
        <v>0</v>
      </c>
      <c r="AI2709" s="2">
        <f t="shared" si="262"/>
        <v>0</v>
      </c>
      <c r="AJ2709" s="2">
        <f t="shared" si="263"/>
        <v>22.5</v>
      </c>
      <c r="AK2709" s="5">
        <f t="shared" si="260"/>
        <v>0.5</v>
      </c>
    </row>
    <row r="2710" spans="1:37" x14ac:dyDescent="0.2">
      <c r="A2710" s="2">
        <v>2025</v>
      </c>
      <c r="B2710" s="2">
        <v>9</v>
      </c>
      <c r="C2710" s="2" t="s">
        <v>2271</v>
      </c>
      <c r="O2710" s="2" t="s">
        <v>40</v>
      </c>
      <c r="P2710" s="2" t="s">
        <v>364</v>
      </c>
      <c r="Q2710" s="2" t="s">
        <v>365</v>
      </c>
      <c r="R2710" s="2">
        <v>1</v>
      </c>
      <c r="S2710" s="2">
        <v>418.99</v>
      </c>
      <c r="T2710" s="2">
        <v>96.367699999999999</v>
      </c>
      <c r="U2710" s="2">
        <v>515.35770000000002</v>
      </c>
      <c r="W2710" s="5">
        <f t="shared" si="259"/>
        <v>1</v>
      </c>
      <c r="Y2710" s="2" t="s">
        <v>120</v>
      </c>
      <c r="AE2710" s="2">
        <f t="shared" si="261"/>
        <v>0</v>
      </c>
      <c r="AI2710" s="2">
        <f t="shared" si="262"/>
        <v>0</v>
      </c>
      <c r="AJ2710" s="2">
        <f t="shared" si="263"/>
        <v>418.99</v>
      </c>
      <c r="AK2710" s="5">
        <f t="shared" si="260"/>
        <v>1</v>
      </c>
    </row>
    <row r="2711" spans="1:37" x14ac:dyDescent="0.2">
      <c r="A2711" s="2">
        <v>2025</v>
      </c>
      <c r="B2711" s="2">
        <v>9</v>
      </c>
      <c r="C2711" s="2" t="s">
        <v>1409</v>
      </c>
      <c r="D2711" s="2" t="s">
        <v>38</v>
      </c>
      <c r="E2711" s="2" t="s">
        <v>39</v>
      </c>
      <c r="F2711" s="2">
        <v>509014313</v>
      </c>
      <c r="G2711" s="2" t="s">
        <v>40</v>
      </c>
      <c r="H2711" s="2" t="s">
        <v>3246</v>
      </c>
      <c r="I2711" s="2" t="s">
        <v>3245</v>
      </c>
      <c r="J2711" s="2">
        <v>913814877</v>
      </c>
      <c r="K2711" s="2" t="s">
        <v>202</v>
      </c>
      <c r="L2711" s="2" t="s">
        <v>81</v>
      </c>
      <c r="N2711" s="2" t="s">
        <v>3239</v>
      </c>
      <c r="O2711" s="2" t="s">
        <v>43</v>
      </c>
      <c r="P2711" s="2" t="s">
        <v>55</v>
      </c>
      <c r="Q2711" s="2" t="s">
        <v>56</v>
      </c>
      <c r="R2711" s="2">
        <v>3</v>
      </c>
      <c r="S2711" s="2">
        <v>54</v>
      </c>
      <c r="T2711" s="2">
        <v>12.42</v>
      </c>
      <c r="U2711" s="2">
        <v>66.42</v>
      </c>
      <c r="V2711" s="2">
        <f>10.6*R2711</f>
        <v>31.799999999999997</v>
      </c>
      <c r="W2711" s="5">
        <f t="shared" si="259"/>
        <v>0.41111111111111115</v>
      </c>
      <c r="Y2711" s="2" t="s">
        <v>3256</v>
      </c>
      <c r="Z2711" s="2" t="s">
        <v>46</v>
      </c>
      <c r="AA2711" s="2" t="s">
        <v>57</v>
      </c>
      <c r="AB2711" s="2" t="s">
        <v>58</v>
      </c>
      <c r="AE2711" s="2">
        <f t="shared" si="261"/>
        <v>0</v>
      </c>
      <c r="AF2711" s="2">
        <v>10.6</v>
      </c>
      <c r="AG2711" s="2">
        <v>18</v>
      </c>
      <c r="AI2711" s="2">
        <f t="shared" si="262"/>
        <v>0</v>
      </c>
      <c r="AJ2711" s="2">
        <f t="shared" si="263"/>
        <v>22.200000000000003</v>
      </c>
      <c r="AK2711" s="5">
        <f t="shared" si="260"/>
        <v>0.41111111111111115</v>
      </c>
    </row>
    <row r="2712" spans="1:37" x14ac:dyDescent="0.2">
      <c r="A2712" s="2">
        <v>2025</v>
      </c>
      <c r="B2712" s="2">
        <v>9</v>
      </c>
      <c r="C2712" s="2" t="s">
        <v>1409</v>
      </c>
      <c r="D2712" s="2" t="s">
        <v>38</v>
      </c>
      <c r="E2712" s="2" t="s">
        <v>39</v>
      </c>
      <c r="F2712" s="2">
        <v>509014313</v>
      </c>
      <c r="G2712" s="2" t="s">
        <v>40</v>
      </c>
      <c r="H2712" s="2" t="s">
        <v>3246</v>
      </c>
      <c r="I2712" s="2" t="s">
        <v>3245</v>
      </c>
      <c r="J2712" s="2">
        <v>913814877</v>
      </c>
      <c r="K2712" s="2" t="s">
        <v>202</v>
      </c>
      <c r="L2712" s="2" t="s">
        <v>81</v>
      </c>
      <c r="N2712" s="2" t="s">
        <v>3239</v>
      </c>
      <c r="O2712" s="2" t="s">
        <v>170</v>
      </c>
      <c r="P2712" s="2" t="s">
        <v>171</v>
      </c>
      <c r="Q2712" s="2" t="s">
        <v>171</v>
      </c>
      <c r="R2712" s="2">
        <v>1</v>
      </c>
      <c r="S2712" s="2">
        <v>8.5</v>
      </c>
      <c r="T2712" s="2">
        <v>1.9550000000000001</v>
      </c>
      <c r="U2712" s="2">
        <v>10.455</v>
      </c>
      <c r="W2712" s="5">
        <f t="shared" si="259"/>
        <v>1</v>
      </c>
      <c r="Y2712" s="2" t="s">
        <v>170</v>
      </c>
      <c r="Z2712" s="2" t="s">
        <v>170</v>
      </c>
      <c r="AE2712" s="2">
        <f t="shared" si="261"/>
        <v>0</v>
      </c>
      <c r="AI2712" s="2">
        <f t="shared" si="262"/>
        <v>0</v>
      </c>
      <c r="AJ2712" s="2">
        <f t="shared" si="263"/>
        <v>8.5</v>
      </c>
      <c r="AK2712" s="5">
        <f t="shared" si="260"/>
        <v>1</v>
      </c>
    </row>
    <row r="2713" spans="1:37" x14ac:dyDescent="0.2">
      <c r="A2713" s="2">
        <v>2025</v>
      </c>
      <c r="B2713" s="2">
        <v>9</v>
      </c>
      <c r="C2713" s="2" t="s">
        <v>857</v>
      </c>
      <c r="O2713" s="2" t="s">
        <v>73</v>
      </c>
      <c r="P2713" s="2" t="s">
        <v>2272</v>
      </c>
      <c r="Q2713" s="2" t="s">
        <v>84</v>
      </c>
      <c r="R2713" s="2">
        <v>1</v>
      </c>
      <c r="S2713" s="2">
        <v>270</v>
      </c>
      <c r="T2713" s="2">
        <v>62.1</v>
      </c>
      <c r="U2713" s="2">
        <v>332.1</v>
      </c>
      <c r="W2713" s="5">
        <f t="shared" si="259"/>
        <v>1</v>
      </c>
      <c r="Y2713" s="2" t="s">
        <v>3256</v>
      </c>
      <c r="Z2713" s="2" t="s">
        <v>76</v>
      </c>
      <c r="AA2713" s="2" t="s">
        <v>77</v>
      </c>
      <c r="AB2713" s="2" t="s">
        <v>78</v>
      </c>
      <c r="AE2713" s="2">
        <f t="shared" si="261"/>
        <v>0</v>
      </c>
      <c r="AI2713" s="2">
        <f t="shared" si="262"/>
        <v>0</v>
      </c>
      <c r="AJ2713" s="2">
        <f t="shared" si="263"/>
        <v>270</v>
      </c>
      <c r="AK2713" s="5">
        <f t="shared" si="260"/>
        <v>1</v>
      </c>
    </row>
    <row r="2714" spans="1:37" x14ac:dyDescent="0.2">
      <c r="A2714" s="2">
        <v>2025</v>
      </c>
      <c r="B2714" s="2">
        <v>9</v>
      </c>
      <c r="C2714" s="2" t="s">
        <v>857</v>
      </c>
      <c r="O2714" s="2" t="s">
        <v>94</v>
      </c>
      <c r="P2714" s="2" t="s">
        <v>95</v>
      </c>
      <c r="Q2714" s="2" t="s">
        <v>96</v>
      </c>
      <c r="R2714" s="2">
        <v>1</v>
      </c>
      <c r="S2714" s="2">
        <v>1.1399999999999999</v>
      </c>
      <c r="T2714" s="2">
        <v>0.26219999999999999</v>
      </c>
      <c r="U2714" s="2">
        <v>1.4021999999999999</v>
      </c>
      <c r="V2714" s="2">
        <v>1.1399999999999999</v>
      </c>
      <c r="W2714" s="5">
        <f t="shared" si="259"/>
        <v>0</v>
      </c>
      <c r="Y2714" s="2" t="s">
        <v>3256</v>
      </c>
      <c r="Z2714" s="2" t="s">
        <v>97</v>
      </c>
      <c r="AA2714" s="2" t="s">
        <v>77</v>
      </c>
      <c r="AB2714" s="2" t="s">
        <v>94</v>
      </c>
      <c r="AE2714" s="2">
        <f t="shared" si="261"/>
        <v>0</v>
      </c>
      <c r="AI2714" s="2">
        <f t="shared" si="262"/>
        <v>0</v>
      </c>
      <c r="AJ2714" s="2">
        <f t="shared" si="263"/>
        <v>0</v>
      </c>
      <c r="AK2714" s="5">
        <f t="shared" si="260"/>
        <v>0</v>
      </c>
    </row>
    <row r="2715" spans="1:37" x14ac:dyDescent="0.2">
      <c r="A2715" s="2">
        <v>2025</v>
      </c>
      <c r="B2715" s="2">
        <v>9</v>
      </c>
      <c r="C2715" s="2" t="s">
        <v>860</v>
      </c>
      <c r="D2715" s="2" t="s">
        <v>109</v>
      </c>
      <c r="E2715" s="2" t="s">
        <v>39</v>
      </c>
      <c r="F2715" s="2">
        <v>505128128</v>
      </c>
      <c r="G2715" s="2" t="s">
        <v>41</v>
      </c>
      <c r="H2715" s="2" t="s">
        <v>861</v>
      </c>
      <c r="I2715" s="2" t="s">
        <v>862</v>
      </c>
      <c r="J2715" s="2">
        <v>917665950</v>
      </c>
      <c r="K2715" s="2" t="s">
        <v>100</v>
      </c>
      <c r="L2715" s="2" t="s">
        <v>41</v>
      </c>
      <c r="N2715" s="2" t="s">
        <v>2273</v>
      </c>
      <c r="O2715" s="2" t="s">
        <v>283</v>
      </c>
      <c r="P2715" s="2" t="s">
        <v>2274</v>
      </c>
      <c r="Q2715" s="2" t="s">
        <v>2275</v>
      </c>
      <c r="R2715" s="2">
        <v>1</v>
      </c>
      <c r="S2715" s="2">
        <v>9</v>
      </c>
      <c r="T2715" s="2">
        <v>2.0699999999999998</v>
      </c>
      <c r="U2715" s="2">
        <v>11.07</v>
      </c>
      <c r="V2715" s="2">
        <v>5.93</v>
      </c>
      <c r="W2715" s="5">
        <f t="shared" si="259"/>
        <v>0.34111111111111114</v>
      </c>
      <c r="Y2715" s="2" t="s">
        <v>3256</v>
      </c>
      <c r="Z2715" s="2" t="s">
        <v>72</v>
      </c>
      <c r="AA2715" s="2" t="s">
        <v>120</v>
      </c>
      <c r="AB2715" s="2" t="s">
        <v>120</v>
      </c>
      <c r="AE2715" s="2">
        <f t="shared" si="261"/>
        <v>0</v>
      </c>
      <c r="AF2715" s="2">
        <v>5.93</v>
      </c>
      <c r="AI2715" s="2">
        <f t="shared" si="262"/>
        <v>0</v>
      </c>
      <c r="AJ2715" s="2">
        <f t="shared" si="263"/>
        <v>3.0700000000000003</v>
      </c>
      <c r="AK2715" s="5">
        <f t="shared" si="260"/>
        <v>0.34111111111111114</v>
      </c>
    </row>
    <row r="2716" spans="1:37" x14ac:dyDescent="0.2">
      <c r="A2716" s="2">
        <v>2025</v>
      </c>
      <c r="B2716" s="2">
        <v>9</v>
      </c>
      <c r="C2716" s="2" t="s">
        <v>860</v>
      </c>
      <c r="D2716" s="2" t="s">
        <v>109</v>
      </c>
      <c r="E2716" s="2" t="s">
        <v>39</v>
      </c>
      <c r="F2716" s="2">
        <v>505128128</v>
      </c>
      <c r="G2716" s="2" t="s">
        <v>41</v>
      </c>
      <c r="H2716" s="2" t="s">
        <v>861</v>
      </c>
      <c r="I2716" s="2" t="s">
        <v>862</v>
      </c>
      <c r="J2716" s="2">
        <v>917665950</v>
      </c>
      <c r="K2716" s="2" t="s">
        <v>100</v>
      </c>
      <c r="L2716" s="2" t="s">
        <v>41</v>
      </c>
      <c r="N2716" s="2" t="s">
        <v>2273</v>
      </c>
      <c r="O2716" s="2" t="s">
        <v>43</v>
      </c>
      <c r="P2716" s="2" t="s">
        <v>864</v>
      </c>
      <c r="Q2716" s="2" t="s">
        <v>865</v>
      </c>
      <c r="R2716" s="2">
        <v>1</v>
      </c>
      <c r="S2716" s="2">
        <v>18.600000000000001</v>
      </c>
      <c r="T2716" s="2">
        <v>4.2779999999999996</v>
      </c>
      <c r="U2716" s="2">
        <v>22.878</v>
      </c>
      <c r="W2716" s="5">
        <f t="shared" si="259"/>
        <v>1</v>
      </c>
      <c r="Y2716" s="2" t="s">
        <v>3256</v>
      </c>
      <c r="Z2716" s="2" t="s">
        <v>46</v>
      </c>
      <c r="AA2716" s="2" t="s">
        <v>47</v>
      </c>
      <c r="AB2716" s="2" t="s">
        <v>48</v>
      </c>
      <c r="AE2716" s="2">
        <f t="shared" si="261"/>
        <v>0</v>
      </c>
      <c r="AI2716" s="2">
        <f t="shared" si="262"/>
        <v>0</v>
      </c>
      <c r="AJ2716" s="2">
        <f t="shared" si="263"/>
        <v>18.600000000000001</v>
      </c>
      <c r="AK2716" s="5">
        <f t="shared" si="260"/>
        <v>1</v>
      </c>
    </row>
    <row r="2717" spans="1:37" x14ac:dyDescent="0.2">
      <c r="A2717" s="2">
        <v>2025</v>
      </c>
      <c r="B2717" s="2">
        <v>9</v>
      </c>
      <c r="C2717" s="2" t="s">
        <v>860</v>
      </c>
      <c r="D2717" s="2" t="s">
        <v>109</v>
      </c>
      <c r="E2717" s="2" t="s">
        <v>39</v>
      </c>
      <c r="F2717" s="2">
        <v>505128128</v>
      </c>
      <c r="G2717" s="2" t="s">
        <v>41</v>
      </c>
      <c r="H2717" s="2" t="s">
        <v>861</v>
      </c>
      <c r="I2717" s="2" t="s">
        <v>862</v>
      </c>
      <c r="J2717" s="2">
        <v>917665950</v>
      </c>
      <c r="K2717" s="2" t="s">
        <v>100</v>
      </c>
      <c r="L2717" s="2" t="s">
        <v>41</v>
      </c>
      <c r="N2717" s="2" t="s">
        <v>2273</v>
      </c>
      <c r="O2717" s="2" t="s">
        <v>43</v>
      </c>
      <c r="P2717" s="2" t="s">
        <v>49</v>
      </c>
      <c r="Q2717" s="2" t="s">
        <v>50</v>
      </c>
      <c r="R2717" s="2">
        <v>2</v>
      </c>
      <c r="S2717" s="2">
        <v>24</v>
      </c>
      <c r="T2717" s="2">
        <v>5.52</v>
      </c>
      <c r="U2717" s="2">
        <v>29.52</v>
      </c>
      <c r="V2717" s="2">
        <f>6.6267*R2717</f>
        <v>13.253399999999999</v>
      </c>
      <c r="W2717" s="5">
        <f t="shared" ref="W2717:W2745" si="264">(S2717-V2717)/S2717</f>
        <v>0.44777500000000003</v>
      </c>
      <c r="Y2717" s="2" t="s">
        <v>3256</v>
      </c>
      <c r="Z2717" s="2" t="s">
        <v>46</v>
      </c>
      <c r="AA2717" s="2" t="s">
        <v>47</v>
      </c>
      <c r="AB2717" s="2" t="s">
        <v>48</v>
      </c>
      <c r="AE2717" s="2">
        <f t="shared" si="261"/>
        <v>0</v>
      </c>
      <c r="AF2717" s="2">
        <v>6.6266999999999996</v>
      </c>
      <c r="AG2717" s="2">
        <v>12</v>
      </c>
      <c r="AI2717" s="2">
        <f t="shared" si="262"/>
        <v>0</v>
      </c>
      <c r="AJ2717" s="2">
        <f t="shared" si="263"/>
        <v>10.746600000000001</v>
      </c>
      <c r="AK2717" s="5">
        <f t="shared" ref="AK2717:AK2773" si="265">(S2717-V2717)/S2717</f>
        <v>0.44777500000000003</v>
      </c>
    </row>
    <row r="2718" spans="1:37" x14ac:dyDescent="0.2">
      <c r="A2718" s="2">
        <v>2025</v>
      </c>
      <c r="B2718" s="2">
        <v>9</v>
      </c>
      <c r="C2718" s="2" t="s">
        <v>860</v>
      </c>
      <c r="D2718" s="2" t="s">
        <v>109</v>
      </c>
      <c r="E2718" s="2" t="s">
        <v>39</v>
      </c>
      <c r="F2718" s="2">
        <v>505128128</v>
      </c>
      <c r="G2718" s="2" t="s">
        <v>41</v>
      </c>
      <c r="H2718" s="2" t="s">
        <v>861</v>
      </c>
      <c r="I2718" s="2" t="s">
        <v>862</v>
      </c>
      <c r="J2718" s="2">
        <v>917665950</v>
      </c>
      <c r="K2718" s="2" t="s">
        <v>100</v>
      </c>
      <c r="L2718" s="2" t="s">
        <v>41</v>
      </c>
      <c r="N2718" s="2" t="s">
        <v>2273</v>
      </c>
      <c r="O2718" s="2" t="s">
        <v>43</v>
      </c>
      <c r="P2718" s="2" t="s">
        <v>51</v>
      </c>
      <c r="Q2718" s="2" t="s">
        <v>52</v>
      </c>
      <c r="R2718" s="2">
        <v>1</v>
      </c>
      <c r="S2718" s="2">
        <v>19.2</v>
      </c>
      <c r="T2718" s="2">
        <v>4.4160000000000004</v>
      </c>
      <c r="U2718" s="2">
        <v>23.616</v>
      </c>
      <c r="V2718" s="2">
        <f>10.2346*R2718</f>
        <v>10.2346</v>
      </c>
      <c r="W2718" s="5">
        <f t="shared" si="264"/>
        <v>0.46694791666666663</v>
      </c>
      <c r="Y2718" s="2" t="s">
        <v>3256</v>
      </c>
      <c r="Z2718" s="2" t="s">
        <v>46</v>
      </c>
      <c r="AA2718" s="2" t="s">
        <v>47</v>
      </c>
      <c r="AB2718" s="2" t="s">
        <v>48</v>
      </c>
      <c r="AE2718" s="2">
        <f t="shared" si="261"/>
        <v>0</v>
      </c>
      <c r="AF2718" s="2">
        <v>10.2346</v>
      </c>
      <c r="AG2718" s="2">
        <v>18</v>
      </c>
      <c r="AI2718" s="2">
        <f t="shared" si="262"/>
        <v>0</v>
      </c>
      <c r="AJ2718" s="2">
        <f t="shared" si="263"/>
        <v>8.9653999999999989</v>
      </c>
      <c r="AK2718" s="5">
        <f t="shared" si="265"/>
        <v>0.46694791666666663</v>
      </c>
    </row>
    <row r="2719" spans="1:37" x14ac:dyDescent="0.2">
      <c r="A2719" s="2">
        <v>2025</v>
      </c>
      <c r="B2719" s="2">
        <v>9</v>
      </c>
      <c r="C2719" s="2" t="s">
        <v>1062</v>
      </c>
      <c r="D2719" s="2" t="s">
        <v>184</v>
      </c>
      <c r="E2719" s="2" t="s">
        <v>1063</v>
      </c>
      <c r="F2719" s="2">
        <v>500199523</v>
      </c>
      <c r="G2719" s="2" t="s">
        <v>291</v>
      </c>
      <c r="H2719" s="2" t="s">
        <v>294</v>
      </c>
      <c r="I2719" s="2" t="s">
        <v>1064</v>
      </c>
      <c r="K2719" s="2" t="s">
        <v>294</v>
      </c>
      <c r="L2719" s="2" t="s">
        <v>81</v>
      </c>
      <c r="N2719" s="2" t="s">
        <v>2276</v>
      </c>
      <c r="O2719" s="2" t="s">
        <v>73</v>
      </c>
      <c r="P2719" s="2" t="s">
        <v>1460</v>
      </c>
      <c r="Q2719" s="2" t="s">
        <v>383</v>
      </c>
      <c r="R2719" s="2">
        <v>1</v>
      </c>
      <c r="S2719" s="2">
        <v>240</v>
      </c>
      <c r="T2719" s="2">
        <v>55.2</v>
      </c>
      <c r="U2719" s="2">
        <v>295.2</v>
      </c>
      <c r="V2719" s="2">
        <v>133.91669999999999</v>
      </c>
      <c r="W2719" s="5">
        <f t="shared" si="264"/>
        <v>0.44201375000000004</v>
      </c>
      <c r="Y2719" s="2" t="s">
        <v>3256</v>
      </c>
      <c r="Z2719" s="2" t="s">
        <v>76</v>
      </c>
      <c r="AA2719" s="2" t="s">
        <v>77</v>
      </c>
      <c r="AB2719" s="2" t="s">
        <v>78</v>
      </c>
      <c r="AE2719" s="2">
        <f t="shared" si="261"/>
        <v>0</v>
      </c>
      <c r="AF2719" s="2">
        <v>133.91669999999999</v>
      </c>
      <c r="AI2719" s="2">
        <f t="shared" si="262"/>
        <v>0</v>
      </c>
      <c r="AJ2719" s="2">
        <f t="shared" si="263"/>
        <v>106.08330000000001</v>
      </c>
      <c r="AK2719" s="5">
        <f t="shared" si="265"/>
        <v>0.44201375000000004</v>
      </c>
    </row>
    <row r="2720" spans="1:37" x14ac:dyDescent="0.2">
      <c r="A2720" s="2">
        <v>2025</v>
      </c>
      <c r="B2720" s="2">
        <v>9</v>
      </c>
      <c r="C2720" s="2" t="s">
        <v>1062</v>
      </c>
      <c r="D2720" s="2" t="s">
        <v>184</v>
      </c>
      <c r="E2720" s="2" t="s">
        <v>1063</v>
      </c>
      <c r="F2720" s="2">
        <v>500199523</v>
      </c>
      <c r="G2720" s="2" t="s">
        <v>291</v>
      </c>
      <c r="H2720" s="2" t="s">
        <v>294</v>
      </c>
      <c r="I2720" s="2" t="s">
        <v>1064</v>
      </c>
      <c r="K2720" s="2" t="s">
        <v>294</v>
      </c>
      <c r="L2720" s="2" t="s">
        <v>81</v>
      </c>
      <c r="N2720" s="2" t="s">
        <v>2277</v>
      </c>
      <c r="O2720" s="2" t="s">
        <v>73</v>
      </c>
      <c r="P2720" s="2" t="s">
        <v>2278</v>
      </c>
      <c r="Q2720" s="2" t="s">
        <v>80</v>
      </c>
      <c r="R2720" s="2">
        <v>1</v>
      </c>
      <c r="S2720" s="2">
        <v>210</v>
      </c>
      <c r="T2720" s="2">
        <v>48.3</v>
      </c>
      <c r="U2720" s="2">
        <v>258.3</v>
      </c>
      <c r="V2720" s="2">
        <f>99.79+8.33</f>
        <v>108.12</v>
      </c>
      <c r="W2720" s="5">
        <f t="shared" si="264"/>
        <v>0.4851428571428571</v>
      </c>
      <c r="Y2720" s="2" t="s">
        <v>3256</v>
      </c>
      <c r="Z2720" s="2" t="s">
        <v>76</v>
      </c>
      <c r="AA2720" s="2" t="s">
        <v>77</v>
      </c>
      <c r="AB2720" s="2" t="s">
        <v>78</v>
      </c>
      <c r="AE2720" s="2">
        <f t="shared" si="261"/>
        <v>0</v>
      </c>
      <c r="AF2720" s="2">
        <v>108.12</v>
      </c>
      <c r="AI2720" s="2">
        <f t="shared" si="262"/>
        <v>0</v>
      </c>
      <c r="AJ2720" s="2">
        <f t="shared" si="263"/>
        <v>101.88</v>
      </c>
      <c r="AK2720" s="5">
        <f t="shared" si="265"/>
        <v>0.4851428571428571</v>
      </c>
    </row>
    <row r="2721" spans="1:37" x14ac:dyDescent="0.2">
      <c r="A2721" s="2">
        <v>2025</v>
      </c>
      <c r="B2721" s="2">
        <v>9</v>
      </c>
      <c r="C2721" s="2" t="s">
        <v>1062</v>
      </c>
      <c r="D2721" s="2" t="s">
        <v>184</v>
      </c>
      <c r="E2721" s="2" t="s">
        <v>1063</v>
      </c>
      <c r="F2721" s="2">
        <v>500199523</v>
      </c>
      <c r="G2721" s="2" t="s">
        <v>291</v>
      </c>
      <c r="H2721" s="2" t="s">
        <v>294</v>
      </c>
      <c r="I2721" s="2" t="s">
        <v>1064</v>
      </c>
      <c r="K2721" s="2" t="s">
        <v>294</v>
      </c>
      <c r="L2721" s="2" t="s">
        <v>81</v>
      </c>
      <c r="N2721" s="2" t="s">
        <v>2279</v>
      </c>
      <c r="O2721" s="2" t="s">
        <v>94</v>
      </c>
      <c r="P2721" s="2" t="s">
        <v>95</v>
      </c>
      <c r="Q2721" s="2" t="s">
        <v>96</v>
      </c>
      <c r="R2721" s="2">
        <v>2</v>
      </c>
      <c r="S2721" s="2">
        <v>2.2799999999999998</v>
      </c>
      <c r="T2721" s="2">
        <v>0.52439999999999998</v>
      </c>
      <c r="U2721" s="2">
        <v>2.8043999999999998</v>
      </c>
      <c r="V2721" s="2">
        <v>2.2799999999999998</v>
      </c>
      <c r="W2721" s="5">
        <f t="shared" si="264"/>
        <v>0</v>
      </c>
      <c r="Y2721" s="2" t="s">
        <v>3256</v>
      </c>
      <c r="Z2721" s="2" t="s">
        <v>97</v>
      </c>
      <c r="AA2721" s="2" t="s">
        <v>77</v>
      </c>
      <c r="AB2721" s="2" t="s">
        <v>94</v>
      </c>
      <c r="AE2721" s="2">
        <f t="shared" si="261"/>
        <v>0</v>
      </c>
      <c r="AI2721" s="2">
        <f t="shared" si="262"/>
        <v>0</v>
      </c>
      <c r="AJ2721" s="2">
        <f t="shared" si="263"/>
        <v>0</v>
      </c>
      <c r="AK2721" s="5">
        <f t="shared" si="265"/>
        <v>0</v>
      </c>
    </row>
    <row r="2722" spans="1:37" x14ac:dyDescent="0.2">
      <c r="A2722" s="2">
        <v>2025</v>
      </c>
      <c r="B2722" s="2">
        <v>9</v>
      </c>
      <c r="C2722" s="2" t="s">
        <v>2280</v>
      </c>
      <c r="O2722" s="2" t="s">
        <v>115</v>
      </c>
      <c r="P2722" s="2" t="s">
        <v>962</v>
      </c>
      <c r="Q2722" s="2" t="s">
        <v>716</v>
      </c>
      <c r="R2722" s="2">
        <v>1</v>
      </c>
      <c r="S2722" s="2">
        <v>1790</v>
      </c>
      <c r="T2722" s="2">
        <v>411.7</v>
      </c>
      <c r="U2722" s="2">
        <v>2201.6999999999998</v>
      </c>
      <c r="W2722" s="5">
        <f t="shared" si="264"/>
        <v>1</v>
      </c>
      <c r="Y2722" s="2" t="s">
        <v>105</v>
      </c>
      <c r="Z2722" s="2" t="s">
        <v>583</v>
      </c>
      <c r="AA2722" s="2" t="s">
        <v>707</v>
      </c>
      <c r="AB2722" s="2" t="s">
        <v>115</v>
      </c>
      <c r="AE2722" s="2">
        <f t="shared" si="261"/>
        <v>0</v>
      </c>
      <c r="AI2722" s="2">
        <f t="shared" si="262"/>
        <v>0</v>
      </c>
      <c r="AJ2722" s="2">
        <f t="shared" si="263"/>
        <v>1790</v>
      </c>
      <c r="AK2722" s="5">
        <f t="shared" si="265"/>
        <v>1</v>
      </c>
    </row>
    <row r="2723" spans="1:37" x14ac:dyDescent="0.2">
      <c r="A2723" s="2">
        <v>2025</v>
      </c>
      <c r="B2723" s="2">
        <v>9</v>
      </c>
      <c r="C2723" s="2" t="s">
        <v>2281</v>
      </c>
      <c r="O2723" s="2" t="s">
        <v>283</v>
      </c>
      <c r="P2723" s="2" t="s">
        <v>1006</v>
      </c>
      <c r="Q2723" s="2" t="s">
        <v>1007</v>
      </c>
      <c r="R2723" s="2">
        <v>1</v>
      </c>
      <c r="S2723" s="2">
        <v>119</v>
      </c>
      <c r="T2723" s="2">
        <v>27.37</v>
      </c>
      <c r="U2723" s="2">
        <v>146.37</v>
      </c>
      <c r="W2723" s="5">
        <f t="shared" si="264"/>
        <v>1</v>
      </c>
      <c r="AE2723" s="2">
        <f t="shared" si="261"/>
        <v>0</v>
      </c>
      <c r="AI2723" s="2">
        <f t="shared" si="262"/>
        <v>0</v>
      </c>
      <c r="AJ2723" s="2">
        <f t="shared" si="263"/>
        <v>119</v>
      </c>
      <c r="AK2723" s="5">
        <f t="shared" si="265"/>
        <v>1</v>
      </c>
    </row>
    <row r="2724" spans="1:37" x14ac:dyDescent="0.2">
      <c r="A2724" s="2">
        <v>2025</v>
      </c>
      <c r="B2724" s="2">
        <v>9</v>
      </c>
      <c r="C2724" s="2" t="s">
        <v>2281</v>
      </c>
      <c r="O2724" s="2" t="s">
        <v>283</v>
      </c>
      <c r="P2724" s="2" t="s">
        <v>2255</v>
      </c>
      <c r="Q2724" s="2" t="s">
        <v>2256</v>
      </c>
      <c r="R2724" s="2">
        <v>1</v>
      </c>
      <c r="S2724" s="2">
        <v>12.39</v>
      </c>
      <c r="T2724" s="2">
        <v>2.8496999999999999</v>
      </c>
      <c r="U2724" s="2">
        <v>15.239699999999999</v>
      </c>
      <c r="W2724" s="5">
        <f t="shared" si="264"/>
        <v>1</v>
      </c>
      <c r="AE2724" s="2">
        <f t="shared" si="261"/>
        <v>0</v>
      </c>
      <c r="AI2724" s="2">
        <f t="shared" si="262"/>
        <v>0</v>
      </c>
      <c r="AJ2724" s="2">
        <f t="shared" si="263"/>
        <v>12.39</v>
      </c>
      <c r="AK2724" s="5">
        <f t="shared" si="265"/>
        <v>1</v>
      </c>
    </row>
    <row r="2725" spans="1:37" x14ac:dyDescent="0.2">
      <c r="A2725" s="2">
        <v>2025</v>
      </c>
      <c r="B2725" s="2">
        <v>9</v>
      </c>
      <c r="C2725" s="2" t="s">
        <v>2281</v>
      </c>
      <c r="D2725" s="2" t="s">
        <v>38</v>
      </c>
      <c r="E2725" s="2" t="s">
        <v>39</v>
      </c>
      <c r="F2725" s="2">
        <v>509703496</v>
      </c>
      <c r="G2725" s="2" t="s">
        <v>41</v>
      </c>
      <c r="H2725" s="2" t="s">
        <v>2282</v>
      </c>
      <c r="I2725" s="2" t="s">
        <v>2283</v>
      </c>
      <c r="K2725" s="2" t="s">
        <v>422</v>
      </c>
      <c r="L2725" s="2" t="s">
        <v>41</v>
      </c>
      <c r="N2725" s="2" t="s">
        <v>2284</v>
      </c>
      <c r="O2725" s="2" t="s">
        <v>43</v>
      </c>
      <c r="P2725" s="2" t="s">
        <v>1113</v>
      </c>
      <c r="Q2725" s="2" t="s">
        <v>1114</v>
      </c>
      <c r="R2725" s="2">
        <v>1</v>
      </c>
      <c r="S2725" s="2">
        <v>18.600000000000001</v>
      </c>
      <c r="T2725" s="2">
        <v>4.2779999999999996</v>
      </c>
      <c r="U2725" s="2">
        <v>22.878</v>
      </c>
      <c r="V2725" s="2">
        <v>10</v>
      </c>
      <c r="W2725" s="5">
        <f t="shared" si="264"/>
        <v>0.4623655913978495</v>
      </c>
      <c r="Y2725" s="2" t="s">
        <v>3256</v>
      </c>
      <c r="Z2725" s="2" t="s">
        <v>46</v>
      </c>
      <c r="AA2725" s="2" t="s">
        <v>47</v>
      </c>
      <c r="AB2725" s="2" t="s">
        <v>48</v>
      </c>
      <c r="AE2725" s="2">
        <f t="shared" si="261"/>
        <v>0</v>
      </c>
      <c r="AF2725" s="2">
        <v>10</v>
      </c>
      <c r="AG2725" s="2">
        <v>21</v>
      </c>
      <c r="AI2725" s="2">
        <f t="shared" si="262"/>
        <v>0</v>
      </c>
      <c r="AJ2725" s="2">
        <f t="shared" si="263"/>
        <v>8.6000000000000014</v>
      </c>
      <c r="AK2725" s="5">
        <f t="shared" si="265"/>
        <v>0.4623655913978495</v>
      </c>
    </row>
    <row r="2726" spans="1:37" x14ac:dyDescent="0.2">
      <c r="A2726" s="2">
        <v>2025</v>
      </c>
      <c r="B2726" s="2">
        <v>9</v>
      </c>
      <c r="C2726" s="2" t="s">
        <v>2281</v>
      </c>
      <c r="L2726" s="2" t="s">
        <v>41</v>
      </c>
      <c r="N2726" s="2" t="s">
        <v>2284</v>
      </c>
      <c r="O2726" s="2" t="s">
        <v>43</v>
      </c>
      <c r="P2726" s="2" t="s">
        <v>352</v>
      </c>
      <c r="Q2726" s="2" t="s">
        <v>353</v>
      </c>
      <c r="R2726" s="2">
        <v>1</v>
      </c>
      <c r="S2726" s="2">
        <v>18.600000000000001</v>
      </c>
      <c r="T2726" s="2">
        <v>4.2779999999999996</v>
      </c>
      <c r="U2726" s="2">
        <v>22.878</v>
      </c>
      <c r="V2726" s="2">
        <v>10.67</v>
      </c>
      <c r="W2726" s="5">
        <f t="shared" si="264"/>
        <v>0.42634408602150542</v>
      </c>
      <c r="Y2726" s="2" t="s">
        <v>3256</v>
      </c>
      <c r="Z2726" s="2" t="s">
        <v>46</v>
      </c>
      <c r="AA2726" s="2" t="s">
        <v>47</v>
      </c>
      <c r="AB2726" s="2" t="s">
        <v>48</v>
      </c>
      <c r="AE2726" s="2">
        <f t="shared" si="261"/>
        <v>0</v>
      </c>
      <c r="AF2726" s="2">
        <v>10.67</v>
      </c>
      <c r="AG2726" s="2">
        <v>21</v>
      </c>
      <c r="AI2726" s="2">
        <f t="shared" si="262"/>
        <v>0</v>
      </c>
      <c r="AJ2726" s="2">
        <f t="shared" si="263"/>
        <v>7.9300000000000015</v>
      </c>
      <c r="AK2726" s="5">
        <f t="shared" si="265"/>
        <v>0.42634408602150542</v>
      </c>
    </row>
    <row r="2727" spans="1:37" x14ac:dyDescent="0.2">
      <c r="A2727" s="2">
        <v>2025</v>
      </c>
      <c r="B2727" s="2">
        <v>9</v>
      </c>
      <c r="C2727" s="2" t="s">
        <v>2281</v>
      </c>
      <c r="O2727" s="2" t="s">
        <v>43</v>
      </c>
      <c r="P2727" s="2" t="s">
        <v>49</v>
      </c>
      <c r="Q2727" s="2" t="s">
        <v>50</v>
      </c>
      <c r="R2727" s="2">
        <v>1</v>
      </c>
      <c r="S2727" s="2">
        <v>13</v>
      </c>
      <c r="T2727" s="2">
        <v>2.99</v>
      </c>
      <c r="U2727" s="2">
        <v>15.99</v>
      </c>
      <c r="V2727" s="2">
        <f>6.6267*R2727</f>
        <v>6.6266999999999996</v>
      </c>
      <c r="W2727" s="5">
        <f t="shared" si="264"/>
        <v>0.49025384615384621</v>
      </c>
      <c r="Y2727" s="2" t="s">
        <v>3256</v>
      </c>
      <c r="Z2727" s="2" t="s">
        <v>46</v>
      </c>
      <c r="AA2727" s="2" t="s">
        <v>47</v>
      </c>
      <c r="AB2727" s="2" t="s">
        <v>48</v>
      </c>
      <c r="AE2727" s="2">
        <f t="shared" si="261"/>
        <v>0</v>
      </c>
      <c r="AF2727" s="2">
        <v>6.6266999999999996</v>
      </c>
      <c r="AG2727" s="2">
        <v>12</v>
      </c>
      <c r="AI2727" s="2">
        <f t="shared" si="262"/>
        <v>0</v>
      </c>
      <c r="AJ2727" s="2">
        <f t="shared" si="263"/>
        <v>6.3733000000000004</v>
      </c>
      <c r="AK2727" s="5">
        <f t="shared" si="265"/>
        <v>0.49025384615384621</v>
      </c>
    </row>
    <row r="2728" spans="1:37" x14ac:dyDescent="0.2">
      <c r="A2728" s="2">
        <v>2025</v>
      </c>
      <c r="B2728" s="2">
        <v>9</v>
      </c>
      <c r="C2728" s="2" t="s">
        <v>2281</v>
      </c>
      <c r="O2728" s="2" t="s">
        <v>43</v>
      </c>
      <c r="P2728" s="2" t="s">
        <v>55</v>
      </c>
      <c r="Q2728" s="2" t="s">
        <v>56</v>
      </c>
      <c r="R2728" s="2">
        <v>1</v>
      </c>
      <c r="S2728" s="2">
        <v>18</v>
      </c>
      <c r="T2728" s="2">
        <v>4.1400000000000006</v>
      </c>
      <c r="U2728" s="2">
        <v>22.14</v>
      </c>
      <c r="V2728" s="2">
        <f>10.6*R2728</f>
        <v>10.6</v>
      </c>
      <c r="W2728" s="5">
        <f t="shared" si="264"/>
        <v>0.41111111111111115</v>
      </c>
      <c r="Y2728" s="2" t="s">
        <v>3256</v>
      </c>
      <c r="Z2728" s="2" t="s">
        <v>46</v>
      </c>
      <c r="AA2728" s="2" t="s">
        <v>57</v>
      </c>
      <c r="AB2728" s="2" t="s">
        <v>58</v>
      </c>
      <c r="AE2728" s="2">
        <f t="shared" si="261"/>
        <v>0</v>
      </c>
      <c r="AF2728" s="2">
        <v>10.6</v>
      </c>
      <c r="AG2728" s="2">
        <v>18</v>
      </c>
      <c r="AI2728" s="2">
        <f t="shared" si="262"/>
        <v>0</v>
      </c>
      <c r="AJ2728" s="2">
        <f t="shared" si="263"/>
        <v>7.4</v>
      </c>
      <c r="AK2728" s="5">
        <f t="shared" si="265"/>
        <v>0.41111111111111115</v>
      </c>
    </row>
    <row r="2729" spans="1:37" x14ac:dyDescent="0.2">
      <c r="A2729" s="2">
        <v>2025</v>
      </c>
      <c r="B2729" s="2">
        <v>9</v>
      </c>
      <c r="C2729" s="2" t="s">
        <v>2281</v>
      </c>
      <c r="O2729" s="2" t="s">
        <v>43</v>
      </c>
      <c r="P2729" s="2" t="s">
        <v>62</v>
      </c>
      <c r="Q2729" s="2" t="s">
        <v>63</v>
      </c>
      <c r="R2729" s="2">
        <v>100</v>
      </c>
      <c r="S2729" s="2">
        <v>13</v>
      </c>
      <c r="T2729" s="2">
        <v>2.99</v>
      </c>
      <c r="U2729" s="2">
        <v>15.99</v>
      </c>
      <c r="V2729" s="2">
        <f>0.082*R2729</f>
        <v>8.2000000000000011</v>
      </c>
      <c r="W2729" s="5">
        <f t="shared" si="264"/>
        <v>0.36923076923076914</v>
      </c>
      <c r="Y2729" s="2" t="s">
        <v>3256</v>
      </c>
      <c r="Z2729" s="2" t="s">
        <v>46</v>
      </c>
      <c r="AA2729" s="2" t="s">
        <v>61</v>
      </c>
      <c r="AB2729" s="2" t="s">
        <v>58</v>
      </c>
      <c r="AE2729" s="2">
        <f t="shared" si="261"/>
        <v>0</v>
      </c>
      <c r="AF2729" s="2">
        <v>8.1999999999999993</v>
      </c>
      <c r="AG2729" s="2">
        <v>13</v>
      </c>
      <c r="AI2729" s="2">
        <f t="shared" si="262"/>
        <v>0</v>
      </c>
      <c r="AJ2729" s="2">
        <f t="shared" si="263"/>
        <v>4.7999999999999989</v>
      </c>
      <c r="AK2729" s="5">
        <f t="shared" si="265"/>
        <v>0.36923076923076914</v>
      </c>
    </row>
    <row r="2730" spans="1:37" x14ac:dyDescent="0.2">
      <c r="A2730" s="2">
        <v>2025</v>
      </c>
      <c r="B2730" s="2">
        <v>9</v>
      </c>
      <c r="C2730" s="2" t="s">
        <v>1080</v>
      </c>
      <c r="O2730" s="2" t="s">
        <v>283</v>
      </c>
      <c r="P2730" s="2" t="s">
        <v>1552</v>
      </c>
      <c r="Q2730" s="2" t="s">
        <v>1553</v>
      </c>
      <c r="R2730" s="2">
        <v>6</v>
      </c>
      <c r="S2730" s="2">
        <v>52.98</v>
      </c>
      <c r="T2730" s="2">
        <v>12.1854</v>
      </c>
      <c r="U2730" s="2">
        <v>65.165399999999991</v>
      </c>
      <c r="W2730" s="5">
        <f t="shared" si="264"/>
        <v>1</v>
      </c>
      <c r="Y2730" s="2" t="s">
        <v>3256</v>
      </c>
      <c r="Z2730" s="2" t="s">
        <v>583</v>
      </c>
      <c r="AA2730" s="2" t="s">
        <v>120</v>
      </c>
      <c r="AB2730" s="2" t="s">
        <v>1337</v>
      </c>
      <c r="AE2730" s="2">
        <f t="shared" si="261"/>
        <v>0</v>
      </c>
      <c r="AI2730" s="2">
        <f t="shared" si="262"/>
        <v>0</v>
      </c>
      <c r="AJ2730" s="2">
        <f t="shared" si="263"/>
        <v>52.98</v>
      </c>
      <c r="AK2730" s="5">
        <f t="shared" si="265"/>
        <v>1</v>
      </c>
    </row>
    <row r="2731" spans="1:37" x14ac:dyDescent="0.2">
      <c r="A2731" s="2">
        <v>2025</v>
      </c>
      <c r="B2731" s="2">
        <v>9</v>
      </c>
      <c r="C2731" s="2" t="s">
        <v>1080</v>
      </c>
      <c r="O2731" s="2" t="s">
        <v>283</v>
      </c>
      <c r="P2731" s="2" t="s">
        <v>2285</v>
      </c>
      <c r="Q2731" s="2" t="s">
        <v>2286</v>
      </c>
      <c r="R2731" s="2">
        <v>1</v>
      </c>
      <c r="S2731" s="2">
        <v>42</v>
      </c>
      <c r="T2731" s="2">
        <v>9.66</v>
      </c>
      <c r="U2731" s="2">
        <v>51.66</v>
      </c>
      <c r="W2731" s="5">
        <f t="shared" si="264"/>
        <v>1</v>
      </c>
      <c r="Y2731" s="2" t="s">
        <v>3256</v>
      </c>
      <c r="Z2731" s="2" t="s">
        <v>583</v>
      </c>
      <c r="AA2731" s="2" t="s">
        <v>120</v>
      </c>
      <c r="AB2731" s="2" t="s">
        <v>1337</v>
      </c>
      <c r="AE2731" s="2">
        <f t="shared" si="261"/>
        <v>0</v>
      </c>
      <c r="AI2731" s="2">
        <f t="shared" si="262"/>
        <v>0</v>
      </c>
      <c r="AJ2731" s="2">
        <f t="shared" si="263"/>
        <v>42</v>
      </c>
      <c r="AK2731" s="5">
        <f t="shared" si="265"/>
        <v>1</v>
      </c>
    </row>
    <row r="2732" spans="1:37" x14ac:dyDescent="0.2">
      <c r="A2732" s="2">
        <v>2025</v>
      </c>
      <c r="B2732" s="2">
        <v>9</v>
      </c>
      <c r="C2732" s="2" t="s">
        <v>1080</v>
      </c>
      <c r="O2732" s="2" t="s">
        <v>283</v>
      </c>
      <c r="P2732" s="2" t="s">
        <v>1800</v>
      </c>
      <c r="Q2732" s="2" t="s">
        <v>1801</v>
      </c>
      <c r="R2732" s="2">
        <v>1</v>
      </c>
      <c r="S2732" s="2">
        <v>59.95</v>
      </c>
      <c r="T2732" s="2">
        <v>13.788500000000001</v>
      </c>
      <c r="U2732" s="2">
        <v>73.738500000000002</v>
      </c>
      <c r="W2732" s="5">
        <f t="shared" si="264"/>
        <v>1</v>
      </c>
      <c r="AE2732" s="2">
        <f t="shared" si="261"/>
        <v>0</v>
      </c>
      <c r="AI2732" s="2">
        <f t="shared" si="262"/>
        <v>0</v>
      </c>
      <c r="AJ2732" s="2">
        <f t="shared" si="263"/>
        <v>59.95</v>
      </c>
      <c r="AK2732" s="5">
        <f t="shared" si="265"/>
        <v>1</v>
      </c>
    </row>
    <row r="2733" spans="1:37" x14ac:dyDescent="0.2">
      <c r="A2733" s="2">
        <v>2025</v>
      </c>
      <c r="B2733" s="2">
        <v>9</v>
      </c>
      <c r="C2733" s="2" t="s">
        <v>1080</v>
      </c>
      <c r="O2733" s="2" t="s">
        <v>283</v>
      </c>
      <c r="P2733" s="2" t="s">
        <v>1802</v>
      </c>
      <c r="Q2733" s="2" t="s">
        <v>1801</v>
      </c>
      <c r="R2733" s="2">
        <v>1</v>
      </c>
      <c r="S2733" s="2">
        <v>59.95</v>
      </c>
      <c r="T2733" s="2">
        <v>13.788500000000001</v>
      </c>
      <c r="U2733" s="2">
        <v>73.738500000000002</v>
      </c>
      <c r="W2733" s="5">
        <f t="shared" si="264"/>
        <v>1</v>
      </c>
      <c r="AE2733" s="2">
        <f t="shared" si="261"/>
        <v>0</v>
      </c>
      <c r="AI2733" s="2">
        <f t="shared" si="262"/>
        <v>0</v>
      </c>
      <c r="AJ2733" s="2">
        <f t="shared" si="263"/>
        <v>59.95</v>
      </c>
      <c r="AK2733" s="5">
        <f t="shared" si="265"/>
        <v>1</v>
      </c>
    </row>
    <row r="2734" spans="1:37" x14ac:dyDescent="0.2">
      <c r="A2734" s="2">
        <v>2025</v>
      </c>
      <c r="B2734" s="2">
        <v>9</v>
      </c>
      <c r="C2734" s="2" t="s">
        <v>2069</v>
      </c>
      <c r="L2734" s="2" t="s">
        <v>40</v>
      </c>
      <c r="O2734" s="2" t="s">
        <v>188</v>
      </c>
      <c r="P2734" s="2" t="s">
        <v>189</v>
      </c>
      <c r="Q2734" s="2" t="s">
        <v>190</v>
      </c>
      <c r="R2734" s="2">
        <v>1</v>
      </c>
      <c r="S2734" s="2">
        <v>114</v>
      </c>
      <c r="T2734" s="2">
        <v>26.22</v>
      </c>
      <c r="U2734" s="2">
        <v>140.22</v>
      </c>
      <c r="W2734" s="5">
        <f t="shared" si="264"/>
        <v>1</v>
      </c>
      <c r="Y2734" s="2" t="s">
        <v>118</v>
      </c>
      <c r="Z2734" s="2" t="s">
        <v>191</v>
      </c>
      <c r="AE2734" s="2">
        <f t="shared" si="261"/>
        <v>0</v>
      </c>
      <c r="AI2734" s="2">
        <f t="shared" si="262"/>
        <v>0</v>
      </c>
      <c r="AJ2734" s="2">
        <f t="shared" si="263"/>
        <v>114</v>
      </c>
      <c r="AK2734" s="5">
        <f t="shared" si="265"/>
        <v>1</v>
      </c>
    </row>
    <row r="2735" spans="1:37" x14ac:dyDescent="0.2">
      <c r="A2735" s="2">
        <v>2025</v>
      </c>
      <c r="B2735" s="2">
        <v>9</v>
      </c>
      <c r="C2735" s="2" t="s">
        <v>2069</v>
      </c>
      <c r="L2735" s="2" t="s">
        <v>40</v>
      </c>
      <c r="O2735" s="2" t="s">
        <v>188</v>
      </c>
      <c r="P2735" s="2" t="s">
        <v>192</v>
      </c>
      <c r="Q2735" s="2" t="s">
        <v>191</v>
      </c>
      <c r="R2735" s="2">
        <v>4</v>
      </c>
      <c r="S2735" s="2">
        <v>200</v>
      </c>
      <c r="T2735" s="2">
        <v>46</v>
      </c>
      <c r="U2735" s="2">
        <v>246</v>
      </c>
      <c r="V2735" s="2">
        <f>S2735*50%</f>
        <v>100</v>
      </c>
      <c r="W2735" s="5">
        <f t="shared" si="264"/>
        <v>0.5</v>
      </c>
      <c r="Y2735" s="2" t="s">
        <v>118</v>
      </c>
      <c r="Z2735" s="2" t="s">
        <v>191</v>
      </c>
      <c r="AE2735" s="2">
        <f t="shared" si="261"/>
        <v>0</v>
      </c>
      <c r="AI2735" s="2">
        <f t="shared" si="262"/>
        <v>0</v>
      </c>
      <c r="AJ2735" s="2">
        <f t="shared" si="263"/>
        <v>100</v>
      </c>
      <c r="AK2735" s="5">
        <f t="shared" si="265"/>
        <v>0.5</v>
      </c>
    </row>
    <row r="2736" spans="1:37" x14ac:dyDescent="0.2">
      <c r="A2736" s="2">
        <v>2025</v>
      </c>
      <c r="B2736" s="2">
        <v>9</v>
      </c>
      <c r="C2736" s="2" t="s">
        <v>2069</v>
      </c>
      <c r="O2736" s="2" t="s">
        <v>40</v>
      </c>
      <c r="P2736" s="2" t="s">
        <v>364</v>
      </c>
      <c r="Q2736" s="2" t="s">
        <v>365</v>
      </c>
      <c r="R2736" s="2">
        <v>3</v>
      </c>
      <c r="S2736" s="2">
        <v>220.11</v>
      </c>
      <c r="T2736" s="2">
        <v>50.625300000000003</v>
      </c>
      <c r="U2736" s="2">
        <v>270.7353</v>
      </c>
      <c r="W2736" s="5">
        <f t="shared" si="264"/>
        <v>1</v>
      </c>
      <c r="Y2736" s="2" t="s">
        <v>120</v>
      </c>
      <c r="AE2736" s="2">
        <f t="shared" si="261"/>
        <v>0</v>
      </c>
      <c r="AI2736" s="2">
        <f t="shared" si="262"/>
        <v>0</v>
      </c>
      <c r="AJ2736" s="2">
        <f t="shared" si="263"/>
        <v>220.11</v>
      </c>
      <c r="AK2736" s="5">
        <f t="shared" si="265"/>
        <v>1</v>
      </c>
    </row>
    <row r="2737" spans="1:37" x14ac:dyDescent="0.2">
      <c r="A2737" s="2">
        <v>2025</v>
      </c>
      <c r="B2737" s="2">
        <v>9</v>
      </c>
      <c r="C2737" s="2" t="s">
        <v>534</v>
      </c>
      <c r="D2737" s="2" t="s">
        <v>109</v>
      </c>
      <c r="E2737" s="2" t="s">
        <v>535</v>
      </c>
      <c r="F2737" s="2">
        <v>502139552</v>
      </c>
      <c r="G2737" s="2" t="s">
        <v>40</v>
      </c>
      <c r="H2737" s="2" t="s">
        <v>340</v>
      </c>
      <c r="I2737" s="2" t="s">
        <v>536</v>
      </c>
      <c r="K2737" s="2" t="s">
        <v>340</v>
      </c>
      <c r="L2737" s="2" t="s">
        <v>81</v>
      </c>
      <c r="O2737" s="2" t="s">
        <v>73</v>
      </c>
      <c r="P2737" s="2" t="s">
        <v>74</v>
      </c>
      <c r="Q2737" s="2" t="s">
        <v>75</v>
      </c>
      <c r="R2737" s="2">
        <v>1</v>
      </c>
      <c r="S2737" s="2">
        <v>209.99</v>
      </c>
      <c r="T2737" s="2">
        <v>48.297700000000013</v>
      </c>
      <c r="U2737" s="2">
        <v>258.28769999999997</v>
      </c>
      <c r="V2737" s="2">
        <v>117.453</v>
      </c>
      <c r="W2737" s="5">
        <f t="shared" si="264"/>
        <v>0.44067336539835233</v>
      </c>
      <c r="Y2737" s="2" t="s">
        <v>3256</v>
      </c>
      <c r="Z2737" s="2" t="s">
        <v>76</v>
      </c>
      <c r="AA2737" s="2" t="s">
        <v>77</v>
      </c>
      <c r="AB2737" s="2" t="s">
        <v>78</v>
      </c>
      <c r="AE2737" s="2">
        <f t="shared" si="261"/>
        <v>0</v>
      </c>
      <c r="AF2737" s="2">
        <v>117.453</v>
      </c>
      <c r="AG2737" s="2">
        <v>220</v>
      </c>
      <c r="AI2737" s="2">
        <f t="shared" si="262"/>
        <v>0</v>
      </c>
      <c r="AJ2737" s="2">
        <f t="shared" si="263"/>
        <v>92.537000000000006</v>
      </c>
      <c r="AK2737" s="5">
        <f t="shared" si="265"/>
        <v>0.44067336539835233</v>
      </c>
    </row>
    <row r="2738" spans="1:37" x14ac:dyDescent="0.2">
      <c r="A2738" s="2">
        <v>2025</v>
      </c>
      <c r="B2738" s="2">
        <v>9</v>
      </c>
      <c r="C2738" s="2" t="s">
        <v>534</v>
      </c>
      <c r="D2738" s="2" t="s">
        <v>109</v>
      </c>
      <c r="E2738" s="2" t="s">
        <v>535</v>
      </c>
      <c r="F2738" s="2">
        <v>502139552</v>
      </c>
      <c r="G2738" s="2" t="s">
        <v>40</v>
      </c>
      <c r="H2738" s="2" t="s">
        <v>340</v>
      </c>
      <c r="I2738" s="2" t="s">
        <v>536</v>
      </c>
      <c r="K2738" s="2" t="s">
        <v>340</v>
      </c>
      <c r="L2738" s="2" t="s">
        <v>81</v>
      </c>
      <c r="O2738" s="2" t="s">
        <v>94</v>
      </c>
      <c r="P2738" s="2" t="s">
        <v>95</v>
      </c>
      <c r="Q2738" s="2" t="s">
        <v>96</v>
      </c>
      <c r="R2738" s="2">
        <v>1</v>
      </c>
      <c r="S2738" s="2">
        <v>1.1399999999999999</v>
      </c>
      <c r="T2738" s="2">
        <v>0.26219999999999999</v>
      </c>
      <c r="U2738" s="2">
        <v>1.4021999999999999</v>
      </c>
      <c r="V2738" s="2">
        <v>1.1399999999999999</v>
      </c>
      <c r="W2738" s="5">
        <f t="shared" si="264"/>
        <v>0</v>
      </c>
      <c r="Y2738" s="2" t="s">
        <v>3256</v>
      </c>
      <c r="Z2738" s="2" t="s">
        <v>97</v>
      </c>
      <c r="AA2738" s="2" t="s">
        <v>77</v>
      </c>
      <c r="AB2738" s="2" t="s">
        <v>94</v>
      </c>
      <c r="AE2738" s="2">
        <f t="shared" si="261"/>
        <v>0</v>
      </c>
      <c r="AI2738" s="2">
        <f t="shared" si="262"/>
        <v>0</v>
      </c>
      <c r="AJ2738" s="2">
        <f t="shared" si="263"/>
        <v>0</v>
      </c>
      <c r="AK2738" s="5">
        <f t="shared" si="265"/>
        <v>0</v>
      </c>
    </row>
    <row r="2739" spans="1:37" x14ac:dyDescent="0.2">
      <c r="A2739" s="2">
        <v>2025</v>
      </c>
      <c r="B2739" s="2">
        <v>9</v>
      </c>
      <c r="C2739" s="2" t="s">
        <v>553</v>
      </c>
      <c r="D2739" s="2" t="s">
        <v>109</v>
      </c>
      <c r="E2739" s="2" t="s">
        <v>397</v>
      </c>
      <c r="F2739" s="2">
        <v>503641790</v>
      </c>
      <c r="G2739" s="2" t="s">
        <v>40</v>
      </c>
      <c r="H2739" s="2" t="s">
        <v>554</v>
      </c>
      <c r="I2739" s="2" t="s">
        <v>555</v>
      </c>
      <c r="J2739" s="2">
        <v>917753665</v>
      </c>
      <c r="K2739" s="2" t="s">
        <v>100</v>
      </c>
      <c r="L2739" s="2" t="s">
        <v>40</v>
      </c>
      <c r="N2739" s="2" t="s">
        <v>2287</v>
      </c>
      <c r="O2739" s="2" t="s">
        <v>115</v>
      </c>
      <c r="P2739" s="2" t="s">
        <v>565</v>
      </c>
      <c r="Q2739" s="2" t="s">
        <v>566</v>
      </c>
      <c r="R2739" s="2">
        <v>2</v>
      </c>
      <c r="S2739" s="2">
        <v>24.49</v>
      </c>
      <c r="T2739" s="2">
        <v>5.6326999999999998</v>
      </c>
      <c r="U2739" s="2">
        <v>30.122699999999998</v>
      </c>
      <c r="V2739" s="2">
        <v>10.66</v>
      </c>
      <c r="W2739" s="5">
        <f t="shared" si="264"/>
        <v>0.56472029399754997</v>
      </c>
      <c r="Y2739" s="2" t="s">
        <v>118</v>
      </c>
      <c r="Z2739" s="2" t="s">
        <v>119</v>
      </c>
      <c r="AA2739" s="2" t="s">
        <v>120</v>
      </c>
      <c r="AB2739" s="2" t="s">
        <v>115</v>
      </c>
      <c r="AE2739" s="2">
        <f t="shared" si="261"/>
        <v>0</v>
      </c>
      <c r="AF2739" s="2">
        <v>5.33</v>
      </c>
      <c r="AI2739" s="2">
        <f t="shared" si="262"/>
        <v>0</v>
      </c>
      <c r="AJ2739" s="2">
        <f t="shared" si="263"/>
        <v>13.829999999999998</v>
      </c>
      <c r="AK2739" s="5">
        <f t="shared" si="265"/>
        <v>0.56472029399754997</v>
      </c>
    </row>
    <row r="2740" spans="1:37" x14ac:dyDescent="0.2">
      <c r="A2740" s="2">
        <v>2025</v>
      </c>
      <c r="B2740" s="2">
        <v>9</v>
      </c>
      <c r="C2740" s="2" t="s">
        <v>553</v>
      </c>
      <c r="D2740" s="2" t="s">
        <v>109</v>
      </c>
      <c r="E2740" s="2" t="s">
        <v>397</v>
      </c>
      <c r="F2740" s="2">
        <v>503641790</v>
      </c>
      <c r="G2740" s="2" t="s">
        <v>40</v>
      </c>
      <c r="H2740" s="2" t="s">
        <v>554</v>
      </c>
      <c r="I2740" s="2" t="s">
        <v>555</v>
      </c>
      <c r="J2740" s="2">
        <v>917753665</v>
      </c>
      <c r="K2740" s="2" t="s">
        <v>100</v>
      </c>
      <c r="L2740" s="2" t="s">
        <v>81</v>
      </c>
      <c r="N2740" s="2" t="s">
        <v>2288</v>
      </c>
      <c r="O2740" s="2" t="s">
        <v>73</v>
      </c>
      <c r="P2740" s="2" t="s">
        <v>307</v>
      </c>
      <c r="Q2740" s="2" t="s">
        <v>308</v>
      </c>
      <c r="R2740" s="2">
        <v>1</v>
      </c>
      <c r="S2740" s="2">
        <v>220</v>
      </c>
      <c r="T2740" s="2">
        <v>50.6</v>
      </c>
      <c r="U2740" s="2">
        <v>270.60000000000002</v>
      </c>
      <c r="V2740" s="2">
        <v>119.33</v>
      </c>
      <c r="W2740" s="5">
        <f t="shared" si="264"/>
        <v>0.4575909090909091</v>
      </c>
      <c r="Y2740" s="2" t="s">
        <v>3256</v>
      </c>
      <c r="Z2740" s="2" t="s">
        <v>76</v>
      </c>
      <c r="AA2740" s="2" t="s">
        <v>77</v>
      </c>
      <c r="AB2740" s="2" t="s">
        <v>78</v>
      </c>
      <c r="AE2740" s="2">
        <f t="shared" si="261"/>
        <v>0</v>
      </c>
      <c r="AF2740" s="2">
        <v>119.33</v>
      </c>
      <c r="AG2740" s="2">
        <v>220</v>
      </c>
      <c r="AI2740" s="2">
        <f t="shared" si="262"/>
        <v>0</v>
      </c>
      <c r="AJ2740" s="2">
        <f t="shared" si="263"/>
        <v>100.67</v>
      </c>
      <c r="AK2740" s="5">
        <f t="shared" si="265"/>
        <v>0.4575909090909091</v>
      </c>
    </row>
    <row r="2741" spans="1:37" x14ac:dyDescent="0.2">
      <c r="A2741" s="2">
        <v>2025</v>
      </c>
      <c r="B2741" s="2">
        <v>9</v>
      </c>
      <c r="C2741" s="2" t="s">
        <v>553</v>
      </c>
      <c r="D2741" s="2" t="s">
        <v>109</v>
      </c>
      <c r="E2741" s="2" t="s">
        <v>397</v>
      </c>
      <c r="F2741" s="2">
        <v>503641790</v>
      </c>
      <c r="G2741" s="2" t="s">
        <v>40</v>
      </c>
      <c r="H2741" s="2" t="s">
        <v>554</v>
      </c>
      <c r="I2741" s="2" t="s">
        <v>555</v>
      </c>
      <c r="J2741" s="2">
        <v>917753665</v>
      </c>
      <c r="K2741" s="2" t="s">
        <v>100</v>
      </c>
      <c r="L2741" s="2" t="s">
        <v>81</v>
      </c>
      <c r="N2741" s="2" t="s">
        <v>2288</v>
      </c>
      <c r="O2741" s="2" t="s">
        <v>94</v>
      </c>
      <c r="P2741" s="2" t="s">
        <v>95</v>
      </c>
      <c r="Q2741" s="2" t="s">
        <v>96</v>
      </c>
      <c r="R2741" s="2">
        <v>1</v>
      </c>
      <c r="S2741" s="2">
        <v>1.1399999999999999</v>
      </c>
      <c r="T2741" s="2">
        <v>0.26219999999999999</v>
      </c>
      <c r="U2741" s="2">
        <v>1.4021999999999999</v>
      </c>
      <c r="V2741" s="2">
        <v>1.1399999999999999</v>
      </c>
      <c r="W2741" s="5">
        <f t="shared" si="264"/>
        <v>0</v>
      </c>
      <c r="Y2741" s="2" t="s">
        <v>3256</v>
      </c>
      <c r="Z2741" s="2" t="s">
        <v>97</v>
      </c>
      <c r="AA2741" s="2" t="s">
        <v>77</v>
      </c>
      <c r="AB2741" s="2" t="s">
        <v>94</v>
      </c>
      <c r="AE2741" s="2">
        <f t="shared" si="261"/>
        <v>0</v>
      </c>
      <c r="AF2741" s="2">
        <v>1.1399999999999999</v>
      </c>
      <c r="AG2741" s="2">
        <v>1.1399999999999999</v>
      </c>
      <c r="AI2741" s="2">
        <f t="shared" si="262"/>
        <v>0</v>
      </c>
      <c r="AJ2741" s="2">
        <f t="shared" si="263"/>
        <v>0</v>
      </c>
      <c r="AK2741" s="5">
        <f t="shared" si="265"/>
        <v>0</v>
      </c>
    </row>
    <row r="2742" spans="1:37" x14ac:dyDescent="0.2">
      <c r="A2742" s="2">
        <v>2025</v>
      </c>
      <c r="B2742" s="2">
        <v>9</v>
      </c>
      <c r="C2742" s="2" t="s">
        <v>562</v>
      </c>
      <c r="D2742" s="2" t="s">
        <v>109</v>
      </c>
      <c r="E2742" s="2" t="s">
        <v>39</v>
      </c>
      <c r="F2742" s="2">
        <v>506517233</v>
      </c>
      <c r="G2742" s="2" t="s">
        <v>81</v>
      </c>
      <c r="H2742" s="2" t="s">
        <v>563</v>
      </c>
      <c r="I2742" s="2" t="s">
        <v>564</v>
      </c>
      <c r="K2742" s="2" t="s">
        <v>134</v>
      </c>
      <c r="L2742" s="2" t="s">
        <v>40</v>
      </c>
      <c r="O2742" s="2" t="s">
        <v>115</v>
      </c>
      <c r="P2742" s="2" t="s">
        <v>735</v>
      </c>
      <c r="Q2742" s="2" t="s">
        <v>736</v>
      </c>
      <c r="R2742" s="2">
        <v>1</v>
      </c>
      <c r="S2742" s="2">
        <v>44.98</v>
      </c>
      <c r="T2742" s="2">
        <v>10.3454</v>
      </c>
      <c r="U2742" s="2">
        <v>55.325399999999988</v>
      </c>
      <c r="W2742" s="5">
        <f t="shared" si="264"/>
        <v>1</v>
      </c>
      <c r="AE2742" s="2">
        <f t="shared" si="261"/>
        <v>0</v>
      </c>
      <c r="AI2742" s="2">
        <f t="shared" si="262"/>
        <v>0</v>
      </c>
      <c r="AJ2742" s="2">
        <f t="shared" si="263"/>
        <v>44.98</v>
      </c>
      <c r="AK2742" s="5">
        <f t="shared" si="265"/>
        <v>1</v>
      </c>
    </row>
    <row r="2743" spans="1:37" x14ac:dyDescent="0.2">
      <c r="A2743" s="2">
        <v>2025</v>
      </c>
      <c r="B2743" s="2">
        <v>9</v>
      </c>
      <c r="C2743" s="2" t="s">
        <v>567</v>
      </c>
      <c r="D2743" s="2" t="s">
        <v>109</v>
      </c>
      <c r="E2743" s="2" t="s">
        <v>39</v>
      </c>
      <c r="F2743" s="2">
        <v>510917011</v>
      </c>
      <c r="G2743" s="2" t="s">
        <v>41</v>
      </c>
      <c r="H2743" s="2" t="s">
        <v>568</v>
      </c>
      <c r="I2743" s="2" t="s">
        <v>569</v>
      </c>
      <c r="K2743" s="2" t="s">
        <v>422</v>
      </c>
      <c r="L2743" s="2" t="s">
        <v>40</v>
      </c>
      <c r="N2743" s="2" t="s">
        <v>2289</v>
      </c>
      <c r="O2743" s="2" t="s">
        <v>188</v>
      </c>
      <c r="P2743" s="2" t="s">
        <v>189</v>
      </c>
      <c r="Q2743" s="2" t="s">
        <v>190</v>
      </c>
      <c r="R2743" s="2">
        <v>1</v>
      </c>
      <c r="S2743" s="2">
        <v>107</v>
      </c>
      <c r="T2743" s="2">
        <v>24.61</v>
      </c>
      <c r="U2743" s="2">
        <v>131.61000000000001</v>
      </c>
      <c r="W2743" s="5">
        <f t="shared" si="264"/>
        <v>1</v>
      </c>
      <c r="Y2743" s="2" t="s">
        <v>118</v>
      </c>
      <c r="Z2743" s="2" t="s">
        <v>191</v>
      </c>
      <c r="AE2743" s="2">
        <f t="shared" si="261"/>
        <v>0</v>
      </c>
      <c r="AI2743" s="2">
        <f t="shared" si="262"/>
        <v>0</v>
      </c>
      <c r="AJ2743" s="2">
        <f t="shared" si="263"/>
        <v>107</v>
      </c>
      <c r="AK2743" s="5">
        <f t="shared" si="265"/>
        <v>1</v>
      </c>
    </row>
    <row r="2744" spans="1:37" x14ac:dyDescent="0.2">
      <c r="A2744" s="2">
        <v>2025</v>
      </c>
      <c r="B2744" s="2">
        <v>9</v>
      </c>
      <c r="C2744" s="2" t="s">
        <v>567</v>
      </c>
      <c r="D2744" s="2" t="s">
        <v>109</v>
      </c>
      <c r="E2744" s="2" t="s">
        <v>39</v>
      </c>
      <c r="F2744" s="2">
        <v>510917011</v>
      </c>
      <c r="G2744" s="2" t="s">
        <v>41</v>
      </c>
      <c r="H2744" s="2" t="s">
        <v>568</v>
      </c>
      <c r="I2744" s="2" t="s">
        <v>569</v>
      </c>
      <c r="K2744" s="2" t="s">
        <v>422</v>
      </c>
      <c r="L2744" s="2" t="s">
        <v>40</v>
      </c>
      <c r="N2744" s="2" t="s">
        <v>2289</v>
      </c>
      <c r="O2744" s="2" t="s">
        <v>188</v>
      </c>
      <c r="P2744" s="2" t="s">
        <v>192</v>
      </c>
      <c r="Q2744" s="2" t="s">
        <v>191</v>
      </c>
      <c r="R2744" s="2">
        <v>1</v>
      </c>
      <c r="S2744" s="2">
        <v>50</v>
      </c>
      <c r="T2744" s="2">
        <v>11.5</v>
      </c>
      <c r="U2744" s="2">
        <v>61.5</v>
      </c>
      <c r="V2744" s="2">
        <f>S2744*50%</f>
        <v>25</v>
      </c>
      <c r="W2744" s="5">
        <f t="shared" si="264"/>
        <v>0.5</v>
      </c>
      <c r="Y2744" s="2" t="s">
        <v>118</v>
      </c>
      <c r="Z2744" s="2" t="s">
        <v>191</v>
      </c>
      <c r="AE2744" s="2">
        <f t="shared" si="261"/>
        <v>0</v>
      </c>
      <c r="AI2744" s="2">
        <f t="shared" si="262"/>
        <v>0</v>
      </c>
      <c r="AJ2744" s="2">
        <f t="shared" si="263"/>
        <v>25</v>
      </c>
      <c r="AK2744" s="5">
        <f t="shared" si="265"/>
        <v>0.5</v>
      </c>
    </row>
    <row r="2745" spans="1:37" x14ac:dyDescent="0.2">
      <c r="A2745" s="2">
        <v>2025</v>
      </c>
      <c r="B2745" s="2">
        <v>9</v>
      </c>
      <c r="C2745" s="2" t="s">
        <v>1097</v>
      </c>
      <c r="D2745" s="2" t="s">
        <v>109</v>
      </c>
      <c r="E2745" s="2" t="s">
        <v>39</v>
      </c>
      <c r="F2745" s="2">
        <v>505194147</v>
      </c>
      <c r="G2745" s="2" t="s">
        <v>110</v>
      </c>
      <c r="H2745" s="2" t="s">
        <v>1098</v>
      </c>
      <c r="I2745" s="2" t="s">
        <v>1099</v>
      </c>
      <c r="J2745" s="2">
        <v>917523997</v>
      </c>
      <c r="K2745" s="2" t="s">
        <v>113</v>
      </c>
      <c r="L2745" s="2" t="s">
        <v>40</v>
      </c>
      <c r="N2745" s="2" t="s">
        <v>2290</v>
      </c>
      <c r="O2745" s="2" t="s">
        <v>115</v>
      </c>
      <c r="P2745" s="2" t="s">
        <v>2291</v>
      </c>
      <c r="Q2745" s="2" t="s">
        <v>2292</v>
      </c>
      <c r="R2745" s="2">
        <v>1</v>
      </c>
      <c r="S2745" s="2">
        <v>123.57</v>
      </c>
      <c r="T2745" s="2">
        <v>28.421099999999999</v>
      </c>
      <c r="U2745" s="2">
        <v>151.99109999999999</v>
      </c>
      <c r="W2745" s="5">
        <f t="shared" si="264"/>
        <v>1</v>
      </c>
      <c r="Y2745" s="2" t="s">
        <v>118</v>
      </c>
      <c r="Z2745" s="2" t="s">
        <v>119</v>
      </c>
      <c r="AE2745" s="2">
        <f t="shared" si="261"/>
        <v>0</v>
      </c>
      <c r="AI2745" s="2">
        <f t="shared" si="262"/>
        <v>0</v>
      </c>
      <c r="AJ2745" s="2">
        <f t="shared" si="263"/>
        <v>123.57</v>
      </c>
      <c r="AK2745" s="5">
        <f t="shared" si="265"/>
        <v>1</v>
      </c>
    </row>
    <row r="2746" spans="1:37" x14ac:dyDescent="0.2">
      <c r="A2746" s="2">
        <v>2025</v>
      </c>
      <c r="B2746" s="2">
        <v>9</v>
      </c>
      <c r="C2746" s="2" t="s">
        <v>1097</v>
      </c>
      <c r="D2746" s="2" t="s">
        <v>109</v>
      </c>
      <c r="E2746" s="2" t="s">
        <v>39</v>
      </c>
      <c r="F2746" s="2">
        <v>505194147</v>
      </c>
      <c r="G2746" s="2" t="s">
        <v>110</v>
      </c>
      <c r="H2746" s="2" t="s">
        <v>1098</v>
      </c>
      <c r="I2746" s="2" t="s">
        <v>1099</v>
      </c>
      <c r="J2746" s="2">
        <v>917523997</v>
      </c>
      <c r="K2746" s="2" t="s">
        <v>113</v>
      </c>
      <c r="L2746" s="2" t="s">
        <v>40</v>
      </c>
      <c r="N2746" s="2" t="s">
        <v>2293</v>
      </c>
      <c r="O2746" s="2" t="s">
        <v>283</v>
      </c>
      <c r="P2746" s="2" t="s">
        <v>804</v>
      </c>
      <c r="Q2746" s="2" t="s">
        <v>805</v>
      </c>
      <c r="R2746" s="2">
        <v>1</v>
      </c>
      <c r="S2746" s="2">
        <v>0</v>
      </c>
      <c r="T2746" s="2">
        <v>0</v>
      </c>
      <c r="U2746" s="2">
        <v>0</v>
      </c>
      <c r="W2746" s="5">
        <v>0</v>
      </c>
      <c r="Y2746" s="2" t="s">
        <v>3256</v>
      </c>
      <c r="AE2746" s="2">
        <f t="shared" si="261"/>
        <v>0</v>
      </c>
      <c r="AI2746" s="2">
        <f t="shared" si="262"/>
        <v>0</v>
      </c>
      <c r="AJ2746" s="2">
        <f t="shared" si="263"/>
        <v>0</v>
      </c>
      <c r="AK2746" s="5" t="e">
        <f t="shared" si="265"/>
        <v>#DIV/0!</v>
      </c>
    </row>
    <row r="2747" spans="1:37" x14ac:dyDescent="0.2">
      <c r="A2747" s="2">
        <v>2025</v>
      </c>
      <c r="B2747" s="2">
        <v>9</v>
      </c>
      <c r="C2747" s="2" t="s">
        <v>1097</v>
      </c>
      <c r="D2747" s="2" t="s">
        <v>109</v>
      </c>
      <c r="E2747" s="2" t="s">
        <v>39</v>
      </c>
      <c r="F2747" s="2">
        <v>505194147</v>
      </c>
      <c r="G2747" s="2" t="s">
        <v>110</v>
      </c>
      <c r="H2747" s="2" t="s">
        <v>1098</v>
      </c>
      <c r="I2747" s="2" t="s">
        <v>1099</v>
      </c>
      <c r="J2747" s="2">
        <v>917523997</v>
      </c>
      <c r="K2747" s="2" t="s">
        <v>113</v>
      </c>
      <c r="L2747" s="2" t="s">
        <v>40</v>
      </c>
      <c r="N2747" s="2" t="s">
        <v>2293</v>
      </c>
      <c r="O2747" s="2" t="s">
        <v>283</v>
      </c>
      <c r="P2747" s="2" t="s">
        <v>532</v>
      </c>
      <c r="Q2747" s="2" t="s">
        <v>533</v>
      </c>
      <c r="R2747" s="2">
        <v>2</v>
      </c>
      <c r="S2747" s="2">
        <v>798</v>
      </c>
      <c r="T2747" s="2">
        <v>183.54</v>
      </c>
      <c r="U2747" s="2">
        <v>981.54</v>
      </c>
      <c r="W2747" s="5">
        <f t="shared" ref="W2747:W2773" si="266">(S2747-V2747)/S2747</f>
        <v>1</v>
      </c>
      <c r="Y2747" s="2" t="s">
        <v>3256</v>
      </c>
      <c r="AE2747" s="2">
        <f t="shared" si="261"/>
        <v>0</v>
      </c>
      <c r="AI2747" s="2">
        <f t="shared" si="262"/>
        <v>0</v>
      </c>
      <c r="AJ2747" s="2">
        <f t="shared" si="263"/>
        <v>798</v>
      </c>
      <c r="AK2747" s="5">
        <f t="shared" si="265"/>
        <v>1</v>
      </c>
    </row>
    <row r="2748" spans="1:37" x14ac:dyDescent="0.2">
      <c r="A2748" s="2">
        <v>2025</v>
      </c>
      <c r="B2748" s="2">
        <v>9</v>
      </c>
      <c r="C2748" s="2" t="s">
        <v>2294</v>
      </c>
      <c r="L2748" s="2" t="s">
        <v>40</v>
      </c>
      <c r="O2748" s="2" t="s">
        <v>188</v>
      </c>
      <c r="P2748" s="2" t="s">
        <v>189</v>
      </c>
      <c r="Q2748" s="2" t="s">
        <v>190</v>
      </c>
      <c r="R2748" s="2">
        <v>1</v>
      </c>
      <c r="S2748" s="2">
        <v>102</v>
      </c>
      <c r="T2748" s="2">
        <v>23.46</v>
      </c>
      <c r="U2748" s="2">
        <v>125.46</v>
      </c>
      <c r="W2748" s="5">
        <f t="shared" si="266"/>
        <v>1</v>
      </c>
      <c r="Y2748" s="2" t="s">
        <v>118</v>
      </c>
      <c r="Z2748" s="2" t="s">
        <v>191</v>
      </c>
      <c r="AE2748" s="2">
        <f t="shared" si="261"/>
        <v>0</v>
      </c>
      <c r="AI2748" s="2">
        <f t="shared" si="262"/>
        <v>0</v>
      </c>
      <c r="AJ2748" s="2">
        <f t="shared" si="263"/>
        <v>102</v>
      </c>
      <c r="AK2748" s="5">
        <f t="shared" si="265"/>
        <v>1</v>
      </c>
    </row>
    <row r="2749" spans="1:37" x14ac:dyDescent="0.2">
      <c r="A2749" s="2">
        <v>2025</v>
      </c>
      <c r="B2749" s="2">
        <v>9</v>
      </c>
      <c r="C2749" s="2" t="s">
        <v>2294</v>
      </c>
      <c r="L2749" s="2" t="s">
        <v>40</v>
      </c>
      <c r="O2749" s="2" t="s">
        <v>188</v>
      </c>
      <c r="P2749" s="2" t="s">
        <v>192</v>
      </c>
      <c r="Q2749" s="2" t="s">
        <v>191</v>
      </c>
      <c r="R2749" s="2">
        <v>1</v>
      </c>
      <c r="S2749" s="2">
        <v>45</v>
      </c>
      <c r="T2749" s="2">
        <v>10.35</v>
      </c>
      <c r="U2749" s="2">
        <v>55.35</v>
      </c>
      <c r="V2749" s="2">
        <f>S2749*50%</f>
        <v>22.5</v>
      </c>
      <c r="W2749" s="5">
        <f t="shared" si="266"/>
        <v>0.5</v>
      </c>
      <c r="Y2749" s="2" t="s">
        <v>118</v>
      </c>
      <c r="Z2749" s="2" t="s">
        <v>191</v>
      </c>
      <c r="AE2749" s="2">
        <f t="shared" si="261"/>
        <v>0</v>
      </c>
      <c r="AI2749" s="2">
        <f t="shared" si="262"/>
        <v>0</v>
      </c>
      <c r="AJ2749" s="2">
        <f t="shared" si="263"/>
        <v>22.5</v>
      </c>
      <c r="AK2749" s="5">
        <f t="shared" si="265"/>
        <v>0.5</v>
      </c>
    </row>
    <row r="2750" spans="1:37" x14ac:dyDescent="0.2">
      <c r="A2750" s="2">
        <v>2025</v>
      </c>
      <c r="B2750" s="2">
        <v>9</v>
      </c>
      <c r="C2750" s="2" t="s">
        <v>2294</v>
      </c>
      <c r="O2750" s="2" t="s">
        <v>40</v>
      </c>
      <c r="P2750" s="2" t="s">
        <v>364</v>
      </c>
      <c r="Q2750" s="2" t="s">
        <v>365</v>
      </c>
      <c r="R2750" s="2">
        <v>1</v>
      </c>
      <c r="S2750" s="2">
        <v>99.75</v>
      </c>
      <c r="T2750" s="2">
        <v>22.942499999999999</v>
      </c>
      <c r="U2750" s="2">
        <v>122.6925</v>
      </c>
      <c r="W2750" s="5">
        <f t="shared" si="266"/>
        <v>1</v>
      </c>
      <c r="Y2750" s="2" t="s">
        <v>120</v>
      </c>
      <c r="AE2750" s="2">
        <f t="shared" si="261"/>
        <v>0</v>
      </c>
      <c r="AI2750" s="2">
        <f t="shared" si="262"/>
        <v>0</v>
      </c>
      <c r="AJ2750" s="2">
        <f t="shared" si="263"/>
        <v>99.75</v>
      </c>
      <c r="AK2750" s="5">
        <f t="shared" si="265"/>
        <v>1</v>
      </c>
    </row>
    <row r="2751" spans="1:37" x14ac:dyDescent="0.2">
      <c r="A2751" s="2">
        <v>2025</v>
      </c>
      <c r="B2751" s="2">
        <v>9</v>
      </c>
      <c r="C2751" s="2" t="s">
        <v>1300</v>
      </c>
      <c r="O2751" s="2" t="s">
        <v>115</v>
      </c>
      <c r="P2751" s="2" t="s">
        <v>2295</v>
      </c>
      <c r="Q2751" s="2" t="s">
        <v>2296</v>
      </c>
      <c r="R2751" s="2">
        <v>3</v>
      </c>
      <c r="S2751" s="2">
        <v>23.62</v>
      </c>
      <c r="T2751" s="2">
        <v>5.4326000000000008</v>
      </c>
      <c r="U2751" s="2">
        <v>29.052600000000002</v>
      </c>
      <c r="W2751" s="5">
        <f t="shared" si="266"/>
        <v>1</v>
      </c>
      <c r="AE2751" s="2">
        <f t="shared" si="261"/>
        <v>0</v>
      </c>
      <c r="AI2751" s="2">
        <f t="shared" si="262"/>
        <v>0</v>
      </c>
      <c r="AJ2751" s="2">
        <f t="shared" si="263"/>
        <v>23.62</v>
      </c>
      <c r="AK2751" s="5">
        <f t="shared" si="265"/>
        <v>1</v>
      </c>
    </row>
    <row r="2752" spans="1:37" x14ac:dyDescent="0.2">
      <c r="A2752" s="2">
        <v>2025</v>
      </c>
      <c r="B2752" s="2">
        <v>9</v>
      </c>
      <c r="C2752" s="2" t="s">
        <v>1300</v>
      </c>
      <c r="O2752" s="2" t="s">
        <v>115</v>
      </c>
      <c r="P2752" s="2" t="s">
        <v>1708</v>
      </c>
      <c r="Q2752" s="2" t="s">
        <v>1709</v>
      </c>
      <c r="R2752" s="2">
        <v>1</v>
      </c>
      <c r="S2752" s="2">
        <v>63.16</v>
      </c>
      <c r="T2752" s="2">
        <v>14.5268</v>
      </c>
      <c r="U2752" s="2">
        <v>77.686799999999991</v>
      </c>
      <c r="W2752" s="5">
        <f t="shared" si="266"/>
        <v>1</v>
      </c>
      <c r="AE2752" s="2">
        <f t="shared" si="261"/>
        <v>0</v>
      </c>
      <c r="AI2752" s="2">
        <f t="shared" si="262"/>
        <v>0</v>
      </c>
      <c r="AJ2752" s="2">
        <f t="shared" si="263"/>
        <v>63.16</v>
      </c>
      <c r="AK2752" s="5">
        <f t="shared" si="265"/>
        <v>1</v>
      </c>
    </row>
    <row r="2753" spans="1:37" x14ac:dyDescent="0.2">
      <c r="A2753" s="2">
        <v>2025</v>
      </c>
      <c r="B2753" s="2">
        <v>9</v>
      </c>
      <c r="C2753" s="2" t="s">
        <v>1300</v>
      </c>
      <c r="O2753" s="2" t="s">
        <v>73</v>
      </c>
      <c r="P2753" s="2" t="s">
        <v>74</v>
      </c>
      <c r="Q2753" s="2" t="s">
        <v>75</v>
      </c>
      <c r="R2753" s="2">
        <v>1</v>
      </c>
      <c r="S2753" s="2">
        <v>203.32</v>
      </c>
      <c r="T2753" s="2">
        <v>46.763599999999997</v>
      </c>
      <c r="U2753" s="2">
        <v>250.08359999999999</v>
      </c>
      <c r="V2753" s="2">
        <v>117.453</v>
      </c>
      <c r="W2753" s="5">
        <f t="shared" si="266"/>
        <v>0.42232441471571902</v>
      </c>
      <c r="Y2753" s="2" t="s">
        <v>3256</v>
      </c>
      <c r="Z2753" s="2" t="s">
        <v>76</v>
      </c>
      <c r="AA2753" s="2" t="s">
        <v>77</v>
      </c>
      <c r="AB2753" s="2" t="s">
        <v>78</v>
      </c>
      <c r="AE2753" s="2">
        <f t="shared" si="261"/>
        <v>0</v>
      </c>
      <c r="AF2753" s="2">
        <v>117.453</v>
      </c>
      <c r="AG2753" s="2">
        <v>220</v>
      </c>
      <c r="AI2753" s="2">
        <f t="shared" si="262"/>
        <v>0</v>
      </c>
      <c r="AJ2753" s="2">
        <f t="shared" si="263"/>
        <v>85.86699999999999</v>
      </c>
      <c r="AK2753" s="5">
        <f t="shared" si="265"/>
        <v>0.42232441471571902</v>
      </c>
    </row>
    <row r="2754" spans="1:37" x14ac:dyDescent="0.2">
      <c r="A2754" s="2">
        <v>2025</v>
      </c>
      <c r="B2754" s="2">
        <v>9</v>
      </c>
      <c r="C2754" s="2" t="s">
        <v>1300</v>
      </c>
      <c r="L2754" s="2" t="s">
        <v>40</v>
      </c>
      <c r="O2754" s="2" t="s">
        <v>188</v>
      </c>
      <c r="P2754" s="2" t="s">
        <v>189</v>
      </c>
      <c r="Q2754" s="2" t="s">
        <v>190</v>
      </c>
      <c r="R2754" s="2">
        <v>1</v>
      </c>
      <c r="S2754" s="2">
        <v>0</v>
      </c>
      <c r="T2754" s="2">
        <v>0</v>
      </c>
      <c r="U2754" s="2">
        <v>0</v>
      </c>
      <c r="W2754" s="5" t="e">
        <f t="shared" si="266"/>
        <v>#DIV/0!</v>
      </c>
      <c r="Y2754" s="2" t="s">
        <v>118</v>
      </c>
      <c r="Z2754" s="2" t="s">
        <v>191</v>
      </c>
      <c r="AE2754" s="2">
        <f t="shared" si="261"/>
        <v>0</v>
      </c>
      <c r="AI2754" s="2">
        <f t="shared" si="262"/>
        <v>0</v>
      </c>
      <c r="AJ2754" s="2">
        <f t="shared" si="263"/>
        <v>0</v>
      </c>
      <c r="AK2754" s="5" t="e">
        <f t="shared" si="265"/>
        <v>#DIV/0!</v>
      </c>
    </row>
    <row r="2755" spans="1:37" x14ac:dyDescent="0.2">
      <c r="A2755" s="2">
        <v>2025</v>
      </c>
      <c r="B2755" s="2">
        <v>9</v>
      </c>
      <c r="C2755" s="2" t="s">
        <v>1300</v>
      </c>
      <c r="L2755" s="2" t="s">
        <v>40</v>
      </c>
      <c r="O2755" s="2" t="s">
        <v>188</v>
      </c>
      <c r="P2755" s="2" t="s">
        <v>192</v>
      </c>
      <c r="Q2755" s="2" t="s">
        <v>191</v>
      </c>
      <c r="R2755" s="2">
        <v>2</v>
      </c>
      <c r="S2755" s="2">
        <v>45</v>
      </c>
      <c r="T2755" s="2">
        <v>10.35</v>
      </c>
      <c r="U2755" s="2">
        <v>55.35</v>
      </c>
      <c r="V2755" s="2">
        <f>S2755*50%</f>
        <v>22.5</v>
      </c>
      <c r="W2755" s="5">
        <f t="shared" si="266"/>
        <v>0.5</v>
      </c>
      <c r="Y2755" s="2" t="s">
        <v>118</v>
      </c>
      <c r="Z2755" s="2" t="s">
        <v>191</v>
      </c>
      <c r="AE2755" s="2">
        <f t="shared" ref="AE2755:AE2818" si="267">AI2755</f>
        <v>0</v>
      </c>
      <c r="AI2755" s="2">
        <f t="shared" ref="AI2755:AI2818" si="268">AH2755*S2755</f>
        <v>0</v>
      </c>
      <c r="AJ2755" s="2">
        <f t="shared" ref="AJ2755:AJ2818" si="269">S2755-V2755</f>
        <v>22.5</v>
      </c>
      <c r="AK2755" s="5">
        <f t="shared" si="265"/>
        <v>0.5</v>
      </c>
    </row>
    <row r="2756" spans="1:37" x14ac:dyDescent="0.2">
      <c r="A2756" s="2">
        <v>2025</v>
      </c>
      <c r="B2756" s="2">
        <v>9</v>
      </c>
      <c r="C2756" s="2" t="s">
        <v>1300</v>
      </c>
      <c r="O2756" s="2" t="s">
        <v>94</v>
      </c>
      <c r="P2756" s="2" t="s">
        <v>95</v>
      </c>
      <c r="Q2756" s="2" t="s">
        <v>96</v>
      </c>
      <c r="R2756" s="2">
        <v>1</v>
      </c>
      <c r="S2756" s="2">
        <v>1.1399999999999999</v>
      </c>
      <c r="T2756" s="2">
        <v>0.26219999999999999</v>
      </c>
      <c r="U2756" s="2">
        <v>1.4021999999999999</v>
      </c>
      <c r="V2756" s="2">
        <v>1.1399999999999999</v>
      </c>
      <c r="W2756" s="5">
        <f t="shared" si="266"/>
        <v>0</v>
      </c>
      <c r="Y2756" s="2" t="s">
        <v>3256</v>
      </c>
      <c r="Z2756" s="2" t="s">
        <v>97</v>
      </c>
      <c r="AA2756" s="2" t="s">
        <v>77</v>
      </c>
      <c r="AB2756" s="2" t="s">
        <v>94</v>
      </c>
      <c r="AE2756" s="2">
        <f t="shared" si="267"/>
        <v>0</v>
      </c>
      <c r="AI2756" s="2">
        <f t="shared" si="268"/>
        <v>0</v>
      </c>
      <c r="AJ2756" s="2">
        <f t="shared" si="269"/>
        <v>0</v>
      </c>
      <c r="AK2756" s="5">
        <f t="shared" si="265"/>
        <v>0</v>
      </c>
    </row>
    <row r="2757" spans="1:37" x14ac:dyDescent="0.2">
      <c r="A2757" s="2">
        <v>2025</v>
      </c>
      <c r="B2757" s="2">
        <v>9</v>
      </c>
      <c r="C2757" s="2" t="s">
        <v>573</v>
      </c>
      <c r="D2757" s="2" t="s">
        <v>38</v>
      </c>
      <c r="E2757" s="2" t="s">
        <v>39</v>
      </c>
      <c r="F2757" s="2">
        <v>506267547</v>
      </c>
      <c r="G2757" s="2" t="s">
        <v>291</v>
      </c>
      <c r="H2757" s="2" t="s">
        <v>574</v>
      </c>
      <c r="I2757" s="2" t="s">
        <v>575</v>
      </c>
      <c r="J2757" s="2">
        <v>917821904</v>
      </c>
      <c r="K2757" s="2" t="s">
        <v>576</v>
      </c>
      <c r="L2757" s="2" t="s">
        <v>81</v>
      </c>
      <c r="N2757" s="2" t="s">
        <v>2297</v>
      </c>
      <c r="O2757" s="2" t="s">
        <v>43</v>
      </c>
      <c r="P2757" s="2" t="s">
        <v>62</v>
      </c>
      <c r="Q2757" s="2" t="s">
        <v>63</v>
      </c>
      <c r="R2757" s="2">
        <v>100</v>
      </c>
      <c r="S2757" s="2">
        <v>13</v>
      </c>
      <c r="T2757" s="2">
        <v>2.99</v>
      </c>
      <c r="U2757" s="2">
        <v>15.99</v>
      </c>
      <c r="V2757" s="2">
        <f>0.082*R2757</f>
        <v>8.2000000000000011</v>
      </c>
      <c r="W2757" s="5">
        <f t="shared" si="266"/>
        <v>0.36923076923076914</v>
      </c>
      <c r="Y2757" s="2" t="s">
        <v>3256</v>
      </c>
      <c r="Z2757" s="2" t="s">
        <v>46</v>
      </c>
      <c r="AA2757" s="2" t="s">
        <v>61</v>
      </c>
      <c r="AB2757" s="2" t="s">
        <v>58</v>
      </c>
      <c r="AE2757" s="2">
        <f t="shared" si="267"/>
        <v>0</v>
      </c>
      <c r="AF2757" s="2">
        <v>8.1999999999999993</v>
      </c>
      <c r="AG2757" s="2">
        <v>13</v>
      </c>
      <c r="AI2757" s="2">
        <f t="shared" si="268"/>
        <v>0</v>
      </c>
      <c r="AJ2757" s="2">
        <f t="shared" si="269"/>
        <v>4.7999999999999989</v>
      </c>
      <c r="AK2757" s="5">
        <f t="shared" si="265"/>
        <v>0.36923076923076914</v>
      </c>
    </row>
    <row r="2758" spans="1:37" x14ac:dyDescent="0.2">
      <c r="A2758" s="2">
        <v>2025</v>
      </c>
      <c r="B2758" s="2">
        <v>9</v>
      </c>
      <c r="C2758" s="2" t="s">
        <v>573</v>
      </c>
      <c r="D2758" s="2" t="s">
        <v>38</v>
      </c>
      <c r="E2758" s="2" t="s">
        <v>39</v>
      </c>
      <c r="F2758" s="2">
        <v>506267547</v>
      </c>
      <c r="G2758" s="2" t="s">
        <v>291</v>
      </c>
      <c r="H2758" s="2" t="s">
        <v>574</v>
      </c>
      <c r="I2758" s="2" t="s">
        <v>575</v>
      </c>
      <c r="J2758" s="2">
        <v>917821904</v>
      </c>
      <c r="K2758" s="2" t="s">
        <v>576</v>
      </c>
      <c r="L2758" s="2" t="s">
        <v>81</v>
      </c>
      <c r="N2758" s="2" t="s">
        <v>2297</v>
      </c>
      <c r="O2758" s="2" t="s">
        <v>170</v>
      </c>
      <c r="P2758" s="2" t="s">
        <v>171</v>
      </c>
      <c r="Q2758" s="2" t="s">
        <v>171</v>
      </c>
      <c r="R2758" s="2">
        <v>1</v>
      </c>
      <c r="S2758" s="2">
        <v>8</v>
      </c>
      <c r="T2758" s="2">
        <v>1.84</v>
      </c>
      <c r="U2758" s="2">
        <v>9.84</v>
      </c>
      <c r="W2758" s="5">
        <f t="shared" si="266"/>
        <v>1</v>
      </c>
      <c r="Y2758" s="2" t="s">
        <v>170</v>
      </c>
      <c r="Z2758" s="2" t="s">
        <v>170</v>
      </c>
      <c r="AE2758" s="2">
        <f t="shared" si="267"/>
        <v>0</v>
      </c>
      <c r="AI2758" s="2">
        <f t="shared" si="268"/>
        <v>0</v>
      </c>
      <c r="AJ2758" s="2">
        <f t="shared" si="269"/>
        <v>8</v>
      </c>
      <c r="AK2758" s="5">
        <f t="shared" si="265"/>
        <v>1</v>
      </c>
    </row>
    <row r="2759" spans="1:37" x14ac:dyDescent="0.2">
      <c r="A2759" s="2">
        <v>2025</v>
      </c>
      <c r="B2759" s="2">
        <v>9</v>
      </c>
      <c r="C2759" s="2" t="s">
        <v>1962</v>
      </c>
      <c r="O2759" s="2" t="s">
        <v>115</v>
      </c>
      <c r="P2759" s="2" t="s">
        <v>416</v>
      </c>
      <c r="Q2759" s="2" t="s">
        <v>417</v>
      </c>
      <c r="R2759" s="2">
        <v>1</v>
      </c>
      <c r="S2759" s="2">
        <v>15990</v>
      </c>
      <c r="T2759" s="2">
        <v>3677.7</v>
      </c>
      <c r="U2759" s="2">
        <v>19667.7</v>
      </c>
      <c r="V2759" s="2">
        <v>10669.4</v>
      </c>
      <c r="W2759" s="5">
        <f t="shared" si="266"/>
        <v>0.33274546591619764</v>
      </c>
      <c r="Y2759" s="2" t="s">
        <v>105</v>
      </c>
      <c r="Z2759" s="2" t="s">
        <v>418</v>
      </c>
      <c r="AA2759" s="2" t="s">
        <v>152</v>
      </c>
      <c r="AB2759" s="2" t="s">
        <v>115</v>
      </c>
      <c r="AE2759" s="2">
        <f t="shared" si="267"/>
        <v>0</v>
      </c>
      <c r="AI2759" s="2">
        <f t="shared" si="268"/>
        <v>0</v>
      </c>
      <c r="AJ2759" s="2">
        <f t="shared" si="269"/>
        <v>5320.6</v>
      </c>
      <c r="AK2759" s="5">
        <f t="shared" si="265"/>
        <v>0.33274546591619764</v>
      </c>
    </row>
    <row r="2760" spans="1:37" x14ac:dyDescent="0.2">
      <c r="A2760" s="2">
        <v>2025</v>
      </c>
      <c r="B2760" s="2">
        <v>9</v>
      </c>
      <c r="C2760" s="2" t="s">
        <v>579</v>
      </c>
      <c r="D2760" s="2" t="s">
        <v>38</v>
      </c>
      <c r="E2760" s="2" t="s">
        <v>39</v>
      </c>
      <c r="F2760" s="2">
        <v>504811029</v>
      </c>
      <c r="G2760" s="2" t="s">
        <v>41</v>
      </c>
      <c r="H2760" s="2" t="s">
        <v>178</v>
      </c>
      <c r="I2760" s="2" t="s">
        <v>580</v>
      </c>
      <c r="K2760" s="2" t="s">
        <v>178</v>
      </c>
      <c r="L2760" s="2" t="s">
        <v>41</v>
      </c>
      <c r="O2760" s="2" t="s">
        <v>43</v>
      </c>
      <c r="P2760" s="2" t="s">
        <v>55</v>
      </c>
      <c r="Q2760" s="2" t="s">
        <v>56</v>
      </c>
      <c r="R2760" s="2">
        <v>10</v>
      </c>
      <c r="S2760" s="2">
        <v>140</v>
      </c>
      <c r="T2760" s="2">
        <v>32.200000000000003</v>
      </c>
      <c r="U2760" s="2">
        <v>172.2</v>
      </c>
      <c r="V2760" s="2">
        <f>10.6*R2760</f>
        <v>106</v>
      </c>
      <c r="W2760" s="5">
        <f t="shared" si="266"/>
        <v>0.24285714285714285</v>
      </c>
      <c r="Y2760" s="2" t="s">
        <v>3256</v>
      </c>
      <c r="Z2760" s="2" t="s">
        <v>46</v>
      </c>
      <c r="AA2760" s="2" t="s">
        <v>57</v>
      </c>
      <c r="AB2760" s="2" t="s">
        <v>58</v>
      </c>
      <c r="AE2760" s="2">
        <f t="shared" si="267"/>
        <v>0</v>
      </c>
      <c r="AF2760" s="2">
        <v>10.6</v>
      </c>
      <c r="AG2760" s="2">
        <v>18</v>
      </c>
      <c r="AI2760" s="2">
        <f t="shared" si="268"/>
        <v>0</v>
      </c>
      <c r="AJ2760" s="2">
        <f t="shared" si="269"/>
        <v>34</v>
      </c>
      <c r="AK2760" s="5">
        <f t="shared" si="265"/>
        <v>0.24285714285714285</v>
      </c>
    </row>
    <row r="2761" spans="1:37" x14ac:dyDescent="0.2">
      <c r="A2761" s="2">
        <v>2025</v>
      </c>
      <c r="B2761" s="2">
        <v>9</v>
      </c>
      <c r="C2761" s="2" t="s">
        <v>2298</v>
      </c>
      <c r="O2761" s="2" t="s">
        <v>115</v>
      </c>
      <c r="P2761" s="2" t="s">
        <v>416</v>
      </c>
      <c r="Q2761" s="2" t="s">
        <v>417</v>
      </c>
      <c r="R2761" s="2">
        <v>1</v>
      </c>
      <c r="S2761" s="2">
        <v>15000</v>
      </c>
      <c r="T2761" s="2">
        <v>3450</v>
      </c>
      <c r="U2761" s="2">
        <v>18450</v>
      </c>
      <c r="V2761" s="2">
        <v>10669.4</v>
      </c>
      <c r="W2761" s="5">
        <f t="shared" si="266"/>
        <v>0.28870666666666667</v>
      </c>
      <c r="Y2761" s="2" t="s">
        <v>105</v>
      </c>
      <c r="Z2761" s="2" t="s">
        <v>418</v>
      </c>
      <c r="AA2761" s="2" t="s">
        <v>152</v>
      </c>
      <c r="AB2761" s="2" t="s">
        <v>115</v>
      </c>
      <c r="AE2761" s="2">
        <f t="shared" si="267"/>
        <v>0</v>
      </c>
      <c r="AI2761" s="2">
        <f t="shared" si="268"/>
        <v>0</v>
      </c>
      <c r="AJ2761" s="2">
        <f t="shared" si="269"/>
        <v>4330.6000000000004</v>
      </c>
      <c r="AK2761" s="5">
        <f t="shared" si="265"/>
        <v>0.28870666666666667</v>
      </c>
    </row>
    <row r="2762" spans="1:37" x14ac:dyDescent="0.2">
      <c r="A2762" s="2">
        <v>2025</v>
      </c>
      <c r="B2762" s="2">
        <v>9</v>
      </c>
      <c r="C2762" s="2" t="s">
        <v>586</v>
      </c>
      <c r="L2762" s="2" t="s">
        <v>41</v>
      </c>
      <c r="N2762" s="2" t="s">
        <v>2299</v>
      </c>
      <c r="O2762" s="2" t="s">
        <v>43</v>
      </c>
      <c r="P2762" s="2" t="s">
        <v>352</v>
      </c>
      <c r="Q2762" s="2" t="s">
        <v>353</v>
      </c>
      <c r="R2762" s="2">
        <v>1</v>
      </c>
      <c r="S2762" s="2">
        <v>18.600000000000001</v>
      </c>
      <c r="T2762" s="2">
        <v>4.2779999999999996</v>
      </c>
      <c r="U2762" s="2">
        <v>22.878</v>
      </c>
      <c r="V2762" s="2">
        <v>10.67</v>
      </c>
      <c r="W2762" s="5">
        <f t="shared" si="266"/>
        <v>0.42634408602150542</v>
      </c>
      <c r="Y2762" s="2" t="s">
        <v>3256</v>
      </c>
      <c r="Z2762" s="2" t="s">
        <v>46</v>
      </c>
      <c r="AA2762" s="2" t="s">
        <v>47</v>
      </c>
      <c r="AB2762" s="2" t="s">
        <v>48</v>
      </c>
      <c r="AE2762" s="2">
        <f t="shared" si="267"/>
        <v>0</v>
      </c>
      <c r="AF2762" s="2">
        <v>10.67</v>
      </c>
      <c r="AG2762" s="2">
        <v>21</v>
      </c>
      <c r="AI2762" s="2">
        <f t="shared" si="268"/>
        <v>0</v>
      </c>
      <c r="AJ2762" s="2">
        <f t="shared" si="269"/>
        <v>7.9300000000000015</v>
      </c>
      <c r="AK2762" s="5">
        <f t="shared" si="265"/>
        <v>0.42634408602150542</v>
      </c>
    </row>
    <row r="2763" spans="1:37" x14ac:dyDescent="0.2">
      <c r="A2763" s="2">
        <v>2025</v>
      </c>
      <c r="B2763" s="2">
        <v>9</v>
      </c>
      <c r="C2763" s="2" t="s">
        <v>586</v>
      </c>
      <c r="O2763" s="2" t="s">
        <v>43</v>
      </c>
      <c r="P2763" s="2" t="s">
        <v>597</v>
      </c>
      <c r="Q2763" s="2" t="s">
        <v>598</v>
      </c>
      <c r="R2763" s="2">
        <v>1</v>
      </c>
      <c r="S2763" s="2">
        <v>30</v>
      </c>
      <c r="T2763" s="2">
        <v>6.9</v>
      </c>
      <c r="U2763" s="2">
        <v>36.9</v>
      </c>
      <c r="W2763" s="5">
        <f t="shared" si="266"/>
        <v>1</v>
      </c>
      <c r="Y2763" s="2" t="s">
        <v>3256</v>
      </c>
      <c r="Z2763" s="2" t="s">
        <v>46</v>
      </c>
      <c r="AA2763" s="2" t="s">
        <v>47</v>
      </c>
      <c r="AB2763" s="2" t="s">
        <v>48</v>
      </c>
      <c r="AE2763" s="2">
        <f t="shared" si="267"/>
        <v>0</v>
      </c>
      <c r="AI2763" s="2">
        <f t="shared" si="268"/>
        <v>0</v>
      </c>
      <c r="AJ2763" s="2">
        <f t="shared" si="269"/>
        <v>30</v>
      </c>
      <c r="AK2763" s="5">
        <f t="shared" si="265"/>
        <v>1</v>
      </c>
    </row>
    <row r="2764" spans="1:37" x14ac:dyDescent="0.2">
      <c r="A2764" s="2">
        <v>2025</v>
      </c>
      <c r="B2764" s="2">
        <v>9</v>
      </c>
      <c r="C2764" s="2" t="s">
        <v>586</v>
      </c>
      <c r="O2764" s="2" t="s">
        <v>43</v>
      </c>
      <c r="P2764" s="2" t="s">
        <v>62</v>
      </c>
      <c r="Q2764" s="2" t="s">
        <v>63</v>
      </c>
      <c r="R2764" s="2">
        <v>1000</v>
      </c>
      <c r="S2764" s="2">
        <v>105</v>
      </c>
      <c r="T2764" s="2">
        <v>24.15</v>
      </c>
      <c r="U2764" s="2">
        <v>129.15</v>
      </c>
      <c r="V2764" s="2">
        <f>0.082*R2764</f>
        <v>82</v>
      </c>
      <c r="W2764" s="5">
        <f t="shared" si="266"/>
        <v>0.21904761904761905</v>
      </c>
      <c r="Y2764" s="2" t="s">
        <v>3256</v>
      </c>
      <c r="Z2764" s="2" t="s">
        <v>46</v>
      </c>
      <c r="AA2764" s="2" t="s">
        <v>61</v>
      </c>
      <c r="AB2764" s="2" t="s">
        <v>58</v>
      </c>
      <c r="AE2764" s="2">
        <f t="shared" si="267"/>
        <v>0</v>
      </c>
      <c r="AF2764" s="2">
        <v>8.1999999999999993</v>
      </c>
      <c r="AG2764" s="2">
        <v>13</v>
      </c>
      <c r="AI2764" s="2">
        <f t="shared" si="268"/>
        <v>0</v>
      </c>
      <c r="AJ2764" s="2">
        <f t="shared" si="269"/>
        <v>23</v>
      </c>
      <c r="AK2764" s="5">
        <f t="shared" si="265"/>
        <v>0.21904761904761905</v>
      </c>
    </row>
    <row r="2765" spans="1:37" x14ac:dyDescent="0.2">
      <c r="A2765" s="2">
        <v>2025</v>
      </c>
      <c r="B2765" s="2">
        <v>9</v>
      </c>
      <c r="C2765" s="2" t="s">
        <v>587</v>
      </c>
      <c r="D2765" s="2" t="s">
        <v>109</v>
      </c>
      <c r="F2765" s="2">
        <v>503850276</v>
      </c>
      <c r="G2765" s="2" t="s">
        <v>40</v>
      </c>
      <c r="H2765" s="2" t="s">
        <v>588</v>
      </c>
      <c r="I2765" s="2" t="s">
        <v>589</v>
      </c>
      <c r="K2765" s="2" t="s">
        <v>202</v>
      </c>
      <c r="O2765" s="2" t="s">
        <v>115</v>
      </c>
      <c r="P2765" s="2" t="s">
        <v>1939</v>
      </c>
      <c r="Q2765" s="2" t="s">
        <v>1940</v>
      </c>
      <c r="R2765" s="2">
        <v>1</v>
      </c>
      <c r="S2765" s="2">
        <v>24500</v>
      </c>
      <c r="T2765" s="2">
        <v>5635</v>
      </c>
      <c r="U2765" s="2">
        <v>30135</v>
      </c>
      <c r="W2765" s="5">
        <f t="shared" si="266"/>
        <v>1</v>
      </c>
      <c r="AE2765" s="2">
        <f t="shared" si="267"/>
        <v>0</v>
      </c>
      <c r="AI2765" s="2">
        <f t="shared" si="268"/>
        <v>0</v>
      </c>
      <c r="AJ2765" s="2">
        <f t="shared" si="269"/>
        <v>24500</v>
      </c>
      <c r="AK2765" s="5">
        <f t="shared" si="265"/>
        <v>1</v>
      </c>
    </row>
    <row r="2766" spans="1:37" x14ac:dyDescent="0.2">
      <c r="A2766" s="2">
        <v>2025</v>
      </c>
      <c r="B2766" s="2">
        <v>9</v>
      </c>
      <c r="C2766" s="2" t="s">
        <v>587</v>
      </c>
      <c r="D2766" s="2" t="s">
        <v>109</v>
      </c>
      <c r="F2766" s="2">
        <v>503850276</v>
      </c>
      <c r="G2766" s="2" t="s">
        <v>40</v>
      </c>
      <c r="H2766" s="2" t="s">
        <v>588</v>
      </c>
      <c r="I2766" s="2" t="s">
        <v>589</v>
      </c>
      <c r="K2766" s="2" t="s">
        <v>202</v>
      </c>
      <c r="L2766" s="2" t="s">
        <v>81</v>
      </c>
      <c r="O2766" s="2" t="s">
        <v>73</v>
      </c>
      <c r="P2766" s="2" t="s">
        <v>1034</v>
      </c>
      <c r="Q2766" s="2" t="s">
        <v>198</v>
      </c>
      <c r="R2766" s="2">
        <v>1</v>
      </c>
      <c r="S2766" s="2">
        <v>255</v>
      </c>
      <c r="T2766" s="2">
        <v>58.650000000000013</v>
      </c>
      <c r="U2766" s="2">
        <v>313.64999999999998</v>
      </c>
      <c r="W2766" s="5">
        <f t="shared" si="266"/>
        <v>1</v>
      </c>
      <c r="Y2766" s="2" t="s">
        <v>3256</v>
      </c>
      <c r="Z2766" s="2" t="s">
        <v>76</v>
      </c>
      <c r="AA2766" s="2" t="s">
        <v>77</v>
      </c>
      <c r="AB2766" s="2" t="s">
        <v>78</v>
      </c>
      <c r="AE2766" s="2">
        <f t="shared" si="267"/>
        <v>0</v>
      </c>
      <c r="AI2766" s="2">
        <f t="shared" si="268"/>
        <v>0</v>
      </c>
      <c r="AJ2766" s="2">
        <f t="shared" si="269"/>
        <v>255</v>
      </c>
      <c r="AK2766" s="5">
        <f t="shared" si="265"/>
        <v>1</v>
      </c>
    </row>
    <row r="2767" spans="1:37" x14ac:dyDescent="0.2">
      <c r="A2767" s="2">
        <v>2025</v>
      </c>
      <c r="B2767" s="2">
        <v>9</v>
      </c>
      <c r="C2767" s="2" t="s">
        <v>587</v>
      </c>
      <c r="D2767" s="2" t="s">
        <v>109</v>
      </c>
      <c r="F2767" s="2">
        <v>503850276</v>
      </c>
      <c r="G2767" s="2" t="s">
        <v>40</v>
      </c>
      <c r="H2767" s="2" t="s">
        <v>588</v>
      </c>
      <c r="I2767" s="2" t="s">
        <v>589</v>
      </c>
      <c r="K2767" s="2" t="s">
        <v>202</v>
      </c>
      <c r="L2767" s="2" t="s">
        <v>81</v>
      </c>
      <c r="O2767" s="2" t="s">
        <v>94</v>
      </c>
      <c r="P2767" s="2" t="s">
        <v>95</v>
      </c>
      <c r="Q2767" s="2" t="s">
        <v>96</v>
      </c>
      <c r="R2767" s="2">
        <v>1</v>
      </c>
      <c r="S2767" s="2">
        <v>1.1399999999999999</v>
      </c>
      <c r="T2767" s="2">
        <v>0.26219999999999999</v>
      </c>
      <c r="U2767" s="2">
        <v>1.4021999999999999</v>
      </c>
      <c r="V2767" s="2">
        <v>1.1399999999999999</v>
      </c>
      <c r="W2767" s="5">
        <f t="shared" si="266"/>
        <v>0</v>
      </c>
      <c r="Y2767" s="2" t="s">
        <v>3256</v>
      </c>
      <c r="Z2767" s="2" t="s">
        <v>97</v>
      </c>
      <c r="AA2767" s="2" t="s">
        <v>77</v>
      </c>
      <c r="AB2767" s="2" t="s">
        <v>94</v>
      </c>
      <c r="AE2767" s="2">
        <f t="shared" si="267"/>
        <v>0</v>
      </c>
      <c r="AI2767" s="2">
        <f t="shared" si="268"/>
        <v>0</v>
      </c>
      <c r="AJ2767" s="2">
        <f t="shared" si="269"/>
        <v>0</v>
      </c>
      <c r="AK2767" s="5">
        <f t="shared" si="265"/>
        <v>0</v>
      </c>
    </row>
    <row r="2768" spans="1:37" x14ac:dyDescent="0.2">
      <c r="A2768" s="2">
        <v>2025</v>
      </c>
      <c r="B2768" s="2">
        <v>9</v>
      </c>
      <c r="C2768" s="2" t="s">
        <v>593</v>
      </c>
      <c r="D2768" s="2" t="s">
        <v>38</v>
      </c>
      <c r="E2768" s="2" t="s">
        <v>39</v>
      </c>
      <c r="F2768" s="2">
        <v>510339298</v>
      </c>
      <c r="G2768" s="2" t="s">
        <v>41</v>
      </c>
      <c r="H2768" s="2" t="s">
        <v>178</v>
      </c>
      <c r="I2768" s="2" t="s">
        <v>594</v>
      </c>
      <c r="K2768" s="2" t="s">
        <v>178</v>
      </c>
      <c r="L2768" s="2" t="s">
        <v>41</v>
      </c>
      <c r="O2768" s="2" t="s">
        <v>43</v>
      </c>
      <c r="P2768" s="2" t="s">
        <v>49</v>
      </c>
      <c r="Q2768" s="2" t="s">
        <v>50</v>
      </c>
      <c r="R2768" s="2">
        <v>3</v>
      </c>
      <c r="S2768" s="2">
        <v>36</v>
      </c>
      <c r="T2768" s="2">
        <v>8.2800000000000011</v>
      </c>
      <c r="U2768" s="2">
        <v>44.28</v>
      </c>
      <c r="V2768" s="2">
        <f>6.6267*R2768</f>
        <v>19.880099999999999</v>
      </c>
      <c r="W2768" s="5">
        <f t="shared" si="266"/>
        <v>0.44777500000000003</v>
      </c>
      <c r="Y2768" s="2" t="s">
        <v>3256</v>
      </c>
      <c r="Z2768" s="2" t="s">
        <v>46</v>
      </c>
      <c r="AA2768" s="2" t="s">
        <v>47</v>
      </c>
      <c r="AB2768" s="2" t="s">
        <v>48</v>
      </c>
      <c r="AE2768" s="2">
        <f t="shared" si="267"/>
        <v>0</v>
      </c>
      <c r="AF2768" s="2">
        <v>6.6266999999999996</v>
      </c>
      <c r="AG2768" s="2">
        <v>12</v>
      </c>
      <c r="AI2768" s="2">
        <f t="shared" si="268"/>
        <v>0</v>
      </c>
      <c r="AJ2768" s="2">
        <f t="shared" si="269"/>
        <v>16.119900000000001</v>
      </c>
      <c r="AK2768" s="5">
        <f t="shared" si="265"/>
        <v>0.44777500000000003</v>
      </c>
    </row>
    <row r="2769" spans="1:37" x14ac:dyDescent="0.2">
      <c r="A2769" s="2">
        <v>2025</v>
      </c>
      <c r="B2769" s="2">
        <v>9</v>
      </c>
      <c r="C2769" s="2" t="s">
        <v>593</v>
      </c>
      <c r="D2769" s="2" t="s">
        <v>38</v>
      </c>
      <c r="E2769" s="2" t="s">
        <v>39</v>
      </c>
      <c r="F2769" s="2">
        <v>510339298</v>
      </c>
      <c r="G2769" s="2" t="s">
        <v>41</v>
      </c>
      <c r="H2769" s="2" t="s">
        <v>178</v>
      </c>
      <c r="I2769" s="2" t="s">
        <v>594</v>
      </c>
      <c r="K2769" s="2" t="s">
        <v>178</v>
      </c>
      <c r="L2769" s="2" t="s">
        <v>41</v>
      </c>
      <c r="O2769" s="2" t="s">
        <v>43</v>
      </c>
      <c r="P2769" s="2" t="s">
        <v>597</v>
      </c>
      <c r="Q2769" s="2" t="s">
        <v>598</v>
      </c>
      <c r="R2769" s="2">
        <v>1</v>
      </c>
      <c r="S2769" s="2">
        <v>30</v>
      </c>
      <c r="T2769" s="2">
        <v>6.9</v>
      </c>
      <c r="U2769" s="2">
        <v>36.9</v>
      </c>
      <c r="W2769" s="5">
        <f t="shared" si="266"/>
        <v>1</v>
      </c>
      <c r="Y2769" s="2" t="s">
        <v>3256</v>
      </c>
      <c r="Z2769" s="2" t="s">
        <v>46</v>
      </c>
      <c r="AA2769" s="2" t="s">
        <v>47</v>
      </c>
      <c r="AB2769" s="2" t="s">
        <v>48</v>
      </c>
      <c r="AE2769" s="2">
        <f t="shared" si="267"/>
        <v>0</v>
      </c>
      <c r="AI2769" s="2">
        <f t="shared" si="268"/>
        <v>0</v>
      </c>
      <c r="AJ2769" s="2">
        <f t="shared" si="269"/>
        <v>30</v>
      </c>
      <c r="AK2769" s="5">
        <f t="shared" si="265"/>
        <v>1</v>
      </c>
    </row>
    <row r="2770" spans="1:37" x14ac:dyDescent="0.2">
      <c r="A2770" s="2">
        <v>2025</v>
      </c>
      <c r="B2770" s="2">
        <v>9</v>
      </c>
      <c r="C2770" s="2" t="s">
        <v>593</v>
      </c>
      <c r="D2770" s="2" t="s">
        <v>38</v>
      </c>
      <c r="E2770" s="2" t="s">
        <v>39</v>
      </c>
      <c r="F2770" s="2">
        <v>510339298</v>
      </c>
      <c r="G2770" s="2" t="s">
        <v>41</v>
      </c>
      <c r="H2770" s="2" t="s">
        <v>178</v>
      </c>
      <c r="I2770" s="2" t="s">
        <v>594</v>
      </c>
      <c r="K2770" s="2" t="s">
        <v>178</v>
      </c>
      <c r="L2770" s="2" t="s">
        <v>41</v>
      </c>
      <c r="O2770" s="2" t="s">
        <v>43</v>
      </c>
      <c r="P2770" s="2" t="s">
        <v>53</v>
      </c>
      <c r="Q2770" s="2" t="s">
        <v>54</v>
      </c>
      <c r="R2770" s="2">
        <v>1</v>
      </c>
      <c r="S2770" s="2">
        <v>9.6</v>
      </c>
      <c r="T2770" s="2">
        <v>2.2080000000000002</v>
      </c>
      <c r="U2770" s="2">
        <v>11.808</v>
      </c>
      <c r="V2770" s="2">
        <f>5.2973*R2770</f>
        <v>5.2972999999999999</v>
      </c>
      <c r="W2770" s="5">
        <f t="shared" si="266"/>
        <v>0.44819791666666664</v>
      </c>
      <c r="Y2770" s="2" t="s">
        <v>3256</v>
      </c>
      <c r="Z2770" s="2" t="s">
        <v>46</v>
      </c>
      <c r="AA2770" s="2" t="s">
        <v>47</v>
      </c>
      <c r="AB2770" s="2" t="s">
        <v>48</v>
      </c>
      <c r="AE2770" s="2">
        <f t="shared" si="267"/>
        <v>0</v>
      </c>
      <c r="AF2770" s="2">
        <v>5.2972999999999999</v>
      </c>
      <c r="AG2770" s="2">
        <v>10.8</v>
      </c>
      <c r="AI2770" s="2">
        <f t="shared" si="268"/>
        <v>0</v>
      </c>
      <c r="AJ2770" s="2">
        <f t="shared" si="269"/>
        <v>4.3026999999999997</v>
      </c>
      <c r="AK2770" s="5">
        <f t="shared" si="265"/>
        <v>0.44819791666666664</v>
      </c>
    </row>
    <row r="2771" spans="1:37" x14ac:dyDescent="0.2">
      <c r="A2771" s="2">
        <v>2025</v>
      </c>
      <c r="B2771" s="2">
        <v>9</v>
      </c>
      <c r="C2771" s="2" t="s">
        <v>593</v>
      </c>
      <c r="D2771" s="2" t="s">
        <v>38</v>
      </c>
      <c r="E2771" s="2" t="s">
        <v>39</v>
      </c>
      <c r="F2771" s="2">
        <v>510339298</v>
      </c>
      <c r="G2771" s="2" t="s">
        <v>41</v>
      </c>
      <c r="H2771" s="2" t="s">
        <v>178</v>
      </c>
      <c r="I2771" s="2" t="s">
        <v>594</v>
      </c>
      <c r="K2771" s="2" t="s">
        <v>178</v>
      </c>
      <c r="L2771" s="2" t="s">
        <v>41</v>
      </c>
      <c r="O2771" s="2" t="s">
        <v>167</v>
      </c>
      <c r="P2771" s="2" t="s">
        <v>2300</v>
      </c>
      <c r="Q2771" s="2" t="s">
        <v>2301</v>
      </c>
      <c r="R2771" s="2">
        <v>6</v>
      </c>
      <c r="S2771" s="2">
        <v>6.52</v>
      </c>
      <c r="T2771" s="2">
        <v>1.4996</v>
      </c>
      <c r="U2771" s="2">
        <v>8.0196000000000005</v>
      </c>
      <c r="W2771" s="5">
        <f t="shared" si="266"/>
        <v>1</v>
      </c>
      <c r="Y2771" s="2" t="s">
        <v>3256</v>
      </c>
      <c r="Z2771" s="2" t="s">
        <v>88</v>
      </c>
      <c r="AA2771" s="2" t="s">
        <v>120</v>
      </c>
      <c r="AB2771" s="2" t="s">
        <v>167</v>
      </c>
      <c r="AE2771" s="2">
        <f t="shared" si="267"/>
        <v>0</v>
      </c>
      <c r="AI2771" s="2">
        <f t="shared" si="268"/>
        <v>0</v>
      </c>
      <c r="AJ2771" s="2">
        <f t="shared" si="269"/>
        <v>6.52</v>
      </c>
      <c r="AK2771" s="5">
        <f t="shared" si="265"/>
        <v>1</v>
      </c>
    </row>
    <row r="2772" spans="1:37" x14ac:dyDescent="0.2">
      <c r="A2772" s="2">
        <v>2025</v>
      </c>
      <c r="B2772" s="2">
        <v>9</v>
      </c>
      <c r="C2772" s="2" t="s">
        <v>593</v>
      </c>
      <c r="D2772" s="2" t="s">
        <v>38</v>
      </c>
      <c r="E2772" s="2" t="s">
        <v>39</v>
      </c>
      <c r="F2772" s="2">
        <v>510339298</v>
      </c>
      <c r="G2772" s="2" t="s">
        <v>41</v>
      </c>
      <c r="H2772" s="2" t="s">
        <v>178</v>
      </c>
      <c r="I2772" s="2" t="s">
        <v>594</v>
      </c>
      <c r="K2772" s="2" t="s">
        <v>178</v>
      </c>
      <c r="L2772" s="2" t="s">
        <v>41</v>
      </c>
      <c r="O2772" s="2" t="s">
        <v>167</v>
      </c>
      <c r="P2772" s="2" t="s">
        <v>1055</v>
      </c>
      <c r="Q2772" s="2" t="s">
        <v>1056</v>
      </c>
      <c r="R2772" s="2">
        <v>2</v>
      </c>
      <c r="S2772" s="2">
        <v>3</v>
      </c>
      <c r="T2772" s="2">
        <v>0.69000000000000006</v>
      </c>
      <c r="U2772" s="2">
        <v>3.69</v>
      </c>
      <c r="W2772" s="5">
        <f t="shared" si="266"/>
        <v>1</v>
      </c>
      <c r="Y2772" s="2" t="s">
        <v>3256</v>
      </c>
      <c r="Z2772" s="2" t="s">
        <v>88</v>
      </c>
      <c r="AA2772" s="2" t="s">
        <v>120</v>
      </c>
      <c r="AB2772" s="2" t="s">
        <v>167</v>
      </c>
      <c r="AE2772" s="2">
        <f t="shared" si="267"/>
        <v>0</v>
      </c>
      <c r="AI2772" s="2">
        <f t="shared" si="268"/>
        <v>0</v>
      </c>
      <c r="AJ2772" s="2">
        <f t="shared" si="269"/>
        <v>3</v>
      </c>
      <c r="AK2772" s="5">
        <f t="shared" si="265"/>
        <v>1</v>
      </c>
    </row>
    <row r="2773" spans="1:37" x14ac:dyDescent="0.2">
      <c r="A2773" s="2">
        <v>2025</v>
      </c>
      <c r="B2773" s="2">
        <v>9</v>
      </c>
      <c r="C2773" s="2" t="s">
        <v>593</v>
      </c>
      <c r="D2773" s="2" t="s">
        <v>38</v>
      </c>
      <c r="E2773" s="2" t="s">
        <v>39</v>
      </c>
      <c r="F2773" s="2">
        <v>510339298</v>
      </c>
      <c r="G2773" s="2" t="s">
        <v>41</v>
      </c>
      <c r="H2773" s="2" t="s">
        <v>178</v>
      </c>
      <c r="I2773" s="2" t="s">
        <v>594</v>
      </c>
      <c r="K2773" s="2" t="s">
        <v>178</v>
      </c>
      <c r="L2773" s="2" t="s">
        <v>41</v>
      </c>
      <c r="O2773" s="2" t="s">
        <v>85</v>
      </c>
      <c r="P2773" s="2" t="s">
        <v>2087</v>
      </c>
      <c r="Q2773" s="2" t="s">
        <v>2088</v>
      </c>
      <c r="R2773" s="2">
        <v>1</v>
      </c>
      <c r="S2773" s="2">
        <v>8.4</v>
      </c>
      <c r="T2773" s="2">
        <v>1.9319999999999999</v>
      </c>
      <c r="U2773" s="2">
        <v>10.332000000000001</v>
      </c>
      <c r="W2773" s="5">
        <f t="shared" si="266"/>
        <v>1</v>
      </c>
      <c r="Y2773" s="2" t="s">
        <v>3256</v>
      </c>
      <c r="Z2773" s="2" t="s">
        <v>88</v>
      </c>
      <c r="AA2773" s="2" t="s">
        <v>91</v>
      </c>
      <c r="AB2773" s="2" t="s">
        <v>85</v>
      </c>
      <c r="AE2773" s="2">
        <f t="shared" si="267"/>
        <v>0</v>
      </c>
      <c r="AI2773" s="2">
        <f t="shared" si="268"/>
        <v>0</v>
      </c>
      <c r="AJ2773" s="2">
        <f t="shared" si="269"/>
        <v>8.4</v>
      </c>
      <c r="AK2773" s="5">
        <f t="shared" si="265"/>
        <v>1</v>
      </c>
    </row>
    <row r="2774" spans="1:37" x14ac:dyDescent="0.2">
      <c r="A2774" s="2">
        <v>2025</v>
      </c>
      <c r="B2774" s="2">
        <v>9</v>
      </c>
      <c r="C2774" s="2" t="s">
        <v>602</v>
      </c>
      <c r="D2774" s="2" t="s">
        <v>38</v>
      </c>
      <c r="E2774" s="2" t="s">
        <v>39</v>
      </c>
      <c r="F2774" s="2">
        <v>509680364</v>
      </c>
      <c r="G2774" s="2" t="s">
        <v>41</v>
      </c>
      <c r="H2774" s="2" t="s">
        <v>603</v>
      </c>
      <c r="I2774" s="2" t="s">
        <v>604</v>
      </c>
      <c r="J2774" s="2">
        <v>919603867</v>
      </c>
      <c r="K2774" s="2" t="s">
        <v>605</v>
      </c>
      <c r="L2774" s="2" t="s">
        <v>41</v>
      </c>
      <c r="N2774" s="2" t="s">
        <v>2302</v>
      </c>
      <c r="O2774" s="2" t="s">
        <v>43</v>
      </c>
      <c r="P2774" s="2" t="s">
        <v>215</v>
      </c>
      <c r="Q2774" s="2" t="s">
        <v>216</v>
      </c>
      <c r="R2774" s="2">
        <v>1</v>
      </c>
      <c r="S2774" s="2">
        <v>0</v>
      </c>
      <c r="T2774" s="2">
        <v>0</v>
      </c>
      <c r="U2774" s="2">
        <v>0</v>
      </c>
      <c r="W2774" s="5">
        <f t="shared" ref="W2774:W2784" si="270">IF(S2774=0,IF(V2774&gt;0,-100%,0%),(S2774-V2774)/S2774)</f>
        <v>0</v>
      </c>
      <c r="Y2774" s="2" t="s">
        <v>3256</v>
      </c>
      <c r="Z2774" s="2" t="s">
        <v>46</v>
      </c>
      <c r="AA2774" s="2" t="s">
        <v>57</v>
      </c>
      <c r="AB2774" s="2" t="s">
        <v>58</v>
      </c>
      <c r="AE2774" s="2">
        <f t="shared" si="267"/>
        <v>0</v>
      </c>
      <c r="AI2774" s="2">
        <f t="shared" si="268"/>
        <v>0</v>
      </c>
      <c r="AJ2774" s="2">
        <f t="shared" si="269"/>
        <v>0</v>
      </c>
      <c r="AK2774" s="5">
        <f t="shared" ref="AK2774:AK2784" si="271">IF(S2774=0,IF(V2774&gt;0,-100%,0%),(S2774-V2774)/S2774)</f>
        <v>0</v>
      </c>
    </row>
    <row r="2775" spans="1:37" x14ac:dyDescent="0.2">
      <c r="A2775" s="2">
        <v>2025</v>
      </c>
      <c r="B2775" s="2">
        <v>9</v>
      </c>
      <c r="C2775" s="2" t="s">
        <v>602</v>
      </c>
      <c r="D2775" s="2" t="s">
        <v>38</v>
      </c>
      <c r="E2775" s="2" t="s">
        <v>39</v>
      </c>
      <c r="F2775" s="2">
        <v>509680364</v>
      </c>
      <c r="G2775" s="2" t="s">
        <v>41</v>
      </c>
      <c r="H2775" s="2" t="s">
        <v>603</v>
      </c>
      <c r="I2775" s="2" t="s">
        <v>604</v>
      </c>
      <c r="J2775" s="2">
        <v>919603867</v>
      </c>
      <c r="K2775" s="2" t="s">
        <v>605</v>
      </c>
      <c r="L2775" s="2" t="s">
        <v>41</v>
      </c>
      <c r="N2775" s="2" t="s">
        <v>2302</v>
      </c>
      <c r="O2775" s="2" t="s">
        <v>43</v>
      </c>
      <c r="P2775" s="2" t="s">
        <v>219</v>
      </c>
      <c r="Q2775" s="2" t="s">
        <v>220</v>
      </c>
      <c r="R2775" s="2">
        <v>1</v>
      </c>
      <c r="S2775" s="2">
        <v>0</v>
      </c>
      <c r="T2775" s="2">
        <v>0</v>
      </c>
      <c r="U2775" s="2">
        <v>0</v>
      </c>
      <c r="W2775" s="5">
        <f t="shared" si="270"/>
        <v>0</v>
      </c>
      <c r="Y2775" s="2" t="s">
        <v>3256</v>
      </c>
      <c r="Z2775" s="2" t="s">
        <v>46</v>
      </c>
      <c r="AA2775" s="2" t="s">
        <v>57</v>
      </c>
      <c r="AB2775" s="2" t="s">
        <v>58</v>
      </c>
      <c r="AE2775" s="2">
        <f t="shared" si="267"/>
        <v>0</v>
      </c>
      <c r="AI2775" s="2">
        <f t="shared" si="268"/>
        <v>0</v>
      </c>
      <c r="AJ2775" s="2">
        <f t="shared" si="269"/>
        <v>0</v>
      </c>
      <c r="AK2775" s="5">
        <f t="shared" si="271"/>
        <v>0</v>
      </c>
    </row>
    <row r="2776" spans="1:37" x14ac:dyDescent="0.2">
      <c r="A2776" s="2">
        <v>2025</v>
      </c>
      <c r="B2776" s="2">
        <v>9</v>
      </c>
      <c r="C2776" s="2" t="s">
        <v>602</v>
      </c>
      <c r="D2776" s="2" t="s">
        <v>38</v>
      </c>
      <c r="E2776" s="2" t="s">
        <v>39</v>
      </c>
      <c r="F2776" s="2">
        <v>509680364</v>
      </c>
      <c r="G2776" s="2" t="s">
        <v>41</v>
      </c>
      <c r="H2776" s="2" t="s">
        <v>603</v>
      </c>
      <c r="I2776" s="2" t="s">
        <v>604</v>
      </c>
      <c r="J2776" s="2">
        <v>919603867</v>
      </c>
      <c r="K2776" s="2" t="s">
        <v>605</v>
      </c>
      <c r="L2776" s="2" t="s">
        <v>41</v>
      </c>
      <c r="N2776" s="2" t="s">
        <v>2302</v>
      </c>
      <c r="O2776" s="2" t="s">
        <v>43</v>
      </c>
      <c r="P2776" s="2" t="s">
        <v>223</v>
      </c>
      <c r="Q2776" s="2" t="s">
        <v>224</v>
      </c>
      <c r="R2776" s="2">
        <v>1</v>
      </c>
      <c r="S2776" s="2">
        <v>0</v>
      </c>
      <c r="T2776" s="2">
        <v>0</v>
      </c>
      <c r="U2776" s="2">
        <v>0</v>
      </c>
      <c r="W2776" s="5">
        <f t="shared" si="270"/>
        <v>0</v>
      </c>
      <c r="Y2776" s="2" t="s">
        <v>3256</v>
      </c>
      <c r="Z2776" s="2" t="s">
        <v>46</v>
      </c>
      <c r="AA2776" s="2" t="s">
        <v>57</v>
      </c>
      <c r="AB2776" s="2" t="s">
        <v>58</v>
      </c>
      <c r="AE2776" s="2">
        <f t="shared" si="267"/>
        <v>0</v>
      </c>
      <c r="AI2776" s="2">
        <f t="shared" si="268"/>
        <v>0</v>
      </c>
      <c r="AJ2776" s="2">
        <f t="shared" si="269"/>
        <v>0</v>
      </c>
      <c r="AK2776" s="5">
        <f t="shared" si="271"/>
        <v>0</v>
      </c>
    </row>
    <row r="2777" spans="1:37" x14ac:dyDescent="0.2">
      <c r="A2777" s="2">
        <v>2025</v>
      </c>
      <c r="B2777" s="2">
        <v>9</v>
      </c>
      <c r="C2777" s="2" t="s">
        <v>602</v>
      </c>
      <c r="D2777" s="2" t="s">
        <v>38</v>
      </c>
      <c r="E2777" s="2" t="s">
        <v>39</v>
      </c>
      <c r="F2777" s="2">
        <v>509680364</v>
      </c>
      <c r="G2777" s="2" t="s">
        <v>41</v>
      </c>
      <c r="H2777" s="2" t="s">
        <v>603</v>
      </c>
      <c r="I2777" s="2" t="s">
        <v>604</v>
      </c>
      <c r="J2777" s="2">
        <v>919603867</v>
      </c>
      <c r="K2777" s="2" t="s">
        <v>605</v>
      </c>
      <c r="L2777" s="2" t="s">
        <v>41</v>
      </c>
      <c r="N2777" s="2" t="s">
        <v>2302</v>
      </c>
      <c r="O2777" s="2" t="s">
        <v>43</v>
      </c>
      <c r="P2777" s="2" t="s">
        <v>233</v>
      </c>
      <c r="Q2777" s="2" t="s">
        <v>234</v>
      </c>
      <c r="R2777" s="2">
        <v>1</v>
      </c>
      <c r="S2777" s="2">
        <v>0</v>
      </c>
      <c r="T2777" s="2">
        <v>0</v>
      </c>
      <c r="U2777" s="2">
        <v>0</v>
      </c>
      <c r="V2777" s="2">
        <v>5.9066999999999998</v>
      </c>
      <c r="W2777" s="5">
        <f t="shared" si="270"/>
        <v>-1</v>
      </c>
      <c r="Y2777" s="2" t="s">
        <v>3256</v>
      </c>
      <c r="Z2777" s="2" t="s">
        <v>46</v>
      </c>
      <c r="AA2777" s="2" t="s">
        <v>57</v>
      </c>
      <c r="AB2777" s="2" t="s">
        <v>58</v>
      </c>
      <c r="AE2777" s="2">
        <f t="shared" si="267"/>
        <v>0</v>
      </c>
      <c r="AF2777" s="2">
        <v>5.9066999999999998</v>
      </c>
      <c r="AG2777" s="2">
        <v>12.6</v>
      </c>
      <c r="AI2777" s="2">
        <f t="shared" si="268"/>
        <v>0</v>
      </c>
      <c r="AJ2777" s="2">
        <f t="shared" si="269"/>
        <v>-5.9066999999999998</v>
      </c>
      <c r="AK2777" s="5">
        <f t="shared" si="271"/>
        <v>-1</v>
      </c>
    </row>
    <row r="2778" spans="1:37" x14ac:dyDescent="0.2">
      <c r="A2778" s="2">
        <v>2025</v>
      </c>
      <c r="B2778" s="2">
        <v>9</v>
      </c>
      <c r="C2778" s="2" t="s">
        <v>602</v>
      </c>
      <c r="D2778" s="2" t="s">
        <v>38</v>
      </c>
      <c r="E2778" s="2" t="s">
        <v>39</v>
      </c>
      <c r="F2778" s="2">
        <v>509680364</v>
      </c>
      <c r="G2778" s="2" t="s">
        <v>41</v>
      </c>
      <c r="H2778" s="2" t="s">
        <v>603</v>
      </c>
      <c r="I2778" s="2" t="s">
        <v>604</v>
      </c>
      <c r="J2778" s="2">
        <v>919603867</v>
      </c>
      <c r="K2778" s="2" t="s">
        <v>605</v>
      </c>
      <c r="L2778" s="2" t="s">
        <v>41</v>
      </c>
      <c r="N2778" s="2" t="s">
        <v>2302</v>
      </c>
      <c r="O2778" s="2" t="s">
        <v>43</v>
      </c>
      <c r="P2778" s="2" t="s">
        <v>237</v>
      </c>
      <c r="Q2778" s="2" t="s">
        <v>238</v>
      </c>
      <c r="R2778" s="2">
        <v>1</v>
      </c>
      <c r="S2778" s="2">
        <v>0</v>
      </c>
      <c r="T2778" s="2">
        <v>0</v>
      </c>
      <c r="U2778" s="2">
        <v>0</v>
      </c>
      <c r="W2778" s="5">
        <f t="shared" si="270"/>
        <v>0</v>
      </c>
      <c r="Y2778" s="2" t="s">
        <v>3256</v>
      </c>
      <c r="Z2778" s="2" t="s">
        <v>46</v>
      </c>
      <c r="AA2778" s="2" t="s">
        <v>57</v>
      </c>
      <c r="AB2778" s="2" t="s">
        <v>58</v>
      </c>
      <c r="AE2778" s="2">
        <f t="shared" si="267"/>
        <v>0</v>
      </c>
      <c r="AI2778" s="2">
        <f t="shared" si="268"/>
        <v>0</v>
      </c>
      <c r="AJ2778" s="2">
        <f t="shared" si="269"/>
        <v>0</v>
      </c>
      <c r="AK2778" s="5">
        <f t="shared" si="271"/>
        <v>0</v>
      </c>
    </row>
    <row r="2779" spans="1:37" x14ac:dyDescent="0.2">
      <c r="A2779" s="2">
        <v>2025</v>
      </c>
      <c r="B2779" s="2">
        <v>9</v>
      </c>
      <c r="C2779" s="2" t="s">
        <v>602</v>
      </c>
      <c r="D2779" s="2" t="s">
        <v>38</v>
      </c>
      <c r="E2779" s="2" t="s">
        <v>39</v>
      </c>
      <c r="F2779" s="2">
        <v>509680364</v>
      </c>
      <c r="G2779" s="2" t="s">
        <v>41</v>
      </c>
      <c r="H2779" s="2" t="s">
        <v>603</v>
      </c>
      <c r="I2779" s="2" t="s">
        <v>604</v>
      </c>
      <c r="J2779" s="2">
        <v>919603867</v>
      </c>
      <c r="K2779" s="2" t="s">
        <v>605</v>
      </c>
      <c r="L2779" s="2" t="s">
        <v>41</v>
      </c>
      <c r="N2779" s="2" t="s">
        <v>2302</v>
      </c>
      <c r="O2779" s="2" t="s">
        <v>43</v>
      </c>
      <c r="P2779" s="2" t="s">
        <v>243</v>
      </c>
      <c r="Q2779" s="2" t="s">
        <v>244</v>
      </c>
      <c r="R2779" s="2">
        <v>1</v>
      </c>
      <c r="S2779" s="2">
        <v>0</v>
      </c>
      <c r="T2779" s="2">
        <v>0</v>
      </c>
      <c r="U2779" s="2">
        <v>0</v>
      </c>
      <c r="W2779" s="5">
        <f t="shared" si="270"/>
        <v>0</v>
      </c>
      <c r="Y2779" s="2" t="s">
        <v>3256</v>
      </c>
      <c r="Z2779" s="2" t="s">
        <v>46</v>
      </c>
      <c r="AA2779" s="2" t="s">
        <v>57</v>
      </c>
      <c r="AB2779" s="2" t="s">
        <v>58</v>
      </c>
      <c r="AE2779" s="2">
        <f t="shared" si="267"/>
        <v>0</v>
      </c>
      <c r="AI2779" s="2">
        <f t="shared" si="268"/>
        <v>0</v>
      </c>
      <c r="AJ2779" s="2">
        <f t="shared" si="269"/>
        <v>0</v>
      </c>
      <c r="AK2779" s="5">
        <f t="shared" si="271"/>
        <v>0</v>
      </c>
    </row>
    <row r="2780" spans="1:37" x14ac:dyDescent="0.2">
      <c r="A2780" s="2">
        <v>2025</v>
      </c>
      <c r="B2780" s="2">
        <v>9</v>
      </c>
      <c r="C2780" s="2" t="s">
        <v>602</v>
      </c>
      <c r="D2780" s="2" t="s">
        <v>38</v>
      </c>
      <c r="E2780" s="2" t="s">
        <v>39</v>
      </c>
      <c r="F2780" s="2">
        <v>509680364</v>
      </c>
      <c r="G2780" s="2" t="s">
        <v>41</v>
      </c>
      <c r="H2780" s="2" t="s">
        <v>603</v>
      </c>
      <c r="I2780" s="2" t="s">
        <v>604</v>
      </c>
      <c r="J2780" s="2">
        <v>919603867</v>
      </c>
      <c r="K2780" s="2" t="s">
        <v>605</v>
      </c>
      <c r="L2780" s="2" t="s">
        <v>41</v>
      </c>
      <c r="N2780" s="2" t="s">
        <v>2302</v>
      </c>
      <c r="O2780" s="2" t="s">
        <v>43</v>
      </c>
      <c r="P2780" s="2" t="s">
        <v>675</v>
      </c>
      <c r="Q2780" s="2" t="s">
        <v>676</v>
      </c>
      <c r="R2780" s="2">
        <v>1</v>
      </c>
      <c r="S2780" s="2">
        <v>0</v>
      </c>
      <c r="T2780" s="2">
        <v>0</v>
      </c>
      <c r="U2780" s="2">
        <v>0</v>
      </c>
      <c r="V2780" s="2">
        <v>0</v>
      </c>
      <c r="W2780" s="5">
        <f t="shared" si="270"/>
        <v>0</v>
      </c>
      <c r="Y2780" s="2" t="s">
        <v>3256</v>
      </c>
      <c r="Z2780" s="2" t="s">
        <v>46</v>
      </c>
      <c r="AA2780" s="2" t="s">
        <v>57</v>
      </c>
      <c r="AB2780" s="2" t="s">
        <v>58</v>
      </c>
      <c r="AE2780" s="2">
        <f t="shared" si="267"/>
        <v>0</v>
      </c>
      <c r="AF2780" s="2">
        <v>29.27</v>
      </c>
      <c r="AG2780" s="2">
        <v>60</v>
      </c>
      <c r="AI2780" s="2">
        <f t="shared" si="268"/>
        <v>0</v>
      </c>
      <c r="AJ2780" s="2">
        <f t="shared" si="269"/>
        <v>0</v>
      </c>
      <c r="AK2780" s="5">
        <f t="shared" si="271"/>
        <v>0</v>
      </c>
    </row>
    <row r="2781" spans="1:37" x14ac:dyDescent="0.2">
      <c r="A2781" s="2">
        <v>2025</v>
      </c>
      <c r="B2781" s="2">
        <v>9</v>
      </c>
      <c r="C2781" s="2" t="s">
        <v>602</v>
      </c>
      <c r="D2781" s="2" t="s">
        <v>38</v>
      </c>
      <c r="E2781" s="2" t="s">
        <v>39</v>
      </c>
      <c r="F2781" s="2">
        <v>509680364</v>
      </c>
      <c r="G2781" s="2" t="s">
        <v>41</v>
      </c>
      <c r="H2781" s="2" t="s">
        <v>603</v>
      </c>
      <c r="I2781" s="2" t="s">
        <v>604</v>
      </c>
      <c r="J2781" s="2">
        <v>919603867</v>
      </c>
      <c r="K2781" s="2" t="s">
        <v>605</v>
      </c>
      <c r="L2781" s="2" t="s">
        <v>41</v>
      </c>
      <c r="N2781" s="2" t="s">
        <v>2302</v>
      </c>
      <c r="O2781" s="2" t="s">
        <v>43</v>
      </c>
      <c r="P2781" s="2" t="s">
        <v>62</v>
      </c>
      <c r="Q2781" s="2" t="s">
        <v>63</v>
      </c>
      <c r="R2781" s="2">
        <v>100</v>
      </c>
      <c r="S2781" s="2">
        <v>0</v>
      </c>
      <c r="T2781" s="2">
        <v>0</v>
      </c>
      <c r="U2781" s="2">
        <v>0</v>
      </c>
      <c r="V2781" s="2">
        <f>0.082*R2781</f>
        <v>8.2000000000000011</v>
      </c>
      <c r="W2781" s="5">
        <f t="shared" si="270"/>
        <v>-1</v>
      </c>
      <c r="Y2781" s="2" t="s">
        <v>3256</v>
      </c>
      <c r="Z2781" s="2" t="s">
        <v>46</v>
      </c>
      <c r="AA2781" s="2" t="s">
        <v>61</v>
      </c>
      <c r="AB2781" s="2" t="s">
        <v>58</v>
      </c>
      <c r="AE2781" s="2">
        <f t="shared" si="267"/>
        <v>0</v>
      </c>
      <c r="AF2781" s="2">
        <v>8.1999999999999993</v>
      </c>
      <c r="AG2781" s="2">
        <v>13</v>
      </c>
      <c r="AI2781" s="2">
        <f t="shared" si="268"/>
        <v>0</v>
      </c>
      <c r="AJ2781" s="2">
        <f t="shared" si="269"/>
        <v>-8.2000000000000011</v>
      </c>
      <c r="AK2781" s="5">
        <f t="shared" si="271"/>
        <v>-1</v>
      </c>
    </row>
    <row r="2782" spans="1:37" x14ac:dyDescent="0.2">
      <c r="A2782" s="2">
        <v>2025</v>
      </c>
      <c r="B2782" s="2">
        <v>9</v>
      </c>
      <c r="C2782" s="2" t="s">
        <v>602</v>
      </c>
      <c r="D2782" s="2" t="s">
        <v>38</v>
      </c>
      <c r="E2782" s="2" t="s">
        <v>39</v>
      </c>
      <c r="F2782" s="2">
        <v>509680364</v>
      </c>
      <c r="G2782" s="2" t="s">
        <v>41</v>
      </c>
      <c r="H2782" s="2" t="s">
        <v>603</v>
      </c>
      <c r="I2782" s="2" t="s">
        <v>604</v>
      </c>
      <c r="J2782" s="2">
        <v>919603867</v>
      </c>
      <c r="K2782" s="2" t="s">
        <v>605</v>
      </c>
      <c r="L2782" s="2" t="s">
        <v>41</v>
      </c>
      <c r="N2782" s="2" t="s">
        <v>2302</v>
      </c>
      <c r="O2782" s="2" t="s">
        <v>43</v>
      </c>
      <c r="P2782" s="2" t="s">
        <v>255</v>
      </c>
      <c r="Q2782" s="2" t="s">
        <v>256</v>
      </c>
      <c r="R2782" s="2">
        <v>100</v>
      </c>
      <c r="S2782" s="2">
        <v>0</v>
      </c>
      <c r="T2782" s="2">
        <v>0</v>
      </c>
      <c r="U2782" s="2">
        <v>0</v>
      </c>
      <c r="W2782" s="5">
        <f t="shared" si="270"/>
        <v>0</v>
      </c>
      <c r="Y2782" s="2" t="s">
        <v>3256</v>
      </c>
      <c r="Z2782" s="2" t="s">
        <v>46</v>
      </c>
      <c r="AA2782" s="2" t="s">
        <v>61</v>
      </c>
      <c r="AB2782" s="2" t="s">
        <v>58</v>
      </c>
      <c r="AE2782" s="2">
        <f t="shared" si="267"/>
        <v>0</v>
      </c>
      <c r="AI2782" s="2">
        <f t="shared" si="268"/>
        <v>0</v>
      </c>
      <c r="AJ2782" s="2">
        <f t="shared" si="269"/>
        <v>0</v>
      </c>
      <c r="AK2782" s="5">
        <f t="shared" si="271"/>
        <v>0</v>
      </c>
    </row>
    <row r="2783" spans="1:37" x14ac:dyDescent="0.2">
      <c r="A2783" s="2">
        <v>2025</v>
      </c>
      <c r="B2783" s="2">
        <v>9</v>
      </c>
      <c r="C2783" s="2" t="s">
        <v>602</v>
      </c>
      <c r="D2783" s="2" t="s">
        <v>38</v>
      </c>
      <c r="E2783" s="2" t="s">
        <v>39</v>
      </c>
      <c r="F2783" s="2">
        <v>509680364</v>
      </c>
      <c r="G2783" s="2" t="s">
        <v>41</v>
      </c>
      <c r="H2783" s="2" t="s">
        <v>603</v>
      </c>
      <c r="I2783" s="2" t="s">
        <v>604</v>
      </c>
      <c r="J2783" s="2">
        <v>919603867</v>
      </c>
      <c r="K2783" s="2" t="s">
        <v>605</v>
      </c>
      <c r="L2783" s="2" t="s">
        <v>41</v>
      </c>
      <c r="N2783" s="2" t="s">
        <v>2302</v>
      </c>
      <c r="O2783" s="2" t="s">
        <v>43</v>
      </c>
      <c r="P2783" s="2" t="s">
        <v>66</v>
      </c>
      <c r="Q2783" s="2" t="s">
        <v>67</v>
      </c>
      <c r="R2783" s="2">
        <v>3</v>
      </c>
      <c r="S2783" s="2">
        <v>0</v>
      </c>
      <c r="T2783" s="2">
        <v>0</v>
      </c>
      <c r="U2783" s="2">
        <v>0</v>
      </c>
      <c r="V2783" s="2">
        <f>15.0203*R2783</f>
        <v>45.060900000000004</v>
      </c>
      <c r="W2783" s="5">
        <f t="shared" si="270"/>
        <v>-1</v>
      </c>
      <c r="Y2783" s="2" t="s">
        <v>3256</v>
      </c>
      <c r="Z2783" s="2" t="s">
        <v>46</v>
      </c>
      <c r="AA2783" s="2" t="s">
        <v>68</v>
      </c>
      <c r="AB2783" s="2" t="s">
        <v>58</v>
      </c>
      <c r="AE2783" s="2">
        <f t="shared" si="267"/>
        <v>0</v>
      </c>
      <c r="AF2783" s="2">
        <v>15.020300000000001</v>
      </c>
      <c r="AG2783" s="2">
        <v>27.6</v>
      </c>
      <c r="AI2783" s="2">
        <f t="shared" si="268"/>
        <v>0</v>
      </c>
      <c r="AJ2783" s="2">
        <f t="shared" si="269"/>
        <v>-45.060900000000004</v>
      </c>
      <c r="AK2783" s="5">
        <f t="shared" si="271"/>
        <v>-1</v>
      </c>
    </row>
    <row r="2784" spans="1:37" x14ac:dyDescent="0.2">
      <c r="A2784" s="2">
        <v>2025</v>
      </c>
      <c r="B2784" s="2">
        <v>9</v>
      </c>
      <c r="C2784" s="2" t="s">
        <v>602</v>
      </c>
      <c r="D2784" s="2" t="s">
        <v>38</v>
      </c>
      <c r="E2784" s="2" t="s">
        <v>39</v>
      </c>
      <c r="F2784" s="2">
        <v>509680364</v>
      </c>
      <c r="G2784" s="2" t="s">
        <v>41</v>
      </c>
      <c r="H2784" s="2" t="s">
        <v>603</v>
      </c>
      <c r="I2784" s="2" t="s">
        <v>604</v>
      </c>
      <c r="J2784" s="2">
        <v>919603867</v>
      </c>
      <c r="K2784" s="2" t="s">
        <v>605</v>
      </c>
      <c r="L2784" s="2" t="s">
        <v>41</v>
      </c>
      <c r="N2784" s="2" t="s">
        <v>2302</v>
      </c>
      <c r="O2784" s="2" t="s">
        <v>43</v>
      </c>
      <c r="P2784" s="2" t="s">
        <v>1443</v>
      </c>
      <c r="Q2784" s="2" t="s">
        <v>1444</v>
      </c>
      <c r="R2784" s="2">
        <v>19</v>
      </c>
      <c r="S2784" s="2">
        <v>0</v>
      </c>
      <c r="T2784" s="2">
        <v>0</v>
      </c>
      <c r="U2784" s="2">
        <v>0</v>
      </c>
      <c r="W2784" s="5">
        <f t="shared" si="270"/>
        <v>0</v>
      </c>
      <c r="Y2784" s="2" t="s">
        <v>3256</v>
      </c>
      <c r="Z2784" s="2" t="s">
        <v>46</v>
      </c>
      <c r="AA2784" s="2" t="s">
        <v>61</v>
      </c>
      <c r="AB2784" s="2" t="s">
        <v>58</v>
      </c>
      <c r="AE2784" s="2">
        <f t="shared" si="267"/>
        <v>0</v>
      </c>
      <c r="AI2784" s="2">
        <f t="shared" si="268"/>
        <v>0</v>
      </c>
      <c r="AJ2784" s="2">
        <f t="shared" si="269"/>
        <v>0</v>
      </c>
      <c r="AK2784" s="5">
        <f t="shared" si="271"/>
        <v>0</v>
      </c>
    </row>
    <row r="2785" spans="1:37" x14ac:dyDescent="0.2">
      <c r="A2785" s="2">
        <v>2025</v>
      </c>
      <c r="B2785" s="2">
        <v>9</v>
      </c>
      <c r="C2785" s="2" t="s">
        <v>1305</v>
      </c>
      <c r="D2785" s="2" t="s">
        <v>184</v>
      </c>
      <c r="E2785" s="2" t="s">
        <v>368</v>
      </c>
      <c r="F2785" s="2">
        <v>500625654</v>
      </c>
      <c r="G2785" s="2" t="s">
        <v>291</v>
      </c>
      <c r="H2785" s="2" t="s">
        <v>340</v>
      </c>
      <c r="I2785" s="2" t="s">
        <v>1306</v>
      </c>
      <c r="K2785" s="2" t="s">
        <v>340</v>
      </c>
      <c r="O2785" s="2" t="s">
        <v>73</v>
      </c>
      <c r="P2785" s="2" t="s">
        <v>560</v>
      </c>
      <c r="Q2785" s="2" t="s">
        <v>383</v>
      </c>
      <c r="R2785" s="2">
        <v>1</v>
      </c>
      <c r="S2785" s="2">
        <v>223.1</v>
      </c>
      <c r="T2785" s="2">
        <v>51.313000000000002</v>
      </c>
      <c r="U2785" s="2">
        <v>274.41300000000001</v>
      </c>
      <c r="W2785" s="5">
        <f t="shared" ref="W2785:W2828" si="272">(S2785-V2785)/S2785</f>
        <v>1</v>
      </c>
      <c r="Y2785" s="2" t="s">
        <v>3256</v>
      </c>
      <c r="Z2785" s="2" t="s">
        <v>76</v>
      </c>
      <c r="AA2785" s="2" t="s">
        <v>77</v>
      </c>
      <c r="AB2785" s="2" t="s">
        <v>78</v>
      </c>
      <c r="AE2785" s="2">
        <f t="shared" si="267"/>
        <v>0</v>
      </c>
      <c r="AI2785" s="2">
        <f t="shared" si="268"/>
        <v>0</v>
      </c>
      <c r="AJ2785" s="2">
        <f t="shared" si="269"/>
        <v>223.1</v>
      </c>
      <c r="AK2785" s="5">
        <f t="shared" ref="AK2785:AK2828" si="273">(S2785-V2785)/S2785</f>
        <v>1</v>
      </c>
    </row>
    <row r="2786" spans="1:37" x14ac:dyDescent="0.2">
      <c r="A2786" s="2">
        <v>2025</v>
      </c>
      <c r="B2786" s="2">
        <v>9</v>
      </c>
      <c r="C2786" s="2" t="s">
        <v>1305</v>
      </c>
      <c r="D2786" s="2" t="s">
        <v>184</v>
      </c>
      <c r="E2786" s="2" t="s">
        <v>368</v>
      </c>
      <c r="F2786" s="2">
        <v>500625654</v>
      </c>
      <c r="G2786" s="2" t="s">
        <v>291</v>
      </c>
      <c r="H2786" s="2" t="s">
        <v>340</v>
      </c>
      <c r="I2786" s="2" t="s">
        <v>1306</v>
      </c>
      <c r="K2786" s="2" t="s">
        <v>340</v>
      </c>
      <c r="O2786" s="2" t="s">
        <v>94</v>
      </c>
      <c r="P2786" s="2" t="s">
        <v>95</v>
      </c>
      <c r="Q2786" s="2" t="s">
        <v>96</v>
      </c>
      <c r="R2786" s="2">
        <v>1</v>
      </c>
      <c r="S2786" s="2">
        <v>1.1399999999999999</v>
      </c>
      <c r="T2786" s="2">
        <v>0.26219999999999999</v>
      </c>
      <c r="U2786" s="2">
        <v>1.4021999999999999</v>
      </c>
      <c r="V2786" s="2">
        <v>1.1399999999999999</v>
      </c>
      <c r="W2786" s="5">
        <f t="shared" si="272"/>
        <v>0</v>
      </c>
      <c r="Y2786" s="2" t="s">
        <v>3256</v>
      </c>
      <c r="Z2786" s="2" t="s">
        <v>97</v>
      </c>
      <c r="AA2786" s="2" t="s">
        <v>77</v>
      </c>
      <c r="AB2786" s="2" t="s">
        <v>94</v>
      </c>
      <c r="AE2786" s="2">
        <f t="shared" si="267"/>
        <v>0</v>
      </c>
      <c r="AI2786" s="2">
        <f t="shared" si="268"/>
        <v>0</v>
      </c>
      <c r="AJ2786" s="2">
        <f t="shared" si="269"/>
        <v>0</v>
      </c>
      <c r="AK2786" s="5">
        <f t="shared" si="273"/>
        <v>0</v>
      </c>
    </row>
    <row r="2787" spans="1:37" x14ac:dyDescent="0.2">
      <c r="A2787" s="2">
        <v>2025</v>
      </c>
      <c r="B2787" s="2">
        <v>9</v>
      </c>
      <c r="C2787" s="2" t="s">
        <v>1447</v>
      </c>
      <c r="O2787" s="2" t="s">
        <v>115</v>
      </c>
      <c r="P2787" s="2" t="s">
        <v>2303</v>
      </c>
      <c r="Q2787" s="2" t="s">
        <v>2304</v>
      </c>
      <c r="R2787" s="2">
        <v>1</v>
      </c>
      <c r="S2787" s="2">
        <v>234.52</v>
      </c>
      <c r="T2787" s="2">
        <v>53.939600000000013</v>
      </c>
      <c r="U2787" s="2">
        <v>288.45960000000002</v>
      </c>
      <c r="W2787" s="5">
        <f t="shared" si="272"/>
        <v>1</v>
      </c>
      <c r="AE2787" s="2">
        <f t="shared" si="267"/>
        <v>0</v>
      </c>
      <c r="AI2787" s="2">
        <f t="shared" si="268"/>
        <v>0</v>
      </c>
      <c r="AJ2787" s="2">
        <f t="shared" si="269"/>
        <v>234.52</v>
      </c>
      <c r="AK2787" s="5">
        <f t="shared" si="273"/>
        <v>1</v>
      </c>
    </row>
    <row r="2788" spans="1:37" x14ac:dyDescent="0.2">
      <c r="A2788" s="2">
        <v>2025</v>
      </c>
      <c r="B2788" s="2">
        <v>9</v>
      </c>
      <c r="C2788" s="2" t="s">
        <v>623</v>
      </c>
      <c r="D2788" s="2" t="s">
        <v>38</v>
      </c>
      <c r="E2788" s="2" t="s">
        <v>39</v>
      </c>
      <c r="F2788" s="2">
        <v>513759654</v>
      </c>
      <c r="G2788" s="2" t="s">
        <v>41</v>
      </c>
      <c r="H2788" s="2" t="s">
        <v>624</v>
      </c>
      <c r="I2788" s="2" t="s">
        <v>625</v>
      </c>
      <c r="K2788" s="2" t="s">
        <v>422</v>
      </c>
      <c r="O2788" s="2" t="s">
        <v>283</v>
      </c>
      <c r="P2788" s="2" t="s">
        <v>532</v>
      </c>
      <c r="Q2788" s="2" t="s">
        <v>533</v>
      </c>
      <c r="R2788" s="2">
        <v>1</v>
      </c>
      <c r="S2788" s="2">
        <v>399</v>
      </c>
      <c r="T2788" s="2">
        <v>91.77000000000001</v>
      </c>
      <c r="U2788" s="2">
        <v>490.77</v>
      </c>
      <c r="W2788" s="5">
        <f t="shared" si="272"/>
        <v>1</v>
      </c>
      <c r="AE2788" s="2">
        <f t="shared" si="267"/>
        <v>0</v>
      </c>
      <c r="AI2788" s="2">
        <f t="shared" si="268"/>
        <v>0</v>
      </c>
      <c r="AJ2788" s="2">
        <f t="shared" si="269"/>
        <v>399</v>
      </c>
      <c r="AK2788" s="5">
        <f t="shared" si="273"/>
        <v>1</v>
      </c>
    </row>
    <row r="2789" spans="1:37" x14ac:dyDescent="0.2">
      <c r="A2789" s="2">
        <v>2025</v>
      </c>
      <c r="B2789" s="2">
        <v>9</v>
      </c>
      <c r="C2789" s="2" t="s">
        <v>623</v>
      </c>
      <c r="D2789" s="2" t="s">
        <v>38</v>
      </c>
      <c r="E2789" s="2" t="s">
        <v>39</v>
      </c>
      <c r="F2789" s="2">
        <v>513759654</v>
      </c>
      <c r="G2789" s="2" t="s">
        <v>41</v>
      </c>
      <c r="H2789" s="2" t="s">
        <v>624</v>
      </c>
      <c r="I2789" s="2" t="s">
        <v>625</v>
      </c>
      <c r="K2789" s="2" t="s">
        <v>422</v>
      </c>
      <c r="O2789" s="2" t="s">
        <v>283</v>
      </c>
      <c r="P2789" s="2" t="s">
        <v>404</v>
      </c>
      <c r="Q2789" s="2" t="s">
        <v>405</v>
      </c>
      <c r="R2789" s="2">
        <v>2</v>
      </c>
      <c r="S2789" s="2">
        <v>58</v>
      </c>
      <c r="T2789" s="2">
        <v>13.34</v>
      </c>
      <c r="U2789" s="2">
        <v>71.34</v>
      </c>
      <c r="W2789" s="5">
        <f t="shared" si="272"/>
        <v>1</v>
      </c>
      <c r="AE2789" s="2">
        <f t="shared" si="267"/>
        <v>0</v>
      </c>
      <c r="AI2789" s="2">
        <f t="shared" si="268"/>
        <v>0</v>
      </c>
      <c r="AJ2789" s="2">
        <f t="shared" si="269"/>
        <v>58</v>
      </c>
      <c r="AK2789" s="5">
        <f t="shared" si="273"/>
        <v>1</v>
      </c>
    </row>
    <row r="2790" spans="1:37" x14ac:dyDescent="0.2">
      <c r="A2790" s="2">
        <v>2025</v>
      </c>
      <c r="B2790" s="2">
        <v>9</v>
      </c>
      <c r="C2790" s="2" t="s">
        <v>623</v>
      </c>
      <c r="D2790" s="2" t="s">
        <v>38</v>
      </c>
      <c r="E2790" s="2" t="s">
        <v>39</v>
      </c>
      <c r="F2790" s="2">
        <v>513759654</v>
      </c>
      <c r="G2790" s="2" t="s">
        <v>41</v>
      </c>
      <c r="H2790" s="2" t="s">
        <v>624</v>
      </c>
      <c r="I2790" s="2" t="s">
        <v>625</v>
      </c>
      <c r="K2790" s="2" t="s">
        <v>422</v>
      </c>
      <c r="O2790" s="2" t="s">
        <v>43</v>
      </c>
      <c r="P2790" s="2" t="s">
        <v>1373</v>
      </c>
      <c r="Q2790" s="2" t="s">
        <v>1374</v>
      </c>
      <c r="R2790" s="2">
        <v>3</v>
      </c>
      <c r="S2790" s="2">
        <v>84.6</v>
      </c>
      <c r="T2790" s="2">
        <v>19.457999999999998</v>
      </c>
      <c r="U2790" s="2">
        <v>104.05800000000001</v>
      </c>
      <c r="W2790" s="5">
        <f t="shared" si="272"/>
        <v>1</v>
      </c>
      <c r="Y2790" s="2" t="s">
        <v>3256</v>
      </c>
      <c r="Z2790" s="2" t="s">
        <v>46</v>
      </c>
      <c r="AA2790" s="2" t="s">
        <v>47</v>
      </c>
      <c r="AB2790" s="2" t="s">
        <v>48</v>
      </c>
      <c r="AE2790" s="2">
        <f t="shared" si="267"/>
        <v>0</v>
      </c>
      <c r="AI2790" s="2">
        <f t="shared" si="268"/>
        <v>0</v>
      </c>
      <c r="AJ2790" s="2">
        <f t="shared" si="269"/>
        <v>84.6</v>
      </c>
      <c r="AK2790" s="5">
        <f t="shared" si="273"/>
        <v>1</v>
      </c>
    </row>
    <row r="2791" spans="1:37" x14ac:dyDescent="0.2">
      <c r="A2791" s="2">
        <v>2025</v>
      </c>
      <c r="B2791" s="2">
        <v>9</v>
      </c>
      <c r="C2791" s="2" t="s">
        <v>623</v>
      </c>
      <c r="D2791" s="2" t="s">
        <v>38</v>
      </c>
      <c r="E2791" s="2" t="s">
        <v>39</v>
      </c>
      <c r="F2791" s="2">
        <v>513759654</v>
      </c>
      <c r="G2791" s="2" t="s">
        <v>41</v>
      </c>
      <c r="H2791" s="2" t="s">
        <v>624</v>
      </c>
      <c r="I2791" s="2" t="s">
        <v>625</v>
      </c>
      <c r="K2791" s="2" t="s">
        <v>422</v>
      </c>
      <c r="O2791" s="2" t="s">
        <v>43</v>
      </c>
      <c r="P2791" s="2" t="s">
        <v>597</v>
      </c>
      <c r="Q2791" s="2" t="s">
        <v>598</v>
      </c>
      <c r="R2791" s="2">
        <v>3</v>
      </c>
      <c r="S2791" s="2">
        <v>90</v>
      </c>
      <c r="T2791" s="2">
        <v>20.7</v>
      </c>
      <c r="U2791" s="2">
        <v>110.7</v>
      </c>
      <c r="W2791" s="5">
        <f t="shared" si="272"/>
        <v>1</v>
      </c>
      <c r="Y2791" s="2" t="s">
        <v>3256</v>
      </c>
      <c r="Z2791" s="2" t="s">
        <v>46</v>
      </c>
      <c r="AA2791" s="2" t="s">
        <v>47</v>
      </c>
      <c r="AB2791" s="2" t="s">
        <v>48</v>
      </c>
      <c r="AE2791" s="2">
        <f t="shared" si="267"/>
        <v>0</v>
      </c>
      <c r="AI2791" s="2">
        <f t="shared" si="268"/>
        <v>0</v>
      </c>
      <c r="AJ2791" s="2">
        <f t="shared" si="269"/>
        <v>90</v>
      </c>
      <c r="AK2791" s="5">
        <f t="shared" si="273"/>
        <v>1</v>
      </c>
    </row>
    <row r="2792" spans="1:37" x14ac:dyDescent="0.2">
      <c r="A2792" s="2">
        <v>2025</v>
      </c>
      <c r="B2792" s="2">
        <v>9</v>
      </c>
      <c r="C2792" s="2" t="s">
        <v>623</v>
      </c>
      <c r="D2792" s="2" t="s">
        <v>38</v>
      </c>
      <c r="E2792" s="2" t="s">
        <v>39</v>
      </c>
      <c r="F2792" s="2">
        <v>513759654</v>
      </c>
      <c r="G2792" s="2" t="s">
        <v>41</v>
      </c>
      <c r="H2792" s="2" t="s">
        <v>624</v>
      </c>
      <c r="I2792" s="2" t="s">
        <v>625</v>
      </c>
      <c r="K2792" s="2" t="s">
        <v>422</v>
      </c>
      <c r="O2792" s="2" t="s">
        <v>43</v>
      </c>
      <c r="P2792" s="2" t="s">
        <v>239</v>
      </c>
      <c r="Q2792" s="2" t="s">
        <v>240</v>
      </c>
      <c r="R2792" s="2">
        <v>1</v>
      </c>
      <c r="S2792" s="2">
        <v>19.8</v>
      </c>
      <c r="T2792" s="2">
        <v>4.5540000000000003</v>
      </c>
      <c r="U2792" s="2">
        <v>24.353999999999999</v>
      </c>
      <c r="W2792" s="5">
        <f t="shared" si="272"/>
        <v>1</v>
      </c>
      <c r="Y2792" s="2" t="s">
        <v>3256</v>
      </c>
      <c r="Z2792" s="2" t="s">
        <v>46</v>
      </c>
      <c r="AA2792" s="2" t="s">
        <v>57</v>
      </c>
      <c r="AB2792" s="2" t="s">
        <v>58</v>
      </c>
      <c r="AE2792" s="2">
        <f t="shared" si="267"/>
        <v>0</v>
      </c>
      <c r="AI2792" s="2">
        <f t="shared" si="268"/>
        <v>0</v>
      </c>
      <c r="AJ2792" s="2">
        <f t="shared" si="269"/>
        <v>19.8</v>
      </c>
      <c r="AK2792" s="5">
        <f t="shared" si="273"/>
        <v>1</v>
      </c>
    </row>
    <row r="2793" spans="1:37" x14ac:dyDescent="0.2">
      <c r="A2793" s="2">
        <v>2025</v>
      </c>
      <c r="B2793" s="2">
        <v>9</v>
      </c>
      <c r="C2793" s="2" t="s">
        <v>623</v>
      </c>
      <c r="D2793" s="2" t="s">
        <v>38</v>
      </c>
      <c r="E2793" s="2" t="s">
        <v>39</v>
      </c>
      <c r="F2793" s="2">
        <v>513759654</v>
      </c>
      <c r="G2793" s="2" t="s">
        <v>41</v>
      </c>
      <c r="H2793" s="2" t="s">
        <v>624</v>
      </c>
      <c r="I2793" s="2" t="s">
        <v>625</v>
      </c>
      <c r="K2793" s="2" t="s">
        <v>422</v>
      </c>
      <c r="O2793" s="2" t="s">
        <v>43</v>
      </c>
      <c r="P2793" s="2" t="s">
        <v>241</v>
      </c>
      <c r="Q2793" s="2" t="s">
        <v>242</v>
      </c>
      <c r="R2793" s="2">
        <v>1</v>
      </c>
      <c r="S2793" s="2">
        <v>24</v>
      </c>
      <c r="T2793" s="2">
        <v>5.52</v>
      </c>
      <c r="U2793" s="2">
        <v>29.52</v>
      </c>
      <c r="W2793" s="5">
        <f t="shared" si="272"/>
        <v>1</v>
      </c>
      <c r="Y2793" s="2" t="s">
        <v>3256</v>
      </c>
      <c r="Z2793" s="2" t="s">
        <v>46</v>
      </c>
      <c r="AA2793" s="2" t="s">
        <v>57</v>
      </c>
      <c r="AB2793" s="2" t="s">
        <v>58</v>
      </c>
      <c r="AE2793" s="2">
        <f t="shared" si="267"/>
        <v>0</v>
      </c>
      <c r="AI2793" s="2">
        <f t="shared" si="268"/>
        <v>0</v>
      </c>
      <c r="AJ2793" s="2">
        <f t="shared" si="269"/>
        <v>24</v>
      </c>
      <c r="AK2793" s="5">
        <f t="shared" si="273"/>
        <v>1</v>
      </c>
    </row>
    <row r="2794" spans="1:37" x14ac:dyDescent="0.2">
      <c r="A2794" s="2">
        <v>2025</v>
      </c>
      <c r="B2794" s="2">
        <v>9</v>
      </c>
      <c r="C2794" s="2" t="s">
        <v>623</v>
      </c>
      <c r="D2794" s="2" t="s">
        <v>38</v>
      </c>
      <c r="E2794" s="2" t="s">
        <v>39</v>
      </c>
      <c r="F2794" s="2">
        <v>513759654</v>
      </c>
      <c r="G2794" s="2" t="s">
        <v>41</v>
      </c>
      <c r="H2794" s="2" t="s">
        <v>624</v>
      </c>
      <c r="I2794" s="2" t="s">
        <v>625</v>
      </c>
      <c r="K2794" s="2" t="s">
        <v>422</v>
      </c>
      <c r="O2794" s="2" t="s">
        <v>43</v>
      </c>
      <c r="P2794" s="2" t="s">
        <v>243</v>
      </c>
      <c r="Q2794" s="2" t="s">
        <v>244</v>
      </c>
      <c r="R2794" s="2">
        <v>1</v>
      </c>
      <c r="S2794" s="2">
        <v>28.8</v>
      </c>
      <c r="T2794" s="2">
        <v>6.6240000000000014</v>
      </c>
      <c r="U2794" s="2">
        <v>35.423999999999999</v>
      </c>
      <c r="W2794" s="5">
        <f t="shared" si="272"/>
        <v>1</v>
      </c>
      <c r="Y2794" s="2" t="s">
        <v>3256</v>
      </c>
      <c r="Z2794" s="2" t="s">
        <v>46</v>
      </c>
      <c r="AA2794" s="2" t="s">
        <v>57</v>
      </c>
      <c r="AB2794" s="2" t="s">
        <v>58</v>
      </c>
      <c r="AE2794" s="2">
        <f t="shared" si="267"/>
        <v>0</v>
      </c>
      <c r="AI2794" s="2">
        <f t="shared" si="268"/>
        <v>0</v>
      </c>
      <c r="AJ2794" s="2">
        <f t="shared" si="269"/>
        <v>28.8</v>
      </c>
      <c r="AK2794" s="5">
        <f t="shared" si="273"/>
        <v>1</v>
      </c>
    </row>
    <row r="2795" spans="1:37" x14ac:dyDescent="0.2">
      <c r="A2795" s="2">
        <v>2025</v>
      </c>
      <c r="B2795" s="2">
        <v>9</v>
      </c>
      <c r="C2795" s="2" t="s">
        <v>623</v>
      </c>
      <c r="D2795" s="2" t="s">
        <v>38</v>
      </c>
      <c r="E2795" s="2" t="s">
        <v>39</v>
      </c>
      <c r="F2795" s="2">
        <v>513759654</v>
      </c>
      <c r="G2795" s="2" t="s">
        <v>41</v>
      </c>
      <c r="H2795" s="2" t="s">
        <v>624</v>
      </c>
      <c r="I2795" s="2" t="s">
        <v>625</v>
      </c>
      <c r="K2795" s="2" t="s">
        <v>422</v>
      </c>
      <c r="O2795" s="2" t="s">
        <v>43</v>
      </c>
      <c r="P2795" s="2" t="s">
        <v>245</v>
      </c>
      <c r="Q2795" s="2" t="s">
        <v>246</v>
      </c>
      <c r="R2795" s="2">
        <v>1</v>
      </c>
      <c r="S2795" s="2">
        <v>16.8</v>
      </c>
      <c r="T2795" s="2">
        <v>3.8639999999999999</v>
      </c>
      <c r="U2795" s="2">
        <v>20.664000000000001</v>
      </c>
      <c r="W2795" s="5">
        <f t="shared" si="272"/>
        <v>1</v>
      </c>
      <c r="Y2795" s="2" t="s">
        <v>3256</v>
      </c>
      <c r="Z2795" s="2" t="s">
        <v>46</v>
      </c>
      <c r="AA2795" s="2" t="s">
        <v>57</v>
      </c>
      <c r="AB2795" s="2" t="s">
        <v>58</v>
      </c>
      <c r="AE2795" s="2">
        <f t="shared" si="267"/>
        <v>0</v>
      </c>
      <c r="AI2795" s="2">
        <f t="shared" si="268"/>
        <v>0</v>
      </c>
      <c r="AJ2795" s="2">
        <f t="shared" si="269"/>
        <v>16.8</v>
      </c>
      <c r="AK2795" s="5">
        <f t="shared" si="273"/>
        <v>1</v>
      </c>
    </row>
    <row r="2796" spans="1:37" x14ac:dyDescent="0.2">
      <c r="A2796" s="2">
        <v>2025</v>
      </c>
      <c r="B2796" s="2">
        <v>9</v>
      </c>
      <c r="C2796" s="2" t="s">
        <v>623</v>
      </c>
      <c r="D2796" s="2" t="s">
        <v>38</v>
      </c>
      <c r="E2796" s="2" t="s">
        <v>39</v>
      </c>
      <c r="F2796" s="2">
        <v>513759654</v>
      </c>
      <c r="G2796" s="2" t="s">
        <v>41</v>
      </c>
      <c r="H2796" s="2" t="s">
        <v>624</v>
      </c>
      <c r="I2796" s="2" t="s">
        <v>625</v>
      </c>
      <c r="K2796" s="2" t="s">
        <v>422</v>
      </c>
      <c r="O2796" s="2" t="s">
        <v>43</v>
      </c>
      <c r="P2796" s="2" t="s">
        <v>59</v>
      </c>
      <c r="Q2796" s="2" t="s">
        <v>60</v>
      </c>
      <c r="R2796" s="2">
        <v>100</v>
      </c>
      <c r="S2796" s="2">
        <v>13</v>
      </c>
      <c r="T2796" s="2">
        <v>2.99</v>
      </c>
      <c r="U2796" s="2">
        <v>15.99</v>
      </c>
      <c r="V2796" s="2">
        <f>0.0914*R2796</f>
        <v>9.1399999999999988</v>
      </c>
      <c r="W2796" s="5">
        <f t="shared" si="272"/>
        <v>0.29692307692307701</v>
      </c>
      <c r="Y2796" s="2" t="s">
        <v>3256</v>
      </c>
      <c r="Z2796" s="2" t="s">
        <v>46</v>
      </c>
      <c r="AA2796" s="2" t="s">
        <v>61</v>
      </c>
      <c r="AB2796" s="2" t="s">
        <v>58</v>
      </c>
      <c r="AE2796" s="2">
        <f t="shared" si="267"/>
        <v>0</v>
      </c>
      <c r="AF2796" s="2">
        <v>9.14</v>
      </c>
      <c r="AG2796" s="2">
        <v>16</v>
      </c>
      <c r="AI2796" s="2">
        <f t="shared" si="268"/>
        <v>0</v>
      </c>
      <c r="AJ2796" s="2">
        <f t="shared" si="269"/>
        <v>3.8600000000000012</v>
      </c>
      <c r="AK2796" s="5">
        <f t="shared" si="273"/>
        <v>0.29692307692307701</v>
      </c>
    </row>
    <row r="2797" spans="1:37" x14ac:dyDescent="0.2">
      <c r="A2797" s="2">
        <v>2025</v>
      </c>
      <c r="B2797" s="2">
        <v>9</v>
      </c>
      <c r="C2797" s="2" t="s">
        <v>623</v>
      </c>
      <c r="D2797" s="2" t="s">
        <v>38</v>
      </c>
      <c r="E2797" s="2" t="s">
        <v>39</v>
      </c>
      <c r="F2797" s="2">
        <v>513759654</v>
      </c>
      <c r="G2797" s="2" t="s">
        <v>41</v>
      </c>
      <c r="H2797" s="2" t="s">
        <v>624</v>
      </c>
      <c r="I2797" s="2" t="s">
        <v>625</v>
      </c>
      <c r="K2797" s="2" t="s">
        <v>422</v>
      </c>
      <c r="O2797" s="2" t="s">
        <v>43</v>
      </c>
      <c r="P2797" s="2" t="s">
        <v>62</v>
      </c>
      <c r="Q2797" s="2" t="s">
        <v>63</v>
      </c>
      <c r="R2797" s="2">
        <v>100</v>
      </c>
      <c r="S2797" s="2">
        <v>12</v>
      </c>
      <c r="T2797" s="2">
        <v>2.76</v>
      </c>
      <c r="U2797" s="2">
        <v>14.76</v>
      </c>
      <c r="V2797" s="2">
        <f>0.082*R2797</f>
        <v>8.2000000000000011</v>
      </c>
      <c r="W2797" s="5">
        <f t="shared" si="272"/>
        <v>0.3166666666666666</v>
      </c>
      <c r="Y2797" s="2" t="s">
        <v>3256</v>
      </c>
      <c r="Z2797" s="2" t="s">
        <v>46</v>
      </c>
      <c r="AA2797" s="2" t="s">
        <v>61</v>
      </c>
      <c r="AB2797" s="2" t="s">
        <v>58</v>
      </c>
      <c r="AE2797" s="2">
        <f t="shared" si="267"/>
        <v>0</v>
      </c>
      <c r="AF2797" s="2">
        <v>8.1999999999999993</v>
      </c>
      <c r="AG2797" s="2">
        <v>13</v>
      </c>
      <c r="AI2797" s="2">
        <f t="shared" si="268"/>
        <v>0</v>
      </c>
      <c r="AJ2797" s="2">
        <f t="shared" si="269"/>
        <v>3.7999999999999989</v>
      </c>
      <c r="AK2797" s="5">
        <f t="shared" si="273"/>
        <v>0.3166666666666666</v>
      </c>
    </row>
    <row r="2798" spans="1:37" x14ac:dyDescent="0.2">
      <c r="A2798" s="2">
        <v>2025</v>
      </c>
      <c r="B2798" s="2">
        <v>9</v>
      </c>
      <c r="C2798" s="2" t="s">
        <v>623</v>
      </c>
      <c r="D2798" s="2" t="s">
        <v>38</v>
      </c>
      <c r="E2798" s="2" t="s">
        <v>39</v>
      </c>
      <c r="F2798" s="2">
        <v>513759654</v>
      </c>
      <c r="G2798" s="2" t="s">
        <v>41</v>
      </c>
      <c r="H2798" s="2" t="s">
        <v>624</v>
      </c>
      <c r="I2798" s="2" t="s">
        <v>625</v>
      </c>
      <c r="K2798" s="2" t="s">
        <v>422</v>
      </c>
      <c r="O2798" s="2" t="s">
        <v>43</v>
      </c>
      <c r="P2798" s="2" t="s">
        <v>66</v>
      </c>
      <c r="Q2798" s="2" t="s">
        <v>67</v>
      </c>
      <c r="R2798" s="2">
        <v>1</v>
      </c>
      <c r="S2798" s="2">
        <v>22</v>
      </c>
      <c r="T2798" s="2">
        <v>5.0599999999999996</v>
      </c>
      <c r="U2798" s="2">
        <v>27.06</v>
      </c>
      <c r="V2798" s="2">
        <f>15.0203*R2798</f>
        <v>15.020300000000001</v>
      </c>
      <c r="W2798" s="5">
        <f t="shared" si="272"/>
        <v>0.31725909090909088</v>
      </c>
      <c r="Y2798" s="2" t="s">
        <v>3256</v>
      </c>
      <c r="Z2798" s="2" t="s">
        <v>46</v>
      </c>
      <c r="AA2798" s="2" t="s">
        <v>68</v>
      </c>
      <c r="AB2798" s="2" t="s">
        <v>58</v>
      </c>
      <c r="AE2798" s="2">
        <f t="shared" si="267"/>
        <v>0</v>
      </c>
      <c r="AF2798" s="2">
        <v>15.020300000000001</v>
      </c>
      <c r="AG2798" s="2">
        <v>27.6</v>
      </c>
      <c r="AI2798" s="2">
        <f t="shared" si="268"/>
        <v>0</v>
      </c>
      <c r="AJ2798" s="2">
        <f t="shared" si="269"/>
        <v>6.9796999999999993</v>
      </c>
      <c r="AK2798" s="5">
        <f t="shared" si="273"/>
        <v>0.31725909090909088</v>
      </c>
    </row>
    <row r="2799" spans="1:37" x14ac:dyDescent="0.2">
      <c r="A2799" s="2">
        <v>2025</v>
      </c>
      <c r="B2799" s="2">
        <v>9</v>
      </c>
      <c r="C2799" s="2" t="s">
        <v>630</v>
      </c>
      <c r="D2799" s="2" t="s">
        <v>38</v>
      </c>
      <c r="E2799" s="2" t="s">
        <v>39</v>
      </c>
      <c r="F2799" s="2" t="s">
        <v>631</v>
      </c>
      <c r="G2799" s="2" t="s">
        <v>40</v>
      </c>
      <c r="H2799" s="2" t="s">
        <v>632</v>
      </c>
      <c r="I2799" s="2" t="s">
        <v>633</v>
      </c>
      <c r="K2799" s="2" t="s">
        <v>632</v>
      </c>
      <c r="L2799" s="2" t="s">
        <v>40</v>
      </c>
      <c r="O2799" s="2" t="s">
        <v>115</v>
      </c>
      <c r="P2799" s="2" t="s">
        <v>911</v>
      </c>
      <c r="Q2799" s="2" t="s">
        <v>912</v>
      </c>
      <c r="R2799" s="2">
        <v>3</v>
      </c>
      <c r="S2799" s="2">
        <v>1397.1</v>
      </c>
      <c r="T2799" s="2">
        <v>321.33300000000003</v>
      </c>
      <c r="U2799" s="2">
        <v>1718.433</v>
      </c>
      <c r="W2799" s="5">
        <f t="shared" si="272"/>
        <v>1</v>
      </c>
      <c r="AE2799" s="2">
        <f t="shared" si="267"/>
        <v>0</v>
      </c>
      <c r="AI2799" s="2">
        <f t="shared" si="268"/>
        <v>0</v>
      </c>
      <c r="AJ2799" s="2">
        <f t="shared" si="269"/>
        <v>1397.1</v>
      </c>
      <c r="AK2799" s="5">
        <f t="shared" si="273"/>
        <v>1</v>
      </c>
    </row>
    <row r="2800" spans="1:37" x14ac:dyDescent="0.2">
      <c r="A2800" s="2">
        <v>2025</v>
      </c>
      <c r="B2800" s="2">
        <v>9</v>
      </c>
      <c r="C2800" s="2" t="s">
        <v>2305</v>
      </c>
      <c r="O2800" s="2" t="s">
        <v>115</v>
      </c>
      <c r="P2800" s="2" t="s">
        <v>375</v>
      </c>
      <c r="Q2800" s="2" t="s">
        <v>376</v>
      </c>
      <c r="R2800" s="2">
        <v>1</v>
      </c>
      <c r="S2800" s="2">
        <v>48.95</v>
      </c>
      <c r="T2800" s="2">
        <v>11.2585</v>
      </c>
      <c r="U2800" s="2">
        <v>60.208500000000001</v>
      </c>
      <c r="W2800" s="5">
        <f t="shared" si="272"/>
        <v>1</v>
      </c>
      <c r="AE2800" s="2">
        <f t="shared" si="267"/>
        <v>0</v>
      </c>
      <c r="AI2800" s="2">
        <f t="shared" si="268"/>
        <v>0</v>
      </c>
      <c r="AJ2800" s="2">
        <f t="shared" si="269"/>
        <v>48.95</v>
      </c>
      <c r="AK2800" s="5">
        <f t="shared" si="273"/>
        <v>1</v>
      </c>
    </row>
    <row r="2801" spans="1:37" x14ac:dyDescent="0.2">
      <c r="A2801" s="2">
        <v>2025</v>
      </c>
      <c r="B2801" s="2">
        <v>9</v>
      </c>
      <c r="C2801" s="2" t="s">
        <v>2305</v>
      </c>
      <c r="O2801" s="2" t="s">
        <v>170</v>
      </c>
      <c r="P2801" s="2" t="s">
        <v>171</v>
      </c>
      <c r="Q2801" s="2" t="s">
        <v>171</v>
      </c>
      <c r="R2801" s="2">
        <v>1</v>
      </c>
      <c r="S2801" s="2">
        <v>5</v>
      </c>
      <c r="T2801" s="2">
        <v>1.1499999999999999</v>
      </c>
      <c r="U2801" s="2">
        <v>6.15</v>
      </c>
      <c r="W2801" s="5">
        <f t="shared" si="272"/>
        <v>1</v>
      </c>
      <c r="Y2801" s="2" t="s">
        <v>170</v>
      </c>
      <c r="Z2801" s="2" t="s">
        <v>170</v>
      </c>
      <c r="AE2801" s="2">
        <f t="shared" si="267"/>
        <v>0</v>
      </c>
      <c r="AI2801" s="2">
        <f t="shared" si="268"/>
        <v>0</v>
      </c>
      <c r="AJ2801" s="2">
        <f t="shared" si="269"/>
        <v>5</v>
      </c>
      <c r="AK2801" s="5">
        <f t="shared" si="273"/>
        <v>1</v>
      </c>
    </row>
    <row r="2802" spans="1:37" x14ac:dyDescent="0.2">
      <c r="A2802" s="2">
        <v>2025</v>
      </c>
      <c r="B2802" s="2">
        <v>9</v>
      </c>
      <c r="C2802" s="2" t="s">
        <v>657</v>
      </c>
      <c r="D2802" s="2" t="s">
        <v>109</v>
      </c>
      <c r="E2802" s="2" t="s">
        <v>39</v>
      </c>
      <c r="F2802" s="2">
        <v>509838537</v>
      </c>
      <c r="G2802" s="2" t="s">
        <v>41</v>
      </c>
      <c r="H2802" s="2" t="s">
        <v>658</v>
      </c>
      <c r="I2802" s="2" t="s">
        <v>659</v>
      </c>
      <c r="K2802" s="2" t="s">
        <v>422</v>
      </c>
      <c r="L2802" s="2" t="s">
        <v>41</v>
      </c>
      <c r="N2802" s="2" t="s">
        <v>2306</v>
      </c>
      <c r="O2802" s="2" t="s">
        <v>73</v>
      </c>
      <c r="P2802" s="2" t="s">
        <v>307</v>
      </c>
      <c r="Q2802" s="2" t="s">
        <v>308</v>
      </c>
      <c r="R2802" s="2">
        <v>1</v>
      </c>
      <c r="S2802" s="2">
        <v>230</v>
      </c>
      <c r="T2802" s="2">
        <v>52.900000000000013</v>
      </c>
      <c r="U2802" s="2">
        <v>282.89999999999998</v>
      </c>
      <c r="V2802" s="2">
        <v>119.33</v>
      </c>
      <c r="W2802" s="5">
        <f t="shared" si="272"/>
        <v>0.48117391304347829</v>
      </c>
      <c r="Y2802" s="2" t="s">
        <v>3256</v>
      </c>
      <c r="Z2802" s="2" t="s">
        <v>76</v>
      </c>
      <c r="AA2802" s="2" t="s">
        <v>77</v>
      </c>
      <c r="AB2802" s="2" t="s">
        <v>78</v>
      </c>
      <c r="AE2802" s="2">
        <f t="shared" si="267"/>
        <v>0</v>
      </c>
      <c r="AF2802" s="2">
        <v>119.33</v>
      </c>
      <c r="AG2802" s="2">
        <v>220</v>
      </c>
      <c r="AI2802" s="2">
        <f t="shared" si="268"/>
        <v>0</v>
      </c>
      <c r="AJ2802" s="2">
        <f t="shared" si="269"/>
        <v>110.67</v>
      </c>
      <c r="AK2802" s="5">
        <f t="shared" si="273"/>
        <v>0.48117391304347829</v>
      </c>
    </row>
    <row r="2803" spans="1:37" x14ac:dyDescent="0.2">
      <c r="A2803" s="2">
        <v>2025</v>
      </c>
      <c r="B2803" s="2">
        <v>9</v>
      </c>
      <c r="C2803" s="2" t="s">
        <v>657</v>
      </c>
      <c r="D2803" s="2" t="s">
        <v>109</v>
      </c>
      <c r="E2803" s="2" t="s">
        <v>39</v>
      </c>
      <c r="F2803" s="2">
        <v>509838537</v>
      </c>
      <c r="G2803" s="2" t="s">
        <v>41</v>
      </c>
      <c r="H2803" s="2" t="s">
        <v>658</v>
      </c>
      <c r="I2803" s="2" t="s">
        <v>659</v>
      </c>
      <c r="K2803" s="2" t="s">
        <v>422</v>
      </c>
      <c r="L2803" s="2" t="s">
        <v>41</v>
      </c>
      <c r="N2803" s="2" t="s">
        <v>2306</v>
      </c>
      <c r="O2803" s="2" t="s">
        <v>94</v>
      </c>
      <c r="P2803" s="2" t="s">
        <v>95</v>
      </c>
      <c r="Q2803" s="2" t="s">
        <v>96</v>
      </c>
      <c r="R2803" s="2">
        <v>1</v>
      </c>
      <c r="S2803" s="2">
        <v>1.1399999999999999</v>
      </c>
      <c r="T2803" s="2">
        <v>0.26219999999999999</v>
      </c>
      <c r="U2803" s="2">
        <v>1.4021999999999999</v>
      </c>
      <c r="V2803" s="2">
        <v>1.1399999999999999</v>
      </c>
      <c r="W2803" s="5">
        <f t="shared" si="272"/>
        <v>0</v>
      </c>
      <c r="Y2803" s="2" t="s">
        <v>3256</v>
      </c>
      <c r="Z2803" s="2" t="s">
        <v>97</v>
      </c>
      <c r="AA2803" s="2" t="s">
        <v>77</v>
      </c>
      <c r="AB2803" s="2" t="s">
        <v>94</v>
      </c>
      <c r="AE2803" s="2">
        <f t="shared" si="267"/>
        <v>0</v>
      </c>
      <c r="AF2803" s="2">
        <v>1.1399999999999999</v>
      </c>
      <c r="AG2803" s="2">
        <v>1.1399999999999999</v>
      </c>
      <c r="AI2803" s="2">
        <f t="shared" si="268"/>
        <v>0</v>
      </c>
      <c r="AJ2803" s="2">
        <f t="shared" si="269"/>
        <v>0</v>
      </c>
      <c r="AK2803" s="5">
        <f t="shared" si="273"/>
        <v>0</v>
      </c>
    </row>
    <row r="2804" spans="1:37" x14ac:dyDescent="0.2">
      <c r="A2804" s="2">
        <v>2025</v>
      </c>
      <c r="B2804" s="2">
        <v>9</v>
      </c>
      <c r="C2804" s="2" t="s">
        <v>1451</v>
      </c>
      <c r="L2804" s="2" t="s">
        <v>40</v>
      </c>
      <c r="O2804" s="2" t="s">
        <v>188</v>
      </c>
      <c r="P2804" s="2" t="s">
        <v>189</v>
      </c>
      <c r="Q2804" s="2" t="s">
        <v>190</v>
      </c>
      <c r="R2804" s="2">
        <v>1</v>
      </c>
      <c r="S2804" s="2">
        <v>79</v>
      </c>
      <c r="T2804" s="2">
        <v>18.170000000000002</v>
      </c>
      <c r="U2804" s="2">
        <v>97.17</v>
      </c>
      <c r="W2804" s="5">
        <f t="shared" si="272"/>
        <v>1</v>
      </c>
      <c r="Y2804" s="2" t="s">
        <v>118</v>
      </c>
      <c r="Z2804" s="2" t="s">
        <v>191</v>
      </c>
      <c r="AE2804" s="2">
        <f t="shared" si="267"/>
        <v>0</v>
      </c>
      <c r="AI2804" s="2">
        <f t="shared" si="268"/>
        <v>0</v>
      </c>
      <c r="AJ2804" s="2">
        <f t="shared" si="269"/>
        <v>79</v>
      </c>
      <c r="AK2804" s="5">
        <f t="shared" si="273"/>
        <v>1</v>
      </c>
    </row>
    <row r="2805" spans="1:37" x14ac:dyDescent="0.2">
      <c r="A2805" s="2">
        <v>2025</v>
      </c>
      <c r="B2805" s="2">
        <v>9</v>
      </c>
      <c r="C2805" s="2" t="s">
        <v>1451</v>
      </c>
      <c r="L2805" s="2" t="s">
        <v>40</v>
      </c>
      <c r="O2805" s="2" t="s">
        <v>188</v>
      </c>
      <c r="P2805" s="2" t="s">
        <v>192</v>
      </c>
      <c r="Q2805" s="2" t="s">
        <v>191</v>
      </c>
      <c r="R2805" s="2">
        <v>1</v>
      </c>
      <c r="S2805" s="2">
        <v>50</v>
      </c>
      <c r="T2805" s="2">
        <v>11.5</v>
      </c>
      <c r="U2805" s="2">
        <v>61.5</v>
      </c>
      <c r="V2805" s="2">
        <f>S2805*50%</f>
        <v>25</v>
      </c>
      <c r="W2805" s="5">
        <f t="shared" si="272"/>
        <v>0.5</v>
      </c>
      <c r="Y2805" s="2" t="s">
        <v>118</v>
      </c>
      <c r="Z2805" s="2" t="s">
        <v>191</v>
      </c>
      <c r="AE2805" s="2">
        <f t="shared" si="267"/>
        <v>0</v>
      </c>
      <c r="AI2805" s="2">
        <f t="shared" si="268"/>
        <v>0</v>
      </c>
      <c r="AJ2805" s="2">
        <f t="shared" si="269"/>
        <v>25</v>
      </c>
      <c r="AK2805" s="5">
        <f t="shared" si="273"/>
        <v>0.5</v>
      </c>
    </row>
    <row r="2806" spans="1:37" x14ac:dyDescent="0.2">
      <c r="A2806" s="2">
        <v>2025</v>
      </c>
      <c r="B2806" s="2">
        <v>9</v>
      </c>
      <c r="C2806" s="2" t="s">
        <v>2213</v>
      </c>
      <c r="O2806" s="2" t="s">
        <v>73</v>
      </c>
      <c r="P2806" s="2" t="s">
        <v>74</v>
      </c>
      <c r="Q2806" s="2" t="s">
        <v>75</v>
      </c>
      <c r="R2806" s="2">
        <v>1</v>
      </c>
      <c r="S2806" s="2">
        <v>220</v>
      </c>
      <c r="T2806" s="2">
        <v>50.6</v>
      </c>
      <c r="U2806" s="2">
        <v>270.60000000000002</v>
      </c>
      <c r="V2806" s="2">
        <v>117.453</v>
      </c>
      <c r="W2806" s="5">
        <f t="shared" si="272"/>
        <v>0.46612272727272724</v>
      </c>
      <c r="Y2806" s="2" t="s">
        <v>3256</v>
      </c>
      <c r="Z2806" s="2" t="s">
        <v>76</v>
      </c>
      <c r="AA2806" s="2" t="s">
        <v>77</v>
      </c>
      <c r="AB2806" s="2" t="s">
        <v>78</v>
      </c>
      <c r="AE2806" s="2">
        <f t="shared" si="267"/>
        <v>0</v>
      </c>
      <c r="AF2806" s="2">
        <v>117.453</v>
      </c>
      <c r="AG2806" s="2">
        <v>220</v>
      </c>
      <c r="AI2806" s="2">
        <f t="shared" si="268"/>
        <v>0</v>
      </c>
      <c r="AJ2806" s="2">
        <f t="shared" si="269"/>
        <v>102.547</v>
      </c>
      <c r="AK2806" s="5">
        <f t="shared" si="273"/>
        <v>0.46612272727272724</v>
      </c>
    </row>
    <row r="2807" spans="1:37" x14ac:dyDescent="0.2">
      <c r="A2807" s="2">
        <v>2025</v>
      </c>
      <c r="B2807" s="2">
        <v>9</v>
      </c>
      <c r="C2807" s="2" t="s">
        <v>2213</v>
      </c>
      <c r="O2807" s="2" t="s">
        <v>94</v>
      </c>
      <c r="P2807" s="2" t="s">
        <v>95</v>
      </c>
      <c r="Q2807" s="2" t="s">
        <v>96</v>
      </c>
      <c r="R2807" s="2">
        <v>1</v>
      </c>
      <c r="S2807" s="2">
        <v>1.1399999999999999</v>
      </c>
      <c r="T2807" s="2">
        <v>0.26219999999999999</v>
      </c>
      <c r="U2807" s="2">
        <v>1.4021999999999999</v>
      </c>
      <c r="V2807" s="2">
        <v>1.1399999999999999</v>
      </c>
      <c r="W2807" s="5">
        <f t="shared" si="272"/>
        <v>0</v>
      </c>
      <c r="Y2807" s="2" t="s">
        <v>3256</v>
      </c>
      <c r="Z2807" s="2" t="s">
        <v>97</v>
      </c>
      <c r="AA2807" s="2" t="s">
        <v>77</v>
      </c>
      <c r="AB2807" s="2" t="s">
        <v>94</v>
      </c>
      <c r="AE2807" s="2">
        <f t="shared" si="267"/>
        <v>0</v>
      </c>
      <c r="AI2807" s="2">
        <f t="shared" si="268"/>
        <v>0</v>
      </c>
      <c r="AJ2807" s="2">
        <f t="shared" si="269"/>
        <v>0</v>
      </c>
      <c r="AK2807" s="5">
        <f t="shared" si="273"/>
        <v>0</v>
      </c>
    </row>
    <row r="2808" spans="1:37" x14ac:dyDescent="0.2">
      <c r="A2808" s="2">
        <v>2025</v>
      </c>
      <c r="B2808" s="2">
        <v>9</v>
      </c>
      <c r="C2808" s="2" t="s">
        <v>1322</v>
      </c>
      <c r="D2808" s="2" t="s">
        <v>38</v>
      </c>
      <c r="E2808" s="2" t="s">
        <v>39</v>
      </c>
      <c r="F2808" s="2">
        <v>509512739</v>
      </c>
      <c r="G2808" s="2" t="s">
        <v>41</v>
      </c>
      <c r="H2808" s="2" t="s">
        <v>178</v>
      </c>
      <c r="I2808" s="2" t="s">
        <v>1323</v>
      </c>
      <c r="K2808" s="2" t="s">
        <v>178</v>
      </c>
      <c r="L2808" s="2" t="s">
        <v>41</v>
      </c>
      <c r="N2808" s="2" t="s">
        <v>2307</v>
      </c>
      <c r="O2808" s="2" t="s">
        <v>283</v>
      </c>
      <c r="P2808" s="2" t="s">
        <v>532</v>
      </c>
      <c r="Q2808" s="2" t="s">
        <v>533</v>
      </c>
      <c r="R2808" s="2">
        <v>1</v>
      </c>
      <c r="S2808" s="2">
        <v>399</v>
      </c>
      <c r="T2808" s="2">
        <v>91.77000000000001</v>
      </c>
      <c r="U2808" s="2">
        <v>490.77</v>
      </c>
      <c r="V2808" s="2">
        <v>299.25</v>
      </c>
      <c r="W2808" s="5">
        <f t="shared" si="272"/>
        <v>0.25</v>
      </c>
      <c r="Y2808" s="2" t="s">
        <v>3256</v>
      </c>
      <c r="Z2808" s="2" t="s">
        <v>72</v>
      </c>
      <c r="AA2808" s="2" t="s">
        <v>120</v>
      </c>
      <c r="AB2808" s="2" t="s">
        <v>120</v>
      </c>
      <c r="AE2808" s="2">
        <f t="shared" si="267"/>
        <v>0</v>
      </c>
      <c r="AF2808" s="2">
        <v>299.25</v>
      </c>
      <c r="AG2808" s="2">
        <v>399</v>
      </c>
      <c r="AI2808" s="2">
        <f t="shared" si="268"/>
        <v>0</v>
      </c>
      <c r="AJ2808" s="2">
        <f t="shared" si="269"/>
        <v>99.75</v>
      </c>
      <c r="AK2808" s="5">
        <f t="shared" si="273"/>
        <v>0.25</v>
      </c>
    </row>
    <row r="2809" spans="1:37" x14ac:dyDescent="0.2">
      <c r="A2809" s="2">
        <v>2025</v>
      </c>
      <c r="B2809" s="2">
        <v>9</v>
      </c>
      <c r="C2809" s="2" t="s">
        <v>680</v>
      </c>
      <c r="L2809" s="2" t="s">
        <v>40</v>
      </c>
      <c r="O2809" s="2" t="s">
        <v>188</v>
      </c>
      <c r="P2809" s="2" t="s">
        <v>189</v>
      </c>
      <c r="Q2809" s="2" t="s">
        <v>190</v>
      </c>
      <c r="R2809" s="2">
        <v>1</v>
      </c>
      <c r="S2809" s="2">
        <v>52</v>
      </c>
      <c r="T2809" s="2">
        <v>11.96</v>
      </c>
      <c r="U2809" s="2">
        <v>63.96</v>
      </c>
      <c r="W2809" s="5">
        <f t="shared" si="272"/>
        <v>1</v>
      </c>
      <c r="Y2809" s="2" t="s">
        <v>118</v>
      </c>
      <c r="Z2809" s="2" t="s">
        <v>191</v>
      </c>
      <c r="AE2809" s="2">
        <f t="shared" si="267"/>
        <v>0</v>
      </c>
      <c r="AI2809" s="2">
        <f t="shared" si="268"/>
        <v>0</v>
      </c>
      <c r="AJ2809" s="2">
        <f t="shared" si="269"/>
        <v>52</v>
      </c>
      <c r="AK2809" s="5">
        <f t="shared" si="273"/>
        <v>1</v>
      </c>
    </row>
    <row r="2810" spans="1:37" x14ac:dyDescent="0.2">
      <c r="A2810" s="2">
        <v>2025</v>
      </c>
      <c r="B2810" s="2">
        <v>9</v>
      </c>
      <c r="C2810" s="2" t="s">
        <v>680</v>
      </c>
      <c r="L2810" s="2" t="s">
        <v>40</v>
      </c>
      <c r="O2810" s="2" t="s">
        <v>188</v>
      </c>
      <c r="P2810" s="2" t="s">
        <v>192</v>
      </c>
      <c r="Q2810" s="2" t="s">
        <v>191</v>
      </c>
      <c r="R2810" s="2">
        <v>1</v>
      </c>
      <c r="S2810" s="2">
        <v>50</v>
      </c>
      <c r="T2810" s="2">
        <v>11.5</v>
      </c>
      <c r="U2810" s="2">
        <v>61.5</v>
      </c>
      <c r="V2810" s="2">
        <f>S2810*50%</f>
        <v>25</v>
      </c>
      <c r="W2810" s="5">
        <f t="shared" si="272"/>
        <v>0.5</v>
      </c>
      <c r="Y2810" s="2" t="s">
        <v>118</v>
      </c>
      <c r="Z2810" s="2" t="s">
        <v>191</v>
      </c>
      <c r="AE2810" s="2">
        <f t="shared" si="267"/>
        <v>0</v>
      </c>
      <c r="AI2810" s="2">
        <f t="shared" si="268"/>
        <v>0</v>
      </c>
      <c r="AJ2810" s="2">
        <f t="shared" si="269"/>
        <v>25</v>
      </c>
      <c r="AK2810" s="5">
        <f t="shared" si="273"/>
        <v>0.5</v>
      </c>
    </row>
    <row r="2811" spans="1:37" x14ac:dyDescent="0.2">
      <c r="A2811" s="2">
        <v>2025</v>
      </c>
      <c r="B2811" s="2">
        <v>9</v>
      </c>
      <c r="C2811" s="2" t="s">
        <v>2308</v>
      </c>
      <c r="L2811" s="2" t="s">
        <v>40</v>
      </c>
      <c r="O2811" s="2" t="s">
        <v>188</v>
      </c>
      <c r="P2811" s="2" t="s">
        <v>189</v>
      </c>
      <c r="Q2811" s="2" t="s">
        <v>190</v>
      </c>
      <c r="R2811" s="2">
        <v>1</v>
      </c>
      <c r="S2811" s="2">
        <v>139</v>
      </c>
      <c r="T2811" s="2">
        <v>31.97</v>
      </c>
      <c r="U2811" s="2">
        <v>170.97</v>
      </c>
      <c r="W2811" s="5">
        <f t="shared" si="272"/>
        <v>1</v>
      </c>
      <c r="Y2811" s="2" t="s">
        <v>118</v>
      </c>
      <c r="Z2811" s="2" t="s">
        <v>191</v>
      </c>
      <c r="AE2811" s="2">
        <f t="shared" si="267"/>
        <v>0</v>
      </c>
      <c r="AI2811" s="2">
        <f t="shared" si="268"/>
        <v>0</v>
      </c>
      <c r="AJ2811" s="2">
        <f t="shared" si="269"/>
        <v>139</v>
      </c>
      <c r="AK2811" s="5">
        <f t="shared" si="273"/>
        <v>1</v>
      </c>
    </row>
    <row r="2812" spans="1:37" x14ac:dyDescent="0.2">
      <c r="A2812" s="2">
        <v>2025</v>
      </c>
      <c r="B2812" s="2">
        <v>9</v>
      </c>
      <c r="C2812" s="2" t="s">
        <v>2308</v>
      </c>
      <c r="L2812" s="2" t="s">
        <v>40</v>
      </c>
      <c r="O2812" s="2" t="s">
        <v>188</v>
      </c>
      <c r="P2812" s="2" t="s">
        <v>192</v>
      </c>
      <c r="Q2812" s="2" t="s">
        <v>191</v>
      </c>
      <c r="R2812" s="2">
        <v>1</v>
      </c>
      <c r="S2812" s="2">
        <v>50</v>
      </c>
      <c r="T2812" s="2">
        <v>11.5</v>
      </c>
      <c r="U2812" s="2">
        <v>61.5</v>
      </c>
      <c r="V2812" s="2">
        <f>S2812*50%</f>
        <v>25</v>
      </c>
      <c r="W2812" s="5">
        <f t="shared" si="272"/>
        <v>0.5</v>
      </c>
      <c r="Y2812" s="2" t="s">
        <v>118</v>
      </c>
      <c r="Z2812" s="2" t="s">
        <v>191</v>
      </c>
      <c r="AE2812" s="2">
        <f t="shared" si="267"/>
        <v>0</v>
      </c>
      <c r="AI2812" s="2">
        <f t="shared" si="268"/>
        <v>0</v>
      </c>
      <c r="AJ2812" s="2">
        <f t="shared" si="269"/>
        <v>25</v>
      </c>
      <c r="AK2812" s="5">
        <f t="shared" si="273"/>
        <v>0.5</v>
      </c>
    </row>
    <row r="2813" spans="1:37" x14ac:dyDescent="0.2">
      <c r="A2813" s="2">
        <v>2025</v>
      </c>
      <c r="B2813" s="2">
        <v>9</v>
      </c>
      <c r="C2813" s="2" t="s">
        <v>935</v>
      </c>
      <c r="D2813" s="2" t="s">
        <v>38</v>
      </c>
      <c r="E2813" s="2" t="s">
        <v>39</v>
      </c>
      <c r="F2813" s="2" t="s">
        <v>936</v>
      </c>
      <c r="G2813" s="2" t="s">
        <v>41</v>
      </c>
      <c r="H2813" s="2" t="s">
        <v>632</v>
      </c>
      <c r="I2813" s="2" t="s">
        <v>937</v>
      </c>
      <c r="K2813" s="2" t="s">
        <v>632</v>
      </c>
      <c r="L2813" s="2" t="s">
        <v>41</v>
      </c>
      <c r="O2813" s="2" t="s">
        <v>43</v>
      </c>
      <c r="P2813" s="2" t="s">
        <v>235</v>
      </c>
      <c r="Q2813" s="2" t="s">
        <v>236</v>
      </c>
      <c r="R2813" s="2">
        <v>2</v>
      </c>
      <c r="S2813" s="2">
        <v>26.4</v>
      </c>
      <c r="T2813" s="2">
        <v>6.0720000000000001</v>
      </c>
      <c r="U2813" s="2">
        <v>32.472000000000001</v>
      </c>
      <c r="V2813" s="2">
        <f>7.2217*R2813</f>
        <v>14.4434</v>
      </c>
      <c r="W2813" s="5">
        <f t="shared" si="272"/>
        <v>0.45290151515151511</v>
      </c>
      <c r="Y2813" s="2" t="s">
        <v>3256</v>
      </c>
      <c r="Z2813" s="2" t="s">
        <v>46</v>
      </c>
      <c r="AA2813" s="2" t="s">
        <v>57</v>
      </c>
      <c r="AB2813" s="2" t="s">
        <v>58</v>
      </c>
      <c r="AE2813" s="2">
        <f t="shared" si="267"/>
        <v>0</v>
      </c>
      <c r="AF2813" s="2">
        <v>7.2217000000000002</v>
      </c>
      <c r="AG2813" s="2">
        <v>14.4</v>
      </c>
      <c r="AI2813" s="2">
        <f t="shared" si="268"/>
        <v>0</v>
      </c>
      <c r="AJ2813" s="2">
        <f t="shared" si="269"/>
        <v>11.956599999999998</v>
      </c>
      <c r="AK2813" s="5">
        <f t="shared" si="273"/>
        <v>0.45290151515151511</v>
      </c>
    </row>
    <row r="2814" spans="1:37" x14ac:dyDescent="0.2">
      <c r="A2814" s="2">
        <v>2025</v>
      </c>
      <c r="B2814" s="2">
        <v>9</v>
      </c>
      <c r="C2814" s="2" t="s">
        <v>935</v>
      </c>
      <c r="D2814" s="2" t="s">
        <v>38</v>
      </c>
      <c r="E2814" s="2" t="s">
        <v>39</v>
      </c>
      <c r="F2814" s="2" t="s">
        <v>936</v>
      </c>
      <c r="G2814" s="2" t="s">
        <v>41</v>
      </c>
      <c r="H2814" s="2" t="s">
        <v>632</v>
      </c>
      <c r="I2814" s="2" t="s">
        <v>937</v>
      </c>
      <c r="K2814" s="2" t="s">
        <v>632</v>
      </c>
      <c r="L2814" s="2" t="s">
        <v>41</v>
      </c>
      <c r="O2814" s="2" t="s">
        <v>43</v>
      </c>
      <c r="P2814" s="2" t="s">
        <v>239</v>
      </c>
      <c r="Q2814" s="2" t="s">
        <v>240</v>
      </c>
      <c r="R2814" s="2">
        <v>1</v>
      </c>
      <c r="S2814" s="2">
        <v>19.8</v>
      </c>
      <c r="T2814" s="2">
        <v>4.5540000000000003</v>
      </c>
      <c r="U2814" s="2">
        <v>24.353999999999999</v>
      </c>
      <c r="W2814" s="5">
        <f t="shared" si="272"/>
        <v>1</v>
      </c>
      <c r="Y2814" s="2" t="s">
        <v>3256</v>
      </c>
      <c r="Z2814" s="2" t="s">
        <v>46</v>
      </c>
      <c r="AA2814" s="2" t="s">
        <v>57</v>
      </c>
      <c r="AB2814" s="2" t="s">
        <v>58</v>
      </c>
      <c r="AE2814" s="2">
        <f t="shared" si="267"/>
        <v>0</v>
      </c>
      <c r="AI2814" s="2">
        <f t="shared" si="268"/>
        <v>0</v>
      </c>
      <c r="AJ2814" s="2">
        <f t="shared" si="269"/>
        <v>19.8</v>
      </c>
      <c r="AK2814" s="5">
        <f t="shared" si="273"/>
        <v>1</v>
      </c>
    </row>
    <row r="2815" spans="1:37" x14ac:dyDescent="0.2">
      <c r="A2815" s="2">
        <v>2025</v>
      </c>
      <c r="B2815" s="2">
        <v>9</v>
      </c>
      <c r="C2815" s="2" t="s">
        <v>935</v>
      </c>
      <c r="D2815" s="2" t="s">
        <v>38</v>
      </c>
      <c r="E2815" s="2" t="s">
        <v>39</v>
      </c>
      <c r="F2815" s="2" t="s">
        <v>936</v>
      </c>
      <c r="G2815" s="2" t="s">
        <v>41</v>
      </c>
      <c r="H2815" s="2" t="s">
        <v>632</v>
      </c>
      <c r="I2815" s="2" t="s">
        <v>937</v>
      </c>
      <c r="K2815" s="2" t="s">
        <v>632</v>
      </c>
      <c r="L2815" s="2" t="s">
        <v>41</v>
      </c>
      <c r="O2815" s="2" t="s">
        <v>43</v>
      </c>
      <c r="P2815" s="2" t="s">
        <v>241</v>
      </c>
      <c r="Q2815" s="2" t="s">
        <v>242</v>
      </c>
      <c r="R2815" s="2">
        <v>1</v>
      </c>
      <c r="S2815" s="2">
        <v>24</v>
      </c>
      <c r="T2815" s="2">
        <v>5.52</v>
      </c>
      <c r="U2815" s="2">
        <v>29.52</v>
      </c>
      <c r="W2815" s="5">
        <f t="shared" si="272"/>
        <v>1</v>
      </c>
      <c r="Y2815" s="2" t="s">
        <v>3256</v>
      </c>
      <c r="Z2815" s="2" t="s">
        <v>46</v>
      </c>
      <c r="AA2815" s="2" t="s">
        <v>57</v>
      </c>
      <c r="AB2815" s="2" t="s">
        <v>58</v>
      </c>
      <c r="AE2815" s="2">
        <f t="shared" si="267"/>
        <v>0</v>
      </c>
      <c r="AI2815" s="2">
        <f t="shared" si="268"/>
        <v>0</v>
      </c>
      <c r="AJ2815" s="2">
        <f t="shared" si="269"/>
        <v>24</v>
      </c>
      <c r="AK2815" s="5">
        <f t="shared" si="273"/>
        <v>1</v>
      </c>
    </row>
    <row r="2816" spans="1:37" x14ac:dyDescent="0.2">
      <c r="A2816" s="2">
        <v>2025</v>
      </c>
      <c r="B2816" s="2">
        <v>9</v>
      </c>
      <c r="C2816" s="2" t="s">
        <v>935</v>
      </c>
      <c r="D2816" s="2" t="s">
        <v>38</v>
      </c>
      <c r="E2816" s="2" t="s">
        <v>39</v>
      </c>
      <c r="F2816" s="2" t="s">
        <v>936</v>
      </c>
      <c r="G2816" s="2" t="s">
        <v>41</v>
      </c>
      <c r="H2816" s="2" t="s">
        <v>632</v>
      </c>
      <c r="I2816" s="2" t="s">
        <v>937</v>
      </c>
      <c r="K2816" s="2" t="s">
        <v>632</v>
      </c>
      <c r="L2816" s="2" t="s">
        <v>41</v>
      </c>
      <c r="O2816" s="2" t="s">
        <v>43</v>
      </c>
      <c r="P2816" s="2" t="s">
        <v>62</v>
      </c>
      <c r="Q2816" s="2" t="s">
        <v>63</v>
      </c>
      <c r="R2816" s="2">
        <v>2000</v>
      </c>
      <c r="S2816" s="2">
        <v>210</v>
      </c>
      <c r="T2816" s="2">
        <v>48.3</v>
      </c>
      <c r="U2816" s="2">
        <v>258.3</v>
      </c>
      <c r="V2816" s="2">
        <f>0.082*R2816</f>
        <v>164</v>
      </c>
      <c r="W2816" s="5">
        <f t="shared" si="272"/>
        <v>0.21904761904761905</v>
      </c>
      <c r="Y2816" s="2" t="s">
        <v>3256</v>
      </c>
      <c r="Z2816" s="2" t="s">
        <v>46</v>
      </c>
      <c r="AA2816" s="2" t="s">
        <v>61</v>
      </c>
      <c r="AB2816" s="2" t="s">
        <v>58</v>
      </c>
      <c r="AE2816" s="2">
        <f t="shared" si="267"/>
        <v>0</v>
      </c>
      <c r="AF2816" s="2">
        <v>8.1999999999999993</v>
      </c>
      <c r="AG2816" s="2">
        <v>13</v>
      </c>
      <c r="AI2816" s="2">
        <f t="shared" si="268"/>
        <v>0</v>
      </c>
      <c r="AJ2816" s="2">
        <f t="shared" si="269"/>
        <v>46</v>
      </c>
      <c r="AK2816" s="5">
        <f t="shared" si="273"/>
        <v>0.21904761904761905</v>
      </c>
    </row>
    <row r="2817" spans="1:37" x14ac:dyDescent="0.2">
      <c r="A2817" s="2">
        <v>2025</v>
      </c>
      <c r="B2817" s="2">
        <v>9</v>
      </c>
      <c r="C2817" s="2" t="s">
        <v>935</v>
      </c>
      <c r="D2817" s="2" t="s">
        <v>38</v>
      </c>
      <c r="E2817" s="2" t="s">
        <v>39</v>
      </c>
      <c r="F2817" s="2" t="s">
        <v>936</v>
      </c>
      <c r="G2817" s="2" t="s">
        <v>41</v>
      </c>
      <c r="H2817" s="2" t="s">
        <v>632</v>
      </c>
      <c r="I2817" s="2" t="s">
        <v>937</v>
      </c>
      <c r="K2817" s="2" t="s">
        <v>632</v>
      </c>
      <c r="L2817" s="2" t="s">
        <v>41</v>
      </c>
      <c r="O2817" s="2" t="s">
        <v>43</v>
      </c>
      <c r="P2817" s="2" t="s">
        <v>255</v>
      </c>
      <c r="Q2817" s="2" t="s">
        <v>256</v>
      </c>
      <c r="R2817" s="2">
        <v>500</v>
      </c>
      <c r="S2817" s="2">
        <v>57.5</v>
      </c>
      <c r="T2817" s="2">
        <v>13.225</v>
      </c>
      <c r="U2817" s="2">
        <v>70.724999999999994</v>
      </c>
      <c r="W2817" s="5">
        <f t="shared" si="272"/>
        <v>1</v>
      </c>
      <c r="Y2817" s="2" t="s">
        <v>3256</v>
      </c>
      <c r="Z2817" s="2" t="s">
        <v>46</v>
      </c>
      <c r="AA2817" s="2" t="s">
        <v>61</v>
      </c>
      <c r="AB2817" s="2" t="s">
        <v>58</v>
      </c>
      <c r="AE2817" s="2">
        <f t="shared" si="267"/>
        <v>0</v>
      </c>
      <c r="AI2817" s="2">
        <f t="shared" si="268"/>
        <v>0</v>
      </c>
      <c r="AJ2817" s="2">
        <f t="shared" si="269"/>
        <v>57.5</v>
      </c>
      <c r="AK2817" s="5">
        <f t="shared" si="273"/>
        <v>1</v>
      </c>
    </row>
    <row r="2818" spans="1:37" x14ac:dyDescent="0.2">
      <c r="A2818" s="2">
        <v>2025</v>
      </c>
      <c r="B2818" s="2">
        <v>9</v>
      </c>
      <c r="C2818" s="2" t="s">
        <v>935</v>
      </c>
      <c r="D2818" s="2" t="s">
        <v>38</v>
      </c>
      <c r="E2818" s="2" t="s">
        <v>39</v>
      </c>
      <c r="F2818" s="2" t="s">
        <v>936</v>
      </c>
      <c r="G2818" s="2" t="s">
        <v>41</v>
      </c>
      <c r="H2818" s="2" t="s">
        <v>632</v>
      </c>
      <c r="I2818" s="2" t="s">
        <v>937</v>
      </c>
      <c r="K2818" s="2" t="s">
        <v>632</v>
      </c>
      <c r="L2818" s="2" t="s">
        <v>41</v>
      </c>
      <c r="O2818" s="2" t="s">
        <v>43</v>
      </c>
      <c r="P2818" s="2" t="s">
        <v>66</v>
      </c>
      <c r="Q2818" s="2" t="s">
        <v>67</v>
      </c>
      <c r="R2818" s="2">
        <v>2</v>
      </c>
      <c r="S2818" s="2">
        <v>44</v>
      </c>
      <c r="T2818" s="2">
        <v>10.119999999999999</v>
      </c>
      <c r="U2818" s="2">
        <v>54.12</v>
      </c>
      <c r="V2818" s="2">
        <f>15.0203*R2818</f>
        <v>30.040600000000001</v>
      </c>
      <c r="W2818" s="5">
        <f t="shared" si="272"/>
        <v>0.31725909090909088</v>
      </c>
      <c r="Y2818" s="2" t="s">
        <v>3256</v>
      </c>
      <c r="Z2818" s="2" t="s">
        <v>46</v>
      </c>
      <c r="AA2818" s="2" t="s">
        <v>68</v>
      </c>
      <c r="AB2818" s="2" t="s">
        <v>58</v>
      </c>
      <c r="AE2818" s="2">
        <f t="shared" si="267"/>
        <v>0</v>
      </c>
      <c r="AF2818" s="2">
        <v>15.020300000000001</v>
      </c>
      <c r="AG2818" s="2">
        <v>27.6</v>
      </c>
      <c r="AI2818" s="2">
        <f t="shared" si="268"/>
        <v>0</v>
      </c>
      <c r="AJ2818" s="2">
        <f t="shared" si="269"/>
        <v>13.959399999999999</v>
      </c>
      <c r="AK2818" s="5">
        <f t="shared" si="273"/>
        <v>0.31725909090909088</v>
      </c>
    </row>
    <row r="2819" spans="1:37" x14ac:dyDescent="0.2">
      <c r="A2819" s="2">
        <v>2026</v>
      </c>
      <c r="B2819" s="2">
        <v>2</v>
      </c>
      <c r="C2819" s="2" t="s">
        <v>2309</v>
      </c>
      <c r="D2819" s="2" t="s">
        <v>109</v>
      </c>
      <c r="E2819" s="2" t="s">
        <v>39</v>
      </c>
      <c r="F2819" s="2">
        <v>513889248</v>
      </c>
      <c r="G2819" s="2" t="s">
        <v>40</v>
      </c>
      <c r="H2819" s="2" t="s">
        <v>588</v>
      </c>
      <c r="I2819" s="2" t="s">
        <v>2310</v>
      </c>
      <c r="K2819" s="2" t="s">
        <v>202</v>
      </c>
      <c r="L2819" s="2" t="s">
        <v>40</v>
      </c>
      <c r="N2819" s="2" t="s">
        <v>2311</v>
      </c>
      <c r="O2819" s="2" t="s">
        <v>188</v>
      </c>
      <c r="P2819" s="2" t="s">
        <v>189</v>
      </c>
      <c r="Q2819" s="2" t="s">
        <v>190</v>
      </c>
      <c r="R2819" s="2">
        <v>1</v>
      </c>
      <c r="S2819" s="2">
        <v>50</v>
      </c>
      <c r="T2819" s="2">
        <v>11.5</v>
      </c>
      <c r="U2819" s="2">
        <v>61.5</v>
      </c>
      <c r="V2819" s="2">
        <f>S2819*40%</f>
        <v>20</v>
      </c>
      <c r="W2819" s="5">
        <f t="shared" si="272"/>
        <v>0.6</v>
      </c>
      <c r="Y2819" s="2" t="s">
        <v>118</v>
      </c>
      <c r="Z2819" s="2" t="s">
        <v>191</v>
      </c>
      <c r="AE2819" s="2">
        <f t="shared" ref="AE2819:AE2882" si="274">AI2819</f>
        <v>0</v>
      </c>
      <c r="AI2819" s="2">
        <f t="shared" ref="AI2819:AI2882" si="275">AH2819*S2819</f>
        <v>0</v>
      </c>
      <c r="AJ2819" s="2">
        <f t="shared" ref="AJ2819:AJ2882" si="276">S2819-V2819</f>
        <v>30</v>
      </c>
      <c r="AK2819" s="5">
        <f t="shared" si="273"/>
        <v>0.6</v>
      </c>
    </row>
    <row r="2820" spans="1:37" x14ac:dyDescent="0.2">
      <c r="A2820" s="2">
        <v>2026</v>
      </c>
      <c r="B2820" s="2">
        <v>2</v>
      </c>
      <c r="C2820" s="2" t="s">
        <v>2309</v>
      </c>
      <c r="D2820" s="2" t="s">
        <v>109</v>
      </c>
      <c r="E2820" s="2" t="s">
        <v>39</v>
      </c>
      <c r="F2820" s="2">
        <v>513889248</v>
      </c>
      <c r="G2820" s="2" t="s">
        <v>40</v>
      </c>
      <c r="H2820" s="2" t="s">
        <v>588</v>
      </c>
      <c r="I2820" s="2" t="s">
        <v>2310</v>
      </c>
      <c r="K2820" s="2" t="s">
        <v>202</v>
      </c>
      <c r="L2820" s="2" t="s">
        <v>40</v>
      </c>
      <c r="N2820" s="2" t="s">
        <v>2311</v>
      </c>
      <c r="O2820" s="2" t="s">
        <v>188</v>
      </c>
      <c r="P2820" s="2" t="s">
        <v>192</v>
      </c>
      <c r="Q2820" s="2" t="s">
        <v>191</v>
      </c>
      <c r="R2820" s="2">
        <v>1</v>
      </c>
      <c r="S2820" s="2">
        <v>50</v>
      </c>
      <c r="T2820" s="2">
        <v>11.5</v>
      </c>
      <c r="U2820" s="2">
        <v>61.5</v>
      </c>
      <c r="V2820" s="2">
        <f>S2820*50%</f>
        <v>25</v>
      </c>
      <c r="W2820" s="5">
        <f t="shared" si="272"/>
        <v>0.5</v>
      </c>
      <c r="Y2820" s="2" t="s">
        <v>118</v>
      </c>
      <c r="Z2820" s="2" t="s">
        <v>191</v>
      </c>
      <c r="AE2820" s="2">
        <f t="shared" si="274"/>
        <v>0</v>
      </c>
      <c r="AF2820" s="2">
        <f>V2820</f>
        <v>25</v>
      </c>
      <c r="AI2820" s="2">
        <f t="shared" si="275"/>
        <v>0</v>
      </c>
      <c r="AJ2820" s="2">
        <f t="shared" si="276"/>
        <v>25</v>
      </c>
      <c r="AK2820" s="5">
        <f t="shared" si="273"/>
        <v>0.5</v>
      </c>
    </row>
    <row r="2821" spans="1:37" x14ac:dyDescent="0.2">
      <c r="A2821" s="2">
        <v>2026</v>
      </c>
      <c r="B2821" s="2">
        <v>2</v>
      </c>
      <c r="C2821" s="2" t="s">
        <v>2312</v>
      </c>
      <c r="D2821" s="2" t="s">
        <v>38</v>
      </c>
      <c r="F2821" s="2">
        <v>509800696</v>
      </c>
      <c r="G2821" s="2" t="s">
        <v>291</v>
      </c>
      <c r="H2821" s="2" t="s">
        <v>2313</v>
      </c>
      <c r="I2821" s="2" t="s">
        <v>2314</v>
      </c>
      <c r="J2821" s="2">
        <v>930444437</v>
      </c>
      <c r="K2821" s="2" t="s">
        <v>2313</v>
      </c>
      <c r="L2821" s="2" t="s">
        <v>40</v>
      </c>
      <c r="N2821" s="2" t="s">
        <v>2315</v>
      </c>
      <c r="O2821" s="2" t="s">
        <v>188</v>
      </c>
      <c r="P2821" s="2" t="s">
        <v>189</v>
      </c>
      <c r="Q2821" s="2" t="s">
        <v>190</v>
      </c>
      <c r="R2821" s="2">
        <v>2</v>
      </c>
      <c r="S2821" s="2">
        <v>404</v>
      </c>
      <c r="T2821" s="2">
        <v>92.92</v>
      </c>
      <c r="U2821" s="2">
        <v>496.92</v>
      </c>
      <c r="V2821" s="2">
        <f>S2821*40%</f>
        <v>161.60000000000002</v>
      </c>
      <c r="W2821" s="5">
        <f t="shared" si="272"/>
        <v>0.6</v>
      </c>
      <c r="Y2821" s="2" t="s">
        <v>118</v>
      </c>
      <c r="Z2821" s="2" t="s">
        <v>191</v>
      </c>
      <c r="AE2821" s="2">
        <f t="shared" si="274"/>
        <v>0</v>
      </c>
      <c r="AI2821" s="2">
        <f t="shared" si="275"/>
        <v>0</v>
      </c>
      <c r="AJ2821" s="2">
        <f t="shared" si="276"/>
        <v>242.39999999999998</v>
      </c>
      <c r="AK2821" s="5">
        <f t="shared" si="273"/>
        <v>0.6</v>
      </c>
    </row>
    <row r="2822" spans="1:37" x14ac:dyDescent="0.2">
      <c r="A2822" s="2">
        <v>2026</v>
      </c>
      <c r="B2822" s="2">
        <v>2</v>
      </c>
      <c r="C2822" s="2" t="s">
        <v>2312</v>
      </c>
      <c r="D2822" s="2" t="s">
        <v>38</v>
      </c>
      <c r="F2822" s="2">
        <v>509800696</v>
      </c>
      <c r="G2822" s="2" t="s">
        <v>291</v>
      </c>
      <c r="H2822" s="2" t="s">
        <v>2313</v>
      </c>
      <c r="I2822" s="2" t="s">
        <v>2314</v>
      </c>
      <c r="J2822" s="2">
        <v>930444437</v>
      </c>
      <c r="K2822" s="2" t="s">
        <v>2313</v>
      </c>
      <c r="L2822" s="2" t="s">
        <v>40</v>
      </c>
      <c r="N2822" s="2" t="s">
        <v>2315</v>
      </c>
      <c r="O2822" s="2" t="s">
        <v>188</v>
      </c>
      <c r="P2822" s="2" t="s">
        <v>192</v>
      </c>
      <c r="Q2822" s="2" t="s">
        <v>191</v>
      </c>
      <c r="R2822" s="2">
        <v>6</v>
      </c>
      <c r="S2822" s="2">
        <v>330</v>
      </c>
      <c r="T2822" s="2">
        <v>75.900000000000006</v>
      </c>
      <c r="U2822" s="2">
        <v>405.9</v>
      </c>
      <c r="V2822" s="2">
        <f>S2822*50%</f>
        <v>165</v>
      </c>
      <c r="W2822" s="5">
        <f t="shared" si="272"/>
        <v>0.5</v>
      </c>
      <c r="Y2822" s="2" t="s">
        <v>118</v>
      </c>
      <c r="Z2822" s="2" t="s">
        <v>191</v>
      </c>
      <c r="AE2822" s="2">
        <f t="shared" si="274"/>
        <v>0</v>
      </c>
      <c r="AF2822" s="2">
        <f>V2822</f>
        <v>165</v>
      </c>
      <c r="AI2822" s="2">
        <f t="shared" si="275"/>
        <v>0</v>
      </c>
      <c r="AJ2822" s="2">
        <f t="shared" si="276"/>
        <v>165</v>
      </c>
      <c r="AK2822" s="5">
        <f t="shared" si="273"/>
        <v>0.5</v>
      </c>
    </row>
    <row r="2823" spans="1:37" x14ac:dyDescent="0.2">
      <c r="A2823" s="2">
        <v>2026</v>
      </c>
      <c r="B2823" s="2">
        <v>1</v>
      </c>
      <c r="C2823" s="2" t="s">
        <v>1133</v>
      </c>
      <c r="D2823" s="2" t="s">
        <v>109</v>
      </c>
      <c r="E2823" s="2" t="s">
        <v>39</v>
      </c>
      <c r="F2823" s="2">
        <v>515742279</v>
      </c>
      <c r="G2823" s="2" t="s">
        <v>41</v>
      </c>
      <c r="H2823" s="2" t="s">
        <v>2316</v>
      </c>
      <c r="I2823" s="2" t="s">
        <v>2317</v>
      </c>
      <c r="J2823" s="2">
        <v>965790183</v>
      </c>
      <c r="K2823" s="2" t="s">
        <v>178</v>
      </c>
      <c r="L2823" s="2" t="s">
        <v>40</v>
      </c>
      <c r="N2823" s="2" t="s">
        <v>2318</v>
      </c>
      <c r="O2823" s="2" t="s">
        <v>115</v>
      </c>
      <c r="P2823" s="2" t="s">
        <v>2319</v>
      </c>
      <c r="Q2823" s="2" t="s">
        <v>2320</v>
      </c>
      <c r="R2823" s="2">
        <v>1</v>
      </c>
      <c r="S2823" s="2">
        <v>196.71</v>
      </c>
      <c r="T2823" s="2">
        <v>45.243299999999998</v>
      </c>
      <c r="U2823" s="2">
        <v>241.95330000000001</v>
      </c>
      <c r="V2823" s="2">
        <v>136.38999999999999</v>
      </c>
      <c r="W2823" s="5">
        <f t="shared" si="272"/>
        <v>0.3066442987138428</v>
      </c>
      <c r="Y2823" s="2" t="s">
        <v>118</v>
      </c>
      <c r="Z2823" s="2" t="s">
        <v>119</v>
      </c>
      <c r="AA2823" s="2" t="s">
        <v>120</v>
      </c>
      <c r="AB2823" s="2" t="s">
        <v>115</v>
      </c>
      <c r="AE2823" s="2">
        <f t="shared" si="274"/>
        <v>0</v>
      </c>
      <c r="AF2823" s="2">
        <v>136.38999999999999</v>
      </c>
      <c r="AG2823" s="2">
        <v>282.11399999999998</v>
      </c>
      <c r="AI2823" s="2">
        <f t="shared" si="275"/>
        <v>0</v>
      </c>
      <c r="AJ2823" s="2">
        <f t="shared" si="276"/>
        <v>60.320000000000022</v>
      </c>
      <c r="AK2823" s="5">
        <f t="shared" si="273"/>
        <v>0.3066442987138428</v>
      </c>
    </row>
    <row r="2824" spans="1:37" x14ac:dyDescent="0.2">
      <c r="A2824" s="2">
        <v>2026</v>
      </c>
      <c r="B2824" s="2">
        <v>1</v>
      </c>
      <c r="C2824" s="2" t="s">
        <v>562</v>
      </c>
      <c r="D2824" s="2" t="s">
        <v>109</v>
      </c>
      <c r="E2824" s="2" t="s">
        <v>39</v>
      </c>
      <c r="F2824" s="2">
        <v>506517233</v>
      </c>
      <c r="G2824" s="2" t="s">
        <v>81</v>
      </c>
      <c r="H2824" s="2" t="s">
        <v>563</v>
      </c>
      <c r="I2824" s="2" t="s">
        <v>564</v>
      </c>
      <c r="K2824" s="2" t="s">
        <v>134</v>
      </c>
      <c r="L2824" s="2" t="s">
        <v>40</v>
      </c>
      <c r="N2824" s="2" t="s">
        <v>2321</v>
      </c>
      <c r="O2824" s="2" t="s">
        <v>115</v>
      </c>
      <c r="P2824" s="2" t="s">
        <v>1384</v>
      </c>
      <c r="Q2824" s="2" t="s">
        <v>1385</v>
      </c>
      <c r="R2824" s="2">
        <v>1</v>
      </c>
      <c r="S2824" s="2">
        <v>58.74</v>
      </c>
      <c r="T2824" s="2">
        <v>13.510199999999999</v>
      </c>
      <c r="U2824" s="2">
        <v>72.250200000000007</v>
      </c>
      <c r="V2824" s="2">
        <v>27.86</v>
      </c>
      <c r="W2824" s="5">
        <f t="shared" si="272"/>
        <v>0.52570650323459311</v>
      </c>
      <c r="Y2824" s="2" t="s">
        <v>118</v>
      </c>
      <c r="Z2824" s="2" t="s">
        <v>119</v>
      </c>
      <c r="AA2824" s="2" t="s">
        <v>120</v>
      </c>
      <c r="AB2824" s="2" t="s">
        <v>115</v>
      </c>
      <c r="AE2824" s="2">
        <f t="shared" si="274"/>
        <v>0</v>
      </c>
      <c r="AF2824" s="2">
        <v>27.86</v>
      </c>
      <c r="AI2824" s="2">
        <f t="shared" si="275"/>
        <v>0</v>
      </c>
      <c r="AJ2824" s="2">
        <f t="shared" si="276"/>
        <v>30.880000000000003</v>
      </c>
      <c r="AK2824" s="5">
        <f t="shared" si="273"/>
        <v>0.52570650323459311</v>
      </c>
    </row>
    <row r="2825" spans="1:37" x14ac:dyDescent="0.2">
      <c r="A2825" s="2">
        <v>2026</v>
      </c>
      <c r="B2825" s="2">
        <v>1</v>
      </c>
      <c r="C2825" s="2" t="s">
        <v>562</v>
      </c>
      <c r="D2825" s="2" t="s">
        <v>109</v>
      </c>
      <c r="E2825" s="2" t="s">
        <v>39</v>
      </c>
      <c r="F2825" s="2">
        <v>506517233</v>
      </c>
      <c r="G2825" s="2" t="s">
        <v>81</v>
      </c>
      <c r="H2825" s="2" t="s">
        <v>563</v>
      </c>
      <c r="I2825" s="2" t="s">
        <v>564</v>
      </c>
      <c r="K2825" s="2" t="s">
        <v>134</v>
      </c>
      <c r="L2825" s="2" t="s">
        <v>40</v>
      </c>
      <c r="N2825" s="2" t="s">
        <v>2321</v>
      </c>
      <c r="O2825" s="2" t="s">
        <v>115</v>
      </c>
      <c r="P2825" s="2" t="s">
        <v>2249</v>
      </c>
      <c r="Q2825" s="2" t="s">
        <v>2250</v>
      </c>
      <c r="R2825" s="2">
        <v>1</v>
      </c>
      <c r="S2825" s="2">
        <v>58.74</v>
      </c>
      <c r="T2825" s="2">
        <v>13.510199999999999</v>
      </c>
      <c r="U2825" s="2">
        <v>72.250200000000007</v>
      </c>
      <c r="V2825" s="2">
        <v>28.37</v>
      </c>
      <c r="W2825" s="5">
        <f t="shared" si="272"/>
        <v>0.51702417432754511</v>
      </c>
      <c r="Y2825" s="2" t="s">
        <v>118</v>
      </c>
      <c r="Z2825" s="2" t="s">
        <v>119</v>
      </c>
      <c r="AA2825" s="2" t="s">
        <v>120</v>
      </c>
      <c r="AB2825" s="2" t="s">
        <v>115</v>
      </c>
      <c r="AE2825" s="2">
        <f t="shared" si="274"/>
        <v>0</v>
      </c>
      <c r="AF2825" s="2">
        <v>28.372499999999999</v>
      </c>
      <c r="AI2825" s="2">
        <f t="shared" si="275"/>
        <v>0</v>
      </c>
      <c r="AJ2825" s="2">
        <f t="shared" si="276"/>
        <v>30.37</v>
      </c>
      <c r="AK2825" s="5">
        <f t="shared" si="273"/>
        <v>0.51702417432754511</v>
      </c>
    </row>
    <row r="2826" spans="1:37" x14ac:dyDescent="0.2">
      <c r="A2826" s="2">
        <v>2026</v>
      </c>
      <c r="B2826" s="2">
        <v>1</v>
      </c>
      <c r="C2826" s="2" t="s">
        <v>396</v>
      </c>
      <c r="D2826" s="2" t="s">
        <v>109</v>
      </c>
      <c r="E2826" s="2" t="s">
        <v>397</v>
      </c>
      <c r="F2826" s="2">
        <v>501787160</v>
      </c>
      <c r="G2826" s="2" t="s">
        <v>41</v>
      </c>
      <c r="H2826" s="2" t="s">
        <v>398</v>
      </c>
      <c r="I2826" s="2" t="s">
        <v>399</v>
      </c>
      <c r="K2826" s="2" t="s">
        <v>400</v>
      </c>
      <c r="L2826" s="2" t="s">
        <v>40</v>
      </c>
      <c r="N2826" s="2" t="s">
        <v>2322</v>
      </c>
      <c r="O2826" s="2" t="s">
        <v>115</v>
      </c>
      <c r="P2826" s="2" t="s">
        <v>634</v>
      </c>
      <c r="Q2826" s="2" t="s">
        <v>635</v>
      </c>
      <c r="R2826" s="2">
        <v>1</v>
      </c>
      <c r="S2826" s="2">
        <v>26.79</v>
      </c>
      <c r="T2826" s="2">
        <v>6.1616999999999997</v>
      </c>
      <c r="U2826" s="2">
        <v>32.951700000000002</v>
      </c>
      <c r="V2826" s="2">
        <v>12.938599999999999</v>
      </c>
      <c r="W2826" s="5">
        <f t="shared" si="272"/>
        <v>0.51703620754012691</v>
      </c>
      <c r="Y2826" s="2" t="s">
        <v>118</v>
      </c>
      <c r="Z2826" s="2" t="s">
        <v>119</v>
      </c>
      <c r="AA2826" s="2" t="s">
        <v>120</v>
      </c>
      <c r="AB2826" s="2" t="s">
        <v>115</v>
      </c>
      <c r="AE2826" s="2">
        <f t="shared" si="274"/>
        <v>0</v>
      </c>
      <c r="AF2826" s="2">
        <v>12.938599999999999</v>
      </c>
      <c r="AI2826" s="2">
        <f t="shared" si="275"/>
        <v>0</v>
      </c>
      <c r="AJ2826" s="2">
        <f t="shared" si="276"/>
        <v>13.8514</v>
      </c>
      <c r="AK2826" s="5">
        <f t="shared" si="273"/>
        <v>0.51703620754012691</v>
      </c>
    </row>
    <row r="2827" spans="1:37" x14ac:dyDescent="0.2">
      <c r="A2827" s="2">
        <v>2026</v>
      </c>
      <c r="B2827" s="2">
        <v>1</v>
      </c>
      <c r="C2827" s="2" t="s">
        <v>466</v>
      </c>
      <c r="D2827" s="2" t="s">
        <v>109</v>
      </c>
      <c r="E2827" s="2" t="s">
        <v>39</v>
      </c>
      <c r="F2827" s="2">
        <v>506531031</v>
      </c>
      <c r="G2827" s="2" t="s">
        <v>110</v>
      </c>
      <c r="H2827" s="2" t="s">
        <v>467</v>
      </c>
      <c r="I2827" s="2" t="s">
        <v>468</v>
      </c>
      <c r="K2827" s="2" t="s">
        <v>113</v>
      </c>
      <c r="L2827" s="2" t="s">
        <v>40</v>
      </c>
      <c r="N2827" s="2" t="s">
        <v>2323</v>
      </c>
      <c r="O2827" s="2" t="s">
        <v>115</v>
      </c>
      <c r="P2827" s="2" t="s">
        <v>1529</v>
      </c>
      <c r="Q2827" s="2" t="s">
        <v>1530</v>
      </c>
      <c r="R2827" s="2">
        <v>1</v>
      </c>
      <c r="S2827" s="2">
        <v>23.79</v>
      </c>
      <c r="T2827" s="2">
        <v>5.4717000000000002</v>
      </c>
      <c r="U2827" s="2">
        <v>29.261700000000001</v>
      </c>
      <c r="V2827" s="2">
        <f>11.2467</f>
        <v>11.246700000000001</v>
      </c>
      <c r="W2827" s="5">
        <f t="shared" si="272"/>
        <v>0.52725094577553588</v>
      </c>
      <c r="Y2827" s="2" t="s">
        <v>118</v>
      </c>
      <c r="Z2827" s="2" t="s">
        <v>119</v>
      </c>
      <c r="AA2827" s="2" t="s">
        <v>120</v>
      </c>
      <c r="AB2827" s="2" t="s">
        <v>115</v>
      </c>
      <c r="AE2827" s="2">
        <f t="shared" si="274"/>
        <v>0</v>
      </c>
      <c r="AF2827" s="2">
        <v>11.246700000000001</v>
      </c>
      <c r="AI2827" s="2">
        <f t="shared" si="275"/>
        <v>0</v>
      </c>
      <c r="AJ2827" s="2">
        <f t="shared" si="276"/>
        <v>12.543299999999999</v>
      </c>
      <c r="AK2827" s="5">
        <f t="shared" si="273"/>
        <v>0.52725094577553588</v>
      </c>
    </row>
    <row r="2828" spans="1:37" x14ac:dyDescent="0.2">
      <c r="A2828" s="2">
        <v>2026</v>
      </c>
      <c r="B2828" s="2">
        <v>1</v>
      </c>
      <c r="C2828" s="2" t="s">
        <v>1677</v>
      </c>
      <c r="F2828" s="2">
        <v>510222340</v>
      </c>
      <c r="H2828" s="2" t="s">
        <v>2324</v>
      </c>
      <c r="K2828" s="2" t="s">
        <v>345</v>
      </c>
      <c r="L2828" s="2" t="s">
        <v>40</v>
      </c>
      <c r="N2828" s="2" t="s">
        <v>2325</v>
      </c>
      <c r="O2828" s="2" t="s">
        <v>115</v>
      </c>
      <c r="P2828" s="2" t="s">
        <v>296</v>
      </c>
      <c r="Q2828" s="2" t="s">
        <v>297</v>
      </c>
      <c r="R2828" s="2">
        <v>1</v>
      </c>
      <c r="S2828" s="2">
        <v>1145.1500000000001</v>
      </c>
      <c r="T2828" s="2">
        <v>263.38450000000012</v>
      </c>
      <c r="U2828" s="2">
        <v>1408.5345</v>
      </c>
      <c r="V2828" s="2">
        <v>386</v>
      </c>
      <c r="W2828" s="5">
        <f t="shared" si="272"/>
        <v>0.66292625420250628</v>
      </c>
      <c r="Y2828" s="2" t="s">
        <v>118</v>
      </c>
      <c r="Z2828" s="2" t="s">
        <v>119</v>
      </c>
      <c r="AA2828" s="2" t="s">
        <v>120</v>
      </c>
      <c r="AB2828" s="2" t="s">
        <v>115</v>
      </c>
      <c r="AE2828" s="2">
        <f t="shared" si="274"/>
        <v>0</v>
      </c>
      <c r="AF2828" s="2">
        <v>386</v>
      </c>
      <c r="AI2828" s="2">
        <f t="shared" si="275"/>
        <v>0</v>
      </c>
      <c r="AJ2828" s="2">
        <f t="shared" si="276"/>
        <v>759.15000000000009</v>
      </c>
      <c r="AK2828" s="5">
        <f t="shared" si="273"/>
        <v>0.66292625420250628</v>
      </c>
    </row>
    <row r="2829" spans="1:37" x14ac:dyDescent="0.2">
      <c r="A2829" s="2">
        <v>2026</v>
      </c>
      <c r="B2829" s="2">
        <v>1</v>
      </c>
      <c r="C2829" s="2" t="s">
        <v>781</v>
      </c>
      <c r="D2829" s="2" t="s">
        <v>38</v>
      </c>
      <c r="E2829" s="2" t="s">
        <v>39</v>
      </c>
      <c r="F2829" s="2">
        <v>507324560</v>
      </c>
      <c r="G2829" s="2" t="s">
        <v>40</v>
      </c>
      <c r="H2829" s="2" t="s">
        <v>782</v>
      </c>
      <c r="I2829" s="2" t="s">
        <v>783</v>
      </c>
      <c r="K2829" s="2" t="s">
        <v>340</v>
      </c>
      <c r="L2829" s="2" t="s">
        <v>40</v>
      </c>
      <c r="N2829" s="2" t="s">
        <v>2326</v>
      </c>
      <c r="O2829" s="2" t="s">
        <v>115</v>
      </c>
      <c r="P2829" s="2" t="s">
        <v>2327</v>
      </c>
      <c r="Q2829" s="2" t="s">
        <v>2328</v>
      </c>
      <c r="R2829" s="2">
        <v>4</v>
      </c>
      <c r="S2829" s="2">
        <v>0</v>
      </c>
      <c r="T2829" s="2">
        <v>0</v>
      </c>
      <c r="U2829" s="2">
        <v>0</v>
      </c>
      <c r="V2829" s="2">
        <f>11.1825*R2829</f>
        <v>44.73</v>
      </c>
      <c r="Y2829" s="2" t="s">
        <v>118</v>
      </c>
      <c r="Z2829" s="2" t="s">
        <v>119</v>
      </c>
      <c r="AA2829" s="2" t="s">
        <v>120</v>
      </c>
      <c r="AB2829" s="2" t="s">
        <v>115</v>
      </c>
      <c r="AE2829" s="2">
        <f t="shared" si="274"/>
        <v>0</v>
      </c>
      <c r="AF2829" s="2">
        <v>11.182499999999999</v>
      </c>
      <c r="AI2829" s="2">
        <f t="shared" si="275"/>
        <v>0</v>
      </c>
      <c r="AJ2829" s="2">
        <f t="shared" si="276"/>
        <v>-44.73</v>
      </c>
    </row>
    <row r="2830" spans="1:37" x14ac:dyDescent="0.2">
      <c r="A2830" s="2">
        <v>2026</v>
      </c>
      <c r="B2830" s="2">
        <v>1</v>
      </c>
      <c r="C2830" s="2" t="s">
        <v>781</v>
      </c>
      <c r="D2830" s="2" t="s">
        <v>38</v>
      </c>
      <c r="E2830" s="2" t="s">
        <v>39</v>
      </c>
      <c r="F2830" s="2">
        <v>507324560</v>
      </c>
      <c r="G2830" s="2" t="s">
        <v>40</v>
      </c>
      <c r="H2830" s="2" t="s">
        <v>782</v>
      </c>
      <c r="I2830" s="2" t="s">
        <v>783</v>
      </c>
      <c r="K2830" s="2" t="s">
        <v>340</v>
      </c>
      <c r="L2830" s="2" t="s">
        <v>40</v>
      </c>
      <c r="N2830" s="2" t="s">
        <v>2326</v>
      </c>
      <c r="O2830" s="2" t="s">
        <v>115</v>
      </c>
      <c r="P2830" s="2" t="s">
        <v>678</v>
      </c>
      <c r="Q2830" s="2" t="s">
        <v>679</v>
      </c>
      <c r="R2830" s="2">
        <v>1</v>
      </c>
      <c r="S2830" s="2">
        <v>0</v>
      </c>
      <c r="T2830" s="2">
        <v>0</v>
      </c>
      <c r="U2830" s="2">
        <v>0</v>
      </c>
      <c r="V2830" s="2">
        <v>5.2342000000000004</v>
      </c>
      <c r="W2830" s="5">
        <v>0</v>
      </c>
      <c r="Y2830" s="2" t="s">
        <v>118</v>
      </c>
      <c r="Z2830" s="2" t="s">
        <v>119</v>
      </c>
      <c r="AA2830" s="2" t="s">
        <v>120</v>
      </c>
      <c r="AB2830" s="2" t="s">
        <v>115</v>
      </c>
      <c r="AE2830" s="2">
        <f t="shared" si="274"/>
        <v>0</v>
      </c>
      <c r="AI2830" s="2">
        <f t="shared" si="275"/>
        <v>0</v>
      </c>
      <c r="AJ2830" s="2">
        <f t="shared" si="276"/>
        <v>-5.2342000000000004</v>
      </c>
    </row>
    <row r="2831" spans="1:37" x14ac:dyDescent="0.2">
      <c r="A2831" s="2">
        <v>2026</v>
      </c>
      <c r="B2831" s="2">
        <v>1</v>
      </c>
      <c r="C2831" s="2" t="s">
        <v>1598</v>
      </c>
      <c r="F2831" s="2">
        <v>504855395</v>
      </c>
      <c r="L2831" s="2" t="s">
        <v>40</v>
      </c>
      <c r="N2831" s="2" t="s">
        <v>2329</v>
      </c>
      <c r="O2831" s="2" t="s">
        <v>115</v>
      </c>
      <c r="P2831" s="2" t="s">
        <v>2330</v>
      </c>
      <c r="Q2831" s="2" t="s">
        <v>2331</v>
      </c>
      <c r="R2831" s="2">
        <v>2</v>
      </c>
      <c r="S2831" s="2">
        <v>26.68</v>
      </c>
      <c r="T2831" s="2">
        <v>6.1364000000000001</v>
      </c>
      <c r="U2831" s="2">
        <v>32.816400000000002</v>
      </c>
      <c r="V2831" s="2">
        <f>6.2992*2</f>
        <v>12.5984</v>
      </c>
      <c r="W2831" s="5">
        <f t="shared" ref="W2831:W2849" si="277">(S2831-V2831)/S2831</f>
        <v>0.52779610194902549</v>
      </c>
      <c r="Y2831" s="2" t="s">
        <v>118</v>
      </c>
      <c r="Z2831" s="2" t="s">
        <v>119</v>
      </c>
      <c r="AA2831" s="2" t="s">
        <v>120</v>
      </c>
      <c r="AB2831" s="2" t="s">
        <v>115</v>
      </c>
      <c r="AE2831" s="2">
        <f t="shared" si="274"/>
        <v>0</v>
      </c>
      <c r="AF2831" s="2">
        <v>6.2991999999999999</v>
      </c>
      <c r="AI2831" s="2">
        <f t="shared" si="275"/>
        <v>0</v>
      </c>
      <c r="AJ2831" s="2">
        <f t="shared" si="276"/>
        <v>14.0816</v>
      </c>
      <c r="AK2831" s="5">
        <f t="shared" ref="AK2831:AK2862" si="278">(S2831-V2831)/S2831</f>
        <v>0.52779610194902549</v>
      </c>
    </row>
    <row r="2832" spans="1:37" x14ac:dyDescent="0.2">
      <c r="A2832" s="2">
        <v>2026</v>
      </c>
      <c r="B2832" s="2">
        <v>1</v>
      </c>
      <c r="C2832" s="2" t="s">
        <v>1598</v>
      </c>
      <c r="L2832" s="2" t="s">
        <v>40</v>
      </c>
      <c r="N2832" s="2" t="s">
        <v>2329</v>
      </c>
      <c r="O2832" s="2" t="s">
        <v>115</v>
      </c>
      <c r="P2832" s="2" t="s">
        <v>2332</v>
      </c>
      <c r="Q2832" s="2" t="s">
        <v>2333</v>
      </c>
      <c r="R2832" s="2">
        <v>1</v>
      </c>
      <c r="S2832" s="2">
        <v>13.52</v>
      </c>
      <c r="T2832" s="2">
        <v>3.1095999999999999</v>
      </c>
      <c r="U2832" s="2">
        <v>16.6296</v>
      </c>
      <c r="V2832" s="2">
        <v>6.3601999999999999</v>
      </c>
      <c r="W2832" s="5">
        <f t="shared" si="277"/>
        <v>0.52957100591715978</v>
      </c>
      <c r="Y2832" s="2" t="s">
        <v>118</v>
      </c>
      <c r="Z2832" s="2" t="s">
        <v>119</v>
      </c>
      <c r="AA2832" s="2" t="s">
        <v>120</v>
      </c>
      <c r="AB2832" s="2" t="s">
        <v>115</v>
      </c>
      <c r="AE2832" s="2">
        <f t="shared" si="274"/>
        <v>0</v>
      </c>
      <c r="AF2832" s="2">
        <v>6.3601999999999999</v>
      </c>
      <c r="AI2832" s="2">
        <f t="shared" si="275"/>
        <v>0</v>
      </c>
      <c r="AJ2832" s="2">
        <f t="shared" si="276"/>
        <v>7.1597999999999997</v>
      </c>
      <c r="AK2832" s="5">
        <f t="shared" si="278"/>
        <v>0.52957100591715978</v>
      </c>
    </row>
    <row r="2833" spans="1:37" x14ac:dyDescent="0.2">
      <c r="A2833" s="2">
        <v>2026</v>
      </c>
      <c r="B2833" s="2">
        <v>1</v>
      </c>
      <c r="C2833" s="2" t="s">
        <v>2334</v>
      </c>
      <c r="D2833" s="2" t="s">
        <v>38</v>
      </c>
      <c r="F2833" s="2">
        <v>169582760</v>
      </c>
      <c r="G2833" s="2" t="s">
        <v>291</v>
      </c>
      <c r="H2833" s="2" t="s">
        <v>2335</v>
      </c>
      <c r="I2833" s="2" t="s">
        <v>2336</v>
      </c>
      <c r="K2833" s="2" t="s">
        <v>2313</v>
      </c>
      <c r="L2833" s="2" t="s">
        <v>40</v>
      </c>
      <c r="N2833" s="2" t="s">
        <v>2337</v>
      </c>
      <c r="O2833" s="2" t="s">
        <v>115</v>
      </c>
      <c r="P2833" s="2" t="s">
        <v>785</v>
      </c>
      <c r="Q2833" s="2" t="s">
        <v>786</v>
      </c>
      <c r="R2833" s="2">
        <v>2</v>
      </c>
      <c r="S2833" s="2">
        <v>153.34</v>
      </c>
      <c r="T2833" s="2">
        <v>35.2682</v>
      </c>
      <c r="U2833" s="2">
        <v>188.60820000000001</v>
      </c>
      <c r="V2833" s="2">
        <f>35.9317*R2833</f>
        <v>71.863399999999999</v>
      </c>
      <c r="W2833" s="5">
        <f t="shared" si="277"/>
        <v>0.53134602843354639</v>
      </c>
      <c r="Y2833" s="2" t="s">
        <v>118</v>
      </c>
      <c r="Z2833" s="2" t="s">
        <v>119</v>
      </c>
      <c r="AA2833" s="2" t="s">
        <v>120</v>
      </c>
      <c r="AB2833" s="2" t="s">
        <v>115</v>
      </c>
      <c r="AE2833" s="2">
        <f t="shared" si="274"/>
        <v>0</v>
      </c>
      <c r="AF2833" s="2">
        <v>35.931699999999999</v>
      </c>
      <c r="AI2833" s="2">
        <f t="shared" si="275"/>
        <v>0</v>
      </c>
      <c r="AJ2833" s="2">
        <f t="shared" si="276"/>
        <v>81.476600000000005</v>
      </c>
      <c r="AK2833" s="5">
        <f t="shared" si="278"/>
        <v>0.53134602843354639</v>
      </c>
    </row>
    <row r="2834" spans="1:37" x14ac:dyDescent="0.2">
      <c r="A2834" s="2">
        <v>2026</v>
      </c>
      <c r="B2834" s="2">
        <v>1</v>
      </c>
      <c r="C2834" s="2" t="s">
        <v>466</v>
      </c>
      <c r="D2834" s="2" t="s">
        <v>109</v>
      </c>
      <c r="E2834" s="2" t="s">
        <v>39</v>
      </c>
      <c r="F2834" s="2">
        <v>506531031</v>
      </c>
      <c r="G2834" s="2" t="s">
        <v>110</v>
      </c>
      <c r="H2834" s="2" t="s">
        <v>467</v>
      </c>
      <c r="I2834" s="2" t="s">
        <v>468</v>
      </c>
      <c r="K2834" s="2" t="s">
        <v>113</v>
      </c>
      <c r="L2834" s="2" t="s">
        <v>40</v>
      </c>
      <c r="N2834" s="2" t="s">
        <v>2323</v>
      </c>
      <c r="O2834" s="2" t="s">
        <v>115</v>
      </c>
      <c r="P2834" s="2" t="s">
        <v>785</v>
      </c>
      <c r="Q2834" s="2" t="s">
        <v>786</v>
      </c>
      <c r="R2834" s="2">
        <v>1</v>
      </c>
      <c r="S2834" s="2">
        <v>76.67</v>
      </c>
      <c r="T2834" s="2">
        <v>17.6341</v>
      </c>
      <c r="U2834" s="2">
        <v>94.304100000000005</v>
      </c>
      <c r="V2834" s="2">
        <f>35.9317*R2834</f>
        <v>35.931699999999999</v>
      </c>
      <c r="W2834" s="5">
        <f t="shared" si="277"/>
        <v>0.53134602843354639</v>
      </c>
      <c r="Y2834" s="2" t="s">
        <v>118</v>
      </c>
      <c r="Z2834" s="2" t="s">
        <v>119</v>
      </c>
      <c r="AA2834" s="2" t="s">
        <v>120</v>
      </c>
      <c r="AB2834" s="2" t="s">
        <v>115</v>
      </c>
      <c r="AE2834" s="2">
        <f t="shared" si="274"/>
        <v>0</v>
      </c>
      <c r="AF2834" s="2">
        <v>35.931699999999999</v>
      </c>
      <c r="AI2834" s="2">
        <f t="shared" si="275"/>
        <v>0</v>
      </c>
      <c r="AJ2834" s="2">
        <f t="shared" si="276"/>
        <v>40.738300000000002</v>
      </c>
      <c r="AK2834" s="5">
        <f t="shared" si="278"/>
        <v>0.53134602843354639</v>
      </c>
    </row>
    <row r="2835" spans="1:37" x14ac:dyDescent="0.2">
      <c r="A2835" s="2">
        <v>2026</v>
      </c>
      <c r="B2835" s="2">
        <v>1</v>
      </c>
      <c r="C2835" s="2" t="s">
        <v>981</v>
      </c>
      <c r="L2835" s="2" t="s">
        <v>40</v>
      </c>
      <c r="N2835" s="2" t="s">
        <v>2338</v>
      </c>
      <c r="O2835" s="2" t="s">
        <v>115</v>
      </c>
      <c r="P2835" s="2" t="s">
        <v>2339</v>
      </c>
      <c r="Q2835" s="2" t="s">
        <v>2340</v>
      </c>
      <c r="R2835" s="2">
        <v>1</v>
      </c>
      <c r="S2835" s="2">
        <v>73.430000000000007</v>
      </c>
      <c r="T2835" s="2">
        <v>16.8889</v>
      </c>
      <c r="U2835" s="2">
        <v>90.318900000000014</v>
      </c>
      <c r="V2835" s="2">
        <v>34.743400000000001</v>
      </c>
      <c r="W2835" s="5">
        <f t="shared" si="277"/>
        <v>0.5268500612828545</v>
      </c>
      <c r="Y2835" s="2" t="s">
        <v>118</v>
      </c>
      <c r="Z2835" s="2" t="s">
        <v>119</v>
      </c>
      <c r="AA2835" s="2" t="s">
        <v>120</v>
      </c>
      <c r="AB2835" s="2" t="s">
        <v>115</v>
      </c>
      <c r="AE2835" s="2">
        <f t="shared" si="274"/>
        <v>0</v>
      </c>
      <c r="AF2835" s="2">
        <v>34.743400000000001</v>
      </c>
      <c r="AI2835" s="2">
        <f t="shared" si="275"/>
        <v>0</v>
      </c>
      <c r="AJ2835" s="2">
        <f t="shared" si="276"/>
        <v>38.686600000000006</v>
      </c>
      <c r="AK2835" s="5">
        <f t="shared" si="278"/>
        <v>0.5268500612828545</v>
      </c>
    </row>
    <row r="2836" spans="1:37" x14ac:dyDescent="0.2">
      <c r="A2836" s="2">
        <v>2026</v>
      </c>
      <c r="B2836" s="2">
        <v>1</v>
      </c>
      <c r="C2836" s="2" t="s">
        <v>2341</v>
      </c>
      <c r="L2836" s="2" t="s">
        <v>40</v>
      </c>
      <c r="N2836" s="2" t="s">
        <v>2342</v>
      </c>
      <c r="O2836" s="2" t="s">
        <v>115</v>
      </c>
      <c r="P2836" s="2" t="s">
        <v>375</v>
      </c>
      <c r="Q2836" s="2" t="s">
        <v>376</v>
      </c>
      <c r="R2836" s="2">
        <v>2</v>
      </c>
      <c r="S2836" s="2">
        <v>97.9</v>
      </c>
      <c r="T2836" s="2">
        <v>22.516999999999999</v>
      </c>
      <c r="U2836" s="2">
        <v>120.417</v>
      </c>
      <c r="V2836" s="2">
        <f>22.2*R2836</f>
        <v>44.4</v>
      </c>
      <c r="W2836" s="5">
        <f t="shared" si="277"/>
        <v>0.54647599591419815</v>
      </c>
      <c r="Y2836" s="2" t="s">
        <v>118</v>
      </c>
      <c r="Z2836" s="2" t="s">
        <v>119</v>
      </c>
      <c r="AA2836" s="2" t="s">
        <v>120</v>
      </c>
      <c r="AB2836" s="2" t="s">
        <v>115</v>
      </c>
      <c r="AE2836" s="2">
        <f t="shared" si="274"/>
        <v>0</v>
      </c>
      <c r="AF2836" s="2">
        <v>22.2</v>
      </c>
      <c r="AI2836" s="2">
        <f t="shared" si="275"/>
        <v>0</v>
      </c>
      <c r="AJ2836" s="2">
        <f t="shared" si="276"/>
        <v>53.500000000000007</v>
      </c>
      <c r="AK2836" s="5">
        <f t="shared" si="278"/>
        <v>0.54647599591419815</v>
      </c>
    </row>
    <row r="2837" spans="1:37" x14ac:dyDescent="0.2">
      <c r="A2837" s="2">
        <v>2026</v>
      </c>
      <c r="B2837" s="2">
        <v>1</v>
      </c>
      <c r="C2837" s="2" t="s">
        <v>1300</v>
      </c>
      <c r="H2837" s="2" t="s">
        <v>2343</v>
      </c>
      <c r="L2837" s="2" t="s">
        <v>40</v>
      </c>
      <c r="N2837" s="2" t="s">
        <v>2344</v>
      </c>
      <c r="O2837" s="2" t="s">
        <v>115</v>
      </c>
      <c r="P2837" s="2" t="s">
        <v>375</v>
      </c>
      <c r="Q2837" s="2" t="s">
        <v>376</v>
      </c>
      <c r="R2837" s="2">
        <v>2</v>
      </c>
      <c r="S2837" s="2">
        <v>97.9</v>
      </c>
      <c r="T2837" s="2">
        <v>22.516999999999999</v>
      </c>
      <c r="U2837" s="2">
        <v>120.417</v>
      </c>
      <c r="V2837" s="2">
        <f>22.2*R2837</f>
        <v>44.4</v>
      </c>
      <c r="W2837" s="5">
        <f t="shared" si="277"/>
        <v>0.54647599591419815</v>
      </c>
      <c r="Y2837" s="2" t="s">
        <v>118</v>
      </c>
      <c r="Z2837" s="2" t="s">
        <v>119</v>
      </c>
      <c r="AA2837" s="2" t="s">
        <v>120</v>
      </c>
      <c r="AB2837" s="2" t="s">
        <v>115</v>
      </c>
      <c r="AE2837" s="2">
        <f t="shared" si="274"/>
        <v>0</v>
      </c>
      <c r="AF2837" s="2">
        <v>22.2</v>
      </c>
      <c r="AI2837" s="2">
        <f t="shared" si="275"/>
        <v>0</v>
      </c>
      <c r="AJ2837" s="2">
        <f t="shared" si="276"/>
        <v>53.500000000000007</v>
      </c>
      <c r="AK2837" s="5">
        <f t="shared" si="278"/>
        <v>0.54647599591419815</v>
      </c>
    </row>
    <row r="2838" spans="1:37" x14ac:dyDescent="0.2">
      <c r="A2838" s="2">
        <v>2026</v>
      </c>
      <c r="B2838" s="2">
        <v>1</v>
      </c>
      <c r="C2838" s="2" t="s">
        <v>1896</v>
      </c>
      <c r="L2838" s="2" t="s">
        <v>40</v>
      </c>
      <c r="N2838" s="2" t="s">
        <v>2345</v>
      </c>
      <c r="O2838" s="2" t="s">
        <v>115</v>
      </c>
      <c r="P2838" s="2" t="s">
        <v>1425</v>
      </c>
      <c r="Q2838" s="2" t="s">
        <v>1426</v>
      </c>
      <c r="R2838" s="2">
        <v>1</v>
      </c>
      <c r="S2838" s="2">
        <v>215.94</v>
      </c>
      <c r="T2838" s="2">
        <v>49.666200000000003</v>
      </c>
      <c r="U2838" s="2">
        <v>265.6062</v>
      </c>
      <c r="V2838" s="2">
        <v>102.39</v>
      </c>
      <c r="W2838" s="5">
        <f t="shared" si="277"/>
        <v>0.52584051125312581</v>
      </c>
      <c r="Y2838" s="2" t="s">
        <v>118</v>
      </c>
      <c r="Z2838" s="2" t="s">
        <v>119</v>
      </c>
      <c r="AA2838" s="2" t="s">
        <v>120</v>
      </c>
      <c r="AB2838" s="2" t="s">
        <v>115</v>
      </c>
      <c r="AE2838" s="2">
        <f t="shared" si="274"/>
        <v>0</v>
      </c>
      <c r="AF2838" s="2">
        <v>102.39</v>
      </c>
      <c r="AI2838" s="2">
        <f t="shared" si="275"/>
        <v>0</v>
      </c>
      <c r="AJ2838" s="2">
        <f t="shared" si="276"/>
        <v>113.55</v>
      </c>
      <c r="AK2838" s="5">
        <f t="shared" si="278"/>
        <v>0.52584051125312581</v>
      </c>
    </row>
    <row r="2839" spans="1:37" x14ac:dyDescent="0.2">
      <c r="A2839" s="2">
        <v>2026</v>
      </c>
      <c r="B2839" s="2">
        <v>1</v>
      </c>
      <c r="C2839" s="2" t="s">
        <v>562</v>
      </c>
      <c r="D2839" s="2" t="s">
        <v>109</v>
      </c>
      <c r="E2839" s="2" t="s">
        <v>39</v>
      </c>
      <c r="F2839" s="2">
        <v>506517233</v>
      </c>
      <c r="G2839" s="2" t="s">
        <v>81</v>
      </c>
      <c r="H2839" s="2" t="s">
        <v>563</v>
      </c>
      <c r="I2839" s="2" t="s">
        <v>564</v>
      </c>
      <c r="K2839" s="2" t="s">
        <v>134</v>
      </c>
      <c r="L2839" s="2" t="s">
        <v>40</v>
      </c>
      <c r="N2839" s="2" t="s">
        <v>2346</v>
      </c>
      <c r="O2839" s="2" t="s">
        <v>115</v>
      </c>
      <c r="P2839" s="2" t="s">
        <v>652</v>
      </c>
      <c r="Q2839" s="2" t="s">
        <v>653</v>
      </c>
      <c r="R2839" s="2">
        <v>1</v>
      </c>
      <c r="S2839" s="2">
        <v>63.46</v>
      </c>
      <c r="T2839" s="2">
        <v>14.595800000000001</v>
      </c>
      <c r="U2839" s="2">
        <v>78.055800000000005</v>
      </c>
      <c r="V2839" s="2">
        <v>30.22</v>
      </c>
      <c r="W2839" s="5">
        <f t="shared" si="277"/>
        <v>0.52379451623069651</v>
      </c>
      <c r="Y2839" s="2" t="s">
        <v>118</v>
      </c>
      <c r="Z2839" s="2" t="s">
        <v>119</v>
      </c>
      <c r="AA2839" s="2" t="s">
        <v>120</v>
      </c>
      <c r="AB2839" s="2" t="s">
        <v>115</v>
      </c>
      <c r="AE2839" s="2">
        <f t="shared" si="274"/>
        <v>0</v>
      </c>
      <c r="AF2839" s="2">
        <v>30.22</v>
      </c>
      <c r="AI2839" s="2">
        <f t="shared" si="275"/>
        <v>0</v>
      </c>
      <c r="AJ2839" s="2">
        <f t="shared" si="276"/>
        <v>33.24</v>
      </c>
      <c r="AK2839" s="5">
        <f t="shared" si="278"/>
        <v>0.52379451623069651</v>
      </c>
    </row>
    <row r="2840" spans="1:37" x14ac:dyDescent="0.2">
      <c r="A2840" s="2">
        <v>2026</v>
      </c>
      <c r="B2840" s="2">
        <v>1</v>
      </c>
      <c r="C2840" s="2" t="s">
        <v>2253</v>
      </c>
      <c r="L2840" s="2" t="s">
        <v>40</v>
      </c>
      <c r="N2840" s="2" t="s">
        <v>2347</v>
      </c>
      <c r="O2840" s="2" t="s">
        <v>115</v>
      </c>
      <c r="P2840" s="2" t="s">
        <v>911</v>
      </c>
      <c r="Q2840" s="2" t="s">
        <v>912</v>
      </c>
      <c r="R2840" s="2">
        <v>1</v>
      </c>
      <c r="S2840" s="2">
        <v>699.3</v>
      </c>
      <c r="T2840" s="2">
        <v>160.839</v>
      </c>
      <c r="U2840" s="2">
        <v>860.1389999999999</v>
      </c>
      <c r="V2840" s="2">
        <v>342.22</v>
      </c>
      <c r="W2840" s="5">
        <f t="shared" si="277"/>
        <v>0.51062491062491056</v>
      </c>
      <c r="Y2840" s="2" t="s">
        <v>118</v>
      </c>
      <c r="Z2840" s="2" t="s">
        <v>182</v>
      </c>
      <c r="AE2840" s="2">
        <f t="shared" si="274"/>
        <v>0</v>
      </c>
      <c r="AF2840" s="2">
        <v>342.22</v>
      </c>
      <c r="AI2840" s="2">
        <f t="shared" si="275"/>
        <v>0</v>
      </c>
      <c r="AJ2840" s="2">
        <f t="shared" si="276"/>
        <v>357.07999999999993</v>
      </c>
      <c r="AK2840" s="5">
        <f t="shared" si="278"/>
        <v>0.51062491062491056</v>
      </c>
    </row>
    <row r="2841" spans="1:37" x14ac:dyDescent="0.2">
      <c r="A2841" s="2">
        <v>2026</v>
      </c>
      <c r="B2841" s="2">
        <v>1</v>
      </c>
      <c r="C2841" s="2" t="s">
        <v>1017</v>
      </c>
      <c r="L2841" s="2" t="s">
        <v>40</v>
      </c>
      <c r="N2841" s="2" t="s">
        <v>2348</v>
      </c>
      <c r="O2841" s="2" t="s">
        <v>115</v>
      </c>
      <c r="P2841" s="2" t="s">
        <v>911</v>
      </c>
      <c r="Q2841" s="2" t="s">
        <v>912</v>
      </c>
      <c r="R2841" s="2">
        <v>1</v>
      </c>
      <c r="S2841" s="2">
        <v>699.3</v>
      </c>
      <c r="T2841" s="2">
        <v>160.839</v>
      </c>
      <c r="U2841" s="2">
        <v>860.1389999999999</v>
      </c>
      <c r="V2841" s="2">
        <v>342.22</v>
      </c>
      <c r="W2841" s="5">
        <f t="shared" si="277"/>
        <v>0.51062491062491056</v>
      </c>
      <c r="Y2841" s="2" t="s">
        <v>118</v>
      </c>
      <c r="Z2841" s="2" t="s">
        <v>182</v>
      </c>
      <c r="AE2841" s="2">
        <f t="shared" si="274"/>
        <v>0</v>
      </c>
      <c r="AF2841" s="2">
        <v>342.22</v>
      </c>
      <c r="AI2841" s="2">
        <f t="shared" si="275"/>
        <v>0</v>
      </c>
      <c r="AJ2841" s="2">
        <f t="shared" si="276"/>
        <v>357.07999999999993</v>
      </c>
      <c r="AK2841" s="5">
        <f t="shared" si="278"/>
        <v>0.51062491062491056</v>
      </c>
    </row>
    <row r="2842" spans="1:37" x14ac:dyDescent="0.2">
      <c r="A2842" s="2">
        <v>2026</v>
      </c>
      <c r="B2842" s="2">
        <v>1</v>
      </c>
      <c r="C2842" s="2" t="s">
        <v>2349</v>
      </c>
      <c r="H2842" s="2" t="s">
        <v>810</v>
      </c>
      <c r="K2842" s="2" t="s">
        <v>100</v>
      </c>
      <c r="L2842" s="2" t="s">
        <v>40</v>
      </c>
      <c r="N2842" s="2" t="s">
        <v>2350</v>
      </c>
      <c r="O2842" s="2" t="s">
        <v>115</v>
      </c>
      <c r="P2842" s="2" t="s">
        <v>180</v>
      </c>
      <c r="Q2842" s="2" t="s">
        <v>181</v>
      </c>
      <c r="R2842" s="2">
        <v>1</v>
      </c>
      <c r="S2842" s="2">
        <v>699.3</v>
      </c>
      <c r="T2842" s="2">
        <v>160.839</v>
      </c>
      <c r="U2842" s="2">
        <v>860.1389999999999</v>
      </c>
      <c r="V2842" s="2">
        <v>343.57</v>
      </c>
      <c r="W2842" s="5">
        <f t="shared" si="277"/>
        <v>0.50869440869440863</v>
      </c>
      <c r="Y2842" s="2" t="s">
        <v>118</v>
      </c>
      <c r="Z2842" s="2" t="s">
        <v>182</v>
      </c>
      <c r="AE2842" s="2">
        <f t="shared" si="274"/>
        <v>0</v>
      </c>
      <c r="AF2842" s="2">
        <v>343.38569999999999</v>
      </c>
      <c r="AI2842" s="2">
        <f t="shared" si="275"/>
        <v>0</v>
      </c>
      <c r="AJ2842" s="2">
        <f t="shared" si="276"/>
        <v>355.72999999999996</v>
      </c>
      <c r="AK2842" s="5">
        <f t="shared" si="278"/>
        <v>0.50869440869440863</v>
      </c>
    </row>
    <row r="2843" spans="1:37" x14ac:dyDescent="0.2">
      <c r="A2843" s="2">
        <v>2026</v>
      </c>
      <c r="B2843" s="2">
        <v>1</v>
      </c>
      <c r="C2843" s="2" t="s">
        <v>1300</v>
      </c>
      <c r="L2843" s="2" t="s">
        <v>40</v>
      </c>
      <c r="N2843" s="2" t="s">
        <v>2351</v>
      </c>
      <c r="O2843" s="2" t="s">
        <v>115</v>
      </c>
      <c r="P2843" s="2" t="s">
        <v>2352</v>
      </c>
      <c r="Q2843" s="2" t="s">
        <v>2353</v>
      </c>
      <c r="R2843" s="2">
        <v>1</v>
      </c>
      <c r="S2843" s="2">
        <v>41.96</v>
      </c>
      <c r="T2843" s="2">
        <v>9.6508000000000003</v>
      </c>
      <c r="U2843" s="2">
        <v>51.610799999999998</v>
      </c>
      <c r="V2843" s="2">
        <v>21.6</v>
      </c>
      <c r="W2843" s="5">
        <f t="shared" si="277"/>
        <v>0.48522402287893229</v>
      </c>
      <c r="Y2843" s="2" t="s">
        <v>118</v>
      </c>
      <c r="Z2843" s="2" t="s">
        <v>119</v>
      </c>
      <c r="AA2843" s="2" t="s">
        <v>120</v>
      </c>
      <c r="AB2843" s="2" t="s">
        <v>115</v>
      </c>
      <c r="AE2843" s="2">
        <f t="shared" si="274"/>
        <v>0</v>
      </c>
      <c r="AF2843" s="2">
        <v>21.6</v>
      </c>
      <c r="AI2843" s="2">
        <f t="shared" si="275"/>
        <v>0</v>
      </c>
      <c r="AJ2843" s="2">
        <f t="shared" si="276"/>
        <v>20.36</v>
      </c>
      <c r="AK2843" s="5">
        <f t="shared" si="278"/>
        <v>0.48522402287893229</v>
      </c>
    </row>
    <row r="2844" spans="1:37" x14ac:dyDescent="0.2">
      <c r="A2844" s="2">
        <v>2026</v>
      </c>
      <c r="B2844" s="2">
        <v>1</v>
      </c>
      <c r="C2844" s="2" t="s">
        <v>513</v>
      </c>
      <c r="D2844" s="2" t="s">
        <v>38</v>
      </c>
      <c r="E2844" s="2" t="s">
        <v>39</v>
      </c>
      <c r="F2844" s="2">
        <v>513405020</v>
      </c>
      <c r="G2844" s="2" t="s">
        <v>40</v>
      </c>
      <c r="H2844" s="2" t="s">
        <v>157</v>
      </c>
      <c r="I2844" s="2" t="s">
        <v>514</v>
      </c>
      <c r="J2844" s="2">
        <v>919770433</v>
      </c>
      <c r="K2844" s="2" t="s">
        <v>100</v>
      </c>
      <c r="L2844" s="2" t="s">
        <v>40</v>
      </c>
      <c r="N2844" s="2" t="s">
        <v>2354</v>
      </c>
      <c r="O2844" s="2" t="s">
        <v>115</v>
      </c>
      <c r="P2844" s="2" t="s">
        <v>1672</v>
      </c>
      <c r="Q2844" s="2" t="s">
        <v>1673</v>
      </c>
      <c r="R2844" s="2">
        <v>1</v>
      </c>
      <c r="S2844" s="2">
        <v>2635.57</v>
      </c>
      <c r="T2844" s="2">
        <v>606.18110000000001</v>
      </c>
      <c r="U2844" s="2">
        <v>3241.7511</v>
      </c>
      <c r="V2844" s="2">
        <v>565.75549999999998</v>
      </c>
      <c r="W2844" s="5">
        <f t="shared" si="277"/>
        <v>0.7853384656829453</v>
      </c>
      <c r="Y2844" s="2" t="s">
        <v>118</v>
      </c>
      <c r="Z2844" s="2" t="s">
        <v>119</v>
      </c>
      <c r="AA2844" s="2" t="s">
        <v>120</v>
      </c>
      <c r="AB2844" s="2" t="s">
        <v>115</v>
      </c>
      <c r="AE2844" s="2">
        <f t="shared" si="274"/>
        <v>0</v>
      </c>
      <c r="AF2844" s="2">
        <v>565.755</v>
      </c>
      <c r="AI2844" s="2">
        <f t="shared" si="275"/>
        <v>0</v>
      </c>
      <c r="AJ2844" s="2">
        <f t="shared" si="276"/>
        <v>2069.8145000000004</v>
      </c>
      <c r="AK2844" s="5">
        <f t="shared" si="278"/>
        <v>0.7853384656829453</v>
      </c>
    </row>
    <row r="2845" spans="1:37" x14ac:dyDescent="0.2">
      <c r="A2845" s="2">
        <v>2026</v>
      </c>
      <c r="B2845" s="2">
        <v>1</v>
      </c>
      <c r="C2845" s="2" t="s">
        <v>1896</v>
      </c>
      <c r="L2845" s="2" t="s">
        <v>40</v>
      </c>
      <c r="N2845" s="2" t="s">
        <v>2345</v>
      </c>
      <c r="O2845" s="2" t="s">
        <v>115</v>
      </c>
      <c r="P2845" s="2" t="s">
        <v>799</v>
      </c>
      <c r="Q2845" s="2" t="s">
        <v>800</v>
      </c>
      <c r="R2845" s="2">
        <v>1</v>
      </c>
      <c r="S2845" s="2">
        <v>539.16999999999996</v>
      </c>
      <c r="T2845" s="2">
        <v>124.0091</v>
      </c>
      <c r="U2845" s="2">
        <v>663.17909999999995</v>
      </c>
      <c r="V2845" s="2">
        <v>255.65</v>
      </c>
      <c r="W2845" s="5">
        <f t="shared" si="277"/>
        <v>0.52584528070923831</v>
      </c>
      <c r="Y2845" s="2" t="s">
        <v>118</v>
      </c>
      <c r="AE2845" s="2">
        <f t="shared" si="274"/>
        <v>0</v>
      </c>
      <c r="AF2845" s="2">
        <v>255.65</v>
      </c>
      <c r="AI2845" s="2">
        <f t="shared" si="275"/>
        <v>0</v>
      </c>
      <c r="AJ2845" s="2">
        <f t="shared" si="276"/>
        <v>283.52</v>
      </c>
      <c r="AK2845" s="5">
        <f t="shared" si="278"/>
        <v>0.52584528070923831</v>
      </c>
    </row>
    <row r="2846" spans="1:37" x14ac:dyDescent="0.2">
      <c r="A2846" s="2">
        <v>2026</v>
      </c>
      <c r="B2846" s="2">
        <v>1</v>
      </c>
      <c r="C2846" s="2" t="s">
        <v>2355</v>
      </c>
      <c r="O2846" s="2" t="s">
        <v>115</v>
      </c>
      <c r="P2846" s="2" t="s">
        <v>986</v>
      </c>
      <c r="Q2846" s="2" t="s">
        <v>987</v>
      </c>
      <c r="R2846" s="2">
        <v>1</v>
      </c>
      <c r="S2846" s="2">
        <v>79.819999999999993</v>
      </c>
      <c r="T2846" s="2">
        <v>18.358599999999999</v>
      </c>
      <c r="U2846" s="2">
        <v>98.178599999999989</v>
      </c>
      <c r="W2846" s="5">
        <f t="shared" si="277"/>
        <v>1</v>
      </c>
      <c r="Y2846" s="2" t="s">
        <v>118</v>
      </c>
      <c r="AE2846" s="2">
        <f t="shared" si="274"/>
        <v>0</v>
      </c>
      <c r="AI2846" s="2">
        <f t="shared" si="275"/>
        <v>0</v>
      </c>
      <c r="AJ2846" s="2">
        <f t="shared" si="276"/>
        <v>79.819999999999993</v>
      </c>
      <c r="AK2846" s="5">
        <f t="shared" si="278"/>
        <v>1</v>
      </c>
    </row>
    <row r="2847" spans="1:37" x14ac:dyDescent="0.2">
      <c r="A2847" s="2">
        <v>2026</v>
      </c>
      <c r="B2847" s="2">
        <v>1</v>
      </c>
      <c r="C2847" s="2" t="s">
        <v>2356</v>
      </c>
      <c r="L2847" s="2" t="s">
        <v>41</v>
      </c>
      <c r="O2847" s="2" t="s">
        <v>115</v>
      </c>
      <c r="P2847" s="2" t="s">
        <v>2357</v>
      </c>
      <c r="Q2847" s="2" t="s">
        <v>2358</v>
      </c>
      <c r="R2847" s="2">
        <v>1</v>
      </c>
      <c r="S2847" s="2">
        <v>422.5</v>
      </c>
      <c r="T2847" s="2">
        <v>97.174999999999997</v>
      </c>
      <c r="U2847" s="2">
        <v>519.67499999999995</v>
      </c>
      <c r="W2847" s="5">
        <f t="shared" si="277"/>
        <v>1</v>
      </c>
      <c r="Y2847" s="2" t="s">
        <v>118</v>
      </c>
      <c r="AE2847" s="2">
        <f t="shared" si="274"/>
        <v>0</v>
      </c>
      <c r="AI2847" s="2">
        <f t="shared" si="275"/>
        <v>0</v>
      </c>
      <c r="AJ2847" s="2">
        <f t="shared" si="276"/>
        <v>422.5</v>
      </c>
      <c r="AK2847" s="5">
        <f t="shared" si="278"/>
        <v>1</v>
      </c>
    </row>
    <row r="2848" spans="1:37" x14ac:dyDescent="0.2">
      <c r="A2848" s="2">
        <v>2026</v>
      </c>
      <c r="B2848" s="2">
        <v>1</v>
      </c>
      <c r="C2848" s="2" t="s">
        <v>1638</v>
      </c>
      <c r="D2848" s="2" t="s">
        <v>109</v>
      </c>
      <c r="E2848" s="2" t="s">
        <v>481</v>
      </c>
      <c r="F2848" s="2">
        <v>504161342</v>
      </c>
      <c r="G2848" s="2" t="s">
        <v>291</v>
      </c>
      <c r="H2848" s="2" t="s">
        <v>1639</v>
      </c>
      <c r="I2848" s="2" t="s">
        <v>1640</v>
      </c>
      <c r="K2848" s="2" t="s">
        <v>294</v>
      </c>
      <c r="L2848" s="2" t="s">
        <v>40</v>
      </c>
      <c r="N2848" s="2" t="s">
        <v>2359</v>
      </c>
      <c r="O2848" s="2" t="s">
        <v>115</v>
      </c>
      <c r="P2848" s="2" t="s">
        <v>1483</v>
      </c>
      <c r="Q2848" s="2" t="s">
        <v>1484</v>
      </c>
      <c r="R2848" s="2">
        <v>1</v>
      </c>
      <c r="S2848" s="2">
        <v>591.95000000000005</v>
      </c>
      <c r="T2848" s="2">
        <v>136.14850000000001</v>
      </c>
      <c r="U2848" s="2">
        <v>728.09850000000006</v>
      </c>
      <c r="V2848" s="2">
        <v>343.38</v>
      </c>
      <c r="W2848" s="5">
        <f t="shared" si="277"/>
        <v>0.41991722273840704</v>
      </c>
      <c r="Y2848" s="2" t="s">
        <v>118</v>
      </c>
      <c r="Z2848" s="2" t="s">
        <v>182</v>
      </c>
      <c r="AE2848" s="2">
        <f t="shared" si="274"/>
        <v>0</v>
      </c>
      <c r="AF2848" s="2">
        <v>343.38</v>
      </c>
      <c r="AG2848" s="2">
        <v>986.58</v>
      </c>
      <c r="AI2848" s="2">
        <f t="shared" si="275"/>
        <v>0</v>
      </c>
      <c r="AJ2848" s="2">
        <f t="shared" si="276"/>
        <v>248.57000000000005</v>
      </c>
      <c r="AK2848" s="5">
        <f t="shared" si="278"/>
        <v>0.41991722273840704</v>
      </c>
    </row>
    <row r="2849" spans="1:37" x14ac:dyDescent="0.2">
      <c r="A2849" s="2">
        <v>2026</v>
      </c>
      <c r="B2849" s="2">
        <v>1</v>
      </c>
      <c r="C2849" s="2" t="s">
        <v>2360</v>
      </c>
      <c r="O2849" s="2" t="s">
        <v>115</v>
      </c>
      <c r="P2849" s="2" t="s">
        <v>1483</v>
      </c>
      <c r="Q2849" s="2" t="s">
        <v>1484</v>
      </c>
      <c r="R2849" s="2">
        <v>1</v>
      </c>
      <c r="S2849" s="2">
        <v>690.61</v>
      </c>
      <c r="T2849" s="2">
        <v>158.84030000000001</v>
      </c>
      <c r="U2849" s="2">
        <v>849.45029999999997</v>
      </c>
      <c r="V2849" s="2">
        <v>343.38</v>
      </c>
      <c r="W2849" s="5">
        <f t="shared" si="277"/>
        <v>0.50278739085735802</v>
      </c>
      <c r="Y2849" s="2" t="s">
        <v>118</v>
      </c>
      <c r="Z2849" s="2" t="s">
        <v>182</v>
      </c>
      <c r="AE2849" s="2">
        <f t="shared" si="274"/>
        <v>0</v>
      </c>
      <c r="AF2849" s="2">
        <v>343.38</v>
      </c>
      <c r="AG2849" s="2">
        <v>986.58</v>
      </c>
      <c r="AI2849" s="2">
        <f t="shared" si="275"/>
        <v>0</v>
      </c>
      <c r="AJ2849" s="2">
        <f t="shared" si="276"/>
        <v>347.23</v>
      </c>
      <c r="AK2849" s="5">
        <f t="shared" si="278"/>
        <v>0.50278739085735802</v>
      </c>
    </row>
    <row r="2850" spans="1:37" x14ac:dyDescent="0.2">
      <c r="A2850" s="2">
        <v>2026</v>
      </c>
      <c r="B2850" s="2">
        <v>1</v>
      </c>
      <c r="C2850" s="2" t="s">
        <v>587</v>
      </c>
      <c r="D2850" s="2" t="s">
        <v>109</v>
      </c>
      <c r="F2850" s="2">
        <v>503850276</v>
      </c>
      <c r="G2850" s="2" t="s">
        <v>40</v>
      </c>
      <c r="H2850" s="2" t="s">
        <v>588</v>
      </c>
      <c r="I2850" s="2" t="s">
        <v>589</v>
      </c>
      <c r="K2850" s="2" t="s">
        <v>202</v>
      </c>
      <c r="L2850" s="2" t="s">
        <v>81</v>
      </c>
      <c r="O2850" s="2" t="s">
        <v>115</v>
      </c>
      <c r="P2850" s="2" t="s">
        <v>1483</v>
      </c>
      <c r="Q2850" s="2" t="s">
        <v>1484</v>
      </c>
      <c r="R2850" s="2">
        <v>1</v>
      </c>
      <c r="S2850" s="2">
        <v>0</v>
      </c>
      <c r="T2850" s="2">
        <v>0</v>
      </c>
      <c r="U2850" s="2">
        <v>0</v>
      </c>
      <c r="W2850" s="5">
        <v>0</v>
      </c>
      <c r="Y2850" s="2" t="s">
        <v>118</v>
      </c>
      <c r="Z2850" s="2" t="s">
        <v>182</v>
      </c>
      <c r="AE2850" s="2">
        <f t="shared" si="274"/>
        <v>0</v>
      </c>
      <c r="AF2850" s="2">
        <v>343.38</v>
      </c>
      <c r="AG2850" s="2">
        <v>986.58</v>
      </c>
      <c r="AI2850" s="2">
        <f t="shared" si="275"/>
        <v>0</v>
      </c>
      <c r="AJ2850" s="2">
        <f t="shared" si="276"/>
        <v>0</v>
      </c>
      <c r="AK2850" s="5" t="e">
        <f t="shared" si="278"/>
        <v>#DIV/0!</v>
      </c>
    </row>
    <row r="2851" spans="1:37" x14ac:dyDescent="0.2">
      <c r="A2851" s="2">
        <v>2026</v>
      </c>
      <c r="B2851" s="2">
        <v>1</v>
      </c>
      <c r="C2851" s="2" t="s">
        <v>587</v>
      </c>
      <c r="D2851" s="2" t="s">
        <v>109</v>
      </c>
      <c r="F2851" s="2">
        <v>503850276</v>
      </c>
      <c r="G2851" s="2" t="s">
        <v>40</v>
      </c>
      <c r="H2851" s="2" t="s">
        <v>588</v>
      </c>
      <c r="I2851" s="2" t="s">
        <v>589</v>
      </c>
      <c r="K2851" s="2" t="s">
        <v>202</v>
      </c>
      <c r="L2851" s="2" t="s">
        <v>81</v>
      </c>
      <c r="O2851" s="2" t="s">
        <v>115</v>
      </c>
      <c r="P2851" s="2" t="s">
        <v>2361</v>
      </c>
      <c r="Q2851" s="2" t="s">
        <v>2362</v>
      </c>
      <c r="R2851" s="2">
        <v>1</v>
      </c>
      <c r="S2851" s="2">
        <v>2818.8</v>
      </c>
      <c r="T2851" s="2">
        <v>648.32400000000007</v>
      </c>
      <c r="U2851" s="2">
        <v>3467.1239999999998</v>
      </c>
      <c r="W2851" s="5">
        <f t="shared" ref="W2851:W2882" si="279">(S2851-V2851)/S2851</f>
        <v>1</v>
      </c>
      <c r="Y2851" s="2" t="s">
        <v>118</v>
      </c>
      <c r="AE2851" s="2">
        <f t="shared" si="274"/>
        <v>0</v>
      </c>
      <c r="AI2851" s="2">
        <f t="shared" si="275"/>
        <v>0</v>
      </c>
      <c r="AJ2851" s="2">
        <f t="shared" si="276"/>
        <v>2818.8</v>
      </c>
      <c r="AK2851" s="5">
        <f t="shared" si="278"/>
        <v>1</v>
      </c>
    </row>
    <row r="2852" spans="1:37" x14ac:dyDescent="0.2">
      <c r="A2852" s="2">
        <v>2026</v>
      </c>
      <c r="B2852" s="2">
        <v>1</v>
      </c>
      <c r="C2852" s="2" t="s">
        <v>587</v>
      </c>
      <c r="D2852" s="2" t="s">
        <v>109</v>
      </c>
      <c r="F2852" s="2">
        <v>503850276</v>
      </c>
      <c r="G2852" s="2" t="s">
        <v>40</v>
      </c>
      <c r="H2852" s="2" t="s">
        <v>588</v>
      </c>
      <c r="I2852" s="2" t="s">
        <v>589</v>
      </c>
      <c r="K2852" s="2" t="s">
        <v>202</v>
      </c>
      <c r="L2852" s="2" t="s">
        <v>81</v>
      </c>
      <c r="O2852" s="2" t="s">
        <v>115</v>
      </c>
      <c r="P2852" s="2" t="s">
        <v>2363</v>
      </c>
      <c r="Q2852" s="2" t="s">
        <v>2364</v>
      </c>
      <c r="R2852" s="2">
        <v>1</v>
      </c>
      <c r="S2852" s="2">
        <v>1650</v>
      </c>
      <c r="T2852" s="2">
        <v>379.5</v>
      </c>
      <c r="U2852" s="2">
        <v>2029.5</v>
      </c>
      <c r="W2852" s="5">
        <f t="shared" si="279"/>
        <v>1</v>
      </c>
      <c r="Y2852" s="2" t="s">
        <v>118</v>
      </c>
      <c r="AE2852" s="2">
        <f t="shared" si="274"/>
        <v>0</v>
      </c>
      <c r="AI2852" s="2">
        <f t="shared" si="275"/>
        <v>0</v>
      </c>
      <c r="AJ2852" s="2">
        <f t="shared" si="276"/>
        <v>1650</v>
      </c>
      <c r="AK2852" s="5">
        <f t="shared" si="278"/>
        <v>1</v>
      </c>
    </row>
    <row r="2853" spans="1:37" x14ac:dyDescent="0.2">
      <c r="A2853" s="2">
        <v>2026</v>
      </c>
      <c r="B2853" s="2">
        <v>1</v>
      </c>
      <c r="C2853" s="2" t="s">
        <v>98</v>
      </c>
      <c r="D2853" s="2" t="s">
        <v>99</v>
      </c>
      <c r="E2853" s="2" t="s">
        <v>39</v>
      </c>
      <c r="F2853" s="2">
        <v>517450925</v>
      </c>
      <c r="G2853" s="2" t="s">
        <v>40</v>
      </c>
      <c r="H2853" s="2" t="s">
        <v>100</v>
      </c>
      <c r="I2853" s="2" t="s">
        <v>101</v>
      </c>
      <c r="K2853" s="2" t="s">
        <v>100</v>
      </c>
      <c r="L2853" s="2" t="s">
        <v>40</v>
      </c>
      <c r="O2853" s="2" t="s">
        <v>115</v>
      </c>
      <c r="P2853" s="2" t="s">
        <v>1192</v>
      </c>
      <c r="Q2853" s="2" t="s">
        <v>1193</v>
      </c>
      <c r="R2853" s="2">
        <v>1</v>
      </c>
      <c r="S2853" s="2">
        <v>8130.08</v>
      </c>
      <c r="T2853" s="2">
        <v>1869.9184</v>
      </c>
      <c r="U2853" s="2">
        <v>9999.9984000000004</v>
      </c>
      <c r="V2853" s="2">
        <v>7437.5950000000003</v>
      </c>
      <c r="W2853" s="5">
        <f t="shared" si="279"/>
        <v>8.5175668628106938E-2</v>
      </c>
      <c r="Y2853" s="2" t="s">
        <v>105</v>
      </c>
      <c r="Z2853" s="2" t="s">
        <v>418</v>
      </c>
      <c r="AA2853" s="2" t="s">
        <v>152</v>
      </c>
      <c r="AB2853" s="2" t="s">
        <v>115</v>
      </c>
      <c r="AE2853" s="2">
        <f t="shared" si="274"/>
        <v>0</v>
      </c>
      <c r="AF2853" s="2">
        <v>7437.5950000000003</v>
      </c>
      <c r="AI2853" s="2">
        <f t="shared" si="275"/>
        <v>0</v>
      </c>
      <c r="AJ2853" s="2">
        <f t="shared" si="276"/>
        <v>692.48499999999967</v>
      </c>
      <c r="AK2853" s="5">
        <f t="shared" si="278"/>
        <v>8.5175668628106938E-2</v>
      </c>
    </row>
    <row r="2854" spans="1:37" x14ac:dyDescent="0.2">
      <c r="A2854" s="2">
        <v>2026</v>
      </c>
      <c r="B2854" s="2">
        <v>1</v>
      </c>
      <c r="C2854" s="2" t="s">
        <v>145</v>
      </c>
      <c r="D2854" s="2" t="s">
        <v>38</v>
      </c>
      <c r="E2854" s="2" t="s">
        <v>39</v>
      </c>
      <c r="F2854" s="2">
        <v>505883970</v>
      </c>
      <c r="G2854" s="2" t="s">
        <v>41</v>
      </c>
      <c r="H2854" s="2" t="s">
        <v>146</v>
      </c>
      <c r="I2854" s="2" t="s">
        <v>147</v>
      </c>
      <c r="K2854" s="2" t="s">
        <v>100</v>
      </c>
      <c r="L2854" s="2" t="s">
        <v>41</v>
      </c>
      <c r="N2854" s="2" t="s">
        <v>2365</v>
      </c>
      <c r="O2854" s="2" t="s">
        <v>115</v>
      </c>
      <c r="P2854" s="2" t="s">
        <v>842</v>
      </c>
      <c r="Q2854" s="2" t="s">
        <v>843</v>
      </c>
      <c r="R2854" s="2">
        <v>1</v>
      </c>
      <c r="S2854" s="2">
        <v>13990</v>
      </c>
      <c r="T2854" s="2">
        <v>3217.7</v>
      </c>
      <c r="U2854" s="2">
        <v>17207.7</v>
      </c>
      <c r="V2854" s="2">
        <v>9589.8799999999992</v>
      </c>
      <c r="W2854" s="5">
        <f t="shared" si="279"/>
        <v>0.31451894210150111</v>
      </c>
      <c r="Y2854" s="2" t="s">
        <v>105</v>
      </c>
      <c r="Z2854" s="2" t="s">
        <v>418</v>
      </c>
      <c r="AA2854" s="2" t="s">
        <v>152</v>
      </c>
      <c r="AB2854" s="2" t="s">
        <v>115</v>
      </c>
      <c r="AE2854" s="2">
        <f t="shared" si="274"/>
        <v>0</v>
      </c>
      <c r="AI2854" s="2">
        <f t="shared" si="275"/>
        <v>0</v>
      </c>
      <c r="AJ2854" s="2">
        <f t="shared" si="276"/>
        <v>4400.1200000000008</v>
      </c>
      <c r="AK2854" s="5">
        <f t="shared" si="278"/>
        <v>0.31451894210150111</v>
      </c>
    </row>
    <row r="2855" spans="1:37" x14ac:dyDescent="0.2">
      <c r="A2855" s="2">
        <v>2026</v>
      </c>
      <c r="B2855" s="2">
        <v>1</v>
      </c>
      <c r="C2855" s="2" t="s">
        <v>414</v>
      </c>
      <c r="D2855" s="2" t="s">
        <v>38</v>
      </c>
      <c r="F2855" s="2">
        <v>508259509</v>
      </c>
      <c r="G2855" s="2" t="s">
        <v>40</v>
      </c>
      <c r="H2855" s="2" t="s">
        <v>340</v>
      </c>
      <c r="K2855" s="2" t="s">
        <v>340</v>
      </c>
      <c r="L2855" s="2" t="s">
        <v>40</v>
      </c>
      <c r="N2855" s="2" t="s">
        <v>2365</v>
      </c>
      <c r="O2855" s="2" t="s">
        <v>115</v>
      </c>
      <c r="P2855" s="2" t="s">
        <v>416</v>
      </c>
      <c r="Q2855" s="2" t="s">
        <v>417</v>
      </c>
      <c r="R2855" s="2">
        <v>1</v>
      </c>
      <c r="S2855" s="2">
        <v>14005.6</v>
      </c>
      <c r="T2855" s="2">
        <v>3221.288</v>
      </c>
      <c r="U2855" s="2">
        <v>17226.887999999999</v>
      </c>
      <c r="V2855" s="2">
        <v>10669.4</v>
      </c>
      <c r="W2855" s="5">
        <f t="shared" si="279"/>
        <v>0.23820471811275495</v>
      </c>
      <c r="Y2855" s="2" t="s">
        <v>105</v>
      </c>
      <c r="Z2855" s="2" t="s">
        <v>418</v>
      </c>
      <c r="AA2855" s="2" t="s">
        <v>152</v>
      </c>
      <c r="AB2855" s="2" t="s">
        <v>115</v>
      </c>
      <c r="AE2855" s="2">
        <f t="shared" si="274"/>
        <v>0</v>
      </c>
      <c r="AF2855" s="2">
        <v>10669.4</v>
      </c>
      <c r="AI2855" s="2">
        <f t="shared" si="275"/>
        <v>0</v>
      </c>
      <c r="AJ2855" s="2">
        <f t="shared" si="276"/>
        <v>3336.2000000000007</v>
      </c>
      <c r="AK2855" s="5">
        <f t="shared" si="278"/>
        <v>0.23820471811275495</v>
      </c>
    </row>
    <row r="2856" spans="1:37" x14ac:dyDescent="0.2">
      <c r="A2856" s="2">
        <v>2026</v>
      </c>
      <c r="B2856" s="2">
        <v>1</v>
      </c>
      <c r="C2856" s="2" t="s">
        <v>290</v>
      </c>
      <c r="D2856" s="2" t="s">
        <v>109</v>
      </c>
      <c r="E2856" s="2" t="s">
        <v>39</v>
      </c>
      <c r="F2856" s="2">
        <v>508428300</v>
      </c>
      <c r="G2856" s="2" t="s">
        <v>291</v>
      </c>
      <c r="H2856" s="2" t="s">
        <v>292</v>
      </c>
      <c r="I2856" s="2" t="s">
        <v>293</v>
      </c>
      <c r="J2856" s="2">
        <v>917165642</v>
      </c>
      <c r="K2856" s="2" t="s">
        <v>294</v>
      </c>
      <c r="L2856" s="2" t="s">
        <v>291</v>
      </c>
      <c r="N2856" s="2" t="s">
        <v>2366</v>
      </c>
      <c r="O2856" s="2" t="s">
        <v>115</v>
      </c>
      <c r="P2856" s="2" t="s">
        <v>963</v>
      </c>
      <c r="Q2856" s="2" t="s">
        <v>964</v>
      </c>
      <c r="R2856" s="2">
        <v>1</v>
      </c>
      <c r="S2856" s="2">
        <v>8000</v>
      </c>
      <c r="T2856" s="2">
        <v>1840</v>
      </c>
      <c r="U2856" s="2">
        <v>9840</v>
      </c>
      <c r="V2856" s="2">
        <v>6468.73</v>
      </c>
      <c r="W2856" s="5">
        <f t="shared" si="279"/>
        <v>0.19140875000000004</v>
      </c>
      <c r="Y2856" s="2" t="s">
        <v>105</v>
      </c>
      <c r="Z2856" s="2" t="s">
        <v>621</v>
      </c>
      <c r="AA2856" s="2" t="s">
        <v>965</v>
      </c>
      <c r="AB2856" s="2" t="s">
        <v>115</v>
      </c>
      <c r="AE2856" s="2">
        <f t="shared" si="274"/>
        <v>0</v>
      </c>
      <c r="AF2856" s="2">
        <v>6468.73</v>
      </c>
      <c r="AI2856" s="2">
        <f t="shared" si="275"/>
        <v>0</v>
      </c>
      <c r="AJ2856" s="2">
        <f t="shared" si="276"/>
        <v>1531.2700000000004</v>
      </c>
      <c r="AK2856" s="5">
        <f t="shared" si="278"/>
        <v>0.19140875000000004</v>
      </c>
    </row>
    <row r="2857" spans="1:37" x14ac:dyDescent="0.2">
      <c r="A2857" s="2">
        <v>2026</v>
      </c>
      <c r="B2857" s="2">
        <v>1</v>
      </c>
      <c r="C2857" s="2" t="s">
        <v>2341</v>
      </c>
      <c r="O2857" s="2" t="s">
        <v>115</v>
      </c>
      <c r="P2857" s="2" t="s">
        <v>963</v>
      </c>
      <c r="Q2857" s="2" t="s">
        <v>964</v>
      </c>
      <c r="R2857" s="2">
        <v>1</v>
      </c>
      <c r="S2857" s="2">
        <v>8930</v>
      </c>
      <c r="T2857" s="2">
        <v>2053.9</v>
      </c>
      <c r="U2857" s="2">
        <v>10983.9</v>
      </c>
      <c r="V2857" s="2">
        <v>6468.73</v>
      </c>
      <c r="W2857" s="5">
        <f t="shared" si="279"/>
        <v>0.27561814109742444</v>
      </c>
      <c r="Y2857" s="2" t="s">
        <v>105</v>
      </c>
      <c r="Z2857" s="2" t="s">
        <v>621</v>
      </c>
      <c r="AA2857" s="2" t="s">
        <v>965</v>
      </c>
      <c r="AB2857" s="2" t="s">
        <v>115</v>
      </c>
      <c r="AE2857" s="2">
        <f t="shared" si="274"/>
        <v>0</v>
      </c>
      <c r="AF2857" s="2">
        <f>6193.4+275.33</f>
        <v>6468.73</v>
      </c>
      <c r="AI2857" s="2">
        <f t="shared" si="275"/>
        <v>0</v>
      </c>
      <c r="AJ2857" s="2">
        <f t="shared" si="276"/>
        <v>2461.2700000000004</v>
      </c>
      <c r="AK2857" s="5">
        <f t="shared" si="278"/>
        <v>0.27561814109742444</v>
      </c>
    </row>
    <row r="2858" spans="1:37" x14ac:dyDescent="0.2">
      <c r="A2858" s="2">
        <v>2026</v>
      </c>
      <c r="B2858" s="2">
        <v>1</v>
      </c>
      <c r="C2858" s="2" t="s">
        <v>1133</v>
      </c>
      <c r="D2858" s="2" t="s">
        <v>109</v>
      </c>
      <c r="E2858" s="2" t="s">
        <v>39</v>
      </c>
      <c r="F2858" s="2">
        <v>515742279</v>
      </c>
      <c r="G2858" s="2" t="s">
        <v>41</v>
      </c>
      <c r="H2858" s="2" t="s">
        <v>2316</v>
      </c>
      <c r="I2858" s="2" t="s">
        <v>2317</v>
      </c>
      <c r="J2858" s="2">
        <v>965790183</v>
      </c>
      <c r="K2858" s="2" t="s">
        <v>178</v>
      </c>
      <c r="L2858" s="2" t="s">
        <v>41</v>
      </c>
      <c r="N2858" s="2" t="s">
        <v>2367</v>
      </c>
      <c r="O2858" s="2" t="s">
        <v>115</v>
      </c>
      <c r="P2858" s="2" t="s">
        <v>963</v>
      </c>
      <c r="Q2858" s="2" t="s">
        <v>964</v>
      </c>
      <c r="R2858" s="2">
        <v>1</v>
      </c>
      <c r="S2858" s="2">
        <v>9500</v>
      </c>
      <c r="T2858" s="2">
        <v>2185</v>
      </c>
      <c r="U2858" s="2">
        <v>11685</v>
      </c>
      <c r="V2858" s="2">
        <v>6468.73</v>
      </c>
      <c r="W2858" s="5">
        <f t="shared" si="279"/>
        <v>0.31908105263157899</v>
      </c>
      <c r="Y2858" s="2" t="s">
        <v>105</v>
      </c>
      <c r="Z2858" s="2" t="s">
        <v>621</v>
      </c>
      <c r="AA2858" s="2" t="s">
        <v>965</v>
      </c>
      <c r="AB2858" s="2" t="s">
        <v>115</v>
      </c>
      <c r="AE2858" s="2">
        <f t="shared" si="274"/>
        <v>0</v>
      </c>
      <c r="AF2858" s="2">
        <f>6193.4+275.33</f>
        <v>6468.73</v>
      </c>
      <c r="AI2858" s="2">
        <f t="shared" si="275"/>
        <v>0</v>
      </c>
      <c r="AJ2858" s="2">
        <f t="shared" si="276"/>
        <v>3031.2700000000004</v>
      </c>
      <c r="AK2858" s="5">
        <f t="shared" si="278"/>
        <v>0.31908105263157899</v>
      </c>
    </row>
    <row r="2859" spans="1:37" x14ac:dyDescent="0.2">
      <c r="A2859" s="2">
        <v>2026</v>
      </c>
      <c r="B2859" s="2">
        <v>1</v>
      </c>
      <c r="C2859" s="2" t="s">
        <v>981</v>
      </c>
      <c r="L2859" s="2" t="s">
        <v>1655</v>
      </c>
      <c r="O2859" s="2" t="s">
        <v>2368</v>
      </c>
      <c r="P2859" s="2" t="s">
        <v>2369</v>
      </c>
      <c r="Q2859" s="2" t="s">
        <v>2370</v>
      </c>
      <c r="R2859" s="2">
        <v>1</v>
      </c>
      <c r="S2859" s="2">
        <v>1100</v>
      </c>
      <c r="T2859" s="2">
        <v>253</v>
      </c>
      <c r="U2859" s="2">
        <v>1353</v>
      </c>
      <c r="V2859" s="2">
        <v>203</v>
      </c>
      <c r="W2859" s="5">
        <f t="shared" si="279"/>
        <v>0.81545454545454543</v>
      </c>
      <c r="Y2859" s="2" t="s">
        <v>118</v>
      </c>
      <c r="Z2859" s="2" t="s">
        <v>583</v>
      </c>
      <c r="AA2859" s="2" t="s">
        <v>120</v>
      </c>
      <c r="AB2859" s="2" t="s">
        <v>2368</v>
      </c>
      <c r="AE2859" s="2">
        <f t="shared" si="274"/>
        <v>0</v>
      </c>
      <c r="AF2859" s="2">
        <v>203</v>
      </c>
      <c r="AI2859" s="2">
        <f t="shared" si="275"/>
        <v>0</v>
      </c>
      <c r="AJ2859" s="2">
        <f t="shared" si="276"/>
        <v>897</v>
      </c>
      <c r="AK2859" s="5">
        <f t="shared" si="278"/>
        <v>0.81545454545454543</v>
      </c>
    </row>
    <row r="2860" spans="1:37" x14ac:dyDescent="0.2">
      <c r="A2860" s="2">
        <v>2026</v>
      </c>
      <c r="B2860" s="2">
        <v>1</v>
      </c>
      <c r="C2860" s="2" t="s">
        <v>1569</v>
      </c>
      <c r="D2860" s="2" t="s">
        <v>109</v>
      </c>
      <c r="E2860" s="2" t="s">
        <v>723</v>
      </c>
      <c r="F2860" s="2">
        <v>500975914</v>
      </c>
      <c r="G2860" s="2" t="s">
        <v>41</v>
      </c>
      <c r="H2860" s="2" t="s">
        <v>1570</v>
      </c>
      <c r="I2860" s="2" t="s">
        <v>1571</v>
      </c>
      <c r="K2860" s="2" t="s">
        <v>100</v>
      </c>
      <c r="L2860" s="2" t="s">
        <v>41</v>
      </c>
      <c r="O2860" s="2" t="s">
        <v>2371</v>
      </c>
      <c r="P2860" s="2" t="s">
        <v>2372</v>
      </c>
      <c r="Q2860" s="2" t="s">
        <v>2373</v>
      </c>
      <c r="R2860" s="2">
        <v>1</v>
      </c>
      <c r="S2860" s="2">
        <v>590</v>
      </c>
      <c r="T2860" s="2">
        <v>135.69999999999999</v>
      </c>
      <c r="U2860" s="2">
        <v>725.7</v>
      </c>
      <c r="V2860" s="2">
        <v>374.15</v>
      </c>
      <c r="W2860" s="5">
        <f t="shared" si="279"/>
        <v>0.36584745762711868</v>
      </c>
      <c r="Y2860" s="2" t="s">
        <v>105</v>
      </c>
      <c r="Z2860" s="2" t="s">
        <v>72</v>
      </c>
      <c r="AA2860" s="2" t="s">
        <v>2371</v>
      </c>
      <c r="AB2860" s="2" t="s">
        <v>2371</v>
      </c>
      <c r="AE2860" s="2">
        <f t="shared" si="274"/>
        <v>0</v>
      </c>
      <c r="AF2860" s="2">
        <v>374.15</v>
      </c>
      <c r="AG2860" s="2">
        <v>662.51</v>
      </c>
      <c r="AI2860" s="2">
        <f t="shared" si="275"/>
        <v>0</v>
      </c>
      <c r="AJ2860" s="2">
        <f t="shared" si="276"/>
        <v>215.85000000000002</v>
      </c>
      <c r="AK2860" s="5">
        <f t="shared" si="278"/>
        <v>0.36584745762711868</v>
      </c>
    </row>
    <row r="2861" spans="1:37" x14ac:dyDescent="0.2">
      <c r="A2861" s="2">
        <v>2026</v>
      </c>
      <c r="B2861" s="2">
        <v>1</v>
      </c>
      <c r="C2861" s="2" t="s">
        <v>529</v>
      </c>
      <c r="D2861" s="2" t="s">
        <v>109</v>
      </c>
      <c r="E2861" s="2" t="s">
        <v>39</v>
      </c>
      <c r="F2861" s="2">
        <v>509391583</v>
      </c>
      <c r="G2861" s="2" t="s">
        <v>40</v>
      </c>
      <c r="H2861" s="2" t="s">
        <v>530</v>
      </c>
      <c r="I2861" s="2" t="s">
        <v>531</v>
      </c>
      <c r="K2861" s="2" t="s">
        <v>345</v>
      </c>
      <c r="L2861" s="2" t="s">
        <v>81</v>
      </c>
      <c r="N2861" s="2" t="s">
        <v>2374</v>
      </c>
      <c r="O2861" s="2" t="s">
        <v>283</v>
      </c>
      <c r="P2861" s="2" t="s">
        <v>1525</v>
      </c>
      <c r="Q2861" s="2" t="s">
        <v>1526</v>
      </c>
      <c r="R2861" s="2">
        <v>3</v>
      </c>
      <c r="S2861" s="2">
        <v>149.69999999999999</v>
      </c>
      <c r="T2861" s="2">
        <v>34.430999999999997</v>
      </c>
      <c r="U2861" s="2">
        <v>184.131</v>
      </c>
      <c r="V2861" s="2">
        <v>82.35</v>
      </c>
      <c r="W2861" s="5">
        <f t="shared" si="279"/>
        <v>0.4498997995991984</v>
      </c>
      <c r="Y2861" s="2" t="s">
        <v>3256</v>
      </c>
      <c r="Z2861" s="2" t="s">
        <v>72</v>
      </c>
      <c r="AA2861" s="2" t="s">
        <v>1616</v>
      </c>
      <c r="AB2861" s="2" t="s">
        <v>1616</v>
      </c>
      <c r="AE2861" s="2">
        <f t="shared" si="274"/>
        <v>0</v>
      </c>
      <c r="AF2861" s="2">
        <v>27.445</v>
      </c>
      <c r="AI2861" s="2">
        <f t="shared" si="275"/>
        <v>0</v>
      </c>
      <c r="AJ2861" s="2">
        <f t="shared" si="276"/>
        <v>67.349999999999994</v>
      </c>
      <c r="AK2861" s="5">
        <f t="shared" si="278"/>
        <v>0.4498997995991984</v>
      </c>
    </row>
    <row r="2862" spans="1:37" x14ac:dyDescent="0.2">
      <c r="A2862" s="2">
        <v>2026</v>
      </c>
      <c r="B2862" s="2">
        <v>1</v>
      </c>
      <c r="C2862" s="2" t="s">
        <v>2375</v>
      </c>
      <c r="D2862" s="2" t="s">
        <v>38</v>
      </c>
      <c r="F2862" s="2">
        <v>500888981</v>
      </c>
      <c r="G2862" s="2" t="s">
        <v>40</v>
      </c>
      <c r="H2862" s="2" t="s">
        <v>100</v>
      </c>
      <c r="J2862" s="2">
        <v>918560289</v>
      </c>
      <c r="K2862" s="2" t="s">
        <v>100</v>
      </c>
      <c r="L2862" s="2" t="s">
        <v>81</v>
      </c>
      <c r="N2862" s="2" t="s">
        <v>2376</v>
      </c>
      <c r="O2862" s="2" t="s">
        <v>283</v>
      </c>
      <c r="P2862" s="2" t="s">
        <v>2377</v>
      </c>
      <c r="Q2862" s="2" t="s">
        <v>2378</v>
      </c>
      <c r="R2862" s="2">
        <v>1</v>
      </c>
      <c r="S2862" s="2">
        <v>12</v>
      </c>
      <c r="T2862" s="2">
        <v>2.76</v>
      </c>
      <c r="U2862" s="2">
        <v>14.76</v>
      </c>
      <c r="V2862" s="2">
        <v>6.5</v>
      </c>
      <c r="W2862" s="5">
        <f t="shared" si="279"/>
        <v>0.45833333333333331</v>
      </c>
      <c r="Y2862" s="2" t="s">
        <v>3256</v>
      </c>
      <c r="Z2862" s="2" t="s">
        <v>72</v>
      </c>
      <c r="AA2862" s="2" t="s">
        <v>1616</v>
      </c>
      <c r="AB2862" s="2" t="s">
        <v>1616</v>
      </c>
      <c r="AE2862" s="2">
        <f t="shared" si="274"/>
        <v>0</v>
      </c>
      <c r="AF2862" s="2">
        <v>6.5</v>
      </c>
      <c r="AG2862" s="2">
        <v>10</v>
      </c>
      <c r="AI2862" s="2">
        <f t="shared" si="275"/>
        <v>0</v>
      </c>
      <c r="AJ2862" s="2">
        <f t="shared" si="276"/>
        <v>5.5</v>
      </c>
      <c r="AK2862" s="5">
        <f t="shared" si="278"/>
        <v>0.45833333333333331</v>
      </c>
    </row>
    <row r="2863" spans="1:37" x14ac:dyDescent="0.2">
      <c r="A2863" s="2">
        <v>2026</v>
      </c>
      <c r="B2863" s="2">
        <v>1</v>
      </c>
      <c r="C2863" s="2" t="s">
        <v>2379</v>
      </c>
      <c r="D2863" s="2" t="s">
        <v>758</v>
      </c>
      <c r="F2863" s="2">
        <v>191221937</v>
      </c>
      <c r="G2863" s="2" t="s">
        <v>110</v>
      </c>
      <c r="H2863" s="2" t="s">
        <v>2380</v>
      </c>
      <c r="I2863" s="2" t="s">
        <v>2381</v>
      </c>
      <c r="K2863" s="2" t="s">
        <v>134</v>
      </c>
      <c r="L2863" s="2" t="s">
        <v>110</v>
      </c>
      <c r="O2863" s="2" t="s">
        <v>283</v>
      </c>
      <c r="P2863" s="2" t="s">
        <v>1563</v>
      </c>
      <c r="Q2863" s="2" t="s">
        <v>1564</v>
      </c>
      <c r="R2863" s="2">
        <v>1</v>
      </c>
      <c r="S2863" s="2">
        <v>595</v>
      </c>
      <c r="T2863" s="2">
        <v>136.85</v>
      </c>
      <c r="U2863" s="2">
        <v>731.85</v>
      </c>
      <c r="V2863" s="2">
        <v>297</v>
      </c>
      <c r="W2863" s="5">
        <f t="shared" si="279"/>
        <v>0.50084033613445378</v>
      </c>
      <c r="Y2863" s="2" t="s">
        <v>105</v>
      </c>
      <c r="Z2863" s="2" t="s">
        <v>389</v>
      </c>
      <c r="AA2863" s="2" t="s">
        <v>390</v>
      </c>
      <c r="AB2863" s="2" t="s">
        <v>391</v>
      </c>
      <c r="AE2863" s="2">
        <f t="shared" si="274"/>
        <v>0</v>
      </c>
      <c r="AF2863" s="2">
        <v>297</v>
      </c>
      <c r="AG2863" s="2">
        <v>595</v>
      </c>
      <c r="AI2863" s="2">
        <f t="shared" si="275"/>
        <v>0</v>
      </c>
      <c r="AJ2863" s="2">
        <f t="shared" si="276"/>
        <v>298</v>
      </c>
      <c r="AK2863" s="5">
        <f t="shared" ref="AK2863:AK2894" si="280">(S2863-V2863)/S2863</f>
        <v>0.50084033613445378</v>
      </c>
    </row>
    <row r="2864" spans="1:37" x14ac:dyDescent="0.2">
      <c r="A2864" s="2">
        <v>2026</v>
      </c>
      <c r="B2864" s="2">
        <v>1</v>
      </c>
      <c r="C2864" s="2" t="s">
        <v>37</v>
      </c>
      <c r="D2864" s="2" t="s">
        <v>38</v>
      </c>
      <c r="E2864" s="2" t="s">
        <v>39</v>
      </c>
      <c r="G2864" s="2" t="s">
        <v>40</v>
      </c>
      <c r="L2864" s="2" t="s">
        <v>41</v>
      </c>
      <c r="O2864" s="2" t="s">
        <v>283</v>
      </c>
      <c r="P2864" s="2" t="s">
        <v>401</v>
      </c>
      <c r="Q2864" s="2" t="s">
        <v>402</v>
      </c>
      <c r="R2864" s="2">
        <v>4</v>
      </c>
      <c r="S2864" s="2">
        <v>80</v>
      </c>
      <c r="T2864" s="2">
        <v>18.399999999999999</v>
      </c>
      <c r="U2864" s="2">
        <v>98.4</v>
      </c>
      <c r="V2864" s="2">
        <v>58</v>
      </c>
      <c r="W2864" s="5">
        <f t="shared" si="279"/>
        <v>0.27500000000000002</v>
      </c>
      <c r="Y2864" s="2" t="s">
        <v>3256</v>
      </c>
      <c r="Z2864" s="2" t="s">
        <v>46</v>
      </c>
      <c r="AA2864" s="2" t="s">
        <v>61</v>
      </c>
      <c r="AB2864" s="2" t="s">
        <v>403</v>
      </c>
      <c r="AE2864" s="2">
        <f t="shared" si="274"/>
        <v>0</v>
      </c>
      <c r="AI2864" s="2">
        <f t="shared" si="275"/>
        <v>0</v>
      </c>
      <c r="AJ2864" s="2">
        <f t="shared" si="276"/>
        <v>22</v>
      </c>
      <c r="AK2864" s="5">
        <f t="shared" si="280"/>
        <v>0.27500000000000002</v>
      </c>
    </row>
    <row r="2865" spans="1:37" x14ac:dyDescent="0.2">
      <c r="A2865" s="2">
        <v>2026</v>
      </c>
      <c r="B2865" s="2">
        <v>1</v>
      </c>
      <c r="C2865" s="2" t="s">
        <v>396</v>
      </c>
      <c r="D2865" s="2" t="s">
        <v>109</v>
      </c>
      <c r="E2865" s="2" t="s">
        <v>397</v>
      </c>
      <c r="F2865" s="2">
        <v>501787160</v>
      </c>
      <c r="G2865" s="2" t="s">
        <v>41</v>
      </c>
      <c r="H2865" s="2" t="s">
        <v>398</v>
      </c>
      <c r="I2865" s="2" t="s">
        <v>399</v>
      </c>
      <c r="K2865" s="2" t="s">
        <v>400</v>
      </c>
      <c r="L2865" s="2" t="s">
        <v>41</v>
      </c>
      <c r="O2865" s="2" t="s">
        <v>283</v>
      </c>
      <c r="P2865" s="2" t="s">
        <v>401</v>
      </c>
      <c r="Q2865" s="2" t="s">
        <v>402</v>
      </c>
      <c r="R2865" s="2">
        <v>20</v>
      </c>
      <c r="S2865" s="2">
        <v>400</v>
      </c>
      <c r="T2865" s="2">
        <v>92</v>
      </c>
      <c r="U2865" s="2">
        <v>492</v>
      </c>
      <c r="V2865" s="2">
        <v>290</v>
      </c>
      <c r="W2865" s="5">
        <f t="shared" si="279"/>
        <v>0.27500000000000002</v>
      </c>
      <c r="Y2865" s="2" t="s">
        <v>3256</v>
      </c>
      <c r="Z2865" s="2" t="s">
        <v>46</v>
      </c>
      <c r="AA2865" s="2" t="s">
        <v>61</v>
      </c>
      <c r="AB2865" s="2" t="s">
        <v>403</v>
      </c>
      <c r="AE2865" s="2">
        <f t="shared" si="274"/>
        <v>0</v>
      </c>
      <c r="AI2865" s="2">
        <f t="shared" si="275"/>
        <v>0</v>
      </c>
      <c r="AJ2865" s="2">
        <f t="shared" si="276"/>
        <v>110</v>
      </c>
      <c r="AK2865" s="5">
        <f t="shared" si="280"/>
        <v>0.27500000000000002</v>
      </c>
    </row>
    <row r="2866" spans="1:37" x14ac:dyDescent="0.2">
      <c r="A2866" s="2">
        <v>2026</v>
      </c>
      <c r="B2866" s="2">
        <v>1</v>
      </c>
      <c r="C2866" s="2" t="s">
        <v>1569</v>
      </c>
      <c r="D2866" s="2" t="s">
        <v>109</v>
      </c>
      <c r="E2866" s="2" t="s">
        <v>723</v>
      </c>
      <c r="F2866" s="2">
        <v>500975914</v>
      </c>
      <c r="G2866" s="2" t="s">
        <v>41</v>
      </c>
      <c r="H2866" s="2" t="s">
        <v>1570</v>
      </c>
      <c r="I2866" s="2" t="s">
        <v>1571</v>
      </c>
      <c r="K2866" s="2" t="s">
        <v>100</v>
      </c>
      <c r="L2866" s="2" t="s">
        <v>41</v>
      </c>
      <c r="O2866" s="2" t="s">
        <v>283</v>
      </c>
      <c r="P2866" s="2" t="s">
        <v>401</v>
      </c>
      <c r="Q2866" s="2" t="s">
        <v>402</v>
      </c>
      <c r="R2866" s="2">
        <v>20</v>
      </c>
      <c r="S2866" s="2">
        <v>400</v>
      </c>
      <c r="T2866" s="2">
        <v>92</v>
      </c>
      <c r="U2866" s="2">
        <v>492</v>
      </c>
      <c r="V2866" s="2">
        <v>290</v>
      </c>
      <c r="W2866" s="5">
        <f t="shared" si="279"/>
        <v>0.27500000000000002</v>
      </c>
      <c r="Y2866" s="2" t="s">
        <v>3256</v>
      </c>
      <c r="Z2866" s="2" t="s">
        <v>46</v>
      </c>
      <c r="AA2866" s="2" t="s">
        <v>61</v>
      </c>
      <c r="AB2866" s="2" t="s">
        <v>403</v>
      </c>
      <c r="AE2866" s="2">
        <f t="shared" si="274"/>
        <v>0</v>
      </c>
      <c r="AI2866" s="2">
        <f t="shared" si="275"/>
        <v>0</v>
      </c>
      <c r="AJ2866" s="2">
        <f t="shared" si="276"/>
        <v>110</v>
      </c>
      <c r="AK2866" s="5">
        <f t="shared" si="280"/>
        <v>0.27500000000000002</v>
      </c>
    </row>
    <row r="2867" spans="1:37" x14ac:dyDescent="0.2">
      <c r="A2867" s="2">
        <v>2026</v>
      </c>
      <c r="B2867" s="2">
        <v>1</v>
      </c>
      <c r="C2867" s="2" t="s">
        <v>396</v>
      </c>
      <c r="D2867" s="2" t="s">
        <v>109</v>
      </c>
      <c r="E2867" s="2" t="s">
        <v>397</v>
      </c>
      <c r="F2867" s="2">
        <v>501787160</v>
      </c>
      <c r="G2867" s="2" t="s">
        <v>41</v>
      </c>
      <c r="H2867" s="2" t="s">
        <v>398</v>
      </c>
      <c r="I2867" s="2" t="s">
        <v>399</v>
      </c>
      <c r="K2867" s="2" t="s">
        <v>400</v>
      </c>
      <c r="L2867" s="2" t="s">
        <v>41</v>
      </c>
      <c r="O2867" s="2" t="s">
        <v>283</v>
      </c>
      <c r="P2867" s="2" t="s">
        <v>404</v>
      </c>
      <c r="Q2867" s="2" t="s">
        <v>405</v>
      </c>
      <c r="R2867" s="2">
        <v>20</v>
      </c>
      <c r="S2867" s="2">
        <v>400</v>
      </c>
      <c r="T2867" s="2">
        <v>92</v>
      </c>
      <c r="U2867" s="2">
        <v>492</v>
      </c>
      <c r="V2867" s="2">
        <v>290</v>
      </c>
      <c r="W2867" s="5">
        <f t="shared" si="279"/>
        <v>0.27500000000000002</v>
      </c>
      <c r="Y2867" s="2" t="s">
        <v>3256</v>
      </c>
      <c r="Z2867" s="2" t="s">
        <v>46</v>
      </c>
      <c r="AA2867" s="2" t="s">
        <v>61</v>
      </c>
      <c r="AB2867" s="2" t="s">
        <v>403</v>
      </c>
      <c r="AE2867" s="2">
        <f t="shared" si="274"/>
        <v>0</v>
      </c>
      <c r="AI2867" s="2">
        <f t="shared" si="275"/>
        <v>0</v>
      </c>
      <c r="AJ2867" s="2">
        <f t="shared" si="276"/>
        <v>110</v>
      </c>
      <c r="AK2867" s="5">
        <f t="shared" si="280"/>
        <v>0.27500000000000002</v>
      </c>
    </row>
    <row r="2868" spans="1:37" x14ac:dyDescent="0.2">
      <c r="A2868" s="2">
        <v>2026</v>
      </c>
      <c r="B2868" s="2">
        <v>1</v>
      </c>
      <c r="C2868" s="2" t="s">
        <v>37</v>
      </c>
      <c r="D2868" s="2" t="s">
        <v>38</v>
      </c>
      <c r="E2868" s="2" t="s">
        <v>39</v>
      </c>
      <c r="G2868" s="2" t="s">
        <v>40</v>
      </c>
      <c r="L2868" s="2" t="s">
        <v>41</v>
      </c>
      <c r="N2868" s="2" t="s">
        <v>2382</v>
      </c>
      <c r="O2868" s="2" t="s">
        <v>43</v>
      </c>
      <c r="P2868" s="2" t="s">
        <v>44</v>
      </c>
      <c r="Q2868" s="2" t="s">
        <v>45</v>
      </c>
      <c r="R2868" s="2">
        <v>1</v>
      </c>
      <c r="S2868" s="2">
        <v>25.2</v>
      </c>
      <c r="T2868" s="2">
        <v>5.7960000000000003</v>
      </c>
      <c r="U2868" s="2">
        <v>30.995999999999999</v>
      </c>
      <c r="V2868" s="2">
        <v>14.535</v>
      </c>
      <c r="W2868" s="5">
        <f t="shared" si="279"/>
        <v>0.42321428571428571</v>
      </c>
      <c r="Y2868" s="2" t="s">
        <v>3256</v>
      </c>
      <c r="Z2868" s="2" t="s">
        <v>46</v>
      </c>
      <c r="AA2868" s="2" t="s">
        <v>47</v>
      </c>
      <c r="AB2868" s="2" t="s">
        <v>48</v>
      </c>
      <c r="AE2868" s="2">
        <f t="shared" si="274"/>
        <v>0</v>
      </c>
      <c r="AF2868" s="2">
        <v>14.535</v>
      </c>
      <c r="AG2868" s="2">
        <v>25.2</v>
      </c>
      <c r="AI2868" s="2">
        <f t="shared" si="275"/>
        <v>0</v>
      </c>
      <c r="AJ2868" s="2">
        <f t="shared" si="276"/>
        <v>10.664999999999999</v>
      </c>
      <c r="AK2868" s="5">
        <f t="shared" si="280"/>
        <v>0.42321428571428571</v>
      </c>
    </row>
    <row r="2869" spans="1:37" x14ac:dyDescent="0.2">
      <c r="A2869" s="2">
        <v>2026</v>
      </c>
      <c r="B2869" s="2">
        <v>1</v>
      </c>
      <c r="C2869" s="2" t="s">
        <v>586</v>
      </c>
      <c r="D2869" s="2" t="s">
        <v>38</v>
      </c>
      <c r="E2869" s="2" t="s">
        <v>39</v>
      </c>
      <c r="F2869" s="2">
        <v>518281272</v>
      </c>
      <c r="G2869" s="2" t="s">
        <v>41</v>
      </c>
      <c r="H2869" s="2" t="s">
        <v>1110</v>
      </c>
      <c r="I2869" s="2" t="s">
        <v>1111</v>
      </c>
      <c r="K2869" s="2" t="s">
        <v>178</v>
      </c>
      <c r="L2869" s="2" t="s">
        <v>41</v>
      </c>
      <c r="N2869" s="2" t="s">
        <v>2383</v>
      </c>
      <c r="O2869" s="2" t="s">
        <v>43</v>
      </c>
      <c r="P2869" s="2" t="s">
        <v>1113</v>
      </c>
      <c r="Q2869" s="2" t="s">
        <v>1114</v>
      </c>
      <c r="R2869" s="2">
        <v>1</v>
      </c>
      <c r="S2869" s="2">
        <v>18.600000000000001</v>
      </c>
      <c r="T2869" s="2">
        <v>4.2779999999999996</v>
      </c>
      <c r="U2869" s="2">
        <v>22.878</v>
      </c>
      <c r="V2869" s="2">
        <v>10</v>
      </c>
      <c r="W2869" s="5">
        <f t="shared" si="279"/>
        <v>0.4623655913978495</v>
      </c>
      <c r="Y2869" s="2" t="s">
        <v>3256</v>
      </c>
      <c r="Z2869" s="2" t="s">
        <v>46</v>
      </c>
      <c r="AA2869" s="2" t="s">
        <v>47</v>
      </c>
      <c r="AB2869" s="2" t="s">
        <v>48</v>
      </c>
      <c r="AE2869" s="2">
        <f t="shared" si="274"/>
        <v>0</v>
      </c>
      <c r="AF2869" s="2">
        <v>10</v>
      </c>
      <c r="AG2869" s="2">
        <v>21</v>
      </c>
      <c r="AI2869" s="2">
        <f t="shared" si="275"/>
        <v>0</v>
      </c>
      <c r="AJ2869" s="2">
        <f t="shared" si="276"/>
        <v>8.6000000000000014</v>
      </c>
      <c r="AK2869" s="5">
        <f t="shared" si="280"/>
        <v>0.4623655913978495</v>
      </c>
    </row>
    <row r="2870" spans="1:37" x14ac:dyDescent="0.2">
      <c r="A2870" s="2">
        <v>2026</v>
      </c>
      <c r="B2870" s="2">
        <v>1</v>
      </c>
      <c r="C2870" s="2" t="s">
        <v>37</v>
      </c>
      <c r="D2870" s="2" t="s">
        <v>38</v>
      </c>
      <c r="E2870" s="2" t="s">
        <v>39</v>
      </c>
      <c r="G2870" s="2" t="s">
        <v>40</v>
      </c>
      <c r="L2870" s="2" t="s">
        <v>40</v>
      </c>
      <c r="N2870" s="2" t="s">
        <v>2384</v>
      </c>
      <c r="O2870" s="2" t="s">
        <v>43</v>
      </c>
      <c r="P2870" s="2" t="s">
        <v>159</v>
      </c>
      <c r="Q2870" s="2" t="s">
        <v>160</v>
      </c>
      <c r="R2870" s="2">
        <v>1</v>
      </c>
      <c r="S2870" s="2">
        <v>7</v>
      </c>
      <c r="T2870" s="2">
        <v>1.61</v>
      </c>
      <c r="U2870" s="2">
        <v>8.61</v>
      </c>
      <c r="V2870" s="2">
        <f>9.3*R2870</f>
        <v>9.3000000000000007</v>
      </c>
      <c r="W2870" s="5">
        <f t="shared" si="279"/>
        <v>-0.32857142857142868</v>
      </c>
      <c r="Y2870" s="2" t="s">
        <v>3256</v>
      </c>
      <c r="Z2870" s="2" t="s">
        <v>46</v>
      </c>
      <c r="AA2870" s="2" t="s">
        <v>47</v>
      </c>
      <c r="AB2870" s="2" t="s">
        <v>48</v>
      </c>
      <c r="AE2870" s="2">
        <f t="shared" si="274"/>
        <v>0</v>
      </c>
      <c r="AF2870" s="2">
        <v>9.3000000000000007</v>
      </c>
      <c r="AG2870" s="2">
        <v>21</v>
      </c>
      <c r="AI2870" s="2">
        <f t="shared" si="275"/>
        <v>0</v>
      </c>
      <c r="AJ2870" s="2">
        <f t="shared" si="276"/>
        <v>-2.3000000000000007</v>
      </c>
      <c r="AK2870" s="5">
        <f t="shared" si="280"/>
        <v>-0.32857142857142868</v>
      </c>
    </row>
    <row r="2871" spans="1:37" x14ac:dyDescent="0.2">
      <c r="A2871" s="2">
        <v>2026</v>
      </c>
      <c r="B2871" s="2">
        <v>1</v>
      </c>
      <c r="C2871" s="2" t="s">
        <v>611</v>
      </c>
      <c r="D2871" s="2" t="s">
        <v>109</v>
      </c>
      <c r="E2871" s="2" t="s">
        <v>39</v>
      </c>
      <c r="F2871" s="2">
        <v>504822187</v>
      </c>
      <c r="G2871" s="2" t="s">
        <v>110</v>
      </c>
      <c r="H2871" s="2" t="s">
        <v>612</v>
      </c>
      <c r="I2871" s="2" t="s">
        <v>613</v>
      </c>
      <c r="J2871" s="2">
        <v>966216853</v>
      </c>
      <c r="K2871" s="2" t="s">
        <v>465</v>
      </c>
      <c r="L2871" s="2" t="s">
        <v>41</v>
      </c>
      <c r="N2871" s="2" t="s">
        <v>2385</v>
      </c>
      <c r="O2871" s="2" t="s">
        <v>43</v>
      </c>
      <c r="P2871" s="2" t="s">
        <v>159</v>
      </c>
      <c r="Q2871" s="2" t="s">
        <v>160</v>
      </c>
      <c r="R2871" s="2">
        <v>1</v>
      </c>
      <c r="S2871" s="2">
        <v>18.600000000000001</v>
      </c>
      <c r="T2871" s="2">
        <v>4.2779999999999996</v>
      </c>
      <c r="U2871" s="2">
        <v>22.878</v>
      </c>
      <c r="V2871" s="2">
        <f>9.3*R2871</f>
        <v>9.3000000000000007</v>
      </c>
      <c r="W2871" s="5">
        <f t="shared" si="279"/>
        <v>0.5</v>
      </c>
      <c r="Y2871" s="2" t="s">
        <v>3256</v>
      </c>
      <c r="Z2871" s="2" t="s">
        <v>46</v>
      </c>
      <c r="AA2871" s="2" t="s">
        <v>47</v>
      </c>
      <c r="AB2871" s="2" t="s">
        <v>48</v>
      </c>
      <c r="AE2871" s="2">
        <f t="shared" si="274"/>
        <v>0</v>
      </c>
      <c r="AF2871" s="2">
        <v>9.3000000000000007</v>
      </c>
      <c r="AG2871" s="2">
        <v>21</v>
      </c>
      <c r="AI2871" s="2">
        <f t="shared" si="275"/>
        <v>0</v>
      </c>
      <c r="AJ2871" s="2">
        <f t="shared" si="276"/>
        <v>9.3000000000000007</v>
      </c>
      <c r="AK2871" s="5">
        <f t="shared" si="280"/>
        <v>0.5</v>
      </c>
    </row>
    <row r="2872" spans="1:37" x14ac:dyDescent="0.2">
      <c r="A2872" s="2">
        <v>2026</v>
      </c>
      <c r="B2872" s="2">
        <v>1</v>
      </c>
      <c r="C2872" s="2" t="s">
        <v>429</v>
      </c>
      <c r="D2872" s="2" t="s">
        <v>99</v>
      </c>
      <c r="E2872" s="2" t="s">
        <v>39</v>
      </c>
      <c r="F2872" s="2">
        <v>510613888</v>
      </c>
      <c r="G2872" s="2" t="s">
        <v>40</v>
      </c>
      <c r="H2872" s="2" t="s">
        <v>430</v>
      </c>
      <c r="I2872" s="2" t="s">
        <v>431</v>
      </c>
      <c r="K2872" s="2" t="s">
        <v>100</v>
      </c>
      <c r="L2872" s="2" t="s">
        <v>81</v>
      </c>
      <c r="O2872" s="2" t="s">
        <v>43</v>
      </c>
      <c r="P2872" s="2" t="s">
        <v>49</v>
      </c>
      <c r="Q2872" s="2" t="s">
        <v>50</v>
      </c>
      <c r="R2872" s="2">
        <v>1</v>
      </c>
      <c r="S2872" s="2">
        <v>12</v>
      </c>
      <c r="T2872" s="2">
        <v>2.76</v>
      </c>
      <c r="U2872" s="2">
        <v>14.76</v>
      </c>
      <c r="V2872" s="2">
        <f>6.6267*R2872</f>
        <v>6.6266999999999996</v>
      </c>
      <c r="W2872" s="5">
        <f t="shared" si="279"/>
        <v>0.44777500000000003</v>
      </c>
      <c r="Y2872" s="2" t="s">
        <v>3256</v>
      </c>
      <c r="Z2872" s="2" t="s">
        <v>46</v>
      </c>
      <c r="AA2872" s="2" t="s">
        <v>47</v>
      </c>
      <c r="AB2872" s="2" t="s">
        <v>48</v>
      </c>
      <c r="AE2872" s="2">
        <f t="shared" si="274"/>
        <v>0</v>
      </c>
      <c r="AF2872" s="2">
        <v>6.6266999999999996</v>
      </c>
      <c r="AG2872" s="2">
        <v>12</v>
      </c>
      <c r="AI2872" s="2">
        <f t="shared" si="275"/>
        <v>0</v>
      </c>
      <c r="AJ2872" s="2">
        <f t="shared" si="276"/>
        <v>5.3733000000000004</v>
      </c>
      <c r="AK2872" s="5">
        <f t="shared" si="280"/>
        <v>0.44777500000000003</v>
      </c>
    </row>
    <row r="2873" spans="1:37" x14ac:dyDescent="0.2">
      <c r="A2873" s="2">
        <v>2026</v>
      </c>
      <c r="B2873" s="2">
        <v>1</v>
      </c>
      <c r="C2873" s="2" t="s">
        <v>593</v>
      </c>
      <c r="D2873" s="2" t="s">
        <v>38</v>
      </c>
      <c r="E2873" s="2" t="s">
        <v>39</v>
      </c>
      <c r="F2873" s="2">
        <v>510339298</v>
      </c>
      <c r="G2873" s="2" t="s">
        <v>41</v>
      </c>
      <c r="H2873" s="2" t="s">
        <v>178</v>
      </c>
      <c r="I2873" s="2" t="s">
        <v>594</v>
      </c>
      <c r="K2873" s="2" t="s">
        <v>178</v>
      </c>
      <c r="L2873" s="2" t="s">
        <v>41</v>
      </c>
      <c r="O2873" s="2" t="s">
        <v>43</v>
      </c>
      <c r="P2873" s="2" t="s">
        <v>49</v>
      </c>
      <c r="Q2873" s="2" t="s">
        <v>50</v>
      </c>
      <c r="R2873" s="2">
        <v>4</v>
      </c>
      <c r="S2873" s="2">
        <v>52</v>
      </c>
      <c r="T2873" s="2">
        <v>11.96</v>
      </c>
      <c r="U2873" s="2">
        <v>63.96</v>
      </c>
      <c r="V2873" s="2">
        <f>6.6267*R2873</f>
        <v>26.506799999999998</v>
      </c>
      <c r="W2873" s="5">
        <f t="shared" si="279"/>
        <v>0.49025384615384621</v>
      </c>
      <c r="Y2873" s="2" t="s">
        <v>3256</v>
      </c>
      <c r="Z2873" s="2" t="s">
        <v>46</v>
      </c>
      <c r="AA2873" s="2" t="s">
        <v>47</v>
      </c>
      <c r="AB2873" s="2" t="s">
        <v>48</v>
      </c>
      <c r="AE2873" s="2">
        <f t="shared" si="274"/>
        <v>0</v>
      </c>
      <c r="AF2873" s="2">
        <v>6.6266999999999996</v>
      </c>
      <c r="AG2873" s="2">
        <v>12</v>
      </c>
      <c r="AI2873" s="2">
        <f t="shared" si="275"/>
        <v>0</v>
      </c>
      <c r="AJ2873" s="2">
        <f t="shared" si="276"/>
        <v>25.493200000000002</v>
      </c>
      <c r="AK2873" s="5">
        <f t="shared" si="280"/>
        <v>0.49025384615384621</v>
      </c>
    </row>
    <row r="2874" spans="1:37" x14ac:dyDescent="0.2">
      <c r="A2874" s="2">
        <v>2026</v>
      </c>
      <c r="B2874" s="2">
        <v>1</v>
      </c>
      <c r="C2874" s="2" t="s">
        <v>2386</v>
      </c>
      <c r="D2874" s="2" t="s">
        <v>109</v>
      </c>
      <c r="E2874" s="2" t="s">
        <v>39</v>
      </c>
      <c r="F2874" s="2">
        <v>503554952</v>
      </c>
      <c r="G2874" s="2" t="s">
        <v>41</v>
      </c>
      <c r="H2874" s="2" t="s">
        <v>2387</v>
      </c>
      <c r="I2874" s="2" t="s">
        <v>2388</v>
      </c>
      <c r="J2874" s="2">
        <v>963062174</v>
      </c>
      <c r="K2874" s="2" t="s">
        <v>422</v>
      </c>
      <c r="L2874" s="2" t="s">
        <v>41</v>
      </c>
      <c r="N2874" s="2" t="s">
        <v>2389</v>
      </c>
      <c r="O2874" s="2" t="s">
        <v>43</v>
      </c>
      <c r="P2874" s="2" t="s">
        <v>49</v>
      </c>
      <c r="Q2874" s="2" t="s">
        <v>50</v>
      </c>
      <c r="R2874" s="2">
        <v>2</v>
      </c>
      <c r="S2874" s="2">
        <v>26</v>
      </c>
      <c r="T2874" s="2">
        <v>5.98</v>
      </c>
      <c r="U2874" s="2">
        <v>31.98</v>
      </c>
      <c r="V2874" s="2">
        <f>6.6267*R2874</f>
        <v>13.253399999999999</v>
      </c>
      <c r="W2874" s="5">
        <f t="shared" si="279"/>
        <v>0.49025384615384621</v>
      </c>
      <c r="Y2874" s="2" t="s">
        <v>3256</v>
      </c>
      <c r="Z2874" s="2" t="s">
        <v>46</v>
      </c>
      <c r="AA2874" s="2" t="s">
        <v>47</v>
      </c>
      <c r="AB2874" s="2" t="s">
        <v>48</v>
      </c>
      <c r="AE2874" s="2">
        <f t="shared" si="274"/>
        <v>0</v>
      </c>
      <c r="AF2874" s="2">
        <v>6.6266999999999996</v>
      </c>
      <c r="AG2874" s="2">
        <v>12</v>
      </c>
      <c r="AI2874" s="2">
        <f t="shared" si="275"/>
        <v>0</v>
      </c>
      <c r="AJ2874" s="2">
        <f t="shared" si="276"/>
        <v>12.746600000000001</v>
      </c>
      <c r="AK2874" s="5">
        <f t="shared" si="280"/>
        <v>0.49025384615384621</v>
      </c>
    </row>
    <row r="2875" spans="1:37" x14ac:dyDescent="0.2">
      <c r="A2875" s="2">
        <v>2026</v>
      </c>
      <c r="B2875" s="2">
        <v>1</v>
      </c>
      <c r="C2875" s="2" t="s">
        <v>623</v>
      </c>
      <c r="D2875" s="2" t="s">
        <v>38</v>
      </c>
      <c r="E2875" s="2" t="s">
        <v>39</v>
      </c>
      <c r="F2875" s="2">
        <v>513759654</v>
      </c>
      <c r="G2875" s="2" t="s">
        <v>41</v>
      </c>
      <c r="H2875" s="2" t="s">
        <v>624</v>
      </c>
      <c r="I2875" s="2" t="s">
        <v>625</v>
      </c>
      <c r="K2875" s="2" t="s">
        <v>422</v>
      </c>
      <c r="L2875" s="2" t="s">
        <v>41</v>
      </c>
      <c r="O2875" s="2" t="s">
        <v>43</v>
      </c>
      <c r="P2875" s="2" t="s">
        <v>1373</v>
      </c>
      <c r="Q2875" s="2" t="s">
        <v>1374</v>
      </c>
      <c r="R2875" s="2">
        <v>2</v>
      </c>
      <c r="S2875" s="2">
        <v>56.4</v>
      </c>
      <c r="T2875" s="2">
        <v>12.972</v>
      </c>
      <c r="U2875" s="2">
        <v>69.372</v>
      </c>
      <c r="W2875" s="5">
        <f t="shared" si="279"/>
        <v>1</v>
      </c>
      <c r="Y2875" s="2" t="s">
        <v>3256</v>
      </c>
      <c r="Z2875" s="2" t="s">
        <v>46</v>
      </c>
      <c r="AA2875" s="2" t="s">
        <v>47</v>
      </c>
      <c r="AB2875" s="2" t="s">
        <v>48</v>
      </c>
      <c r="AE2875" s="2">
        <f t="shared" si="274"/>
        <v>0</v>
      </c>
      <c r="AI2875" s="2">
        <f t="shared" si="275"/>
        <v>0</v>
      </c>
      <c r="AJ2875" s="2">
        <f t="shared" si="276"/>
        <v>56.4</v>
      </c>
      <c r="AK2875" s="5">
        <f t="shared" si="280"/>
        <v>1</v>
      </c>
    </row>
    <row r="2876" spans="1:37" x14ac:dyDescent="0.2">
      <c r="A2876" s="2">
        <v>2026</v>
      </c>
      <c r="B2876" s="2">
        <v>1</v>
      </c>
      <c r="C2876" s="2" t="s">
        <v>623</v>
      </c>
      <c r="D2876" s="2" t="s">
        <v>38</v>
      </c>
      <c r="E2876" s="2" t="s">
        <v>39</v>
      </c>
      <c r="F2876" s="2">
        <v>513759654</v>
      </c>
      <c r="G2876" s="2" t="s">
        <v>41</v>
      </c>
      <c r="H2876" s="2" t="s">
        <v>624</v>
      </c>
      <c r="I2876" s="2" t="s">
        <v>625</v>
      </c>
      <c r="K2876" s="2" t="s">
        <v>422</v>
      </c>
      <c r="L2876" s="2" t="s">
        <v>41</v>
      </c>
      <c r="O2876" s="2" t="s">
        <v>43</v>
      </c>
      <c r="P2876" s="2" t="s">
        <v>597</v>
      </c>
      <c r="Q2876" s="2" t="s">
        <v>598</v>
      </c>
      <c r="R2876" s="2">
        <v>2</v>
      </c>
      <c r="S2876" s="2">
        <v>60</v>
      </c>
      <c r="T2876" s="2">
        <v>13.8</v>
      </c>
      <c r="U2876" s="2">
        <v>73.8</v>
      </c>
      <c r="W2876" s="5">
        <f t="shared" si="279"/>
        <v>1</v>
      </c>
      <c r="Y2876" s="2" t="s">
        <v>3256</v>
      </c>
      <c r="Z2876" s="2" t="s">
        <v>46</v>
      </c>
      <c r="AA2876" s="2" t="s">
        <v>47</v>
      </c>
      <c r="AB2876" s="2" t="s">
        <v>48</v>
      </c>
      <c r="AE2876" s="2">
        <f t="shared" si="274"/>
        <v>0</v>
      </c>
      <c r="AI2876" s="2">
        <f t="shared" si="275"/>
        <v>0</v>
      </c>
      <c r="AJ2876" s="2">
        <f t="shared" si="276"/>
        <v>60</v>
      </c>
      <c r="AK2876" s="5">
        <f t="shared" si="280"/>
        <v>1</v>
      </c>
    </row>
    <row r="2877" spans="1:37" x14ac:dyDescent="0.2">
      <c r="A2877" s="2">
        <v>2026</v>
      </c>
      <c r="B2877" s="2">
        <v>1</v>
      </c>
      <c r="C2877" s="2" t="s">
        <v>37</v>
      </c>
      <c r="D2877" s="2" t="s">
        <v>38</v>
      </c>
      <c r="E2877" s="2" t="s">
        <v>39</v>
      </c>
      <c r="G2877" s="2" t="s">
        <v>40</v>
      </c>
      <c r="O2877" s="2" t="s">
        <v>43</v>
      </c>
      <c r="P2877" s="2" t="s">
        <v>161</v>
      </c>
      <c r="Q2877" s="2" t="s">
        <v>162</v>
      </c>
      <c r="R2877" s="2">
        <v>1</v>
      </c>
      <c r="S2877" s="2">
        <v>4.5</v>
      </c>
      <c r="T2877" s="2">
        <v>1.0349999999999999</v>
      </c>
      <c r="U2877" s="2">
        <v>5.5350000000000001</v>
      </c>
      <c r="V2877" s="2">
        <f>3.7358*R2877</f>
        <v>3.7357999999999998</v>
      </c>
      <c r="W2877" s="5">
        <f t="shared" si="279"/>
        <v>0.16982222222222226</v>
      </c>
      <c r="Y2877" s="2" t="s">
        <v>3256</v>
      </c>
      <c r="Z2877" s="2" t="s">
        <v>46</v>
      </c>
      <c r="AA2877" s="2" t="s">
        <v>47</v>
      </c>
      <c r="AB2877" s="2" t="s">
        <v>48</v>
      </c>
      <c r="AE2877" s="2">
        <f t="shared" si="274"/>
        <v>0</v>
      </c>
      <c r="AF2877" s="2">
        <v>3.7357999999999998</v>
      </c>
      <c r="AG2877" s="2">
        <v>9</v>
      </c>
      <c r="AI2877" s="2">
        <f t="shared" si="275"/>
        <v>0</v>
      </c>
      <c r="AJ2877" s="2">
        <f t="shared" si="276"/>
        <v>0.76420000000000021</v>
      </c>
      <c r="AK2877" s="5">
        <f t="shared" si="280"/>
        <v>0.16982222222222226</v>
      </c>
    </row>
    <row r="2878" spans="1:37" x14ac:dyDescent="0.2">
      <c r="A2878" s="2">
        <v>2026</v>
      </c>
      <c r="B2878" s="2">
        <v>1</v>
      </c>
      <c r="C2878" s="2" t="s">
        <v>426</v>
      </c>
      <c r="D2878" s="2" t="s">
        <v>99</v>
      </c>
      <c r="E2878" s="2" t="s">
        <v>39</v>
      </c>
      <c r="F2878" s="2">
        <v>503523470</v>
      </c>
      <c r="G2878" s="2" t="s">
        <v>40</v>
      </c>
      <c r="H2878" s="2" t="s">
        <v>427</v>
      </c>
      <c r="I2878" s="2" t="s">
        <v>428</v>
      </c>
      <c r="K2878" s="2" t="s">
        <v>202</v>
      </c>
      <c r="L2878" s="2" t="s">
        <v>81</v>
      </c>
      <c r="O2878" s="2" t="s">
        <v>43</v>
      </c>
      <c r="P2878" s="2" t="s">
        <v>217</v>
      </c>
      <c r="Q2878" s="2" t="s">
        <v>218</v>
      </c>
      <c r="R2878" s="2">
        <v>1</v>
      </c>
      <c r="S2878" s="2">
        <v>17.399999999999999</v>
      </c>
      <c r="T2878" s="2">
        <v>4.0019999999999998</v>
      </c>
      <c r="U2878" s="2">
        <v>21.402000000000001</v>
      </c>
      <c r="W2878" s="5">
        <f t="shared" si="279"/>
        <v>1</v>
      </c>
      <c r="Y2878" s="2" t="s">
        <v>3256</v>
      </c>
      <c r="Z2878" s="2" t="s">
        <v>46</v>
      </c>
      <c r="AA2878" s="2" t="s">
        <v>57</v>
      </c>
      <c r="AB2878" s="2" t="s">
        <v>58</v>
      </c>
      <c r="AE2878" s="2">
        <f t="shared" si="274"/>
        <v>0</v>
      </c>
      <c r="AI2878" s="2">
        <f t="shared" si="275"/>
        <v>0</v>
      </c>
      <c r="AJ2878" s="2">
        <f t="shared" si="276"/>
        <v>17.399999999999999</v>
      </c>
      <c r="AK2878" s="5">
        <f t="shared" si="280"/>
        <v>1</v>
      </c>
    </row>
    <row r="2879" spans="1:37" x14ac:dyDescent="0.2">
      <c r="A2879" s="2">
        <v>2026</v>
      </c>
      <c r="B2879" s="2">
        <v>1</v>
      </c>
      <c r="C2879" s="2" t="s">
        <v>426</v>
      </c>
      <c r="D2879" s="2" t="s">
        <v>99</v>
      </c>
      <c r="E2879" s="2" t="s">
        <v>39</v>
      </c>
      <c r="F2879" s="2">
        <v>503523470</v>
      </c>
      <c r="G2879" s="2" t="s">
        <v>40</v>
      </c>
      <c r="H2879" s="2" t="s">
        <v>427</v>
      </c>
      <c r="I2879" s="2" t="s">
        <v>428</v>
      </c>
      <c r="K2879" s="2" t="s">
        <v>202</v>
      </c>
      <c r="L2879" s="2" t="s">
        <v>81</v>
      </c>
      <c r="O2879" s="2" t="s">
        <v>43</v>
      </c>
      <c r="P2879" s="2" t="s">
        <v>219</v>
      </c>
      <c r="Q2879" s="2" t="s">
        <v>220</v>
      </c>
      <c r="R2879" s="2">
        <v>1</v>
      </c>
      <c r="S2879" s="2">
        <v>21</v>
      </c>
      <c r="T2879" s="2">
        <v>4.83</v>
      </c>
      <c r="U2879" s="2">
        <v>25.83</v>
      </c>
      <c r="W2879" s="5">
        <f t="shared" si="279"/>
        <v>1</v>
      </c>
      <c r="Y2879" s="2" t="s">
        <v>3256</v>
      </c>
      <c r="Z2879" s="2" t="s">
        <v>46</v>
      </c>
      <c r="AA2879" s="2" t="s">
        <v>57</v>
      </c>
      <c r="AB2879" s="2" t="s">
        <v>58</v>
      </c>
      <c r="AE2879" s="2">
        <f t="shared" si="274"/>
        <v>0</v>
      </c>
      <c r="AI2879" s="2">
        <f t="shared" si="275"/>
        <v>0</v>
      </c>
      <c r="AJ2879" s="2">
        <f t="shared" si="276"/>
        <v>21</v>
      </c>
      <c r="AK2879" s="5">
        <f t="shared" si="280"/>
        <v>1</v>
      </c>
    </row>
    <row r="2880" spans="1:37" x14ac:dyDescent="0.2">
      <c r="A2880" s="2">
        <v>2026</v>
      </c>
      <c r="B2880" s="2">
        <v>1</v>
      </c>
      <c r="C2880" s="2" t="s">
        <v>426</v>
      </c>
      <c r="D2880" s="2" t="s">
        <v>99</v>
      </c>
      <c r="E2880" s="2" t="s">
        <v>39</v>
      </c>
      <c r="F2880" s="2">
        <v>503523470</v>
      </c>
      <c r="G2880" s="2" t="s">
        <v>40</v>
      </c>
      <c r="H2880" s="2" t="s">
        <v>427</v>
      </c>
      <c r="I2880" s="2" t="s">
        <v>428</v>
      </c>
      <c r="K2880" s="2" t="s">
        <v>202</v>
      </c>
      <c r="L2880" s="2" t="s">
        <v>81</v>
      </c>
      <c r="O2880" s="2" t="s">
        <v>43</v>
      </c>
      <c r="P2880" s="2" t="s">
        <v>231</v>
      </c>
      <c r="Q2880" s="2" t="s">
        <v>232</v>
      </c>
      <c r="R2880" s="2">
        <v>1</v>
      </c>
      <c r="S2880" s="2">
        <v>12</v>
      </c>
      <c r="T2880" s="2">
        <v>2.76</v>
      </c>
      <c r="U2880" s="2">
        <v>14.76</v>
      </c>
      <c r="W2880" s="5">
        <f t="shared" si="279"/>
        <v>1</v>
      </c>
      <c r="Y2880" s="2" t="s">
        <v>3256</v>
      </c>
      <c r="Z2880" s="2" t="s">
        <v>46</v>
      </c>
      <c r="AA2880" s="2" t="s">
        <v>57</v>
      </c>
      <c r="AB2880" s="2" t="s">
        <v>58</v>
      </c>
      <c r="AE2880" s="2">
        <f t="shared" si="274"/>
        <v>0</v>
      </c>
      <c r="AI2880" s="2">
        <f t="shared" si="275"/>
        <v>0</v>
      </c>
      <c r="AJ2880" s="2">
        <f t="shared" si="276"/>
        <v>12</v>
      </c>
      <c r="AK2880" s="5">
        <f t="shared" si="280"/>
        <v>1</v>
      </c>
    </row>
    <row r="2881" spans="1:37" x14ac:dyDescent="0.2">
      <c r="A2881" s="2">
        <v>2026</v>
      </c>
      <c r="B2881" s="2">
        <v>1</v>
      </c>
      <c r="C2881" s="2" t="s">
        <v>337</v>
      </c>
      <c r="D2881" s="2" t="s">
        <v>109</v>
      </c>
      <c r="E2881" s="2" t="s">
        <v>39</v>
      </c>
      <c r="F2881" s="2">
        <v>503373494</v>
      </c>
      <c r="G2881" s="2" t="s">
        <v>291</v>
      </c>
      <c r="H2881" s="2" t="s">
        <v>338</v>
      </c>
      <c r="I2881" s="2" t="s">
        <v>339</v>
      </c>
      <c r="J2881" s="2">
        <v>965852001</v>
      </c>
      <c r="K2881" s="2" t="s">
        <v>340</v>
      </c>
      <c r="L2881" s="2" t="s">
        <v>81</v>
      </c>
      <c r="O2881" s="2" t="s">
        <v>43</v>
      </c>
      <c r="P2881" s="2" t="s">
        <v>233</v>
      </c>
      <c r="Q2881" s="2" t="s">
        <v>234</v>
      </c>
      <c r="R2881" s="2">
        <v>2</v>
      </c>
      <c r="S2881" s="2">
        <v>25.2</v>
      </c>
      <c r="T2881" s="2">
        <v>5.7960000000000003</v>
      </c>
      <c r="U2881" s="2">
        <v>30.995999999999999</v>
      </c>
      <c r="V2881" s="2">
        <f>5.9067*R2881</f>
        <v>11.8134</v>
      </c>
      <c r="W2881" s="5">
        <f t="shared" si="279"/>
        <v>0.53121428571428575</v>
      </c>
      <c r="Y2881" s="2" t="s">
        <v>3256</v>
      </c>
      <c r="Z2881" s="2" t="s">
        <v>46</v>
      </c>
      <c r="AA2881" s="2" t="s">
        <v>57</v>
      </c>
      <c r="AB2881" s="2" t="s">
        <v>58</v>
      </c>
      <c r="AE2881" s="2">
        <f t="shared" si="274"/>
        <v>0</v>
      </c>
      <c r="AF2881" s="2">
        <v>5.9066999999999998</v>
      </c>
      <c r="AG2881" s="2">
        <v>12.6</v>
      </c>
      <c r="AI2881" s="2">
        <f t="shared" si="275"/>
        <v>0</v>
      </c>
      <c r="AJ2881" s="2">
        <f t="shared" si="276"/>
        <v>13.3866</v>
      </c>
      <c r="AK2881" s="5">
        <f t="shared" si="280"/>
        <v>0.53121428571428575</v>
      </c>
    </row>
    <row r="2882" spans="1:37" x14ac:dyDescent="0.2">
      <c r="A2882" s="2">
        <v>2026</v>
      </c>
      <c r="B2882" s="2">
        <v>1</v>
      </c>
      <c r="C2882" s="2" t="s">
        <v>771</v>
      </c>
      <c r="D2882" s="2" t="s">
        <v>38</v>
      </c>
      <c r="F2882" s="2">
        <v>513686231</v>
      </c>
      <c r="G2882" s="2" t="s">
        <v>291</v>
      </c>
      <c r="H2882" s="2" t="s">
        <v>772</v>
      </c>
      <c r="I2882" s="2" t="s">
        <v>773</v>
      </c>
      <c r="K2882" s="2" t="s">
        <v>484</v>
      </c>
      <c r="L2882" s="2" t="s">
        <v>81</v>
      </c>
      <c r="N2882" s="2" t="s">
        <v>2390</v>
      </c>
      <c r="O2882" s="2" t="s">
        <v>43</v>
      </c>
      <c r="P2882" s="2" t="s">
        <v>233</v>
      </c>
      <c r="Q2882" s="2" t="s">
        <v>234</v>
      </c>
      <c r="R2882" s="2">
        <v>5</v>
      </c>
      <c r="S2882" s="2">
        <v>56.7</v>
      </c>
      <c r="T2882" s="2">
        <v>13.041</v>
      </c>
      <c r="U2882" s="2">
        <v>69.741</v>
      </c>
      <c r="V2882" s="2">
        <v>29.5335</v>
      </c>
      <c r="W2882" s="5">
        <f t="shared" si="279"/>
        <v>0.47912698412698418</v>
      </c>
      <c r="Y2882" s="2" t="s">
        <v>3256</v>
      </c>
      <c r="Z2882" s="2" t="s">
        <v>46</v>
      </c>
      <c r="AA2882" s="2" t="s">
        <v>57</v>
      </c>
      <c r="AB2882" s="2" t="s">
        <v>58</v>
      </c>
      <c r="AE2882" s="2">
        <f t="shared" si="274"/>
        <v>0</v>
      </c>
      <c r="AF2882" s="2">
        <v>5.9066999999999998</v>
      </c>
      <c r="AG2882" s="2">
        <v>12.6</v>
      </c>
      <c r="AI2882" s="2">
        <f t="shared" si="275"/>
        <v>0</v>
      </c>
      <c r="AJ2882" s="2">
        <f t="shared" si="276"/>
        <v>27.166500000000003</v>
      </c>
      <c r="AK2882" s="5">
        <f t="shared" si="280"/>
        <v>0.47912698412698418</v>
      </c>
    </row>
    <row r="2883" spans="1:37" x14ac:dyDescent="0.2">
      <c r="A2883" s="2">
        <v>2026</v>
      </c>
      <c r="B2883" s="2">
        <v>1</v>
      </c>
      <c r="C2883" s="2" t="s">
        <v>426</v>
      </c>
      <c r="D2883" s="2" t="s">
        <v>99</v>
      </c>
      <c r="E2883" s="2" t="s">
        <v>39</v>
      </c>
      <c r="F2883" s="2">
        <v>503523470</v>
      </c>
      <c r="G2883" s="2" t="s">
        <v>40</v>
      </c>
      <c r="H2883" s="2" t="s">
        <v>427</v>
      </c>
      <c r="I2883" s="2" t="s">
        <v>428</v>
      </c>
      <c r="K2883" s="2" t="s">
        <v>202</v>
      </c>
      <c r="L2883" s="2" t="s">
        <v>81</v>
      </c>
      <c r="O2883" s="2" t="s">
        <v>43</v>
      </c>
      <c r="P2883" s="2" t="s">
        <v>233</v>
      </c>
      <c r="Q2883" s="2" t="s">
        <v>234</v>
      </c>
      <c r="R2883" s="2">
        <v>2</v>
      </c>
      <c r="S2883" s="2">
        <v>25.2</v>
      </c>
      <c r="T2883" s="2">
        <v>5.7960000000000003</v>
      </c>
      <c r="U2883" s="2">
        <v>30.995999999999999</v>
      </c>
      <c r="V2883" s="2">
        <f>5.9067*R2883</f>
        <v>11.8134</v>
      </c>
      <c r="W2883" s="5">
        <f t="shared" ref="W2883:W2914" si="281">(S2883-V2883)/S2883</f>
        <v>0.53121428571428575</v>
      </c>
      <c r="Y2883" s="2" t="s">
        <v>3256</v>
      </c>
      <c r="Z2883" s="2" t="s">
        <v>46</v>
      </c>
      <c r="AA2883" s="2" t="s">
        <v>57</v>
      </c>
      <c r="AB2883" s="2" t="s">
        <v>58</v>
      </c>
      <c r="AE2883" s="2">
        <f t="shared" ref="AE2883:AE2946" si="282">AI2883</f>
        <v>0</v>
      </c>
      <c r="AF2883" s="2">
        <v>5.9066999999999998</v>
      </c>
      <c r="AG2883" s="2">
        <v>12.6</v>
      </c>
      <c r="AI2883" s="2">
        <f t="shared" ref="AI2883:AI2946" si="283">AH2883*S2883</f>
        <v>0</v>
      </c>
      <c r="AJ2883" s="2">
        <f t="shared" ref="AJ2883:AJ2946" si="284">S2883-V2883</f>
        <v>13.3866</v>
      </c>
      <c r="AK2883" s="5">
        <f t="shared" si="280"/>
        <v>0.53121428571428575</v>
      </c>
    </row>
    <row r="2884" spans="1:37" x14ac:dyDescent="0.2">
      <c r="A2884" s="2">
        <v>2026</v>
      </c>
      <c r="B2884" s="2">
        <v>1</v>
      </c>
      <c r="C2884" s="2" t="s">
        <v>337</v>
      </c>
      <c r="D2884" s="2" t="s">
        <v>109</v>
      </c>
      <c r="E2884" s="2" t="s">
        <v>39</v>
      </c>
      <c r="F2884" s="2">
        <v>503373494</v>
      </c>
      <c r="G2884" s="2" t="s">
        <v>291</v>
      </c>
      <c r="H2884" s="2" t="s">
        <v>338</v>
      </c>
      <c r="I2884" s="2" t="s">
        <v>339</v>
      </c>
      <c r="J2884" s="2">
        <v>965852001</v>
      </c>
      <c r="K2884" s="2" t="s">
        <v>340</v>
      </c>
      <c r="L2884" s="2" t="s">
        <v>81</v>
      </c>
      <c r="O2884" s="2" t="s">
        <v>43</v>
      </c>
      <c r="P2884" s="2" t="s">
        <v>235</v>
      </c>
      <c r="Q2884" s="2" t="s">
        <v>236</v>
      </c>
      <c r="R2884" s="2">
        <v>2</v>
      </c>
      <c r="S2884" s="2">
        <v>28.8</v>
      </c>
      <c r="T2884" s="2">
        <v>6.6240000000000014</v>
      </c>
      <c r="U2884" s="2">
        <v>35.423999999999999</v>
      </c>
      <c r="V2884" s="2">
        <f>7.2217*R2884</f>
        <v>14.4434</v>
      </c>
      <c r="W2884" s="5">
        <f t="shared" si="281"/>
        <v>0.49849305555555556</v>
      </c>
      <c r="Y2884" s="2" t="s">
        <v>3256</v>
      </c>
      <c r="Z2884" s="2" t="s">
        <v>46</v>
      </c>
      <c r="AA2884" s="2" t="s">
        <v>57</v>
      </c>
      <c r="AB2884" s="2" t="s">
        <v>58</v>
      </c>
      <c r="AE2884" s="2">
        <f t="shared" si="282"/>
        <v>0</v>
      </c>
      <c r="AF2884" s="2">
        <v>7.2217000000000002</v>
      </c>
      <c r="AG2884" s="2">
        <v>14.4</v>
      </c>
      <c r="AI2884" s="2">
        <f t="shared" si="283"/>
        <v>0</v>
      </c>
      <c r="AJ2884" s="2">
        <f t="shared" si="284"/>
        <v>14.3566</v>
      </c>
      <c r="AK2884" s="5">
        <f t="shared" si="280"/>
        <v>0.49849305555555556</v>
      </c>
    </row>
    <row r="2885" spans="1:37" x14ac:dyDescent="0.2">
      <c r="A2885" s="2">
        <v>2026</v>
      </c>
      <c r="B2885" s="2">
        <v>1</v>
      </c>
      <c r="C2885" s="2" t="s">
        <v>426</v>
      </c>
      <c r="D2885" s="2" t="s">
        <v>99</v>
      </c>
      <c r="E2885" s="2" t="s">
        <v>39</v>
      </c>
      <c r="F2885" s="2">
        <v>503523470</v>
      </c>
      <c r="G2885" s="2" t="s">
        <v>40</v>
      </c>
      <c r="H2885" s="2" t="s">
        <v>427</v>
      </c>
      <c r="I2885" s="2" t="s">
        <v>428</v>
      </c>
      <c r="K2885" s="2" t="s">
        <v>202</v>
      </c>
      <c r="L2885" s="2" t="s">
        <v>81</v>
      </c>
      <c r="O2885" s="2" t="s">
        <v>43</v>
      </c>
      <c r="P2885" s="2" t="s">
        <v>235</v>
      </c>
      <c r="Q2885" s="2" t="s">
        <v>236</v>
      </c>
      <c r="R2885" s="2">
        <v>2</v>
      </c>
      <c r="S2885" s="2">
        <v>28.8</v>
      </c>
      <c r="T2885" s="2">
        <v>6.6240000000000014</v>
      </c>
      <c r="U2885" s="2">
        <v>35.423999999999999</v>
      </c>
      <c r="V2885" s="2">
        <f>7.2217*R2885</f>
        <v>14.4434</v>
      </c>
      <c r="W2885" s="5">
        <f t="shared" si="281"/>
        <v>0.49849305555555556</v>
      </c>
      <c r="Y2885" s="2" t="s">
        <v>3256</v>
      </c>
      <c r="Z2885" s="2" t="s">
        <v>46</v>
      </c>
      <c r="AA2885" s="2" t="s">
        <v>57</v>
      </c>
      <c r="AB2885" s="2" t="s">
        <v>58</v>
      </c>
      <c r="AE2885" s="2">
        <f t="shared" si="282"/>
        <v>0</v>
      </c>
      <c r="AF2885" s="2">
        <v>7.2217000000000002</v>
      </c>
      <c r="AG2885" s="2">
        <v>14.4</v>
      </c>
      <c r="AI2885" s="2">
        <f t="shared" si="283"/>
        <v>0</v>
      </c>
      <c r="AJ2885" s="2">
        <f t="shared" si="284"/>
        <v>14.3566</v>
      </c>
      <c r="AK2885" s="5">
        <f t="shared" si="280"/>
        <v>0.49849305555555556</v>
      </c>
    </row>
    <row r="2886" spans="1:37" x14ac:dyDescent="0.2">
      <c r="A2886" s="2">
        <v>2026</v>
      </c>
      <c r="B2886" s="2">
        <v>1</v>
      </c>
      <c r="C2886" s="2" t="s">
        <v>337</v>
      </c>
      <c r="D2886" s="2" t="s">
        <v>109</v>
      </c>
      <c r="E2886" s="2" t="s">
        <v>39</v>
      </c>
      <c r="F2886" s="2">
        <v>503373494</v>
      </c>
      <c r="G2886" s="2" t="s">
        <v>291</v>
      </c>
      <c r="H2886" s="2" t="s">
        <v>338</v>
      </c>
      <c r="I2886" s="2" t="s">
        <v>339</v>
      </c>
      <c r="J2886" s="2">
        <v>965852001</v>
      </c>
      <c r="K2886" s="2" t="s">
        <v>340</v>
      </c>
      <c r="L2886" s="2" t="s">
        <v>81</v>
      </c>
      <c r="O2886" s="2" t="s">
        <v>43</v>
      </c>
      <c r="P2886" s="2" t="s">
        <v>237</v>
      </c>
      <c r="Q2886" s="2" t="s">
        <v>238</v>
      </c>
      <c r="R2886" s="2">
        <v>2</v>
      </c>
      <c r="S2886" s="2">
        <v>34.799999999999997</v>
      </c>
      <c r="T2886" s="2">
        <v>8.0039999999999996</v>
      </c>
      <c r="U2886" s="2">
        <v>42.803999999999988</v>
      </c>
      <c r="W2886" s="5">
        <f t="shared" si="281"/>
        <v>1</v>
      </c>
      <c r="Y2886" s="2" t="s">
        <v>3256</v>
      </c>
      <c r="Z2886" s="2" t="s">
        <v>46</v>
      </c>
      <c r="AA2886" s="2" t="s">
        <v>57</v>
      </c>
      <c r="AB2886" s="2" t="s">
        <v>58</v>
      </c>
      <c r="AE2886" s="2">
        <f t="shared" si="282"/>
        <v>0</v>
      </c>
      <c r="AI2886" s="2">
        <f t="shared" si="283"/>
        <v>0</v>
      </c>
      <c r="AJ2886" s="2">
        <f t="shared" si="284"/>
        <v>34.799999999999997</v>
      </c>
      <c r="AK2886" s="5">
        <f t="shared" si="280"/>
        <v>1</v>
      </c>
    </row>
    <row r="2887" spans="1:37" x14ac:dyDescent="0.2">
      <c r="A2887" s="2">
        <v>2026</v>
      </c>
      <c r="B2887" s="2">
        <v>1</v>
      </c>
      <c r="C2887" s="2" t="s">
        <v>771</v>
      </c>
      <c r="D2887" s="2" t="s">
        <v>38</v>
      </c>
      <c r="F2887" s="2">
        <v>513686231</v>
      </c>
      <c r="G2887" s="2" t="s">
        <v>291</v>
      </c>
      <c r="H2887" s="2" t="s">
        <v>772</v>
      </c>
      <c r="I2887" s="2" t="s">
        <v>773</v>
      </c>
      <c r="K2887" s="2" t="s">
        <v>484</v>
      </c>
      <c r="L2887" s="2" t="s">
        <v>81</v>
      </c>
      <c r="N2887" s="2" t="s">
        <v>2390</v>
      </c>
      <c r="O2887" s="2" t="s">
        <v>43</v>
      </c>
      <c r="P2887" s="2" t="s">
        <v>237</v>
      </c>
      <c r="Q2887" s="2" t="s">
        <v>238</v>
      </c>
      <c r="R2887" s="2">
        <v>10</v>
      </c>
      <c r="S2887" s="2">
        <v>176.4</v>
      </c>
      <c r="T2887" s="2">
        <v>40.572000000000003</v>
      </c>
      <c r="U2887" s="2">
        <v>216.97200000000001</v>
      </c>
      <c r="V2887" s="2">
        <v>90.75</v>
      </c>
      <c r="W2887" s="5">
        <f t="shared" si="281"/>
        <v>0.48554421768707484</v>
      </c>
      <c r="Y2887" s="2" t="s">
        <v>3256</v>
      </c>
      <c r="Z2887" s="2" t="s">
        <v>46</v>
      </c>
      <c r="AA2887" s="2" t="s">
        <v>57</v>
      </c>
      <c r="AB2887" s="2" t="s">
        <v>58</v>
      </c>
      <c r="AE2887" s="2">
        <f t="shared" si="282"/>
        <v>0</v>
      </c>
      <c r="AF2887" s="2">
        <v>9.0749999999999993</v>
      </c>
      <c r="AI2887" s="2">
        <f t="shared" si="283"/>
        <v>0</v>
      </c>
      <c r="AJ2887" s="2">
        <f t="shared" si="284"/>
        <v>85.65</v>
      </c>
      <c r="AK2887" s="5">
        <f t="shared" si="280"/>
        <v>0.48554421768707484</v>
      </c>
    </row>
    <row r="2888" spans="1:37" x14ac:dyDescent="0.2">
      <c r="A2888" s="2">
        <v>2026</v>
      </c>
      <c r="B2888" s="2">
        <v>1</v>
      </c>
      <c r="C2888" s="2" t="s">
        <v>426</v>
      </c>
      <c r="D2888" s="2" t="s">
        <v>99</v>
      </c>
      <c r="E2888" s="2" t="s">
        <v>39</v>
      </c>
      <c r="F2888" s="2">
        <v>503523470</v>
      </c>
      <c r="G2888" s="2" t="s">
        <v>40</v>
      </c>
      <c r="H2888" s="2" t="s">
        <v>427</v>
      </c>
      <c r="I2888" s="2" t="s">
        <v>428</v>
      </c>
      <c r="K2888" s="2" t="s">
        <v>202</v>
      </c>
      <c r="L2888" s="2" t="s">
        <v>81</v>
      </c>
      <c r="O2888" s="2" t="s">
        <v>43</v>
      </c>
      <c r="P2888" s="2" t="s">
        <v>237</v>
      </c>
      <c r="Q2888" s="2" t="s">
        <v>238</v>
      </c>
      <c r="R2888" s="2">
        <v>2</v>
      </c>
      <c r="S2888" s="2">
        <v>34.799999999999997</v>
      </c>
      <c r="T2888" s="2">
        <v>8.0039999999999996</v>
      </c>
      <c r="U2888" s="2">
        <v>42.803999999999988</v>
      </c>
      <c r="W2888" s="5">
        <f t="shared" si="281"/>
        <v>1</v>
      </c>
      <c r="Y2888" s="2" t="s">
        <v>3256</v>
      </c>
      <c r="Z2888" s="2" t="s">
        <v>46</v>
      </c>
      <c r="AA2888" s="2" t="s">
        <v>57</v>
      </c>
      <c r="AB2888" s="2" t="s">
        <v>58</v>
      </c>
      <c r="AE2888" s="2">
        <f t="shared" si="282"/>
        <v>0</v>
      </c>
      <c r="AI2888" s="2">
        <f t="shared" si="283"/>
        <v>0</v>
      </c>
      <c r="AJ2888" s="2">
        <f t="shared" si="284"/>
        <v>34.799999999999997</v>
      </c>
      <c r="AK2888" s="5">
        <f t="shared" si="280"/>
        <v>1</v>
      </c>
    </row>
    <row r="2889" spans="1:37" x14ac:dyDescent="0.2">
      <c r="A2889" s="2">
        <v>2026</v>
      </c>
      <c r="B2889" s="2">
        <v>1</v>
      </c>
      <c r="C2889" s="2" t="s">
        <v>337</v>
      </c>
      <c r="D2889" s="2" t="s">
        <v>109</v>
      </c>
      <c r="E2889" s="2" t="s">
        <v>39</v>
      </c>
      <c r="F2889" s="2">
        <v>503373494</v>
      </c>
      <c r="G2889" s="2" t="s">
        <v>291</v>
      </c>
      <c r="H2889" s="2" t="s">
        <v>338</v>
      </c>
      <c r="I2889" s="2" t="s">
        <v>339</v>
      </c>
      <c r="J2889" s="2">
        <v>965852001</v>
      </c>
      <c r="K2889" s="2" t="s">
        <v>340</v>
      </c>
      <c r="L2889" s="2" t="s">
        <v>81</v>
      </c>
      <c r="O2889" s="2" t="s">
        <v>43</v>
      </c>
      <c r="P2889" s="2" t="s">
        <v>239</v>
      </c>
      <c r="Q2889" s="2" t="s">
        <v>240</v>
      </c>
      <c r="R2889" s="2">
        <v>2</v>
      </c>
      <c r="S2889" s="2">
        <v>42</v>
      </c>
      <c r="T2889" s="2">
        <v>9.66</v>
      </c>
      <c r="U2889" s="2">
        <v>51.66</v>
      </c>
      <c r="W2889" s="5">
        <f t="shared" si="281"/>
        <v>1</v>
      </c>
      <c r="Y2889" s="2" t="s">
        <v>3256</v>
      </c>
      <c r="Z2889" s="2" t="s">
        <v>46</v>
      </c>
      <c r="AA2889" s="2" t="s">
        <v>57</v>
      </c>
      <c r="AB2889" s="2" t="s">
        <v>58</v>
      </c>
      <c r="AE2889" s="2">
        <f t="shared" si="282"/>
        <v>0</v>
      </c>
      <c r="AI2889" s="2">
        <f t="shared" si="283"/>
        <v>0</v>
      </c>
      <c r="AJ2889" s="2">
        <f t="shared" si="284"/>
        <v>42</v>
      </c>
      <c r="AK2889" s="5">
        <f t="shared" si="280"/>
        <v>1</v>
      </c>
    </row>
    <row r="2890" spans="1:37" x14ac:dyDescent="0.2">
      <c r="A2890" s="2">
        <v>2026</v>
      </c>
      <c r="B2890" s="2">
        <v>1</v>
      </c>
      <c r="C2890" s="2" t="s">
        <v>771</v>
      </c>
      <c r="D2890" s="2" t="s">
        <v>38</v>
      </c>
      <c r="F2890" s="2">
        <v>513686231</v>
      </c>
      <c r="G2890" s="2" t="s">
        <v>291</v>
      </c>
      <c r="H2890" s="2" t="s">
        <v>772</v>
      </c>
      <c r="I2890" s="2" t="s">
        <v>773</v>
      </c>
      <c r="K2890" s="2" t="s">
        <v>484</v>
      </c>
      <c r="L2890" s="2" t="s">
        <v>81</v>
      </c>
      <c r="N2890" s="2" t="s">
        <v>2390</v>
      </c>
      <c r="O2890" s="2" t="s">
        <v>43</v>
      </c>
      <c r="P2890" s="2" t="s">
        <v>239</v>
      </c>
      <c r="Q2890" s="2" t="s">
        <v>240</v>
      </c>
      <c r="R2890" s="2">
        <v>4</v>
      </c>
      <c r="S2890" s="2">
        <v>85.92</v>
      </c>
      <c r="T2890" s="2">
        <v>19.761600000000001</v>
      </c>
      <c r="U2890" s="2">
        <v>105.6816</v>
      </c>
      <c r="V2890" s="2">
        <v>44.18</v>
      </c>
      <c r="W2890" s="5">
        <f t="shared" si="281"/>
        <v>0.48580074487895719</v>
      </c>
      <c r="Y2890" s="2" t="s">
        <v>3256</v>
      </c>
      <c r="Z2890" s="2" t="s">
        <v>46</v>
      </c>
      <c r="AA2890" s="2" t="s">
        <v>57</v>
      </c>
      <c r="AB2890" s="2" t="s">
        <v>58</v>
      </c>
      <c r="AE2890" s="2">
        <f t="shared" si="282"/>
        <v>0</v>
      </c>
      <c r="AF2890" s="2">
        <v>11.045</v>
      </c>
      <c r="AI2890" s="2">
        <f t="shared" si="283"/>
        <v>0</v>
      </c>
      <c r="AJ2890" s="2">
        <f t="shared" si="284"/>
        <v>41.74</v>
      </c>
      <c r="AK2890" s="5">
        <f t="shared" si="280"/>
        <v>0.48580074487895719</v>
      </c>
    </row>
    <row r="2891" spans="1:37" x14ac:dyDescent="0.2">
      <c r="A2891" s="2">
        <v>2026</v>
      </c>
      <c r="B2891" s="2">
        <v>1</v>
      </c>
      <c r="C2891" s="2" t="s">
        <v>426</v>
      </c>
      <c r="D2891" s="2" t="s">
        <v>99</v>
      </c>
      <c r="E2891" s="2" t="s">
        <v>39</v>
      </c>
      <c r="F2891" s="2">
        <v>503523470</v>
      </c>
      <c r="G2891" s="2" t="s">
        <v>40</v>
      </c>
      <c r="H2891" s="2" t="s">
        <v>427</v>
      </c>
      <c r="I2891" s="2" t="s">
        <v>428</v>
      </c>
      <c r="K2891" s="2" t="s">
        <v>202</v>
      </c>
      <c r="L2891" s="2" t="s">
        <v>81</v>
      </c>
      <c r="O2891" s="2" t="s">
        <v>43</v>
      </c>
      <c r="P2891" s="2" t="s">
        <v>239</v>
      </c>
      <c r="Q2891" s="2" t="s">
        <v>240</v>
      </c>
      <c r="R2891" s="2">
        <v>1</v>
      </c>
      <c r="S2891" s="2">
        <v>21</v>
      </c>
      <c r="T2891" s="2">
        <v>4.83</v>
      </c>
      <c r="U2891" s="2">
        <v>25.83</v>
      </c>
      <c r="W2891" s="5">
        <f t="shared" si="281"/>
        <v>1</v>
      </c>
      <c r="Y2891" s="2" t="s">
        <v>3256</v>
      </c>
      <c r="Z2891" s="2" t="s">
        <v>46</v>
      </c>
      <c r="AA2891" s="2" t="s">
        <v>57</v>
      </c>
      <c r="AB2891" s="2" t="s">
        <v>58</v>
      </c>
      <c r="AE2891" s="2">
        <f t="shared" si="282"/>
        <v>0</v>
      </c>
      <c r="AI2891" s="2">
        <f t="shared" si="283"/>
        <v>0</v>
      </c>
      <c r="AJ2891" s="2">
        <f t="shared" si="284"/>
        <v>21</v>
      </c>
      <c r="AK2891" s="5">
        <f t="shared" si="280"/>
        <v>1</v>
      </c>
    </row>
    <row r="2892" spans="1:37" x14ac:dyDescent="0.2">
      <c r="A2892" s="2">
        <v>2026</v>
      </c>
      <c r="B2892" s="2">
        <v>1</v>
      </c>
      <c r="C2892" s="2" t="s">
        <v>337</v>
      </c>
      <c r="D2892" s="2" t="s">
        <v>109</v>
      </c>
      <c r="E2892" s="2" t="s">
        <v>39</v>
      </c>
      <c r="F2892" s="2">
        <v>503373494</v>
      </c>
      <c r="G2892" s="2" t="s">
        <v>291</v>
      </c>
      <c r="H2892" s="2" t="s">
        <v>338</v>
      </c>
      <c r="I2892" s="2" t="s">
        <v>339</v>
      </c>
      <c r="J2892" s="2">
        <v>965852001</v>
      </c>
      <c r="K2892" s="2" t="s">
        <v>340</v>
      </c>
      <c r="L2892" s="2" t="s">
        <v>81</v>
      </c>
      <c r="O2892" s="2" t="s">
        <v>43</v>
      </c>
      <c r="P2892" s="2" t="s">
        <v>241</v>
      </c>
      <c r="Q2892" s="2" t="s">
        <v>242</v>
      </c>
      <c r="R2892" s="2">
        <v>2</v>
      </c>
      <c r="S2892" s="2">
        <v>50.4</v>
      </c>
      <c r="T2892" s="2">
        <v>11.592000000000001</v>
      </c>
      <c r="U2892" s="2">
        <v>61.991999999999997</v>
      </c>
      <c r="W2892" s="5">
        <f t="shared" si="281"/>
        <v>1</v>
      </c>
      <c r="Y2892" s="2" t="s">
        <v>3256</v>
      </c>
      <c r="Z2892" s="2" t="s">
        <v>46</v>
      </c>
      <c r="AA2892" s="2" t="s">
        <v>57</v>
      </c>
      <c r="AB2892" s="2" t="s">
        <v>58</v>
      </c>
      <c r="AE2892" s="2">
        <f t="shared" si="282"/>
        <v>0</v>
      </c>
      <c r="AI2892" s="2">
        <f t="shared" si="283"/>
        <v>0</v>
      </c>
      <c r="AJ2892" s="2">
        <f t="shared" si="284"/>
        <v>50.4</v>
      </c>
      <c r="AK2892" s="5">
        <f t="shared" si="280"/>
        <v>1</v>
      </c>
    </row>
    <row r="2893" spans="1:37" x14ac:dyDescent="0.2">
      <c r="A2893" s="2">
        <v>2026</v>
      </c>
      <c r="B2893" s="2">
        <v>1</v>
      </c>
      <c r="C2893" s="2" t="s">
        <v>337</v>
      </c>
      <c r="D2893" s="2" t="s">
        <v>109</v>
      </c>
      <c r="E2893" s="2" t="s">
        <v>39</v>
      </c>
      <c r="F2893" s="2">
        <v>503373494</v>
      </c>
      <c r="G2893" s="2" t="s">
        <v>291</v>
      </c>
      <c r="H2893" s="2" t="s">
        <v>338</v>
      </c>
      <c r="I2893" s="2" t="s">
        <v>339</v>
      </c>
      <c r="J2893" s="2">
        <v>965852001</v>
      </c>
      <c r="K2893" s="2" t="s">
        <v>340</v>
      </c>
      <c r="L2893" s="2" t="s">
        <v>81</v>
      </c>
      <c r="O2893" s="2" t="s">
        <v>43</v>
      </c>
      <c r="P2893" s="2" t="s">
        <v>243</v>
      </c>
      <c r="Q2893" s="2" t="s">
        <v>244</v>
      </c>
      <c r="R2893" s="2">
        <v>2</v>
      </c>
      <c r="S2893" s="2">
        <v>60</v>
      </c>
      <c r="T2893" s="2">
        <v>13.8</v>
      </c>
      <c r="U2893" s="2">
        <v>73.8</v>
      </c>
      <c r="W2893" s="5">
        <f t="shared" si="281"/>
        <v>1</v>
      </c>
      <c r="Y2893" s="2" t="s">
        <v>3256</v>
      </c>
      <c r="Z2893" s="2" t="s">
        <v>46</v>
      </c>
      <c r="AA2893" s="2" t="s">
        <v>57</v>
      </c>
      <c r="AB2893" s="2" t="s">
        <v>58</v>
      </c>
      <c r="AE2893" s="2">
        <f t="shared" si="282"/>
        <v>0</v>
      </c>
      <c r="AI2893" s="2">
        <f t="shared" si="283"/>
        <v>0</v>
      </c>
      <c r="AJ2893" s="2">
        <f t="shared" si="284"/>
        <v>60</v>
      </c>
      <c r="AK2893" s="5">
        <f t="shared" si="280"/>
        <v>1</v>
      </c>
    </row>
    <row r="2894" spans="1:37" x14ac:dyDescent="0.2">
      <c r="A2894" s="2">
        <v>2026</v>
      </c>
      <c r="B2894" s="2">
        <v>1</v>
      </c>
      <c r="C2894" s="2" t="s">
        <v>37</v>
      </c>
      <c r="D2894" s="2" t="s">
        <v>38</v>
      </c>
      <c r="E2894" s="2" t="s">
        <v>39</v>
      </c>
      <c r="G2894" s="2" t="s">
        <v>40</v>
      </c>
      <c r="O2894" s="2" t="s">
        <v>43</v>
      </c>
      <c r="P2894" s="2" t="s">
        <v>55</v>
      </c>
      <c r="Q2894" s="2" t="s">
        <v>56</v>
      </c>
      <c r="R2894" s="2">
        <v>12</v>
      </c>
      <c r="S2894" s="2">
        <v>141</v>
      </c>
      <c r="T2894" s="2">
        <v>32.43</v>
      </c>
      <c r="U2894" s="2">
        <v>173.43</v>
      </c>
      <c r="V2894" s="2">
        <f t="shared" ref="V2894:V2910" si="285">10.6*R2894</f>
        <v>127.19999999999999</v>
      </c>
      <c r="W2894" s="5">
        <f t="shared" si="281"/>
        <v>9.7872340425532001E-2</v>
      </c>
      <c r="Y2894" s="2" t="s">
        <v>3256</v>
      </c>
      <c r="Z2894" s="2" t="s">
        <v>46</v>
      </c>
      <c r="AA2894" s="2" t="s">
        <v>57</v>
      </c>
      <c r="AB2894" s="2" t="s">
        <v>58</v>
      </c>
      <c r="AE2894" s="2">
        <f t="shared" si="282"/>
        <v>0</v>
      </c>
      <c r="AF2894" s="2">
        <v>10.6</v>
      </c>
      <c r="AG2894" s="2">
        <v>18</v>
      </c>
      <c r="AI2894" s="2">
        <f t="shared" si="283"/>
        <v>0</v>
      </c>
      <c r="AJ2894" s="2">
        <f t="shared" si="284"/>
        <v>13.800000000000011</v>
      </c>
      <c r="AK2894" s="5">
        <f t="shared" si="280"/>
        <v>9.7872340425532001E-2</v>
      </c>
    </row>
    <row r="2895" spans="1:37" x14ac:dyDescent="0.2">
      <c r="A2895" s="2">
        <v>2026</v>
      </c>
      <c r="B2895" s="2">
        <v>1</v>
      </c>
      <c r="C2895" s="2" t="s">
        <v>946</v>
      </c>
      <c r="O2895" s="2" t="s">
        <v>43</v>
      </c>
      <c r="P2895" s="2" t="s">
        <v>55</v>
      </c>
      <c r="Q2895" s="2" t="s">
        <v>56</v>
      </c>
      <c r="R2895" s="2">
        <v>2</v>
      </c>
      <c r="S2895" s="2">
        <v>36</v>
      </c>
      <c r="T2895" s="2">
        <v>8.2800000000000011</v>
      </c>
      <c r="U2895" s="2">
        <v>44.28</v>
      </c>
      <c r="V2895" s="2">
        <f t="shared" si="285"/>
        <v>21.2</v>
      </c>
      <c r="W2895" s="5">
        <f t="shared" si="281"/>
        <v>0.41111111111111115</v>
      </c>
      <c r="Y2895" s="2" t="s">
        <v>3256</v>
      </c>
      <c r="Z2895" s="2" t="s">
        <v>46</v>
      </c>
      <c r="AA2895" s="2" t="s">
        <v>57</v>
      </c>
      <c r="AB2895" s="2" t="s">
        <v>58</v>
      </c>
      <c r="AE2895" s="2">
        <f t="shared" si="282"/>
        <v>0</v>
      </c>
      <c r="AF2895" s="2">
        <v>10.6</v>
      </c>
      <c r="AG2895" s="2">
        <v>18</v>
      </c>
      <c r="AI2895" s="2">
        <f t="shared" si="283"/>
        <v>0</v>
      </c>
      <c r="AJ2895" s="2">
        <f t="shared" si="284"/>
        <v>14.8</v>
      </c>
      <c r="AK2895" s="5">
        <f t="shared" ref="AK2895:AK2926" si="286">(S2895-V2895)/S2895</f>
        <v>0.41111111111111115</v>
      </c>
    </row>
    <row r="2896" spans="1:37" x14ac:dyDescent="0.2">
      <c r="A2896" s="2">
        <v>2026</v>
      </c>
      <c r="B2896" s="2">
        <v>1</v>
      </c>
      <c r="C2896" s="2" t="s">
        <v>699</v>
      </c>
      <c r="D2896" s="2" t="s">
        <v>38</v>
      </c>
      <c r="E2896" s="2" t="s">
        <v>39</v>
      </c>
      <c r="F2896" s="2">
        <v>508574358</v>
      </c>
      <c r="G2896" s="2" t="s">
        <v>41</v>
      </c>
      <c r="H2896" s="2" t="s">
        <v>328</v>
      </c>
      <c r="I2896" s="2" t="s">
        <v>701</v>
      </c>
      <c r="J2896" s="2">
        <v>917295518</v>
      </c>
      <c r="K2896" s="2" t="s">
        <v>178</v>
      </c>
      <c r="L2896" s="2" t="s">
        <v>41</v>
      </c>
      <c r="O2896" s="2" t="s">
        <v>43</v>
      </c>
      <c r="P2896" s="2" t="s">
        <v>55</v>
      </c>
      <c r="Q2896" s="2" t="s">
        <v>56</v>
      </c>
      <c r="R2896" s="2">
        <v>2</v>
      </c>
      <c r="S2896" s="2">
        <v>36</v>
      </c>
      <c r="T2896" s="2">
        <v>8.2800000000000011</v>
      </c>
      <c r="U2896" s="2">
        <v>44.28</v>
      </c>
      <c r="V2896" s="2">
        <f t="shared" si="285"/>
        <v>21.2</v>
      </c>
      <c r="W2896" s="5">
        <f t="shared" si="281"/>
        <v>0.41111111111111115</v>
      </c>
      <c r="Y2896" s="2" t="s">
        <v>3256</v>
      </c>
      <c r="Z2896" s="2" t="s">
        <v>46</v>
      </c>
      <c r="AA2896" s="2" t="s">
        <v>57</v>
      </c>
      <c r="AB2896" s="2" t="s">
        <v>58</v>
      </c>
      <c r="AE2896" s="2">
        <f t="shared" si="282"/>
        <v>0</v>
      </c>
      <c r="AF2896" s="2">
        <v>10.6</v>
      </c>
      <c r="AG2896" s="2">
        <v>18</v>
      </c>
      <c r="AI2896" s="2">
        <f t="shared" si="283"/>
        <v>0</v>
      </c>
      <c r="AJ2896" s="2">
        <f t="shared" si="284"/>
        <v>14.8</v>
      </c>
      <c r="AK2896" s="5">
        <f t="shared" si="286"/>
        <v>0.41111111111111115</v>
      </c>
    </row>
    <row r="2897" spans="1:37" x14ac:dyDescent="0.2">
      <c r="A2897" s="2">
        <v>2026</v>
      </c>
      <c r="B2897" s="2">
        <v>1</v>
      </c>
      <c r="C2897" s="2" t="s">
        <v>2236</v>
      </c>
      <c r="L2897" s="2" t="s">
        <v>41</v>
      </c>
      <c r="O2897" s="2" t="s">
        <v>43</v>
      </c>
      <c r="P2897" s="2" t="s">
        <v>55</v>
      </c>
      <c r="Q2897" s="2" t="s">
        <v>56</v>
      </c>
      <c r="R2897" s="2">
        <v>2</v>
      </c>
      <c r="S2897" s="2">
        <v>36</v>
      </c>
      <c r="T2897" s="2">
        <v>8.2800000000000011</v>
      </c>
      <c r="U2897" s="2">
        <v>44.28</v>
      </c>
      <c r="V2897" s="2">
        <f t="shared" si="285"/>
        <v>21.2</v>
      </c>
      <c r="W2897" s="5">
        <f t="shared" si="281"/>
        <v>0.41111111111111115</v>
      </c>
      <c r="Y2897" s="2" t="s">
        <v>3256</v>
      </c>
      <c r="Z2897" s="2" t="s">
        <v>46</v>
      </c>
      <c r="AA2897" s="2" t="s">
        <v>57</v>
      </c>
      <c r="AB2897" s="2" t="s">
        <v>58</v>
      </c>
      <c r="AE2897" s="2">
        <f t="shared" si="282"/>
        <v>0</v>
      </c>
      <c r="AF2897" s="2">
        <v>10.6</v>
      </c>
      <c r="AG2897" s="2">
        <v>18</v>
      </c>
      <c r="AI2897" s="2">
        <f t="shared" si="283"/>
        <v>0</v>
      </c>
      <c r="AJ2897" s="2">
        <f t="shared" si="284"/>
        <v>14.8</v>
      </c>
      <c r="AK2897" s="5">
        <f t="shared" si="286"/>
        <v>0.41111111111111115</v>
      </c>
    </row>
    <row r="2898" spans="1:37" x14ac:dyDescent="0.2">
      <c r="A2898" s="2">
        <v>2026</v>
      </c>
      <c r="B2898" s="2">
        <v>1</v>
      </c>
      <c r="C2898" s="2" t="s">
        <v>1187</v>
      </c>
      <c r="D2898" s="2" t="s">
        <v>38</v>
      </c>
      <c r="E2898" s="2" t="s">
        <v>39</v>
      </c>
      <c r="F2898" s="2">
        <v>502089075</v>
      </c>
      <c r="G2898" s="2" t="s">
        <v>41</v>
      </c>
      <c r="H2898" s="2" t="s">
        <v>1188</v>
      </c>
      <c r="I2898" s="2" t="s">
        <v>1189</v>
      </c>
      <c r="K2898" s="2" t="s">
        <v>465</v>
      </c>
      <c r="L2898" s="2" t="s">
        <v>41</v>
      </c>
      <c r="N2898" s="2" t="s">
        <v>2391</v>
      </c>
      <c r="O2898" s="2" t="s">
        <v>43</v>
      </c>
      <c r="P2898" s="2" t="s">
        <v>55</v>
      </c>
      <c r="Q2898" s="2" t="s">
        <v>56</v>
      </c>
      <c r="R2898" s="2">
        <v>3</v>
      </c>
      <c r="S2898" s="2">
        <v>54</v>
      </c>
      <c r="T2898" s="2">
        <v>12.42</v>
      </c>
      <c r="U2898" s="2">
        <v>66.42</v>
      </c>
      <c r="V2898" s="2">
        <f t="shared" si="285"/>
        <v>31.799999999999997</v>
      </c>
      <c r="W2898" s="5">
        <f t="shared" si="281"/>
        <v>0.41111111111111115</v>
      </c>
      <c r="Y2898" s="2" t="s">
        <v>3256</v>
      </c>
      <c r="Z2898" s="2" t="s">
        <v>46</v>
      </c>
      <c r="AA2898" s="2" t="s">
        <v>57</v>
      </c>
      <c r="AB2898" s="2" t="s">
        <v>58</v>
      </c>
      <c r="AE2898" s="2">
        <f t="shared" si="282"/>
        <v>0</v>
      </c>
      <c r="AF2898" s="2">
        <v>10.6</v>
      </c>
      <c r="AG2898" s="2">
        <v>18</v>
      </c>
      <c r="AI2898" s="2">
        <f t="shared" si="283"/>
        <v>0</v>
      </c>
      <c r="AJ2898" s="2">
        <f t="shared" si="284"/>
        <v>22.200000000000003</v>
      </c>
      <c r="AK2898" s="5">
        <f t="shared" si="286"/>
        <v>0.41111111111111115</v>
      </c>
    </row>
    <row r="2899" spans="1:37" x14ac:dyDescent="0.2">
      <c r="A2899" s="2">
        <v>2026</v>
      </c>
      <c r="B2899" s="2">
        <v>1</v>
      </c>
      <c r="C2899" s="2" t="s">
        <v>337</v>
      </c>
      <c r="D2899" s="2" t="s">
        <v>109</v>
      </c>
      <c r="E2899" s="2" t="s">
        <v>39</v>
      </c>
      <c r="F2899" s="2">
        <v>503373494</v>
      </c>
      <c r="G2899" s="2" t="s">
        <v>291</v>
      </c>
      <c r="H2899" s="2" t="s">
        <v>338</v>
      </c>
      <c r="I2899" s="2" t="s">
        <v>339</v>
      </c>
      <c r="J2899" s="2">
        <v>965852001</v>
      </c>
      <c r="K2899" s="2" t="s">
        <v>340</v>
      </c>
      <c r="L2899" s="2" t="s">
        <v>81</v>
      </c>
      <c r="O2899" s="2" t="s">
        <v>43</v>
      </c>
      <c r="P2899" s="2" t="s">
        <v>55</v>
      </c>
      <c r="Q2899" s="2" t="s">
        <v>56</v>
      </c>
      <c r="R2899" s="2">
        <v>5</v>
      </c>
      <c r="S2899" s="2">
        <v>90</v>
      </c>
      <c r="T2899" s="2">
        <v>20.7</v>
      </c>
      <c r="U2899" s="2">
        <v>110.7</v>
      </c>
      <c r="V2899" s="2">
        <f t="shared" si="285"/>
        <v>53</v>
      </c>
      <c r="W2899" s="5">
        <f t="shared" si="281"/>
        <v>0.41111111111111109</v>
      </c>
      <c r="Y2899" s="2" t="s">
        <v>3256</v>
      </c>
      <c r="Z2899" s="2" t="s">
        <v>46</v>
      </c>
      <c r="AA2899" s="2" t="s">
        <v>57</v>
      </c>
      <c r="AB2899" s="2" t="s">
        <v>58</v>
      </c>
      <c r="AE2899" s="2">
        <f t="shared" si="282"/>
        <v>0</v>
      </c>
      <c r="AF2899" s="2">
        <v>10.6</v>
      </c>
      <c r="AG2899" s="2">
        <v>18</v>
      </c>
      <c r="AI2899" s="2">
        <f t="shared" si="283"/>
        <v>0</v>
      </c>
      <c r="AJ2899" s="2">
        <f t="shared" si="284"/>
        <v>37</v>
      </c>
      <c r="AK2899" s="5">
        <f t="shared" si="286"/>
        <v>0.41111111111111109</v>
      </c>
    </row>
    <row r="2900" spans="1:37" x14ac:dyDescent="0.2">
      <c r="A2900" s="2">
        <v>2026</v>
      </c>
      <c r="B2900" s="2">
        <v>1</v>
      </c>
      <c r="C2900" s="2" t="s">
        <v>419</v>
      </c>
      <c r="D2900" s="2" t="s">
        <v>38</v>
      </c>
      <c r="E2900" s="2" t="s">
        <v>39</v>
      </c>
      <c r="F2900" s="2">
        <v>219908800</v>
      </c>
      <c r="G2900" s="2" t="s">
        <v>41</v>
      </c>
      <c r="H2900" s="2" t="s">
        <v>420</v>
      </c>
      <c r="I2900" s="2" t="s">
        <v>421</v>
      </c>
      <c r="K2900" s="2" t="s">
        <v>422</v>
      </c>
      <c r="L2900" s="2" t="s">
        <v>41</v>
      </c>
      <c r="O2900" s="2" t="s">
        <v>43</v>
      </c>
      <c r="P2900" s="2" t="s">
        <v>55</v>
      </c>
      <c r="Q2900" s="2" t="s">
        <v>56</v>
      </c>
      <c r="R2900" s="2">
        <v>4</v>
      </c>
      <c r="S2900" s="2">
        <v>72</v>
      </c>
      <c r="T2900" s="2">
        <v>16.559999999999999</v>
      </c>
      <c r="U2900" s="2">
        <v>88.56</v>
      </c>
      <c r="V2900" s="2">
        <f t="shared" si="285"/>
        <v>42.4</v>
      </c>
      <c r="W2900" s="5">
        <f t="shared" si="281"/>
        <v>0.41111111111111115</v>
      </c>
      <c r="Y2900" s="2" t="s">
        <v>3256</v>
      </c>
      <c r="Z2900" s="2" t="s">
        <v>46</v>
      </c>
      <c r="AA2900" s="2" t="s">
        <v>57</v>
      </c>
      <c r="AB2900" s="2" t="s">
        <v>58</v>
      </c>
      <c r="AE2900" s="2">
        <f t="shared" si="282"/>
        <v>0</v>
      </c>
      <c r="AF2900" s="2">
        <v>10.6</v>
      </c>
      <c r="AG2900" s="2">
        <v>18</v>
      </c>
      <c r="AI2900" s="2">
        <f t="shared" si="283"/>
        <v>0</v>
      </c>
      <c r="AJ2900" s="2">
        <f t="shared" si="284"/>
        <v>29.6</v>
      </c>
      <c r="AK2900" s="5">
        <f t="shared" si="286"/>
        <v>0.41111111111111115</v>
      </c>
    </row>
    <row r="2901" spans="1:37" x14ac:dyDescent="0.2">
      <c r="A2901" s="2">
        <v>2026</v>
      </c>
      <c r="B2901" s="2">
        <v>1</v>
      </c>
      <c r="C2901" s="2" t="s">
        <v>426</v>
      </c>
      <c r="D2901" s="2" t="s">
        <v>99</v>
      </c>
      <c r="E2901" s="2" t="s">
        <v>39</v>
      </c>
      <c r="F2901" s="2">
        <v>503523470</v>
      </c>
      <c r="G2901" s="2" t="s">
        <v>40</v>
      </c>
      <c r="H2901" s="2" t="s">
        <v>427</v>
      </c>
      <c r="I2901" s="2" t="s">
        <v>428</v>
      </c>
      <c r="K2901" s="2" t="s">
        <v>202</v>
      </c>
      <c r="L2901" s="2" t="s">
        <v>81</v>
      </c>
      <c r="O2901" s="2" t="s">
        <v>43</v>
      </c>
      <c r="P2901" s="2" t="s">
        <v>55</v>
      </c>
      <c r="Q2901" s="2" t="s">
        <v>56</v>
      </c>
      <c r="R2901" s="2">
        <v>1</v>
      </c>
      <c r="S2901" s="2">
        <v>18</v>
      </c>
      <c r="T2901" s="2">
        <v>4.1400000000000006</v>
      </c>
      <c r="U2901" s="2">
        <v>22.14</v>
      </c>
      <c r="V2901" s="2">
        <f t="shared" si="285"/>
        <v>10.6</v>
      </c>
      <c r="W2901" s="5">
        <f t="shared" si="281"/>
        <v>0.41111111111111115</v>
      </c>
      <c r="Y2901" s="2" t="s">
        <v>3256</v>
      </c>
      <c r="Z2901" s="2" t="s">
        <v>46</v>
      </c>
      <c r="AA2901" s="2" t="s">
        <v>57</v>
      </c>
      <c r="AB2901" s="2" t="s">
        <v>58</v>
      </c>
      <c r="AE2901" s="2">
        <f t="shared" si="282"/>
        <v>0</v>
      </c>
      <c r="AF2901" s="2">
        <v>10.6</v>
      </c>
      <c r="AG2901" s="2">
        <v>18</v>
      </c>
      <c r="AI2901" s="2">
        <f t="shared" si="283"/>
        <v>0</v>
      </c>
      <c r="AJ2901" s="2">
        <f t="shared" si="284"/>
        <v>7.4</v>
      </c>
      <c r="AK2901" s="5">
        <f t="shared" si="286"/>
        <v>0.41111111111111115</v>
      </c>
    </row>
    <row r="2902" spans="1:37" x14ac:dyDescent="0.2">
      <c r="A2902" s="2">
        <v>2026</v>
      </c>
      <c r="B2902" s="2">
        <v>1</v>
      </c>
      <c r="C2902" s="2" t="s">
        <v>429</v>
      </c>
      <c r="D2902" s="2" t="s">
        <v>99</v>
      </c>
      <c r="E2902" s="2" t="s">
        <v>39</v>
      </c>
      <c r="F2902" s="2">
        <v>510613888</v>
      </c>
      <c r="G2902" s="2" t="s">
        <v>40</v>
      </c>
      <c r="H2902" s="2" t="s">
        <v>430</v>
      </c>
      <c r="I2902" s="2" t="s">
        <v>431</v>
      </c>
      <c r="K2902" s="2" t="s">
        <v>100</v>
      </c>
      <c r="L2902" s="2" t="s">
        <v>81</v>
      </c>
      <c r="O2902" s="2" t="s">
        <v>43</v>
      </c>
      <c r="P2902" s="2" t="s">
        <v>55</v>
      </c>
      <c r="Q2902" s="2" t="s">
        <v>56</v>
      </c>
      <c r="R2902" s="2">
        <v>1</v>
      </c>
      <c r="S2902" s="2">
        <v>18</v>
      </c>
      <c r="T2902" s="2">
        <v>4.1400000000000006</v>
      </c>
      <c r="U2902" s="2">
        <v>22.14</v>
      </c>
      <c r="V2902" s="2">
        <f t="shared" si="285"/>
        <v>10.6</v>
      </c>
      <c r="W2902" s="5">
        <f t="shared" si="281"/>
        <v>0.41111111111111115</v>
      </c>
      <c r="Y2902" s="2" t="s">
        <v>3256</v>
      </c>
      <c r="Z2902" s="2" t="s">
        <v>46</v>
      </c>
      <c r="AA2902" s="2" t="s">
        <v>57</v>
      </c>
      <c r="AB2902" s="2" t="s">
        <v>58</v>
      </c>
      <c r="AE2902" s="2">
        <f t="shared" si="282"/>
        <v>0</v>
      </c>
      <c r="AF2902" s="2">
        <v>10.6</v>
      </c>
      <c r="AG2902" s="2">
        <v>18</v>
      </c>
      <c r="AI2902" s="2">
        <f t="shared" si="283"/>
        <v>0</v>
      </c>
      <c r="AJ2902" s="2">
        <f t="shared" si="284"/>
        <v>7.4</v>
      </c>
      <c r="AK2902" s="5">
        <f t="shared" si="286"/>
        <v>0.41111111111111115</v>
      </c>
    </row>
    <row r="2903" spans="1:37" x14ac:dyDescent="0.2">
      <c r="A2903" s="2">
        <v>2026</v>
      </c>
      <c r="B2903" s="2">
        <v>1</v>
      </c>
      <c r="C2903" s="2" t="s">
        <v>850</v>
      </c>
      <c r="D2903" s="2" t="s">
        <v>38</v>
      </c>
      <c r="E2903" s="2" t="s">
        <v>39</v>
      </c>
      <c r="F2903" s="2">
        <v>161685080</v>
      </c>
      <c r="G2903" s="2" t="s">
        <v>41</v>
      </c>
      <c r="H2903" s="2" t="s">
        <v>422</v>
      </c>
      <c r="J2903" s="2" t="s">
        <v>851</v>
      </c>
      <c r="K2903" s="2" t="s">
        <v>422</v>
      </c>
      <c r="L2903" s="2" t="s">
        <v>41</v>
      </c>
      <c r="N2903" s="2" t="s">
        <v>2392</v>
      </c>
      <c r="O2903" s="2" t="s">
        <v>43</v>
      </c>
      <c r="P2903" s="2" t="s">
        <v>55</v>
      </c>
      <c r="Q2903" s="2" t="s">
        <v>56</v>
      </c>
      <c r="R2903" s="2">
        <v>2</v>
      </c>
      <c r="S2903" s="2">
        <v>36</v>
      </c>
      <c r="T2903" s="2">
        <v>8.2800000000000011</v>
      </c>
      <c r="U2903" s="2">
        <v>44.28</v>
      </c>
      <c r="V2903" s="2">
        <f t="shared" si="285"/>
        <v>21.2</v>
      </c>
      <c r="W2903" s="5">
        <f t="shared" si="281"/>
        <v>0.41111111111111115</v>
      </c>
      <c r="Y2903" s="2" t="s">
        <v>3256</v>
      </c>
      <c r="Z2903" s="2" t="s">
        <v>46</v>
      </c>
      <c r="AA2903" s="2" t="s">
        <v>57</v>
      </c>
      <c r="AB2903" s="2" t="s">
        <v>58</v>
      </c>
      <c r="AE2903" s="2">
        <f t="shared" si="282"/>
        <v>0</v>
      </c>
      <c r="AF2903" s="2">
        <v>10.6</v>
      </c>
      <c r="AG2903" s="2">
        <v>18</v>
      </c>
      <c r="AI2903" s="2">
        <f t="shared" si="283"/>
        <v>0</v>
      </c>
      <c r="AJ2903" s="2">
        <f t="shared" si="284"/>
        <v>14.8</v>
      </c>
      <c r="AK2903" s="5">
        <f t="shared" si="286"/>
        <v>0.41111111111111115</v>
      </c>
    </row>
    <row r="2904" spans="1:37" x14ac:dyDescent="0.2">
      <c r="A2904" s="2">
        <v>2026</v>
      </c>
      <c r="B2904" s="2">
        <v>1</v>
      </c>
      <c r="C2904" s="2" t="s">
        <v>1052</v>
      </c>
      <c r="O2904" s="2" t="s">
        <v>43</v>
      </c>
      <c r="P2904" s="2" t="s">
        <v>55</v>
      </c>
      <c r="Q2904" s="2" t="s">
        <v>56</v>
      </c>
      <c r="R2904" s="2">
        <v>10</v>
      </c>
      <c r="S2904" s="2">
        <v>150</v>
      </c>
      <c r="T2904" s="2">
        <v>34.5</v>
      </c>
      <c r="U2904" s="2">
        <v>184.5</v>
      </c>
      <c r="V2904" s="2">
        <f t="shared" si="285"/>
        <v>106</v>
      </c>
      <c r="W2904" s="5">
        <f t="shared" si="281"/>
        <v>0.29333333333333333</v>
      </c>
      <c r="Y2904" s="2" t="s">
        <v>3256</v>
      </c>
      <c r="Z2904" s="2" t="s">
        <v>46</v>
      </c>
      <c r="AA2904" s="2" t="s">
        <v>57</v>
      </c>
      <c r="AB2904" s="2" t="s">
        <v>58</v>
      </c>
      <c r="AE2904" s="2">
        <f t="shared" si="282"/>
        <v>0</v>
      </c>
      <c r="AF2904" s="2">
        <v>10.6</v>
      </c>
      <c r="AG2904" s="2">
        <v>18</v>
      </c>
      <c r="AI2904" s="2">
        <f t="shared" si="283"/>
        <v>0</v>
      </c>
      <c r="AJ2904" s="2">
        <f t="shared" si="284"/>
        <v>44</v>
      </c>
      <c r="AK2904" s="5">
        <f t="shared" si="286"/>
        <v>0.29333333333333333</v>
      </c>
    </row>
    <row r="2905" spans="1:37" x14ac:dyDescent="0.2">
      <c r="A2905" s="2">
        <v>2026</v>
      </c>
      <c r="B2905" s="2">
        <v>1</v>
      </c>
      <c r="C2905" s="2" t="s">
        <v>1409</v>
      </c>
      <c r="D2905" s="2" t="s">
        <v>38</v>
      </c>
      <c r="E2905" s="2" t="s">
        <v>39</v>
      </c>
      <c r="F2905" s="2">
        <v>509014313</v>
      </c>
      <c r="G2905" s="2" t="s">
        <v>40</v>
      </c>
      <c r="H2905" s="2" t="s">
        <v>3246</v>
      </c>
      <c r="I2905" s="2" t="s">
        <v>3245</v>
      </c>
      <c r="J2905" s="2">
        <v>913814877</v>
      </c>
      <c r="K2905" s="2" t="s">
        <v>202</v>
      </c>
      <c r="L2905" s="2" t="s">
        <v>81</v>
      </c>
      <c r="N2905" s="2" t="s">
        <v>3240</v>
      </c>
      <c r="O2905" s="2" t="s">
        <v>43</v>
      </c>
      <c r="P2905" s="2" t="s">
        <v>55</v>
      </c>
      <c r="Q2905" s="2" t="s">
        <v>56</v>
      </c>
      <c r="R2905" s="2">
        <v>3</v>
      </c>
      <c r="S2905" s="2">
        <v>54</v>
      </c>
      <c r="T2905" s="2">
        <v>12.42</v>
      </c>
      <c r="U2905" s="2">
        <v>66.42</v>
      </c>
      <c r="V2905" s="2">
        <f t="shared" si="285"/>
        <v>31.799999999999997</v>
      </c>
      <c r="W2905" s="5">
        <f t="shared" si="281"/>
        <v>0.41111111111111115</v>
      </c>
      <c r="Y2905" s="2" t="s">
        <v>3256</v>
      </c>
      <c r="Z2905" s="2" t="s">
        <v>46</v>
      </c>
      <c r="AA2905" s="2" t="s">
        <v>57</v>
      </c>
      <c r="AB2905" s="2" t="s">
        <v>58</v>
      </c>
      <c r="AE2905" s="2">
        <f t="shared" si="282"/>
        <v>0</v>
      </c>
      <c r="AF2905" s="2">
        <v>10.6</v>
      </c>
      <c r="AG2905" s="2">
        <v>18</v>
      </c>
      <c r="AI2905" s="2">
        <f t="shared" si="283"/>
        <v>0</v>
      </c>
      <c r="AJ2905" s="2">
        <f t="shared" si="284"/>
        <v>22.200000000000003</v>
      </c>
      <c r="AK2905" s="5">
        <f t="shared" si="286"/>
        <v>0.41111111111111115</v>
      </c>
    </row>
    <row r="2906" spans="1:37" x14ac:dyDescent="0.2">
      <c r="A2906" s="2">
        <v>2026</v>
      </c>
      <c r="B2906" s="2">
        <v>1</v>
      </c>
      <c r="C2906" s="2" t="s">
        <v>896</v>
      </c>
      <c r="D2906" s="2" t="s">
        <v>109</v>
      </c>
      <c r="E2906" s="2" t="s">
        <v>39</v>
      </c>
      <c r="F2906" s="2">
        <v>507216970</v>
      </c>
      <c r="G2906" s="2" t="s">
        <v>41</v>
      </c>
      <c r="H2906" s="2" t="s">
        <v>897</v>
      </c>
      <c r="I2906" s="2" t="s">
        <v>898</v>
      </c>
      <c r="K2906" s="2" t="s">
        <v>100</v>
      </c>
      <c r="L2906" s="2" t="s">
        <v>41</v>
      </c>
      <c r="N2906" s="2" t="s">
        <v>2393</v>
      </c>
      <c r="O2906" s="2" t="s">
        <v>43</v>
      </c>
      <c r="P2906" s="2" t="s">
        <v>55</v>
      </c>
      <c r="Q2906" s="2" t="s">
        <v>56</v>
      </c>
      <c r="R2906" s="2">
        <v>20</v>
      </c>
      <c r="S2906" s="2">
        <v>280</v>
      </c>
      <c r="T2906" s="2">
        <v>64.400000000000006</v>
      </c>
      <c r="U2906" s="2">
        <v>344.4</v>
      </c>
      <c r="V2906" s="2">
        <f t="shared" si="285"/>
        <v>212</v>
      </c>
      <c r="W2906" s="5">
        <f t="shared" si="281"/>
        <v>0.24285714285714285</v>
      </c>
      <c r="Y2906" s="2" t="s">
        <v>3256</v>
      </c>
      <c r="Z2906" s="2" t="s">
        <v>46</v>
      </c>
      <c r="AA2906" s="2" t="s">
        <v>57</v>
      </c>
      <c r="AB2906" s="2" t="s">
        <v>58</v>
      </c>
      <c r="AE2906" s="2">
        <f t="shared" si="282"/>
        <v>0</v>
      </c>
      <c r="AF2906" s="2">
        <v>10.6</v>
      </c>
      <c r="AG2906" s="2">
        <v>18</v>
      </c>
      <c r="AI2906" s="2">
        <f t="shared" si="283"/>
        <v>0</v>
      </c>
      <c r="AJ2906" s="2">
        <f t="shared" si="284"/>
        <v>68</v>
      </c>
      <c r="AK2906" s="5">
        <f t="shared" si="286"/>
        <v>0.24285714285714285</v>
      </c>
    </row>
    <row r="2907" spans="1:37" x14ac:dyDescent="0.2">
      <c r="A2907" s="2">
        <v>2026</v>
      </c>
      <c r="B2907" s="2">
        <v>1</v>
      </c>
      <c r="C2907" s="2" t="s">
        <v>593</v>
      </c>
      <c r="D2907" s="2" t="s">
        <v>38</v>
      </c>
      <c r="E2907" s="2" t="s">
        <v>39</v>
      </c>
      <c r="F2907" s="2">
        <v>510339298</v>
      </c>
      <c r="G2907" s="2" t="s">
        <v>41</v>
      </c>
      <c r="H2907" s="2" t="s">
        <v>178</v>
      </c>
      <c r="I2907" s="2" t="s">
        <v>594</v>
      </c>
      <c r="K2907" s="2" t="s">
        <v>178</v>
      </c>
      <c r="L2907" s="2" t="s">
        <v>41</v>
      </c>
      <c r="O2907" s="2" t="s">
        <v>43</v>
      </c>
      <c r="P2907" s="2" t="s">
        <v>55</v>
      </c>
      <c r="Q2907" s="2" t="s">
        <v>56</v>
      </c>
      <c r="R2907" s="2">
        <v>10</v>
      </c>
      <c r="S2907" s="2">
        <v>140</v>
      </c>
      <c r="T2907" s="2">
        <v>32.200000000000003</v>
      </c>
      <c r="U2907" s="2">
        <v>172.2</v>
      </c>
      <c r="V2907" s="2">
        <f t="shared" si="285"/>
        <v>106</v>
      </c>
      <c r="W2907" s="5">
        <f t="shared" si="281"/>
        <v>0.24285714285714285</v>
      </c>
      <c r="Y2907" s="2" t="s">
        <v>3256</v>
      </c>
      <c r="Z2907" s="2" t="s">
        <v>46</v>
      </c>
      <c r="AA2907" s="2" t="s">
        <v>57</v>
      </c>
      <c r="AB2907" s="2" t="s">
        <v>58</v>
      </c>
      <c r="AE2907" s="2">
        <f t="shared" si="282"/>
        <v>0</v>
      </c>
      <c r="AF2907" s="2">
        <v>10.6</v>
      </c>
      <c r="AG2907" s="2">
        <v>18</v>
      </c>
      <c r="AI2907" s="2">
        <f t="shared" si="283"/>
        <v>0</v>
      </c>
      <c r="AJ2907" s="2">
        <f t="shared" si="284"/>
        <v>34</v>
      </c>
      <c r="AK2907" s="5">
        <f t="shared" si="286"/>
        <v>0.24285714285714285</v>
      </c>
    </row>
    <row r="2908" spans="1:37" x14ac:dyDescent="0.2">
      <c r="A2908" s="2">
        <v>2026</v>
      </c>
      <c r="B2908" s="2">
        <v>1</v>
      </c>
      <c r="C2908" s="2" t="s">
        <v>611</v>
      </c>
      <c r="D2908" s="2" t="s">
        <v>109</v>
      </c>
      <c r="E2908" s="2" t="s">
        <v>39</v>
      </c>
      <c r="F2908" s="2">
        <v>504822187</v>
      </c>
      <c r="G2908" s="2" t="s">
        <v>110</v>
      </c>
      <c r="H2908" s="2" t="s">
        <v>612</v>
      </c>
      <c r="I2908" s="2" t="s">
        <v>613</v>
      </c>
      <c r="J2908" s="2">
        <v>966216853</v>
      </c>
      <c r="K2908" s="2" t="s">
        <v>465</v>
      </c>
      <c r="O2908" s="2" t="s">
        <v>43</v>
      </c>
      <c r="P2908" s="2" t="s">
        <v>55</v>
      </c>
      <c r="Q2908" s="2" t="s">
        <v>56</v>
      </c>
      <c r="R2908" s="2">
        <v>4</v>
      </c>
      <c r="S2908" s="2">
        <v>68</v>
      </c>
      <c r="T2908" s="2">
        <v>15.64</v>
      </c>
      <c r="U2908" s="2">
        <v>83.64</v>
      </c>
      <c r="V2908" s="2">
        <f t="shared" si="285"/>
        <v>42.4</v>
      </c>
      <c r="W2908" s="5">
        <f t="shared" si="281"/>
        <v>0.37647058823529411</v>
      </c>
      <c r="Y2908" s="2" t="s">
        <v>3256</v>
      </c>
      <c r="Z2908" s="2" t="s">
        <v>46</v>
      </c>
      <c r="AA2908" s="2" t="s">
        <v>57</v>
      </c>
      <c r="AB2908" s="2" t="s">
        <v>58</v>
      </c>
      <c r="AE2908" s="2">
        <f t="shared" si="282"/>
        <v>0</v>
      </c>
      <c r="AF2908" s="2">
        <v>10.6</v>
      </c>
      <c r="AG2908" s="2">
        <v>18</v>
      </c>
      <c r="AI2908" s="2">
        <f t="shared" si="283"/>
        <v>0</v>
      </c>
      <c r="AJ2908" s="2">
        <f t="shared" si="284"/>
        <v>25.6</v>
      </c>
      <c r="AK2908" s="5">
        <f t="shared" si="286"/>
        <v>0.37647058823529411</v>
      </c>
    </row>
    <row r="2909" spans="1:37" x14ac:dyDescent="0.2">
      <c r="A2909" s="2">
        <v>2026</v>
      </c>
      <c r="B2909" s="2">
        <v>1</v>
      </c>
      <c r="C2909" s="2" t="s">
        <v>2394</v>
      </c>
      <c r="O2909" s="2" t="s">
        <v>43</v>
      </c>
      <c r="P2909" s="2" t="s">
        <v>55</v>
      </c>
      <c r="Q2909" s="2" t="s">
        <v>56</v>
      </c>
      <c r="R2909" s="2">
        <v>2</v>
      </c>
      <c r="S2909" s="2">
        <v>36</v>
      </c>
      <c r="T2909" s="2">
        <v>8.2800000000000011</v>
      </c>
      <c r="U2909" s="2">
        <v>44.28</v>
      </c>
      <c r="V2909" s="2">
        <f t="shared" si="285"/>
        <v>21.2</v>
      </c>
      <c r="W2909" s="5">
        <f t="shared" si="281"/>
        <v>0.41111111111111115</v>
      </c>
      <c r="Y2909" s="2" t="s">
        <v>3256</v>
      </c>
      <c r="Z2909" s="2" t="s">
        <v>46</v>
      </c>
      <c r="AA2909" s="2" t="s">
        <v>57</v>
      </c>
      <c r="AB2909" s="2" t="s">
        <v>58</v>
      </c>
      <c r="AE2909" s="2">
        <f t="shared" si="282"/>
        <v>0</v>
      </c>
      <c r="AF2909" s="2">
        <v>10.6</v>
      </c>
      <c r="AG2909" s="2">
        <v>18</v>
      </c>
      <c r="AI2909" s="2">
        <f t="shared" si="283"/>
        <v>0</v>
      </c>
      <c r="AJ2909" s="2">
        <f t="shared" si="284"/>
        <v>14.8</v>
      </c>
      <c r="AK2909" s="5">
        <f t="shared" si="286"/>
        <v>0.41111111111111115</v>
      </c>
    </row>
    <row r="2910" spans="1:37" x14ac:dyDescent="0.2">
      <c r="A2910" s="2">
        <v>2026</v>
      </c>
      <c r="B2910" s="2">
        <v>1</v>
      </c>
      <c r="C2910" s="2" t="s">
        <v>1322</v>
      </c>
      <c r="D2910" s="2" t="s">
        <v>38</v>
      </c>
      <c r="E2910" s="2" t="s">
        <v>39</v>
      </c>
      <c r="F2910" s="2">
        <v>509512739</v>
      </c>
      <c r="G2910" s="2" t="s">
        <v>41</v>
      </c>
      <c r="H2910" s="2" t="s">
        <v>178</v>
      </c>
      <c r="I2910" s="2" t="s">
        <v>1323</v>
      </c>
      <c r="K2910" s="2" t="s">
        <v>178</v>
      </c>
      <c r="L2910" s="2" t="s">
        <v>41</v>
      </c>
      <c r="N2910" s="2" t="s">
        <v>2395</v>
      </c>
      <c r="O2910" s="2" t="s">
        <v>43</v>
      </c>
      <c r="P2910" s="2" t="s">
        <v>55</v>
      </c>
      <c r="Q2910" s="2" t="s">
        <v>56</v>
      </c>
      <c r="R2910" s="2">
        <v>2</v>
      </c>
      <c r="S2910" s="2">
        <v>36</v>
      </c>
      <c r="T2910" s="2">
        <v>8.2800000000000011</v>
      </c>
      <c r="U2910" s="2">
        <v>44.28</v>
      </c>
      <c r="V2910" s="2">
        <f t="shared" si="285"/>
        <v>21.2</v>
      </c>
      <c r="W2910" s="5">
        <f t="shared" si="281"/>
        <v>0.41111111111111115</v>
      </c>
      <c r="Y2910" s="2" t="s">
        <v>3256</v>
      </c>
      <c r="Z2910" s="2" t="s">
        <v>46</v>
      </c>
      <c r="AA2910" s="2" t="s">
        <v>57</v>
      </c>
      <c r="AB2910" s="2" t="s">
        <v>58</v>
      </c>
      <c r="AE2910" s="2">
        <f t="shared" si="282"/>
        <v>0</v>
      </c>
      <c r="AF2910" s="2">
        <v>10.6</v>
      </c>
      <c r="AG2910" s="2">
        <v>18</v>
      </c>
      <c r="AI2910" s="2">
        <f t="shared" si="283"/>
        <v>0</v>
      </c>
      <c r="AJ2910" s="2">
        <f t="shared" si="284"/>
        <v>14.8</v>
      </c>
      <c r="AK2910" s="5">
        <f t="shared" si="286"/>
        <v>0.41111111111111115</v>
      </c>
    </row>
    <row r="2911" spans="1:37" x14ac:dyDescent="0.2">
      <c r="A2911" s="2">
        <v>2026</v>
      </c>
      <c r="B2911" s="2">
        <v>1</v>
      </c>
      <c r="C2911" s="2" t="s">
        <v>586</v>
      </c>
      <c r="L2911" s="2" t="s">
        <v>41</v>
      </c>
      <c r="O2911" s="2" t="s">
        <v>43</v>
      </c>
      <c r="P2911" s="2" t="s">
        <v>251</v>
      </c>
      <c r="Q2911" s="2" t="s">
        <v>252</v>
      </c>
      <c r="R2911" s="2">
        <v>1</v>
      </c>
      <c r="S2911" s="2">
        <v>60</v>
      </c>
      <c r="T2911" s="2">
        <v>13.8</v>
      </c>
      <c r="U2911" s="2">
        <v>73.8</v>
      </c>
      <c r="V2911" s="2">
        <v>25.095800000000001</v>
      </c>
      <c r="W2911" s="5">
        <f t="shared" si="281"/>
        <v>0.58173666666666668</v>
      </c>
      <c r="Y2911" s="2" t="s">
        <v>3256</v>
      </c>
      <c r="Z2911" s="2" t="s">
        <v>46</v>
      </c>
      <c r="AA2911" s="2" t="s">
        <v>91</v>
      </c>
      <c r="AB2911" s="2" t="s">
        <v>58</v>
      </c>
      <c r="AE2911" s="2">
        <f t="shared" si="282"/>
        <v>0</v>
      </c>
      <c r="AI2911" s="2">
        <f t="shared" si="283"/>
        <v>0</v>
      </c>
      <c r="AJ2911" s="2">
        <f t="shared" si="284"/>
        <v>34.904200000000003</v>
      </c>
      <c r="AK2911" s="5">
        <f t="shared" si="286"/>
        <v>0.58173666666666668</v>
      </c>
    </row>
    <row r="2912" spans="1:37" x14ac:dyDescent="0.2">
      <c r="A2912" s="2">
        <v>2026</v>
      </c>
      <c r="B2912" s="2">
        <v>1</v>
      </c>
      <c r="C2912" s="2" t="s">
        <v>695</v>
      </c>
      <c r="D2912" s="2" t="s">
        <v>109</v>
      </c>
      <c r="E2912" s="2" t="s">
        <v>39</v>
      </c>
      <c r="F2912" s="2">
        <v>503589950</v>
      </c>
      <c r="G2912" s="2" t="s">
        <v>41</v>
      </c>
      <c r="H2912" s="2" t="s">
        <v>615</v>
      </c>
      <c r="I2912" s="2" t="s">
        <v>696</v>
      </c>
      <c r="J2912" s="2">
        <v>913036545</v>
      </c>
      <c r="K2912" s="2" t="s">
        <v>178</v>
      </c>
      <c r="L2912" s="2" t="s">
        <v>41</v>
      </c>
      <c r="N2912" s="2" t="s">
        <v>2396</v>
      </c>
      <c r="O2912" s="2" t="s">
        <v>43</v>
      </c>
      <c r="P2912" s="2" t="s">
        <v>675</v>
      </c>
      <c r="Q2912" s="2" t="s">
        <v>676</v>
      </c>
      <c r="R2912" s="2">
        <v>1</v>
      </c>
      <c r="S2912" s="2">
        <v>60</v>
      </c>
      <c r="T2912" s="2">
        <v>13.8</v>
      </c>
      <c r="U2912" s="2">
        <v>73.8</v>
      </c>
      <c r="V2912" s="2">
        <v>29.27</v>
      </c>
      <c r="W2912" s="5">
        <f t="shared" si="281"/>
        <v>0.51216666666666666</v>
      </c>
      <c r="Y2912" s="2" t="s">
        <v>3256</v>
      </c>
      <c r="Z2912" s="2" t="s">
        <v>46</v>
      </c>
      <c r="AA2912" s="2" t="s">
        <v>57</v>
      </c>
      <c r="AB2912" s="2" t="s">
        <v>58</v>
      </c>
      <c r="AE2912" s="2">
        <f t="shared" si="282"/>
        <v>0</v>
      </c>
      <c r="AF2912" s="2">
        <v>29.27</v>
      </c>
      <c r="AG2912" s="2">
        <v>60</v>
      </c>
      <c r="AI2912" s="2">
        <f t="shared" si="283"/>
        <v>0</v>
      </c>
      <c r="AJ2912" s="2">
        <f t="shared" si="284"/>
        <v>30.73</v>
      </c>
      <c r="AK2912" s="5">
        <f t="shared" si="286"/>
        <v>0.51216666666666666</v>
      </c>
    </row>
    <row r="2913" spans="1:37" x14ac:dyDescent="0.2">
      <c r="A2913" s="2">
        <v>2026</v>
      </c>
      <c r="B2913" s="2">
        <v>1</v>
      </c>
      <c r="C2913" s="2" t="s">
        <v>37</v>
      </c>
      <c r="D2913" s="2" t="s">
        <v>38</v>
      </c>
      <c r="E2913" s="2" t="s">
        <v>39</v>
      </c>
      <c r="G2913" s="2" t="s">
        <v>40</v>
      </c>
      <c r="L2913" s="2" t="s">
        <v>41</v>
      </c>
      <c r="N2913" s="2" t="s">
        <v>2397</v>
      </c>
      <c r="O2913" s="2" t="s">
        <v>43</v>
      </c>
      <c r="P2913" s="2" t="s">
        <v>59</v>
      </c>
      <c r="Q2913" s="2" t="s">
        <v>60</v>
      </c>
      <c r="R2913" s="2">
        <v>1000</v>
      </c>
      <c r="S2913" s="2">
        <v>130</v>
      </c>
      <c r="T2913" s="2">
        <v>29.9</v>
      </c>
      <c r="U2913" s="2">
        <v>159.9</v>
      </c>
      <c r="V2913" s="2">
        <f>0.0914*R2913</f>
        <v>91.399999999999991</v>
      </c>
      <c r="W2913" s="5">
        <f t="shared" si="281"/>
        <v>0.29692307692307701</v>
      </c>
      <c r="Y2913" s="2" t="s">
        <v>3256</v>
      </c>
      <c r="Z2913" s="2" t="s">
        <v>46</v>
      </c>
      <c r="AA2913" s="2" t="s">
        <v>61</v>
      </c>
      <c r="AB2913" s="2" t="s">
        <v>58</v>
      </c>
      <c r="AE2913" s="2">
        <f t="shared" si="282"/>
        <v>0</v>
      </c>
      <c r="AF2913" s="2">
        <v>9.14</v>
      </c>
      <c r="AG2913" s="2">
        <v>16</v>
      </c>
      <c r="AI2913" s="2">
        <f t="shared" si="283"/>
        <v>0</v>
      </c>
      <c r="AJ2913" s="2">
        <f t="shared" si="284"/>
        <v>38.600000000000009</v>
      </c>
      <c r="AK2913" s="5">
        <f t="shared" si="286"/>
        <v>0.29692307692307701</v>
      </c>
    </row>
    <row r="2914" spans="1:37" x14ac:dyDescent="0.2">
      <c r="A2914" s="2">
        <v>2026</v>
      </c>
      <c r="B2914" s="2">
        <v>1</v>
      </c>
      <c r="C2914" s="2" t="s">
        <v>586</v>
      </c>
      <c r="L2914" s="2" t="s">
        <v>41</v>
      </c>
      <c r="N2914" s="2" t="s">
        <v>2383</v>
      </c>
      <c r="O2914" s="2" t="s">
        <v>43</v>
      </c>
      <c r="P2914" s="2" t="s">
        <v>59</v>
      </c>
      <c r="Q2914" s="2" t="s">
        <v>60</v>
      </c>
      <c r="R2914" s="2">
        <v>100</v>
      </c>
      <c r="S2914" s="2">
        <v>13</v>
      </c>
      <c r="T2914" s="2">
        <v>2.99</v>
      </c>
      <c r="U2914" s="2">
        <v>15.99</v>
      </c>
      <c r="V2914" s="2">
        <f>0.0914*R2914</f>
        <v>9.1399999999999988</v>
      </c>
      <c r="W2914" s="5">
        <f t="shared" si="281"/>
        <v>0.29692307692307701</v>
      </c>
      <c r="Y2914" s="2" t="s">
        <v>3256</v>
      </c>
      <c r="Z2914" s="2" t="s">
        <v>46</v>
      </c>
      <c r="AA2914" s="2" t="s">
        <v>61</v>
      </c>
      <c r="AB2914" s="2" t="s">
        <v>58</v>
      </c>
      <c r="AE2914" s="2">
        <f t="shared" si="282"/>
        <v>0</v>
      </c>
      <c r="AF2914" s="2">
        <v>9.14</v>
      </c>
      <c r="AG2914" s="2">
        <v>16</v>
      </c>
      <c r="AI2914" s="2">
        <f t="shared" si="283"/>
        <v>0</v>
      </c>
      <c r="AJ2914" s="2">
        <f t="shared" si="284"/>
        <v>3.8600000000000012</v>
      </c>
      <c r="AK2914" s="5">
        <f t="shared" si="286"/>
        <v>0.29692307692307701</v>
      </c>
    </row>
    <row r="2915" spans="1:37" x14ac:dyDescent="0.2">
      <c r="A2915" s="2">
        <v>2026</v>
      </c>
      <c r="B2915" s="2">
        <v>1</v>
      </c>
      <c r="C2915" s="2" t="s">
        <v>623</v>
      </c>
      <c r="D2915" s="2" t="s">
        <v>38</v>
      </c>
      <c r="E2915" s="2" t="s">
        <v>39</v>
      </c>
      <c r="F2915" s="2">
        <v>513759654</v>
      </c>
      <c r="G2915" s="2" t="s">
        <v>41</v>
      </c>
      <c r="H2915" s="2" t="s">
        <v>624</v>
      </c>
      <c r="I2915" s="2" t="s">
        <v>625</v>
      </c>
      <c r="K2915" s="2" t="s">
        <v>422</v>
      </c>
      <c r="L2915" s="2" t="s">
        <v>41</v>
      </c>
      <c r="N2915" s="2" t="s">
        <v>2398</v>
      </c>
      <c r="O2915" s="2" t="s">
        <v>43</v>
      </c>
      <c r="P2915" s="2" t="s">
        <v>59</v>
      </c>
      <c r="Q2915" s="2" t="s">
        <v>60</v>
      </c>
      <c r="R2915" s="2">
        <v>100</v>
      </c>
      <c r="S2915" s="2">
        <v>13</v>
      </c>
      <c r="T2915" s="2">
        <v>2.99</v>
      </c>
      <c r="U2915" s="2">
        <v>15.99</v>
      </c>
      <c r="V2915" s="2">
        <f>0.0914*R2915</f>
        <v>9.1399999999999988</v>
      </c>
      <c r="W2915" s="5">
        <f t="shared" ref="W2915:W2946" si="287">(S2915-V2915)/S2915</f>
        <v>0.29692307692307701</v>
      </c>
      <c r="Y2915" s="2" t="s">
        <v>3256</v>
      </c>
      <c r="Z2915" s="2" t="s">
        <v>46</v>
      </c>
      <c r="AA2915" s="2" t="s">
        <v>61</v>
      </c>
      <c r="AB2915" s="2" t="s">
        <v>58</v>
      </c>
      <c r="AE2915" s="2">
        <f t="shared" si="282"/>
        <v>0</v>
      </c>
      <c r="AF2915" s="2">
        <v>9.14</v>
      </c>
      <c r="AG2915" s="2">
        <v>16</v>
      </c>
      <c r="AI2915" s="2">
        <f t="shared" si="283"/>
        <v>0</v>
      </c>
      <c r="AJ2915" s="2">
        <f t="shared" si="284"/>
        <v>3.8600000000000012</v>
      </c>
      <c r="AK2915" s="5">
        <f t="shared" si="286"/>
        <v>0.29692307692307701</v>
      </c>
    </row>
    <row r="2916" spans="1:37" x14ac:dyDescent="0.2">
      <c r="A2916" s="2">
        <v>2026</v>
      </c>
      <c r="B2916" s="2">
        <v>1</v>
      </c>
      <c r="C2916" s="2" t="s">
        <v>37</v>
      </c>
      <c r="D2916" s="2" t="s">
        <v>38</v>
      </c>
      <c r="E2916" s="2" t="s">
        <v>39</v>
      </c>
      <c r="G2916" s="2" t="s">
        <v>40</v>
      </c>
      <c r="O2916" s="2" t="s">
        <v>43</v>
      </c>
      <c r="P2916" s="2" t="s">
        <v>62</v>
      </c>
      <c r="Q2916" s="2" t="s">
        <v>63</v>
      </c>
      <c r="R2916" s="2">
        <v>1200</v>
      </c>
      <c r="S2916" s="2">
        <v>123</v>
      </c>
      <c r="T2916" s="2">
        <v>28.29</v>
      </c>
      <c r="U2916" s="2">
        <v>151.29</v>
      </c>
      <c r="V2916" s="2">
        <f t="shared" ref="V2916:V2924" si="288">0.082*R2916</f>
        <v>98.4</v>
      </c>
      <c r="W2916" s="5">
        <f t="shared" si="287"/>
        <v>0.19999999999999996</v>
      </c>
      <c r="Y2916" s="2" t="s">
        <v>3256</v>
      </c>
      <c r="Z2916" s="2" t="s">
        <v>46</v>
      </c>
      <c r="AA2916" s="2" t="s">
        <v>61</v>
      </c>
      <c r="AB2916" s="2" t="s">
        <v>58</v>
      </c>
      <c r="AE2916" s="2">
        <f t="shared" si="282"/>
        <v>0</v>
      </c>
      <c r="AF2916" s="2">
        <v>8.1999999999999993</v>
      </c>
      <c r="AG2916" s="2">
        <v>13</v>
      </c>
      <c r="AI2916" s="2">
        <f t="shared" si="283"/>
        <v>0</v>
      </c>
      <c r="AJ2916" s="2">
        <f t="shared" si="284"/>
        <v>24.599999999999994</v>
      </c>
      <c r="AK2916" s="5">
        <f t="shared" si="286"/>
        <v>0.19999999999999996</v>
      </c>
    </row>
    <row r="2917" spans="1:37" x14ac:dyDescent="0.2">
      <c r="A2917" s="2">
        <v>2026</v>
      </c>
      <c r="B2917" s="2">
        <v>1</v>
      </c>
      <c r="C2917" s="2" t="s">
        <v>2375</v>
      </c>
      <c r="D2917" s="2" t="s">
        <v>38</v>
      </c>
      <c r="F2917" s="2">
        <v>500888981</v>
      </c>
      <c r="G2917" s="2" t="s">
        <v>40</v>
      </c>
      <c r="H2917" s="2" t="s">
        <v>100</v>
      </c>
      <c r="J2917" s="2">
        <v>918560289</v>
      </c>
      <c r="K2917" s="2" t="s">
        <v>100</v>
      </c>
      <c r="L2917" s="2" t="s">
        <v>81</v>
      </c>
      <c r="N2917" s="2" t="s">
        <v>2376</v>
      </c>
      <c r="O2917" s="2" t="s">
        <v>43</v>
      </c>
      <c r="P2917" s="2" t="s">
        <v>62</v>
      </c>
      <c r="Q2917" s="2" t="s">
        <v>63</v>
      </c>
      <c r="R2917" s="2">
        <v>100</v>
      </c>
      <c r="S2917" s="2">
        <v>13</v>
      </c>
      <c r="T2917" s="2">
        <v>2.99</v>
      </c>
      <c r="U2917" s="2">
        <v>15.99</v>
      </c>
      <c r="V2917" s="2">
        <f t="shared" si="288"/>
        <v>8.2000000000000011</v>
      </c>
      <c r="W2917" s="5">
        <f t="shared" si="287"/>
        <v>0.36923076923076914</v>
      </c>
      <c r="Y2917" s="2" t="s">
        <v>3256</v>
      </c>
      <c r="Z2917" s="2" t="s">
        <v>46</v>
      </c>
      <c r="AA2917" s="2" t="s">
        <v>61</v>
      </c>
      <c r="AB2917" s="2" t="s">
        <v>58</v>
      </c>
      <c r="AE2917" s="2">
        <f t="shared" si="282"/>
        <v>0</v>
      </c>
      <c r="AF2917" s="2">
        <v>8.1999999999999993</v>
      </c>
      <c r="AG2917" s="2">
        <v>13</v>
      </c>
      <c r="AI2917" s="2">
        <f t="shared" si="283"/>
        <v>0</v>
      </c>
      <c r="AJ2917" s="2">
        <f t="shared" si="284"/>
        <v>4.7999999999999989</v>
      </c>
      <c r="AK2917" s="5">
        <f t="shared" si="286"/>
        <v>0.36923076923076914</v>
      </c>
    </row>
    <row r="2918" spans="1:37" x14ac:dyDescent="0.2">
      <c r="A2918" s="2">
        <v>2026</v>
      </c>
      <c r="B2918" s="2">
        <v>1</v>
      </c>
      <c r="C2918" s="2" t="s">
        <v>1149</v>
      </c>
      <c r="D2918" s="2" t="s">
        <v>109</v>
      </c>
      <c r="E2918" s="2" t="s">
        <v>39</v>
      </c>
      <c r="F2918" s="2">
        <v>504576658</v>
      </c>
      <c r="G2918" s="2" t="s">
        <v>41</v>
      </c>
      <c r="H2918" s="2" t="s">
        <v>1150</v>
      </c>
      <c r="I2918" s="2" t="s">
        <v>1151</v>
      </c>
      <c r="K2918" s="2" t="s">
        <v>100</v>
      </c>
      <c r="L2918" s="2" t="s">
        <v>41</v>
      </c>
      <c r="N2918" s="2" t="s">
        <v>2399</v>
      </c>
      <c r="O2918" s="2" t="s">
        <v>43</v>
      </c>
      <c r="P2918" s="2" t="s">
        <v>62</v>
      </c>
      <c r="Q2918" s="2" t="s">
        <v>63</v>
      </c>
      <c r="R2918" s="2">
        <v>1000</v>
      </c>
      <c r="S2918" s="2">
        <v>110</v>
      </c>
      <c r="T2918" s="2">
        <v>25.3</v>
      </c>
      <c r="U2918" s="2">
        <v>135.30000000000001</v>
      </c>
      <c r="V2918" s="2">
        <f t="shared" si="288"/>
        <v>82</v>
      </c>
      <c r="W2918" s="5">
        <f t="shared" si="287"/>
        <v>0.25454545454545452</v>
      </c>
      <c r="Y2918" s="2" t="s">
        <v>3256</v>
      </c>
      <c r="Z2918" s="2" t="s">
        <v>46</v>
      </c>
      <c r="AA2918" s="2" t="s">
        <v>61</v>
      </c>
      <c r="AB2918" s="2" t="s">
        <v>58</v>
      </c>
      <c r="AE2918" s="2">
        <f t="shared" si="282"/>
        <v>0</v>
      </c>
      <c r="AF2918" s="2">
        <v>8.1999999999999993</v>
      </c>
      <c r="AG2918" s="2">
        <v>13</v>
      </c>
      <c r="AI2918" s="2">
        <f t="shared" si="283"/>
        <v>0</v>
      </c>
      <c r="AJ2918" s="2">
        <f t="shared" si="284"/>
        <v>28</v>
      </c>
      <c r="AK2918" s="5">
        <f t="shared" si="286"/>
        <v>0.25454545454545452</v>
      </c>
    </row>
    <row r="2919" spans="1:37" x14ac:dyDescent="0.2">
      <c r="A2919" s="2">
        <v>2026</v>
      </c>
      <c r="B2919" s="2">
        <v>1</v>
      </c>
      <c r="C2919" s="2" t="s">
        <v>787</v>
      </c>
      <c r="D2919" s="2" t="s">
        <v>38</v>
      </c>
      <c r="E2919" s="2" t="s">
        <v>39</v>
      </c>
      <c r="F2919" s="2">
        <v>510219675</v>
      </c>
      <c r="G2919" s="2" t="s">
        <v>40</v>
      </c>
      <c r="H2919" s="2" t="s">
        <v>788</v>
      </c>
      <c r="I2919" s="2" t="s">
        <v>789</v>
      </c>
      <c r="J2919" s="2">
        <v>917341136</v>
      </c>
      <c r="K2919" s="2" t="s">
        <v>100</v>
      </c>
      <c r="L2919" s="2" t="s">
        <v>81</v>
      </c>
      <c r="O2919" s="2" t="s">
        <v>43</v>
      </c>
      <c r="P2919" s="2" t="s">
        <v>62</v>
      </c>
      <c r="Q2919" s="2" t="s">
        <v>63</v>
      </c>
      <c r="R2919" s="2">
        <v>100</v>
      </c>
      <c r="S2919" s="2">
        <v>13</v>
      </c>
      <c r="T2919" s="2">
        <v>2.99</v>
      </c>
      <c r="U2919" s="2">
        <v>15.99</v>
      </c>
      <c r="V2919" s="2">
        <f t="shared" si="288"/>
        <v>8.2000000000000011</v>
      </c>
      <c r="W2919" s="5">
        <f t="shared" si="287"/>
        <v>0.36923076923076914</v>
      </c>
      <c r="Y2919" s="2" t="s">
        <v>3256</v>
      </c>
      <c r="Z2919" s="2" t="s">
        <v>46</v>
      </c>
      <c r="AA2919" s="2" t="s">
        <v>61</v>
      </c>
      <c r="AB2919" s="2" t="s">
        <v>58</v>
      </c>
      <c r="AE2919" s="2">
        <f t="shared" si="282"/>
        <v>0</v>
      </c>
      <c r="AF2919" s="2">
        <v>8.1999999999999993</v>
      </c>
      <c r="AG2919" s="2">
        <v>13</v>
      </c>
      <c r="AI2919" s="2">
        <f t="shared" si="283"/>
        <v>0</v>
      </c>
      <c r="AJ2919" s="2">
        <f t="shared" si="284"/>
        <v>4.7999999999999989</v>
      </c>
      <c r="AK2919" s="5">
        <f t="shared" si="286"/>
        <v>0.36923076923076914</v>
      </c>
    </row>
    <row r="2920" spans="1:37" x14ac:dyDescent="0.2">
      <c r="A2920" s="2">
        <v>2026</v>
      </c>
      <c r="B2920" s="2">
        <v>1</v>
      </c>
      <c r="C2920" s="2" t="s">
        <v>419</v>
      </c>
      <c r="D2920" s="2" t="s">
        <v>38</v>
      </c>
      <c r="E2920" s="2" t="s">
        <v>39</v>
      </c>
      <c r="F2920" s="2">
        <v>219908800</v>
      </c>
      <c r="G2920" s="2" t="s">
        <v>41</v>
      </c>
      <c r="H2920" s="2" t="s">
        <v>420</v>
      </c>
      <c r="I2920" s="2" t="s">
        <v>421</v>
      </c>
      <c r="K2920" s="2" t="s">
        <v>422</v>
      </c>
      <c r="L2920" s="2" t="s">
        <v>41</v>
      </c>
      <c r="O2920" s="2" t="s">
        <v>43</v>
      </c>
      <c r="P2920" s="2" t="s">
        <v>62</v>
      </c>
      <c r="Q2920" s="2" t="s">
        <v>63</v>
      </c>
      <c r="R2920" s="2">
        <v>300</v>
      </c>
      <c r="S2920" s="2">
        <v>39</v>
      </c>
      <c r="T2920" s="2">
        <v>8.9700000000000006</v>
      </c>
      <c r="U2920" s="2">
        <v>47.97</v>
      </c>
      <c r="V2920" s="2">
        <f t="shared" si="288"/>
        <v>24.6</v>
      </c>
      <c r="W2920" s="5">
        <f t="shared" si="287"/>
        <v>0.3692307692307692</v>
      </c>
      <c r="Y2920" s="2" t="s">
        <v>3256</v>
      </c>
      <c r="Z2920" s="2" t="s">
        <v>46</v>
      </c>
      <c r="AA2920" s="2" t="s">
        <v>61</v>
      </c>
      <c r="AB2920" s="2" t="s">
        <v>58</v>
      </c>
      <c r="AE2920" s="2">
        <f t="shared" si="282"/>
        <v>0</v>
      </c>
      <c r="AF2920" s="2">
        <v>8.1999999999999993</v>
      </c>
      <c r="AG2920" s="2">
        <v>13</v>
      </c>
      <c r="AI2920" s="2">
        <f t="shared" si="283"/>
        <v>0</v>
      </c>
      <c r="AJ2920" s="2">
        <f t="shared" si="284"/>
        <v>14.399999999999999</v>
      </c>
      <c r="AK2920" s="5">
        <f t="shared" si="286"/>
        <v>0.3692307692307692</v>
      </c>
    </row>
    <row r="2921" spans="1:37" x14ac:dyDescent="0.2">
      <c r="A2921" s="2">
        <v>2026</v>
      </c>
      <c r="B2921" s="2">
        <v>1</v>
      </c>
      <c r="C2921" s="2" t="s">
        <v>426</v>
      </c>
      <c r="D2921" s="2" t="s">
        <v>99</v>
      </c>
      <c r="E2921" s="2" t="s">
        <v>39</v>
      </c>
      <c r="F2921" s="2">
        <v>503523470</v>
      </c>
      <c r="G2921" s="2" t="s">
        <v>40</v>
      </c>
      <c r="H2921" s="2" t="s">
        <v>427</v>
      </c>
      <c r="I2921" s="2" t="s">
        <v>428</v>
      </c>
      <c r="K2921" s="2" t="s">
        <v>202</v>
      </c>
      <c r="L2921" s="2" t="s">
        <v>81</v>
      </c>
      <c r="O2921" s="2" t="s">
        <v>43</v>
      </c>
      <c r="P2921" s="2" t="s">
        <v>62</v>
      </c>
      <c r="Q2921" s="2" t="s">
        <v>63</v>
      </c>
      <c r="R2921" s="2">
        <v>100</v>
      </c>
      <c r="S2921" s="2">
        <v>13</v>
      </c>
      <c r="T2921" s="2">
        <v>2.99</v>
      </c>
      <c r="U2921" s="2">
        <v>15.99</v>
      </c>
      <c r="V2921" s="2">
        <f t="shared" si="288"/>
        <v>8.2000000000000011</v>
      </c>
      <c r="W2921" s="5">
        <f t="shared" si="287"/>
        <v>0.36923076923076914</v>
      </c>
      <c r="Y2921" s="2" t="s">
        <v>3256</v>
      </c>
      <c r="Z2921" s="2" t="s">
        <v>46</v>
      </c>
      <c r="AA2921" s="2" t="s">
        <v>61</v>
      </c>
      <c r="AB2921" s="2" t="s">
        <v>58</v>
      </c>
      <c r="AE2921" s="2">
        <f t="shared" si="282"/>
        <v>0</v>
      </c>
      <c r="AF2921" s="2">
        <v>8.1999999999999993</v>
      </c>
      <c r="AG2921" s="2">
        <v>13</v>
      </c>
      <c r="AI2921" s="2">
        <f t="shared" si="283"/>
        <v>0</v>
      </c>
      <c r="AJ2921" s="2">
        <f t="shared" si="284"/>
        <v>4.7999999999999989</v>
      </c>
      <c r="AK2921" s="5">
        <f t="shared" si="286"/>
        <v>0.36923076923076914</v>
      </c>
    </row>
    <row r="2922" spans="1:37" x14ac:dyDescent="0.2">
      <c r="A2922" s="2">
        <v>2026</v>
      </c>
      <c r="B2922" s="2">
        <v>1</v>
      </c>
      <c r="C2922" s="2" t="s">
        <v>586</v>
      </c>
      <c r="L2922" s="2" t="s">
        <v>41</v>
      </c>
      <c r="O2922" s="2" t="s">
        <v>43</v>
      </c>
      <c r="P2922" s="2" t="s">
        <v>62</v>
      </c>
      <c r="Q2922" s="2" t="s">
        <v>63</v>
      </c>
      <c r="R2922" s="2">
        <v>1000</v>
      </c>
      <c r="S2922" s="2">
        <v>110</v>
      </c>
      <c r="T2922" s="2">
        <v>25.3</v>
      </c>
      <c r="U2922" s="2">
        <v>135.30000000000001</v>
      </c>
      <c r="V2922" s="2">
        <f t="shared" si="288"/>
        <v>82</v>
      </c>
      <c r="W2922" s="5">
        <f t="shared" si="287"/>
        <v>0.25454545454545452</v>
      </c>
      <c r="Y2922" s="2" t="s">
        <v>3256</v>
      </c>
      <c r="Z2922" s="2" t="s">
        <v>46</v>
      </c>
      <c r="AA2922" s="2" t="s">
        <v>61</v>
      </c>
      <c r="AB2922" s="2" t="s">
        <v>58</v>
      </c>
      <c r="AE2922" s="2">
        <f t="shared" si="282"/>
        <v>0</v>
      </c>
      <c r="AF2922" s="2">
        <v>8.1999999999999993</v>
      </c>
      <c r="AG2922" s="2">
        <v>13</v>
      </c>
      <c r="AI2922" s="2">
        <f t="shared" si="283"/>
        <v>0</v>
      </c>
      <c r="AJ2922" s="2">
        <f t="shared" si="284"/>
        <v>28</v>
      </c>
      <c r="AK2922" s="5">
        <f t="shared" si="286"/>
        <v>0.25454545454545452</v>
      </c>
    </row>
    <row r="2923" spans="1:37" x14ac:dyDescent="0.2">
      <c r="A2923" s="2">
        <v>2026</v>
      </c>
      <c r="B2923" s="2">
        <v>1</v>
      </c>
      <c r="C2923" s="2" t="s">
        <v>611</v>
      </c>
      <c r="D2923" s="2" t="s">
        <v>109</v>
      </c>
      <c r="E2923" s="2" t="s">
        <v>39</v>
      </c>
      <c r="F2923" s="2">
        <v>504822187</v>
      </c>
      <c r="G2923" s="2" t="s">
        <v>110</v>
      </c>
      <c r="H2923" s="2" t="s">
        <v>612</v>
      </c>
      <c r="I2923" s="2" t="s">
        <v>613</v>
      </c>
      <c r="J2923" s="2">
        <v>966216853</v>
      </c>
      <c r="K2923" s="2" t="s">
        <v>465</v>
      </c>
      <c r="O2923" s="2" t="s">
        <v>43</v>
      </c>
      <c r="P2923" s="2" t="s">
        <v>62</v>
      </c>
      <c r="Q2923" s="2" t="s">
        <v>63</v>
      </c>
      <c r="R2923" s="2">
        <v>500</v>
      </c>
      <c r="S2923" s="2">
        <v>60</v>
      </c>
      <c r="T2923" s="2">
        <v>13.8</v>
      </c>
      <c r="U2923" s="2">
        <v>73.8</v>
      </c>
      <c r="V2923" s="2">
        <f t="shared" si="288"/>
        <v>41</v>
      </c>
      <c r="W2923" s="5">
        <f t="shared" si="287"/>
        <v>0.31666666666666665</v>
      </c>
      <c r="Y2923" s="2" t="s">
        <v>3256</v>
      </c>
      <c r="Z2923" s="2" t="s">
        <v>46</v>
      </c>
      <c r="AA2923" s="2" t="s">
        <v>61</v>
      </c>
      <c r="AB2923" s="2" t="s">
        <v>58</v>
      </c>
      <c r="AE2923" s="2">
        <f t="shared" si="282"/>
        <v>0</v>
      </c>
      <c r="AF2923" s="2">
        <v>8.1999999999999993</v>
      </c>
      <c r="AG2923" s="2">
        <v>13</v>
      </c>
      <c r="AI2923" s="2">
        <f t="shared" si="283"/>
        <v>0</v>
      </c>
      <c r="AJ2923" s="2">
        <f t="shared" si="284"/>
        <v>19</v>
      </c>
      <c r="AK2923" s="5">
        <f t="shared" si="286"/>
        <v>0.31666666666666665</v>
      </c>
    </row>
    <row r="2924" spans="1:37" x14ac:dyDescent="0.2">
      <c r="A2924" s="2">
        <v>2026</v>
      </c>
      <c r="B2924" s="2">
        <v>1</v>
      </c>
      <c r="C2924" s="2" t="s">
        <v>2386</v>
      </c>
      <c r="D2924" s="2" t="s">
        <v>109</v>
      </c>
      <c r="E2924" s="2" t="s">
        <v>39</v>
      </c>
      <c r="F2924" s="2">
        <v>503554952</v>
      </c>
      <c r="G2924" s="2" t="s">
        <v>41</v>
      </c>
      <c r="H2924" s="2" t="s">
        <v>2387</v>
      </c>
      <c r="I2924" s="2" t="s">
        <v>2388</v>
      </c>
      <c r="J2924" s="2">
        <v>963062174</v>
      </c>
      <c r="K2924" s="2" t="s">
        <v>422</v>
      </c>
      <c r="L2924" s="2" t="s">
        <v>41</v>
      </c>
      <c r="N2924" s="2" t="s">
        <v>2389</v>
      </c>
      <c r="O2924" s="2" t="s">
        <v>43</v>
      </c>
      <c r="P2924" s="2" t="s">
        <v>62</v>
      </c>
      <c r="Q2924" s="2" t="s">
        <v>63</v>
      </c>
      <c r="R2924" s="2">
        <v>1000</v>
      </c>
      <c r="S2924" s="2">
        <v>110</v>
      </c>
      <c r="T2924" s="2">
        <v>25.3</v>
      </c>
      <c r="U2924" s="2">
        <v>135.30000000000001</v>
      </c>
      <c r="V2924" s="2">
        <f t="shared" si="288"/>
        <v>82</v>
      </c>
      <c r="W2924" s="5">
        <f t="shared" si="287"/>
        <v>0.25454545454545452</v>
      </c>
      <c r="Y2924" s="2" t="s">
        <v>3256</v>
      </c>
      <c r="Z2924" s="2" t="s">
        <v>46</v>
      </c>
      <c r="AA2924" s="2" t="s">
        <v>61</v>
      </c>
      <c r="AB2924" s="2" t="s">
        <v>58</v>
      </c>
      <c r="AE2924" s="2">
        <f t="shared" si="282"/>
        <v>0</v>
      </c>
      <c r="AF2924" s="2">
        <v>8.1999999999999993</v>
      </c>
      <c r="AG2924" s="2">
        <v>13</v>
      </c>
      <c r="AI2924" s="2">
        <f t="shared" si="283"/>
        <v>0</v>
      </c>
      <c r="AJ2924" s="2">
        <f t="shared" si="284"/>
        <v>28</v>
      </c>
      <c r="AK2924" s="5">
        <f t="shared" si="286"/>
        <v>0.25454545454545452</v>
      </c>
    </row>
    <row r="2925" spans="1:37" x14ac:dyDescent="0.2">
      <c r="A2925" s="2">
        <v>2026</v>
      </c>
      <c r="B2925" s="2">
        <v>1</v>
      </c>
      <c r="C2925" s="2" t="s">
        <v>590</v>
      </c>
      <c r="O2925" s="2" t="s">
        <v>43</v>
      </c>
      <c r="P2925" s="2" t="s">
        <v>163</v>
      </c>
      <c r="Q2925" s="2" t="s">
        <v>164</v>
      </c>
      <c r="R2925" s="2">
        <v>1</v>
      </c>
      <c r="S2925" s="2">
        <v>21</v>
      </c>
      <c r="T2925" s="2">
        <v>4.83</v>
      </c>
      <c r="U2925" s="2">
        <v>25.83</v>
      </c>
      <c r="W2925" s="5">
        <f t="shared" si="287"/>
        <v>1</v>
      </c>
      <c r="Y2925" s="2" t="s">
        <v>3256</v>
      </c>
      <c r="Z2925" s="2" t="s">
        <v>46</v>
      </c>
      <c r="AA2925" s="2" t="s">
        <v>47</v>
      </c>
      <c r="AB2925" s="2" t="s">
        <v>48</v>
      </c>
      <c r="AE2925" s="2">
        <f t="shared" si="282"/>
        <v>0</v>
      </c>
      <c r="AI2925" s="2">
        <f t="shared" si="283"/>
        <v>0</v>
      </c>
      <c r="AJ2925" s="2">
        <f t="shared" si="284"/>
        <v>21</v>
      </c>
      <c r="AK2925" s="5">
        <f t="shared" si="286"/>
        <v>1</v>
      </c>
    </row>
    <row r="2926" spans="1:37" x14ac:dyDescent="0.2">
      <c r="A2926" s="2">
        <v>2026</v>
      </c>
      <c r="B2926" s="2">
        <v>1</v>
      </c>
      <c r="C2926" s="2" t="s">
        <v>579</v>
      </c>
      <c r="D2926" s="2" t="s">
        <v>38</v>
      </c>
      <c r="E2926" s="2" t="s">
        <v>39</v>
      </c>
      <c r="F2926" s="2">
        <v>504811029</v>
      </c>
      <c r="G2926" s="2" t="s">
        <v>41</v>
      </c>
      <c r="H2926" s="2" t="s">
        <v>178</v>
      </c>
      <c r="I2926" s="2" t="s">
        <v>580</v>
      </c>
      <c r="K2926" s="2" t="s">
        <v>178</v>
      </c>
      <c r="L2926" s="2" t="s">
        <v>41</v>
      </c>
      <c r="O2926" s="2" t="s">
        <v>43</v>
      </c>
      <c r="P2926" s="2" t="s">
        <v>424</v>
      </c>
      <c r="Q2926" s="2" t="s">
        <v>425</v>
      </c>
      <c r="R2926" s="2">
        <v>29</v>
      </c>
      <c r="S2926" s="2">
        <v>203.4</v>
      </c>
      <c r="T2926" s="2">
        <v>46.781999999999996</v>
      </c>
      <c r="U2926" s="2">
        <v>250.18199999999999</v>
      </c>
      <c r="V2926" s="2">
        <f>3.7556*R2926</f>
        <v>108.91239999999999</v>
      </c>
      <c r="W2926" s="5">
        <f t="shared" si="287"/>
        <v>0.46454080629301875</v>
      </c>
      <c r="Y2926" s="2" t="s">
        <v>3256</v>
      </c>
      <c r="Z2926" s="2" t="s">
        <v>46</v>
      </c>
      <c r="AA2926" s="2" t="s">
        <v>61</v>
      </c>
      <c r="AB2926" s="2" t="s">
        <v>58</v>
      </c>
      <c r="AE2926" s="2">
        <f t="shared" si="282"/>
        <v>0</v>
      </c>
      <c r="AF2926" s="2">
        <v>3.7555999999999998</v>
      </c>
      <c r="AG2926" s="2">
        <v>7.2</v>
      </c>
      <c r="AI2926" s="2">
        <f t="shared" si="283"/>
        <v>0</v>
      </c>
      <c r="AJ2926" s="2">
        <f t="shared" si="284"/>
        <v>94.487600000000015</v>
      </c>
      <c r="AK2926" s="5">
        <f t="shared" si="286"/>
        <v>0.46454080629301875</v>
      </c>
    </row>
    <row r="2927" spans="1:37" x14ac:dyDescent="0.2">
      <c r="A2927" s="2">
        <v>2026</v>
      </c>
      <c r="B2927" s="2">
        <v>1</v>
      </c>
      <c r="C2927" s="2" t="s">
        <v>699</v>
      </c>
      <c r="D2927" s="2" t="s">
        <v>38</v>
      </c>
      <c r="E2927" s="2" t="s">
        <v>39</v>
      </c>
      <c r="F2927" s="2">
        <v>508574358</v>
      </c>
      <c r="G2927" s="2" t="s">
        <v>41</v>
      </c>
      <c r="H2927" s="2" t="s">
        <v>328</v>
      </c>
      <c r="I2927" s="2" t="s">
        <v>701</v>
      </c>
      <c r="J2927" s="2">
        <v>917295518</v>
      </c>
      <c r="K2927" s="2" t="s">
        <v>178</v>
      </c>
      <c r="L2927" s="2" t="s">
        <v>41</v>
      </c>
      <c r="O2927" s="2" t="s">
        <v>43</v>
      </c>
      <c r="P2927" s="2" t="s">
        <v>584</v>
      </c>
      <c r="Q2927" s="2" t="s">
        <v>585</v>
      </c>
      <c r="R2927" s="2">
        <v>8</v>
      </c>
      <c r="S2927" s="2">
        <v>19.2</v>
      </c>
      <c r="T2927" s="2">
        <v>4.4160000000000004</v>
      </c>
      <c r="U2927" s="2">
        <v>23.616</v>
      </c>
      <c r="V2927" s="2">
        <f>1.4114*R2927</f>
        <v>11.2912</v>
      </c>
      <c r="W2927" s="5">
        <f t="shared" si="287"/>
        <v>0.41191666666666665</v>
      </c>
      <c r="Y2927" s="2" t="s">
        <v>3256</v>
      </c>
      <c r="Z2927" s="2" t="s">
        <v>46</v>
      </c>
      <c r="AA2927" s="2" t="s">
        <v>61</v>
      </c>
      <c r="AB2927" s="2" t="s">
        <v>58</v>
      </c>
      <c r="AE2927" s="2">
        <f t="shared" si="282"/>
        <v>0</v>
      </c>
      <c r="AF2927" s="2">
        <v>1.4114</v>
      </c>
      <c r="AG2927" s="2">
        <v>3</v>
      </c>
      <c r="AI2927" s="2">
        <f t="shared" si="283"/>
        <v>0</v>
      </c>
      <c r="AJ2927" s="2">
        <f t="shared" si="284"/>
        <v>7.9087999999999994</v>
      </c>
      <c r="AK2927" s="5">
        <f t="shared" ref="AK2927:AK2958" si="289">(S2927-V2927)/S2927</f>
        <v>0.41191666666666665</v>
      </c>
    </row>
    <row r="2928" spans="1:37" x14ac:dyDescent="0.2">
      <c r="A2928" s="2">
        <v>2026</v>
      </c>
      <c r="B2928" s="2">
        <v>1</v>
      </c>
      <c r="C2928" s="2" t="s">
        <v>2253</v>
      </c>
      <c r="O2928" s="2" t="s">
        <v>43</v>
      </c>
      <c r="P2928" s="2" t="s">
        <v>2400</v>
      </c>
      <c r="Q2928" s="2" t="s">
        <v>2401</v>
      </c>
      <c r="R2928" s="2">
        <v>1</v>
      </c>
      <c r="S2928" s="2">
        <v>60</v>
      </c>
      <c r="T2928" s="2">
        <v>13.8</v>
      </c>
      <c r="U2928" s="2">
        <v>73.8</v>
      </c>
      <c r="W2928" s="5">
        <f t="shared" si="287"/>
        <v>1</v>
      </c>
      <c r="Y2928" s="2" t="s">
        <v>3256</v>
      </c>
      <c r="Z2928" s="2" t="s">
        <v>46</v>
      </c>
      <c r="AA2928" s="2" t="s">
        <v>91</v>
      </c>
      <c r="AB2928" s="2" t="s">
        <v>58</v>
      </c>
      <c r="AE2928" s="2">
        <f t="shared" si="282"/>
        <v>0</v>
      </c>
      <c r="AI2928" s="2">
        <f t="shared" si="283"/>
        <v>0</v>
      </c>
      <c r="AJ2928" s="2">
        <f t="shared" si="284"/>
        <v>60</v>
      </c>
      <c r="AK2928" s="5">
        <f t="shared" si="289"/>
        <v>1</v>
      </c>
    </row>
    <row r="2929" spans="1:37" x14ac:dyDescent="0.2">
      <c r="A2929" s="2">
        <v>2026</v>
      </c>
      <c r="B2929" s="2">
        <v>1</v>
      </c>
      <c r="C2929" s="2" t="s">
        <v>1606</v>
      </c>
      <c r="O2929" s="2" t="s">
        <v>43</v>
      </c>
      <c r="P2929" s="2" t="s">
        <v>2400</v>
      </c>
      <c r="Q2929" s="2" t="s">
        <v>2401</v>
      </c>
      <c r="R2929" s="2">
        <v>3</v>
      </c>
      <c r="S2929" s="2">
        <v>150</v>
      </c>
      <c r="T2929" s="2">
        <v>34.5</v>
      </c>
      <c r="U2929" s="2">
        <v>184.5</v>
      </c>
      <c r="W2929" s="5">
        <f t="shared" si="287"/>
        <v>1</v>
      </c>
      <c r="Y2929" s="2" t="s">
        <v>3256</v>
      </c>
      <c r="Z2929" s="2" t="s">
        <v>46</v>
      </c>
      <c r="AA2929" s="2" t="s">
        <v>91</v>
      </c>
      <c r="AB2929" s="2" t="s">
        <v>58</v>
      </c>
      <c r="AE2929" s="2">
        <f t="shared" si="282"/>
        <v>0</v>
      </c>
      <c r="AI2929" s="2">
        <f t="shared" si="283"/>
        <v>0</v>
      </c>
      <c r="AJ2929" s="2">
        <f t="shared" si="284"/>
        <v>150</v>
      </c>
      <c r="AK2929" s="5">
        <f t="shared" si="289"/>
        <v>1</v>
      </c>
    </row>
    <row r="2930" spans="1:37" x14ac:dyDescent="0.2">
      <c r="A2930" s="2">
        <v>2026</v>
      </c>
      <c r="B2930" s="2">
        <v>1</v>
      </c>
      <c r="C2930" s="2" t="s">
        <v>320</v>
      </c>
      <c r="D2930" s="2" t="s">
        <v>38</v>
      </c>
      <c r="E2930" s="2" t="s">
        <v>39</v>
      </c>
      <c r="F2930" s="2">
        <v>500883262</v>
      </c>
      <c r="G2930" s="2" t="s">
        <v>40</v>
      </c>
      <c r="H2930" s="2" t="s">
        <v>100</v>
      </c>
      <c r="I2930" s="2" t="s">
        <v>321</v>
      </c>
      <c r="K2930" s="2" t="s">
        <v>100</v>
      </c>
      <c r="L2930" s="2" t="s">
        <v>81</v>
      </c>
      <c r="N2930" s="2" t="s">
        <v>2402</v>
      </c>
      <c r="O2930" s="2" t="s">
        <v>43</v>
      </c>
      <c r="P2930" s="2" t="s">
        <v>977</v>
      </c>
      <c r="Q2930" s="2" t="s">
        <v>978</v>
      </c>
      <c r="R2930" s="2">
        <v>24</v>
      </c>
      <c r="S2930" s="2">
        <v>648</v>
      </c>
      <c r="T2930" s="2">
        <v>149.04</v>
      </c>
      <c r="U2930" s="2">
        <v>797.04</v>
      </c>
      <c r="W2930" s="5">
        <f t="shared" si="287"/>
        <v>1</v>
      </c>
      <c r="Y2930" s="2" t="s">
        <v>3256</v>
      </c>
      <c r="Z2930" s="2" t="s">
        <v>46</v>
      </c>
      <c r="AA2930" s="2" t="s">
        <v>61</v>
      </c>
      <c r="AB2930" s="2" t="s">
        <v>58</v>
      </c>
      <c r="AE2930" s="2">
        <f t="shared" si="282"/>
        <v>0</v>
      </c>
      <c r="AI2930" s="2">
        <f t="shared" si="283"/>
        <v>0</v>
      </c>
      <c r="AJ2930" s="2">
        <f t="shared" si="284"/>
        <v>648</v>
      </c>
      <c r="AK2930" s="5">
        <f t="shared" si="289"/>
        <v>1</v>
      </c>
    </row>
    <row r="2931" spans="1:37" x14ac:dyDescent="0.2">
      <c r="A2931" s="2">
        <v>2026</v>
      </c>
      <c r="B2931" s="2">
        <v>1</v>
      </c>
      <c r="C2931" s="2" t="s">
        <v>320</v>
      </c>
      <c r="D2931" s="2" t="s">
        <v>38</v>
      </c>
      <c r="E2931" s="2" t="s">
        <v>39</v>
      </c>
      <c r="F2931" s="2">
        <v>500883262</v>
      </c>
      <c r="G2931" s="2" t="s">
        <v>40</v>
      </c>
      <c r="H2931" s="2" t="s">
        <v>100</v>
      </c>
      <c r="I2931" s="2" t="s">
        <v>321</v>
      </c>
      <c r="K2931" s="2" t="s">
        <v>100</v>
      </c>
      <c r="L2931" s="2" t="s">
        <v>81</v>
      </c>
      <c r="N2931" s="2" t="s">
        <v>2402</v>
      </c>
      <c r="O2931" s="2" t="s">
        <v>43</v>
      </c>
      <c r="P2931" s="2" t="s">
        <v>979</v>
      </c>
      <c r="Q2931" s="2" t="s">
        <v>980</v>
      </c>
      <c r="R2931" s="2">
        <v>8</v>
      </c>
      <c r="S2931" s="2">
        <v>216</v>
      </c>
      <c r="T2931" s="2">
        <v>49.68</v>
      </c>
      <c r="U2931" s="2">
        <v>265.68</v>
      </c>
      <c r="W2931" s="5">
        <f t="shared" si="287"/>
        <v>1</v>
      </c>
      <c r="Y2931" s="2" t="s">
        <v>3256</v>
      </c>
      <c r="Z2931" s="2" t="s">
        <v>46</v>
      </c>
      <c r="AA2931" s="2" t="s">
        <v>61</v>
      </c>
      <c r="AB2931" s="2" t="s">
        <v>58</v>
      </c>
      <c r="AE2931" s="2">
        <f t="shared" si="282"/>
        <v>0</v>
      </c>
      <c r="AI2931" s="2">
        <f t="shared" si="283"/>
        <v>0</v>
      </c>
      <c r="AJ2931" s="2">
        <f t="shared" si="284"/>
        <v>216</v>
      </c>
      <c r="AK2931" s="5">
        <f t="shared" si="289"/>
        <v>1</v>
      </c>
    </row>
    <row r="2932" spans="1:37" x14ac:dyDescent="0.2">
      <c r="A2932" s="2">
        <v>2026</v>
      </c>
      <c r="B2932" s="2">
        <v>1</v>
      </c>
      <c r="C2932" s="2" t="s">
        <v>771</v>
      </c>
      <c r="D2932" s="2" t="s">
        <v>38</v>
      </c>
      <c r="F2932" s="2">
        <v>513686231</v>
      </c>
      <c r="G2932" s="2" t="s">
        <v>291</v>
      </c>
      <c r="H2932" s="2" t="s">
        <v>772</v>
      </c>
      <c r="I2932" s="2" t="s">
        <v>773</v>
      </c>
      <c r="K2932" s="2" t="s">
        <v>484</v>
      </c>
      <c r="L2932" s="2" t="s">
        <v>81</v>
      </c>
      <c r="N2932" s="2" t="s">
        <v>2390</v>
      </c>
      <c r="O2932" s="2" t="s">
        <v>43</v>
      </c>
      <c r="P2932" s="2" t="s">
        <v>165</v>
      </c>
      <c r="Q2932" s="2" t="s">
        <v>166</v>
      </c>
      <c r="R2932" s="2">
        <v>11</v>
      </c>
      <c r="S2932" s="2">
        <v>160.05000000000001</v>
      </c>
      <c r="T2932" s="2">
        <v>36.811500000000002</v>
      </c>
      <c r="U2932" s="2">
        <v>196.86150000000001</v>
      </c>
      <c r="V2932" s="2">
        <f>7.9612*R2932</f>
        <v>87.5732</v>
      </c>
      <c r="W2932" s="5">
        <f t="shared" si="287"/>
        <v>0.45283848797250864</v>
      </c>
      <c r="Y2932" s="2" t="s">
        <v>3256</v>
      </c>
      <c r="Z2932" s="2" t="s">
        <v>46</v>
      </c>
      <c r="AA2932" s="2" t="s">
        <v>68</v>
      </c>
      <c r="AB2932" s="2" t="s">
        <v>58</v>
      </c>
      <c r="AE2932" s="2">
        <f t="shared" si="282"/>
        <v>0</v>
      </c>
      <c r="AF2932" s="2">
        <v>7.9611999999999998</v>
      </c>
      <c r="AG2932" s="2">
        <v>14.4</v>
      </c>
      <c r="AI2932" s="2">
        <f t="shared" si="283"/>
        <v>0</v>
      </c>
      <c r="AJ2932" s="2">
        <f t="shared" si="284"/>
        <v>72.476800000000011</v>
      </c>
      <c r="AK2932" s="5">
        <f t="shared" si="289"/>
        <v>0.45283848797250864</v>
      </c>
    </row>
    <row r="2933" spans="1:37" x14ac:dyDescent="0.2">
      <c r="A2933" s="2">
        <v>2026</v>
      </c>
      <c r="B2933" s="2">
        <v>1</v>
      </c>
      <c r="C2933" s="2" t="s">
        <v>2394</v>
      </c>
      <c r="O2933" s="2" t="s">
        <v>43</v>
      </c>
      <c r="P2933" s="2" t="s">
        <v>165</v>
      </c>
      <c r="Q2933" s="2" t="s">
        <v>166</v>
      </c>
      <c r="R2933" s="2">
        <v>1</v>
      </c>
      <c r="S2933" s="2">
        <v>14.5</v>
      </c>
      <c r="T2933" s="2">
        <v>3.335</v>
      </c>
      <c r="U2933" s="2">
        <v>17.835000000000001</v>
      </c>
      <c r="V2933" s="2">
        <f>7.9612*R2933</f>
        <v>7.9611999999999998</v>
      </c>
      <c r="W2933" s="5">
        <f t="shared" si="287"/>
        <v>0.45095172413793105</v>
      </c>
      <c r="Y2933" s="2" t="s">
        <v>3256</v>
      </c>
      <c r="Z2933" s="2" t="s">
        <v>46</v>
      </c>
      <c r="AA2933" s="2" t="s">
        <v>68</v>
      </c>
      <c r="AB2933" s="2" t="s">
        <v>58</v>
      </c>
      <c r="AE2933" s="2">
        <f t="shared" si="282"/>
        <v>0</v>
      </c>
      <c r="AF2933" s="2">
        <v>7.9611999999999998</v>
      </c>
      <c r="AG2933" s="2">
        <v>14.4</v>
      </c>
      <c r="AI2933" s="2">
        <f t="shared" si="283"/>
        <v>0</v>
      </c>
      <c r="AJ2933" s="2">
        <f t="shared" si="284"/>
        <v>6.5388000000000002</v>
      </c>
      <c r="AK2933" s="5">
        <f t="shared" si="289"/>
        <v>0.45095172413793105</v>
      </c>
    </row>
    <row r="2934" spans="1:37" x14ac:dyDescent="0.2">
      <c r="A2934" s="2">
        <v>2026</v>
      </c>
      <c r="B2934" s="2">
        <v>1</v>
      </c>
      <c r="C2934" s="2" t="s">
        <v>2236</v>
      </c>
      <c r="L2934" s="2" t="s">
        <v>41</v>
      </c>
      <c r="O2934" s="2" t="s">
        <v>43</v>
      </c>
      <c r="P2934" s="2" t="s">
        <v>66</v>
      </c>
      <c r="Q2934" s="2" t="s">
        <v>67</v>
      </c>
      <c r="R2934" s="2">
        <v>2</v>
      </c>
      <c r="S2934" s="2">
        <v>47</v>
      </c>
      <c r="T2934" s="2">
        <v>10.81</v>
      </c>
      <c r="U2934" s="2">
        <v>57.81</v>
      </c>
      <c r="V2934" s="2">
        <f>15.0203*R2934</f>
        <v>30.040600000000001</v>
      </c>
      <c r="W2934" s="5">
        <f t="shared" si="287"/>
        <v>0.3608382978723404</v>
      </c>
      <c r="Y2934" s="2" t="s">
        <v>3256</v>
      </c>
      <c r="Z2934" s="2" t="s">
        <v>46</v>
      </c>
      <c r="AA2934" s="2" t="s">
        <v>68</v>
      </c>
      <c r="AB2934" s="2" t="s">
        <v>58</v>
      </c>
      <c r="AE2934" s="2">
        <f t="shared" si="282"/>
        <v>0</v>
      </c>
      <c r="AF2934" s="2">
        <v>15.020300000000001</v>
      </c>
      <c r="AG2934" s="2">
        <v>27.6</v>
      </c>
      <c r="AI2934" s="2">
        <f t="shared" si="283"/>
        <v>0</v>
      </c>
      <c r="AJ2934" s="2">
        <f t="shared" si="284"/>
        <v>16.959399999999999</v>
      </c>
      <c r="AK2934" s="5">
        <f t="shared" si="289"/>
        <v>0.3608382978723404</v>
      </c>
    </row>
    <row r="2935" spans="1:37" x14ac:dyDescent="0.2">
      <c r="A2935" s="2">
        <v>2026</v>
      </c>
      <c r="B2935" s="2">
        <v>1</v>
      </c>
      <c r="C2935" s="2" t="s">
        <v>419</v>
      </c>
      <c r="D2935" s="2" t="s">
        <v>38</v>
      </c>
      <c r="E2935" s="2" t="s">
        <v>39</v>
      </c>
      <c r="F2935" s="2">
        <v>219908800</v>
      </c>
      <c r="G2935" s="2" t="s">
        <v>41</v>
      </c>
      <c r="H2935" s="2" t="s">
        <v>420</v>
      </c>
      <c r="I2935" s="2" t="s">
        <v>421</v>
      </c>
      <c r="K2935" s="2" t="s">
        <v>422</v>
      </c>
      <c r="L2935" s="2" t="s">
        <v>41</v>
      </c>
      <c r="O2935" s="2" t="s">
        <v>43</v>
      </c>
      <c r="P2935" s="2" t="s">
        <v>66</v>
      </c>
      <c r="Q2935" s="2" t="s">
        <v>67</v>
      </c>
      <c r="R2935" s="2">
        <v>2</v>
      </c>
      <c r="S2935" s="2">
        <v>47</v>
      </c>
      <c r="T2935" s="2">
        <v>10.81</v>
      </c>
      <c r="U2935" s="2">
        <v>57.81</v>
      </c>
      <c r="V2935" s="2">
        <f>15.0203*R2935</f>
        <v>30.040600000000001</v>
      </c>
      <c r="W2935" s="5">
        <f t="shared" si="287"/>
        <v>0.3608382978723404</v>
      </c>
      <c r="Y2935" s="2" t="s">
        <v>3256</v>
      </c>
      <c r="Z2935" s="2" t="s">
        <v>46</v>
      </c>
      <c r="AA2935" s="2" t="s">
        <v>68</v>
      </c>
      <c r="AB2935" s="2" t="s">
        <v>58</v>
      </c>
      <c r="AE2935" s="2">
        <f t="shared" si="282"/>
        <v>0</v>
      </c>
      <c r="AF2935" s="2">
        <v>15.020300000000001</v>
      </c>
      <c r="AG2935" s="2">
        <v>27.6</v>
      </c>
      <c r="AI2935" s="2">
        <f t="shared" si="283"/>
        <v>0</v>
      </c>
      <c r="AJ2935" s="2">
        <f t="shared" si="284"/>
        <v>16.959399999999999</v>
      </c>
      <c r="AK2935" s="5">
        <f t="shared" si="289"/>
        <v>0.3608382978723404</v>
      </c>
    </row>
    <row r="2936" spans="1:37" x14ac:dyDescent="0.2">
      <c r="A2936" s="2">
        <v>2026</v>
      </c>
      <c r="B2936" s="2">
        <v>1</v>
      </c>
      <c r="C2936" s="2" t="s">
        <v>587</v>
      </c>
      <c r="D2936" s="2" t="s">
        <v>109</v>
      </c>
      <c r="F2936" s="2">
        <v>503850276</v>
      </c>
      <c r="G2936" s="2" t="s">
        <v>40</v>
      </c>
      <c r="H2936" s="2" t="s">
        <v>588</v>
      </c>
      <c r="I2936" s="2" t="s">
        <v>589</v>
      </c>
      <c r="K2936" s="2" t="s">
        <v>202</v>
      </c>
      <c r="L2936" s="2" t="s">
        <v>81</v>
      </c>
      <c r="O2936" s="2" t="s">
        <v>43</v>
      </c>
      <c r="P2936" s="2" t="s">
        <v>66</v>
      </c>
      <c r="Q2936" s="2" t="s">
        <v>67</v>
      </c>
      <c r="R2936" s="2">
        <v>10</v>
      </c>
      <c r="S2936" s="2">
        <v>220</v>
      </c>
      <c r="T2936" s="2">
        <v>50.6</v>
      </c>
      <c r="U2936" s="2">
        <v>270.60000000000002</v>
      </c>
      <c r="V2936" s="2">
        <f>15.0203*R2936</f>
        <v>150.203</v>
      </c>
      <c r="W2936" s="5">
        <f t="shared" si="287"/>
        <v>0.31725909090909088</v>
      </c>
      <c r="Y2936" s="2" t="s">
        <v>3256</v>
      </c>
      <c r="Z2936" s="2" t="s">
        <v>46</v>
      </c>
      <c r="AA2936" s="2" t="s">
        <v>68</v>
      </c>
      <c r="AB2936" s="2" t="s">
        <v>58</v>
      </c>
      <c r="AE2936" s="2">
        <f t="shared" si="282"/>
        <v>0</v>
      </c>
      <c r="AF2936" s="2">
        <v>15.020300000000001</v>
      </c>
      <c r="AG2936" s="2">
        <v>27.6</v>
      </c>
      <c r="AI2936" s="2">
        <f t="shared" si="283"/>
        <v>0</v>
      </c>
      <c r="AJ2936" s="2">
        <f t="shared" si="284"/>
        <v>69.796999999999997</v>
      </c>
      <c r="AK2936" s="5">
        <f t="shared" si="289"/>
        <v>0.31725909090909088</v>
      </c>
    </row>
    <row r="2937" spans="1:37" x14ac:dyDescent="0.2">
      <c r="A2937" s="2">
        <v>2026</v>
      </c>
      <c r="B2937" s="2">
        <v>1</v>
      </c>
      <c r="C2937" s="2" t="s">
        <v>2403</v>
      </c>
      <c r="O2937" s="2" t="s">
        <v>43</v>
      </c>
      <c r="P2937" s="2" t="s">
        <v>261</v>
      </c>
      <c r="Q2937" s="2" t="s">
        <v>262</v>
      </c>
      <c r="R2937" s="2">
        <v>4</v>
      </c>
      <c r="S2937" s="2">
        <v>54</v>
      </c>
      <c r="T2937" s="2">
        <v>12.42</v>
      </c>
      <c r="U2937" s="2">
        <v>66.42</v>
      </c>
      <c r="V2937" s="2">
        <f>8.3145*R2937</f>
        <v>33.258000000000003</v>
      </c>
      <c r="W2937" s="5">
        <f t="shared" si="287"/>
        <v>0.38411111111111107</v>
      </c>
      <c r="Y2937" s="2" t="s">
        <v>3256</v>
      </c>
      <c r="Z2937" s="2" t="s">
        <v>46</v>
      </c>
      <c r="AA2937" s="2" t="s">
        <v>68</v>
      </c>
      <c r="AB2937" s="2" t="s">
        <v>58</v>
      </c>
      <c r="AE2937" s="2">
        <f t="shared" si="282"/>
        <v>0</v>
      </c>
      <c r="AF2937" s="2">
        <v>8.3145000000000007</v>
      </c>
      <c r="AG2937" s="2">
        <v>15</v>
      </c>
      <c r="AI2937" s="2">
        <f t="shared" si="283"/>
        <v>0</v>
      </c>
      <c r="AJ2937" s="2">
        <f t="shared" si="284"/>
        <v>20.741999999999997</v>
      </c>
      <c r="AK2937" s="5">
        <f t="shared" si="289"/>
        <v>0.38411111111111107</v>
      </c>
    </row>
    <row r="2938" spans="1:37" x14ac:dyDescent="0.2">
      <c r="A2938" s="2">
        <v>2026</v>
      </c>
      <c r="B2938" s="2">
        <v>1</v>
      </c>
      <c r="C2938" s="2" t="s">
        <v>37</v>
      </c>
      <c r="D2938" s="2" t="s">
        <v>38</v>
      </c>
      <c r="E2938" s="2" t="s">
        <v>39</v>
      </c>
      <c r="G2938" s="2" t="s">
        <v>40</v>
      </c>
      <c r="L2938" s="2" t="s">
        <v>110</v>
      </c>
      <c r="O2938" s="2" t="s">
        <v>3260</v>
      </c>
      <c r="P2938" s="2" t="s">
        <v>2404</v>
      </c>
      <c r="Q2938" s="2" t="s">
        <v>2405</v>
      </c>
      <c r="R2938" s="2">
        <v>1</v>
      </c>
      <c r="S2938" s="2">
        <v>2032.52</v>
      </c>
      <c r="T2938" s="2">
        <v>467.4796</v>
      </c>
      <c r="U2938" s="2">
        <v>2499.9996000000001</v>
      </c>
      <c r="V2938" s="2">
        <v>784.6395</v>
      </c>
      <c r="W2938" s="5">
        <f t="shared" si="287"/>
        <v>0.61395730423316863</v>
      </c>
      <c r="Y2938" s="2" t="s">
        <v>105</v>
      </c>
      <c r="Z2938" s="2" t="s">
        <v>151</v>
      </c>
      <c r="AA2938" s="2" t="s">
        <v>152</v>
      </c>
      <c r="AB2938" s="2" t="s">
        <v>3260</v>
      </c>
      <c r="AE2938" s="2">
        <f t="shared" si="282"/>
        <v>0</v>
      </c>
      <c r="AI2938" s="2">
        <f t="shared" si="283"/>
        <v>0</v>
      </c>
      <c r="AJ2938" s="2">
        <f t="shared" si="284"/>
        <v>1247.8805</v>
      </c>
      <c r="AK2938" s="5">
        <f t="shared" si="289"/>
        <v>0.61395730423316863</v>
      </c>
    </row>
    <row r="2939" spans="1:37" x14ac:dyDescent="0.2">
      <c r="A2939" s="2">
        <v>2026</v>
      </c>
      <c r="B2939" s="2">
        <v>1</v>
      </c>
      <c r="C2939" s="2" t="s">
        <v>1187</v>
      </c>
      <c r="D2939" s="2" t="s">
        <v>38</v>
      </c>
      <c r="F2939" s="2">
        <v>502089075</v>
      </c>
      <c r="G2939" s="2" t="s">
        <v>41</v>
      </c>
      <c r="H2939" s="2" t="s">
        <v>1188</v>
      </c>
      <c r="I2939" s="2" t="s">
        <v>1189</v>
      </c>
      <c r="K2939" s="2" t="s">
        <v>465</v>
      </c>
      <c r="L2939" s="2" t="s">
        <v>41</v>
      </c>
      <c r="N2939" s="2" t="s">
        <v>2406</v>
      </c>
      <c r="O2939" s="2" t="s">
        <v>167</v>
      </c>
      <c r="P2939" s="2" t="s">
        <v>2407</v>
      </c>
      <c r="Q2939" s="2" t="s">
        <v>2408</v>
      </c>
      <c r="R2939" s="2">
        <v>100</v>
      </c>
      <c r="S2939" s="2">
        <v>5</v>
      </c>
      <c r="T2939" s="2">
        <v>1.1499999999999999</v>
      </c>
      <c r="U2939" s="2">
        <v>6.15</v>
      </c>
      <c r="W2939" s="5">
        <f t="shared" si="287"/>
        <v>1</v>
      </c>
      <c r="Y2939" s="2" t="s">
        <v>3256</v>
      </c>
      <c r="Z2939" s="2" t="s">
        <v>88</v>
      </c>
      <c r="AA2939" s="2" t="s">
        <v>120</v>
      </c>
      <c r="AB2939" s="2" t="s">
        <v>167</v>
      </c>
      <c r="AE2939" s="2">
        <f t="shared" si="282"/>
        <v>0</v>
      </c>
      <c r="AI2939" s="2">
        <f t="shared" si="283"/>
        <v>0</v>
      </c>
      <c r="AJ2939" s="2">
        <f t="shared" si="284"/>
        <v>5</v>
      </c>
      <c r="AK2939" s="5">
        <f t="shared" si="289"/>
        <v>1</v>
      </c>
    </row>
    <row r="2940" spans="1:37" x14ac:dyDescent="0.2">
      <c r="A2940" s="2">
        <v>2026</v>
      </c>
      <c r="B2940" s="2">
        <v>1</v>
      </c>
      <c r="C2940" s="2" t="s">
        <v>2409</v>
      </c>
      <c r="O2940" s="2" t="s">
        <v>69</v>
      </c>
      <c r="P2940" s="2" t="s">
        <v>2410</v>
      </c>
      <c r="Q2940" s="2" t="s">
        <v>2411</v>
      </c>
      <c r="R2940" s="2">
        <v>1</v>
      </c>
      <c r="S2940" s="2">
        <v>2300</v>
      </c>
      <c r="T2940" s="2">
        <v>529</v>
      </c>
      <c r="U2940" s="2">
        <v>2829</v>
      </c>
      <c r="W2940" s="5">
        <f t="shared" si="287"/>
        <v>1</v>
      </c>
      <c r="Y2940" s="2" t="s">
        <v>105</v>
      </c>
      <c r="Z2940" s="2" t="s">
        <v>306</v>
      </c>
      <c r="AA2940" s="2" t="s">
        <v>107</v>
      </c>
      <c r="AB2940" s="2" t="s">
        <v>3261</v>
      </c>
      <c r="AE2940" s="2">
        <f t="shared" si="282"/>
        <v>0</v>
      </c>
      <c r="AI2940" s="2">
        <f t="shared" si="283"/>
        <v>0</v>
      </c>
      <c r="AJ2940" s="2">
        <f t="shared" si="284"/>
        <v>2300</v>
      </c>
      <c r="AK2940" s="5">
        <f t="shared" si="289"/>
        <v>1</v>
      </c>
    </row>
    <row r="2941" spans="1:37" x14ac:dyDescent="0.2">
      <c r="A2941" s="2">
        <v>2026</v>
      </c>
      <c r="B2941" s="2">
        <v>1</v>
      </c>
      <c r="C2941" s="2" t="s">
        <v>1531</v>
      </c>
      <c r="L2941" s="2" t="s">
        <v>110</v>
      </c>
      <c r="O2941" s="2" t="s">
        <v>69</v>
      </c>
      <c r="P2941" s="2" t="s">
        <v>1532</v>
      </c>
      <c r="Q2941" s="2" t="s">
        <v>1533</v>
      </c>
      <c r="R2941" s="2">
        <v>1</v>
      </c>
      <c r="S2941" s="2">
        <v>3100</v>
      </c>
      <c r="T2941" s="2">
        <v>713</v>
      </c>
      <c r="U2941" s="2">
        <v>3813</v>
      </c>
      <c r="V2941" s="2">
        <v>2410.69</v>
      </c>
      <c r="W2941" s="5">
        <f t="shared" si="287"/>
        <v>0.22235806451612902</v>
      </c>
      <c r="Y2941" s="2" t="s">
        <v>105</v>
      </c>
      <c r="Z2941" s="2" t="s">
        <v>265</v>
      </c>
      <c r="AA2941" s="2" t="s">
        <v>1104</v>
      </c>
      <c r="AB2941" s="2" t="s">
        <v>3261</v>
      </c>
      <c r="AE2941" s="2">
        <f t="shared" si="282"/>
        <v>0</v>
      </c>
      <c r="AI2941" s="2">
        <f t="shared" si="283"/>
        <v>0</v>
      </c>
      <c r="AJ2941" s="2">
        <f t="shared" si="284"/>
        <v>689.31</v>
      </c>
      <c r="AK2941" s="5">
        <f t="shared" si="289"/>
        <v>0.22235806451612902</v>
      </c>
    </row>
    <row r="2942" spans="1:37" x14ac:dyDescent="0.2">
      <c r="A2942" s="2">
        <v>2026</v>
      </c>
      <c r="B2942" s="2">
        <v>1</v>
      </c>
      <c r="C2942" s="2" t="s">
        <v>37</v>
      </c>
      <c r="D2942" s="2" t="s">
        <v>38</v>
      </c>
      <c r="E2942" s="2" t="s">
        <v>39</v>
      </c>
      <c r="G2942" s="2" t="s">
        <v>40</v>
      </c>
      <c r="L2942" s="2" t="s">
        <v>81</v>
      </c>
      <c r="N2942" s="2" t="s">
        <v>2412</v>
      </c>
      <c r="O2942" s="2" t="s">
        <v>73</v>
      </c>
      <c r="P2942" s="2" t="s">
        <v>74</v>
      </c>
      <c r="Q2942" s="2" t="s">
        <v>75</v>
      </c>
      <c r="R2942" s="2">
        <v>1</v>
      </c>
      <c r="S2942" s="2">
        <v>242.42</v>
      </c>
      <c r="T2942" s="2">
        <v>55.756599999999999</v>
      </c>
      <c r="U2942" s="2">
        <v>298.17660000000001</v>
      </c>
      <c r="V2942" s="2">
        <v>125.51600000000001</v>
      </c>
      <c r="W2942" s="5">
        <f t="shared" si="287"/>
        <v>0.48223743915518519</v>
      </c>
      <c r="Y2942" s="2" t="s">
        <v>3256</v>
      </c>
      <c r="Z2942" s="2" t="s">
        <v>76</v>
      </c>
      <c r="AA2942" s="2" t="s">
        <v>77</v>
      </c>
      <c r="AB2942" s="2" t="s">
        <v>78</v>
      </c>
      <c r="AE2942" s="2">
        <f t="shared" si="282"/>
        <v>0</v>
      </c>
      <c r="AF2942" s="2">
        <v>125.51600000000001</v>
      </c>
      <c r="AG2942" s="2">
        <v>220</v>
      </c>
      <c r="AI2942" s="2">
        <f t="shared" si="283"/>
        <v>0</v>
      </c>
      <c r="AJ2942" s="2">
        <f t="shared" si="284"/>
        <v>116.90399999999998</v>
      </c>
      <c r="AK2942" s="5">
        <f t="shared" si="289"/>
        <v>0.48223743915518519</v>
      </c>
    </row>
    <row r="2943" spans="1:37" x14ac:dyDescent="0.2">
      <c r="A2943" s="2">
        <v>2026</v>
      </c>
      <c r="B2943" s="2">
        <v>1</v>
      </c>
      <c r="C2943" s="2" t="s">
        <v>2413</v>
      </c>
      <c r="O2943" s="2" t="s">
        <v>73</v>
      </c>
      <c r="P2943" s="2" t="s">
        <v>74</v>
      </c>
      <c r="Q2943" s="2" t="s">
        <v>75</v>
      </c>
      <c r="R2943" s="2">
        <v>1</v>
      </c>
      <c r="S2943" s="2">
        <v>220</v>
      </c>
      <c r="T2943" s="2">
        <v>50.6</v>
      </c>
      <c r="U2943" s="2">
        <v>270.60000000000002</v>
      </c>
      <c r="V2943" s="2">
        <v>125.51600000000001</v>
      </c>
      <c r="W2943" s="5">
        <f t="shared" si="287"/>
        <v>0.42947272727272723</v>
      </c>
      <c r="Y2943" s="2" t="s">
        <v>3256</v>
      </c>
      <c r="Z2943" s="2" t="s">
        <v>76</v>
      </c>
      <c r="AA2943" s="2" t="s">
        <v>77</v>
      </c>
      <c r="AB2943" s="2" t="s">
        <v>78</v>
      </c>
      <c r="AE2943" s="2">
        <f t="shared" si="282"/>
        <v>0</v>
      </c>
      <c r="AF2943" s="2">
        <v>125.51600000000001</v>
      </c>
      <c r="AG2943" s="2">
        <v>220</v>
      </c>
      <c r="AI2943" s="2">
        <f t="shared" si="283"/>
        <v>0</v>
      </c>
      <c r="AJ2943" s="2">
        <f t="shared" si="284"/>
        <v>94.483999999999995</v>
      </c>
      <c r="AK2943" s="5">
        <f t="shared" si="289"/>
        <v>0.42947272727272723</v>
      </c>
    </row>
    <row r="2944" spans="1:37" x14ac:dyDescent="0.2">
      <c r="A2944" s="2">
        <v>2026</v>
      </c>
      <c r="B2944" s="2">
        <v>1</v>
      </c>
      <c r="C2944" s="2" t="s">
        <v>199</v>
      </c>
      <c r="D2944" s="2" t="s">
        <v>109</v>
      </c>
      <c r="F2944" s="2">
        <v>507541120</v>
      </c>
      <c r="G2944" s="2" t="s">
        <v>40</v>
      </c>
      <c r="H2944" s="2" t="s">
        <v>200</v>
      </c>
      <c r="I2944" s="2" t="s">
        <v>201</v>
      </c>
      <c r="K2944" s="2" t="s">
        <v>202</v>
      </c>
      <c r="L2944" s="2" t="s">
        <v>41</v>
      </c>
      <c r="O2944" s="2" t="s">
        <v>73</v>
      </c>
      <c r="P2944" s="2" t="s">
        <v>74</v>
      </c>
      <c r="Q2944" s="2" t="s">
        <v>75</v>
      </c>
      <c r="R2944" s="2">
        <v>2</v>
      </c>
      <c r="S2944" s="2">
        <v>440</v>
      </c>
      <c r="T2944" s="2">
        <v>101.2</v>
      </c>
      <c r="U2944" s="2">
        <v>541.20000000000005</v>
      </c>
      <c r="V2944" s="2">
        <v>251.03200000000001</v>
      </c>
      <c r="W2944" s="5">
        <f t="shared" si="287"/>
        <v>0.42947272727272723</v>
      </c>
      <c r="Y2944" s="2" t="s">
        <v>3256</v>
      </c>
      <c r="Z2944" s="2" t="s">
        <v>76</v>
      </c>
      <c r="AA2944" s="2" t="s">
        <v>77</v>
      </c>
      <c r="AB2944" s="2" t="s">
        <v>78</v>
      </c>
      <c r="AE2944" s="2">
        <f t="shared" si="282"/>
        <v>0</v>
      </c>
      <c r="AF2944" s="2">
        <v>125.51600000000001</v>
      </c>
      <c r="AG2944" s="2">
        <v>220</v>
      </c>
      <c r="AI2944" s="2">
        <f t="shared" si="283"/>
        <v>0</v>
      </c>
      <c r="AJ2944" s="2">
        <f t="shared" si="284"/>
        <v>188.96799999999999</v>
      </c>
      <c r="AK2944" s="5">
        <f t="shared" si="289"/>
        <v>0.42947272727272723</v>
      </c>
    </row>
    <row r="2945" spans="1:37" x14ac:dyDescent="0.2">
      <c r="A2945" s="2">
        <v>2026</v>
      </c>
      <c r="B2945" s="2">
        <v>1</v>
      </c>
      <c r="C2945" s="2" t="s">
        <v>1018</v>
      </c>
      <c r="D2945" s="2" t="s">
        <v>109</v>
      </c>
      <c r="E2945" s="2" t="s">
        <v>39</v>
      </c>
      <c r="F2945" s="2">
        <v>507063481</v>
      </c>
      <c r="G2945" s="2" t="s">
        <v>291</v>
      </c>
      <c r="H2945" s="2" t="s">
        <v>1019</v>
      </c>
      <c r="I2945" s="2" t="s">
        <v>1020</v>
      </c>
      <c r="K2945" s="2" t="s">
        <v>294</v>
      </c>
      <c r="L2945" s="2" t="s">
        <v>81</v>
      </c>
      <c r="O2945" s="2" t="s">
        <v>73</v>
      </c>
      <c r="P2945" s="2" t="s">
        <v>74</v>
      </c>
      <c r="Q2945" s="2" t="s">
        <v>75</v>
      </c>
      <c r="R2945" s="2">
        <v>1</v>
      </c>
      <c r="S2945" s="2">
        <v>209</v>
      </c>
      <c r="T2945" s="2">
        <v>48.07</v>
      </c>
      <c r="U2945" s="2">
        <v>257.07</v>
      </c>
      <c r="V2945" s="2">
        <v>125.51600000000001</v>
      </c>
      <c r="W2945" s="5">
        <f t="shared" si="287"/>
        <v>0.39944497607655499</v>
      </c>
      <c r="Y2945" s="2" t="s">
        <v>3256</v>
      </c>
      <c r="Z2945" s="2" t="s">
        <v>76</v>
      </c>
      <c r="AA2945" s="2" t="s">
        <v>77</v>
      </c>
      <c r="AB2945" s="2" t="s">
        <v>78</v>
      </c>
      <c r="AE2945" s="2">
        <f t="shared" si="282"/>
        <v>0</v>
      </c>
      <c r="AF2945" s="2">
        <v>125.51600000000001</v>
      </c>
      <c r="AG2945" s="2">
        <v>220</v>
      </c>
      <c r="AI2945" s="2">
        <f t="shared" si="283"/>
        <v>0</v>
      </c>
      <c r="AJ2945" s="2">
        <f t="shared" si="284"/>
        <v>83.483999999999995</v>
      </c>
      <c r="AK2945" s="5">
        <f t="shared" si="289"/>
        <v>0.39944497607655499</v>
      </c>
    </row>
    <row r="2946" spans="1:37" x14ac:dyDescent="0.2">
      <c r="A2946" s="2">
        <v>2026</v>
      </c>
      <c r="B2946" s="2">
        <v>1</v>
      </c>
      <c r="C2946" s="2" t="s">
        <v>1026</v>
      </c>
      <c r="D2946" s="2" t="s">
        <v>38</v>
      </c>
      <c r="E2946" s="2" t="s">
        <v>39</v>
      </c>
      <c r="F2946" s="2">
        <v>505647338</v>
      </c>
      <c r="G2946" s="2" t="s">
        <v>291</v>
      </c>
      <c r="H2946" s="2" t="s">
        <v>1027</v>
      </c>
      <c r="I2946" s="2" t="s">
        <v>1028</v>
      </c>
      <c r="K2946" s="2" t="s">
        <v>294</v>
      </c>
      <c r="L2946" s="2" t="s">
        <v>81</v>
      </c>
      <c r="N2946" s="2" t="s">
        <v>2414</v>
      </c>
      <c r="O2946" s="2" t="s">
        <v>73</v>
      </c>
      <c r="P2946" s="2" t="s">
        <v>74</v>
      </c>
      <c r="Q2946" s="2" t="s">
        <v>75</v>
      </c>
      <c r="R2946" s="2">
        <v>1</v>
      </c>
      <c r="S2946" s="2">
        <v>220</v>
      </c>
      <c r="T2946" s="2">
        <v>50.6</v>
      </c>
      <c r="U2946" s="2">
        <v>270.60000000000002</v>
      </c>
      <c r="V2946" s="2">
        <v>125.51600000000001</v>
      </c>
      <c r="W2946" s="5">
        <f t="shared" si="287"/>
        <v>0.42947272727272723</v>
      </c>
      <c r="Y2946" s="2" t="s">
        <v>3256</v>
      </c>
      <c r="Z2946" s="2" t="s">
        <v>76</v>
      </c>
      <c r="AA2946" s="2" t="s">
        <v>77</v>
      </c>
      <c r="AB2946" s="2" t="s">
        <v>78</v>
      </c>
      <c r="AE2946" s="2">
        <f t="shared" si="282"/>
        <v>0</v>
      </c>
      <c r="AF2946" s="2">
        <v>125.51600000000001</v>
      </c>
      <c r="AG2946" s="2">
        <v>220</v>
      </c>
      <c r="AI2946" s="2">
        <f t="shared" si="283"/>
        <v>0</v>
      </c>
      <c r="AJ2946" s="2">
        <f t="shared" si="284"/>
        <v>94.483999999999995</v>
      </c>
      <c r="AK2946" s="5">
        <f t="shared" si="289"/>
        <v>0.42947272727272723</v>
      </c>
    </row>
    <row r="2947" spans="1:37" x14ac:dyDescent="0.2">
      <c r="A2947" s="2">
        <v>2026</v>
      </c>
      <c r="B2947" s="2">
        <v>1</v>
      </c>
      <c r="C2947" s="2" t="s">
        <v>822</v>
      </c>
      <c r="O2947" s="2" t="s">
        <v>73</v>
      </c>
      <c r="P2947" s="2" t="s">
        <v>74</v>
      </c>
      <c r="Q2947" s="2" t="s">
        <v>75</v>
      </c>
      <c r="R2947" s="2">
        <v>1</v>
      </c>
      <c r="S2947" s="2">
        <v>220</v>
      </c>
      <c r="T2947" s="2">
        <v>50.6</v>
      </c>
      <c r="U2947" s="2">
        <v>270.60000000000002</v>
      </c>
      <c r="V2947" s="2">
        <v>125.51600000000001</v>
      </c>
      <c r="W2947" s="5">
        <f t="shared" ref="W2947:W2978" si="290">(S2947-V2947)/S2947</f>
        <v>0.42947272727272723</v>
      </c>
      <c r="Y2947" s="2" t="s">
        <v>3256</v>
      </c>
      <c r="Z2947" s="2" t="s">
        <v>76</v>
      </c>
      <c r="AA2947" s="2" t="s">
        <v>77</v>
      </c>
      <c r="AB2947" s="2" t="s">
        <v>78</v>
      </c>
      <c r="AE2947" s="2">
        <f t="shared" ref="AE2947:AE3010" si="291">AI2947</f>
        <v>0</v>
      </c>
      <c r="AF2947" s="2">
        <v>125.51600000000001</v>
      </c>
      <c r="AG2947" s="2">
        <v>220</v>
      </c>
      <c r="AI2947" s="2">
        <f t="shared" ref="AI2947:AI3010" si="292">AH2947*S2947</f>
        <v>0</v>
      </c>
      <c r="AJ2947" s="2">
        <f t="shared" ref="AJ2947:AJ3002" si="293">S2947-V2947</f>
        <v>94.483999999999995</v>
      </c>
      <c r="AK2947" s="5">
        <f t="shared" si="289"/>
        <v>0.42947272727272723</v>
      </c>
    </row>
    <row r="2948" spans="1:37" x14ac:dyDescent="0.2">
      <c r="A2948" s="2">
        <v>2026</v>
      </c>
      <c r="B2948" s="2">
        <v>1</v>
      </c>
      <c r="C2948" s="2" t="s">
        <v>1609</v>
      </c>
      <c r="D2948" s="2" t="s">
        <v>109</v>
      </c>
      <c r="E2948" s="2" t="s">
        <v>397</v>
      </c>
      <c r="F2948" s="2">
        <v>500314594</v>
      </c>
      <c r="G2948" s="2" t="s">
        <v>40</v>
      </c>
      <c r="H2948" s="2" t="s">
        <v>1610</v>
      </c>
      <c r="I2948" s="2" t="s">
        <v>1611</v>
      </c>
      <c r="K2948" s="2" t="s">
        <v>202</v>
      </c>
      <c r="L2948" s="2" t="s">
        <v>81</v>
      </c>
      <c r="N2948" s="2" t="s">
        <v>2415</v>
      </c>
      <c r="O2948" s="2" t="s">
        <v>73</v>
      </c>
      <c r="P2948" s="2" t="s">
        <v>74</v>
      </c>
      <c r="Q2948" s="2" t="s">
        <v>75</v>
      </c>
      <c r="R2948" s="2">
        <v>1</v>
      </c>
      <c r="S2948" s="2">
        <v>220</v>
      </c>
      <c r="T2948" s="2">
        <v>50.6</v>
      </c>
      <c r="U2948" s="2">
        <v>270.60000000000002</v>
      </c>
      <c r="V2948" s="2">
        <v>125.51600000000001</v>
      </c>
      <c r="W2948" s="5">
        <f t="shared" si="290"/>
        <v>0.42947272727272723</v>
      </c>
      <c r="Y2948" s="2" t="s">
        <v>3256</v>
      </c>
      <c r="Z2948" s="2" t="s">
        <v>76</v>
      </c>
      <c r="AA2948" s="2" t="s">
        <v>77</v>
      </c>
      <c r="AB2948" s="2" t="s">
        <v>78</v>
      </c>
      <c r="AE2948" s="2">
        <f t="shared" si="291"/>
        <v>0</v>
      </c>
      <c r="AF2948" s="2">
        <v>125.51600000000001</v>
      </c>
      <c r="AG2948" s="2">
        <v>220</v>
      </c>
      <c r="AI2948" s="2">
        <f t="shared" si="292"/>
        <v>0</v>
      </c>
      <c r="AJ2948" s="2">
        <f t="shared" si="293"/>
        <v>94.483999999999995</v>
      </c>
      <c r="AK2948" s="5">
        <f t="shared" si="289"/>
        <v>0.42947272727272723</v>
      </c>
    </row>
    <row r="2949" spans="1:37" x14ac:dyDescent="0.2">
      <c r="A2949" s="2">
        <v>2026</v>
      </c>
      <c r="B2949" s="2">
        <v>1</v>
      </c>
      <c r="C2949" s="2" t="s">
        <v>1431</v>
      </c>
      <c r="D2949" s="2" t="s">
        <v>109</v>
      </c>
      <c r="E2949" s="2" t="s">
        <v>39</v>
      </c>
      <c r="F2949" s="2">
        <v>513795855</v>
      </c>
      <c r="G2949" s="2" t="s">
        <v>41</v>
      </c>
      <c r="H2949" s="2" t="s">
        <v>1282</v>
      </c>
      <c r="I2949" s="2" t="s">
        <v>2416</v>
      </c>
      <c r="K2949" s="2" t="s">
        <v>178</v>
      </c>
      <c r="L2949" s="2" t="s">
        <v>41</v>
      </c>
      <c r="O2949" s="2" t="s">
        <v>73</v>
      </c>
      <c r="P2949" s="2" t="s">
        <v>74</v>
      </c>
      <c r="Q2949" s="2" t="s">
        <v>75</v>
      </c>
      <c r="R2949" s="2">
        <v>1</v>
      </c>
      <c r="S2949" s="2">
        <v>220</v>
      </c>
      <c r="T2949" s="2">
        <v>50.6</v>
      </c>
      <c r="U2949" s="2">
        <v>270.60000000000002</v>
      </c>
      <c r="V2949" s="2">
        <v>125.51600000000001</v>
      </c>
      <c r="W2949" s="5">
        <f t="shared" si="290"/>
        <v>0.42947272727272723</v>
      </c>
      <c r="Y2949" s="2" t="s">
        <v>3256</v>
      </c>
      <c r="Z2949" s="2" t="s">
        <v>76</v>
      </c>
      <c r="AA2949" s="2" t="s">
        <v>77</v>
      </c>
      <c r="AB2949" s="2" t="s">
        <v>78</v>
      </c>
      <c r="AE2949" s="2">
        <f t="shared" si="291"/>
        <v>0</v>
      </c>
      <c r="AF2949" s="2">
        <v>125.51600000000001</v>
      </c>
      <c r="AG2949" s="2">
        <v>220</v>
      </c>
      <c r="AI2949" s="2">
        <f t="shared" si="292"/>
        <v>0</v>
      </c>
      <c r="AJ2949" s="2">
        <f t="shared" si="293"/>
        <v>94.483999999999995</v>
      </c>
      <c r="AK2949" s="5">
        <f t="shared" si="289"/>
        <v>0.42947272727272723</v>
      </c>
    </row>
    <row r="2950" spans="1:37" x14ac:dyDescent="0.2">
      <c r="A2950" s="2">
        <v>2026</v>
      </c>
      <c r="B2950" s="2">
        <v>1</v>
      </c>
      <c r="C2950" s="2" t="s">
        <v>553</v>
      </c>
      <c r="D2950" s="2" t="s">
        <v>109</v>
      </c>
      <c r="E2950" s="2" t="s">
        <v>397</v>
      </c>
      <c r="F2950" s="2">
        <v>503641790</v>
      </c>
      <c r="G2950" s="2" t="s">
        <v>40</v>
      </c>
      <c r="H2950" s="2" t="s">
        <v>554</v>
      </c>
      <c r="I2950" s="2" t="s">
        <v>555</v>
      </c>
      <c r="J2950" s="2">
        <v>917753665</v>
      </c>
      <c r="K2950" s="2" t="s">
        <v>100</v>
      </c>
      <c r="L2950" s="2" t="s">
        <v>81</v>
      </c>
      <c r="N2950" s="2" t="s">
        <v>2417</v>
      </c>
      <c r="O2950" s="2" t="s">
        <v>73</v>
      </c>
      <c r="P2950" s="2" t="s">
        <v>74</v>
      </c>
      <c r="Q2950" s="2" t="s">
        <v>75</v>
      </c>
      <c r="R2950" s="2">
        <v>1</v>
      </c>
      <c r="S2950" s="2">
        <v>220</v>
      </c>
      <c r="T2950" s="2">
        <v>50.6</v>
      </c>
      <c r="U2950" s="2">
        <v>270.60000000000002</v>
      </c>
      <c r="V2950" s="2">
        <v>125.51600000000001</v>
      </c>
      <c r="W2950" s="5">
        <f t="shared" si="290"/>
        <v>0.42947272727272723</v>
      </c>
      <c r="Y2950" s="2" t="s">
        <v>3256</v>
      </c>
      <c r="Z2950" s="2" t="s">
        <v>76</v>
      </c>
      <c r="AA2950" s="2" t="s">
        <v>77</v>
      </c>
      <c r="AB2950" s="2" t="s">
        <v>78</v>
      </c>
      <c r="AE2950" s="2">
        <f t="shared" si="291"/>
        <v>0</v>
      </c>
      <c r="AF2950" s="2">
        <v>125.51600000000001</v>
      </c>
      <c r="AG2950" s="2">
        <v>220</v>
      </c>
      <c r="AI2950" s="2">
        <f t="shared" si="292"/>
        <v>0</v>
      </c>
      <c r="AJ2950" s="2">
        <f t="shared" si="293"/>
        <v>94.483999999999995</v>
      </c>
      <c r="AK2950" s="5">
        <f t="shared" si="289"/>
        <v>0.42947272727272723</v>
      </c>
    </row>
    <row r="2951" spans="1:37" x14ac:dyDescent="0.2">
      <c r="A2951" s="2">
        <v>2026</v>
      </c>
      <c r="B2951" s="2">
        <v>1</v>
      </c>
      <c r="C2951" s="2" t="s">
        <v>2418</v>
      </c>
      <c r="O2951" s="2" t="s">
        <v>73</v>
      </c>
      <c r="P2951" s="2" t="s">
        <v>74</v>
      </c>
      <c r="Q2951" s="2" t="s">
        <v>75</v>
      </c>
      <c r="R2951" s="2">
        <v>1</v>
      </c>
      <c r="S2951" s="2">
        <v>220</v>
      </c>
      <c r="T2951" s="2">
        <v>50.6</v>
      </c>
      <c r="U2951" s="2">
        <v>270.60000000000002</v>
      </c>
      <c r="V2951" s="2">
        <v>125.51600000000001</v>
      </c>
      <c r="W2951" s="5">
        <f t="shared" si="290"/>
        <v>0.42947272727272723</v>
      </c>
      <c r="Y2951" s="2" t="s">
        <v>3256</v>
      </c>
      <c r="Z2951" s="2" t="s">
        <v>76</v>
      </c>
      <c r="AA2951" s="2" t="s">
        <v>77</v>
      </c>
      <c r="AB2951" s="2" t="s">
        <v>78</v>
      </c>
      <c r="AE2951" s="2">
        <f t="shared" si="291"/>
        <v>0</v>
      </c>
      <c r="AF2951" s="2">
        <v>125.51600000000001</v>
      </c>
      <c r="AG2951" s="2">
        <v>220</v>
      </c>
      <c r="AI2951" s="2">
        <f t="shared" si="292"/>
        <v>0</v>
      </c>
      <c r="AJ2951" s="2">
        <f t="shared" si="293"/>
        <v>94.483999999999995</v>
      </c>
      <c r="AK2951" s="5">
        <f t="shared" si="289"/>
        <v>0.42947272727272723</v>
      </c>
    </row>
    <row r="2952" spans="1:37" x14ac:dyDescent="0.2">
      <c r="A2952" s="2">
        <v>2026</v>
      </c>
      <c r="B2952" s="2">
        <v>1</v>
      </c>
      <c r="C2952" s="2" t="s">
        <v>611</v>
      </c>
      <c r="D2952" s="2" t="s">
        <v>109</v>
      </c>
      <c r="E2952" s="2" t="s">
        <v>39</v>
      </c>
      <c r="F2952" s="2">
        <v>504822187</v>
      </c>
      <c r="G2952" s="2" t="s">
        <v>110</v>
      </c>
      <c r="H2952" s="2" t="s">
        <v>612</v>
      </c>
      <c r="I2952" s="2" t="s">
        <v>613</v>
      </c>
      <c r="J2952" s="2">
        <v>966216853</v>
      </c>
      <c r="K2952" s="2" t="s">
        <v>465</v>
      </c>
      <c r="O2952" s="2" t="s">
        <v>73</v>
      </c>
      <c r="P2952" s="2" t="s">
        <v>74</v>
      </c>
      <c r="Q2952" s="2" t="s">
        <v>75</v>
      </c>
      <c r="R2952" s="2">
        <v>1</v>
      </c>
      <c r="S2952" s="2">
        <v>210</v>
      </c>
      <c r="T2952" s="2">
        <v>48.3</v>
      </c>
      <c r="U2952" s="2">
        <v>258.3</v>
      </c>
      <c r="V2952" s="2">
        <v>125.51600000000001</v>
      </c>
      <c r="W2952" s="5">
        <f t="shared" si="290"/>
        <v>0.40230476190476189</v>
      </c>
      <c r="Y2952" s="2" t="s">
        <v>3256</v>
      </c>
      <c r="Z2952" s="2" t="s">
        <v>76</v>
      </c>
      <c r="AA2952" s="2" t="s">
        <v>77</v>
      </c>
      <c r="AB2952" s="2" t="s">
        <v>78</v>
      </c>
      <c r="AE2952" s="2">
        <f t="shared" si="291"/>
        <v>0</v>
      </c>
      <c r="AF2952" s="2">
        <v>125.51600000000001</v>
      </c>
      <c r="AG2952" s="2">
        <v>220</v>
      </c>
      <c r="AI2952" s="2">
        <f t="shared" si="292"/>
        <v>0</v>
      </c>
      <c r="AJ2952" s="2">
        <f t="shared" si="293"/>
        <v>84.483999999999995</v>
      </c>
      <c r="AK2952" s="5">
        <f t="shared" si="289"/>
        <v>0.40230476190476189</v>
      </c>
    </row>
    <row r="2953" spans="1:37" x14ac:dyDescent="0.2">
      <c r="A2953" s="2">
        <v>2026</v>
      </c>
      <c r="B2953" s="2">
        <v>1</v>
      </c>
      <c r="C2953" s="2" t="s">
        <v>639</v>
      </c>
      <c r="L2953" s="2" t="s">
        <v>81</v>
      </c>
      <c r="O2953" s="2" t="s">
        <v>73</v>
      </c>
      <c r="P2953" s="2" t="s">
        <v>74</v>
      </c>
      <c r="Q2953" s="2" t="s">
        <v>75</v>
      </c>
      <c r="R2953" s="2">
        <v>1</v>
      </c>
      <c r="S2953" s="2">
        <v>220</v>
      </c>
      <c r="T2953" s="2">
        <v>50.6</v>
      </c>
      <c r="U2953" s="2">
        <v>270.60000000000002</v>
      </c>
      <c r="V2953" s="2">
        <v>125.51600000000001</v>
      </c>
      <c r="W2953" s="5">
        <f t="shared" si="290"/>
        <v>0.42947272727272723</v>
      </c>
      <c r="Y2953" s="2" t="s">
        <v>3256</v>
      </c>
      <c r="Z2953" s="2" t="s">
        <v>76</v>
      </c>
      <c r="AA2953" s="2" t="s">
        <v>77</v>
      </c>
      <c r="AB2953" s="2" t="s">
        <v>78</v>
      </c>
      <c r="AE2953" s="2">
        <f t="shared" si="291"/>
        <v>0</v>
      </c>
      <c r="AF2953" s="2">
        <v>125.51600000000001</v>
      </c>
      <c r="AG2953" s="2">
        <v>220</v>
      </c>
      <c r="AI2953" s="2">
        <f t="shared" si="292"/>
        <v>0</v>
      </c>
      <c r="AJ2953" s="2">
        <f t="shared" si="293"/>
        <v>94.483999999999995</v>
      </c>
      <c r="AK2953" s="5">
        <f t="shared" si="289"/>
        <v>0.42947272727272723</v>
      </c>
    </row>
    <row r="2954" spans="1:37" x14ac:dyDescent="0.2">
      <c r="A2954" s="2">
        <v>2026</v>
      </c>
      <c r="B2954" s="2">
        <v>1</v>
      </c>
      <c r="C2954" s="2" t="s">
        <v>2419</v>
      </c>
      <c r="O2954" s="2" t="s">
        <v>73</v>
      </c>
      <c r="P2954" s="2" t="s">
        <v>74</v>
      </c>
      <c r="Q2954" s="2" t="s">
        <v>75</v>
      </c>
      <c r="R2954" s="2">
        <v>1</v>
      </c>
      <c r="S2954" s="2">
        <v>220</v>
      </c>
      <c r="T2954" s="2">
        <v>50.6</v>
      </c>
      <c r="U2954" s="2">
        <v>270.60000000000002</v>
      </c>
      <c r="V2954" s="2">
        <v>125.51600000000001</v>
      </c>
      <c r="W2954" s="5">
        <f t="shared" si="290"/>
        <v>0.42947272727272723</v>
      </c>
      <c r="Y2954" s="2" t="s">
        <v>3256</v>
      </c>
      <c r="Z2954" s="2" t="s">
        <v>76</v>
      </c>
      <c r="AA2954" s="2" t="s">
        <v>77</v>
      </c>
      <c r="AB2954" s="2" t="s">
        <v>78</v>
      </c>
      <c r="AE2954" s="2">
        <f t="shared" si="291"/>
        <v>0</v>
      </c>
      <c r="AF2954" s="2">
        <v>125.51600000000001</v>
      </c>
      <c r="AG2954" s="2">
        <v>220</v>
      </c>
      <c r="AI2954" s="2">
        <f t="shared" si="292"/>
        <v>0</v>
      </c>
      <c r="AJ2954" s="2">
        <f t="shared" si="293"/>
        <v>94.483999999999995</v>
      </c>
      <c r="AK2954" s="5">
        <f t="shared" si="289"/>
        <v>0.42947272727272723</v>
      </c>
    </row>
    <row r="2955" spans="1:37" x14ac:dyDescent="0.2">
      <c r="A2955" s="2">
        <v>2026</v>
      </c>
      <c r="B2955" s="2">
        <v>1</v>
      </c>
      <c r="C2955" s="2" t="s">
        <v>145</v>
      </c>
      <c r="D2955" s="2" t="s">
        <v>38</v>
      </c>
      <c r="E2955" s="2" t="s">
        <v>39</v>
      </c>
      <c r="F2955" s="2">
        <v>505883970</v>
      </c>
      <c r="G2955" s="2" t="s">
        <v>41</v>
      </c>
      <c r="H2955" s="2" t="s">
        <v>146</v>
      </c>
      <c r="I2955" s="2" t="s">
        <v>147</v>
      </c>
      <c r="K2955" s="2" t="s">
        <v>100</v>
      </c>
      <c r="L2955" s="2" t="s">
        <v>41</v>
      </c>
      <c r="N2955" s="2" t="s">
        <v>2420</v>
      </c>
      <c r="O2955" s="2" t="s">
        <v>73</v>
      </c>
      <c r="P2955" s="2" t="s">
        <v>687</v>
      </c>
      <c r="Q2955" s="2" t="s">
        <v>75</v>
      </c>
      <c r="R2955" s="2">
        <v>1</v>
      </c>
      <c r="S2955" s="2">
        <v>200</v>
      </c>
      <c r="T2955" s="2">
        <v>46</v>
      </c>
      <c r="U2955" s="2">
        <v>246</v>
      </c>
      <c r="V2955" s="2">
        <v>104.49</v>
      </c>
      <c r="W2955" s="5">
        <f t="shared" si="290"/>
        <v>0.47755000000000003</v>
      </c>
      <c r="Y2955" s="2" t="s">
        <v>3256</v>
      </c>
      <c r="Z2955" s="2" t="s">
        <v>76</v>
      </c>
      <c r="AA2955" s="2" t="s">
        <v>77</v>
      </c>
      <c r="AB2955" s="2" t="s">
        <v>78</v>
      </c>
      <c r="AE2955" s="2">
        <f t="shared" si="291"/>
        <v>0</v>
      </c>
      <c r="AF2955" s="2">
        <v>104.49</v>
      </c>
      <c r="AG2955" s="2">
        <v>220</v>
      </c>
      <c r="AI2955" s="2">
        <f t="shared" si="292"/>
        <v>0</v>
      </c>
      <c r="AJ2955" s="2">
        <f t="shared" si="293"/>
        <v>95.51</v>
      </c>
      <c r="AK2955" s="5">
        <f t="shared" si="289"/>
        <v>0.47755000000000003</v>
      </c>
    </row>
    <row r="2956" spans="1:37" x14ac:dyDescent="0.2">
      <c r="A2956" s="2">
        <v>2026</v>
      </c>
      <c r="B2956" s="2">
        <v>1</v>
      </c>
      <c r="C2956" s="2" t="s">
        <v>1961</v>
      </c>
      <c r="D2956" s="2" t="s">
        <v>109</v>
      </c>
      <c r="E2956" s="2" t="s">
        <v>397</v>
      </c>
      <c r="F2956" s="2">
        <v>505738651</v>
      </c>
      <c r="G2956" s="2" t="s">
        <v>41</v>
      </c>
      <c r="H2956" s="2" t="s">
        <v>2421</v>
      </c>
      <c r="I2956" s="2" t="s">
        <v>2422</v>
      </c>
      <c r="K2956" s="2" t="s">
        <v>202</v>
      </c>
      <c r="L2956" s="2" t="s">
        <v>41</v>
      </c>
      <c r="N2956" s="2" t="s">
        <v>2423</v>
      </c>
      <c r="O2956" s="2" t="s">
        <v>73</v>
      </c>
      <c r="P2956" s="2" t="s">
        <v>331</v>
      </c>
      <c r="Q2956" s="2" t="s">
        <v>332</v>
      </c>
      <c r="R2956" s="2">
        <v>1</v>
      </c>
      <c r="S2956" s="2">
        <v>190</v>
      </c>
      <c r="T2956" s="2">
        <v>43.7</v>
      </c>
      <c r="U2956" s="2">
        <v>233.7</v>
      </c>
      <c r="V2956" s="2">
        <v>111.11</v>
      </c>
      <c r="W2956" s="5">
        <f t="shared" si="290"/>
        <v>0.41521052631578947</v>
      </c>
      <c r="Y2956" s="2" t="s">
        <v>3256</v>
      </c>
      <c r="Z2956" s="2" t="s">
        <v>76</v>
      </c>
      <c r="AA2956" s="2" t="s">
        <v>77</v>
      </c>
      <c r="AB2956" s="2" t="s">
        <v>78</v>
      </c>
      <c r="AE2956" s="2">
        <f t="shared" si="291"/>
        <v>0</v>
      </c>
      <c r="AF2956" s="2">
        <v>111.11</v>
      </c>
      <c r="AG2956" s="2">
        <v>190</v>
      </c>
      <c r="AI2956" s="2">
        <f t="shared" si="292"/>
        <v>0</v>
      </c>
      <c r="AJ2956" s="2">
        <f t="shared" si="293"/>
        <v>78.89</v>
      </c>
      <c r="AK2956" s="5">
        <f t="shared" si="289"/>
        <v>0.41521052631578947</v>
      </c>
    </row>
    <row r="2957" spans="1:37" x14ac:dyDescent="0.2">
      <c r="A2957" s="2">
        <v>2026</v>
      </c>
      <c r="B2957" s="2">
        <v>1</v>
      </c>
      <c r="C2957" s="2" t="s">
        <v>37</v>
      </c>
      <c r="D2957" s="2" t="s">
        <v>38</v>
      </c>
      <c r="E2957" s="2" t="s">
        <v>39</v>
      </c>
      <c r="G2957" s="2" t="s">
        <v>40</v>
      </c>
      <c r="L2957" s="2" t="s">
        <v>81</v>
      </c>
      <c r="N2957" s="2" t="s">
        <v>2424</v>
      </c>
      <c r="O2957" s="2" t="s">
        <v>73</v>
      </c>
      <c r="P2957" s="2" t="s">
        <v>1402</v>
      </c>
      <c r="Q2957" s="2" t="s">
        <v>75</v>
      </c>
      <c r="R2957" s="2">
        <v>1</v>
      </c>
      <c r="S2957" s="2">
        <v>283.07</v>
      </c>
      <c r="T2957" s="2">
        <v>65.106099999999998</v>
      </c>
      <c r="U2957" s="2">
        <v>348.17610000000002</v>
      </c>
      <c r="V2957" s="2">
        <v>109.26</v>
      </c>
      <c r="W2957" s="5">
        <f t="shared" si="290"/>
        <v>0.61401773412936733</v>
      </c>
      <c r="Y2957" s="2" t="s">
        <v>3256</v>
      </c>
      <c r="Z2957" s="2" t="s">
        <v>76</v>
      </c>
      <c r="AA2957" s="2" t="s">
        <v>77</v>
      </c>
      <c r="AB2957" s="2" t="s">
        <v>78</v>
      </c>
      <c r="AE2957" s="2">
        <f t="shared" si="291"/>
        <v>0</v>
      </c>
      <c r="AF2957" s="2">
        <v>109.26</v>
      </c>
      <c r="AI2957" s="2">
        <f t="shared" si="292"/>
        <v>0</v>
      </c>
      <c r="AJ2957" s="2">
        <f t="shared" si="293"/>
        <v>173.81</v>
      </c>
      <c r="AK2957" s="5">
        <f t="shared" si="289"/>
        <v>0.61401773412936733</v>
      </c>
    </row>
    <row r="2958" spans="1:37" x14ac:dyDescent="0.2">
      <c r="A2958" s="2">
        <v>2026</v>
      </c>
      <c r="B2958" s="2">
        <v>1</v>
      </c>
      <c r="C2958" s="2" t="s">
        <v>2028</v>
      </c>
      <c r="L2958" s="2" t="s">
        <v>81</v>
      </c>
      <c r="O2958" s="2" t="s">
        <v>73</v>
      </c>
      <c r="P2958" s="2" t="s">
        <v>838</v>
      </c>
      <c r="Q2958" s="2" t="s">
        <v>75</v>
      </c>
      <c r="R2958" s="2">
        <v>1</v>
      </c>
      <c r="S2958" s="2">
        <v>220</v>
      </c>
      <c r="T2958" s="2">
        <v>50.6</v>
      </c>
      <c r="U2958" s="2">
        <v>270.60000000000002</v>
      </c>
      <c r="V2958" s="2">
        <v>120.636</v>
      </c>
      <c r="W2958" s="5">
        <f t="shared" si="290"/>
        <v>0.45165454545454548</v>
      </c>
      <c r="Y2958" s="2" t="s">
        <v>3256</v>
      </c>
      <c r="Z2958" s="2" t="s">
        <v>76</v>
      </c>
      <c r="AA2958" s="2" t="s">
        <v>77</v>
      </c>
      <c r="AB2958" s="2" t="s">
        <v>78</v>
      </c>
      <c r="AE2958" s="2">
        <f t="shared" si="291"/>
        <v>0</v>
      </c>
      <c r="AF2958" s="2">
        <v>120.636</v>
      </c>
      <c r="AG2958" s="2">
        <v>220</v>
      </c>
      <c r="AI2958" s="2">
        <f t="shared" si="292"/>
        <v>0</v>
      </c>
      <c r="AJ2958" s="2">
        <f t="shared" si="293"/>
        <v>99.364000000000004</v>
      </c>
      <c r="AK2958" s="5">
        <f t="shared" si="289"/>
        <v>0.45165454545454548</v>
      </c>
    </row>
    <row r="2959" spans="1:37" x14ac:dyDescent="0.2">
      <c r="A2959" s="2">
        <v>2026</v>
      </c>
      <c r="B2959" s="2">
        <v>1</v>
      </c>
      <c r="C2959" s="2" t="s">
        <v>1569</v>
      </c>
      <c r="D2959" s="2" t="s">
        <v>109</v>
      </c>
      <c r="E2959" s="2" t="s">
        <v>723</v>
      </c>
      <c r="F2959" s="2">
        <v>500975914</v>
      </c>
      <c r="G2959" s="2" t="s">
        <v>41</v>
      </c>
      <c r="H2959" s="2" t="s">
        <v>1570</v>
      </c>
      <c r="I2959" s="2" t="s">
        <v>1571</v>
      </c>
      <c r="K2959" s="2" t="s">
        <v>100</v>
      </c>
      <c r="L2959" s="2" t="s">
        <v>41</v>
      </c>
      <c r="O2959" s="2" t="s">
        <v>73</v>
      </c>
      <c r="P2959" s="2" t="s">
        <v>838</v>
      </c>
      <c r="Q2959" s="2" t="s">
        <v>75</v>
      </c>
      <c r="R2959" s="2">
        <v>1</v>
      </c>
      <c r="S2959" s="2">
        <v>220</v>
      </c>
      <c r="T2959" s="2">
        <v>50.6</v>
      </c>
      <c r="U2959" s="2">
        <v>270.60000000000002</v>
      </c>
      <c r="V2959" s="2">
        <v>120.636</v>
      </c>
      <c r="W2959" s="5">
        <f t="shared" si="290"/>
        <v>0.45165454545454548</v>
      </c>
      <c r="Y2959" s="2" t="s">
        <v>3256</v>
      </c>
      <c r="Z2959" s="2" t="s">
        <v>76</v>
      </c>
      <c r="AA2959" s="2" t="s">
        <v>77</v>
      </c>
      <c r="AB2959" s="2" t="s">
        <v>78</v>
      </c>
      <c r="AE2959" s="2">
        <f t="shared" si="291"/>
        <v>0</v>
      </c>
      <c r="AF2959" s="2">
        <v>120.636</v>
      </c>
      <c r="AG2959" s="2">
        <v>220</v>
      </c>
      <c r="AI2959" s="2">
        <f t="shared" si="292"/>
        <v>0</v>
      </c>
      <c r="AJ2959" s="2">
        <f t="shared" si="293"/>
        <v>99.364000000000004</v>
      </c>
      <c r="AK2959" s="5">
        <f t="shared" ref="AK2959:AK2990" si="294">(S2959-V2959)/S2959</f>
        <v>0.45165454545454548</v>
      </c>
    </row>
    <row r="2960" spans="1:37" x14ac:dyDescent="0.2">
      <c r="A2960" s="2">
        <v>2026</v>
      </c>
      <c r="B2960" s="2">
        <v>1</v>
      </c>
      <c r="C2960" s="2" t="s">
        <v>2425</v>
      </c>
      <c r="O2960" s="2" t="s">
        <v>73</v>
      </c>
      <c r="P2960" s="2" t="s">
        <v>838</v>
      </c>
      <c r="Q2960" s="2" t="s">
        <v>75</v>
      </c>
      <c r="R2960" s="2">
        <v>1</v>
      </c>
      <c r="S2960" s="2">
        <v>220</v>
      </c>
      <c r="T2960" s="2">
        <v>50.6</v>
      </c>
      <c r="U2960" s="2">
        <v>270.60000000000002</v>
      </c>
      <c r="V2960" s="2">
        <v>120.636</v>
      </c>
      <c r="W2960" s="5">
        <f t="shared" si="290"/>
        <v>0.45165454545454548</v>
      </c>
      <c r="Y2960" s="2" t="s">
        <v>3256</v>
      </c>
      <c r="Z2960" s="2" t="s">
        <v>76</v>
      </c>
      <c r="AA2960" s="2" t="s">
        <v>77</v>
      </c>
      <c r="AB2960" s="2" t="s">
        <v>78</v>
      </c>
      <c r="AE2960" s="2">
        <f t="shared" si="291"/>
        <v>0</v>
      </c>
      <c r="AF2960" s="2">
        <v>120.636</v>
      </c>
      <c r="AG2960" s="2">
        <v>220</v>
      </c>
      <c r="AI2960" s="2">
        <f t="shared" si="292"/>
        <v>0</v>
      </c>
      <c r="AJ2960" s="2">
        <f t="shared" si="293"/>
        <v>99.364000000000004</v>
      </c>
      <c r="AK2960" s="5">
        <f t="shared" si="294"/>
        <v>0.45165454545454548</v>
      </c>
    </row>
    <row r="2961" spans="1:37" x14ac:dyDescent="0.2">
      <c r="A2961" s="2">
        <v>2026</v>
      </c>
      <c r="B2961" s="2">
        <v>1</v>
      </c>
      <c r="C2961" s="2" t="s">
        <v>2413</v>
      </c>
      <c r="D2961" s="2" t="s">
        <v>38</v>
      </c>
      <c r="E2961" s="2" t="s">
        <v>39</v>
      </c>
      <c r="F2961" s="2">
        <v>160080592</v>
      </c>
      <c r="G2961" s="2" t="s">
        <v>291</v>
      </c>
      <c r="H2961" s="2" t="s">
        <v>2426</v>
      </c>
      <c r="I2961" s="2" t="s">
        <v>2427</v>
      </c>
      <c r="J2961" s="2">
        <v>919209638</v>
      </c>
      <c r="K2961" s="2" t="s">
        <v>294</v>
      </c>
      <c r="L2961" s="2" t="s">
        <v>81</v>
      </c>
      <c r="N2961" s="2" t="s">
        <v>2428</v>
      </c>
      <c r="O2961" s="2" t="s">
        <v>73</v>
      </c>
      <c r="P2961" s="2" t="s">
        <v>2429</v>
      </c>
      <c r="Q2961" s="2" t="s">
        <v>1428</v>
      </c>
      <c r="R2961" s="2">
        <v>1</v>
      </c>
      <c r="S2961" s="2">
        <v>230</v>
      </c>
      <c r="T2961" s="2">
        <v>52.900000000000013</v>
      </c>
      <c r="U2961" s="2">
        <v>282.89999999999998</v>
      </c>
      <c r="V2961" s="2">
        <v>125.96</v>
      </c>
      <c r="W2961" s="5">
        <f t="shared" si="290"/>
        <v>0.45234782608695656</v>
      </c>
      <c r="Y2961" s="2" t="s">
        <v>3256</v>
      </c>
      <c r="Z2961" s="2" t="s">
        <v>76</v>
      </c>
      <c r="AA2961" s="2" t="s">
        <v>77</v>
      </c>
      <c r="AB2961" s="2" t="s">
        <v>78</v>
      </c>
      <c r="AE2961" s="2">
        <f t="shared" si="291"/>
        <v>0</v>
      </c>
      <c r="AF2961" s="2">
        <f>119.7+6.26</f>
        <v>125.96000000000001</v>
      </c>
      <c r="AI2961" s="2">
        <f t="shared" si="292"/>
        <v>0</v>
      </c>
      <c r="AJ2961" s="2">
        <f t="shared" si="293"/>
        <v>104.04</v>
      </c>
      <c r="AK2961" s="5">
        <f t="shared" si="294"/>
        <v>0.45234782608695656</v>
      </c>
    </row>
    <row r="2962" spans="1:37" x14ac:dyDescent="0.2">
      <c r="A2962" s="2">
        <v>2026</v>
      </c>
      <c r="B2962" s="2">
        <v>1</v>
      </c>
      <c r="C2962" s="2" t="s">
        <v>534</v>
      </c>
      <c r="D2962" s="2" t="s">
        <v>109</v>
      </c>
      <c r="E2962" s="2" t="s">
        <v>535</v>
      </c>
      <c r="F2962" s="2">
        <v>502139552</v>
      </c>
      <c r="G2962" s="2" t="s">
        <v>40</v>
      </c>
      <c r="H2962" s="2" t="s">
        <v>340</v>
      </c>
      <c r="I2962" s="2" t="s">
        <v>536</v>
      </c>
      <c r="K2962" s="2" t="s">
        <v>340</v>
      </c>
      <c r="L2962" s="2" t="s">
        <v>81</v>
      </c>
      <c r="N2962" s="2" t="s">
        <v>2430</v>
      </c>
      <c r="O2962" s="2" t="s">
        <v>73</v>
      </c>
      <c r="P2962" s="2" t="s">
        <v>560</v>
      </c>
      <c r="Q2962" s="2" t="s">
        <v>383</v>
      </c>
      <c r="R2962" s="2">
        <v>1</v>
      </c>
      <c r="S2962" s="2">
        <v>224.94</v>
      </c>
      <c r="T2962" s="2">
        <v>51.736199999999997</v>
      </c>
      <c r="U2962" s="2">
        <v>276.67619999999999</v>
      </c>
      <c r="V2962" s="2">
        <v>143.91999999999999</v>
      </c>
      <c r="W2962" s="5">
        <f t="shared" si="290"/>
        <v>0.36018493820574382</v>
      </c>
      <c r="Y2962" s="2" t="s">
        <v>3256</v>
      </c>
      <c r="Z2962" s="2" t="s">
        <v>76</v>
      </c>
      <c r="AA2962" s="2" t="s">
        <v>77</v>
      </c>
      <c r="AB2962" s="2" t="s">
        <v>78</v>
      </c>
      <c r="AE2962" s="2">
        <f t="shared" si="291"/>
        <v>0</v>
      </c>
      <c r="AF2962" s="2">
        <v>143.91999999999999</v>
      </c>
      <c r="AI2962" s="2">
        <f t="shared" si="292"/>
        <v>0</v>
      </c>
      <c r="AJ2962" s="2">
        <f t="shared" si="293"/>
        <v>81.02000000000001</v>
      </c>
      <c r="AK2962" s="5">
        <f t="shared" si="294"/>
        <v>0.36018493820574382</v>
      </c>
    </row>
    <row r="2963" spans="1:37" x14ac:dyDescent="0.2">
      <c r="A2963" s="2">
        <v>2026</v>
      </c>
      <c r="B2963" s="2">
        <v>1</v>
      </c>
      <c r="C2963" s="2" t="s">
        <v>1082</v>
      </c>
      <c r="L2963" s="2" t="s">
        <v>41</v>
      </c>
      <c r="O2963" s="2" t="s">
        <v>73</v>
      </c>
      <c r="P2963" s="2" t="s">
        <v>1355</v>
      </c>
      <c r="Q2963" s="2" t="s">
        <v>80</v>
      </c>
      <c r="R2963" s="2">
        <v>1</v>
      </c>
      <c r="S2963" s="2">
        <v>220</v>
      </c>
      <c r="T2963" s="2">
        <v>50.6</v>
      </c>
      <c r="U2963" s="2">
        <v>270.60000000000002</v>
      </c>
      <c r="V2963" s="2">
        <v>96.15</v>
      </c>
      <c r="W2963" s="5">
        <f t="shared" si="290"/>
        <v>0.56295454545454537</v>
      </c>
      <c r="Y2963" s="2" t="s">
        <v>3256</v>
      </c>
      <c r="Z2963" s="2" t="s">
        <v>76</v>
      </c>
      <c r="AA2963" s="2" t="s">
        <v>77</v>
      </c>
      <c r="AB2963" s="2" t="s">
        <v>78</v>
      </c>
      <c r="AE2963" s="2">
        <f t="shared" si="291"/>
        <v>0</v>
      </c>
      <c r="AI2963" s="2">
        <f t="shared" si="292"/>
        <v>0</v>
      </c>
      <c r="AJ2963" s="2">
        <f t="shared" si="293"/>
        <v>123.85</v>
      </c>
      <c r="AK2963" s="5">
        <f t="shared" si="294"/>
        <v>0.56295454545454537</v>
      </c>
    </row>
    <row r="2964" spans="1:37" x14ac:dyDescent="0.2">
      <c r="A2964" s="2">
        <v>2026</v>
      </c>
      <c r="B2964" s="2">
        <v>1</v>
      </c>
      <c r="C2964" s="2" t="s">
        <v>1580</v>
      </c>
      <c r="D2964" s="2" t="s">
        <v>38</v>
      </c>
      <c r="E2964" s="2" t="s">
        <v>39</v>
      </c>
      <c r="F2964" s="2">
        <v>506336670</v>
      </c>
      <c r="G2964" s="2" t="s">
        <v>110</v>
      </c>
      <c r="H2964" s="2" t="s">
        <v>400</v>
      </c>
      <c r="I2964" s="2" t="s">
        <v>2431</v>
      </c>
      <c r="J2964" s="2">
        <v>968647685</v>
      </c>
      <c r="K2964" s="2" t="s">
        <v>400</v>
      </c>
      <c r="L2964" s="2" t="s">
        <v>110</v>
      </c>
      <c r="N2964" s="2" t="s">
        <v>2432</v>
      </c>
      <c r="O2964" s="2" t="s">
        <v>73</v>
      </c>
      <c r="P2964" s="2" t="s">
        <v>488</v>
      </c>
      <c r="Q2964" s="2" t="s">
        <v>75</v>
      </c>
      <c r="R2964" s="2">
        <v>1</v>
      </c>
      <c r="S2964" s="2">
        <v>220</v>
      </c>
      <c r="T2964" s="2">
        <v>50.6</v>
      </c>
      <c r="U2964" s="2">
        <v>270.60000000000002</v>
      </c>
      <c r="V2964" s="2">
        <v>131.93</v>
      </c>
      <c r="W2964" s="5">
        <f t="shared" si="290"/>
        <v>0.4003181818181818</v>
      </c>
      <c r="Y2964" s="2" t="s">
        <v>3256</v>
      </c>
      <c r="Z2964" s="2" t="s">
        <v>76</v>
      </c>
      <c r="AA2964" s="2" t="s">
        <v>77</v>
      </c>
      <c r="AB2964" s="2" t="s">
        <v>78</v>
      </c>
      <c r="AE2964" s="2">
        <f t="shared" si="291"/>
        <v>0</v>
      </c>
      <c r="AF2964" s="2">
        <v>131.93</v>
      </c>
      <c r="AG2964" s="2">
        <v>220</v>
      </c>
      <c r="AI2964" s="2">
        <f t="shared" si="292"/>
        <v>0</v>
      </c>
      <c r="AJ2964" s="2">
        <f t="shared" si="293"/>
        <v>88.07</v>
      </c>
      <c r="AK2964" s="5">
        <f t="shared" si="294"/>
        <v>0.4003181818181818</v>
      </c>
    </row>
    <row r="2965" spans="1:37" x14ac:dyDescent="0.2">
      <c r="A2965" s="2">
        <v>2026</v>
      </c>
      <c r="B2965" s="2">
        <v>1</v>
      </c>
      <c r="C2965" s="2" t="s">
        <v>1430</v>
      </c>
      <c r="D2965" s="2" t="s">
        <v>109</v>
      </c>
      <c r="E2965" s="2" t="s">
        <v>39</v>
      </c>
      <c r="F2965" s="2">
        <v>502696338</v>
      </c>
      <c r="G2965" s="2" t="s">
        <v>40</v>
      </c>
      <c r="H2965" s="2" t="s">
        <v>2433</v>
      </c>
      <c r="I2965" s="2" t="s">
        <v>2434</v>
      </c>
      <c r="K2965" s="2" t="s">
        <v>202</v>
      </c>
      <c r="L2965" s="2" t="s">
        <v>81</v>
      </c>
      <c r="N2965" s="2" t="s">
        <v>2435</v>
      </c>
      <c r="O2965" s="2" t="s">
        <v>73</v>
      </c>
      <c r="P2965" s="2" t="s">
        <v>488</v>
      </c>
      <c r="Q2965" s="2" t="s">
        <v>75</v>
      </c>
      <c r="R2965" s="2">
        <v>1</v>
      </c>
      <c r="S2965" s="2">
        <v>220</v>
      </c>
      <c r="T2965" s="2">
        <v>50.6</v>
      </c>
      <c r="U2965" s="2">
        <v>270.60000000000002</v>
      </c>
      <c r="V2965" s="2">
        <v>131.93</v>
      </c>
      <c r="W2965" s="5">
        <f t="shared" si="290"/>
        <v>0.4003181818181818</v>
      </c>
      <c r="Y2965" s="2" t="s">
        <v>3256</v>
      </c>
      <c r="Z2965" s="2" t="s">
        <v>76</v>
      </c>
      <c r="AA2965" s="2" t="s">
        <v>77</v>
      </c>
      <c r="AB2965" s="2" t="s">
        <v>78</v>
      </c>
      <c r="AE2965" s="2">
        <f t="shared" si="291"/>
        <v>0</v>
      </c>
      <c r="AF2965" s="2">
        <v>131.93</v>
      </c>
      <c r="AG2965" s="2">
        <v>220</v>
      </c>
      <c r="AI2965" s="2">
        <f t="shared" si="292"/>
        <v>0</v>
      </c>
      <c r="AJ2965" s="2">
        <f t="shared" si="293"/>
        <v>88.07</v>
      </c>
      <c r="AK2965" s="5">
        <f t="shared" si="294"/>
        <v>0.4003181818181818</v>
      </c>
    </row>
    <row r="2966" spans="1:37" x14ac:dyDescent="0.2">
      <c r="A2966" s="2">
        <v>2026</v>
      </c>
      <c r="B2966" s="2">
        <v>1</v>
      </c>
      <c r="C2966" s="2" t="s">
        <v>37</v>
      </c>
      <c r="D2966" s="2" t="s">
        <v>38</v>
      </c>
      <c r="E2966" s="2" t="s">
        <v>39</v>
      </c>
      <c r="G2966" s="2" t="s">
        <v>40</v>
      </c>
      <c r="L2966" s="2" t="s">
        <v>81</v>
      </c>
      <c r="N2966" s="2" t="s">
        <v>2412</v>
      </c>
      <c r="O2966" s="2" t="s">
        <v>73</v>
      </c>
      <c r="P2966" s="2" t="s">
        <v>307</v>
      </c>
      <c r="Q2966" s="2" t="s">
        <v>308</v>
      </c>
      <c r="R2966" s="2">
        <v>1</v>
      </c>
      <c r="S2966" s="2">
        <v>258.69</v>
      </c>
      <c r="T2966" s="2">
        <v>59.498699999999999</v>
      </c>
      <c r="U2966" s="2">
        <v>318.18869999999998</v>
      </c>
      <c r="V2966" s="2">
        <v>119.33</v>
      </c>
      <c r="W2966" s="5">
        <f t="shared" si="290"/>
        <v>0.53871429123661529</v>
      </c>
      <c r="Y2966" s="2" t="s">
        <v>3256</v>
      </c>
      <c r="Z2966" s="2" t="s">
        <v>76</v>
      </c>
      <c r="AA2966" s="2" t="s">
        <v>77</v>
      </c>
      <c r="AB2966" s="2" t="s">
        <v>78</v>
      </c>
      <c r="AE2966" s="2">
        <f t="shared" si="291"/>
        <v>0</v>
      </c>
      <c r="AF2966" s="2">
        <v>119.33</v>
      </c>
      <c r="AG2966" s="2">
        <v>220</v>
      </c>
      <c r="AI2966" s="2">
        <f t="shared" si="292"/>
        <v>0</v>
      </c>
      <c r="AJ2966" s="2">
        <f t="shared" si="293"/>
        <v>139.36000000000001</v>
      </c>
      <c r="AK2966" s="5">
        <f t="shared" si="294"/>
        <v>0.53871429123661529</v>
      </c>
    </row>
    <row r="2967" spans="1:37" x14ac:dyDescent="0.2">
      <c r="A2967" s="2">
        <v>2026</v>
      </c>
      <c r="B2967" s="2">
        <v>1</v>
      </c>
      <c r="C2967" s="2" t="s">
        <v>315</v>
      </c>
      <c r="D2967" s="2" t="s">
        <v>109</v>
      </c>
      <c r="F2967" s="2">
        <v>503270520</v>
      </c>
      <c r="G2967" s="2" t="s">
        <v>40</v>
      </c>
      <c r="H2967" s="2" t="s">
        <v>316</v>
      </c>
      <c r="I2967" s="2" t="s">
        <v>317</v>
      </c>
      <c r="K2967" s="2" t="s">
        <v>100</v>
      </c>
      <c r="L2967" s="2" t="s">
        <v>81</v>
      </c>
      <c r="O2967" s="2" t="s">
        <v>73</v>
      </c>
      <c r="P2967" s="2" t="s">
        <v>307</v>
      </c>
      <c r="Q2967" s="2" t="s">
        <v>308</v>
      </c>
      <c r="R2967" s="2">
        <v>1</v>
      </c>
      <c r="S2967" s="2">
        <v>220</v>
      </c>
      <c r="T2967" s="2">
        <v>50.6</v>
      </c>
      <c r="U2967" s="2">
        <v>270.60000000000002</v>
      </c>
      <c r="V2967" s="2">
        <v>119.33</v>
      </c>
      <c r="W2967" s="5">
        <f t="shared" si="290"/>
        <v>0.4575909090909091</v>
      </c>
      <c r="Y2967" s="2" t="s">
        <v>3256</v>
      </c>
      <c r="Z2967" s="2" t="s">
        <v>76</v>
      </c>
      <c r="AA2967" s="2" t="s">
        <v>77</v>
      </c>
      <c r="AB2967" s="2" t="s">
        <v>78</v>
      </c>
      <c r="AE2967" s="2">
        <f t="shared" si="291"/>
        <v>0</v>
      </c>
      <c r="AF2967" s="2">
        <v>119.33</v>
      </c>
      <c r="AG2967" s="2">
        <v>220</v>
      </c>
      <c r="AI2967" s="2">
        <f t="shared" si="292"/>
        <v>0</v>
      </c>
      <c r="AJ2967" s="2">
        <f t="shared" si="293"/>
        <v>100.67</v>
      </c>
      <c r="AK2967" s="5">
        <f t="shared" si="294"/>
        <v>0.4575909090909091</v>
      </c>
    </row>
    <row r="2968" spans="1:37" x14ac:dyDescent="0.2">
      <c r="A2968" s="2">
        <v>2026</v>
      </c>
      <c r="B2968" s="2">
        <v>1</v>
      </c>
      <c r="C2968" s="2" t="s">
        <v>1018</v>
      </c>
      <c r="D2968" s="2" t="s">
        <v>109</v>
      </c>
      <c r="E2968" s="2" t="s">
        <v>39</v>
      </c>
      <c r="F2968" s="2">
        <v>507063481</v>
      </c>
      <c r="G2968" s="2" t="s">
        <v>291</v>
      </c>
      <c r="H2968" s="2" t="s">
        <v>1019</v>
      </c>
      <c r="I2968" s="2" t="s">
        <v>1020</v>
      </c>
      <c r="K2968" s="2" t="s">
        <v>294</v>
      </c>
      <c r="L2968" s="2" t="s">
        <v>81</v>
      </c>
      <c r="O2968" s="2" t="s">
        <v>73</v>
      </c>
      <c r="P2968" s="2" t="s">
        <v>307</v>
      </c>
      <c r="Q2968" s="2" t="s">
        <v>308</v>
      </c>
      <c r="R2968" s="2">
        <v>1</v>
      </c>
      <c r="S2968" s="2">
        <v>209</v>
      </c>
      <c r="T2968" s="2">
        <v>48.07</v>
      </c>
      <c r="U2968" s="2">
        <v>257.07</v>
      </c>
      <c r="V2968" s="2">
        <v>119.33</v>
      </c>
      <c r="W2968" s="5">
        <f t="shared" si="290"/>
        <v>0.42904306220095695</v>
      </c>
      <c r="Y2968" s="2" t="s">
        <v>3256</v>
      </c>
      <c r="Z2968" s="2" t="s">
        <v>76</v>
      </c>
      <c r="AA2968" s="2" t="s">
        <v>77</v>
      </c>
      <c r="AB2968" s="2" t="s">
        <v>78</v>
      </c>
      <c r="AE2968" s="2">
        <f t="shared" si="291"/>
        <v>0</v>
      </c>
      <c r="AF2968" s="2">
        <v>119.33</v>
      </c>
      <c r="AG2968" s="2">
        <v>220</v>
      </c>
      <c r="AI2968" s="2">
        <f t="shared" si="292"/>
        <v>0</v>
      </c>
      <c r="AJ2968" s="2">
        <f t="shared" si="293"/>
        <v>89.67</v>
      </c>
      <c r="AK2968" s="5">
        <f t="shared" si="294"/>
        <v>0.42904306220095695</v>
      </c>
    </row>
    <row r="2969" spans="1:37" x14ac:dyDescent="0.2">
      <c r="A2969" s="2">
        <v>2026</v>
      </c>
      <c r="B2969" s="2">
        <v>1</v>
      </c>
      <c r="C2969" s="2" t="s">
        <v>822</v>
      </c>
      <c r="O2969" s="2" t="s">
        <v>73</v>
      </c>
      <c r="P2969" s="2" t="s">
        <v>2436</v>
      </c>
      <c r="Q2969" s="2" t="s">
        <v>2437</v>
      </c>
      <c r="R2969" s="2">
        <v>1</v>
      </c>
      <c r="S2969" s="2">
        <v>210</v>
      </c>
      <c r="T2969" s="2">
        <v>48.3</v>
      </c>
      <c r="U2969" s="2">
        <v>258.3</v>
      </c>
      <c r="V2969" s="2">
        <v>120.78</v>
      </c>
      <c r="W2969" s="5">
        <f t="shared" si="290"/>
        <v>0.42485714285714288</v>
      </c>
      <c r="Y2969" s="2" t="s">
        <v>3256</v>
      </c>
      <c r="Z2969" s="2" t="s">
        <v>76</v>
      </c>
      <c r="AA2969" s="2" t="s">
        <v>77</v>
      </c>
      <c r="AB2969" s="2" t="s">
        <v>78</v>
      </c>
      <c r="AE2969" s="2">
        <f t="shared" si="291"/>
        <v>0</v>
      </c>
      <c r="AF2969" s="2">
        <v>120.78</v>
      </c>
      <c r="AG2969" s="2">
        <v>210</v>
      </c>
      <c r="AI2969" s="2">
        <f t="shared" si="292"/>
        <v>0</v>
      </c>
      <c r="AJ2969" s="2">
        <f t="shared" si="293"/>
        <v>89.22</v>
      </c>
      <c r="AK2969" s="5">
        <f t="shared" si="294"/>
        <v>0.42485714285714288</v>
      </c>
    </row>
    <row r="2970" spans="1:37" x14ac:dyDescent="0.2">
      <c r="A2970" s="2">
        <v>2026</v>
      </c>
      <c r="B2970" s="2">
        <v>2</v>
      </c>
      <c r="C2970" s="2" t="s">
        <v>695</v>
      </c>
      <c r="D2970" s="2" t="s">
        <v>109</v>
      </c>
      <c r="E2970" s="2" t="s">
        <v>39</v>
      </c>
      <c r="F2970" s="2">
        <v>503589950</v>
      </c>
      <c r="G2970" s="2" t="s">
        <v>41</v>
      </c>
      <c r="H2970" s="2" t="s">
        <v>615</v>
      </c>
      <c r="I2970" s="2" t="s">
        <v>696</v>
      </c>
      <c r="J2970" s="2">
        <v>913036545</v>
      </c>
      <c r="K2970" s="2" t="s">
        <v>178</v>
      </c>
      <c r="L2970" s="2" t="s">
        <v>41</v>
      </c>
      <c r="N2970" s="2" t="s">
        <v>2438</v>
      </c>
      <c r="O2970" s="2" t="s">
        <v>43</v>
      </c>
      <c r="P2970" s="2" t="s">
        <v>233</v>
      </c>
      <c r="Q2970" s="2" t="s">
        <v>234</v>
      </c>
      <c r="R2970" s="2">
        <v>1</v>
      </c>
      <c r="S2970" s="2">
        <v>12.6</v>
      </c>
      <c r="T2970" s="2">
        <v>2.8980000000000001</v>
      </c>
      <c r="U2970" s="2">
        <v>15.497999999999999</v>
      </c>
      <c r="V2970" s="2">
        <v>5.9066999999999998</v>
      </c>
      <c r="W2970" s="5">
        <f t="shared" si="290"/>
        <v>0.53121428571428575</v>
      </c>
      <c r="Y2970" s="2" t="s">
        <v>3256</v>
      </c>
      <c r="Z2970" s="2" t="s">
        <v>46</v>
      </c>
      <c r="AA2970" s="2" t="s">
        <v>57</v>
      </c>
      <c r="AB2970" s="2" t="s">
        <v>58</v>
      </c>
      <c r="AE2970" s="2">
        <f t="shared" si="291"/>
        <v>0</v>
      </c>
      <c r="AF2970" s="2">
        <v>5.9066999999999998</v>
      </c>
      <c r="AG2970" s="2">
        <v>12.6</v>
      </c>
      <c r="AI2970" s="2">
        <f t="shared" si="292"/>
        <v>0</v>
      </c>
      <c r="AJ2970" s="2">
        <f t="shared" si="293"/>
        <v>6.6932999999999998</v>
      </c>
      <c r="AK2970" s="5">
        <f t="shared" si="294"/>
        <v>0.53121428571428575</v>
      </c>
    </row>
    <row r="2971" spans="1:37" x14ac:dyDescent="0.2">
      <c r="A2971" s="2">
        <v>2026</v>
      </c>
      <c r="B2971" s="2">
        <v>1</v>
      </c>
      <c r="C2971" s="2" t="s">
        <v>1035</v>
      </c>
      <c r="D2971" s="2" t="s">
        <v>38</v>
      </c>
      <c r="E2971" s="2" t="s">
        <v>39</v>
      </c>
      <c r="F2971" s="2">
        <v>514229829</v>
      </c>
      <c r="G2971" s="2" t="s">
        <v>41</v>
      </c>
      <c r="H2971" s="2" t="s">
        <v>1036</v>
      </c>
      <c r="I2971" s="2" t="s">
        <v>1037</v>
      </c>
      <c r="J2971" s="2">
        <v>963046242</v>
      </c>
      <c r="K2971" s="2" t="s">
        <v>178</v>
      </c>
      <c r="O2971" s="2" t="s">
        <v>73</v>
      </c>
      <c r="P2971" s="2" t="s">
        <v>561</v>
      </c>
      <c r="Q2971" s="2" t="s">
        <v>308</v>
      </c>
      <c r="R2971" s="2">
        <v>1</v>
      </c>
      <c r="S2971" s="2">
        <v>219.66</v>
      </c>
      <c r="T2971" s="2">
        <v>50.521799999999999</v>
      </c>
      <c r="U2971" s="2">
        <v>270.18180000000001</v>
      </c>
      <c r="V2971" s="2">
        <v>122.446</v>
      </c>
      <c r="W2971" s="5">
        <f t="shared" si="290"/>
        <v>0.44256578348356551</v>
      </c>
      <c r="Y2971" s="2" t="s">
        <v>3256</v>
      </c>
      <c r="Z2971" s="2" t="s">
        <v>76</v>
      </c>
      <c r="AA2971" s="2" t="s">
        <v>77</v>
      </c>
      <c r="AB2971" s="2" t="s">
        <v>78</v>
      </c>
      <c r="AE2971" s="2">
        <f t="shared" si="291"/>
        <v>0</v>
      </c>
      <c r="AF2971" s="2">
        <v>122.446</v>
      </c>
      <c r="AG2971" s="2">
        <v>230</v>
      </c>
      <c r="AI2971" s="2">
        <f t="shared" si="292"/>
        <v>0</v>
      </c>
      <c r="AJ2971" s="2">
        <f t="shared" si="293"/>
        <v>97.213999999999999</v>
      </c>
      <c r="AK2971" s="5">
        <f t="shared" si="294"/>
        <v>0.44256578348356551</v>
      </c>
    </row>
    <row r="2972" spans="1:37" x14ac:dyDescent="0.2">
      <c r="A2972" s="2">
        <v>2026</v>
      </c>
      <c r="B2972" s="2">
        <v>1</v>
      </c>
      <c r="C2972" s="2" t="s">
        <v>822</v>
      </c>
      <c r="O2972" s="2" t="s">
        <v>73</v>
      </c>
      <c r="P2972" s="2" t="s">
        <v>1461</v>
      </c>
      <c r="Q2972" s="2" t="s">
        <v>308</v>
      </c>
      <c r="R2972" s="2">
        <v>1</v>
      </c>
      <c r="S2972" s="2">
        <v>220</v>
      </c>
      <c r="T2972" s="2">
        <v>50.6</v>
      </c>
      <c r="U2972" s="2">
        <v>270.60000000000002</v>
      </c>
      <c r="V2972" s="2">
        <v>122.446</v>
      </c>
      <c r="W2972" s="5">
        <f t="shared" si="290"/>
        <v>0.44342727272727273</v>
      </c>
      <c r="Y2972" s="2" t="s">
        <v>3256</v>
      </c>
      <c r="Z2972" s="2" t="s">
        <v>76</v>
      </c>
      <c r="AA2972" s="2" t="s">
        <v>77</v>
      </c>
      <c r="AB2972" s="2" t="s">
        <v>78</v>
      </c>
      <c r="AE2972" s="2">
        <f t="shared" si="291"/>
        <v>0</v>
      </c>
      <c r="AF2972" s="2">
        <v>122.446</v>
      </c>
      <c r="AG2972" s="2">
        <v>230</v>
      </c>
      <c r="AI2972" s="2">
        <f t="shared" si="292"/>
        <v>0</v>
      </c>
      <c r="AJ2972" s="2">
        <f t="shared" si="293"/>
        <v>97.554000000000002</v>
      </c>
      <c r="AK2972" s="5">
        <f t="shared" si="294"/>
        <v>0.44342727272727273</v>
      </c>
    </row>
    <row r="2973" spans="1:37" x14ac:dyDescent="0.2">
      <c r="A2973" s="2">
        <v>2026</v>
      </c>
      <c r="B2973" s="2">
        <v>1</v>
      </c>
      <c r="C2973" s="2" t="s">
        <v>320</v>
      </c>
      <c r="D2973" s="2" t="s">
        <v>38</v>
      </c>
      <c r="E2973" s="2" t="s">
        <v>39</v>
      </c>
      <c r="F2973" s="2">
        <v>500883262</v>
      </c>
      <c r="G2973" s="2" t="s">
        <v>40</v>
      </c>
      <c r="H2973" s="2" t="s">
        <v>100</v>
      </c>
      <c r="I2973" s="2" t="s">
        <v>321</v>
      </c>
      <c r="K2973" s="2" t="s">
        <v>100</v>
      </c>
      <c r="L2973" s="2" t="s">
        <v>81</v>
      </c>
      <c r="N2973" s="2" t="s">
        <v>2439</v>
      </c>
      <c r="O2973" s="2" t="s">
        <v>73</v>
      </c>
      <c r="P2973" s="2" t="s">
        <v>79</v>
      </c>
      <c r="Q2973" s="2" t="s">
        <v>80</v>
      </c>
      <c r="R2973" s="2">
        <v>1</v>
      </c>
      <c r="S2973" s="2">
        <v>210</v>
      </c>
      <c r="T2973" s="2">
        <v>48.3</v>
      </c>
      <c r="U2973" s="2">
        <v>258.3</v>
      </c>
      <c r="V2973" s="2">
        <v>111.98</v>
      </c>
      <c r="W2973" s="5">
        <f t="shared" si="290"/>
        <v>0.46676190476190477</v>
      </c>
      <c r="Y2973" s="2" t="s">
        <v>3256</v>
      </c>
      <c r="Z2973" s="2" t="s">
        <v>76</v>
      </c>
      <c r="AA2973" s="2" t="s">
        <v>77</v>
      </c>
      <c r="AB2973" s="2" t="s">
        <v>78</v>
      </c>
      <c r="AE2973" s="2">
        <f t="shared" si="291"/>
        <v>0</v>
      </c>
      <c r="AF2973" s="2">
        <v>111.98</v>
      </c>
      <c r="AG2973" s="2">
        <v>210</v>
      </c>
      <c r="AI2973" s="2">
        <f t="shared" si="292"/>
        <v>0</v>
      </c>
      <c r="AJ2973" s="2">
        <f t="shared" si="293"/>
        <v>98.02</v>
      </c>
      <c r="AK2973" s="5">
        <f t="shared" si="294"/>
        <v>0.46676190476190477</v>
      </c>
    </row>
    <row r="2974" spans="1:37" x14ac:dyDescent="0.2">
      <c r="A2974" s="2">
        <v>2026</v>
      </c>
      <c r="B2974" s="2">
        <v>1</v>
      </c>
      <c r="C2974" s="2" t="s">
        <v>432</v>
      </c>
      <c r="D2974" s="2" t="s">
        <v>38</v>
      </c>
      <c r="F2974" s="2">
        <v>500820384</v>
      </c>
      <c r="G2974" s="2" t="s">
        <v>40</v>
      </c>
      <c r="H2974" s="2" t="s">
        <v>433</v>
      </c>
      <c r="I2974" s="2" t="s">
        <v>434</v>
      </c>
      <c r="K2974" s="2" t="s">
        <v>100</v>
      </c>
      <c r="L2974" s="2" t="s">
        <v>81</v>
      </c>
      <c r="N2974" s="2" t="s">
        <v>2440</v>
      </c>
      <c r="O2974" s="2" t="s">
        <v>73</v>
      </c>
      <c r="P2974" s="2" t="s">
        <v>79</v>
      </c>
      <c r="Q2974" s="2" t="s">
        <v>80</v>
      </c>
      <c r="R2974" s="2">
        <v>1</v>
      </c>
      <c r="S2974" s="2">
        <v>203.7</v>
      </c>
      <c r="T2974" s="2">
        <v>46.850999999999999</v>
      </c>
      <c r="U2974" s="2">
        <v>250.55099999999999</v>
      </c>
      <c r="V2974" s="2">
        <v>111.98</v>
      </c>
      <c r="W2974" s="5">
        <f t="shared" si="290"/>
        <v>0.45027000490918012</v>
      </c>
      <c r="Y2974" s="2" t="s">
        <v>3256</v>
      </c>
      <c r="Z2974" s="2" t="s">
        <v>76</v>
      </c>
      <c r="AA2974" s="2" t="s">
        <v>77</v>
      </c>
      <c r="AB2974" s="2" t="s">
        <v>78</v>
      </c>
      <c r="AE2974" s="2">
        <f t="shared" si="291"/>
        <v>0</v>
      </c>
      <c r="AF2974" s="2">
        <v>111.98</v>
      </c>
      <c r="AG2974" s="2">
        <v>210</v>
      </c>
      <c r="AI2974" s="2">
        <f t="shared" si="292"/>
        <v>0</v>
      </c>
      <c r="AJ2974" s="2">
        <f t="shared" si="293"/>
        <v>91.719999999999985</v>
      </c>
      <c r="AK2974" s="5">
        <f t="shared" si="294"/>
        <v>0.45027000490918012</v>
      </c>
    </row>
    <row r="2975" spans="1:37" x14ac:dyDescent="0.2">
      <c r="A2975" s="2">
        <v>2026</v>
      </c>
      <c r="B2975" s="2">
        <v>1</v>
      </c>
      <c r="C2975" s="2" t="s">
        <v>1386</v>
      </c>
      <c r="D2975" s="2" t="s">
        <v>38</v>
      </c>
      <c r="E2975" s="2" t="s">
        <v>39</v>
      </c>
      <c r="F2975" s="2">
        <v>503116670</v>
      </c>
      <c r="G2975" s="2" t="s">
        <v>41</v>
      </c>
      <c r="H2975" s="2" t="s">
        <v>1387</v>
      </c>
      <c r="I2975" s="2" t="s">
        <v>1388</v>
      </c>
      <c r="J2975" s="2">
        <v>962004640</v>
      </c>
      <c r="K2975" s="2" t="s">
        <v>422</v>
      </c>
      <c r="L2975" s="2" t="s">
        <v>81</v>
      </c>
      <c r="N2975" s="2" t="s">
        <v>3236</v>
      </c>
      <c r="O2975" s="2" t="s">
        <v>73</v>
      </c>
      <c r="P2975" s="2" t="s">
        <v>79</v>
      </c>
      <c r="Q2975" s="2" t="s">
        <v>80</v>
      </c>
      <c r="R2975" s="2">
        <v>1</v>
      </c>
      <c r="S2975" s="2">
        <v>210</v>
      </c>
      <c r="T2975" s="2">
        <v>48.3</v>
      </c>
      <c r="U2975" s="2">
        <v>258.3</v>
      </c>
      <c r="V2975" s="2">
        <v>111.98</v>
      </c>
      <c r="W2975" s="5">
        <f t="shared" si="290"/>
        <v>0.46676190476190477</v>
      </c>
      <c r="Y2975" s="2" t="s">
        <v>3256</v>
      </c>
      <c r="Z2975" s="2" t="s">
        <v>76</v>
      </c>
      <c r="AA2975" s="2" t="s">
        <v>77</v>
      </c>
      <c r="AB2975" s="2" t="s">
        <v>78</v>
      </c>
      <c r="AE2975" s="2">
        <f t="shared" si="291"/>
        <v>0</v>
      </c>
      <c r="AF2975" s="2">
        <v>111.98</v>
      </c>
      <c r="AG2975" s="2">
        <v>210</v>
      </c>
      <c r="AI2975" s="2">
        <f t="shared" si="292"/>
        <v>0</v>
      </c>
      <c r="AJ2975" s="2">
        <f t="shared" si="293"/>
        <v>98.02</v>
      </c>
      <c r="AK2975" s="5">
        <f t="shared" si="294"/>
        <v>0.46676190476190477</v>
      </c>
    </row>
    <row r="2976" spans="1:37" x14ac:dyDescent="0.2">
      <c r="A2976" s="2">
        <v>2026</v>
      </c>
      <c r="B2976" s="2">
        <v>1</v>
      </c>
      <c r="C2976" s="2" t="s">
        <v>1305</v>
      </c>
      <c r="D2976" s="2" t="s">
        <v>184</v>
      </c>
      <c r="E2976" s="2" t="s">
        <v>368</v>
      </c>
      <c r="F2976" s="2">
        <v>500625654</v>
      </c>
      <c r="G2976" s="2" t="s">
        <v>291</v>
      </c>
      <c r="H2976" s="2" t="s">
        <v>340</v>
      </c>
      <c r="I2976" s="2" t="s">
        <v>1306</v>
      </c>
      <c r="K2976" s="2" t="s">
        <v>340</v>
      </c>
      <c r="L2976" s="2" t="s">
        <v>81</v>
      </c>
      <c r="N2976" s="2" t="s">
        <v>2441</v>
      </c>
      <c r="O2976" s="2" t="s">
        <v>73</v>
      </c>
      <c r="P2976" s="2" t="s">
        <v>79</v>
      </c>
      <c r="Q2976" s="2" t="s">
        <v>80</v>
      </c>
      <c r="R2976" s="2">
        <v>1</v>
      </c>
      <c r="S2976" s="2">
        <v>213.4</v>
      </c>
      <c r="T2976" s="2">
        <v>49.082000000000001</v>
      </c>
      <c r="U2976" s="2">
        <v>262.48200000000003</v>
      </c>
      <c r="V2976" s="2">
        <v>111.98</v>
      </c>
      <c r="W2976" s="5">
        <f t="shared" si="290"/>
        <v>0.47525773195876286</v>
      </c>
      <c r="Y2976" s="2" t="s">
        <v>3256</v>
      </c>
      <c r="Z2976" s="2" t="s">
        <v>76</v>
      </c>
      <c r="AA2976" s="2" t="s">
        <v>77</v>
      </c>
      <c r="AB2976" s="2" t="s">
        <v>78</v>
      </c>
      <c r="AE2976" s="2">
        <f t="shared" si="291"/>
        <v>0</v>
      </c>
      <c r="AF2976" s="2">
        <v>111.98</v>
      </c>
      <c r="AG2976" s="2">
        <v>210</v>
      </c>
      <c r="AI2976" s="2">
        <f t="shared" si="292"/>
        <v>0</v>
      </c>
      <c r="AJ2976" s="2">
        <f t="shared" si="293"/>
        <v>101.42</v>
      </c>
      <c r="AK2976" s="5">
        <f t="shared" si="294"/>
        <v>0.47525773195876286</v>
      </c>
    </row>
    <row r="2977" spans="1:37" x14ac:dyDescent="0.2">
      <c r="A2977" s="2">
        <v>2026</v>
      </c>
      <c r="B2977" s="2">
        <v>1</v>
      </c>
      <c r="C2977" s="2" t="s">
        <v>1018</v>
      </c>
      <c r="D2977" s="2" t="s">
        <v>109</v>
      </c>
      <c r="E2977" s="2" t="s">
        <v>39</v>
      </c>
      <c r="F2977" s="2">
        <v>507063481</v>
      </c>
      <c r="G2977" s="2" t="s">
        <v>291</v>
      </c>
      <c r="H2977" s="2" t="s">
        <v>1019</v>
      </c>
      <c r="I2977" s="2" t="s">
        <v>1020</v>
      </c>
      <c r="K2977" s="2" t="s">
        <v>294</v>
      </c>
      <c r="L2977" s="2" t="s">
        <v>81</v>
      </c>
      <c r="N2977" s="2" t="s">
        <v>3226</v>
      </c>
      <c r="O2977" s="2" t="s">
        <v>73</v>
      </c>
      <c r="P2977" s="2" t="s">
        <v>537</v>
      </c>
      <c r="Q2977" s="2" t="s">
        <v>538</v>
      </c>
      <c r="R2977" s="2">
        <v>1</v>
      </c>
      <c r="S2977" s="2">
        <v>199.5</v>
      </c>
      <c r="T2977" s="2">
        <v>45.885000000000012</v>
      </c>
      <c r="U2977" s="2">
        <v>245.38499999999999</v>
      </c>
      <c r="V2977" s="2">
        <f>110.125+11.77</f>
        <v>121.895</v>
      </c>
      <c r="W2977" s="5">
        <f t="shared" si="290"/>
        <v>0.38899749373433584</v>
      </c>
      <c r="Y2977" s="2" t="s">
        <v>3256</v>
      </c>
      <c r="Z2977" s="2" t="s">
        <v>76</v>
      </c>
      <c r="AA2977" s="2" t="s">
        <v>77</v>
      </c>
      <c r="AB2977" s="2" t="s">
        <v>78</v>
      </c>
      <c r="AE2977" s="2">
        <f t="shared" si="291"/>
        <v>0</v>
      </c>
      <c r="AF2977" s="2">
        <f>110.125+11.77</f>
        <v>121.895</v>
      </c>
      <c r="AI2977" s="2">
        <f t="shared" si="292"/>
        <v>0</v>
      </c>
      <c r="AJ2977" s="2">
        <f t="shared" si="293"/>
        <v>77.605000000000004</v>
      </c>
      <c r="AK2977" s="5">
        <f t="shared" si="294"/>
        <v>0.38899749373433584</v>
      </c>
    </row>
    <row r="2978" spans="1:37" x14ac:dyDescent="0.2">
      <c r="A2978" s="2">
        <v>2026</v>
      </c>
      <c r="B2978" s="2">
        <v>1</v>
      </c>
      <c r="C2978" s="2" t="s">
        <v>37</v>
      </c>
      <c r="D2978" s="2" t="s">
        <v>38</v>
      </c>
      <c r="E2978" s="2" t="s">
        <v>39</v>
      </c>
      <c r="G2978" s="2" t="s">
        <v>40</v>
      </c>
      <c r="H2978" s="2" t="s">
        <v>2442</v>
      </c>
      <c r="K2978" s="2" t="s">
        <v>465</v>
      </c>
      <c r="L2978" s="2" t="s">
        <v>81</v>
      </c>
      <c r="N2978" s="2" t="s">
        <v>2443</v>
      </c>
      <c r="O2978" s="2" t="s">
        <v>73</v>
      </c>
      <c r="P2978" s="2" t="s">
        <v>83</v>
      </c>
      <c r="Q2978" s="2" t="s">
        <v>84</v>
      </c>
      <c r="R2978" s="2">
        <v>1</v>
      </c>
      <c r="S2978" s="2">
        <v>445.68</v>
      </c>
      <c r="T2978" s="2">
        <v>102.5064</v>
      </c>
      <c r="U2978" s="2">
        <v>548.18640000000005</v>
      </c>
      <c r="V2978" s="2">
        <v>208.69</v>
      </c>
      <c r="W2978" s="5">
        <f t="shared" si="290"/>
        <v>0.53174923712080413</v>
      </c>
      <c r="Y2978" s="2" t="s">
        <v>3256</v>
      </c>
      <c r="Z2978" s="2" t="s">
        <v>76</v>
      </c>
      <c r="AA2978" s="2" t="s">
        <v>77</v>
      </c>
      <c r="AB2978" s="2" t="s">
        <v>78</v>
      </c>
      <c r="AE2978" s="2">
        <f t="shared" si="291"/>
        <v>0</v>
      </c>
      <c r="AF2978" s="2">
        <f>198.32+10.37</f>
        <v>208.69</v>
      </c>
      <c r="AG2978" s="2">
        <v>340</v>
      </c>
      <c r="AI2978" s="2">
        <f t="shared" si="292"/>
        <v>0</v>
      </c>
      <c r="AJ2978" s="2">
        <f t="shared" si="293"/>
        <v>236.99</v>
      </c>
      <c r="AK2978" s="5">
        <f t="shared" si="294"/>
        <v>0.53174923712080413</v>
      </c>
    </row>
    <row r="2979" spans="1:37" x14ac:dyDescent="0.2">
      <c r="A2979" s="2">
        <v>2026</v>
      </c>
      <c r="B2979" s="2">
        <v>1</v>
      </c>
      <c r="C2979" s="2" t="s">
        <v>1018</v>
      </c>
      <c r="D2979" s="2" t="s">
        <v>109</v>
      </c>
      <c r="E2979" s="2" t="s">
        <v>39</v>
      </c>
      <c r="F2979" s="2">
        <v>507063481</v>
      </c>
      <c r="G2979" s="2" t="s">
        <v>291</v>
      </c>
      <c r="H2979" s="2" t="s">
        <v>1019</v>
      </c>
      <c r="I2979" s="2" t="s">
        <v>1020</v>
      </c>
      <c r="K2979" s="2" t="s">
        <v>294</v>
      </c>
      <c r="L2979" s="2" t="s">
        <v>81</v>
      </c>
      <c r="O2979" s="2" t="s">
        <v>73</v>
      </c>
      <c r="P2979" s="2" t="s">
        <v>1084</v>
      </c>
      <c r="Q2979" s="2" t="s">
        <v>84</v>
      </c>
      <c r="R2979" s="2">
        <v>2</v>
      </c>
      <c r="S2979" s="2">
        <v>494</v>
      </c>
      <c r="T2979" s="2">
        <v>113.62</v>
      </c>
      <c r="U2979" s="2">
        <v>607.62</v>
      </c>
      <c r="V2979" s="2">
        <f>159.54*2</f>
        <v>319.08</v>
      </c>
      <c r="W2979" s="5">
        <f t="shared" ref="W2979:W2994" si="295">(S2979-V2979)/S2979</f>
        <v>0.35408906882591096</v>
      </c>
      <c r="Y2979" s="2" t="s">
        <v>3256</v>
      </c>
      <c r="Z2979" s="2" t="s">
        <v>76</v>
      </c>
      <c r="AA2979" s="2" t="s">
        <v>77</v>
      </c>
      <c r="AB2979" s="2" t="s">
        <v>78</v>
      </c>
      <c r="AE2979" s="2">
        <f t="shared" si="291"/>
        <v>0</v>
      </c>
      <c r="AF2979" s="2">
        <f>144.14+15.4</f>
        <v>159.54</v>
      </c>
      <c r="AG2979" s="2">
        <v>280</v>
      </c>
      <c r="AI2979" s="2">
        <f t="shared" si="292"/>
        <v>0</v>
      </c>
      <c r="AJ2979" s="2">
        <f t="shared" si="293"/>
        <v>174.92000000000002</v>
      </c>
      <c r="AK2979" s="5">
        <f t="shared" si="294"/>
        <v>0.35408906882591096</v>
      </c>
    </row>
    <row r="2980" spans="1:37" x14ac:dyDescent="0.2">
      <c r="A2980" s="2">
        <v>2026</v>
      </c>
      <c r="B2980" s="2">
        <v>1</v>
      </c>
      <c r="C2980" s="2" t="s">
        <v>315</v>
      </c>
      <c r="D2980" s="2" t="s">
        <v>109</v>
      </c>
      <c r="F2980" s="2">
        <v>503270520</v>
      </c>
      <c r="G2980" s="2" t="s">
        <v>40</v>
      </c>
      <c r="H2980" s="2" t="s">
        <v>316</v>
      </c>
      <c r="I2980" s="2" t="s">
        <v>317</v>
      </c>
      <c r="K2980" s="2" t="s">
        <v>100</v>
      </c>
      <c r="L2980" s="2" t="s">
        <v>81</v>
      </c>
      <c r="O2980" s="2" t="s">
        <v>73</v>
      </c>
      <c r="P2980" s="2" t="s">
        <v>203</v>
      </c>
      <c r="Q2980" s="2" t="s">
        <v>198</v>
      </c>
      <c r="R2980" s="8">
        <v>1</v>
      </c>
      <c r="S2980" s="2">
        <v>260</v>
      </c>
      <c r="T2980" s="2">
        <v>59.8</v>
      </c>
      <c r="U2980" s="2">
        <v>319.8</v>
      </c>
      <c r="V2980" s="2">
        <v>152.85</v>
      </c>
      <c r="W2980" s="5">
        <f t="shared" si="295"/>
        <v>0.41211538461538466</v>
      </c>
      <c r="Y2980" s="2" t="s">
        <v>3256</v>
      </c>
      <c r="Z2980" s="2" t="s">
        <v>76</v>
      </c>
      <c r="AA2980" s="2" t="s">
        <v>77</v>
      </c>
      <c r="AB2980" s="2" t="s">
        <v>78</v>
      </c>
      <c r="AE2980" s="2">
        <f t="shared" si="291"/>
        <v>0</v>
      </c>
      <c r="AF2980" s="2">
        <v>152.85</v>
      </c>
      <c r="AG2980" s="2">
        <v>260</v>
      </c>
      <c r="AI2980" s="2">
        <f t="shared" si="292"/>
        <v>0</v>
      </c>
      <c r="AJ2980" s="2">
        <f t="shared" si="293"/>
        <v>107.15</v>
      </c>
      <c r="AK2980" s="5">
        <f t="shared" si="294"/>
        <v>0.41211538461538466</v>
      </c>
    </row>
    <row r="2981" spans="1:37" x14ac:dyDescent="0.2">
      <c r="A2981" s="2">
        <v>2026</v>
      </c>
      <c r="B2981" s="2">
        <v>1</v>
      </c>
      <c r="C2981" s="2" t="s">
        <v>432</v>
      </c>
      <c r="D2981" s="2" t="s">
        <v>38</v>
      </c>
      <c r="F2981" s="2">
        <v>500820384</v>
      </c>
      <c r="G2981" s="2" t="s">
        <v>40</v>
      </c>
      <c r="H2981" s="2" t="s">
        <v>433</v>
      </c>
      <c r="I2981" s="2" t="s">
        <v>434</v>
      </c>
      <c r="K2981" s="2" t="s">
        <v>100</v>
      </c>
      <c r="L2981" s="2" t="s">
        <v>81</v>
      </c>
      <c r="N2981" s="2" t="s">
        <v>2444</v>
      </c>
      <c r="O2981" s="2" t="s">
        <v>73</v>
      </c>
      <c r="P2981" s="2" t="s">
        <v>2445</v>
      </c>
      <c r="Q2981" s="2" t="s">
        <v>84</v>
      </c>
      <c r="R2981" s="2">
        <v>1</v>
      </c>
      <c r="S2981" s="2">
        <v>349.2</v>
      </c>
      <c r="T2981" s="2">
        <v>80.316000000000003</v>
      </c>
      <c r="U2981" s="2">
        <v>429.51600000000002</v>
      </c>
      <c r="W2981" s="5">
        <f t="shared" si="295"/>
        <v>1</v>
      </c>
      <c r="Y2981" s="2" t="s">
        <v>3256</v>
      </c>
      <c r="Z2981" s="2" t="s">
        <v>76</v>
      </c>
      <c r="AA2981" s="2" t="s">
        <v>77</v>
      </c>
      <c r="AB2981" s="2" t="s">
        <v>78</v>
      </c>
      <c r="AE2981" s="2">
        <f t="shared" si="291"/>
        <v>0</v>
      </c>
      <c r="AI2981" s="2">
        <f t="shared" si="292"/>
        <v>0</v>
      </c>
      <c r="AJ2981" s="2">
        <f t="shared" si="293"/>
        <v>349.2</v>
      </c>
      <c r="AK2981" s="5">
        <f t="shared" si="294"/>
        <v>1</v>
      </c>
    </row>
    <row r="2982" spans="1:37" x14ac:dyDescent="0.2">
      <c r="A2982" s="2">
        <v>2026</v>
      </c>
      <c r="B2982" s="2">
        <v>1</v>
      </c>
      <c r="C2982" s="2" t="s">
        <v>901</v>
      </c>
      <c r="O2982" s="2" t="s">
        <v>73</v>
      </c>
      <c r="P2982" s="2" t="s">
        <v>2446</v>
      </c>
      <c r="Q2982" s="2" t="s">
        <v>75</v>
      </c>
      <c r="R2982" s="2">
        <v>1</v>
      </c>
      <c r="S2982" s="2">
        <v>280</v>
      </c>
      <c r="T2982" s="2">
        <v>64.400000000000006</v>
      </c>
      <c r="U2982" s="2">
        <v>344.4</v>
      </c>
      <c r="W2982" s="5">
        <f t="shared" si="295"/>
        <v>1</v>
      </c>
      <c r="Y2982" s="2" t="s">
        <v>3256</v>
      </c>
      <c r="Z2982" s="2" t="s">
        <v>76</v>
      </c>
      <c r="AA2982" s="2" t="s">
        <v>77</v>
      </c>
      <c r="AB2982" s="2" t="s">
        <v>78</v>
      </c>
      <c r="AE2982" s="2">
        <f t="shared" si="291"/>
        <v>0</v>
      </c>
      <c r="AI2982" s="2">
        <f t="shared" si="292"/>
        <v>0</v>
      </c>
      <c r="AJ2982" s="2">
        <f t="shared" si="293"/>
        <v>280</v>
      </c>
      <c r="AK2982" s="5">
        <f t="shared" si="294"/>
        <v>1</v>
      </c>
    </row>
    <row r="2983" spans="1:37" x14ac:dyDescent="0.2">
      <c r="A2983" s="2">
        <v>2026</v>
      </c>
      <c r="B2983" s="2">
        <v>1</v>
      </c>
      <c r="C2983" s="2" t="s">
        <v>683</v>
      </c>
      <c r="D2983" s="2" t="s">
        <v>109</v>
      </c>
      <c r="E2983" s="2" t="s">
        <v>39</v>
      </c>
      <c r="F2983" s="2">
        <v>505764636</v>
      </c>
      <c r="G2983" s="2" t="s">
        <v>291</v>
      </c>
      <c r="H2983" s="2" t="s">
        <v>684</v>
      </c>
      <c r="I2983" s="2" t="s">
        <v>685</v>
      </c>
      <c r="K2983" s="2" t="s">
        <v>340</v>
      </c>
      <c r="L2983" s="2" t="s">
        <v>81</v>
      </c>
      <c r="N2983" s="2" t="s">
        <v>2447</v>
      </c>
      <c r="O2983" s="2" t="s">
        <v>73</v>
      </c>
      <c r="P2983" s="2" t="s">
        <v>2010</v>
      </c>
      <c r="Q2983" s="2" t="s">
        <v>1428</v>
      </c>
      <c r="R2983" s="2">
        <v>1</v>
      </c>
      <c r="S2983" s="2">
        <v>260</v>
      </c>
      <c r="T2983" s="2">
        <v>59.8</v>
      </c>
      <c r="U2983" s="2">
        <v>319.8</v>
      </c>
      <c r="W2983" s="5">
        <f t="shared" si="295"/>
        <v>1</v>
      </c>
      <c r="Y2983" s="2" t="s">
        <v>3256</v>
      </c>
      <c r="Z2983" s="2" t="s">
        <v>76</v>
      </c>
      <c r="AA2983" s="2" t="s">
        <v>77</v>
      </c>
      <c r="AB2983" s="2" t="s">
        <v>78</v>
      </c>
      <c r="AE2983" s="2">
        <f t="shared" si="291"/>
        <v>0</v>
      </c>
      <c r="AI2983" s="2">
        <f t="shared" si="292"/>
        <v>0</v>
      </c>
      <c r="AJ2983" s="2">
        <f t="shared" si="293"/>
        <v>260</v>
      </c>
      <c r="AK2983" s="5">
        <f t="shared" si="294"/>
        <v>1</v>
      </c>
    </row>
    <row r="2984" spans="1:37" x14ac:dyDescent="0.2">
      <c r="A2984" s="2">
        <v>2026</v>
      </c>
      <c r="B2984" s="2">
        <v>1</v>
      </c>
      <c r="C2984" s="2" t="s">
        <v>989</v>
      </c>
      <c r="D2984" s="2" t="s">
        <v>109</v>
      </c>
      <c r="E2984" s="2" t="s">
        <v>723</v>
      </c>
      <c r="F2984" s="2">
        <v>500594309</v>
      </c>
      <c r="G2984" s="2" t="s">
        <v>291</v>
      </c>
      <c r="H2984" s="2" t="s">
        <v>990</v>
      </c>
      <c r="I2984" s="2" t="s">
        <v>991</v>
      </c>
      <c r="K2984" s="2" t="s">
        <v>294</v>
      </c>
      <c r="L2984" s="2" t="s">
        <v>81</v>
      </c>
      <c r="N2984" s="2" t="s">
        <v>2448</v>
      </c>
      <c r="O2984" s="2" t="s">
        <v>73</v>
      </c>
      <c r="P2984" s="2" t="s">
        <v>207</v>
      </c>
      <c r="Q2984" s="2" t="s">
        <v>208</v>
      </c>
      <c r="R2984" s="2">
        <v>1</v>
      </c>
      <c r="S2984" s="2">
        <v>460</v>
      </c>
      <c r="T2984" s="2">
        <v>105.8</v>
      </c>
      <c r="U2984" s="2">
        <v>565.79999999999995</v>
      </c>
      <c r="V2984" s="2">
        <f>291.59*R2984</f>
        <v>291.58999999999997</v>
      </c>
      <c r="W2984" s="5">
        <f t="shared" si="295"/>
        <v>0.36610869565217397</v>
      </c>
      <c r="Y2984" s="2" t="s">
        <v>3256</v>
      </c>
      <c r="Z2984" s="2" t="s">
        <v>76</v>
      </c>
      <c r="AA2984" s="2" t="s">
        <v>77</v>
      </c>
      <c r="AB2984" s="2" t="s">
        <v>78</v>
      </c>
      <c r="AE2984" s="2">
        <f t="shared" si="291"/>
        <v>0</v>
      </c>
      <c r="AF2984" s="2">
        <v>291.58999999999997</v>
      </c>
      <c r="AG2984" s="2">
        <v>450</v>
      </c>
      <c r="AI2984" s="2">
        <f t="shared" si="292"/>
        <v>0</v>
      </c>
      <c r="AJ2984" s="2">
        <f t="shared" si="293"/>
        <v>168.41000000000003</v>
      </c>
      <c r="AK2984" s="5">
        <f t="shared" si="294"/>
        <v>0.36610869565217397</v>
      </c>
    </row>
    <row r="2985" spans="1:37" x14ac:dyDescent="0.2">
      <c r="A2985" s="2">
        <v>2026</v>
      </c>
      <c r="B2985" s="2">
        <v>1</v>
      </c>
      <c r="C2985" s="2" t="s">
        <v>587</v>
      </c>
      <c r="D2985" s="2" t="s">
        <v>109</v>
      </c>
      <c r="F2985" s="2">
        <v>503850276</v>
      </c>
      <c r="G2985" s="2" t="s">
        <v>40</v>
      </c>
      <c r="H2985" s="2" t="s">
        <v>588</v>
      </c>
      <c r="I2985" s="2" t="s">
        <v>589</v>
      </c>
      <c r="K2985" s="2" t="s">
        <v>202</v>
      </c>
      <c r="L2985" s="2" t="s">
        <v>81</v>
      </c>
      <c r="O2985" s="2" t="s">
        <v>73</v>
      </c>
      <c r="P2985" s="2" t="s">
        <v>207</v>
      </c>
      <c r="Q2985" s="2" t="s">
        <v>208</v>
      </c>
      <c r="R2985" s="2">
        <v>1</v>
      </c>
      <c r="S2985" s="2">
        <v>460</v>
      </c>
      <c r="T2985" s="2">
        <v>105.8</v>
      </c>
      <c r="U2985" s="2">
        <v>565.79999999999995</v>
      </c>
      <c r="V2985" s="2">
        <f>291.59*R2985</f>
        <v>291.58999999999997</v>
      </c>
      <c r="W2985" s="5">
        <f t="shared" si="295"/>
        <v>0.36610869565217397</v>
      </c>
      <c r="Y2985" s="2" t="s">
        <v>3256</v>
      </c>
      <c r="Z2985" s="2" t="s">
        <v>76</v>
      </c>
      <c r="AA2985" s="2" t="s">
        <v>77</v>
      </c>
      <c r="AB2985" s="2" t="s">
        <v>78</v>
      </c>
      <c r="AE2985" s="2">
        <f t="shared" si="291"/>
        <v>0</v>
      </c>
      <c r="AF2985" s="2">
        <v>291.58999999999997</v>
      </c>
      <c r="AG2985" s="2">
        <v>450</v>
      </c>
      <c r="AI2985" s="2">
        <f t="shared" si="292"/>
        <v>0</v>
      </c>
      <c r="AJ2985" s="2">
        <f t="shared" si="293"/>
        <v>168.41000000000003</v>
      </c>
      <c r="AK2985" s="5">
        <f t="shared" si="294"/>
        <v>0.36610869565217397</v>
      </c>
    </row>
    <row r="2986" spans="1:37" x14ac:dyDescent="0.2">
      <c r="A2986" s="2">
        <v>2026</v>
      </c>
      <c r="B2986" s="2">
        <v>1</v>
      </c>
      <c r="C2986" s="2" t="s">
        <v>590</v>
      </c>
      <c r="O2986" s="2" t="s">
        <v>85</v>
      </c>
      <c r="P2986" s="2" t="s">
        <v>1220</v>
      </c>
      <c r="Q2986" s="2" t="s">
        <v>1221</v>
      </c>
      <c r="R2986" s="2">
        <v>1</v>
      </c>
      <c r="S2986" s="2">
        <v>15</v>
      </c>
      <c r="T2986" s="2">
        <v>3.45</v>
      </c>
      <c r="U2986" s="2">
        <v>18.45</v>
      </c>
      <c r="W2986" s="5">
        <f t="shared" si="295"/>
        <v>1</v>
      </c>
      <c r="Y2986" s="2" t="s">
        <v>3256</v>
      </c>
      <c r="Z2986" s="2" t="s">
        <v>88</v>
      </c>
      <c r="AA2986" s="2" t="s">
        <v>91</v>
      </c>
      <c r="AB2986" s="2" t="s">
        <v>85</v>
      </c>
      <c r="AE2986" s="2">
        <f t="shared" si="291"/>
        <v>0</v>
      </c>
      <c r="AI2986" s="2">
        <f t="shared" si="292"/>
        <v>0</v>
      </c>
      <c r="AJ2986" s="2">
        <f t="shared" si="293"/>
        <v>15</v>
      </c>
      <c r="AK2986" s="5">
        <f t="shared" si="294"/>
        <v>1</v>
      </c>
    </row>
    <row r="2987" spans="1:37" x14ac:dyDescent="0.2">
      <c r="A2987" s="2">
        <v>2026</v>
      </c>
      <c r="B2987" s="2">
        <v>1</v>
      </c>
      <c r="C2987" s="2" t="s">
        <v>2449</v>
      </c>
      <c r="O2987" s="2" t="s">
        <v>85</v>
      </c>
      <c r="P2987" s="2" t="s">
        <v>2450</v>
      </c>
      <c r="Q2987" s="2" t="s">
        <v>2451</v>
      </c>
      <c r="R2987" s="2">
        <v>1</v>
      </c>
      <c r="S2987" s="2">
        <v>470</v>
      </c>
      <c r="T2987" s="2">
        <v>108.1</v>
      </c>
      <c r="U2987" s="2">
        <v>578.1</v>
      </c>
      <c r="V2987" s="2">
        <v>363.92</v>
      </c>
      <c r="W2987" s="5">
        <f t="shared" si="295"/>
        <v>0.22570212765957443</v>
      </c>
      <c r="Y2987" s="2" t="s">
        <v>3256</v>
      </c>
      <c r="Z2987" s="2" t="s">
        <v>88</v>
      </c>
      <c r="AA2987" s="2" t="s">
        <v>91</v>
      </c>
      <c r="AB2987" s="2" t="s">
        <v>85</v>
      </c>
      <c r="AE2987" s="2">
        <f t="shared" si="291"/>
        <v>0</v>
      </c>
      <c r="AI2987" s="2">
        <f t="shared" si="292"/>
        <v>0</v>
      </c>
      <c r="AJ2987" s="2">
        <f t="shared" si="293"/>
        <v>106.07999999999998</v>
      </c>
      <c r="AK2987" s="5">
        <f t="shared" si="294"/>
        <v>0.22570212765957443</v>
      </c>
    </row>
    <row r="2988" spans="1:37" x14ac:dyDescent="0.2">
      <c r="A2988" s="2">
        <v>2026</v>
      </c>
      <c r="B2988" s="2">
        <v>1</v>
      </c>
      <c r="C2988" s="2" t="s">
        <v>37</v>
      </c>
      <c r="D2988" s="2" t="s">
        <v>38</v>
      </c>
      <c r="E2988" s="2" t="s">
        <v>39</v>
      </c>
      <c r="G2988" s="2" t="s">
        <v>40</v>
      </c>
      <c r="L2988" s="2" t="s">
        <v>81</v>
      </c>
      <c r="O2988" s="2" t="s">
        <v>1047</v>
      </c>
      <c r="P2988" s="2" t="s">
        <v>2452</v>
      </c>
      <c r="Q2988" s="2" t="s">
        <v>2453</v>
      </c>
      <c r="R2988" s="2">
        <v>4</v>
      </c>
      <c r="S2988" s="2">
        <v>520</v>
      </c>
      <c r="T2988" s="2">
        <v>119.6</v>
      </c>
      <c r="U2988" s="2">
        <v>639.6</v>
      </c>
      <c r="V2988" s="2">
        <v>303.12</v>
      </c>
      <c r="W2988" s="5">
        <f t="shared" si="295"/>
        <v>0.41707692307692307</v>
      </c>
      <c r="Y2988" s="2" t="s">
        <v>3256</v>
      </c>
      <c r="Z2988" s="2" t="s">
        <v>1050</v>
      </c>
      <c r="AA2988" s="2" t="s">
        <v>1280</v>
      </c>
      <c r="AB2988" s="2" t="s">
        <v>1047</v>
      </c>
      <c r="AE2988" s="2">
        <f t="shared" si="291"/>
        <v>0</v>
      </c>
      <c r="AI2988" s="2">
        <f t="shared" si="292"/>
        <v>0</v>
      </c>
      <c r="AJ2988" s="2">
        <f t="shared" si="293"/>
        <v>216.88</v>
      </c>
      <c r="AK2988" s="5">
        <f t="shared" si="294"/>
        <v>0.41707692307692307</v>
      </c>
    </row>
    <row r="2989" spans="1:37" x14ac:dyDescent="0.2">
      <c r="A2989" s="2">
        <v>2026</v>
      </c>
      <c r="B2989" s="2">
        <v>1</v>
      </c>
      <c r="C2989" s="2" t="s">
        <v>2454</v>
      </c>
      <c r="L2989" s="2" t="s">
        <v>81</v>
      </c>
      <c r="O2989" s="2" t="s">
        <v>1047</v>
      </c>
      <c r="P2989" s="2" t="s">
        <v>2455</v>
      </c>
      <c r="Q2989" s="2" t="s">
        <v>2456</v>
      </c>
      <c r="R2989" s="2">
        <v>4</v>
      </c>
      <c r="S2989" s="2">
        <v>601.63</v>
      </c>
      <c r="T2989" s="2">
        <v>138.3749</v>
      </c>
      <c r="U2989" s="2">
        <v>740.00490000000002</v>
      </c>
      <c r="V2989" s="2">
        <v>367.56</v>
      </c>
      <c r="W2989" s="5">
        <f t="shared" si="295"/>
        <v>0.38905972109103604</v>
      </c>
      <c r="Y2989" s="2" t="s">
        <v>3256</v>
      </c>
      <c r="Z2989" s="2" t="s">
        <v>1050</v>
      </c>
      <c r="AA2989" s="2" t="s">
        <v>1328</v>
      </c>
      <c r="AB2989" s="2" t="s">
        <v>1047</v>
      </c>
      <c r="AE2989" s="2">
        <f t="shared" si="291"/>
        <v>0</v>
      </c>
      <c r="AI2989" s="2">
        <f t="shared" si="292"/>
        <v>0</v>
      </c>
      <c r="AJ2989" s="2">
        <f t="shared" si="293"/>
        <v>234.07</v>
      </c>
      <c r="AK2989" s="5">
        <f t="shared" si="294"/>
        <v>0.38905972109103604</v>
      </c>
    </row>
    <row r="2990" spans="1:37" x14ac:dyDescent="0.2">
      <c r="A2990" s="2">
        <v>2026</v>
      </c>
      <c r="B2990" s="2">
        <v>1</v>
      </c>
      <c r="C2990" s="2" t="s">
        <v>2457</v>
      </c>
      <c r="D2990" s="2" t="s">
        <v>109</v>
      </c>
      <c r="E2990" s="2" t="s">
        <v>39</v>
      </c>
      <c r="F2990" s="2">
        <v>503305464</v>
      </c>
      <c r="G2990" s="2" t="s">
        <v>41</v>
      </c>
      <c r="H2990" s="2" t="s">
        <v>2458</v>
      </c>
      <c r="I2990" s="2" t="s">
        <v>2459</v>
      </c>
      <c r="K2990" s="2" t="s">
        <v>2460</v>
      </c>
      <c r="L2990" s="2" t="s">
        <v>41</v>
      </c>
      <c r="N2990" s="2" t="s">
        <v>2461</v>
      </c>
      <c r="O2990" s="2" t="s">
        <v>40</v>
      </c>
      <c r="P2990" s="2" t="s">
        <v>914</v>
      </c>
      <c r="Q2990" s="2" t="s">
        <v>915</v>
      </c>
      <c r="R2990" s="2">
        <v>1</v>
      </c>
      <c r="S2990" s="2">
        <v>1500</v>
      </c>
      <c r="T2990" s="2">
        <v>345</v>
      </c>
      <c r="U2990" s="2">
        <v>1845</v>
      </c>
      <c r="V2990" s="2">
        <v>1160.5</v>
      </c>
      <c r="W2990" s="5">
        <f t="shared" si="295"/>
        <v>0.22633333333333333</v>
      </c>
      <c r="Y2990" s="2" t="s">
        <v>105</v>
      </c>
      <c r="Z2990" s="2" t="s">
        <v>151</v>
      </c>
      <c r="AA2990" s="2" t="s">
        <v>479</v>
      </c>
      <c r="AE2990" s="2">
        <f t="shared" si="291"/>
        <v>0</v>
      </c>
      <c r="AF2990" s="2">
        <v>1160.5</v>
      </c>
      <c r="AG2990" s="2">
        <v>1500</v>
      </c>
      <c r="AI2990" s="2">
        <f t="shared" si="292"/>
        <v>0</v>
      </c>
      <c r="AJ2990" s="2">
        <f t="shared" si="293"/>
        <v>339.5</v>
      </c>
      <c r="AK2990" s="5">
        <f t="shared" si="294"/>
        <v>0.22633333333333333</v>
      </c>
    </row>
    <row r="2991" spans="1:37" x14ac:dyDescent="0.2">
      <c r="A2991" s="2">
        <v>2026</v>
      </c>
      <c r="B2991" s="2">
        <v>1</v>
      </c>
      <c r="C2991" s="2" t="s">
        <v>492</v>
      </c>
      <c r="D2991" s="2" t="s">
        <v>38</v>
      </c>
      <c r="E2991" s="2" t="s">
        <v>39</v>
      </c>
      <c r="F2991" s="2">
        <v>507380312</v>
      </c>
      <c r="G2991" s="2" t="s">
        <v>40</v>
      </c>
      <c r="H2991" s="2" t="s">
        <v>493</v>
      </c>
      <c r="I2991" s="2" t="s">
        <v>494</v>
      </c>
      <c r="J2991" s="2">
        <v>912293443</v>
      </c>
      <c r="K2991" s="2" t="s">
        <v>100</v>
      </c>
      <c r="L2991" s="2" t="s">
        <v>40</v>
      </c>
      <c r="N2991" s="2" t="s">
        <v>2462</v>
      </c>
      <c r="O2991" s="2" t="s">
        <v>40</v>
      </c>
      <c r="P2991" s="2" t="s">
        <v>495</v>
      </c>
      <c r="Q2991" s="2" t="s">
        <v>496</v>
      </c>
      <c r="R2991" s="2">
        <v>1</v>
      </c>
      <c r="S2991" s="2">
        <v>664.04</v>
      </c>
      <c r="T2991" s="2">
        <v>152.72919999999999</v>
      </c>
      <c r="U2991" s="2">
        <v>816.76919999999996</v>
      </c>
      <c r="W2991" s="5">
        <f t="shared" si="295"/>
        <v>1</v>
      </c>
      <c r="Y2991" s="2" t="s">
        <v>120</v>
      </c>
      <c r="AE2991" s="2">
        <f t="shared" si="291"/>
        <v>0</v>
      </c>
      <c r="AI2991" s="2">
        <f t="shared" si="292"/>
        <v>0</v>
      </c>
      <c r="AJ2991" s="2">
        <f t="shared" si="293"/>
        <v>664.04</v>
      </c>
      <c r="AK2991" s="5">
        <f t="shared" ref="AK2991:AK3002" si="296">(S2991-V2991)/S2991</f>
        <v>1</v>
      </c>
    </row>
    <row r="2992" spans="1:37" x14ac:dyDescent="0.2">
      <c r="A2992" s="2">
        <v>2026</v>
      </c>
      <c r="B2992" s="2">
        <v>1</v>
      </c>
      <c r="C2992" s="2" t="s">
        <v>315</v>
      </c>
      <c r="D2992" s="2" t="s">
        <v>109</v>
      </c>
      <c r="F2992" s="2">
        <v>503270520</v>
      </c>
      <c r="G2992" s="2" t="s">
        <v>40</v>
      </c>
      <c r="H2992" s="2" t="s">
        <v>316</v>
      </c>
      <c r="I2992" s="2" t="s">
        <v>317</v>
      </c>
      <c r="K2992" s="2" t="s">
        <v>100</v>
      </c>
      <c r="L2992" s="2" t="s">
        <v>40</v>
      </c>
      <c r="O2992" s="2" t="s">
        <v>188</v>
      </c>
      <c r="P2992" s="2" t="s">
        <v>318</v>
      </c>
      <c r="Q2992" s="2" t="s">
        <v>319</v>
      </c>
      <c r="R2992" s="2">
        <v>1</v>
      </c>
      <c r="S2992" s="2">
        <v>291</v>
      </c>
      <c r="T2992" s="2">
        <v>66.930000000000007</v>
      </c>
      <c r="U2992" s="2">
        <v>357.93</v>
      </c>
      <c r="W2992" s="5">
        <f t="shared" si="295"/>
        <v>1</v>
      </c>
      <c r="Y2992" s="2" t="s">
        <v>118</v>
      </c>
      <c r="Z2992" s="2" t="s">
        <v>318</v>
      </c>
      <c r="AE2992" s="2">
        <f t="shared" si="291"/>
        <v>0</v>
      </c>
      <c r="AI2992" s="2">
        <f t="shared" si="292"/>
        <v>0</v>
      </c>
      <c r="AJ2992" s="2">
        <f t="shared" si="293"/>
        <v>291</v>
      </c>
      <c r="AK2992" s="5">
        <f t="shared" si="296"/>
        <v>1</v>
      </c>
    </row>
    <row r="2993" spans="1:37" x14ac:dyDescent="0.2">
      <c r="A2993" s="2">
        <v>2026</v>
      </c>
      <c r="B2993" s="2">
        <v>1</v>
      </c>
      <c r="C2993" s="2" t="s">
        <v>1903</v>
      </c>
      <c r="L2993" s="2" t="s">
        <v>40</v>
      </c>
      <c r="O2993" s="2" t="s">
        <v>188</v>
      </c>
      <c r="P2993" s="2" t="s">
        <v>318</v>
      </c>
      <c r="Q2993" s="2" t="s">
        <v>319</v>
      </c>
      <c r="R2993" s="2">
        <v>-1</v>
      </c>
      <c r="S2993" s="2">
        <v>-850</v>
      </c>
      <c r="T2993" s="2">
        <v>-195.5</v>
      </c>
      <c r="U2993" s="2">
        <v>-1045.5</v>
      </c>
      <c r="W2993" s="5">
        <f t="shared" si="295"/>
        <v>1</v>
      </c>
      <c r="Y2993" s="2" t="s">
        <v>118</v>
      </c>
      <c r="Z2993" s="2" t="s">
        <v>318</v>
      </c>
      <c r="AE2993" s="2">
        <f t="shared" si="291"/>
        <v>0</v>
      </c>
      <c r="AI2993" s="2">
        <f t="shared" si="292"/>
        <v>0</v>
      </c>
      <c r="AJ2993" s="2">
        <f t="shared" si="293"/>
        <v>-850</v>
      </c>
      <c r="AK2993" s="5">
        <f t="shared" si="296"/>
        <v>1</v>
      </c>
    </row>
    <row r="2994" spans="1:37" x14ac:dyDescent="0.2">
      <c r="A2994" s="2">
        <v>2026</v>
      </c>
      <c r="B2994" s="2">
        <v>1</v>
      </c>
      <c r="C2994" s="2" t="s">
        <v>1018</v>
      </c>
      <c r="D2994" s="2" t="s">
        <v>109</v>
      </c>
      <c r="E2994" s="2" t="s">
        <v>39</v>
      </c>
      <c r="F2994" s="2">
        <v>507063481</v>
      </c>
      <c r="G2994" s="2" t="s">
        <v>291</v>
      </c>
      <c r="H2994" s="2" t="s">
        <v>1019</v>
      </c>
      <c r="I2994" s="2" t="s">
        <v>1020</v>
      </c>
      <c r="K2994" s="2" t="s">
        <v>294</v>
      </c>
      <c r="L2994" s="2" t="s">
        <v>40</v>
      </c>
      <c r="O2994" s="2" t="s">
        <v>188</v>
      </c>
      <c r="P2994" s="2" t="s">
        <v>318</v>
      </c>
      <c r="Q2994" s="2" t="s">
        <v>319</v>
      </c>
      <c r="R2994" s="2">
        <v>1</v>
      </c>
      <c r="S2994" s="2">
        <v>875</v>
      </c>
      <c r="T2994" s="2">
        <v>201.25</v>
      </c>
      <c r="U2994" s="2">
        <v>1076.25</v>
      </c>
      <c r="W2994" s="5">
        <f t="shared" si="295"/>
        <v>1</v>
      </c>
      <c r="Y2994" s="2" t="s">
        <v>118</v>
      </c>
      <c r="Z2994" s="2" t="s">
        <v>318</v>
      </c>
      <c r="AE2994" s="2">
        <f t="shared" si="291"/>
        <v>0</v>
      </c>
      <c r="AI2994" s="2">
        <f t="shared" si="292"/>
        <v>0</v>
      </c>
      <c r="AJ2994" s="2">
        <f t="shared" si="293"/>
        <v>875</v>
      </c>
      <c r="AK2994" s="5">
        <f t="shared" si="296"/>
        <v>1</v>
      </c>
    </row>
    <row r="2995" spans="1:37" x14ac:dyDescent="0.2">
      <c r="A2995" s="2">
        <v>2026</v>
      </c>
      <c r="B2995" s="2">
        <v>4</v>
      </c>
      <c r="C2995" s="2" t="s">
        <v>948</v>
      </c>
      <c r="L2995" s="2" t="s">
        <v>40</v>
      </c>
      <c r="O2995" s="2" t="s">
        <v>188</v>
      </c>
      <c r="P2995" s="2" t="s">
        <v>189</v>
      </c>
      <c r="Q2995" s="2" t="s">
        <v>190</v>
      </c>
      <c r="R2995" s="2">
        <v>0</v>
      </c>
      <c r="S2995" s="2">
        <v>0</v>
      </c>
      <c r="T2995" s="2">
        <v>0</v>
      </c>
      <c r="U2995" s="2">
        <v>0</v>
      </c>
      <c r="V2995" s="2">
        <f>S2995*40%</f>
        <v>0</v>
      </c>
      <c r="W2995" s="5">
        <v>0</v>
      </c>
      <c r="Y2995" s="2" t="s">
        <v>118</v>
      </c>
      <c r="Z2995" s="2" t="s">
        <v>191</v>
      </c>
      <c r="AE2995" s="2">
        <f t="shared" si="291"/>
        <v>0</v>
      </c>
      <c r="AI2995" s="2">
        <f t="shared" si="292"/>
        <v>0</v>
      </c>
      <c r="AJ2995" s="2">
        <f t="shared" si="293"/>
        <v>0</v>
      </c>
      <c r="AK2995" s="5" t="e">
        <f t="shared" si="296"/>
        <v>#DIV/0!</v>
      </c>
    </row>
    <row r="2996" spans="1:37" x14ac:dyDescent="0.2">
      <c r="A2996" s="2">
        <v>2026</v>
      </c>
      <c r="B2996" s="2">
        <v>4</v>
      </c>
      <c r="C2996" s="2" t="s">
        <v>948</v>
      </c>
      <c r="L2996" s="2" t="s">
        <v>40</v>
      </c>
      <c r="O2996" s="2" t="s">
        <v>188</v>
      </c>
      <c r="P2996" s="2" t="s">
        <v>192</v>
      </c>
      <c r="Q2996" s="2" t="s">
        <v>191</v>
      </c>
      <c r="R2996" s="2">
        <v>0</v>
      </c>
      <c r="S2996" s="2">
        <v>0</v>
      </c>
      <c r="T2996" s="2">
        <v>0</v>
      </c>
      <c r="U2996" s="2">
        <v>0</v>
      </c>
      <c r="V2996" s="2">
        <f>S2996*50%</f>
        <v>0</v>
      </c>
      <c r="W2996" s="5">
        <v>0</v>
      </c>
      <c r="Y2996" s="2" t="s">
        <v>118</v>
      </c>
      <c r="Z2996" s="2" t="s">
        <v>191</v>
      </c>
      <c r="AE2996" s="2">
        <f t="shared" si="291"/>
        <v>0</v>
      </c>
      <c r="AF2996" s="2">
        <f>V2996</f>
        <v>0</v>
      </c>
      <c r="AI2996" s="2">
        <f t="shared" si="292"/>
        <v>0</v>
      </c>
      <c r="AJ2996" s="2">
        <f t="shared" si="293"/>
        <v>0</v>
      </c>
      <c r="AK2996" s="5" t="e">
        <f t="shared" si="296"/>
        <v>#DIV/0!</v>
      </c>
    </row>
    <row r="2997" spans="1:37" x14ac:dyDescent="0.2">
      <c r="A2997" s="2">
        <v>2026</v>
      </c>
      <c r="B2997" s="2">
        <v>4</v>
      </c>
      <c r="C2997" s="2" t="s">
        <v>693</v>
      </c>
      <c r="D2997" s="2" t="s">
        <v>38</v>
      </c>
      <c r="E2997" s="2" t="s">
        <v>39</v>
      </c>
      <c r="F2997" s="2">
        <v>501726519</v>
      </c>
      <c r="G2997" s="2" t="s">
        <v>291</v>
      </c>
      <c r="H2997" s="2" t="s">
        <v>441</v>
      </c>
      <c r="I2997" s="2" t="s">
        <v>694</v>
      </c>
      <c r="K2997" s="2" t="s">
        <v>340</v>
      </c>
      <c r="L2997" s="2" t="s">
        <v>40</v>
      </c>
      <c r="O2997" s="2" t="s">
        <v>188</v>
      </c>
      <c r="P2997" s="2" t="s">
        <v>189</v>
      </c>
      <c r="Q2997" s="2" t="s">
        <v>190</v>
      </c>
      <c r="R2997" s="2">
        <v>1</v>
      </c>
      <c r="S2997" s="2">
        <v>55</v>
      </c>
      <c r="T2997" s="2">
        <v>12.65</v>
      </c>
      <c r="U2997" s="2">
        <v>67.650000000000006</v>
      </c>
      <c r="V2997" s="2">
        <f>S2997*40%</f>
        <v>22</v>
      </c>
      <c r="W2997" s="5">
        <f>(S2997-V2997)/S2997</f>
        <v>0.6</v>
      </c>
      <c r="Y2997" s="2" t="s">
        <v>118</v>
      </c>
      <c r="Z2997" s="2" t="s">
        <v>191</v>
      </c>
      <c r="AE2997" s="2">
        <f t="shared" si="291"/>
        <v>0</v>
      </c>
      <c r="AI2997" s="2">
        <f t="shared" si="292"/>
        <v>0</v>
      </c>
      <c r="AJ2997" s="2">
        <f t="shared" si="293"/>
        <v>33</v>
      </c>
      <c r="AK2997" s="5">
        <f t="shared" si="296"/>
        <v>0.6</v>
      </c>
    </row>
    <row r="2998" spans="1:37" x14ac:dyDescent="0.2">
      <c r="A2998" s="2">
        <v>2026</v>
      </c>
      <c r="B2998" s="2">
        <v>4</v>
      </c>
      <c r="C2998" s="2" t="s">
        <v>693</v>
      </c>
      <c r="D2998" s="2" t="s">
        <v>38</v>
      </c>
      <c r="E2998" s="2" t="s">
        <v>39</v>
      </c>
      <c r="F2998" s="2">
        <v>501726519</v>
      </c>
      <c r="G2998" s="2" t="s">
        <v>291</v>
      </c>
      <c r="H2998" s="2" t="s">
        <v>441</v>
      </c>
      <c r="I2998" s="2" t="s">
        <v>694</v>
      </c>
      <c r="K2998" s="2" t="s">
        <v>340</v>
      </c>
      <c r="L2998" s="2" t="s">
        <v>40</v>
      </c>
      <c r="O2998" s="2" t="s">
        <v>188</v>
      </c>
      <c r="P2998" s="2" t="s">
        <v>192</v>
      </c>
      <c r="Q2998" s="2" t="s">
        <v>191</v>
      </c>
      <c r="R2998" s="2">
        <v>1</v>
      </c>
      <c r="S2998" s="2">
        <v>55</v>
      </c>
      <c r="T2998" s="2">
        <v>12.65</v>
      </c>
      <c r="U2998" s="2">
        <v>67.650000000000006</v>
      </c>
      <c r="V2998" s="2">
        <f>S2998*50%</f>
        <v>27.5</v>
      </c>
      <c r="W2998" s="5">
        <f>(S2998-V2998)/S2998</f>
        <v>0.5</v>
      </c>
      <c r="Y2998" s="2" t="s">
        <v>118</v>
      </c>
      <c r="Z2998" s="2" t="s">
        <v>191</v>
      </c>
      <c r="AE2998" s="2">
        <f t="shared" si="291"/>
        <v>0</v>
      </c>
      <c r="AF2998" s="2">
        <f>V2998</f>
        <v>27.5</v>
      </c>
      <c r="AI2998" s="2">
        <f t="shared" si="292"/>
        <v>0</v>
      </c>
      <c r="AJ2998" s="2">
        <f t="shared" si="293"/>
        <v>27.5</v>
      </c>
      <c r="AK2998" s="5">
        <f t="shared" si="296"/>
        <v>0.5</v>
      </c>
    </row>
    <row r="2999" spans="1:37" x14ac:dyDescent="0.2">
      <c r="A2999" s="2">
        <v>2026</v>
      </c>
      <c r="B2999" s="2">
        <v>4</v>
      </c>
      <c r="C2999" s="2" t="s">
        <v>695</v>
      </c>
      <c r="D2999" s="2" t="s">
        <v>109</v>
      </c>
      <c r="E2999" s="2" t="s">
        <v>39</v>
      </c>
      <c r="F2999" s="2">
        <v>503589950</v>
      </c>
      <c r="G2999" s="2" t="s">
        <v>41</v>
      </c>
      <c r="H2999" s="2" t="s">
        <v>615</v>
      </c>
      <c r="I2999" s="2" t="s">
        <v>696</v>
      </c>
      <c r="J2999" s="2">
        <v>913036545</v>
      </c>
      <c r="K2999" s="2" t="s">
        <v>178</v>
      </c>
      <c r="L2999" s="2" t="s">
        <v>40</v>
      </c>
      <c r="N2999" s="2" t="s">
        <v>2463</v>
      </c>
      <c r="O2999" s="2" t="s">
        <v>188</v>
      </c>
      <c r="P2999" s="2" t="s">
        <v>189</v>
      </c>
      <c r="Q2999" s="2" t="s">
        <v>190</v>
      </c>
      <c r="R2999" s="2">
        <v>-1</v>
      </c>
      <c r="S2999" s="2">
        <v>-79</v>
      </c>
      <c r="T2999" s="2">
        <v>-18.170000000000002</v>
      </c>
      <c r="U2999" s="2">
        <v>-97.17</v>
      </c>
      <c r="W2999" s="5">
        <f>(S2999-V2999)/S2999</f>
        <v>1</v>
      </c>
      <c r="Y2999" s="2" t="s">
        <v>118</v>
      </c>
      <c r="Z2999" s="2" t="s">
        <v>191</v>
      </c>
      <c r="AE2999" s="2">
        <f t="shared" si="291"/>
        <v>0</v>
      </c>
      <c r="AI2999" s="2">
        <f t="shared" si="292"/>
        <v>0</v>
      </c>
      <c r="AJ2999" s="2">
        <f t="shared" si="293"/>
        <v>-79</v>
      </c>
      <c r="AK2999" s="5">
        <f t="shared" si="296"/>
        <v>1</v>
      </c>
    </row>
    <row r="3000" spans="1:37" x14ac:dyDescent="0.2">
      <c r="A3000" s="2">
        <v>2026</v>
      </c>
      <c r="B3000" s="2">
        <v>4</v>
      </c>
      <c r="C3000" s="2" t="s">
        <v>695</v>
      </c>
      <c r="D3000" s="2" t="s">
        <v>109</v>
      </c>
      <c r="E3000" s="2" t="s">
        <v>39</v>
      </c>
      <c r="F3000" s="2">
        <v>503589950</v>
      </c>
      <c r="G3000" s="2" t="s">
        <v>41</v>
      </c>
      <c r="H3000" s="2" t="s">
        <v>615</v>
      </c>
      <c r="I3000" s="2" t="s">
        <v>696</v>
      </c>
      <c r="J3000" s="2">
        <v>913036545</v>
      </c>
      <c r="K3000" s="2" t="s">
        <v>178</v>
      </c>
      <c r="L3000" s="2" t="s">
        <v>40</v>
      </c>
      <c r="N3000" s="2" t="s">
        <v>2463</v>
      </c>
      <c r="O3000" s="2" t="s">
        <v>188</v>
      </c>
      <c r="P3000" s="2" t="s">
        <v>192</v>
      </c>
      <c r="Q3000" s="2" t="s">
        <v>191</v>
      </c>
      <c r="R3000" s="2">
        <v>-2</v>
      </c>
      <c r="S3000" s="2">
        <v>-100</v>
      </c>
      <c r="T3000" s="2">
        <v>-23</v>
      </c>
      <c r="U3000" s="2">
        <v>-123</v>
      </c>
      <c r="W3000" s="5">
        <f>SIGN(S3000)*((ABS(S3000)-V3000)/ABS(S3000))</f>
        <v>-1</v>
      </c>
      <c r="Y3000" s="2" t="s">
        <v>118</v>
      </c>
      <c r="Z3000" s="2" t="s">
        <v>191</v>
      </c>
      <c r="AE3000" s="2">
        <f t="shared" si="291"/>
        <v>0</v>
      </c>
      <c r="AF3000" s="2">
        <f t="shared" ref="AF3000:AF3028" si="297">V3000</f>
        <v>0</v>
      </c>
      <c r="AI3000" s="2">
        <f t="shared" si="292"/>
        <v>0</v>
      </c>
      <c r="AJ3000" s="2">
        <f t="shared" si="293"/>
        <v>-100</v>
      </c>
      <c r="AK3000" s="5">
        <f t="shared" si="296"/>
        <v>1</v>
      </c>
    </row>
    <row r="3001" spans="1:37" x14ac:dyDescent="0.2">
      <c r="A3001" s="2">
        <v>2026</v>
      </c>
      <c r="B3001" s="2">
        <v>2</v>
      </c>
      <c r="C3001" s="2" t="s">
        <v>2464</v>
      </c>
      <c r="L3001" s="2" t="s">
        <v>40</v>
      </c>
      <c r="O3001" s="2" t="s">
        <v>188</v>
      </c>
      <c r="P3001" s="2" t="s">
        <v>189</v>
      </c>
      <c r="Q3001" s="2" t="s">
        <v>190</v>
      </c>
      <c r="R3001" s="2">
        <v>2</v>
      </c>
      <c r="S3001" s="2">
        <v>496</v>
      </c>
      <c r="T3001" s="2">
        <v>114.08</v>
      </c>
      <c r="U3001" s="2">
        <v>610.08000000000004</v>
      </c>
      <c r="V3001" s="2">
        <f>S3001*40%</f>
        <v>198.4</v>
      </c>
      <c r="W3001" s="5">
        <f>(S3001-V3001)/S3001</f>
        <v>0.60000000000000009</v>
      </c>
      <c r="Y3001" s="2" t="s">
        <v>118</v>
      </c>
      <c r="Z3001" s="2" t="s">
        <v>191</v>
      </c>
      <c r="AE3001" s="2">
        <f t="shared" si="291"/>
        <v>0</v>
      </c>
      <c r="AF3001" s="2">
        <f t="shared" si="297"/>
        <v>198.4</v>
      </c>
      <c r="AI3001" s="2">
        <f t="shared" si="292"/>
        <v>0</v>
      </c>
      <c r="AJ3001" s="2">
        <f t="shared" si="293"/>
        <v>297.60000000000002</v>
      </c>
      <c r="AK3001" s="5">
        <f t="shared" si="296"/>
        <v>0.60000000000000009</v>
      </c>
    </row>
    <row r="3002" spans="1:37" x14ac:dyDescent="0.2">
      <c r="A3002" s="2">
        <v>2026</v>
      </c>
      <c r="B3002" s="2">
        <v>2</v>
      </c>
      <c r="C3002" s="2" t="s">
        <v>2464</v>
      </c>
      <c r="L3002" s="2" t="s">
        <v>40</v>
      </c>
      <c r="O3002" s="2" t="s">
        <v>188</v>
      </c>
      <c r="P3002" s="2" t="s">
        <v>192</v>
      </c>
      <c r="Q3002" s="2" t="s">
        <v>191</v>
      </c>
      <c r="R3002" s="2">
        <v>4</v>
      </c>
      <c r="S3002" s="2">
        <v>200</v>
      </c>
      <c r="T3002" s="2">
        <v>46</v>
      </c>
      <c r="U3002" s="2">
        <v>246</v>
      </c>
      <c r="V3002" s="2">
        <f>S3002*50%</f>
        <v>100</v>
      </c>
      <c r="W3002" s="5">
        <f>(S3002-V3002)/S3002</f>
        <v>0.5</v>
      </c>
      <c r="Y3002" s="2" t="s">
        <v>118</v>
      </c>
      <c r="Z3002" s="2" t="s">
        <v>191</v>
      </c>
      <c r="AE3002" s="2">
        <f t="shared" si="291"/>
        <v>0</v>
      </c>
      <c r="AF3002" s="2">
        <f t="shared" si="297"/>
        <v>100</v>
      </c>
      <c r="AI3002" s="2">
        <f t="shared" si="292"/>
        <v>0</v>
      </c>
      <c r="AJ3002" s="2">
        <f t="shared" si="293"/>
        <v>100</v>
      </c>
      <c r="AK3002" s="5">
        <f t="shared" si="296"/>
        <v>0.5</v>
      </c>
    </row>
    <row r="3003" spans="1:37" x14ac:dyDescent="0.2">
      <c r="A3003" s="2">
        <v>2026</v>
      </c>
      <c r="B3003" s="2">
        <v>2</v>
      </c>
      <c r="C3003" s="2" t="s">
        <v>290</v>
      </c>
      <c r="D3003" s="2" t="s">
        <v>109</v>
      </c>
      <c r="E3003" s="2" t="s">
        <v>39</v>
      </c>
      <c r="F3003" s="2">
        <v>508428300</v>
      </c>
      <c r="G3003" s="2" t="s">
        <v>291</v>
      </c>
      <c r="H3003" s="2" t="s">
        <v>292</v>
      </c>
      <c r="I3003" s="2" t="s">
        <v>293</v>
      </c>
      <c r="J3003" s="2">
        <v>917165642</v>
      </c>
      <c r="K3003" s="2" t="s">
        <v>294</v>
      </c>
      <c r="L3003" s="2" t="s">
        <v>40</v>
      </c>
      <c r="N3003" s="2" t="s">
        <v>2465</v>
      </c>
      <c r="O3003" s="2" t="s">
        <v>188</v>
      </c>
      <c r="P3003" s="2" t="s">
        <v>189</v>
      </c>
      <c r="Q3003" s="2" t="s">
        <v>190</v>
      </c>
      <c r="R3003" s="2">
        <v>-1</v>
      </c>
      <c r="S3003" s="2">
        <v>-61</v>
      </c>
      <c r="T3003" s="2">
        <v>-14.03</v>
      </c>
      <c r="U3003" s="2">
        <v>-75.03</v>
      </c>
      <c r="W3003" s="5">
        <f>SIGN(S3003)*((ABS(S3003)-V3003)/ABS(S3003))</f>
        <v>-1</v>
      </c>
      <c r="Y3003" s="2" t="s">
        <v>118</v>
      </c>
      <c r="Z3003" s="2" t="s">
        <v>191</v>
      </c>
      <c r="AE3003" s="2">
        <f t="shared" si="291"/>
        <v>0</v>
      </c>
      <c r="AF3003" s="2">
        <f t="shared" si="297"/>
        <v>0</v>
      </c>
      <c r="AI3003" s="2">
        <f t="shared" si="292"/>
        <v>0</v>
      </c>
      <c r="AJ3003" s="2">
        <f>( ABS(S3003)-V3003)</f>
        <v>61</v>
      </c>
      <c r="AK3003" s="5">
        <f>SIGN(S3003)*((ABS(S3003)-V3003)/ABS(S3003))</f>
        <v>-1</v>
      </c>
    </row>
    <row r="3004" spans="1:37" x14ac:dyDescent="0.2">
      <c r="A3004" s="2">
        <v>2026</v>
      </c>
      <c r="B3004" s="2">
        <v>2</v>
      </c>
      <c r="C3004" s="2" t="s">
        <v>290</v>
      </c>
      <c r="D3004" s="2" t="s">
        <v>109</v>
      </c>
      <c r="E3004" s="2" t="s">
        <v>39</v>
      </c>
      <c r="F3004" s="2">
        <v>508428300</v>
      </c>
      <c r="G3004" s="2" t="s">
        <v>291</v>
      </c>
      <c r="H3004" s="2" t="s">
        <v>292</v>
      </c>
      <c r="I3004" s="2" t="s">
        <v>293</v>
      </c>
      <c r="J3004" s="2">
        <v>917165642</v>
      </c>
      <c r="K3004" s="2" t="s">
        <v>294</v>
      </c>
      <c r="L3004" s="2" t="s">
        <v>40</v>
      </c>
      <c r="N3004" s="2" t="s">
        <v>2465</v>
      </c>
      <c r="O3004" s="2" t="s">
        <v>188</v>
      </c>
      <c r="P3004" s="2" t="s">
        <v>192</v>
      </c>
      <c r="Q3004" s="2" t="s">
        <v>191</v>
      </c>
      <c r="R3004" s="2">
        <v>-2.5</v>
      </c>
      <c r="S3004" s="2">
        <v>-125</v>
      </c>
      <c r="T3004" s="2">
        <v>-28.75</v>
      </c>
      <c r="U3004" s="2">
        <v>-153.75</v>
      </c>
      <c r="V3004" s="2">
        <v>62.5</v>
      </c>
      <c r="W3004" s="5">
        <f>SIGN(S3004)*((ABS(S3004)-V3004)/ABS(S3004))</f>
        <v>-0.5</v>
      </c>
      <c r="Y3004" s="2" t="s">
        <v>118</v>
      </c>
      <c r="Z3004" s="2" t="s">
        <v>191</v>
      </c>
      <c r="AE3004" s="2">
        <f t="shared" si="291"/>
        <v>0</v>
      </c>
      <c r="AF3004" s="2">
        <f t="shared" si="297"/>
        <v>62.5</v>
      </c>
      <c r="AI3004" s="2">
        <f t="shared" si="292"/>
        <v>0</v>
      </c>
      <c r="AJ3004" s="2">
        <f>( ABS(S3004)-V3004)</f>
        <v>62.5</v>
      </c>
      <c r="AK3004" s="5">
        <f>SIGN(S3004)*((ABS(S3004)-V3004)/ABS(S3004))</f>
        <v>-0.5</v>
      </c>
    </row>
    <row r="3005" spans="1:37" x14ac:dyDescent="0.2">
      <c r="A3005" s="2">
        <v>2026</v>
      </c>
      <c r="B3005" s="2">
        <v>4</v>
      </c>
      <c r="C3005" s="2" t="s">
        <v>290</v>
      </c>
      <c r="D3005" s="2" t="s">
        <v>109</v>
      </c>
      <c r="E3005" s="2" t="s">
        <v>39</v>
      </c>
      <c r="F3005" s="2">
        <v>508428300</v>
      </c>
      <c r="G3005" s="2" t="s">
        <v>291</v>
      </c>
      <c r="H3005" s="2" t="s">
        <v>292</v>
      </c>
      <c r="I3005" s="2" t="s">
        <v>293</v>
      </c>
      <c r="J3005" s="2">
        <v>917165642</v>
      </c>
      <c r="K3005" s="2" t="s">
        <v>294</v>
      </c>
      <c r="L3005" s="2" t="s">
        <v>40</v>
      </c>
      <c r="N3005" s="2" t="s">
        <v>2466</v>
      </c>
      <c r="O3005" s="2" t="s">
        <v>188</v>
      </c>
      <c r="P3005" s="2" t="s">
        <v>192</v>
      </c>
      <c r="Q3005" s="2" t="s">
        <v>191</v>
      </c>
      <c r="R3005" s="2">
        <v>1.5</v>
      </c>
      <c r="S3005" s="2">
        <v>82.5</v>
      </c>
      <c r="T3005" s="2">
        <v>18.975000000000001</v>
      </c>
      <c r="U3005" s="2">
        <v>101.47499999999999</v>
      </c>
      <c r="V3005" s="2">
        <f>S3005*50%</f>
        <v>41.25</v>
      </c>
      <c r="W3005" s="5">
        <f>SIGN(S3005)*((ABS(S3005)-V3005)/ABS(S3005))</f>
        <v>0.5</v>
      </c>
      <c r="Y3005" s="2" t="s">
        <v>118</v>
      </c>
      <c r="Z3005" s="2" t="s">
        <v>191</v>
      </c>
      <c r="AE3005" s="2">
        <f t="shared" si="291"/>
        <v>0</v>
      </c>
      <c r="AF3005" s="2">
        <f t="shared" si="297"/>
        <v>41.25</v>
      </c>
      <c r="AI3005" s="2">
        <f t="shared" si="292"/>
        <v>0</v>
      </c>
      <c r="AJ3005" s="2">
        <f t="shared" ref="AJ3005:AJ3036" si="298">S3005-V3005</f>
        <v>41.25</v>
      </c>
      <c r="AK3005" s="5">
        <f t="shared" ref="AK3005:AK3036" si="299">(S3005-V3005)/S3005</f>
        <v>0.5</v>
      </c>
    </row>
    <row r="3006" spans="1:37" x14ac:dyDescent="0.2">
      <c r="A3006" s="2">
        <v>2026</v>
      </c>
      <c r="B3006" s="2">
        <v>3</v>
      </c>
      <c r="C3006" s="2" t="s">
        <v>1177</v>
      </c>
      <c r="D3006" s="2" t="s">
        <v>758</v>
      </c>
      <c r="E3006" s="2" t="s">
        <v>1178</v>
      </c>
      <c r="F3006" s="2">
        <v>505760088</v>
      </c>
      <c r="G3006" s="2" t="s">
        <v>291</v>
      </c>
      <c r="H3006" s="2" t="s">
        <v>1179</v>
      </c>
      <c r="I3006" s="2" t="s">
        <v>1180</v>
      </c>
      <c r="K3006" s="2" t="s">
        <v>340</v>
      </c>
      <c r="L3006" s="2" t="s">
        <v>40</v>
      </c>
      <c r="N3006" s="2" t="s">
        <v>2467</v>
      </c>
      <c r="O3006" s="2" t="s">
        <v>188</v>
      </c>
      <c r="P3006" s="2" t="s">
        <v>189</v>
      </c>
      <c r="Q3006" s="2" t="s">
        <v>190</v>
      </c>
      <c r="R3006" s="2">
        <v>1</v>
      </c>
      <c r="S3006" s="2">
        <v>55</v>
      </c>
      <c r="T3006" s="2">
        <v>12.65</v>
      </c>
      <c r="U3006" s="2">
        <v>67.650000000000006</v>
      </c>
      <c r="V3006" s="2">
        <f>S3006*40%</f>
        <v>22</v>
      </c>
      <c r="W3006" s="5">
        <f t="shared" ref="W3006:W3013" si="300">(S3006-V3006)/S3006</f>
        <v>0.6</v>
      </c>
      <c r="Y3006" s="2" t="s">
        <v>118</v>
      </c>
      <c r="Z3006" s="2" t="s">
        <v>191</v>
      </c>
      <c r="AE3006" s="2">
        <f t="shared" si="291"/>
        <v>0</v>
      </c>
      <c r="AF3006" s="2">
        <f t="shared" si="297"/>
        <v>22</v>
      </c>
      <c r="AI3006" s="2">
        <f t="shared" si="292"/>
        <v>0</v>
      </c>
      <c r="AJ3006" s="2">
        <f t="shared" si="298"/>
        <v>33</v>
      </c>
      <c r="AK3006" s="5">
        <f t="shared" si="299"/>
        <v>0.6</v>
      </c>
    </row>
    <row r="3007" spans="1:37" x14ac:dyDescent="0.2">
      <c r="A3007" s="2">
        <v>2026</v>
      </c>
      <c r="B3007" s="2">
        <v>3</v>
      </c>
      <c r="C3007" s="2" t="s">
        <v>1177</v>
      </c>
      <c r="D3007" s="2" t="s">
        <v>758</v>
      </c>
      <c r="E3007" s="2" t="s">
        <v>1178</v>
      </c>
      <c r="F3007" s="2">
        <v>505760088</v>
      </c>
      <c r="G3007" s="2" t="s">
        <v>291</v>
      </c>
      <c r="H3007" s="2" t="s">
        <v>1179</v>
      </c>
      <c r="I3007" s="2" t="s">
        <v>1180</v>
      </c>
      <c r="K3007" s="2" t="s">
        <v>340</v>
      </c>
      <c r="L3007" s="2" t="s">
        <v>40</v>
      </c>
      <c r="N3007" s="2" t="s">
        <v>2467</v>
      </c>
      <c r="O3007" s="2" t="s">
        <v>188</v>
      </c>
      <c r="P3007" s="2" t="s">
        <v>192</v>
      </c>
      <c r="Q3007" s="2" t="s">
        <v>191</v>
      </c>
      <c r="R3007" s="2">
        <v>1</v>
      </c>
      <c r="S3007" s="2">
        <v>55</v>
      </c>
      <c r="T3007" s="2">
        <v>12.65</v>
      </c>
      <c r="U3007" s="2">
        <v>67.650000000000006</v>
      </c>
      <c r="V3007" s="2">
        <f>S3007*50%</f>
        <v>27.5</v>
      </c>
      <c r="W3007" s="5">
        <f t="shared" si="300"/>
        <v>0.5</v>
      </c>
      <c r="Y3007" s="2" t="s">
        <v>118</v>
      </c>
      <c r="Z3007" s="2" t="s">
        <v>191</v>
      </c>
      <c r="AE3007" s="2">
        <f t="shared" si="291"/>
        <v>0</v>
      </c>
      <c r="AF3007" s="2">
        <f t="shared" si="297"/>
        <v>27.5</v>
      </c>
      <c r="AI3007" s="2">
        <f t="shared" si="292"/>
        <v>0</v>
      </c>
      <c r="AJ3007" s="2">
        <f t="shared" si="298"/>
        <v>27.5</v>
      </c>
      <c r="AK3007" s="5">
        <f t="shared" si="299"/>
        <v>0.5</v>
      </c>
    </row>
    <row r="3008" spans="1:37" x14ac:dyDescent="0.2">
      <c r="A3008" s="2">
        <v>2026</v>
      </c>
      <c r="B3008" s="2">
        <v>2</v>
      </c>
      <c r="C3008" s="2" t="s">
        <v>312</v>
      </c>
      <c r="D3008" s="2" t="s">
        <v>2468</v>
      </c>
      <c r="E3008" s="2" t="s">
        <v>39</v>
      </c>
      <c r="F3008" s="2">
        <v>505814030</v>
      </c>
      <c r="G3008" s="2" t="s">
        <v>291</v>
      </c>
      <c r="H3008" s="2" t="s">
        <v>2469</v>
      </c>
      <c r="I3008" s="2" t="s">
        <v>2470</v>
      </c>
      <c r="K3008" s="2" t="s">
        <v>340</v>
      </c>
      <c r="L3008" s="2" t="s">
        <v>40</v>
      </c>
      <c r="N3008" s="2" t="s">
        <v>2471</v>
      </c>
      <c r="O3008" s="2" t="s">
        <v>188</v>
      </c>
      <c r="P3008" s="2" t="s">
        <v>189</v>
      </c>
      <c r="Q3008" s="2" t="s">
        <v>190</v>
      </c>
      <c r="R3008" s="2">
        <v>1</v>
      </c>
      <c r="S3008" s="2">
        <v>60</v>
      </c>
      <c r="T3008" s="2">
        <v>13.8</v>
      </c>
      <c r="U3008" s="2">
        <v>73.8</v>
      </c>
      <c r="V3008" s="2">
        <f>S3008*40%</f>
        <v>24</v>
      </c>
      <c r="W3008" s="5">
        <f t="shared" si="300"/>
        <v>0.6</v>
      </c>
      <c r="Y3008" s="2" t="s">
        <v>118</v>
      </c>
      <c r="Z3008" s="2" t="s">
        <v>191</v>
      </c>
      <c r="AE3008" s="2">
        <f t="shared" si="291"/>
        <v>0</v>
      </c>
      <c r="AF3008" s="2">
        <f t="shared" si="297"/>
        <v>24</v>
      </c>
      <c r="AI3008" s="2">
        <f t="shared" si="292"/>
        <v>0</v>
      </c>
      <c r="AJ3008" s="2">
        <f t="shared" si="298"/>
        <v>36</v>
      </c>
      <c r="AK3008" s="5">
        <f t="shared" si="299"/>
        <v>0.6</v>
      </c>
    </row>
    <row r="3009" spans="1:37" x14ac:dyDescent="0.2">
      <c r="A3009" s="2">
        <v>2026</v>
      </c>
      <c r="B3009" s="2">
        <v>2</v>
      </c>
      <c r="C3009" s="2" t="s">
        <v>312</v>
      </c>
      <c r="D3009" s="2" t="s">
        <v>2468</v>
      </c>
      <c r="E3009" s="2" t="s">
        <v>39</v>
      </c>
      <c r="F3009" s="2">
        <v>505814030</v>
      </c>
      <c r="G3009" s="2" t="s">
        <v>291</v>
      </c>
      <c r="H3009" s="2" t="s">
        <v>2469</v>
      </c>
      <c r="I3009" s="2" t="s">
        <v>2470</v>
      </c>
      <c r="K3009" s="2" t="s">
        <v>340</v>
      </c>
      <c r="L3009" s="2" t="s">
        <v>40</v>
      </c>
      <c r="N3009" s="2" t="s">
        <v>2471</v>
      </c>
      <c r="O3009" s="2" t="s">
        <v>188</v>
      </c>
      <c r="P3009" s="2" t="s">
        <v>192</v>
      </c>
      <c r="Q3009" s="2" t="s">
        <v>191</v>
      </c>
      <c r="R3009" s="2">
        <v>1</v>
      </c>
      <c r="S3009" s="2">
        <v>55</v>
      </c>
      <c r="T3009" s="2">
        <v>12.65</v>
      </c>
      <c r="U3009" s="2">
        <v>67.650000000000006</v>
      </c>
      <c r="V3009" s="2">
        <f>S3009*50%</f>
        <v>27.5</v>
      </c>
      <c r="W3009" s="5">
        <f t="shared" si="300"/>
        <v>0.5</v>
      </c>
      <c r="Y3009" s="2" t="s">
        <v>118</v>
      </c>
      <c r="Z3009" s="2" t="s">
        <v>191</v>
      </c>
      <c r="AE3009" s="2">
        <f t="shared" si="291"/>
        <v>0</v>
      </c>
      <c r="AF3009" s="2">
        <f t="shared" si="297"/>
        <v>27.5</v>
      </c>
      <c r="AI3009" s="2">
        <f t="shared" si="292"/>
        <v>0</v>
      </c>
      <c r="AJ3009" s="2">
        <f t="shared" si="298"/>
        <v>27.5</v>
      </c>
      <c r="AK3009" s="5">
        <f t="shared" si="299"/>
        <v>0.5</v>
      </c>
    </row>
    <row r="3010" spans="1:37" x14ac:dyDescent="0.2">
      <c r="A3010" s="2">
        <v>2026</v>
      </c>
      <c r="B3010" s="2">
        <v>1</v>
      </c>
      <c r="C3010" s="2" t="s">
        <v>699</v>
      </c>
      <c r="D3010" s="2" t="s">
        <v>38</v>
      </c>
      <c r="E3010" s="2" t="s">
        <v>39</v>
      </c>
      <c r="F3010" s="2">
        <v>508574358</v>
      </c>
      <c r="G3010" s="2" t="s">
        <v>41</v>
      </c>
      <c r="H3010" s="2" t="s">
        <v>328</v>
      </c>
      <c r="I3010" s="2" t="s">
        <v>701</v>
      </c>
      <c r="J3010" s="2">
        <v>917295518</v>
      </c>
      <c r="K3010" s="2" t="s">
        <v>178</v>
      </c>
      <c r="L3010" s="2" t="s">
        <v>40</v>
      </c>
      <c r="O3010" s="2" t="s">
        <v>188</v>
      </c>
      <c r="P3010" s="2" t="s">
        <v>189</v>
      </c>
      <c r="Q3010" s="2" t="s">
        <v>190</v>
      </c>
      <c r="R3010" s="2">
        <v>1</v>
      </c>
      <c r="S3010" s="2">
        <v>60</v>
      </c>
      <c r="T3010" s="2">
        <v>13.8</v>
      </c>
      <c r="U3010" s="2">
        <v>73.8</v>
      </c>
      <c r="V3010" s="2">
        <f>S3010*40%</f>
        <v>24</v>
      </c>
      <c r="W3010" s="5">
        <f t="shared" si="300"/>
        <v>0.6</v>
      </c>
      <c r="Y3010" s="2" t="s">
        <v>118</v>
      </c>
      <c r="Z3010" s="2" t="s">
        <v>191</v>
      </c>
      <c r="AE3010" s="2">
        <f t="shared" si="291"/>
        <v>0</v>
      </c>
      <c r="AF3010" s="2">
        <f t="shared" si="297"/>
        <v>24</v>
      </c>
      <c r="AI3010" s="2">
        <f t="shared" si="292"/>
        <v>0</v>
      </c>
      <c r="AJ3010" s="2">
        <f t="shared" si="298"/>
        <v>36</v>
      </c>
      <c r="AK3010" s="5">
        <f t="shared" si="299"/>
        <v>0.6</v>
      </c>
    </row>
    <row r="3011" spans="1:37" x14ac:dyDescent="0.2">
      <c r="A3011" s="2">
        <v>2026</v>
      </c>
      <c r="B3011" s="2">
        <v>1</v>
      </c>
      <c r="C3011" s="2" t="s">
        <v>699</v>
      </c>
      <c r="D3011" s="2" t="s">
        <v>38</v>
      </c>
      <c r="E3011" s="2" t="s">
        <v>39</v>
      </c>
      <c r="F3011" s="2">
        <v>508574358</v>
      </c>
      <c r="G3011" s="2" t="s">
        <v>41</v>
      </c>
      <c r="H3011" s="2" t="s">
        <v>328</v>
      </c>
      <c r="I3011" s="2" t="s">
        <v>701</v>
      </c>
      <c r="J3011" s="2">
        <v>917295518</v>
      </c>
      <c r="K3011" s="2" t="s">
        <v>178</v>
      </c>
      <c r="L3011" s="2" t="s">
        <v>40</v>
      </c>
      <c r="O3011" s="2" t="s">
        <v>188</v>
      </c>
      <c r="P3011" s="2" t="s">
        <v>192</v>
      </c>
      <c r="Q3011" s="2" t="s">
        <v>191</v>
      </c>
      <c r="R3011" s="2">
        <v>1.5</v>
      </c>
      <c r="S3011" s="2">
        <v>75</v>
      </c>
      <c r="T3011" s="2">
        <v>17.25</v>
      </c>
      <c r="U3011" s="2">
        <v>92.25</v>
      </c>
      <c r="V3011" s="2">
        <f>S3011*50%</f>
        <v>37.5</v>
      </c>
      <c r="W3011" s="5">
        <f t="shared" si="300"/>
        <v>0.5</v>
      </c>
      <c r="Y3011" s="2" t="s">
        <v>118</v>
      </c>
      <c r="Z3011" s="2" t="s">
        <v>191</v>
      </c>
      <c r="AE3011" s="2">
        <f t="shared" ref="AE3011:AE3074" si="301">AI3011</f>
        <v>0</v>
      </c>
      <c r="AF3011" s="2">
        <f t="shared" si="297"/>
        <v>37.5</v>
      </c>
      <c r="AI3011" s="2">
        <f t="shared" ref="AI3011:AI3074" si="302">AH3011*S3011</f>
        <v>0</v>
      </c>
      <c r="AJ3011" s="2">
        <f t="shared" si="298"/>
        <v>37.5</v>
      </c>
      <c r="AK3011" s="5">
        <f t="shared" si="299"/>
        <v>0.5</v>
      </c>
    </row>
    <row r="3012" spans="1:37" x14ac:dyDescent="0.2">
      <c r="A3012" s="2">
        <v>2026</v>
      </c>
      <c r="B3012" s="2">
        <v>4</v>
      </c>
      <c r="C3012" s="2" t="s">
        <v>721</v>
      </c>
      <c r="L3012" s="2" t="s">
        <v>40</v>
      </c>
      <c r="O3012" s="2" t="s">
        <v>188</v>
      </c>
      <c r="P3012" s="2" t="s">
        <v>189</v>
      </c>
      <c r="Q3012" s="2" t="s">
        <v>190</v>
      </c>
      <c r="R3012" s="2">
        <v>1</v>
      </c>
      <c r="S3012" s="2">
        <v>317</v>
      </c>
      <c r="T3012" s="2">
        <v>72.91</v>
      </c>
      <c r="U3012" s="2">
        <v>389.91</v>
      </c>
      <c r="V3012" s="2">
        <f>S3012*40%</f>
        <v>126.80000000000001</v>
      </c>
      <c r="W3012" s="5">
        <f t="shared" si="300"/>
        <v>0.6</v>
      </c>
      <c r="Y3012" s="2" t="s">
        <v>118</v>
      </c>
      <c r="Z3012" s="2" t="s">
        <v>191</v>
      </c>
      <c r="AE3012" s="2">
        <f t="shared" si="301"/>
        <v>0</v>
      </c>
      <c r="AF3012" s="2">
        <f t="shared" si="297"/>
        <v>126.80000000000001</v>
      </c>
      <c r="AI3012" s="2">
        <f t="shared" si="302"/>
        <v>0</v>
      </c>
      <c r="AJ3012" s="2">
        <f t="shared" si="298"/>
        <v>190.2</v>
      </c>
      <c r="AK3012" s="5">
        <f t="shared" si="299"/>
        <v>0.6</v>
      </c>
    </row>
    <row r="3013" spans="1:37" x14ac:dyDescent="0.2">
      <c r="A3013" s="2">
        <v>2026</v>
      </c>
      <c r="B3013" s="2">
        <v>4</v>
      </c>
      <c r="C3013" s="2" t="s">
        <v>721</v>
      </c>
      <c r="L3013" s="2" t="s">
        <v>40</v>
      </c>
      <c r="O3013" s="2" t="s">
        <v>188</v>
      </c>
      <c r="P3013" s="2" t="s">
        <v>192</v>
      </c>
      <c r="Q3013" s="2" t="s">
        <v>191</v>
      </c>
      <c r="R3013" s="2">
        <v>1</v>
      </c>
      <c r="S3013" s="2">
        <v>55</v>
      </c>
      <c r="T3013" s="2">
        <v>12.65</v>
      </c>
      <c r="U3013" s="2">
        <v>67.650000000000006</v>
      </c>
      <c r="V3013" s="2">
        <f>S3013*50%</f>
        <v>27.5</v>
      </c>
      <c r="W3013" s="5">
        <f t="shared" si="300"/>
        <v>0.5</v>
      </c>
      <c r="Y3013" s="2" t="s">
        <v>118</v>
      </c>
      <c r="Z3013" s="2" t="s">
        <v>191</v>
      </c>
      <c r="AE3013" s="2">
        <f t="shared" si="301"/>
        <v>0</v>
      </c>
      <c r="AF3013" s="2">
        <f t="shared" si="297"/>
        <v>27.5</v>
      </c>
      <c r="AI3013" s="2">
        <f t="shared" si="302"/>
        <v>0</v>
      </c>
      <c r="AJ3013" s="2">
        <f t="shared" si="298"/>
        <v>27.5</v>
      </c>
      <c r="AK3013" s="5">
        <f t="shared" si="299"/>
        <v>0.5</v>
      </c>
    </row>
    <row r="3014" spans="1:37" x14ac:dyDescent="0.2">
      <c r="A3014" s="2">
        <v>2026</v>
      </c>
      <c r="B3014" s="2">
        <v>1</v>
      </c>
      <c r="C3014" s="2" t="s">
        <v>315</v>
      </c>
      <c r="D3014" s="2" t="s">
        <v>109</v>
      </c>
      <c r="F3014" s="2">
        <v>503270520</v>
      </c>
      <c r="G3014" s="2" t="s">
        <v>40</v>
      </c>
      <c r="H3014" s="2" t="s">
        <v>316</v>
      </c>
      <c r="I3014" s="2" t="s">
        <v>317</v>
      </c>
      <c r="K3014" s="2" t="s">
        <v>100</v>
      </c>
      <c r="L3014" s="2" t="s">
        <v>40</v>
      </c>
      <c r="O3014" s="2" t="s">
        <v>188</v>
      </c>
      <c r="P3014" s="2" t="s">
        <v>189</v>
      </c>
      <c r="Q3014" s="2" t="s">
        <v>190</v>
      </c>
      <c r="R3014" s="2">
        <v>-1</v>
      </c>
      <c r="S3014" s="2">
        <v>-37.5</v>
      </c>
      <c r="T3014" s="2">
        <v>-8.625</v>
      </c>
      <c r="U3014" s="2">
        <v>-46.125</v>
      </c>
      <c r="W3014" s="5">
        <f>SIGN(S3014)*((ABS(S3014)-V3014)/ABS(S3014))</f>
        <v>-1</v>
      </c>
      <c r="Y3014" s="2" t="s">
        <v>118</v>
      </c>
      <c r="Z3014" s="2" t="s">
        <v>191</v>
      </c>
      <c r="AE3014" s="2">
        <f t="shared" si="301"/>
        <v>0</v>
      </c>
      <c r="AF3014" s="2">
        <f t="shared" si="297"/>
        <v>0</v>
      </c>
      <c r="AI3014" s="2">
        <f t="shared" si="302"/>
        <v>0</v>
      </c>
      <c r="AJ3014" s="2">
        <f t="shared" si="298"/>
        <v>-37.5</v>
      </c>
      <c r="AK3014" s="5">
        <f t="shared" si="299"/>
        <v>1</v>
      </c>
    </row>
    <row r="3015" spans="1:37" x14ac:dyDescent="0.2">
      <c r="A3015" s="2">
        <v>2026</v>
      </c>
      <c r="B3015" s="2">
        <v>1</v>
      </c>
      <c r="C3015" s="2" t="s">
        <v>315</v>
      </c>
      <c r="D3015" s="2" t="s">
        <v>109</v>
      </c>
      <c r="F3015" s="2">
        <v>503270520</v>
      </c>
      <c r="G3015" s="2" t="s">
        <v>40</v>
      </c>
      <c r="H3015" s="2" t="s">
        <v>316</v>
      </c>
      <c r="I3015" s="2" t="s">
        <v>317</v>
      </c>
      <c r="K3015" s="2" t="s">
        <v>100</v>
      </c>
      <c r="L3015" s="2" t="s">
        <v>40</v>
      </c>
      <c r="O3015" s="2" t="s">
        <v>188</v>
      </c>
      <c r="P3015" s="2" t="s">
        <v>192</v>
      </c>
      <c r="Q3015" s="2" t="s">
        <v>191</v>
      </c>
      <c r="R3015" s="2">
        <v>-0.8</v>
      </c>
      <c r="S3015" s="2">
        <v>-36</v>
      </c>
      <c r="T3015" s="2">
        <v>-8.2800000000000011</v>
      </c>
      <c r="U3015" s="2">
        <v>-44.28</v>
      </c>
      <c r="W3015" s="5">
        <f>SIGN(S3015)*((ABS(S3015)-V3015)/ABS(S3015))</f>
        <v>-1</v>
      </c>
      <c r="Y3015" s="2" t="s">
        <v>118</v>
      </c>
      <c r="Z3015" s="2" t="s">
        <v>191</v>
      </c>
      <c r="AE3015" s="2">
        <f t="shared" si="301"/>
        <v>0</v>
      </c>
      <c r="AF3015" s="2">
        <f t="shared" si="297"/>
        <v>0</v>
      </c>
      <c r="AI3015" s="2">
        <f t="shared" si="302"/>
        <v>0</v>
      </c>
      <c r="AJ3015" s="2">
        <f t="shared" si="298"/>
        <v>-36</v>
      </c>
      <c r="AK3015" s="5">
        <f t="shared" si="299"/>
        <v>1</v>
      </c>
    </row>
    <row r="3016" spans="1:37" x14ac:dyDescent="0.2">
      <c r="A3016" s="2">
        <v>2026</v>
      </c>
      <c r="B3016" s="2">
        <v>1</v>
      </c>
      <c r="C3016" s="2" t="s">
        <v>981</v>
      </c>
      <c r="L3016" s="2" t="s">
        <v>40</v>
      </c>
      <c r="O3016" s="2" t="s">
        <v>188</v>
      </c>
      <c r="P3016" s="2" t="s">
        <v>189</v>
      </c>
      <c r="Q3016" s="2" t="s">
        <v>190</v>
      </c>
      <c r="R3016" s="2">
        <v>1</v>
      </c>
      <c r="S3016" s="2">
        <v>50</v>
      </c>
      <c r="T3016" s="2">
        <v>11.5</v>
      </c>
      <c r="U3016" s="2">
        <v>61.5</v>
      </c>
      <c r="V3016" s="2">
        <f>S3016*40%</f>
        <v>20</v>
      </c>
      <c r="W3016" s="5">
        <f t="shared" ref="W3016:W3035" si="303">(S3016-V3016)/S3016</f>
        <v>0.6</v>
      </c>
      <c r="Y3016" s="2" t="s">
        <v>118</v>
      </c>
      <c r="Z3016" s="2" t="s">
        <v>191</v>
      </c>
      <c r="AE3016" s="2">
        <f t="shared" si="301"/>
        <v>0</v>
      </c>
      <c r="AF3016" s="2">
        <f t="shared" si="297"/>
        <v>20</v>
      </c>
      <c r="AI3016" s="2">
        <f t="shared" si="302"/>
        <v>0</v>
      </c>
      <c r="AJ3016" s="2">
        <f t="shared" si="298"/>
        <v>30</v>
      </c>
      <c r="AK3016" s="5">
        <f t="shared" si="299"/>
        <v>0.6</v>
      </c>
    </row>
    <row r="3017" spans="1:37" x14ac:dyDescent="0.2">
      <c r="A3017" s="2">
        <v>2026</v>
      </c>
      <c r="B3017" s="2">
        <v>1</v>
      </c>
      <c r="C3017" s="2" t="s">
        <v>981</v>
      </c>
      <c r="L3017" s="2" t="s">
        <v>40</v>
      </c>
      <c r="O3017" s="2" t="s">
        <v>188</v>
      </c>
      <c r="P3017" s="2" t="s">
        <v>192</v>
      </c>
      <c r="Q3017" s="2" t="s">
        <v>191</v>
      </c>
      <c r="R3017" s="2">
        <v>1</v>
      </c>
      <c r="S3017" s="2">
        <v>50</v>
      </c>
      <c r="T3017" s="2">
        <v>11.5</v>
      </c>
      <c r="U3017" s="2">
        <v>61.5</v>
      </c>
      <c r="V3017" s="2">
        <f>S3017*50%</f>
        <v>25</v>
      </c>
      <c r="W3017" s="5">
        <f t="shared" si="303"/>
        <v>0.5</v>
      </c>
      <c r="Y3017" s="2" t="s">
        <v>118</v>
      </c>
      <c r="Z3017" s="2" t="s">
        <v>191</v>
      </c>
      <c r="AE3017" s="2">
        <f t="shared" si="301"/>
        <v>0</v>
      </c>
      <c r="AF3017" s="2">
        <f t="shared" si="297"/>
        <v>25</v>
      </c>
      <c r="AI3017" s="2">
        <f t="shared" si="302"/>
        <v>0</v>
      </c>
      <c r="AJ3017" s="2">
        <f t="shared" si="298"/>
        <v>25</v>
      </c>
      <c r="AK3017" s="5">
        <f t="shared" si="299"/>
        <v>0.5</v>
      </c>
    </row>
    <row r="3018" spans="1:37" x14ac:dyDescent="0.2">
      <c r="A3018" s="2">
        <v>2026</v>
      </c>
      <c r="B3018" s="2">
        <v>3</v>
      </c>
      <c r="C3018" s="2" t="s">
        <v>2472</v>
      </c>
      <c r="L3018" s="2" t="s">
        <v>40</v>
      </c>
      <c r="O3018" s="2" t="s">
        <v>188</v>
      </c>
      <c r="P3018" s="2" t="s">
        <v>189</v>
      </c>
      <c r="Q3018" s="2" t="s">
        <v>190</v>
      </c>
      <c r="R3018" s="2">
        <v>1</v>
      </c>
      <c r="S3018" s="2">
        <v>104</v>
      </c>
      <c r="T3018" s="2">
        <v>23.92</v>
      </c>
      <c r="U3018" s="2">
        <v>127.92</v>
      </c>
      <c r="V3018" s="2">
        <f>S3018*40%</f>
        <v>41.6</v>
      </c>
      <c r="W3018" s="5">
        <f t="shared" si="303"/>
        <v>0.6</v>
      </c>
      <c r="Y3018" s="2" t="s">
        <v>118</v>
      </c>
      <c r="Z3018" s="2" t="s">
        <v>191</v>
      </c>
      <c r="AE3018" s="2">
        <f t="shared" si="301"/>
        <v>0</v>
      </c>
      <c r="AF3018" s="2">
        <f t="shared" si="297"/>
        <v>41.6</v>
      </c>
      <c r="AI3018" s="2">
        <f t="shared" si="302"/>
        <v>0</v>
      </c>
      <c r="AJ3018" s="2">
        <f t="shared" si="298"/>
        <v>62.4</v>
      </c>
      <c r="AK3018" s="5">
        <f t="shared" si="299"/>
        <v>0.6</v>
      </c>
    </row>
    <row r="3019" spans="1:37" x14ac:dyDescent="0.2">
      <c r="A3019" s="2">
        <v>2026</v>
      </c>
      <c r="B3019" s="2">
        <v>3</v>
      </c>
      <c r="C3019" s="2" t="s">
        <v>2472</v>
      </c>
      <c r="L3019" s="2" t="s">
        <v>40</v>
      </c>
      <c r="O3019" s="2" t="s">
        <v>188</v>
      </c>
      <c r="P3019" s="2" t="s">
        <v>192</v>
      </c>
      <c r="Q3019" s="2" t="s">
        <v>191</v>
      </c>
      <c r="R3019" s="2">
        <v>1</v>
      </c>
      <c r="S3019" s="2">
        <v>55</v>
      </c>
      <c r="T3019" s="2">
        <v>12.65</v>
      </c>
      <c r="U3019" s="2">
        <v>67.650000000000006</v>
      </c>
      <c r="V3019" s="2">
        <f>S3019*50%</f>
        <v>27.5</v>
      </c>
      <c r="W3019" s="5">
        <f t="shared" si="303"/>
        <v>0.5</v>
      </c>
      <c r="Y3019" s="2" t="s">
        <v>118</v>
      </c>
      <c r="Z3019" s="2" t="s">
        <v>191</v>
      </c>
      <c r="AE3019" s="2">
        <f t="shared" si="301"/>
        <v>0</v>
      </c>
      <c r="AF3019" s="2">
        <f t="shared" si="297"/>
        <v>27.5</v>
      </c>
      <c r="AI3019" s="2">
        <f t="shared" si="302"/>
        <v>0</v>
      </c>
      <c r="AJ3019" s="2">
        <f t="shared" si="298"/>
        <v>27.5</v>
      </c>
      <c r="AK3019" s="5">
        <f t="shared" si="299"/>
        <v>0.5</v>
      </c>
    </row>
    <row r="3020" spans="1:37" x14ac:dyDescent="0.2">
      <c r="A3020" s="2">
        <v>2026</v>
      </c>
      <c r="B3020" s="2">
        <v>3</v>
      </c>
      <c r="C3020" s="2" t="s">
        <v>1783</v>
      </c>
      <c r="L3020" s="2" t="s">
        <v>40</v>
      </c>
      <c r="O3020" s="2" t="s">
        <v>188</v>
      </c>
      <c r="P3020" s="2" t="s">
        <v>189</v>
      </c>
      <c r="Q3020" s="2" t="s">
        <v>190</v>
      </c>
      <c r="R3020" s="2">
        <v>1</v>
      </c>
      <c r="S3020" s="2">
        <v>79</v>
      </c>
      <c r="T3020" s="2">
        <v>18.170000000000002</v>
      </c>
      <c r="U3020" s="2">
        <v>97.17</v>
      </c>
      <c r="V3020" s="2">
        <f>S3020*40%</f>
        <v>31.6</v>
      </c>
      <c r="W3020" s="5">
        <f t="shared" si="303"/>
        <v>0.6</v>
      </c>
      <c r="Y3020" s="2" t="s">
        <v>118</v>
      </c>
      <c r="Z3020" s="2" t="s">
        <v>191</v>
      </c>
      <c r="AE3020" s="2">
        <f t="shared" si="301"/>
        <v>0</v>
      </c>
      <c r="AF3020" s="2">
        <f t="shared" si="297"/>
        <v>31.6</v>
      </c>
      <c r="AI3020" s="2">
        <f t="shared" si="302"/>
        <v>0</v>
      </c>
      <c r="AJ3020" s="2">
        <f t="shared" si="298"/>
        <v>47.4</v>
      </c>
      <c r="AK3020" s="5">
        <f t="shared" si="299"/>
        <v>0.6</v>
      </c>
    </row>
    <row r="3021" spans="1:37" x14ac:dyDescent="0.2">
      <c r="A3021" s="2">
        <v>2026</v>
      </c>
      <c r="B3021" s="2">
        <v>3</v>
      </c>
      <c r="C3021" s="2" t="s">
        <v>1783</v>
      </c>
      <c r="L3021" s="2" t="s">
        <v>40</v>
      </c>
      <c r="O3021" s="2" t="s">
        <v>188</v>
      </c>
      <c r="P3021" s="2" t="s">
        <v>192</v>
      </c>
      <c r="Q3021" s="2" t="s">
        <v>191</v>
      </c>
      <c r="R3021" s="2">
        <v>2</v>
      </c>
      <c r="S3021" s="2">
        <v>110</v>
      </c>
      <c r="T3021" s="2">
        <v>25.3</v>
      </c>
      <c r="U3021" s="2">
        <v>135.30000000000001</v>
      </c>
      <c r="V3021" s="2">
        <f>S3021*50%</f>
        <v>55</v>
      </c>
      <c r="W3021" s="5">
        <f t="shared" si="303"/>
        <v>0.5</v>
      </c>
      <c r="Y3021" s="2" t="s">
        <v>118</v>
      </c>
      <c r="Z3021" s="2" t="s">
        <v>191</v>
      </c>
      <c r="AE3021" s="2">
        <f t="shared" si="301"/>
        <v>0</v>
      </c>
      <c r="AF3021" s="2">
        <f t="shared" si="297"/>
        <v>55</v>
      </c>
      <c r="AI3021" s="2">
        <f t="shared" si="302"/>
        <v>0</v>
      </c>
      <c r="AJ3021" s="2">
        <f t="shared" si="298"/>
        <v>55</v>
      </c>
      <c r="AK3021" s="5">
        <f t="shared" si="299"/>
        <v>0.5</v>
      </c>
    </row>
    <row r="3022" spans="1:37" x14ac:dyDescent="0.2">
      <c r="A3022" s="2">
        <v>2026</v>
      </c>
      <c r="B3022" s="2">
        <v>1</v>
      </c>
      <c r="C3022" s="2" t="s">
        <v>2012</v>
      </c>
      <c r="L3022" s="2" t="s">
        <v>40</v>
      </c>
      <c r="O3022" s="2" t="s">
        <v>188</v>
      </c>
      <c r="P3022" s="2" t="s">
        <v>189</v>
      </c>
      <c r="Q3022" s="2" t="s">
        <v>190</v>
      </c>
      <c r="R3022" s="2">
        <v>2</v>
      </c>
      <c r="S3022" s="2">
        <v>345</v>
      </c>
      <c r="T3022" s="2">
        <v>79.350000000000009</v>
      </c>
      <c r="U3022" s="2">
        <v>424.35</v>
      </c>
      <c r="V3022" s="2">
        <f>S3022*40%</f>
        <v>138</v>
      </c>
      <c r="W3022" s="5">
        <f t="shared" si="303"/>
        <v>0.6</v>
      </c>
      <c r="Y3022" s="2" t="s">
        <v>118</v>
      </c>
      <c r="Z3022" s="2" t="s">
        <v>191</v>
      </c>
      <c r="AE3022" s="2">
        <f t="shared" si="301"/>
        <v>0</v>
      </c>
      <c r="AF3022" s="2">
        <f t="shared" si="297"/>
        <v>138</v>
      </c>
      <c r="AI3022" s="2">
        <f t="shared" si="302"/>
        <v>0</v>
      </c>
      <c r="AJ3022" s="2">
        <f t="shared" si="298"/>
        <v>207</v>
      </c>
      <c r="AK3022" s="5">
        <f t="shared" si="299"/>
        <v>0.6</v>
      </c>
    </row>
    <row r="3023" spans="1:37" x14ac:dyDescent="0.2">
      <c r="A3023" s="2">
        <v>2026</v>
      </c>
      <c r="B3023" s="2">
        <v>1</v>
      </c>
      <c r="C3023" s="2" t="s">
        <v>2012</v>
      </c>
      <c r="L3023" s="2" t="s">
        <v>40</v>
      </c>
      <c r="O3023" s="2" t="s">
        <v>188</v>
      </c>
      <c r="P3023" s="2" t="s">
        <v>192</v>
      </c>
      <c r="Q3023" s="2" t="s">
        <v>191</v>
      </c>
      <c r="R3023" s="2">
        <v>6</v>
      </c>
      <c r="S3023" s="2">
        <v>300</v>
      </c>
      <c r="T3023" s="2">
        <v>69</v>
      </c>
      <c r="U3023" s="2">
        <v>369</v>
      </c>
      <c r="V3023" s="2">
        <f>S3023*50%</f>
        <v>150</v>
      </c>
      <c r="W3023" s="5">
        <f t="shared" si="303"/>
        <v>0.5</v>
      </c>
      <c r="Y3023" s="2" t="s">
        <v>118</v>
      </c>
      <c r="Z3023" s="2" t="s">
        <v>191</v>
      </c>
      <c r="AE3023" s="2">
        <f t="shared" si="301"/>
        <v>0</v>
      </c>
      <c r="AF3023" s="2">
        <f t="shared" si="297"/>
        <v>150</v>
      </c>
      <c r="AI3023" s="2">
        <f t="shared" si="302"/>
        <v>0</v>
      </c>
      <c r="AJ3023" s="2">
        <f t="shared" si="298"/>
        <v>150</v>
      </c>
      <c r="AK3023" s="5">
        <f t="shared" si="299"/>
        <v>0.5</v>
      </c>
    </row>
    <row r="3024" spans="1:37" x14ac:dyDescent="0.2">
      <c r="A3024" s="2">
        <v>2026</v>
      </c>
      <c r="B3024" s="2">
        <v>2</v>
      </c>
      <c r="C3024" s="2" t="s">
        <v>2473</v>
      </c>
      <c r="D3024" s="2" t="s">
        <v>109</v>
      </c>
      <c r="E3024" s="2" t="s">
        <v>39</v>
      </c>
      <c r="F3024" s="2">
        <v>513015213</v>
      </c>
      <c r="G3024" s="2" t="s">
        <v>110</v>
      </c>
      <c r="H3024" s="2" t="s">
        <v>2474</v>
      </c>
      <c r="I3024" s="2" t="s">
        <v>2475</v>
      </c>
      <c r="J3024" s="2">
        <v>967554174</v>
      </c>
      <c r="K3024" s="2" t="s">
        <v>134</v>
      </c>
      <c r="L3024" s="2" t="s">
        <v>40</v>
      </c>
      <c r="N3024" s="2" t="s">
        <v>2476</v>
      </c>
      <c r="O3024" s="2" t="s">
        <v>188</v>
      </c>
      <c r="P3024" s="2" t="s">
        <v>189</v>
      </c>
      <c r="Q3024" s="2" t="s">
        <v>190</v>
      </c>
      <c r="R3024" s="2">
        <v>1</v>
      </c>
      <c r="S3024" s="2">
        <v>135</v>
      </c>
      <c r="T3024" s="2">
        <v>31.05</v>
      </c>
      <c r="U3024" s="2">
        <v>166.05</v>
      </c>
      <c r="V3024" s="2">
        <f>S3024*40%</f>
        <v>54</v>
      </c>
      <c r="W3024" s="5">
        <f t="shared" si="303"/>
        <v>0.6</v>
      </c>
      <c r="Y3024" s="2" t="s">
        <v>118</v>
      </c>
      <c r="Z3024" s="2" t="s">
        <v>191</v>
      </c>
      <c r="AE3024" s="2">
        <f t="shared" si="301"/>
        <v>0</v>
      </c>
      <c r="AF3024" s="2">
        <f t="shared" si="297"/>
        <v>54</v>
      </c>
      <c r="AI3024" s="2">
        <f t="shared" si="302"/>
        <v>0</v>
      </c>
      <c r="AJ3024" s="2">
        <f t="shared" si="298"/>
        <v>81</v>
      </c>
      <c r="AK3024" s="5">
        <f t="shared" si="299"/>
        <v>0.6</v>
      </c>
    </row>
    <row r="3025" spans="1:37" x14ac:dyDescent="0.2">
      <c r="A3025" s="2">
        <v>2026</v>
      </c>
      <c r="B3025" s="2">
        <v>2</v>
      </c>
      <c r="C3025" s="2" t="s">
        <v>2473</v>
      </c>
      <c r="D3025" s="2" t="s">
        <v>109</v>
      </c>
      <c r="E3025" s="2" t="s">
        <v>39</v>
      </c>
      <c r="F3025" s="2">
        <v>513015213</v>
      </c>
      <c r="G3025" s="2" t="s">
        <v>110</v>
      </c>
      <c r="H3025" s="2" t="s">
        <v>2474</v>
      </c>
      <c r="I3025" s="2" t="s">
        <v>2475</v>
      </c>
      <c r="J3025" s="2">
        <v>967554174</v>
      </c>
      <c r="K3025" s="2" t="s">
        <v>134</v>
      </c>
      <c r="L3025" s="2" t="s">
        <v>40</v>
      </c>
      <c r="N3025" s="2" t="s">
        <v>2476</v>
      </c>
      <c r="O3025" s="2" t="s">
        <v>188</v>
      </c>
      <c r="P3025" s="2" t="s">
        <v>192</v>
      </c>
      <c r="Q3025" s="2" t="s">
        <v>191</v>
      </c>
      <c r="R3025" s="2">
        <v>2</v>
      </c>
      <c r="S3025" s="2">
        <v>100</v>
      </c>
      <c r="T3025" s="2">
        <v>23</v>
      </c>
      <c r="U3025" s="2">
        <v>123</v>
      </c>
      <c r="V3025" s="2">
        <f>S3025*50%</f>
        <v>50</v>
      </c>
      <c r="W3025" s="5">
        <f t="shared" si="303"/>
        <v>0.5</v>
      </c>
      <c r="Y3025" s="2" t="s">
        <v>118</v>
      </c>
      <c r="Z3025" s="2" t="s">
        <v>191</v>
      </c>
      <c r="AE3025" s="2">
        <f t="shared" si="301"/>
        <v>0</v>
      </c>
      <c r="AF3025" s="2">
        <f t="shared" si="297"/>
        <v>50</v>
      </c>
      <c r="AI3025" s="2">
        <f t="shared" si="302"/>
        <v>0</v>
      </c>
      <c r="AJ3025" s="2">
        <f t="shared" si="298"/>
        <v>50</v>
      </c>
      <c r="AK3025" s="5">
        <f t="shared" si="299"/>
        <v>0.5</v>
      </c>
    </row>
    <row r="3026" spans="1:37" x14ac:dyDescent="0.2">
      <c r="A3026" s="2">
        <v>2026</v>
      </c>
      <c r="B3026" s="2">
        <v>4</v>
      </c>
      <c r="C3026" s="2" t="s">
        <v>337</v>
      </c>
      <c r="D3026" s="2" t="s">
        <v>109</v>
      </c>
      <c r="E3026" s="2" t="s">
        <v>39</v>
      </c>
      <c r="F3026" s="2">
        <v>503373494</v>
      </c>
      <c r="G3026" s="2" t="s">
        <v>291</v>
      </c>
      <c r="H3026" s="2" t="s">
        <v>338</v>
      </c>
      <c r="I3026" s="2" t="s">
        <v>339</v>
      </c>
      <c r="J3026" s="2">
        <v>965852001</v>
      </c>
      <c r="K3026" s="2" t="s">
        <v>340</v>
      </c>
      <c r="L3026" s="2" t="s">
        <v>40</v>
      </c>
      <c r="O3026" s="2" t="s">
        <v>188</v>
      </c>
      <c r="P3026" s="2" t="s">
        <v>189</v>
      </c>
      <c r="Q3026" s="2" t="s">
        <v>190</v>
      </c>
      <c r="R3026" s="2">
        <v>1</v>
      </c>
      <c r="S3026" s="2">
        <v>60</v>
      </c>
      <c r="T3026" s="2">
        <v>13.8</v>
      </c>
      <c r="U3026" s="2">
        <v>73.8</v>
      </c>
      <c r="V3026" s="2">
        <f>S3026*40%</f>
        <v>24</v>
      </c>
      <c r="W3026" s="5">
        <f t="shared" si="303"/>
        <v>0.6</v>
      </c>
      <c r="Y3026" s="2" t="s">
        <v>118</v>
      </c>
      <c r="Z3026" s="2" t="s">
        <v>191</v>
      </c>
      <c r="AE3026" s="2">
        <f t="shared" si="301"/>
        <v>0</v>
      </c>
      <c r="AF3026" s="2">
        <f t="shared" si="297"/>
        <v>24</v>
      </c>
      <c r="AI3026" s="2">
        <f t="shared" si="302"/>
        <v>0</v>
      </c>
      <c r="AJ3026" s="2">
        <f t="shared" si="298"/>
        <v>36</v>
      </c>
      <c r="AK3026" s="5">
        <f t="shared" si="299"/>
        <v>0.6</v>
      </c>
    </row>
    <row r="3027" spans="1:37" x14ac:dyDescent="0.2">
      <c r="A3027" s="2">
        <v>2026</v>
      </c>
      <c r="B3027" s="2">
        <v>4</v>
      </c>
      <c r="C3027" s="2" t="s">
        <v>337</v>
      </c>
      <c r="D3027" s="2" t="s">
        <v>109</v>
      </c>
      <c r="E3027" s="2" t="s">
        <v>39</v>
      </c>
      <c r="F3027" s="2">
        <v>503373494</v>
      </c>
      <c r="G3027" s="2" t="s">
        <v>291</v>
      </c>
      <c r="H3027" s="2" t="s">
        <v>338</v>
      </c>
      <c r="I3027" s="2" t="s">
        <v>339</v>
      </c>
      <c r="J3027" s="2">
        <v>965852001</v>
      </c>
      <c r="K3027" s="2" t="s">
        <v>340</v>
      </c>
      <c r="L3027" s="2" t="s">
        <v>40</v>
      </c>
      <c r="O3027" s="2" t="s">
        <v>188</v>
      </c>
      <c r="P3027" s="2" t="s">
        <v>192</v>
      </c>
      <c r="Q3027" s="2" t="s">
        <v>191</v>
      </c>
      <c r="R3027" s="2">
        <v>2</v>
      </c>
      <c r="S3027" s="2">
        <v>110</v>
      </c>
      <c r="T3027" s="2">
        <v>25.3</v>
      </c>
      <c r="U3027" s="2">
        <v>135.30000000000001</v>
      </c>
      <c r="V3027" s="2">
        <f>S3027*50%</f>
        <v>55</v>
      </c>
      <c r="W3027" s="5">
        <f t="shared" si="303"/>
        <v>0.5</v>
      </c>
      <c r="Y3027" s="2" t="s">
        <v>118</v>
      </c>
      <c r="Z3027" s="2" t="s">
        <v>191</v>
      </c>
      <c r="AE3027" s="2">
        <f t="shared" si="301"/>
        <v>0</v>
      </c>
      <c r="AF3027" s="2">
        <f t="shared" si="297"/>
        <v>55</v>
      </c>
      <c r="AI3027" s="2">
        <f t="shared" si="302"/>
        <v>0</v>
      </c>
      <c r="AJ3027" s="2">
        <f t="shared" si="298"/>
        <v>55</v>
      </c>
      <c r="AK3027" s="5">
        <f t="shared" si="299"/>
        <v>0.5</v>
      </c>
    </row>
    <row r="3028" spans="1:37" x14ac:dyDescent="0.2">
      <c r="A3028" s="2">
        <v>2026</v>
      </c>
      <c r="B3028" s="2">
        <v>3</v>
      </c>
      <c r="C3028" s="2" t="s">
        <v>747</v>
      </c>
      <c r="L3028" s="2" t="s">
        <v>40</v>
      </c>
      <c r="O3028" s="2" t="s">
        <v>188</v>
      </c>
      <c r="P3028" s="2" t="s">
        <v>189</v>
      </c>
      <c r="Q3028" s="2" t="s">
        <v>190</v>
      </c>
      <c r="R3028" s="2">
        <v>1</v>
      </c>
      <c r="S3028" s="2">
        <v>112</v>
      </c>
      <c r="T3028" s="2">
        <v>25.76</v>
      </c>
      <c r="U3028" s="2">
        <v>137.76</v>
      </c>
      <c r="V3028" s="2">
        <f>S3028*40%</f>
        <v>44.800000000000004</v>
      </c>
      <c r="W3028" s="5">
        <f t="shared" si="303"/>
        <v>0.59999999999999987</v>
      </c>
      <c r="Y3028" s="2" t="s">
        <v>118</v>
      </c>
      <c r="Z3028" s="2" t="s">
        <v>191</v>
      </c>
      <c r="AE3028" s="2">
        <f t="shared" si="301"/>
        <v>0</v>
      </c>
      <c r="AF3028" s="2">
        <f t="shared" si="297"/>
        <v>44.800000000000004</v>
      </c>
      <c r="AI3028" s="2">
        <f t="shared" si="302"/>
        <v>0</v>
      </c>
      <c r="AJ3028" s="2">
        <f t="shared" si="298"/>
        <v>67.199999999999989</v>
      </c>
      <c r="AK3028" s="5">
        <f t="shared" si="299"/>
        <v>0.59999999999999987</v>
      </c>
    </row>
    <row r="3029" spans="1:37" x14ac:dyDescent="0.2">
      <c r="A3029" s="2">
        <v>2026</v>
      </c>
      <c r="B3029" s="2">
        <v>1</v>
      </c>
      <c r="C3029" s="2" t="s">
        <v>2236</v>
      </c>
      <c r="L3029" s="2" t="s">
        <v>41</v>
      </c>
      <c r="O3029" s="2" t="s">
        <v>170</v>
      </c>
      <c r="P3029" s="2" t="s">
        <v>171</v>
      </c>
      <c r="Q3029" s="2" t="s">
        <v>171</v>
      </c>
      <c r="R3029" s="2">
        <v>1</v>
      </c>
      <c r="S3029" s="2">
        <v>8</v>
      </c>
      <c r="T3029" s="2">
        <v>1.84</v>
      </c>
      <c r="U3029" s="2">
        <v>9.84</v>
      </c>
      <c r="W3029" s="5">
        <f t="shared" si="303"/>
        <v>1</v>
      </c>
      <c r="Y3029" s="2" t="s">
        <v>170</v>
      </c>
      <c r="Z3029" s="2" t="s">
        <v>170</v>
      </c>
      <c r="AE3029" s="2">
        <f t="shared" si="301"/>
        <v>0</v>
      </c>
      <c r="AI3029" s="2">
        <f t="shared" si="302"/>
        <v>0</v>
      </c>
      <c r="AJ3029" s="2">
        <f t="shared" si="298"/>
        <v>8</v>
      </c>
      <c r="AK3029" s="5">
        <f t="shared" si="299"/>
        <v>1</v>
      </c>
    </row>
    <row r="3030" spans="1:37" x14ac:dyDescent="0.2">
      <c r="A3030" s="2">
        <v>2026</v>
      </c>
      <c r="B3030" s="2">
        <v>1</v>
      </c>
      <c r="C3030" s="2" t="s">
        <v>1187</v>
      </c>
      <c r="D3030" s="2" t="s">
        <v>38</v>
      </c>
      <c r="F3030" s="2">
        <v>502089075</v>
      </c>
      <c r="G3030" s="2" t="s">
        <v>41</v>
      </c>
      <c r="H3030" s="2" t="s">
        <v>1188</v>
      </c>
      <c r="I3030" s="2" t="s">
        <v>1189</v>
      </c>
      <c r="K3030" s="2" t="s">
        <v>465</v>
      </c>
      <c r="L3030" s="2" t="s">
        <v>41</v>
      </c>
      <c r="N3030" s="2" t="s">
        <v>2477</v>
      </c>
      <c r="O3030" s="2" t="s">
        <v>170</v>
      </c>
      <c r="P3030" s="2" t="s">
        <v>171</v>
      </c>
      <c r="Q3030" s="2" t="s">
        <v>171</v>
      </c>
      <c r="R3030" s="2">
        <v>2</v>
      </c>
      <c r="S3030" s="2">
        <v>10</v>
      </c>
      <c r="T3030" s="2">
        <v>2.2999999999999998</v>
      </c>
      <c r="U3030" s="2">
        <v>12.3</v>
      </c>
      <c r="V3030" s="2">
        <v>0</v>
      </c>
      <c r="W3030" s="5">
        <f t="shared" si="303"/>
        <v>1</v>
      </c>
      <c r="Y3030" s="2" t="s">
        <v>170</v>
      </c>
      <c r="Z3030" s="2" t="s">
        <v>170</v>
      </c>
      <c r="AE3030" s="2">
        <f t="shared" si="301"/>
        <v>0</v>
      </c>
      <c r="AI3030" s="2">
        <f t="shared" si="302"/>
        <v>0</v>
      </c>
      <c r="AJ3030" s="2">
        <f t="shared" si="298"/>
        <v>10</v>
      </c>
      <c r="AK3030" s="5">
        <f t="shared" si="299"/>
        <v>1</v>
      </c>
    </row>
    <row r="3031" spans="1:37" x14ac:dyDescent="0.2">
      <c r="A3031" s="2">
        <v>2026</v>
      </c>
      <c r="B3031" s="2">
        <v>1</v>
      </c>
      <c r="C3031" s="2" t="s">
        <v>396</v>
      </c>
      <c r="D3031" s="2" t="s">
        <v>109</v>
      </c>
      <c r="E3031" s="2" t="s">
        <v>397</v>
      </c>
      <c r="F3031" s="2">
        <v>501787160</v>
      </c>
      <c r="G3031" s="2" t="s">
        <v>41</v>
      </c>
      <c r="H3031" s="2" t="s">
        <v>398</v>
      </c>
      <c r="I3031" s="2" t="s">
        <v>399</v>
      </c>
      <c r="K3031" s="2" t="s">
        <v>400</v>
      </c>
      <c r="L3031" s="2" t="s">
        <v>41</v>
      </c>
      <c r="O3031" s="2" t="s">
        <v>170</v>
      </c>
      <c r="P3031" s="2" t="s">
        <v>171</v>
      </c>
      <c r="Q3031" s="2" t="s">
        <v>171</v>
      </c>
      <c r="R3031" s="2">
        <v>1</v>
      </c>
      <c r="S3031" s="2">
        <v>5</v>
      </c>
      <c r="T3031" s="2">
        <v>1.1499999999999999</v>
      </c>
      <c r="U3031" s="2">
        <v>6.15</v>
      </c>
      <c r="W3031" s="5">
        <f t="shared" si="303"/>
        <v>1</v>
      </c>
      <c r="Y3031" s="2" t="s">
        <v>170</v>
      </c>
      <c r="Z3031" s="2" t="s">
        <v>170</v>
      </c>
      <c r="AE3031" s="2">
        <f t="shared" si="301"/>
        <v>0</v>
      </c>
      <c r="AI3031" s="2">
        <f t="shared" si="302"/>
        <v>0</v>
      </c>
      <c r="AJ3031" s="2">
        <f t="shared" si="298"/>
        <v>5</v>
      </c>
      <c r="AK3031" s="5">
        <f t="shared" si="299"/>
        <v>1</v>
      </c>
    </row>
    <row r="3032" spans="1:37" x14ac:dyDescent="0.2">
      <c r="A3032" s="2">
        <v>2026</v>
      </c>
      <c r="B3032" s="2">
        <v>1</v>
      </c>
      <c r="C3032" s="2" t="s">
        <v>850</v>
      </c>
      <c r="D3032" s="2" t="s">
        <v>38</v>
      </c>
      <c r="E3032" s="2" t="s">
        <v>39</v>
      </c>
      <c r="F3032" s="2">
        <v>161685080</v>
      </c>
      <c r="G3032" s="2" t="s">
        <v>41</v>
      </c>
      <c r="H3032" s="2" t="s">
        <v>422</v>
      </c>
      <c r="J3032" s="2" t="s">
        <v>851</v>
      </c>
      <c r="K3032" s="2" t="s">
        <v>422</v>
      </c>
      <c r="L3032" s="2" t="s">
        <v>41</v>
      </c>
      <c r="N3032" s="2" t="s">
        <v>2392</v>
      </c>
      <c r="O3032" s="2" t="s">
        <v>170</v>
      </c>
      <c r="P3032" s="2" t="s">
        <v>171</v>
      </c>
      <c r="Q3032" s="2" t="s">
        <v>171</v>
      </c>
      <c r="R3032" s="2">
        <v>1</v>
      </c>
      <c r="S3032" s="2">
        <v>5</v>
      </c>
      <c r="T3032" s="2">
        <v>1.1499999999999999</v>
      </c>
      <c r="U3032" s="2">
        <v>6.15</v>
      </c>
      <c r="W3032" s="5">
        <f t="shared" si="303"/>
        <v>1</v>
      </c>
      <c r="Y3032" s="2" t="s">
        <v>170</v>
      </c>
      <c r="Z3032" s="2" t="s">
        <v>170</v>
      </c>
      <c r="AE3032" s="2">
        <f t="shared" si="301"/>
        <v>0</v>
      </c>
      <c r="AI3032" s="2">
        <f t="shared" si="302"/>
        <v>0</v>
      </c>
      <c r="AJ3032" s="2">
        <f t="shared" si="298"/>
        <v>5</v>
      </c>
      <c r="AK3032" s="5">
        <f t="shared" si="299"/>
        <v>1</v>
      </c>
    </row>
    <row r="3033" spans="1:37" x14ac:dyDescent="0.2">
      <c r="A3033" s="2">
        <v>2026</v>
      </c>
      <c r="B3033" s="2">
        <v>1</v>
      </c>
      <c r="C3033" s="2" t="s">
        <v>1300</v>
      </c>
      <c r="O3033" s="2" t="s">
        <v>170</v>
      </c>
      <c r="P3033" s="2" t="s">
        <v>171</v>
      </c>
      <c r="Q3033" s="2" t="s">
        <v>171</v>
      </c>
      <c r="R3033" s="2">
        <v>1</v>
      </c>
      <c r="S3033" s="2">
        <v>4.5</v>
      </c>
      <c r="T3033" s="2">
        <v>1.0349999999999999</v>
      </c>
      <c r="U3033" s="2">
        <v>5.5350000000000001</v>
      </c>
      <c r="W3033" s="5">
        <f t="shared" si="303"/>
        <v>1</v>
      </c>
      <c r="Y3033" s="2" t="s">
        <v>170</v>
      </c>
      <c r="Z3033" s="2" t="s">
        <v>170</v>
      </c>
      <c r="AE3033" s="2">
        <f t="shared" si="301"/>
        <v>0</v>
      </c>
      <c r="AI3033" s="2">
        <f t="shared" si="302"/>
        <v>0</v>
      </c>
      <c r="AJ3033" s="2">
        <f t="shared" si="298"/>
        <v>4.5</v>
      </c>
      <c r="AK3033" s="5">
        <f t="shared" si="299"/>
        <v>1</v>
      </c>
    </row>
    <row r="3034" spans="1:37" x14ac:dyDescent="0.2">
      <c r="A3034" s="2">
        <v>2026</v>
      </c>
      <c r="B3034" s="2">
        <v>1</v>
      </c>
      <c r="C3034" s="2" t="s">
        <v>1107</v>
      </c>
      <c r="L3034" s="2" t="s">
        <v>40</v>
      </c>
      <c r="O3034" s="2" t="s">
        <v>170</v>
      </c>
      <c r="P3034" s="2" t="s">
        <v>171</v>
      </c>
      <c r="Q3034" s="2" t="s">
        <v>171</v>
      </c>
      <c r="R3034" s="2">
        <v>1</v>
      </c>
      <c r="S3034" s="2">
        <v>100</v>
      </c>
      <c r="T3034" s="2">
        <v>23</v>
      </c>
      <c r="U3034" s="2">
        <v>123</v>
      </c>
      <c r="W3034" s="5">
        <f t="shared" si="303"/>
        <v>1</v>
      </c>
      <c r="Y3034" s="2" t="s">
        <v>170</v>
      </c>
      <c r="Z3034" s="2" t="s">
        <v>170</v>
      </c>
      <c r="AE3034" s="2">
        <f t="shared" si="301"/>
        <v>0</v>
      </c>
      <c r="AI3034" s="2">
        <f t="shared" si="302"/>
        <v>0</v>
      </c>
      <c r="AJ3034" s="2">
        <f t="shared" si="298"/>
        <v>100</v>
      </c>
      <c r="AK3034" s="5">
        <f t="shared" si="299"/>
        <v>1</v>
      </c>
    </row>
    <row r="3035" spans="1:37" x14ac:dyDescent="0.2">
      <c r="A3035" s="2">
        <v>2026</v>
      </c>
      <c r="B3035" s="2">
        <v>1</v>
      </c>
      <c r="C3035" s="2" t="s">
        <v>2394</v>
      </c>
      <c r="O3035" s="2" t="s">
        <v>170</v>
      </c>
      <c r="P3035" s="2" t="s">
        <v>171</v>
      </c>
      <c r="Q3035" s="2" t="s">
        <v>171</v>
      </c>
      <c r="R3035" s="2">
        <v>1</v>
      </c>
      <c r="S3035" s="2">
        <v>8</v>
      </c>
      <c r="T3035" s="2">
        <v>1.84</v>
      </c>
      <c r="U3035" s="2">
        <v>9.84</v>
      </c>
      <c r="W3035" s="5">
        <f t="shared" si="303"/>
        <v>1</v>
      </c>
      <c r="Y3035" s="2" t="s">
        <v>170</v>
      </c>
      <c r="Z3035" s="2" t="s">
        <v>170</v>
      </c>
      <c r="AE3035" s="2">
        <f t="shared" si="301"/>
        <v>0</v>
      </c>
      <c r="AI3035" s="2">
        <f t="shared" si="302"/>
        <v>0</v>
      </c>
      <c r="AJ3035" s="2">
        <f t="shared" si="298"/>
        <v>8</v>
      </c>
      <c r="AK3035" s="5">
        <f t="shared" si="299"/>
        <v>1</v>
      </c>
    </row>
    <row r="3036" spans="1:37" x14ac:dyDescent="0.2">
      <c r="A3036" s="2">
        <v>2026</v>
      </c>
      <c r="B3036" s="2">
        <v>1</v>
      </c>
      <c r="C3036" s="2" t="s">
        <v>534</v>
      </c>
      <c r="D3036" s="2" t="s">
        <v>109</v>
      </c>
      <c r="E3036" s="2" t="s">
        <v>535</v>
      </c>
      <c r="F3036" s="2">
        <v>502139552</v>
      </c>
      <c r="G3036" s="2" t="s">
        <v>40</v>
      </c>
      <c r="H3036" s="2" t="s">
        <v>340</v>
      </c>
      <c r="I3036" s="2" t="s">
        <v>536</v>
      </c>
      <c r="K3036" s="2" t="s">
        <v>340</v>
      </c>
      <c r="L3036" s="2" t="s">
        <v>40</v>
      </c>
      <c r="O3036" s="2" t="s">
        <v>40</v>
      </c>
      <c r="P3036" s="2" t="s">
        <v>141</v>
      </c>
      <c r="Q3036" s="2" t="s">
        <v>142</v>
      </c>
      <c r="R3036" s="2">
        <v>-1</v>
      </c>
      <c r="S3036" s="2">
        <v>-8.59</v>
      </c>
      <c r="T3036" s="2">
        <v>-1.9757</v>
      </c>
      <c r="U3036" s="2">
        <v>-10.5657</v>
      </c>
      <c r="W3036" s="5">
        <f>SIGN(S3036)*((ABS(S3036)-V3036)/ABS(S3036))</f>
        <v>-1</v>
      </c>
      <c r="Y3036" s="2" t="s">
        <v>120</v>
      </c>
      <c r="Z3036" s="2" t="s">
        <v>143</v>
      </c>
      <c r="AE3036" s="2">
        <f t="shared" si="301"/>
        <v>0</v>
      </c>
      <c r="AI3036" s="2">
        <f t="shared" si="302"/>
        <v>0</v>
      </c>
      <c r="AJ3036" s="2">
        <f t="shared" si="298"/>
        <v>-8.59</v>
      </c>
      <c r="AK3036" s="5">
        <f t="shared" si="299"/>
        <v>1</v>
      </c>
    </row>
    <row r="3037" spans="1:37" x14ac:dyDescent="0.2">
      <c r="A3037" s="2">
        <v>2026</v>
      </c>
      <c r="B3037" s="2">
        <v>1</v>
      </c>
      <c r="C3037" s="2" t="s">
        <v>2012</v>
      </c>
      <c r="L3037" s="2" t="s">
        <v>40</v>
      </c>
      <c r="O3037" s="2" t="s">
        <v>188</v>
      </c>
      <c r="P3037" s="2" t="s">
        <v>1318</v>
      </c>
      <c r="Q3037" s="2" t="s">
        <v>1319</v>
      </c>
      <c r="R3037" s="2">
        <v>10</v>
      </c>
      <c r="S3037" s="2">
        <v>588.54999999999995</v>
      </c>
      <c r="T3037" s="2">
        <v>135.3665</v>
      </c>
      <c r="U3037" s="2">
        <v>723.91649999999993</v>
      </c>
      <c r="W3037" s="5">
        <f t="shared" ref="W3037:W3073" si="304">(S3037-V3037)/S3037</f>
        <v>1</v>
      </c>
      <c r="Y3037" s="2" t="s">
        <v>118</v>
      </c>
      <c r="Z3037" s="2" t="s">
        <v>1320</v>
      </c>
      <c r="AE3037" s="2">
        <f t="shared" si="301"/>
        <v>0</v>
      </c>
      <c r="AI3037" s="2">
        <f t="shared" si="302"/>
        <v>0</v>
      </c>
      <c r="AJ3037" s="2">
        <f t="shared" ref="AJ3037:AJ3068" si="305">S3037-V3037</f>
        <v>588.54999999999995</v>
      </c>
      <c r="AK3037" s="5">
        <f t="shared" ref="AK3037:AK3068" si="306">(S3037-V3037)/S3037</f>
        <v>1</v>
      </c>
    </row>
    <row r="3038" spans="1:37" x14ac:dyDescent="0.2">
      <c r="A3038" s="2">
        <v>2026</v>
      </c>
      <c r="B3038" s="2">
        <v>1</v>
      </c>
      <c r="C3038" s="2" t="s">
        <v>1896</v>
      </c>
      <c r="L3038" s="2" t="s">
        <v>40</v>
      </c>
      <c r="O3038" s="2" t="s">
        <v>188</v>
      </c>
      <c r="P3038" s="2" t="s">
        <v>1318</v>
      </c>
      <c r="Q3038" s="2" t="s">
        <v>1319</v>
      </c>
      <c r="R3038" s="2">
        <v>1</v>
      </c>
      <c r="S3038" s="2">
        <v>0</v>
      </c>
      <c r="T3038" s="2">
        <v>0</v>
      </c>
      <c r="U3038" s="2">
        <v>0</v>
      </c>
      <c r="W3038" s="5" t="e">
        <f t="shared" si="304"/>
        <v>#DIV/0!</v>
      </c>
      <c r="Y3038" s="2" t="s">
        <v>118</v>
      </c>
      <c r="Z3038" s="2" t="s">
        <v>1320</v>
      </c>
      <c r="AE3038" s="2">
        <f t="shared" si="301"/>
        <v>0</v>
      </c>
      <c r="AI3038" s="2">
        <f t="shared" si="302"/>
        <v>0</v>
      </c>
      <c r="AJ3038" s="2">
        <f t="shared" si="305"/>
        <v>0</v>
      </c>
      <c r="AK3038" s="5" t="e">
        <f t="shared" si="306"/>
        <v>#DIV/0!</v>
      </c>
    </row>
    <row r="3039" spans="1:37" x14ac:dyDescent="0.2">
      <c r="A3039" s="2">
        <v>2026</v>
      </c>
      <c r="B3039" s="2">
        <v>1</v>
      </c>
      <c r="C3039" s="2" t="s">
        <v>2419</v>
      </c>
      <c r="L3039" s="2" t="s">
        <v>40</v>
      </c>
      <c r="O3039" s="2" t="s">
        <v>188</v>
      </c>
      <c r="P3039" s="2" t="s">
        <v>1318</v>
      </c>
      <c r="Q3039" s="2" t="s">
        <v>1319</v>
      </c>
      <c r="R3039" s="2">
        <v>1</v>
      </c>
      <c r="S3039" s="2">
        <v>0</v>
      </c>
      <c r="T3039" s="2">
        <v>0</v>
      </c>
      <c r="U3039" s="2">
        <v>0</v>
      </c>
      <c r="W3039" s="5" t="e">
        <f t="shared" si="304"/>
        <v>#DIV/0!</v>
      </c>
      <c r="Y3039" s="2" t="s">
        <v>118</v>
      </c>
      <c r="Z3039" s="2" t="s">
        <v>1320</v>
      </c>
      <c r="AE3039" s="2">
        <f t="shared" si="301"/>
        <v>0</v>
      </c>
      <c r="AI3039" s="2">
        <f t="shared" si="302"/>
        <v>0</v>
      </c>
      <c r="AJ3039" s="2">
        <f t="shared" si="305"/>
        <v>0</v>
      </c>
      <c r="AK3039" s="5" t="e">
        <f t="shared" si="306"/>
        <v>#DIV/0!</v>
      </c>
    </row>
    <row r="3040" spans="1:37" x14ac:dyDescent="0.2">
      <c r="A3040" s="2">
        <v>2026</v>
      </c>
      <c r="B3040" s="2">
        <v>1</v>
      </c>
      <c r="C3040" s="2" t="s">
        <v>680</v>
      </c>
      <c r="L3040" s="2" t="s">
        <v>40</v>
      </c>
      <c r="O3040" s="2" t="s">
        <v>188</v>
      </c>
      <c r="P3040" s="2" t="s">
        <v>1318</v>
      </c>
      <c r="Q3040" s="2" t="s">
        <v>1319</v>
      </c>
      <c r="R3040" s="2">
        <v>21</v>
      </c>
      <c r="S3040" s="2">
        <v>940</v>
      </c>
      <c r="T3040" s="2">
        <v>216.2</v>
      </c>
      <c r="U3040" s="2">
        <v>1156.2</v>
      </c>
      <c r="W3040" s="5">
        <f t="shared" si="304"/>
        <v>1</v>
      </c>
      <c r="Y3040" s="2" t="s">
        <v>118</v>
      </c>
      <c r="Z3040" s="2" t="s">
        <v>1320</v>
      </c>
      <c r="AE3040" s="2">
        <f t="shared" si="301"/>
        <v>0</v>
      </c>
      <c r="AI3040" s="2">
        <f t="shared" si="302"/>
        <v>0</v>
      </c>
      <c r="AJ3040" s="2">
        <f t="shared" si="305"/>
        <v>940</v>
      </c>
      <c r="AK3040" s="5">
        <f t="shared" si="306"/>
        <v>1</v>
      </c>
    </row>
    <row r="3041" spans="1:37" x14ac:dyDescent="0.2">
      <c r="A3041" s="2">
        <v>2026</v>
      </c>
      <c r="B3041" s="2">
        <v>1</v>
      </c>
      <c r="C3041" s="2" t="s">
        <v>37</v>
      </c>
      <c r="D3041" s="2" t="s">
        <v>38</v>
      </c>
      <c r="E3041" s="2" t="s">
        <v>39</v>
      </c>
      <c r="G3041" s="2" t="s">
        <v>40</v>
      </c>
      <c r="L3041" s="2" t="s">
        <v>81</v>
      </c>
      <c r="N3041" s="2" t="s">
        <v>2478</v>
      </c>
      <c r="O3041" s="2" t="s">
        <v>94</v>
      </c>
      <c r="P3041" s="2" t="s">
        <v>95</v>
      </c>
      <c r="Q3041" s="2" t="s">
        <v>96</v>
      </c>
      <c r="R3041" s="2">
        <v>4</v>
      </c>
      <c r="S3041" s="2">
        <v>5.92</v>
      </c>
      <c r="T3041" s="2">
        <v>1.3615999999999999</v>
      </c>
      <c r="U3041" s="2">
        <v>7.2816000000000001</v>
      </c>
      <c r="V3041" s="2">
        <v>5.92</v>
      </c>
      <c r="W3041" s="5">
        <f t="shared" si="304"/>
        <v>0</v>
      </c>
      <c r="Y3041" s="2" t="s">
        <v>3256</v>
      </c>
      <c r="Z3041" s="2" t="s">
        <v>97</v>
      </c>
      <c r="AA3041" s="2" t="s">
        <v>77</v>
      </c>
      <c r="AB3041" s="2" t="s">
        <v>94</v>
      </c>
      <c r="AE3041" s="2">
        <f t="shared" si="301"/>
        <v>0</v>
      </c>
      <c r="AI3041" s="2">
        <f t="shared" si="302"/>
        <v>0</v>
      </c>
      <c r="AJ3041" s="2">
        <f t="shared" si="305"/>
        <v>0</v>
      </c>
      <c r="AK3041" s="5">
        <f t="shared" si="306"/>
        <v>0</v>
      </c>
    </row>
    <row r="3042" spans="1:37" x14ac:dyDescent="0.2">
      <c r="A3042" s="2">
        <v>2026</v>
      </c>
      <c r="B3042" s="2">
        <v>1</v>
      </c>
      <c r="C3042" s="2" t="s">
        <v>145</v>
      </c>
      <c r="D3042" s="2" t="s">
        <v>38</v>
      </c>
      <c r="E3042" s="2" t="s">
        <v>39</v>
      </c>
      <c r="F3042" s="2">
        <v>505883970</v>
      </c>
      <c r="G3042" s="2" t="s">
        <v>41</v>
      </c>
      <c r="H3042" s="2" t="s">
        <v>146</v>
      </c>
      <c r="I3042" s="2" t="s">
        <v>147</v>
      </c>
      <c r="K3042" s="2" t="s">
        <v>100</v>
      </c>
      <c r="L3042" s="2" t="s">
        <v>41</v>
      </c>
      <c r="N3042" s="2" t="s">
        <v>2420</v>
      </c>
      <c r="O3042" s="2" t="s">
        <v>94</v>
      </c>
      <c r="P3042" s="2" t="s">
        <v>95</v>
      </c>
      <c r="Q3042" s="2" t="s">
        <v>96</v>
      </c>
      <c r="R3042" s="2">
        <v>1</v>
      </c>
      <c r="S3042" s="2">
        <v>1.48</v>
      </c>
      <c r="T3042" s="2">
        <v>0.34039999999999998</v>
      </c>
      <c r="U3042" s="2">
        <v>1.8204</v>
      </c>
      <c r="V3042" s="2">
        <v>1.48</v>
      </c>
      <c r="W3042" s="5">
        <f t="shared" si="304"/>
        <v>0</v>
      </c>
      <c r="Y3042" s="2" t="s">
        <v>3256</v>
      </c>
      <c r="Z3042" s="2" t="s">
        <v>97</v>
      </c>
      <c r="AA3042" s="2" t="s">
        <v>77</v>
      </c>
      <c r="AB3042" s="2" t="s">
        <v>94</v>
      </c>
      <c r="AE3042" s="2">
        <f t="shared" si="301"/>
        <v>0</v>
      </c>
      <c r="AI3042" s="2">
        <f t="shared" si="302"/>
        <v>0</v>
      </c>
      <c r="AJ3042" s="2">
        <f t="shared" si="305"/>
        <v>0</v>
      </c>
      <c r="AK3042" s="5">
        <f t="shared" si="306"/>
        <v>0</v>
      </c>
    </row>
    <row r="3043" spans="1:37" x14ac:dyDescent="0.2">
      <c r="A3043" s="2">
        <v>2026</v>
      </c>
      <c r="B3043" s="2">
        <v>1</v>
      </c>
      <c r="C3043" s="2" t="s">
        <v>2413</v>
      </c>
      <c r="O3043" s="2" t="s">
        <v>94</v>
      </c>
      <c r="P3043" s="2" t="s">
        <v>95</v>
      </c>
      <c r="Q3043" s="2" t="s">
        <v>96</v>
      </c>
      <c r="R3043" s="2">
        <v>2</v>
      </c>
      <c r="S3043" s="2">
        <v>2.96</v>
      </c>
      <c r="T3043" s="2">
        <v>0.68080000000000007</v>
      </c>
      <c r="U3043" s="2">
        <v>3.6408</v>
      </c>
      <c r="V3043" s="2">
        <v>2.96</v>
      </c>
      <c r="W3043" s="5">
        <f t="shared" si="304"/>
        <v>0</v>
      </c>
      <c r="Y3043" s="2" t="s">
        <v>3256</v>
      </c>
      <c r="Z3043" s="2" t="s">
        <v>97</v>
      </c>
      <c r="AA3043" s="2" t="s">
        <v>77</v>
      </c>
      <c r="AB3043" s="2" t="s">
        <v>94</v>
      </c>
      <c r="AE3043" s="2">
        <f t="shared" si="301"/>
        <v>0</v>
      </c>
      <c r="AI3043" s="2">
        <f t="shared" si="302"/>
        <v>0</v>
      </c>
      <c r="AJ3043" s="2">
        <f t="shared" si="305"/>
        <v>0</v>
      </c>
      <c r="AK3043" s="5">
        <f t="shared" si="306"/>
        <v>0</v>
      </c>
    </row>
    <row r="3044" spans="1:37" x14ac:dyDescent="0.2">
      <c r="A3044" s="2">
        <v>2026</v>
      </c>
      <c r="B3044" s="2">
        <v>1</v>
      </c>
      <c r="C3044" s="2" t="s">
        <v>199</v>
      </c>
      <c r="D3044" s="2" t="s">
        <v>109</v>
      </c>
      <c r="F3044" s="2">
        <v>507541120</v>
      </c>
      <c r="G3044" s="2" t="s">
        <v>40</v>
      </c>
      <c r="H3044" s="2" t="s">
        <v>200</v>
      </c>
      <c r="I3044" s="2" t="s">
        <v>201</v>
      </c>
      <c r="K3044" s="2" t="s">
        <v>202</v>
      </c>
      <c r="L3044" s="2" t="s">
        <v>41</v>
      </c>
      <c r="O3044" s="2" t="s">
        <v>94</v>
      </c>
      <c r="P3044" s="2" t="s">
        <v>95</v>
      </c>
      <c r="Q3044" s="2" t="s">
        <v>96</v>
      </c>
      <c r="R3044" s="2">
        <v>2</v>
      </c>
      <c r="S3044" s="2">
        <v>2.96</v>
      </c>
      <c r="T3044" s="2">
        <v>0.68080000000000007</v>
      </c>
      <c r="U3044" s="2">
        <v>3.6408</v>
      </c>
      <c r="V3044" s="2">
        <v>2.96</v>
      </c>
      <c r="W3044" s="5">
        <f t="shared" si="304"/>
        <v>0</v>
      </c>
      <c r="Y3044" s="2" t="s">
        <v>3256</v>
      </c>
      <c r="Z3044" s="2" t="s">
        <v>97</v>
      </c>
      <c r="AA3044" s="2" t="s">
        <v>77</v>
      </c>
      <c r="AB3044" s="2" t="s">
        <v>94</v>
      </c>
      <c r="AE3044" s="2">
        <f t="shared" si="301"/>
        <v>0</v>
      </c>
      <c r="AI3044" s="2">
        <f t="shared" si="302"/>
        <v>0</v>
      </c>
      <c r="AJ3044" s="2">
        <f t="shared" si="305"/>
        <v>0</v>
      </c>
      <c r="AK3044" s="5">
        <f t="shared" si="306"/>
        <v>0</v>
      </c>
    </row>
    <row r="3045" spans="1:37" x14ac:dyDescent="0.2">
      <c r="A3045" s="2">
        <v>2026</v>
      </c>
      <c r="B3045" s="2">
        <v>1</v>
      </c>
      <c r="C3045" s="2" t="s">
        <v>315</v>
      </c>
      <c r="D3045" s="2" t="s">
        <v>109</v>
      </c>
      <c r="F3045" s="2">
        <v>503270520</v>
      </c>
      <c r="G3045" s="2" t="s">
        <v>40</v>
      </c>
      <c r="H3045" s="2" t="s">
        <v>316</v>
      </c>
      <c r="I3045" s="2" t="s">
        <v>317</v>
      </c>
      <c r="K3045" s="2" t="s">
        <v>100</v>
      </c>
      <c r="L3045" s="2" t="s">
        <v>81</v>
      </c>
      <c r="O3045" s="2" t="s">
        <v>94</v>
      </c>
      <c r="P3045" s="2" t="s">
        <v>95</v>
      </c>
      <c r="Q3045" s="2" t="s">
        <v>96</v>
      </c>
      <c r="R3045" s="2">
        <v>2</v>
      </c>
      <c r="S3045" s="2">
        <v>2.96</v>
      </c>
      <c r="T3045" s="2">
        <v>0.68080000000000007</v>
      </c>
      <c r="U3045" s="2">
        <v>3.6408</v>
      </c>
      <c r="V3045" s="2">
        <v>2.96</v>
      </c>
      <c r="W3045" s="5">
        <f t="shared" si="304"/>
        <v>0</v>
      </c>
      <c r="Y3045" s="2" t="s">
        <v>3256</v>
      </c>
      <c r="Z3045" s="2" t="s">
        <v>97</v>
      </c>
      <c r="AA3045" s="2" t="s">
        <v>77</v>
      </c>
      <c r="AB3045" s="2" t="s">
        <v>94</v>
      </c>
      <c r="AE3045" s="2">
        <f t="shared" si="301"/>
        <v>0</v>
      </c>
      <c r="AI3045" s="2">
        <f t="shared" si="302"/>
        <v>0</v>
      </c>
      <c r="AJ3045" s="2">
        <f t="shared" si="305"/>
        <v>0</v>
      </c>
      <c r="AK3045" s="5">
        <f t="shared" si="306"/>
        <v>0</v>
      </c>
    </row>
    <row r="3046" spans="1:37" x14ac:dyDescent="0.2">
      <c r="A3046" s="2">
        <v>2026</v>
      </c>
      <c r="B3046" s="2">
        <v>1</v>
      </c>
      <c r="C3046" s="2" t="s">
        <v>320</v>
      </c>
      <c r="D3046" s="2" t="s">
        <v>38</v>
      </c>
      <c r="E3046" s="2" t="s">
        <v>39</v>
      </c>
      <c r="F3046" s="2">
        <v>500883262</v>
      </c>
      <c r="G3046" s="2" t="s">
        <v>40</v>
      </c>
      <c r="H3046" s="2" t="s">
        <v>100</v>
      </c>
      <c r="I3046" s="2" t="s">
        <v>321</v>
      </c>
      <c r="K3046" s="2" t="s">
        <v>100</v>
      </c>
      <c r="L3046" s="2" t="s">
        <v>81</v>
      </c>
      <c r="N3046" s="2" t="s">
        <v>2439</v>
      </c>
      <c r="O3046" s="2" t="s">
        <v>94</v>
      </c>
      <c r="P3046" s="2" t="s">
        <v>95</v>
      </c>
      <c r="Q3046" s="2" t="s">
        <v>96</v>
      </c>
      <c r="R3046" s="2">
        <v>1</v>
      </c>
      <c r="S3046" s="2">
        <v>1.48</v>
      </c>
      <c r="T3046" s="2">
        <v>0.34039999999999998</v>
      </c>
      <c r="U3046" s="2">
        <v>1.8204</v>
      </c>
      <c r="V3046" s="2">
        <v>1.48</v>
      </c>
      <c r="W3046" s="5">
        <f t="shared" si="304"/>
        <v>0</v>
      </c>
      <c r="Y3046" s="2" t="s">
        <v>3256</v>
      </c>
      <c r="Z3046" s="2" t="s">
        <v>97</v>
      </c>
      <c r="AA3046" s="2" t="s">
        <v>77</v>
      </c>
      <c r="AB3046" s="2" t="s">
        <v>94</v>
      </c>
      <c r="AE3046" s="2">
        <f t="shared" si="301"/>
        <v>0</v>
      </c>
      <c r="AI3046" s="2">
        <f t="shared" si="302"/>
        <v>0</v>
      </c>
      <c r="AJ3046" s="2">
        <f t="shared" si="305"/>
        <v>0</v>
      </c>
      <c r="AK3046" s="5">
        <f t="shared" si="306"/>
        <v>0</v>
      </c>
    </row>
    <row r="3047" spans="1:37" x14ac:dyDescent="0.2">
      <c r="A3047" s="2">
        <v>2026</v>
      </c>
      <c r="B3047" s="2">
        <v>2</v>
      </c>
      <c r="C3047" s="2" t="s">
        <v>695</v>
      </c>
      <c r="D3047" s="2" t="s">
        <v>109</v>
      </c>
      <c r="E3047" s="2" t="s">
        <v>39</v>
      </c>
      <c r="F3047" s="2">
        <v>503589950</v>
      </c>
      <c r="G3047" s="2" t="s">
        <v>41</v>
      </c>
      <c r="H3047" s="2" t="s">
        <v>615</v>
      </c>
      <c r="I3047" s="2" t="s">
        <v>696</v>
      </c>
      <c r="J3047" s="2">
        <v>913036545</v>
      </c>
      <c r="K3047" s="2" t="s">
        <v>178</v>
      </c>
      <c r="L3047" s="2" t="s">
        <v>41</v>
      </c>
      <c r="N3047" s="2" t="s">
        <v>2438</v>
      </c>
      <c r="O3047" s="2" t="s">
        <v>43</v>
      </c>
      <c r="P3047" s="2" t="s">
        <v>235</v>
      </c>
      <c r="Q3047" s="2" t="s">
        <v>236</v>
      </c>
      <c r="R3047" s="2">
        <v>1</v>
      </c>
      <c r="S3047" s="2">
        <v>14.4</v>
      </c>
      <c r="T3047" s="2">
        <v>3.3119999999999998</v>
      </c>
      <c r="U3047" s="2">
        <v>17.712</v>
      </c>
      <c r="V3047" s="2">
        <f>7.2217*R3047</f>
        <v>7.2217000000000002</v>
      </c>
      <c r="W3047" s="5">
        <f t="shared" si="304"/>
        <v>0.49849305555555556</v>
      </c>
      <c r="Y3047" s="2" t="s">
        <v>3256</v>
      </c>
      <c r="Z3047" s="2" t="s">
        <v>46</v>
      </c>
      <c r="AA3047" s="2" t="s">
        <v>57</v>
      </c>
      <c r="AB3047" s="2" t="s">
        <v>58</v>
      </c>
      <c r="AE3047" s="2">
        <f t="shared" si="301"/>
        <v>0</v>
      </c>
      <c r="AF3047" s="2">
        <v>7.2217000000000002</v>
      </c>
      <c r="AG3047" s="2">
        <v>14.4</v>
      </c>
      <c r="AI3047" s="2">
        <f t="shared" si="302"/>
        <v>0</v>
      </c>
      <c r="AJ3047" s="2">
        <f t="shared" si="305"/>
        <v>7.1783000000000001</v>
      </c>
      <c r="AK3047" s="5">
        <f t="shared" si="306"/>
        <v>0.49849305555555556</v>
      </c>
    </row>
    <row r="3048" spans="1:37" x14ac:dyDescent="0.2">
      <c r="A3048" s="2">
        <v>2026</v>
      </c>
      <c r="B3048" s="2">
        <v>1</v>
      </c>
      <c r="C3048" s="2" t="s">
        <v>989</v>
      </c>
      <c r="D3048" s="2" t="s">
        <v>109</v>
      </c>
      <c r="E3048" s="2" t="s">
        <v>723</v>
      </c>
      <c r="F3048" s="2">
        <v>500594309</v>
      </c>
      <c r="G3048" s="2" t="s">
        <v>291</v>
      </c>
      <c r="H3048" s="2" t="s">
        <v>990</v>
      </c>
      <c r="I3048" s="2" t="s">
        <v>991</v>
      </c>
      <c r="K3048" s="2" t="s">
        <v>294</v>
      </c>
      <c r="L3048" s="2" t="s">
        <v>81</v>
      </c>
      <c r="N3048" s="2" t="s">
        <v>2448</v>
      </c>
      <c r="O3048" s="2" t="s">
        <v>94</v>
      </c>
      <c r="P3048" s="2" t="s">
        <v>95</v>
      </c>
      <c r="Q3048" s="2" t="s">
        <v>96</v>
      </c>
      <c r="R3048" s="2">
        <v>1</v>
      </c>
      <c r="S3048" s="2">
        <v>1.48</v>
      </c>
      <c r="T3048" s="2">
        <v>0.34039999999999998</v>
      </c>
      <c r="U3048" s="2">
        <v>1.8204</v>
      </c>
      <c r="V3048" s="2">
        <v>1.48</v>
      </c>
      <c r="W3048" s="5">
        <f t="shared" si="304"/>
        <v>0</v>
      </c>
      <c r="Y3048" s="2" t="s">
        <v>3256</v>
      </c>
      <c r="Z3048" s="2" t="s">
        <v>97</v>
      </c>
      <c r="AA3048" s="2" t="s">
        <v>77</v>
      </c>
      <c r="AB3048" s="2" t="s">
        <v>94</v>
      </c>
      <c r="AE3048" s="2">
        <f t="shared" si="301"/>
        <v>0</v>
      </c>
      <c r="AF3048" s="2">
        <v>1.48</v>
      </c>
      <c r="AG3048" s="2">
        <v>1.48</v>
      </c>
      <c r="AI3048" s="2">
        <f t="shared" si="302"/>
        <v>0</v>
      </c>
      <c r="AJ3048" s="2">
        <f t="shared" si="305"/>
        <v>0</v>
      </c>
      <c r="AK3048" s="5">
        <f t="shared" si="306"/>
        <v>0</v>
      </c>
    </row>
    <row r="3049" spans="1:37" x14ac:dyDescent="0.2">
      <c r="A3049" s="2">
        <v>2026</v>
      </c>
      <c r="B3049" s="2">
        <v>1</v>
      </c>
      <c r="C3049" s="2" t="s">
        <v>2028</v>
      </c>
      <c r="L3049" s="2" t="s">
        <v>81</v>
      </c>
      <c r="O3049" s="2" t="s">
        <v>94</v>
      </c>
      <c r="P3049" s="2" t="s">
        <v>95</v>
      </c>
      <c r="Q3049" s="2" t="s">
        <v>96</v>
      </c>
      <c r="R3049" s="2">
        <v>1</v>
      </c>
      <c r="S3049" s="2">
        <v>1.48</v>
      </c>
      <c r="T3049" s="2">
        <v>0.34039999999999998</v>
      </c>
      <c r="U3049" s="2">
        <v>1.8204</v>
      </c>
      <c r="V3049" s="2">
        <v>1.48</v>
      </c>
      <c r="W3049" s="5">
        <f t="shared" si="304"/>
        <v>0</v>
      </c>
      <c r="Y3049" s="2" t="s">
        <v>3256</v>
      </c>
      <c r="Z3049" s="2" t="s">
        <v>97</v>
      </c>
      <c r="AA3049" s="2" t="s">
        <v>77</v>
      </c>
      <c r="AB3049" s="2" t="s">
        <v>94</v>
      </c>
      <c r="AE3049" s="2">
        <f t="shared" si="301"/>
        <v>0</v>
      </c>
      <c r="AI3049" s="2">
        <f t="shared" si="302"/>
        <v>0</v>
      </c>
      <c r="AJ3049" s="2">
        <f t="shared" si="305"/>
        <v>0</v>
      </c>
      <c r="AK3049" s="5">
        <f t="shared" si="306"/>
        <v>0</v>
      </c>
    </row>
    <row r="3050" spans="1:37" x14ac:dyDescent="0.2">
      <c r="A3050" s="2">
        <v>2026</v>
      </c>
      <c r="B3050" s="2">
        <v>1</v>
      </c>
      <c r="C3050" s="2" t="s">
        <v>1018</v>
      </c>
      <c r="D3050" s="2" t="s">
        <v>109</v>
      </c>
      <c r="E3050" s="2" t="s">
        <v>39</v>
      </c>
      <c r="F3050" s="2">
        <v>507063481</v>
      </c>
      <c r="G3050" s="2" t="s">
        <v>291</v>
      </c>
      <c r="H3050" s="2" t="s">
        <v>1019</v>
      </c>
      <c r="I3050" s="2" t="s">
        <v>1020</v>
      </c>
      <c r="K3050" s="2" t="s">
        <v>294</v>
      </c>
      <c r="L3050" s="2" t="s">
        <v>81</v>
      </c>
      <c r="O3050" s="2" t="s">
        <v>94</v>
      </c>
      <c r="P3050" s="2" t="s">
        <v>95</v>
      </c>
      <c r="Q3050" s="2" t="s">
        <v>96</v>
      </c>
      <c r="R3050" s="2">
        <v>5</v>
      </c>
      <c r="S3050" s="2">
        <v>7.4</v>
      </c>
      <c r="T3050" s="2">
        <v>1.702</v>
      </c>
      <c r="U3050" s="2">
        <v>9.1020000000000003</v>
      </c>
      <c r="V3050" s="2">
        <v>7.4</v>
      </c>
      <c r="W3050" s="5">
        <f t="shared" si="304"/>
        <v>0</v>
      </c>
      <c r="Y3050" s="2" t="s">
        <v>3256</v>
      </c>
      <c r="Z3050" s="2" t="s">
        <v>97</v>
      </c>
      <c r="AA3050" s="2" t="s">
        <v>77</v>
      </c>
      <c r="AB3050" s="2" t="s">
        <v>94</v>
      </c>
      <c r="AE3050" s="2">
        <f t="shared" si="301"/>
        <v>0</v>
      </c>
      <c r="AI3050" s="2">
        <f t="shared" si="302"/>
        <v>0</v>
      </c>
      <c r="AJ3050" s="2">
        <f t="shared" si="305"/>
        <v>0</v>
      </c>
      <c r="AK3050" s="5">
        <f t="shared" si="306"/>
        <v>0</v>
      </c>
    </row>
    <row r="3051" spans="1:37" x14ac:dyDescent="0.2">
      <c r="A3051" s="2">
        <v>2026</v>
      </c>
      <c r="B3051" s="2">
        <v>1</v>
      </c>
      <c r="C3051" s="2" t="s">
        <v>432</v>
      </c>
      <c r="D3051" s="2" t="s">
        <v>38</v>
      </c>
      <c r="F3051" s="2">
        <v>500820384</v>
      </c>
      <c r="G3051" s="2" t="s">
        <v>40</v>
      </c>
      <c r="H3051" s="2" t="s">
        <v>433</v>
      </c>
      <c r="I3051" s="2" t="s">
        <v>434</v>
      </c>
      <c r="K3051" s="2" t="s">
        <v>100</v>
      </c>
      <c r="L3051" s="2" t="s">
        <v>81</v>
      </c>
      <c r="N3051" s="2" t="s">
        <v>2479</v>
      </c>
      <c r="O3051" s="2" t="s">
        <v>94</v>
      </c>
      <c r="P3051" s="2" t="s">
        <v>95</v>
      </c>
      <c r="Q3051" s="2" t="s">
        <v>96</v>
      </c>
      <c r="R3051" s="2">
        <v>2</v>
      </c>
      <c r="S3051" s="2">
        <v>2.96</v>
      </c>
      <c r="T3051" s="2">
        <v>0.68080000000000007</v>
      </c>
      <c r="U3051" s="2">
        <v>3.6408</v>
      </c>
      <c r="V3051" s="2">
        <v>2.96</v>
      </c>
      <c r="W3051" s="5">
        <f t="shared" si="304"/>
        <v>0</v>
      </c>
      <c r="Y3051" s="2" t="s">
        <v>3256</v>
      </c>
      <c r="Z3051" s="2" t="s">
        <v>97</v>
      </c>
      <c r="AA3051" s="2" t="s">
        <v>77</v>
      </c>
      <c r="AB3051" s="2" t="s">
        <v>94</v>
      </c>
      <c r="AE3051" s="2">
        <f t="shared" si="301"/>
        <v>0</v>
      </c>
      <c r="AI3051" s="2">
        <f t="shared" si="302"/>
        <v>0</v>
      </c>
      <c r="AJ3051" s="2">
        <f t="shared" si="305"/>
        <v>0</v>
      </c>
      <c r="AK3051" s="5">
        <f t="shared" si="306"/>
        <v>0</v>
      </c>
    </row>
    <row r="3052" spans="1:37" x14ac:dyDescent="0.2">
      <c r="A3052" s="2">
        <v>2026</v>
      </c>
      <c r="B3052" s="2">
        <v>1</v>
      </c>
      <c r="C3052" s="2" t="s">
        <v>1569</v>
      </c>
      <c r="D3052" s="2" t="s">
        <v>109</v>
      </c>
      <c r="E3052" s="2" t="s">
        <v>723</v>
      </c>
      <c r="F3052" s="2">
        <v>500975914</v>
      </c>
      <c r="G3052" s="2" t="s">
        <v>41</v>
      </c>
      <c r="H3052" s="2" t="s">
        <v>1570</v>
      </c>
      <c r="I3052" s="2" t="s">
        <v>1571</v>
      </c>
      <c r="K3052" s="2" t="s">
        <v>100</v>
      </c>
      <c r="L3052" s="2" t="s">
        <v>41</v>
      </c>
      <c r="O3052" s="2" t="s">
        <v>94</v>
      </c>
      <c r="P3052" s="2" t="s">
        <v>95</v>
      </c>
      <c r="Q3052" s="2" t="s">
        <v>96</v>
      </c>
      <c r="R3052" s="2">
        <v>1</v>
      </c>
      <c r="S3052" s="2">
        <v>1.48</v>
      </c>
      <c r="T3052" s="2">
        <v>0.34039999999999998</v>
      </c>
      <c r="U3052" s="2">
        <v>1.8204</v>
      </c>
      <c r="V3052" s="2">
        <v>1.48</v>
      </c>
      <c r="W3052" s="5">
        <f t="shared" si="304"/>
        <v>0</v>
      </c>
      <c r="Y3052" s="2" t="s">
        <v>3256</v>
      </c>
      <c r="Z3052" s="2" t="s">
        <v>97</v>
      </c>
      <c r="AA3052" s="2" t="s">
        <v>77</v>
      </c>
      <c r="AB3052" s="2" t="s">
        <v>94</v>
      </c>
      <c r="AE3052" s="2">
        <f t="shared" si="301"/>
        <v>0</v>
      </c>
      <c r="AI3052" s="2">
        <f t="shared" si="302"/>
        <v>0</v>
      </c>
      <c r="AJ3052" s="2">
        <f t="shared" si="305"/>
        <v>0</v>
      </c>
      <c r="AK3052" s="5">
        <f t="shared" si="306"/>
        <v>0</v>
      </c>
    </row>
    <row r="3053" spans="1:37" x14ac:dyDescent="0.2">
      <c r="A3053" s="2">
        <v>2026</v>
      </c>
      <c r="B3053" s="2">
        <v>1</v>
      </c>
      <c r="C3053" s="2" t="s">
        <v>1386</v>
      </c>
      <c r="D3053" s="2" t="s">
        <v>38</v>
      </c>
      <c r="E3053" s="2" t="s">
        <v>39</v>
      </c>
      <c r="F3053" s="2">
        <v>503116670</v>
      </c>
      <c r="G3053" s="2" t="s">
        <v>41</v>
      </c>
      <c r="H3053" s="2" t="s">
        <v>1387</v>
      </c>
      <c r="I3053" s="2" t="s">
        <v>1388</v>
      </c>
      <c r="J3053" s="2">
        <v>962004640</v>
      </c>
      <c r="K3053" s="2" t="s">
        <v>422</v>
      </c>
      <c r="L3053" s="2" t="s">
        <v>81</v>
      </c>
      <c r="O3053" s="2" t="s">
        <v>94</v>
      </c>
      <c r="P3053" s="2" t="s">
        <v>95</v>
      </c>
      <c r="Q3053" s="2" t="s">
        <v>96</v>
      </c>
      <c r="R3053" s="2">
        <v>1</v>
      </c>
      <c r="S3053" s="2">
        <v>1.48</v>
      </c>
      <c r="T3053" s="2">
        <v>0.34039999999999998</v>
      </c>
      <c r="U3053" s="2">
        <v>1.8204</v>
      </c>
      <c r="V3053" s="2">
        <v>1.48</v>
      </c>
      <c r="W3053" s="5">
        <f t="shared" si="304"/>
        <v>0</v>
      </c>
      <c r="Y3053" s="2" t="s">
        <v>3256</v>
      </c>
      <c r="Z3053" s="2" t="s">
        <v>97</v>
      </c>
      <c r="AA3053" s="2" t="s">
        <v>77</v>
      </c>
      <c r="AB3053" s="2" t="s">
        <v>94</v>
      </c>
      <c r="AE3053" s="2">
        <f t="shared" si="301"/>
        <v>0</v>
      </c>
      <c r="AI3053" s="2">
        <f t="shared" si="302"/>
        <v>0</v>
      </c>
      <c r="AJ3053" s="2">
        <f t="shared" si="305"/>
        <v>0</v>
      </c>
      <c r="AK3053" s="5">
        <f t="shared" si="306"/>
        <v>0</v>
      </c>
    </row>
    <row r="3054" spans="1:37" x14ac:dyDescent="0.2">
      <c r="A3054" s="2">
        <v>2026</v>
      </c>
      <c r="B3054" s="2">
        <v>1</v>
      </c>
      <c r="C3054" s="2" t="s">
        <v>1026</v>
      </c>
      <c r="D3054" s="2" t="s">
        <v>38</v>
      </c>
      <c r="E3054" s="2" t="s">
        <v>39</v>
      </c>
      <c r="F3054" s="2">
        <v>505647338</v>
      </c>
      <c r="G3054" s="2" t="s">
        <v>291</v>
      </c>
      <c r="H3054" s="2" t="s">
        <v>1027</v>
      </c>
      <c r="I3054" s="2" t="s">
        <v>1028</v>
      </c>
      <c r="K3054" s="2" t="s">
        <v>294</v>
      </c>
      <c r="L3054" s="2" t="s">
        <v>81</v>
      </c>
      <c r="N3054" s="2" t="s">
        <v>2414</v>
      </c>
      <c r="O3054" s="2" t="s">
        <v>94</v>
      </c>
      <c r="P3054" s="2" t="s">
        <v>95</v>
      </c>
      <c r="Q3054" s="2" t="s">
        <v>96</v>
      </c>
      <c r="R3054" s="2">
        <v>1</v>
      </c>
      <c r="S3054" s="2">
        <v>1.48</v>
      </c>
      <c r="T3054" s="2">
        <v>0.34039999999999998</v>
      </c>
      <c r="U3054" s="2">
        <v>1.8204</v>
      </c>
      <c r="V3054" s="2">
        <v>1.48</v>
      </c>
      <c r="W3054" s="5">
        <f t="shared" si="304"/>
        <v>0</v>
      </c>
      <c r="Y3054" s="2" t="s">
        <v>3256</v>
      </c>
      <c r="Z3054" s="2" t="s">
        <v>97</v>
      </c>
      <c r="AA3054" s="2" t="s">
        <v>77</v>
      </c>
      <c r="AB3054" s="2" t="s">
        <v>94</v>
      </c>
      <c r="AE3054" s="2">
        <f t="shared" si="301"/>
        <v>0</v>
      </c>
      <c r="AF3054" s="2">
        <v>1.48</v>
      </c>
      <c r="AG3054" s="2">
        <v>1.48</v>
      </c>
      <c r="AI3054" s="2">
        <f t="shared" si="302"/>
        <v>0</v>
      </c>
      <c r="AJ3054" s="2">
        <f t="shared" si="305"/>
        <v>0</v>
      </c>
      <c r="AK3054" s="5">
        <f t="shared" si="306"/>
        <v>0</v>
      </c>
    </row>
    <row r="3055" spans="1:37" x14ac:dyDescent="0.2">
      <c r="A3055" s="2">
        <v>2026</v>
      </c>
      <c r="B3055" s="2">
        <v>1</v>
      </c>
      <c r="C3055" s="2" t="s">
        <v>822</v>
      </c>
      <c r="O3055" s="2" t="s">
        <v>94</v>
      </c>
      <c r="P3055" s="2" t="s">
        <v>95</v>
      </c>
      <c r="Q3055" s="2" t="s">
        <v>96</v>
      </c>
      <c r="R3055" s="2">
        <v>3</v>
      </c>
      <c r="S3055" s="2">
        <v>4.4400000000000004</v>
      </c>
      <c r="T3055" s="2">
        <v>1.0212000000000001</v>
      </c>
      <c r="U3055" s="2">
        <v>5.4612000000000007</v>
      </c>
      <c r="V3055" s="2">
        <v>4.4400000000000004</v>
      </c>
      <c r="W3055" s="5">
        <f t="shared" si="304"/>
        <v>0</v>
      </c>
      <c r="Y3055" s="2" t="s">
        <v>3256</v>
      </c>
      <c r="Z3055" s="2" t="s">
        <v>97</v>
      </c>
      <c r="AA3055" s="2" t="s">
        <v>77</v>
      </c>
      <c r="AB3055" s="2" t="s">
        <v>94</v>
      </c>
      <c r="AE3055" s="2">
        <f t="shared" si="301"/>
        <v>0</v>
      </c>
      <c r="AI3055" s="2">
        <f t="shared" si="302"/>
        <v>0</v>
      </c>
      <c r="AJ3055" s="2">
        <f t="shared" si="305"/>
        <v>0</v>
      </c>
      <c r="AK3055" s="5">
        <f t="shared" si="306"/>
        <v>0</v>
      </c>
    </row>
    <row r="3056" spans="1:37" x14ac:dyDescent="0.2">
      <c r="A3056" s="2">
        <v>2026</v>
      </c>
      <c r="B3056" s="2">
        <v>1</v>
      </c>
      <c r="C3056" s="2" t="s">
        <v>1580</v>
      </c>
      <c r="O3056" s="2" t="s">
        <v>94</v>
      </c>
      <c r="P3056" s="2" t="s">
        <v>95</v>
      </c>
      <c r="Q3056" s="2" t="s">
        <v>96</v>
      </c>
      <c r="R3056" s="2">
        <v>1</v>
      </c>
      <c r="S3056" s="2">
        <v>1.48</v>
      </c>
      <c r="T3056" s="2">
        <v>0.34039999999999998</v>
      </c>
      <c r="U3056" s="2">
        <v>1.8204</v>
      </c>
      <c r="V3056" s="2">
        <v>1.48</v>
      </c>
      <c r="W3056" s="5">
        <f t="shared" si="304"/>
        <v>0</v>
      </c>
      <c r="Y3056" s="2" t="s">
        <v>3256</v>
      </c>
      <c r="Z3056" s="2" t="s">
        <v>97</v>
      </c>
      <c r="AA3056" s="2" t="s">
        <v>77</v>
      </c>
      <c r="AB3056" s="2" t="s">
        <v>94</v>
      </c>
      <c r="AE3056" s="2">
        <f t="shared" si="301"/>
        <v>0</v>
      </c>
      <c r="AI3056" s="2">
        <f t="shared" si="302"/>
        <v>0</v>
      </c>
      <c r="AJ3056" s="2">
        <f t="shared" si="305"/>
        <v>0</v>
      </c>
      <c r="AK3056" s="5">
        <f t="shared" si="306"/>
        <v>0</v>
      </c>
    </row>
    <row r="3057" spans="1:37" x14ac:dyDescent="0.2">
      <c r="A3057" s="2">
        <v>2026</v>
      </c>
      <c r="B3057" s="2">
        <v>1</v>
      </c>
      <c r="C3057" s="2" t="s">
        <v>1035</v>
      </c>
      <c r="D3057" s="2" t="s">
        <v>38</v>
      </c>
      <c r="E3057" s="2" t="s">
        <v>39</v>
      </c>
      <c r="F3057" s="2">
        <v>514229829</v>
      </c>
      <c r="G3057" s="2" t="s">
        <v>41</v>
      </c>
      <c r="H3057" s="2" t="s">
        <v>1036</v>
      </c>
      <c r="I3057" s="2" t="s">
        <v>1037</v>
      </c>
      <c r="J3057" s="2">
        <v>963046242</v>
      </c>
      <c r="K3057" s="2" t="s">
        <v>178</v>
      </c>
      <c r="O3057" s="2" t="s">
        <v>94</v>
      </c>
      <c r="P3057" s="2" t="s">
        <v>95</v>
      </c>
      <c r="Q3057" s="2" t="s">
        <v>96</v>
      </c>
      <c r="R3057" s="2">
        <v>1</v>
      </c>
      <c r="S3057" s="2">
        <v>1.48</v>
      </c>
      <c r="T3057" s="2">
        <v>0.34039999999999998</v>
      </c>
      <c r="U3057" s="2">
        <v>1.8204</v>
      </c>
      <c r="V3057" s="2">
        <v>1.48</v>
      </c>
      <c r="W3057" s="5">
        <f t="shared" si="304"/>
        <v>0</v>
      </c>
      <c r="Y3057" s="2" t="s">
        <v>3256</v>
      </c>
      <c r="Z3057" s="2" t="s">
        <v>97</v>
      </c>
      <c r="AA3057" s="2" t="s">
        <v>77</v>
      </c>
      <c r="AB3057" s="2" t="s">
        <v>94</v>
      </c>
      <c r="AE3057" s="2">
        <f t="shared" si="301"/>
        <v>0</v>
      </c>
      <c r="AI3057" s="2">
        <f t="shared" si="302"/>
        <v>0</v>
      </c>
      <c r="AJ3057" s="2">
        <f t="shared" si="305"/>
        <v>0</v>
      </c>
      <c r="AK3057" s="5">
        <f t="shared" si="306"/>
        <v>0</v>
      </c>
    </row>
    <row r="3058" spans="1:37" x14ac:dyDescent="0.2">
      <c r="A3058" s="2">
        <v>2026</v>
      </c>
      <c r="B3058" s="2">
        <v>1</v>
      </c>
      <c r="C3058" s="2" t="s">
        <v>1609</v>
      </c>
      <c r="D3058" s="2" t="s">
        <v>109</v>
      </c>
      <c r="E3058" s="2" t="s">
        <v>397</v>
      </c>
      <c r="F3058" s="2">
        <v>500314594</v>
      </c>
      <c r="G3058" s="2" t="s">
        <v>40</v>
      </c>
      <c r="H3058" s="2" t="s">
        <v>1610</v>
      </c>
      <c r="I3058" s="2" t="s">
        <v>1611</v>
      </c>
      <c r="K3058" s="2" t="s">
        <v>202</v>
      </c>
      <c r="L3058" s="2" t="s">
        <v>81</v>
      </c>
      <c r="N3058" s="2" t="s">
        <v>2415</v>
      </c>
      <c r="O3058" s="2" t="s">
        <v>94</v>
      </c>
      <c r="P3058" s="2" t="s">
        <v>95</v>
      </c>
      <c r="Q3058" s="2" t="s">
        <v>96</v>
      </c>
      <c r="R3058" s="2">
        <v>1</v>
      </c>
      <c r="S3058" s="2">
        <v>1.48</v>
      </c>
      <c r="T3058" s="2">
        <v>0.34039999999999998</v>
      </c>
      <c r="U3058" s="2">
        <v>1.8204</v>
      </c>
      <c r="V3058" s="2">
        <v>1.48</v>
      </c>
      <c r="W3058" s="5">
        <f t="shared" si="304"/>
        <v>0</v>
      </c>
      <c r="Y3058" s="2" t="s">
        <v>3256</v>
      </c>
      <c r="Z3058" s="2" t="s">
        <v>97</v>
      </c>
      <c r="AA3058" s="2" t="s">
        <v>77</v>
      </c>
      <c r="AB3058" s="2" t="s">
        <v>94</v>
      </c>
      <c r="AE3058" s="2">
        <f t="shared" si="301"/>
        <v>0</v>
      </c>
      <c r="AF3058" s="2">
        <v>1.48</v>
      </c>
      <c r="AG3058" s="2">
        <v>1.48</v>
      </c>
      <c r="AI3058" s="2">
        <f t="shared" si="302"/>
        <v>0</v>
      </c>
      <c r="AJ3058" s="2">
        <f t="shared" si="305"/>
        <v>0</v>
      </c>
      <c r="AK3058" s="5">
        <f t="shared" si="306"/>
        <v>0</v>
      </c>
    </row>
    <row r="3059" spans="1:37" x14ac:dyDescent="0.2">
      <c r="A3059" s="2">
        <v>2026</v>
      </c>
      <c r="B3059" s="2">
        <v>1</v>
      </c>
      <c r="C3059" s="2" t="s">
        <v>2425</v>
      </c>
      <c r="O3059" s="2" t="s">
        <v>94</v>
      </c>
      <c r="P3059" s="2" t="s">
        <v>95</v>
      </c>
      <c r="Q3059" s="2" t="s">
        <v>96</v>
      </c>
      <c r="R3059" s="2">
        <v>1</v>
      </c>
      <c r="S3059" s="2">
        <v>1.48</v>
      </c>
      <c r="T3059" s="2">
        <v>0.34039999999999998</v>
      </c>
      <c r="U3059" s="2">
        <v>1.8204</v>
      </c>
      <c r="V3059" s="2">
        <v>1.48</v>
      </c>
      <c r="W3059" s="5">
        <f t="shared" si="304"/>
        <v>0</v>
      </c>
      <c r="Y3059" s="2" t="s">
        <v>3256</v>
      </c>
      <c r="Z3059" s="2" t="s">
        <v>97</v>
      </c>
      <c r="AA3059" s="2" t="s">
        <v>77</v>
      </c>
      <c r="AB3059" s="2" t="s">
        <v>94</v>
      </c>
      <c r="AE3059" s="2">
        <f t="shared" si="301"/>
        <v>0</v>
      </c>
      <c r="AI3059" s="2">
        <f t="shared" si="302"/>
        <v>0</v>
      </c>
      <c r="AJ3059" s="2">
        <f t="shared" si="305"/>
        <v>0</v>
      </c>
      <c r="AK3059" s="5">
        <f t="shared" si="306"/>
        <v>0</v>
      </c>
    </row>
    <row r="3060" spans="1:37" x14ac:dyDescent="0.2">
      <c r="A3060" s="2">
        <v>2026</v>
      </c>
      <c r="B3060" s="2">
        <v>1</v>
      </c>
      <c r="C3060" s="2" t="s">
        <v>534</v>
      </c>
      <c r="D3060" s="2" t="s">
        <v>109</v>
      </c>
      <c r="E3060" s="2" t="s">
        <v>535</v>
      </c>
      <c r="F3060" s="2">
        <v>502139552</v>
      </c>
      <c r="G3060" s="2" t="s">
        <v>40</v>
      </c>
      <c r="H3060" s="2" t="s">
        <v>340</v>
      </c>
      <c r="I3060" s="2" t="s">
        <v>536</v>
      </c>
      <c r="K3060" s="2" t="s">
        <v>340</v>
      </c>
      <c r="L3060" s="2" t="s">
        <v>81</v>
      </c>
      <c r="O3060" s="2" t="s">
        <v>94</v>
      </c>
      <c r="P3060" s="2" t="s">
        <v>95</v>
      </c>
      <c r="Q3060" s="2" t="s">
        <v>96</v>
      </c>
      <c r="R3060" s="2">
        <v>1</v>
      </c>
      <c r="S3060" s="2">
        <v>1.48</v>
      </c>
      <c r="T3060" s="2">
        <v>0.34039999999999998</v>
      </c>
      <c r="U3060" s="2">
        <v>1.8204</v>
      </c>
      <c r="V3060" s="2">
        <v>1.48</v>
      </c>
      <c r="W3060" s="5">
        <f t="shared" si="304"/>
        <v>0</v>
      </c>
      <c r="Y3060" s="2" t="s">
        <v>3256</v>
      </c>
      <c r="Z3060" s="2" t="s">
        <v>97</v>
      </c>
      <c r="AA3060" s="2" t="s">
        <v>77</v>
      </c>
      <c r="AB3060" s="2" t="s">
        <v>94</v>
      </c>
      <c r="AE3060" s="2">
        <f t="shared" si="301"/>
        <v>0</v>
      </c>
      <c r="AI3060" s="2">
        <f t="shared" si="302"/>
        <v>0</v>
      </c>
      <c r="AJ3060" s="2">
        <f t="shared" si="305"/>
        <v>0</v>
      </c>
      <c r="AK3060" s="5">
        <f t="shared" si="306"/>
        <v>0</v>
      </c>
    </row>
    <row r="3061" spans="1:37" x14ac:dyDescent="0.2">
      <c r="A3061" s="2">
        <v>2026</v>
      </c>
      <c r="B3061" s="2">
        <v>1</v>
      </c>
      <c r="C3061" s="2" t="s">
        <v>1082</v>
      </c>
      <c r="L3061" s="2" t="s">
        <v>41</v>
      </c>
      <c r="O3061" s="2" t="s">
        <v>94</v>
      </c>
      <c r="P3061" s="2" t="s">
        <v>95</v>
      </c>
      <c r="Q3061" s="2" t="s">
        <v>96</v>
      </c>
      <c r="R3061" s="2">
        <v>1</v>
      </c>
      <c r="S3061" s="2">
        <v>1.48</v>
      </c>
      <c r="T3061" s="2">
        <v>0.34039999999999998</v>
      </c>
      <c r="U3061" s="2">
        <v>1.8204</v>
      </c>
      <c r="V3061" s="2">
        <v>1.48</v>
      </c>
      <c r="W3061" s="5">
        <f t="shared" si="304"/>
        <v>0</v>
      </c>
      <c r="Y3061" s="2" t="s">
        <v>3256</v>
      </c>
      <c r="Z3061" s="2" t="s">
        <v>97</v>
      </c>
      <c r="AA3061" s="2" t="s">
        <v>77</v>
      </c>
      <c r="AB3061" s="2" t="s">
        <v>94</v>
      </c>
      <c r="AE3061" s="2">
        <f t="shared" si="301"/>
        <v>0</v>
      </c>
      <c r="AI3061" s="2">
        <f t="shared" si="302"/>
        <v>0</v>
      </c>
      <c r="AJ3061" s="2">
        <f t="shared" si="305"/>
        <v>0</v>
      </c>
      <c r="AK3061" s="5">
        <f t="shared" si="306"/>
        <v>0</v>
      </c>
    </row>
    <row r="3062" spans="1:37" x14ac:dyDescent="0.2">
      <c r="A3062" s="2">
        <v>2026</v>
      </c>
      <c r="B3062" s="2">
        <v>1</v>
      </c>
      <c r="C3062" s="2" t="s">
        <v>1430</v>
      </c>
      <c r="D3062" s="2" t="s">
        <v>109</v>
      </c>
      <c r="E3062" s="2" t="s">
        <v>39</v>
      </c>
      <c r="F3062" s="2">
        <v>502696338</v>
      </c>
      <c r="G3062" s="2" t="s">
        <v>40</v>
      </c>
      <c r="H3062" s="2" t="s">
        <v>2433</v>
      </c>
      <c r="I3062" s="2" t="s">
        <v>2434</v>
      </c>
      <c r="K3062" s="2" t="s">
        <v>202</v>
      </c>
      <c r="L3062" s="2" t="s">
        <v>81</v>
      </c>
      <c r="N3062" s="2" t="s">
        <v>2435</v>
      </c>
      <c r="O3062" s="2" t="s">
        <v>94</v>
      </c>
      <c r="P3062" s="2" t="s">
        <v>95</v>
      </c>
      <c r="Q3062" s="2" t="s">
        <v>96</v>
      </c>
      <c r="R3062" s="2">
        <v>1</v>
      </c>
      <c r="S3062" s="2">
        <v>1.48</v>
      </c>
      <c r="T3062" s="2">
        <v>0.34039999999999998</v>
      </c>
      <c r="U3062" s="2">
        <v>1.8204</v>
      </c>
      <c r="V3062" s="2">
        <v>1.48</v>
      </c>
      <c r="W3062" s="5">
        <f t="shared" si="304"/>
        <v>0</v>
      </c>
      <c r="Y3062" s="2" t="s">
        <v>3256</v>
      </c>
      <c r="Z3062" s="2" t="s">
        <v>97</v>
      </c>
      <c r="AA3062" s="2" t="s">
        <v>77</v>
      </c>
      <c r="AB3062" s="2" t="s">
        <v>94</v>
      </c>
      <c r="AE3062" s="2">
        <f t="shared" si="301"/>
        <v>0</v>
      </c>
      <c r="AI3062" s="2">
        <f t="shared" si="302"/>
        <v>0</v>
      </c>
      <c r="AJ3062" s="2">
        <f t="shared" si="305"/>
        <v>0</v>
      </c>
      <c r="AK3062" s="5">
        <f t="shared" si="306"/>
        <v>0</v>
      </c>
    </row>
    <row r="3063" spans="1:37" x14ac:dyDescent="0.2">
      <c r="A3063" s="2">
        <v>2026</v>
      </c>
      <c r="B3063" s="2">
        <v>1</v>
      </c>
      <c r="C3063" s="2" t="s">
        <v>1431</v>
      </c>
      <c r="D3063" s="2" t="s">
        <v>109</v>
      </c>
      <c r="E3063" s="2" t="s">
        <v>39</v>
      </c>
      <c r="F3063" s="2">
        <v>513795855</v>
      </c>
      <c r="G3063" s="2" t="s">
        <v>41</v>
      </c>
      <c r="H3063" s="2" t="s">
        <v>1282</v>
      </c>
      <c r="I3063" s="2" t="s">
        <v>2416</v>
      </c>
      <c r="K3063" s="2" t="s">
        <v>178</v>
      </c>
      <c r="L3063" s="2" t="s">
        <v>41</v>
      </c>
      <c r="O3063" s="2" t="s">
        <v>94</v>
      </c>
      <c r="P3063" s="2" t="s">
        <v>95</v>
      </c>
      <c r="Q3063" s="2" t="s">
        <v>96</v>
      </c>
      <c r="R3063" s="2">
        <v>1</v>
      </c>
      <c r="S3063" s="2">
        <v>1.48</v>
      </c>
      <c r="T3063" s="2">
        <v>0.34039999999999998</v>
      </c>
      <c r="U3063" s="2">
        <v>1.8204</v>
      </c>
      <c r="V3063" s="2">
        <v>1.48</v>
      </c>
      <c r="W3063" s="5">
        <f t="shared" si="304"/>
        <v>0</v>
      </c>
      <c r="Y3063" s="2" t="s">
        <v>3256</v>
      </c>
      <c r="Z3063" s="2" t="s">
        <v>97</v>
      </c>
      <c r="AA3063" s="2" t="s">
        <v>77</v>
      </c>
      <c r="AB3063" s="2" t="s">
        <v>94</v>
      </c>
      <c r="AE3063" s="2">
        <f t="shared" si="301"/>
        <v>0</v>
      </c>
      <c r="AI3063" s="2">
        <f t="shared" si="302"/>
        <v>0</v>
      </c>
      <c r="AJ3063" s="2">
        <f t="shared" si="305"/>
        <v>0</v>
      </c>
      <c r="AK3063" s="5">
        <f t="shared" si="306"/>
        <v>0</v>
      </c>
    </row>
    <row r="3064" spans="1:37" x14ac:dyDescent="0.2">
      <c r="A3064" s="2">
        <v>2026</v>
      </c>
      <c r="B3064" s="2">
        <v>1</v>
      </c>
      <c r="C3064" s="2" t="s">
        <v>553</v>
      </c>
      <c r="D3064" s="2" t="s">
        <v>109</v>
      </c>
      <c r="E3064" s="2" t="s">
        <v>397</v>
      </c>
      <c r="F3064" s="2">
        <v>503641790</v>
      </c>
      <c r="G3064" s="2" t="s">
        <v>40</v>
      </c>
      <c r="H3064" s="2" t="s">
        <v>554</v>
      </c>
      <c r="I3064" s="2" t="s">
        <v>555</v>
      </c>
      <c r="J3064" s="2">
        <v>917753665</v>
      </c>
      <c r="K3064" s="2" t="s">
        <v>100</v>
      </c>
      <c r="L3064" s="2" t="s">
        <v>81</v>
      </c>
      <c r="N3064" s="2" t="s">
        <v>2417</v>
      </c>
      <c r="O3064" s="2" t="s">
        <v>94</v>
      </c>
      <c r="P3064" s="2" t="s">
        <v>95</v>
      </c>
      <c r="Q3064" s="2" t="s">
        <v>96</v>
      </c>
      <c r="R3064" s="2">
        <v>1</v>
      </c>
      <c r="S3064" s="2">
        <v>1.48</v>
      </c>
      <c r="T3064" s="2">
        <v>0.34039999999999998</v>
      </c>
      <c r="U3064" s="2">
        <v>1.8204</v>
      </c>
      <c r="V3064" s="2">
        <v>1.48</v>
      </c>
      <c r="W3064" s="5">
        <f t="shared" si="304"/>
        <v>0</v>
      </c>
      <c r="Y3064" s="2" t="s">
        <v>3256</v>
      </c>
      <c r="Z3064" s="2" t="s">
        <v>97</v>
      </c>
      <c r="AA3064" s="2" t="s">
        <v>77</v>
      </c>
      <c r="AB3064" s="2" t="s">
        <v>94</v>
      </c>
      <c r="AE3064" s="2">
        <f t="shared" si="301"/>
        <v>0</v>
      </c>
      <c r="AF3064" s="2">
        <v>1.48</v>
      </c>
      <c r="AG3064" s="2">
        <v>1.48</v>
      </c>
      <c r="AI3064" s="2">
        <f t="shared" si="302"/>
        <v>0</v>
      </c>
      <c r="AJ3064" s="2">
        <f t="shared" si="305"/>
        <v>0</v>
      </c>
      <c r="AK3064" s="5">
        <f t="shared" si="306"/>
        <v>0</v>
      </c>
    </row>
    <row r="3065" spans="1:37" x14ac:dyDescent="0.2">
      <c r="A3065" s="2">
        <v>2026</v>
      </c>
      <c r="B3065" s="2">
        <v>1</v>
      </c>
      <c r="C3065" s="2" t="s">
        <v>901</v>
      </c>
      <c r="O3065" s="2" t="s">
        <v>94</v>
      </c>
      <c r="P3065" s="2" t="s">
        <v>95</v>
      </c>
      <c r="Q3065" s="2" t="s">
        <v>96</v>
      </c>
      <c r="R3065" s="2">
        <v>1</v>
      </c>
      <c r="S3065" s="2">
        <v>1.48</v>
      </c>
      <c r="T3065" s="2">
        <v>0.34039999999999998</v>
      </c>
      <c r="U3065" s="2">
        <v>1.8204</v>
      </c>
      <c r="V3065" s="2">
        <v>1.48</v>
      </c>
      <c r="W3065" s="5">
        <f t="shared" si="304"/>
        <v>0</v>
      </c>
      <c r="Y3065" s="2" t="s">
        <v>3256</v>
      </c>
      <c r="Z3065" s="2" t="s">
        <v>97</v>
      </c>
      <c r="AA3065" s="2" t="s">
        <v>77</v>
      </c>
      <c r="AB3065" s="2" t="s">
        <v>94</v>
      </c>
      <c r="AE3065" s="2">
        <f t="shared" si="301"/>
        <v>0</v>
      </c>
      <c r="AI3065" s="2">
        <f t="shared" si="302"/>
        <v>0</v>
      </c>
      <c r="AJ3065" s="2">
        <f t="shared" si="305"/>
        <v>0</v>
      </c>
      <c r="AK3065" s="5">
        <f t="shared" si="306"/>
        <v>0</v>
      </c>
    </row>
    <row r="3066" spans="1:37" x14ac:dyDescent="0.2">
      <c r="A3066" s="2">
        <v>2026</v>
      </c>
      <c r="B3066" s="2">
        <v>1</v>
      </c>
      <c r="C3066" s="2" t="s">
        <v>2418</v>
      </c>
      <c r="O3066" s="2" t="s">
        <v>94</v>
      </c>
      <c r="P3066" s="2" t="s">
        <v>95</v>
      </c>
      <c r="Q3066" s="2" t="s">
        <v>96</v>
      </c>
      <c r="R3066" s="2">
        <v>1</v>
      </c>
      <c r="S3066" s="2">
        <v>1.48</v>
      </c>
      <c r="T3066" s="2">
        <v>0.34039999999999998</v>
      </c>
      <c r="U3066" s="2">
        <v>1.8204</v>
      </c>
      <c r="V3066" s="2">
        <v>1.48</v>
      </c>
      <c r="W3066" s="5">
        <f t="shared" si="304"/>
        <v>0</v>
      </c>
      <c r="Y3066" s="2" t="s">
        <v>3256</v>
      </c>
      <c r="Z3066" s="2" t="s">
        <v>97</v>
      </c>
      <c r="AA3066" s="2" t="s">
        <v>77</v>
      </c>
      <c r="AB3066" s="2" t="s">
        <v>94</v>
      </c>
      <c r="AE3066" s="2">
        <f t="shared" si="301"/>
        <v>0</v>
      </c>
      <c r="AI3066" s="2">
        <f t="shared" si="302"/>
        <v>0</v>
      </c>
      <c r="AJ3066" s="2">
        <f t="shared" si="305"/>
        <v>0</v>
      </c>
      <c r="AK3066" s="5">
        <f t="shared" si="306"/>
        <v>0</v>
      </c>
    </row>
    <row r="3067" spans="1:37" x14ac:dyDescent="0.2">
      <c r="A3067" s="2">
        <v>2026</v>
      </c>
      <c r="B3067" s="2">
        <v>1</v>
      </c>
      <c r="C3067" s="2" t="s">
        <v>1961</v>
      </c>
      <c r="O3067" s="2" t="s">
        <v>94</v>
      </c>
      <c r="P3067" s="2" t="s">
        <v>95</v>
      </c>
      <c r="Q3067" s="2" t="s">
        <v>96</v>
      </c>
      <c r="R3067" s="2">
        <v>1</v>
      </c>
      <c r="S3067" s="2">
        <v>1.48</v>
      </c>
      <c r="T3067" s="2">
        <v>0.34039999999999998</v>
      </c>
      <c r="U3067" s="2">
        <v>1.8204</v>
      </c>
      <c r="V3067" s="2">
        <v>1.48</v>
      </c>
      <c r="W3067" s="5">
        <f t="shared" si="304"/>
        <v>0</v>
      </c>
      <c r="Y3067" s="2" t="s">
        <v>3256</v>
      </c>
      <c r="Z3067" s="2" t="s">
        <v>97</v>
      </c>
      <c r="AA3067" s="2" t="s">
        <v>77</v>
      </c>
      <c r="AB3067" s="2" t="s">
        <v>94</v>
      </c>
      <c r="AE3067" s="2">
        <f t="shared" si="301"/>
        <v>0</v>
      </c>
      <c r="AI3067" s="2">
        <f t="shared" si="302"/>
        <v>0</v>
      </c>
      <c r="AJ3067" s="2">
        <f t="shared" si="305"/>
        <v>0</v>
      </c>
      <c r="AK3067" s="5">
        <f t="shared" si="306"/>
        <v>0</v>
      </c>
    </row>
    <row r="3068" spans="1:37" x14ac:dyDescent="0.2">
      <c r="A3068" s="2">
        <v>2026</v>
      </c>
      <c r="B3068" s="2">
        <v>1</v>
      </c>
      <c r="C3068" s="2" t="s">
        <v>587</v>
      </c>
      <c r="D3068" s="2" t="s">
        <v>109</v>
      </c>
      <c r="F3068" s="2">
        <v>503850276</v>
      </c>
      <c r="G3068" s="2" t="s">
        <v>40</v>
      </c>
      <c r="H3068" s="2" t="s">
        <v>588</v>
      </c>
      <c r="I3068" s="2" t="s">
        <v>589</v>
      </c>
      <c r="K3068" s="2" t="s">
        <v>202</v>
      </c>
      <c r="L3068" s="2" t="s">
        <v>81</v>
      </c>
      <c r="O3068" s="2" t="s">
        <v>94</v>
      </c>
      <c r="P3068" s="2" t="s">
        <v>95</v>
      </c>
      <c r="Q3068" s="2" t="s">
        <v>96</v>
      </c>
      <c r="R3068" s="2">
        <v>1</v>
      </c>
      <c r="S3068" s="2">
        <v>1.48</v>
      </c>
      <c r="T3068" s="2">
        <v>0.34039999999999998</v>
      </c>
      <c r="U3068" s="2">
        <v>1.8204</v>
      </c>
      <c r="V3068" s="2">
        <v>1.48</v>
      </c>
      <c r="W3068" s="5">
        <f t="shared" si="304"/>
        <v>0</v>
      </c>
      <c r="Y3068" s="2" t="s">
        <v>3256</v>
      </c>
      <c r="Z3068" s="2" t="s">
        <v>97</v>
      </c>
      <c r="AA3068" s="2" t="s">
        <v>77</v>
      </c>
      <c r="AB3068" s="2" t="s">
        <v>94</v>
      </c>
      <c r="AE3068" s="2">
        <f t="shared" si="301"/>
        <v>0</v>
      </c>
      <c r="AI3068" s="2">
        <f t="shared" si="302"/>
        <v>0</v>
      </c>
      <c r="AJ3068" s="2">
        <f t="shared" si="305"/>
        <v>0</v>
      </c>
      <c r="AK3068" s="5">
        <f t="shared" si="306"/>
        <v>0</v>
      </c>
    </row>
    <row r="3069" spans="1:37" x14ac:dyDescent="0.2">
      <c r="A3069" s="2">
        <v>2026</v>
      </c>
      <c r="B3069" s="2">
        <v>1</v>
      </c>
      <c r="C3069" s="2" t="s">
        <v>611</v>
      </c>
      <c r="D3069" s="2" t="s">
        <v>109</v>
      </c>
      <c r="E3069" s="2" t="s">
        <v>39</v>
      </c>
      <c r="F3069" s="2">
        <v>504822187</v>
      </c>
      <c r="G3069" s="2" t="s">
        <v>110</v>
      </c>
      <c r="H3069" s="2" t="s">
        <v>612</v>
      </c>
      <c r="I3069" s="2" t="s">
        <v>613</v>
      </c>
      <c r="J3069" s="2">
        <v>966216853</v>
      </c>
      <c r="K3069" s="2" t="s">
        <v>465</v>
      </c>
      <c r="O3069" s="2" t="s">
        <v>94</v>
      </c>
      <c r="P3069" s="2" t="s">
        <v>95</v>
      </c>
      <c r="Q3069" s="2" t="s">
        <v>96</v>
      </c>
      <c r="R3069" s="2">
        <v>1</v>
      </c>
      <c r="S3069" s="2">
        <v>1.48</v>
      </c>
      <c r="T3069" s="2">
        <v>0.34039999999999998</v>
      </c>
      <c r="U3069" s="2">
        <v>1.8204</v>
      </c>
      <c r="V3069" s="2">
        <v>1.48</v>
      </c>
      <c r="W3069" s="5">
        <f t="shared" si="304"/>
        <v>0</v>
      </c>
      <c r="Y3069" s="2" t="s">
        <v>3256</v>
      </c>
      <c r="Z3069" s="2" t="s">
        <v>97</v>
      </c>
      <c r="AA3069" s="2" t="s">
        <v>77</v>
      </c>
      <c r="AB3069" s="2" t="s">
        <v>94</v>
      </c>
      <c r="AE3069" s="2">
        <f t="shared" si="301"/>
        <v>0</v>
      </c>
      <c r="AI3069" s="2">
        <f t="shared" si="302"/>
        <v>0</v>
      </c>
      <c r="AJ3069" s="2">
        <f t="shared" ref="AJ3069:AJ3084" si="307">S3069-V3069</f>
        <v>0</v>
      </c>
      <c r="AK3069" s="5">
        <f t="shared" ref="AK3069:AK3084" si="308">(S3069-V3069)/S3069</f>
        <v>0</v>
      </c>
    </row>
    <row r="3070" spans="1:37" x14ac:dyDescent="0.2">
      <c r="A3070" s="2">
        <v>2026</v>
      </c>
      <c r="B3070" s="2">
        <v>1</v>
      </c>
      <c r="C3070" s="2" t="s">
        <v>1305</v>
      </c>
      <c r="D3070" s="2" t="s">
        <v>184</v>
      </c>
      <c r="E3070" s="2" t="s">
        <v>368</v>
      </c>
      <c r="F3070" s="2">
        <v>500625654</v>
      </c>
      <c r="G3070" s="2" t="s">
        <v>291</v>
      </c>
      <c r="H3070" s="2" t="s">
        <v>340</v>
      </c>
      <c r="I3070" s="2" t="s">
        <v>1306</v>
      </c>
      <c r="K3070" s="2" t="s">
        <v>340</v>
      </c>
      <c r="L3070" s="2" t="s">
        <v>81</v>
      </c>
      <c r="N3070" s="2" t="s">
        <v>2441</v>
      </c>
      <c r="O3070" s="2" t="s">
        <v>94</v>
      </c>
      <c r="P3070" s="2" t="s">
        <v>95</v>
      </c>
      <c r="Q3070" s="2" t="s">
        <v>96</v>
      </c>
      <c r="R3070" s="2">
        <v>1</v>
      </c>
      <c r="S3070" s="2">
        <v>1.48</v>
      </c>
      <c r="T3070" s="2">
        <v>0.34039999999999998</v>
      </c>
      <c r="U3070" s="2">
        <v>1.8204</v>
      </c>
      <c r="V3070" s="2">
        <v>1.48</v>
      </c>
      <c r="W3070" s="5">
        <f t="shared" si="304"/>
        <v>0</v>
      </c>
      <c r="Y3070" s="2" t="s">
        <v>3256</v>
      </c>
      <c r="Z3070" s="2" t="s">
        <v>97</v>
      </c>
      <c r="AA3070" s="2" t="s">
        <v>77</v>
      </c>
      <c r="AB3070" s="2" t="s">
        <v>94</v>
      </c>
      <c r="AE3070" s="2">
        <f t="shared" si="301"/>
        <v>0</v>
      </c>
      <c r="AF3070" s="2">
        <v>1.48</v>
      </c>
      <c r="AG3070" s="2">
        <v>1.48</v>
      </c>
      <c r="AI3070" s="2">
        <f t="shared" si="302"/>
        <v>0</v>
      </c>
      <c r="AJ3070" s="2">
        <f t="shared" si="307"/>
        <v>0</v>
      </c>
      <c r="AK3070" s="5">
        <f t="shared" si="308"/>
        <v>0</v>
      </c>
    </row>
    <row r="3071" spans="1:37" x14ac:dyDescent="0.2">
      <c r="A3071" s="2">
        <v>2026</v>
      </c>
      <c r="B3071" s="2">
        <v>1</v>
      </c>
      <c r="C3071" s="2" t="s">
        <v>639</v>
      </c>
      <c r="O3071" s="2" t="s">
        <v>94</v>
      </c>
      <c r="P3071" s="2" t="s">
        <v>95</v>
      </c>
      <c r="Q3071" s="2" t="s">
        <v>96</v>
      </c>
      <c r="R3071" s="2">
        <v>1</v>
      </c>
      <c r="S3071" s="2">
        <v>1.48</v>
      </c>
      <c r="T3071" s="2">
        <v>0.34039999999999998</v>
      </c>
      <c r="U3071" s="2">
        <v>1.8204</v>
      </c>
      <c r="V3071" s="2">
        <v>1.48</v>
      </c>
      <c r="W3071" s="5">
        <f t="shared" si="304"/>
        <v>0</v>
      </c>
      <c r="Y3071" s="2" t="s">
        <v>3256</v>
      </c>
      <c r="Z3071" s="2" t="s">
        <v>97</v>
      </c>
      <c r="AA3071" s="2" t="s">
        <v>77</v>
      </c>
      <c r="AB3071" s="2" t="s">
        <v>94</v>
      </c>
      <c r="AE3071" s="2">
        <f t="shared" si="301"/>
        <v>0</v>
      </c>
      <c r="AI3071" s="2">
        <f t="shared" si="302"/>
        <v>0</v>
      </c>
      <c r="AJ3071" s="2">
        <f t="shared" si="307"/>
        <v>0</v>
      </c>
      <c r="AK3071" s="5">
        <f t="shared" si="308"/>
        <v>0</v>
      </c>
    </row>
    <row r="3072" spans="1:37" x14ac:dyDescent="0.2">
      <c r="A3072" s="2">
        <v>2026</v>
      </c>
      <c r="B3072" s="2">
        <v>1</v>
      </c>
      <c r="C3072" s="2" t="s">
        <v>2419</v>
      </c>
      <c r="O3072" s="2" t="s">
        <v>94</v>
      </c>
      <c r="P3072" s="2" t="s">
        <v>95</v>
      </c>
      <c r="Q3072" s="2" t="s">
        <v>96</v>
      </c>
      <c r="R3072" s="2">
        <v>1</v>
      </c>
      <c r="S3072" s="2">
        <v>1.48</v>
      </c>
      <c r="T3072" s="2">
        <v>0.34039999999999998</v>
      </c>
      <c r="U3072" s="2">
        <v>1.8204</v>
      </c>
      <c r="V3072" s="2">
        <v>1.48</v>
      </c>
      <c r="W3072" s="5">
        <f t="shared" si="304"/>
        <v>0</v>
      </c>
      <c r="Y3072" s="2" t="s">
        <v>3256</v>
      </c>
      <c r="Z3072" s="2" t="s">
        <v>97</v>
      </c>
      <c r="AA3072" s="2" t="s">
        <v>77</v>
      </c>
      <c r="AB3072" s="2" t="s">
        <v>94</v>
      </c>
      <c r="AE3072" s="2">
        <f t="shared" si="301"/>
        <v>0</v>
      </c>
      <c r="AI3072" s="2">
        <f t="shared" si="302"/>
        <v>0</v>
      </c>
      <c r="AJ3072" s="2">
        <f t="shared" si="307"/>
        <v>0</v>
      </c>
      <c r="AK3072" s="5">
        <f t="shared" si="308"/>
        <v>0</v>
      </c>
    </row>
    <row r="3073" spans="1:37" x14ac:dyDescent="0.2">
      <c r="A3073" s="2">
        <v>2026</v>
      </c>
      <c r="B3073" s="2">
        <v>1</v>
      </c>
      <c r="C3073" s="2" t="s">
        <v>683</v>
      </c>
      <c r="D3073" s="2" t="s">
        <v>109</v>
      </c>
      <c r="E3073" s="2" t="s">
        <v>39</v>
      </c>
      <c r="F3073" s="2">
        <v>505764636</v>
      </c>
      <c r="G3073" s="2" t="s">
        <v>291</v>
      </c>
      <c r="H3073" s="2" t="s">
        <v>684</v>
      </c>
      <c r="I3073" s="2" t="s">
        <v>685</v>
      </c>
      <c r="K3073" s="2" t="s">
        <v>340</v>
      </c>
      <c r="L3073" s="2" t="s">
        <v>81</v>
      </c>
      <c r="N3073" s="2" t="s">
        <v>2447</v>
      </c>
      <c r="O3073" s="2" t="s">
        <v>94</v>
      </c>
      <c r="P3073" s="2" t="s">
        <v>95</v>
      </c>
      <c r="Q3073" s="2" t="s">
        <v>96</v>
      </c>
      <c r="R3073" s="2">
        <v>1</v>
      </c>
      <c r="S3073" s="2">
        <v>1.48</v>
      </c>
      <c r="T3073" s="2">
        <v>0.34039999999999998</v>
      </c>
      <c r="U3073" s="2">
        <v>1.8204</v>
      </c>
      <c r="V3073" s="2">
        <v>1.48</v>
      </c>
      <c r="W3073" s="5">
        <f t="shared" si="304"/>
        <v>0</v>
      </c>
      <c r="Y3073" s="2" t="s">
        <v>3256</v>
      </c>
      <c r="Z3073" s="2" t="s">
        <v>97</v>
      </c>
      <c r="AA3073" s="2" t="s">
        <v>77</v>
      </c>
      <c r="AB3073" s="2" t="s">
        <v>94</v>
      </c>
      <c r="AE3073" s="2">
        <f t="shared" si="301"/>
        <v>0</v>
      </c>
      <c r="AI3073" s="2">
        <f t="shared" si="302"/>
        <v>0</v>
      </c>
      <c r="AJ3073" s="2">
        <f t="shared" si="307"/>
        <v>0</v>
      </c>
      <c r="AK3073" s="5">
        <f t="shared" si="308"/>
        <v>0</v>
      </c>
    </row>
    <row r="3074" spans="1:37" x14ac:dyDescent="0.2">
      <c r="A3074" s="2">
        <v>2026</v>
      </c>
      <c r="B3074" s="2">
        <v>1</v>
      </c>
      <c r="C3074" s="2" t="s">
        <v>1903</v>
      </c>
      <c r="L3074" s="2" t="s">
        <v>40</v>
      </c>
      <c r="O3074" s="2" t="s">
        <v>115</v>
      </c>
      <c r="P3074" s="2" t="s">
        <v>411</v>
      </c>
      <c r="Q3074" s="2" t="s">
        <v>412</v>
      </c>
      <c r="R3074" s="2">
        <v>-1</v>
      </c>
      <c r="S3074" s="2">
        <v>0</v>
      </c>
      <c r="T3074" s="2">
        <v>0</v>
      </c>
      <c r="U3074" s="2">
        <v>0</v>
      </c>
      <c r="W3074" s="5">
        <v>0</v>
      </c>
      <c r="Y3074" s="2" t="s">
        <v>118</v>
      </c>
      <c r="Z3074" s="2" t="s">
        <v>318</v>
      </c>
      <c r="AE3074" s="2">
        <f t="shared" si="301"/>
        <v>0</v>
      </c>
      <c r="AI3074" s="2">
        <f t="shared" si="302"/>
        <v>0</v>
      </c>
      <c r="AJ3074" s="2">
        <f t="shared" si="307"/>
        <v>0</v>
      </c>
      <c r="AK3074" s="5" t="e">
        <f t="shared" si="308"/>
        <v>#DIV/0!</v>
      </c>
    </row>
    <row r="3075" spans="1:37" x14ac:dyDescent="0.2">
      <c r="A3075" s="2">
        <v>2026</v>
      </c>
      <c r="B3075" s="2">
        <v>1</v>
      </c>
      <c r="C3075" s="2" t="s">
        <v>1018</v>
      </c>
      <c r="D3075" s="2" t="s">
        <v>109</v>
      </c>
      <c r="E3075" s="2" t="s">
        <v>39</v>
      </c>
      <c r="F3075" s="2">
        <v>507063481</v>
      </c>
      <c r="G3075" s="2" t="s">
        <v>291</v>
      </c>
      <c r="H3075" s="2" t="s">
        <v>1019</v>
      </c>
      <c r="I3075" s="2" t="s">
        <v>1020</v>
      </c>
      <c r="K3075" s="2" t="s">
        <v>294</v>
      </c>
      <c r="L3075" s="2" t="s">
        <v>40</v>
      </c>
      <c r="O3075" s="2" t="s">
        <v>115</v>
      </c>
      <c r="P3075" s="2" t="s">
        <v>411</v>
      </c>
      <c r="Q3075" s="2" t="s">
        <v>412</v>
      </c>
      <c r="R3075" s="2">
        <v>1</v>
      </c>
      <c r="S3075" s="2">
        <v>0</v>
      </c>
      <c r="T3075" s="2">
        <v>0</v>
      </c>
      <c r="U3075" s="2">
        <v>0</v>
      </c>
      <c r="W3075" s="5">
        <v>0</v>
      </c>
      <c r="Y3075" s="2" t="s">
        <v>118</v>
      </c>
      <c r="Z3075" s="2" t="s">
        <v>318</v>
      </c>
      <c r="AE3075" s="2">
        <f t="shared" ref="AE3075:AE3138" si="309">AI3075</f>
        <v>0</v>
      </c>
      <c r="AI3075" s="2">
        <f t="shared" ref="AI3075:AI3138" si="310">AH3075*S3075</f>
        <v>0</v>
      </c>
      <c r="AJ3075" s="2">
        <f t="shared" si="307"/>
        <v>0</v>
      </c>
      <c r="AK3075" s="5" t="e">
        <f t="shared" si="308"/>
        <v>#DIV/0!</v>
      </c>
    </row>
    <row r="3076" spans="1:37" x14ac:dyDescent="0.2">
      <c r="A3076" s="2">
        <v>2026</v>
      </c>
      <c r="B3076" s="2">
        <v>1</v>
      </c>
      <c r="C3076" s="2" t="s">
        <v>2355</v>
      </c>
      <c r="O3076" s="2" t="s">
        <v>40</v>
      </c>
      <c r="P3076" s="2" t="s">
        <v>364</v>
      </c>
      <c r="Q3076" s="2" t="s">
        <v>365</v>
      </c>
      <c r="R3076" s="2">
        <v>1</v>
      </c>
      <c r="S3076" s="2">
        <v>2.4500000000000002</v>
      </c>
      <c r="T3076" s="2">
        <v>0.56350000000000011</v>
      </c>
      <c r="U3076" s="2">
        <v>3.013500000000001</v>
      </c>
      <c r="W3076" s="5">
        <f t="shared" ref="W3076:W3084" si="311">(S3076-V3076)/S3076</f>
        <v>1</v>
      </c>
      <c r="Y3076" s="2" t="s">
        <v>120</v>
      </c>
      <c r="AE3076" s="2">
        <f t="shared" si="309"/>
        <v>0</v>
      </c>
      <c r="AI3076" s="2">
        <f t="shared" si="310"/>
        <v>0</v>
      </c>
      <c r="AJ3076" s="2">
        <f t="shared" si="307"/>
        <v>2.4500000000000002</v>
      </c>
      <c r="AK3076" s="5">
        <f t="shared" si="308"/>
        <v>1</v>
      </c>
    </row>
    <row r="3077" spans="1:37" x14ac:dyDescent="0.2">
      <c r="A3077" s="2">
        <v>2026</v>
      </c>
      <c r="B3077" s="2">
        <v>1</v>
      </c>
      <c r="C3077" s="2" t="s">
        <v>781</v>
      </c>
      <c r="D3077" s="2" t="s">
        <v>38</v>
      </c>
      <c r="E3077" s="2" t="s">
        <v>39</v>
      </c>
      <c r="F3077" s="2">
        <v>507324560</v>
      </c>
      <c r="G3077" s="2" t="s">
        <v>40</v>
      </c>
      <c r="H3077" s="2" t="s">
        <v>782</v>
      </c>
      <c r="I3077" s="2" t="s">
        <v>783</v>
      </c>
      <c r="K3077" s="2" t="s">
        <v>340</v>
      </c>
      <c r="L3077" s="2" t="s">
        <v>40</v>
      </c>
      <c r="N3077" s="2" t="s">
        <v>2326</v>
      </c>
      <c r="O3077" s="2" t="s">
        <v>40</v>
      </c>
      <c r="P3077" s="2" t="s">
        <v>364</v>
      </c>
      <c r="Q3077" s="2" t="s">
        <v>365</v>
      </c>
      <c r="R3077" s="2">
        <v>1</v>
      </c>
      <c r="S3077" s="2">
        <v>2296.8000000000002</v>
      </c>
      <c r="T3077" s="2">
        <v>528.26400000000001</v>
      </c>
      <c r="U3077" s="2">
        <v>2825.0639999999999</v>
      </c>
      <c r="W3077" s="5">
        <f t="shared" si="311"/>
        <v>1</v>
      </c>
      <c r="Y3077" s="2" t="s">
        <v>118</v>
      </c>
      <c r="Z3077" s="2" t="s">
        <v>119</v>
      </c>
      <c r="AE3077" s="2">
        <f t="shared" si="309"/>
        <v>0</v>
      </c>
      <c r="AI3077" s="2">
        <f t="shared" si="310"/>
        <v>0</v>
      </c>
      <c r="AJ3077" s="2">
        <f t="shared" si="307"/>
        <v>2296.8000000000002</v>
      </c>
      <c r="AK3077" s="5">
        <f t="shared" si="308"/>
        <v>1</v>
      </c>
    </row>
    <row r="3078" spans="1:37" x14ac:dyDescent="0.2">
      <c r="A3078" s="2">
        <v>2026</v>
      </c>
      <c r="B3078" s="2">
        <v>1</v>
      </c>
      <c r="C3078" s="2" t="s">
        <v>504</v>
      </c>
      <c r="D3078" s="2" t="s">
        <v>38</v>
      </c>
      <c r="E3078" s="2" t="s">
        <v>39</v>
      </c>
      <c r="F3078" s="2">
        <v>513244468</v>
      </c>
      <c r="G3078" s="2" t="s">
        <v>41</v>
      </c>
      <c r="H3078" s="2" t="s">
        <v>505</v>
      </c>
      <c r="I3078" s="2" t="s">
        <v>506</v>
      </c>
      <c r="J3078" s="2">
        <v>918010109</v>
      </c>
      <c r="K3078" s="2" t="s">
        <v>100</v>
      </c>
      <c r="N3078" s="2" t="s">
        <v>2480</v>
      </c>
      <c r="O3078" s="2" t="s">
        <v>40</v>
      </c>
      <c r="P3078" s="2" t="s">
        <v>364</v>
      </c>
      <c r="Q3078" s="2" t="s">
        <v>365</v>
      </c>
      <c r="R3078" s="2">
        <v>11</v>
      </c>
      <c r="S3078" s="2">
        <v>267.8</v>
      </c>
      <c r="T3078" s="2">
        <v>61.594000000000008</v>
      </c>
      <c r="U3078" s="2">
        <v>329.39400000000001</v>
      </c>
      <c r="W3078" s="5">
        <f t="shared" si="311"/>
        <v>1</v>
      </c>
      <c r="Y3078" s="2" t="s">
        <v>3256</v>
      </c>
      <c r="Z3078" s="2" t="s">
        <v>120</v>
      </c>
      <c r="AE3078" s="2">
        <f t="shared" si="309"/>
        <v>0</v>
      </c>
      <c r="AI3078" s="2">
        <f t="shared" si="310"/>
        <v>0</v>
      </c>
      <c r="AJ3078" s="2">
        <f t="shared" si="307"/>
        <v>267.8</v>
      </c>
      <c r="AK3078" s="5">
        <f t="shared" si="308"/>
        <v>1</v>
      </c>
    </row>
    <row r="3079" spans="1:37" x14ac:dyDescent="0.2">
      <c r="A3079" s="2">
        <v>2026</v>
      </c>
      <c r="B3079" s="2">
        <v>1</v>
      </c>
      <c r="C3079" s="2" t="s">
        <v>623</v>
      </c>
      <c r="D3079" s="2" t="s">
        <v>38</v>
      </c>
      <c r="E3079" s="2" t="s">
        <v>39</v>
      </c>
      <c r="F3079" s="2">
        <v>513759654</v>
      </c>
      <c r="G3079" s="2" t="s">
        <v>41</v>
      </c>
      <c r="H3079" s="2" t="s">
        <v>624</v>
      </c>
      <c r="I3079" s="2" t="s">
        <v>625</v>
      </c>
      <c r="K3079" s="2" t="s">
        <v>422</v>
      </c>
      <c r="L3079" s="2" t="s">
        <v>40</v>
      </c>
      <c r="N3079" s="2" t="s">
        <v>2481</v>
      </c>
      <c r="O3079" s="2" t="s">
        <v>115</v>
      </c>
      <c r="P3079" s="2" t="s">
        <v>2247</v>
      </c>
      <c r="Q3079" s="2" t="s">
        <v>2248</v>
      </c>
      <c r="R3079" s="2">
        <v>1</v>
      </c>
      <c r="S3079" s="2">
        <v>11.25</v>
      </c>
      <c r="T3079" s="2">
        <v>2.5874999999999999</v>
      </c>
      <c r="U3079" s="2">
        <v>13.8375</v>
      </c>
      <c r="V3079" s="2">
        <v>5.35</v>
      </c>
      <c r="W3079" s="5">
        <f t="shared" si="311"/>
        <v>0.52444444444444449</v>
      </c>
      <c r="Y3079" s="2" t="s">
        <v>118</v>
      </c>
      <c r="Z3079" s="2" t="s">
        <v>119</v>
      </c>
      <c r="AA3079" s="2" t="s">
        <v>120</v>
      </c>
      <c r="AB3079" s="2" t="s">
        <v>115</v>
      </c>
      <c r="AE3079" s="2">
        <f t="shared" si="309"/>
        <v>0</v>
      </c>
      <c r="AF3079" s="2">
        <v>5.35</v>
      </c>
      <c r="AI3079" s="2">
        <f t="shared" si="310"/>
        <v>0</v>
      </c>
      <c r="AJ3079" s="2">
        <f t="shared" si="307"/>
        <v>5.9</v>
      </c>
      <c r="AK3079" s="5">
        <f t="shared" si="308"/>
        <v>0.52444444444444449</v>
      </c>
    </row>
    <row r="3080" spans="1:37" x14ac:dyDescent="0.2">
      <c r="A3080" s="2">
        <v>2026</v>
      </c>
      <c r="B3080" s="2">
        <v>2</v>
      </c>
      <c r="C3080" s="2" t="s">
        <v>2473</v>
      </c>
      <c r="D3080" s="2" t="s">
        <v>109</v>
      </c>
      <c r="E3080" s="2" t="s">
        <v>39</v>
      </c>
      <c r="F3080" s="2">
        <v>513015213</v>
      </c>
      <c r="G3080" s="2" t="s">
        <v>110</v>
      </c>
      <c r="H3080" s="2" t="s">
        <v>2474</v>
      </c>
      <c r="I3080" s="2" t="s">
        <v>2475</v>
      </c>
      <c r="J3080" s="2">
        <v>967554174</v>
      </c>
      <c r="K3080" s="2" t="s">
        <v>134</v>
      </c>
      <c r="L3080" s="2" t="s">
        <v>40</v>
      </c>
      <c r="N3080" s="2" t="s">
        <v>2476</v>
      </c>
      <c r="O3080" s="2" t="s">
        <v>115</v>
      </c>
      <c r="P3080" s="2" t="s">
        <v>2319</v>
      </c>
      <c r="Q3080" s="2" t="s">
        <v>2320</v>
      </c>
      <c r="R3080" s="2">
        <v>1</v>
      </c>
      <c r="S3080" s="2">
        <v>282.11</v>
      </c>
      <c r="T3080" s="2">
        <v>64.885300000000001</v>
      </c>
      <c r="U3080" s="2">
        <v>346.99529999999999</v>
      </c>
      <c r="V3080" s="2">
        <v>136.38999999999999</v>
      </c>
      <c r="W3080" s="5">
        <f t="shared" si="311"/>
        <v>0.51653610293857011</v>
      </c>
      <c r="Y3080" s="2" t="s">
        <v>118</v>
      </c>
      <c r="Z3080" s="2" t="s">
        <v>119</v>
      </c>
      <c r="AA3080" s="2" t="s">
        <v>120</v>
      </c>
      <c r="AB3080" s="2" t="s">
        <v>115</v>
      </c>
      <c r="AE3080" s="2">
        <f t="shared" si="309"/>
        <v>0</v>
      </c>
      <c r="AF3080" s="2">
        <v>136.38999999999999</v>
      </c>
      <c r="AI3080" s="2">
        <f t="shared" si="310"/>
        <v>0</v>
      </c>
      <c r="AJ3080" s="2">
        <f t="shared" si="307"/>
        <v>145.72000000000003</v>
      </c>
      <c r="AK3080" s="5">
        <f t="shared" si="308"/>
        <v>0.51653610293857011</v>
      </c>
    </row>
    <row r="3081" spans="1:37" x14ac:dyDescent="0.2">
      <c r="A3081" s="2">
        <v>2026</v>
      </c>
      <c r="B3081" s="2">
        <v>1</v>
      </c>
      <c r="C3081" s="2" t="s">
        <v>787</v>
      </c>
      <c r="D3081" s="2" t="s">
        <v>38</v>
      </c>
      <c r="E3081" s="2" t="s">
        <v>39</v>
      </c>
      <c r="F3081" s="2">
        <v>510219675</v>
      </c>
      <c r="G3081" s="2" t="s">
        <v>40</v>
      </c>
      <c r="H3081" s="2" t="s">
        <v>788</v>
      </c>
      <c r="I3081" s="2" t="s">
        <v>789</v>
      </c>
      <c r="J3081" s="2">
        <v>917341136</v>
      </c>
      <c r="K3081" s="2" t="s">
        <v>100</v>
      </c>
      <c r="L3081" s="2" t="s">
        <v>40</v>
      </c>
      <c r="N3081" s="2" t="s">
        <v>2482</v>
      </c>
      <c r="O3081" s="2" t="s">
        <v>115</v>
      </c>
      <c r="P3081" s="2" t="s">
        <v>2238</v>
      </c>
      <c r="Q3081" s="2" t="s">
        <v>1441</v>
      </c>
      <c r="R3081" s="2">
        <v>1</v>
      </c>
      <c r="S3081" s="2">
        <v>39.049999999999997</v>
      </c>
      <c r="T3081" s="2">
        <v>8.9815000000000005</v>
      </c>
      <c r="U3081" s="2">
        <v>48.031499999999987</v>
      </c>
      <c r="V3081" s="2">
        <v>17.9434</v>
      </c>
      <c r="W3081" s="5">
        <f t="shared" si="311"/>
        <v>0.54050192061459668</v>
      </c>
      <c r="Y3081" s="2" t="s">
        <v>118</v>
      </c>
      <c r="Z3081" s="2" t="s">
        <v>119</v>
      </c>
      <c r="AA3081" s="2" t="s">
        <v>120</v>
      </c>
      <c r="AB3081" s="2" t="s">
        <v>115</v>
      </c>
      <c r="AE3081" s="2">
        <f t="shared" si="309"/>
        <v>0</v>
      </c>
      <c r="AF3081" s="2">
        <v>17.9434</v>
      </c>
      <c r="AI3081" s="2">
        <f t="shared" si="310"/>
        <v>0</v>
      </c>
      <c r="AJ3081" s="2">
        <f t="shared" si="307"/>
        <v>21.106599999999997</v>
      </c>
      <c r="AK3081" s="5">
        <f t="shared" si="308"/>
        <v>0.54050192061459668</v>
      </c>
    </row>
    <row r="3082" spans="1:37" x14ac:dyDescent="0.2">
      <c r="A3082" s="2">
        <v>2026</v>
      </c>
      <c r="B3082" s="2">
        <v>2</v>
      </c>
      <c r="C3082" s="2" t="s">
        <v>2473</v>
      </c>
      <c r="D3082" s="2" t="s">
        <v>109</v>
      </c>
      <c r="E3082" s="2" t="s">
        <v>39</v>
      </c>
      <c r="F3082" s="2">
        <v>513015213</v>
      </c>
      <c r="G3082" s="2" t="s">
        <v>110</v>
      </c>
      <c r="H3082" s="2" t="s">
        <v>2474</v>
      </c>
      <c r="I3082" s="2" t="s">
        <v>2475</v>
      </c>
      <c r="J3082" s="2">
        <v>967554174</v>
      </c>
      <c r="K3082" s="2" t="s">
        <v>134</v>
      </c>
      <c r="L3082" s="2" t="s">
        <v>40</v>
      </c>
      <c r="N3082" s="2" t="s">
        <v>2476</v>
      </c>
      <c r="O3082" s="2" t="s">
        <v>115</v>
      </c>
      <c r="P3082" s="2" t="s">
        <v>2483</v>
      </c>
      <c r="Q3082" s="2" t="s">
        <v>2484</v>
      </c>
      <c r="R3082" s="2">
        <v>1</v>
      </c>
      <c r="S3082" s="2">
        <v>51.61</v>
      </c>
      <c r="T3082" s="2">
        <v>11.8703</v>
      </c>
      <c r="U3082" s="2">
        <v>63.4803</v>
      </c>
      <c r="V3082" s="2">
        <v>25.157499999999999</v>
      </c>
      <c r="W3082" s="5">
        <f t="shared" si="311"/>
        <v>0.51254601821352452</v>
      </c>
      <c r="Y3082" s="2" t="s">
        <v>118</v>
      </c>
      <c r="Z3082" s="2" t="s">
        <v>119</v>
      </c>
      <c r="AA3082" s="2" t="s">
        <v>120</v>
      </c>
      <c r="AB3082" s="2" t="s">
        <v>115</v>
      </c>
      <c r="AE3082" s="2">
        <f t="shared" si="309"/>
        <v>0</v>
      </c>
      <c r="AF3082" s="2">
        <v>25.157499999999999</v>
      </c>
      <c r="AI3082" s="2">
        <f t="shared" si="310"/>
        <v>0</v>
      </c>
      <c r="AJ3082" s="2">
        <f t="shared" si="307"/>
        <v>26.452500000000001</v>
      </c>
      <c r="AK3082" s="5">
        <f t="shared" si="308"/>
        <v>0.51254601821352452</v>
      </c>
    </row>
    <row r="3083" spans="1:37" x14ac:dyDescent="0.2">
      <c r="A3083" s="2">
        <v>2026</v>
      </c>
      <c r="B3083" s="2">
        <v>2</v>
      </c>
      <c r="C3083" s="2" t="s">
        <v>2473</v>
      </c>
      <c r="D3083" s="2" t="s">
        <v>109</v>
      </c>
      <c r="E3083" s="2" t="s">
        <v>39</v>
      </c>
      <c r="F3083" s="2">
        <v>513015213</v>
      </c>
      <c r="G3083" s="2" t="s">
        <v>110</v>
      </c>
      <c r="H3083" s="2" t="s">
        <v>2474</v>
      </c>
      <c r="I3083" s="2" t="s">
        <v>2475</v>
      </c>
      <c r="J3083" s="2">
        <v>967554174</v>
      </c>
      <c r="K3083" s="2" t="s">
        <v>134</v>
      </c>
      <c r="L3083" s="2" t="s">
        <v>40</v>
      </c>
      <c r="N3083" s="2" t="s">
        <v>2476</v>
      </c>
      <c r="O3083" s="2" t="s">
        <v>115</v>
      </c>
      <c r="P3083" s="2" t="s">
        <v>1384</v>
      </c>
      <c r="Q3083" s="2" t="s">
        <v>1385</v>
      </c>
      <c r="R3083" s="2">
        <v>2</v>
      </c>
      <c r="S3083" s="2">
        <v>117.49</v>
      </c>
      <c r="T3083" s="2">
        <v>27.0227</v>
      </c>
      <c r="U3083" s="2">
        <v>144.5127</v>
      </c>
      <c r="V3083" s="2">
        <f>27.86*R3083</f>
        <v>55.72</v>
      </c>
      <c r="W3083" s="5">
        <f t="shared" si="311"/>
        <v>0.52574687207421911</v>
      </c>
      <c r="Y3083" s="2" t="s">
        <v>118</v>
      </c>
      <c r="Z3083" s="2" t="s">
        <v>119</v>
      </c>
      <c r="AA3083" s="2" t="s">
        <v>120</v>
      </c>
      <c r="AB3083" s="2" t="s">
        <v>115</v>
      </c>
      <c r="AE3083" s="2">
        <f t="shared" si="309"/>
        <v>0</v>
      </c>
      <c r="AF3083" s="2">
        <v>27.86</v>
      </c>
      <c r="AI3083" s="2">
        <f t="shared" si="310"/>
        <v>0</v>
      </c>
      <c r="AJ3083" s="2">
        <f t="shared" si="307"/>
        <v>61.769999999999996</v>
      </c>
      <c r="AK3083" s="5">
        <f t="shared" si="308"/>
        <v>0.52574687207421911</v>
      </c>
    </row>
    <row r="3084" spans="1:37" x14ac:dyDescent="0.2">
      <c r="A3084" s="2">
        <v>2026</v>
      </c>
      <c r="B3084" s="2">
        <v>1</v>
      </c>
      <c r="C3084" s="2" t="s">
        <v>787</v>
      </c>
      <c r="D3084" s="2" t="s">
        <v>38</v>
      </c>
      <c r="E3084" s="2" t="s">
        <v>39</v>
      </c>
      <c r="F3084" s="2">
        <v>510219675</v>
      </c>
      <c r="G3084" s="2" t="s">
        <v>40</v>
      </c>
      <c r="H3084" s="2" t="s">
        <v>788</v>
      </c>
      <c r="I3084" s="2" t="s">
        <v>789</v>
      </c>
      <c r="J3084" s="2">
        <v>917341136</v>
      </c>
      <c r="K3084" s="2" t="s">
        <v>100</v>
      </c>
      <c r="L3084" s="2" t="s">
        <v>40</v>
      </c>
      <c r="N3084" s="2" t="s">
        <v>2485</v>
      </c>
      <c r="O3084" s="2" t="s">
        <v>115</v>
      </c>
      <c r="P3084" s="2" t="s">
        <v>2215</v>
      </c>
      <c r="Q3084" s="2" t="s">
        <v>2216</v>
      </c>
      <c r="R3084" s="2">
        <v>1</v>
      </c>
      <c r="S3084" s="2">
        <v>12.96</v>
      </c>
      <c r="T3084" s="2">
        <v>2.9807999999999999</v>
      </c>
      <c r="U3084" s="2">
        <v>15.940799999999999</v>
      </c>
      <c r="V3084" s="2">
        <v>7.2733999999999996</v>
      </c>
      <c r="W3084" s="5">
        <f t="shared" si="311"/>
        <v>0.43878086419753093</v>
      </c>
      <c r="Y3084" s="2" t="s">
        <v>118</v>
      </c>
      <c r="Z3084" s="2" t="s">
        <v>119</v>
      </c>
      <c r="AA3084" s="2" t="s">
        <v>120</v>
      </c>
      <c r="AB3084" s="2" t="s">
        <v>115</v>
      </c>
      <c r="AE3084" s="2">
        <f t="shared" si="309"/>
        <v>0</v>
      </c>
      <c r="AF3084" s="2">
        <v>7.2733999999999996</v>
      </c>
      <c r="AI3084" s="2">
        <f t="shared" si="310"/>
        <v>0</v>
      </c>
      <c r="AJ3084" s="2">
        <f t="shared" si="307"/>
        <v>5.6866000000000012</v>
      </c>
      <c r="AK3084" s="5">
        <f t="shared" si="308"/>
        <v>0.43878086419753093</v>
      </c>
    </row>
    <row r="3085" spans="1:37" x14ac:dyDescent="0.2">
      <c r="A3085" s="2">
        <v>2026</v>
      </c>
      <c r="B3085" s="2">
        <v>1</v>
      </c>
      <c r="C3085" s="2" t="s">
        <v>290</v>
      </c>
      <c r="D3085" s="2" t="s">
        <v>109</v>
      </c>
      <c r="E3085" s="2" t="s">
        <v>39</v>
      </c>
      <c r="F3085" s="2">
        <v>508428300</v>
      </c>
      <c r="G3085" s="2" t="s">
        <v>291</v>
      </c>
      <c r="H3085" s="2" t="s">
        <v>292</v>
      </c>
      <c r="I3085" s="2" t="s">
        <v>293</v>
      </c>
      <c r="J3085" s="2">
        <v>917165642</v>
      </c>
      <c r="K3085" s="2" t="s">
        <v>294</v>
      </c>
      <c r="L3085" s="2" t="s">
        <v>40</v>
      </c>
      <c r="N3085" s="2" t="s">
        <v>2465</v>
      </c>
      <c r="O3085" s="2" t="s">
        <v>115</v>
      </c>
      <c r="P3085" s="2" t="s">
        <v>1529</v>
      </c>
      <c r="Q3085" s="2" t="s">
        <v>1530</v>
      </c>
      <c r="R3085" s="2">
        <v>-1</v>
      </c>
      <c r="S3085" s="2">
        <v>-33.33</v>
      </c>
      <c r="T3085" s="2">
        <v>-7.6658999999999997</v>
      </c>
      <c r="U3085" s="2">
        <v>-40.995899999999999</v>
      </c>
      <c r="V3085" s="2">
        <f>11.2467</f>
        <v>11.246700000000001</v>
      </c>
      <c r="W3085" s="5">
        <f>SIGN(S3085)*((ABS(S3085)-V3085)/ABS(S3085))</f>
        <v>-0.66256525652565257</v>
      </c>
      <c r="Y3085" s="2" t="s">
        <v>118</v>
      </c>
      <c r="Z3085" s="2" t="s">
        <v>119</v>
      </c>
      <c r="AA3085" s="2" t="s">
        <v>120</v>
      </c>
      <c r="AB3085" s="2" t="s">
        <v>115</v>
      </c>
      <c r="AE3085" s="2">
        <f t="shared" si="309"/>
        <v>0</v>
      </c>
      <c r="AF3085" s="2">
        <v>11.246700000000001</v>
      </c>
      <c r="AI3085" s="2">
        <f t="shared" si="310"/>
        <v>0</v>
      </c>
      <c r="AJ3085" s="2">
        <f>S3085-(V3085)</f>
        <v>-44.576700000000002</v>
      </c>
      <c r="AK3085" s="5">
        <f>SIGN(S3085)*((ABS(S3085)-V3085)/ABS(S3085))</f>
        <v>-0.66256525652565257</v>
      </c>
    </row>
    <row r="3086" spans="1:37" x14ac:dyDescent="0.2">
      <c r="A3086" s="2">
        <v>2026</v>
      </c>
      <c r="B3086" s="2">
        <v>2</v>
      </c>
      <c r="C3086" s="2" t="s">
        <v>406</v>
      </c>
      <c r="D3086" s="2" t="s">
        <v>38</v>
      </c>
      <c r="E3086" s="2" t="s">
        <v>39</v>
      </c>
      <c r="F3086" s="2">
        <v>109095197</v>
      </c>
      <c r="G3086" s="2" t="s">
        <v>40</v>
      </c>
      <c r="H3086" s="2" t="s">
        <v>2498</v>
      </c>
      <c r="I3086" s="2" t="s">
        <v>3147</v>
      </c>
      <c r="J3086" s="2">
        <v>965864665</v>
      </c>
      <c r="K3086" s="2" t="s">
        <v>345</v>
      </c>
      <c r="L3086" s="2" t="s">
        <v>40</v>
      </c>
      <c r="N3086" s="2" t="s">
        <v>2499</v>
      </c>
      <c r="O3086" s="2" t="s">
        <v>115</v>
      </c>
      <c r="P3086" s="2" t="s">
        <v>1529</v>
      </c>
      <c r="Q3086" s="2" t="s">
        <v>1530</v>
      </c>
      <c r="R3086" s="2">
        <v>1</v>
      </c>
      <c r="S3086" s="2">
        <v>23.79</v>
      </c>
      <c r="T3086" s="2">
        <v>5.4717000000000002</v>
      </c>
      <c r="U3086" s="2">
        <v>29.261700000000001</v>
      </c>
      <c r="V3086" s="2">
        <v>11.246700000000001</v>
      </c>
      <c r="W3086" s="5">
        <f>(S3086-V3086)/S3086</f>
        <v>0.52725094577553588</v>
      </c>
      <c r="Y3086" s="2" t="s">
        <v>118</v>
      </c>
      <c r="Z3086" s="2" t="s">
        <v>119</v>
      </c>
      <c r="AA3086" s="2" t="s">
        <v>120</v>
      </c>
      <c r="AB3086" s="2" t="s">
        <v>115</v>
      </c>
      <c r="AE3086" s="2">
        <f t="shared" si="309"/>
        <v>0</v>
      </c>
      <c r="AF3086" s="2">
        <v>11.246700000000001</v>
      </c>
      <c r="AI3086" s="2">
        <f t="shared" si="310"/>
        <v>0</v>
      </c>
      <c r="AJ3086" s="2">
        <f t="shared" ref="AJ3086:AJ3098" si="312">S3086-V3086</f>
        <v>12.543299999999999</v>
      </c>
      <c r="AK3086" s="5">
        <f t="shared" ref="AK3086:AK3098" si="313">(S3086-V3086)/S3086</f>
        <v>0.52725094577553588</v>
      </c>
    </row>
    <row r="3087" spans="1:37" x14ac:dyDescent="0.2">
      <c r="A3087" s="2">
        <v>2026</v>
      </c>
      <c r="B3087" s="2">
        <v>2</v>
      </c>
      <c r="C3087" s="2" t="s">
        <v>649</v>
      </c>
      <c r="D3087" s="2" t="s">
        <v>38</v>
      </c>
      <c r="E3087" s="2" t="s">
        <v>39</v>
      </c>
      <c r="F3087" s="2">
        <v>509056946</v>
      </c>
      <c r="G3087" s="2" t="s">
        <v>110</v>
      </c>
      <c r="H3087" s="2" t="s">
        <v>650</v>
      </c>
      <c r="I3087" s="2" t="s">
        <v>651</v>
      </c>
      <c r="J3087" s="2">
        <v>964495536</v>
      </c>
      <c r="K3087" s="2" t="s">
        <v>113</v>
      </c>
      <c r="L3087" s="2" t="s">
        <v>40</v>
      </c>
      <c r="N3087" s="2" t="s">
        <v>2486</v>
      </c>
      <c r="O3087" s="2" t="s">
        <v>115</v>
      </c>
      <c r="P3087" s="2" t="s">
        <v>2487</v>
      </c>
      <c r="Q3087" s="2" t="s">
        <v>2488</v>
      </c>
      <c r="R3087" s="2">
        <v>1</v>
      </c>
      <c r="S3087" s="2">
        <v>66.849999999999994</v>
      </c>
      <c r="T3087" s="2">
        <v>15.375500000000001</v>
      </c>
      <c r="U3087" s="2">
        <v>82.225499999999997</v>
      </c>
      <c r="V3087" s="2">
        <v>38.56</v>
      </c>
      <c r="W3087" s="5">
        <f>(S3087-V3087)/S3087</f>
        <v>0.42318623784592363</v>
      </c>
      <c r="Y3087" s="2" t="s">
        <v>118</v>
      </c>
      <c r="Z3087" s="2" t="s">
        <v>119</v>
      </c>
      <c r="AA3087" s="2" t="s">
        <v>120</v>
      </c>
      <c r="AB3087" s="2" t="s">
        <v>115</v>
      </c>
      <c r="AE3087" s="2">
        <f t="shared" si="309"/>
        <v>0</v>
      </c>
      <c r="AF3087" s="2">
        <v>38.56</v>
      </c>
      <c r="AI3087" s="2">
        <f t="shared" si="310"/>
        <v>0</v>
      </c>
      <c r="AJ3087" s="2">
        <f t="shared" si="312"/>
        <v>28.289999999999992</v>
      </c>
      <c r="AK3087" s="5">
        <f t="shared" si="313"/>
        <v>0.42318623784592363</v>
      </c>
    </row>
    <row r="3088" spans="1:37" x14ac:dyDescent="0.2">
      <c r="A3088" s="2">
        <v>2026</v>
      </c>
      <c r="B3088" s="2">
        <v>2</v>
      </c>
      <c r="C3088" s="2" t="s">
        <v>649</v>
      </c>
      <c r="D3088" s="2" t="s">
        <v>38</v>
      </c>
      <c r="E3088" s="2" t="s">
        <v>39</v>
      </c>
      <c r="F3088" s="2">
        <v>509056946</v>
      </c>
      <c r="G3088" s="2" t="s">
        <v>110</v>
      </c>
      <c r="H3088" s="2" t="s">
        <v>650</v>
      </c>
      <c r="I3088" s="2" t="s">
        <v>651</v>
      </c>
      <c r="J3088" s="2">
        <v>964495536</v>
      </c>
      <c r="K3088" s="2" t="s">
        <v>113</v>
      </c>
      <c r="L3088" s="2" t="s">
        <v>40</v>
      </c>
      <c r="N3088" s="2" t="s">
        <v>2489</v>
      </c>
      <c r="O3088" s="2" t="s">
        <v>115</v>
      </c>
      <c r="P3088" s="2" t="s">
        <v>2490</v>
      </c>
      <c r="Q3088" s="2" t="s">
        <v>2491</v>
      </c>
      <c r="R3088" s="2">
        <v>1</v>
      </c>
      <c r="S3088" s="2">
        <v>151.9</v>
      </c>
      <c r="T3088" s="2">
        <v>34.936999999999998</v>
      </c>
      <c r="U3088" s="2">
        <v>186.83699999999999</v>
      </c>
      <c r="V3088" s="2">
        <v>84.95</v>
      </c>
      <c r="W3088" s="5">
        <f>(S3088-V3088)/S3088</f>
        <v>0.44075049374588543</v>
      </c>
      <c r="Y3088" s="2" t="s">
        <v>118</v>
      </c>
      <c r="Z3088" s="2" t="s">
        <v>119</v>
      </c>
      <c r="AA3088" s="2" t="s">
        <v>120</v>
      </c>
      <c r="AB3088" s="2" t="s">
        <v>115</v>
      </c>
      <c r="AE3088" s="2">
        <f t="shared" si="309"/>
        <v>0</v>
      </c>
      <c r="AF3088" s="2">
        <v>84.95</v>
      </c>
      <c r="AI3088" s="2">
        <f t="shared" si="310"/>
        <v>0</v>
      </c>
      <c r="AJ3088" s="2">
        <f t="shared" si="312"/>
        <v>66.95</v>
      </c>
      <c r="AK3088" s="5">
        <f t="shared" si="313"/>
        <v>0.44075049374588543</v>
      </c>
    </row>
    <row r="3089" spans="1:37" x14ac:dyDescent="0.2">
      <c r="A3089" s="2">
        <v>2026</v>
      </c>
      <c r="B3089" s="2">
        <v>1</v>
      </c>
      <c r="C3089" s="2" t="s">
        <v>630</v>
      </c>
      <c r="D3089" s="2" t="s">
        <v>38</v>
      </c>
      <c r="E3089" s="2" t="s">
        <v>39</v>
      </c>
      <c r="F3089" s="2" t="s">
        <v>631</v>
      </c>
      <c r="G3089" s="2" t="s">
        <v>40</v>
      </c>
      <c r="H3089" s="2" t="s">
        <v>632</v>
      </c>
      <c r="I3089" s="2" t="s">
        <v>633</v>
      </c>
      <c r="K3089" s="2" t="s">
        <v>632</v>
      </c>
      <c r="L3089" s="2" t="s">
        <v>40</v>
      </c>
      <c r="N3089" s="2" t="s">
        <v>2492</v>
      </c>
      <c r="O3089" s="2" t="s">
        <v>115</v>
      </c>
      <c r="P3089" s="2" t="s">
        <v>2493</v>
      </c>
      <c r="Q3089" s="2" t="s">
        <v>2494</v>
      </c>
      <c r="R3089" s="2">
        <v>1</v>
      </c>
      <c r="S3089" s="2">
        <v>544.55999999999995</v>
      </c>
      <c r="T3089" s="2">
        <v>125.2488</v>
      </c>
      <c r="U3089" s="2">
        <v>669.80879999999991</v>
      </c>
      <c r="V3089" s="2">
        <v>314.88499999999999</v>
      </c>
      <c r="W3089" s="5">
        <f>(S3089-V3089)/S3089</f>
        <v>0.42176252387248414</v>
      </c>
      <c r="Y3089" s="2" t="s">
        <v>118</v>
      </c>
      <c r="Z3089" s="2" t="s">
        <v>119</v>
      </c>
      <c r="AA3089" s="2" t="s">
        <v>120</v>
      </c>
      <c r="AB3089" s="2" t="s">
        <v>115</v>
      </c>
      <c r="AE3089" s="2">
        <f t="shared" si="309"/>
        <v>0</v>
      </c>
      <c r="AF3089" s="2">
        <v>314.88499999999999</v>
      </c>
      <c r="AI3089" s="2">
        <f t="shared" si="310"/>
        <v>0</v>
      </c>
      <c r="AJ3089" s="2">
        <f t="shared" si="312"/>
        <v>229.67499999999995</v>
      </c>
      <c r="AK3089" s="5">
        <f t="shared" si="313"/>
        <v>0.42176252387248414</v>
      </c>
    </row>
    <row r="3090" spans="1:37" x14ac:dyDescent="0.2">
      <c r="A3090" s="2">
        <v>2026</v>
      </c>
      <c r="B3090" s="2">
        <v>1</v>
      </c>
      <c r="C3090" s="2" t="s">
        <v>781</v>
      </c>
      <c r="D3090" s="2" t="s">
        <v>38</v>
      </c>
      <c r="E3090" s="2" t="s">
        <v>39</v>
      </c>
      <c r="F3090" s="2">
        <v>507324560</v>
      </c>
      <c r="G3090" s="2" t="s">
        <v>40</v>
      </c>
      <c r="H3090" s="2" t="s">
        <v>782</v>
      </c>
      <c r="I3090" s="2" t="s">
        <v>783</v>
      </c>
      <c r="K3090" s="2" t="s">
        <v>340</v>
      </c>
      <c r="L3090" s="2" t="s">
        <v>40</v>
      </c>
      <c r="N3090" s="2" t="s">
        <v>2495</v>
      </c>
      <c r="O3090" s="2" t="s">
        <v>115</v>
      </c>
      <c r="P3090" s="2" t="s">
        <v>518</v>
      </c>
      <c r="Q3090" s="2" t="s">
        <v>519</v>
      </c>
      <c r="R3090" s="2">
        <v>0</v>
      </c>
      <c r="S3090" s="2">
        <v>0</v>
      </c>
      <c r="T3090" s="2">
        <v>0</v>
      </c>
      <c r="U3090" s="2">
        <v>0</v>
      </c>
      <c r="W3090" s="5">
        <v>0</v>
      </c>
      <c r="Y3090" s="2" t="s">
        <v>118</v>
      </c>
      <c r="Z3090" s="2" t="s">
        <v>119</v>
      </c>
      <c r="AE3090" s="2">
        <f t="shared" si="309"/>
        <v>0</v>
      </c>
      <c r="AI3090" s="2">
        <f t="shared" si="310"/>
        <v>0</v>
      </c>
      <c r="AJ3090" s="2">
        <f t="shared" si="312"/>
        <v>0</v>
      </c>
      <c r="AK3090" s="5" t="e">
        <f t="shared" si="313"/>
        <v>#DIV/0!</v>
      </c>
    </row>
    <row r="3091" spans="1:37" x14ac:dyDescent="0.2">
      <c r="A3091" s="2">
        <v>2026</v>
      </c>
      <c r="B3091" s="2">
        <v>1</v>
      </c>
      <c r="C3091" s="2" t="s">
        <v>781</v>
      </c>
      <c r="D3091" s="2" t="s">
        <v>38</v>
      </c>
      <c r="E3091" s="2" t="s">
        <v>39</v>
      </c>
      <c r="F3091" s="2">
        <v>507324560</v>
      </c>
      <c r="G3091" s="2" t="s">
        <v>40</v>
      </c>
      <c r="H3091" s="2" t="s">
        <v>782</v>
      </c>
      <c r="I3091" s="2" t="s">
        <v>783</v>
      </c>
      <c r="K3091" s="2" t="s">
        <v>340</v>
      </c>
      <c r="L3091" s="2" t="s">
        <v>40</v>
      </c>
      <c r="N3091" s="2" t="s">
        <v>2496</v>
      </c>
      <c r="O3091" s="2" t="s">
        <v>115</v>
      </c>
      <c r="P3091" s="2" t="s">
        <v>357</v>
      </c>
      <c r="Q3091" s="2" t="s">
        <v>358</v>
      </c>
      <c r="R3091" s="2">
        <v>1</v>
      </c>
      <c r="S3091" s="2">
        <v>518.29</v>
      </c>
      <c r="T3091" s="2">
        <v>119.2067</v>
      </c>
      <c r="U3091" s="2">
        <v>637.49669999999992</v>
      </c>
      <c r="V3091" s="2">
        <v>246.77</v>
      </c>
      <c r="W3091" s="5">
        <f t="shared" ref="W3091:W3098" si="314">(S3091-V3091)/S3091</f>
        <v>0.52387659418472288</v>
      </c>
      <c r="Y3091" s="2" t="s">
        <v>118</v>
      </c>
      <c r="Z3091" s="2" t="s">
        <v>119</v>
      </c>
      <c r="AA3091" s="2" t="s">
        <v>120</v>
      </c>
      <c r="AB3091" s="2" t="s">
        <v>115</v>
      </c>
      <c r="AE3091" s="2">
        <f t="shared" si="309"/>
        <v>0</v>
      </c>
      <c r="AF3091" s="2">
        <v>246.77</v>
      </c>
      <c r="AI3091" s="2">
        <f t="shared" si="310"/>
        <v>0</v>
      </c>
      <c r="AJ3091" s="2">
        <f t="shared" si="312"/>
        <v>271.52</v>
      </c>
      <c r="AK3091" s="5">
        <f t="shared" si="313"/>
        <v>0.52387659418472288</v>
      </c>
    </row>
    <row r="3092" spans="1:37" x14ac:dyDescent="0.2">
      <c r="A3092" s="2">
        <v>2026</v>
      </c>
      <c r="B3092" s="2">
        <v>2</v>
      </c>
      <c r="C3092" s="2" t="s">
        <v>309</v>
      </c>
      <c r="D3092" s="2" t="s">
        <v>109</v>
      </c>
      <c r="E3092" s="2" t="s">
        <v>39</v>
      </c>
      <c r="F3092" s="2">
        <v>503724300</v>
      </c>
      <c r="G3092" s="2" t="s">
        <v>110</v>
      </c>
      <c r="H3092" s="2" t="s">
        <v>3138</v>
      </c>
      <c r="I3092" s="2" t="s">
        <v>3139</v>
      </c>
      <c r="K3092" s="2" t="s">
        <v>113</v>
      </c>
      <c r="L3092" s="2" t="s">
        <v>40</v>
      </c>
      <c r="N3092" s="2" t="s">
        <v>2497</v>
      </c>
      <c r="O3092" s="2" t="s">
        <v>115</v>
      </c>
      <c r="P3092" s="2" t="s">
        <v>884</v>
      </c>
      <c r="Q3092" s="2" t="s">
        <v>885</v>
      </c>
      <c r="R3092" s="2">
        <v>1</v>
      </c>
      <c r="S3092" s="2">
        <v>790</v>
      </c>
      <c r="T3092" s="2">
        <v>181.7</v>
      </c>
      <c r="U3092" s="2">
        <v>971.7</v>
      </c>
      <c r="V3092" s="2">
        <v>615.6</v>
      </c>
      <c r="W3092" s="5">
        <f t="shared" si="314"/>
        <v>0.22075949367088604</v>
      </c>
      <c r="Y3092" s="2" t="s">
        <v>118</v>
      </c>
      <c r="Z3092" s="2" t="s">
        <v>583</v>
      </c>
      <c r="AA3092" s="2" t="s">
        <v>120</v>
      </c>
      <c r="AB3092" s="2" t="s">
        <v>115</v>
      </c>
      <c r="AE3092" s="2">
        <f t="shared" si="309"/>
        <v>0</v>
      </c>
      <c r="AF3092" s="2">
        <v>615.6</v>
      </c>
      <c r="AI3092" s="2">
        <f t="shared" si="310"/>
        <v>0</v>
      </c>
      <c r="AJ3092" s="2">
        <f t="shared" si="312"/>
        <v>174.39999999999998</v>
      </c>
      <c r="AK3092" s="5">
        <f t="shared" si="313"/>
        <v>0.22075949367088604</v>
      </c>
    </row>
    <row r="3093" spans="1:37" x14ac:dyDescent="0.2">
      <c r="A3093" s="2">
        <v>2026</v>
      </c>
      <c r="B3093" s="2">
        <v>1</v>
      </c>
      <c r="C3093" s="2" t="s">
        <v>787</v>
      </c>
      <c r="D3093" s="2" t="s">
        <v>38</v>
      </c>
      <c r="E3093" s="2" t="s">
        <v>39</v>
      </c>
      <c r="F3093" s="2">
        <v>510219675</v>
      </c>
      <c r="G3093" s="2" t="s">
        <v>40</v>
      </c>
      <c r="H3093" s="2" t="s">
        <v>788</v>
      </c>
      <c r="I3093" s="2" t="s">
        <v>789</v>
      </c>
      <c r="J3093" s="2">
        <v>917341136</v>
      </c>
      <c r="K3093" s="2" t="s">
        <v>100</v>
      </c>
      <c r="L3093" s="2" t="s">
        <v>40</v>
      </c>
      <c r="N3093" s="2" t="s">
        <v>2485</v>
      </c>
      <c r="O3093" s="2" t="s">
        <v>115</v>
      </c>
      <c r="P3093" s="2" t="s">
        <v>960</v>
      </c>
      <c r="Q3093" s="2" t="s">
        <v>961</v>
      </c>
      <c r="R3093" s="2">
        <v>3</v>
      </c>
      <c r="S3093" s="2">
        <v>74.52</v>
      </c>
      <c r="T3093" s="2">
        <v>17.139600000000002</v>
      </c>
      <c r="U3093" s="2">
        <v>91.659599999999998</v>
      </c>
      <c r="V3093" s="2">
        <f>14.67*R3093</f>
        <v>44.01</v>
      </c>
      <c r="W3093" s="5">
        <f t="shared" si="314"/>
        <v>0.40942028985507245</v>
      </c>
      <c r="Y3093" s="2" t="s">
        <v>118</v>
      </c>
      <c r="Z3093" s="2" t="s">
        <v>583</v>
      </c>
      <c r="AA3093" s="2" t="s">
        <v>120</v>
      </c>
      <c r="AB3093" s="2" t="s">
        <v>115</v>
      </c>
      <c r="AE3093" s="2">
        <f t="shared" si="309"/>
        <v>0</v>
      </c>
      <c r="AF3093" s="2">
        <f>14.4+0.27</f>
        <v>14.67</v>
      </c>
      <c r="AI3093" s="2">
        <f t="shared" si="310"/>
        <v>0</v>
      </c>
      <c r="AJ3093" s="2">
        <f t="shared" si="312"/>
        <v>30.509999999999998</v>
      </c>
      <c r="AK3093" s="5">
        <f t="shared" si="313"/>
        <v>0.40942028985507245</v>
      </c>
    </row>
    <row r="3094" spans="1:37" x14ac:dyDescent="0.2">
      <c r="A3094" s="2">
        <v>2026</v>
      </c>
      <c r="B3094" s="2">
        <v>2</v>
      </c>
      <c r="C3094" s="2" t="s">
        <v>406</v>
      </c>
      <c r="D3094" s="2" t="s">
        <v>38</v>
      </c>
      <c r="E3094" s="2" t="s">
        <v>39</v>
      </c>
      <c r="F3094" s="2">
        <v>109095197</v>
      </c>
      <c r="G3094" s="2" t="s">
        <v>40</v>
      </c>
      <c r="H3094" s="2" t="s">
        <v>2498</v>
      </c>
      <c r="I3094" s="2" t="s">
        <v>3147</v>
      </c>
      <c r="J3094" s="2">
        <v>965864665</v>
      </c>
      <c r="K3094" s="2" t="s">
        <v>345</v>
      </c>
      <c r="L3094" s="2" t="s">
        <v>40</v>
      </c>
      <c r="N3094" s="2" t="s">
        <v>2499</v>
      </c>
      <c r="O3094" s="2" t="s">
        <v>115</v>
      </c>
      <c r="P3094" s="2" t="s">
        <v>1088</v>
      </c>
      <c r="Q3094" s="2" t="s">
        <v>1089</v>
      </c>
      <c r="R3094" s="2">
        <v>1</v>
      </c>
      <c r="S3094" s="2">
        <v>77.48</v>
      </c>
      <c r="T3094" s="2">
        <v>17.820399999999999</v>
      </c>
      <c r="U3094" s="2">
        <v>95.30040000000001</v>
      </c>
      <c r="V3094" s="2">
        <v>37.96</v>
      </c>
      <c r="W3094" s="5">
        <f t="shared" si="314"/>
        <v>0.51006711409395977</v>
      </c>
      <c r="Y3094" s="2" t="s">
        <v>118</v>
      </c>
      <c r="Z3094" s="2" t="s">
        <v>119</v>
      </c>
      <c r="AA3094" s="2" t="s">
        <v>120</v>
      </c>
      <c r="AB3094" s="2" t="s">
        <v>115</v>
      </c>
      <c r="AE3094" s="2">
        <f t="shared" si="309"/>
        <v>0</v>
      </c>
      <c r="AF3094" s="2">
        <v>37.96</v>
      </c>
      <c r="AI3094" s="2">
        <f t="shared" si="310"/>
        <v>0</v>
      </c>
      <c r="AJ3094" s="2">
        <f t="shared" si="312"/>
        <v>39.520000000000003</v>
      </c>
      <c r="AK3094" s="5">
        <f t="shared" si="313"/>
        <v>0.51006711409395977</v>
      </c>
    </row>
    <row r="3095" spans="1:37" x14ac:dyDescent="0.2">
      <c r="A3095" s="2">
        <v>2026</v>
      </c>
      <c r="B3095" s="2">
        <v>1</v>
      </c>
      <c r="C3095" s="2" t="s">
        <v>1159</v>
      </c>
      <c r="D3095" s="2" t="s">
        <v>109</v>
      </c>
      <c r="E3095" s="2" t="s">
        <v>39</v>
      </c>
      <c r="F3095" s="2">
        <v>504039733</v>
      </c>
      <c r="G3095" s="2" t="s">
        <v>110</v>
      </c>
      <c r="H3095" s="2" t="s">
        <v>2500</v>
      </c>
      <c r="I3095" s="2" t="s">
        <v>1485</v>
      </c>
      <c r="J3095" s="2">
        <v>938183284</v>
      </c>
      <c r="K3095" s="2" t="s">
        <v>134</v>
      </c>
      <c r="L3095" s="2" t="s">
        <v>40</v>
      </c>
      <c r="N3095" s="2" t="s">
        <v>2501</v>
      </c>
      <c r="O3095" s="2" t="s">
        <v>115</v>
      </c>
      <c r="P3095" s="2" t="s">
        <v>2502</v>
      </c>
      <c r="Q3095" s="2" t="s">
        <v>1399</v>
      </c>
      <c r="R3095" s="2">
        <v>1</v>
      </c>
      <c r="S3095" s="2">
        <v>466.58</v>
      </c>
      <c r="T3095" s="2">
        <v>107.3134</v>
      </c>
      <c r="U3095" s="2">
        <v>573.89339999999993</v>
      </c>
      <c r="V3095" s="2">
        <v>222.18</v>
      </c>
      <c r="W3095" s="5">
        <f t="shared" si="314"/>
        <v>0.52381156500492942</v>
      </c>
      <c r="Y3095" s="2" t="s">
        <v>118</v>
      </c>
      <c r="Z3095" s="2" t="s">
        <v>119</v>
      </c>
      <c r="AA3095" s="2" t="s">
        <v>120</v>
      </c>
      <c r="AB3095" s="2" t="s">
        <v>115</v>
      </c>
      <c r="AE3095" s="2">
        <f t="shared" si="309"/>
        <v>0</v>
      </c>
      <c r="AF3095" s="2">
        <v>222.18</v>
      </c>
      <c r="AI3095" s="2">
        <f t="shared" si="310"/>
        <v>0</v>
      </c>
      <c r="AJ3095" s="2">
        <f t="shared" si="312"/>
        <v>244.39999999999998</v>
      </c>
      <c r="AK3095" s="5">
        <f t="shared" si="313"/>
        <v>0.52381156500492942</v>
      </c>
    </row>
    <row r="3096" spans="1:37" x14ac:dyDescent="0.2">
      <c r="A3096" s="2">
        <v>2026</v>
      </c>
      <c r="B3096" s="2">
        <v>2</v>
      </c>
      <c r="C3096" s="2" t="s">
        <v>630</v>
      </c>
      <c r="D3096" s="2" t="s">
        <v>38</v>
      </c>
      <c r="E3096" s="2" t="s">
        <v>39</v>
      </c>
      <c r="F3096" s="2" t="s">
        <v>631</v>
      </c>
      <c r="G3096" s="2" t="s">
        <v>40</v>
      </c>
      <c r="H3096" s="2" t="s">
        <v>632</v>
      </c>
      <c r="I3096" s="2" t="s">
        <v>633</v>
      </c>
      <c r="K3096" s="2" t="s">
        <v>632</v>
      </c>
      <c r="L3096" s="2" t="s">
        <v>40</v>
      </c>
      <c r="N3096" s="2" t="s">
        <v>2492</v>
      </c>
      <c r="O3096" s="2" t="s">
        <v>115</v>
      </c>
      <c r="P3096" s="2" t="s">
        <v>911</v>
      </c>
      <c r="Q3096" s="2" t="s">
        <v>912</v>
      </c>
      <c r="R3096" s="2">
        <v>1</v>
      </c>
      <c r="S3096" s="2">
        <v>465.7</v>
      </c>
      <c r="T3096" s="2">
        <v>107.111</v>
      </c>
      <c r="U3096" s="2">
        <v>572.81100000000004</v>
      </c>
      <c r="V3096" s="2">
        <v>342.22</v>
      </c>
      <c r="W3096" s="5">
        <f t="shared" si="314"/>
        <v>0.26514923770667803</v>
      </c>
      <c r="Y3096" s="2" t="s">
        <v>118</v>
      </c>
      <c r="Z3096" s="2" t="s">
        <v>182</v>
      </c>
      <c r="AE3096" s="2">
        <f t="shared" si="309"/>
        <v>0</v>
      </c>
      <c r="AF3096" s="2">
        <v>342.22</v>
      </c>
      <c r="AI3096" s="2">
        <f t="shared" si="310"/>
        <v>0</v>
      </c>
      <c r="AJ3096" s="2">
        <f t="shared" si="312"/>
        <v>123.47999999999996</v>
      </c>
      <c r="AK3096" s="5">
        <f t="shared" si="313"/>
        <v>0.26514923770667803</v>
      </c>
    </row>
    <row r="3097" spans="1:37" x14ac:dyDescent="0.2">
      <c r="A3097" s="2">
        <v>2026</v>
      </c>
      <c r="B3097" s="2">
        <v>2</v>
      </c>
      <c r="C3097" s="2" t="s">
        <v>2309</v>
      </c>
      <c r="D3097" s="2" t="s">
        <v>109</v>
      </c>
      <c r="E3097" s="2" t="s">
        <v>39</v>
      </c>
      <c r="F3097" s="2">
        <v>513889248</v>
      </c>
      <c r="G3097" s="2" t="s">
        <v>40</v>
      </c>
      <c r="H3097" s="2" t="s">
        <v>588</v>
      </c>
      <c r="I3097" s="2" t="s">
        <v>2310</v>
      </c>
      <c r="K3097" s="2" t="s">
        <v>202</v>
      </c>
      <c r="L3097" s="2" t="s">
        <v>40</v>
      </c>
      <c r="N3097" s="2" t="s">
        <v>2311</v>
      </c>
      <c r="O3097" s="2" t="s">
        <v>115</v>
      </c>
      <c r="P3097" s="2" t="s">
        <v>180</v>
      </c>
      <c r="Q3097" s="2" t="s">
        <v>181</v>
      </c>
      <c r="R3097" s="2">
        <v>1</v>
      </c>
      <c r="S3097" s="2">
        <v>699.3</v>
      </c>
      <c r="T3097" s="2">
        <v>160.839</v>
      </c>
      <c r="U3097" s="2">
        <v>860.1389999999999</v>
      </c>
      <c r="V3097" s="2">
        <v>343.57</v>
      </c>
      <c r="W3097" s="5">
        <f t="shared" si="314"/>
        <v>0.50869440869440863</v>
      </c>
      <c r="Y3097" s="2" t="s">
        <v>118</v>
      </c>
      <c r="Z3097" s="2" t="s">
        <v>182</v>
      </c>
      <c r="AE3097" s="2">
        <f t="shared" si="309"/>
        <v>0</v>
      </c>
      <c r="AF3097" s="2">
        <v>343.38569999999999</v>
      </c>
      <c r="AI3097" s="2">
        <f t="shared" si="310"/>
        <v>0</v>
      </c>
      <c r="AJ3097" s="2">
        <f t="shared" si="312"/>
        <v>355.72999999999996</v>
      </c>
      <c r="AK3097" s="5">
        <f t="shared" si="313"/>
        <v>0.50869440869440863</v>
      </c>
    </row>
    <row r="3098" spans="1:37" x14ac:dyDescent="0.2">
      <c r="A3098" s="2">
        <v>2026</v>
      </c>
      <c r="B3098" s="2">
        <v>2</v>
      </c>
      <c r="C3098" s="2" t="s">
        <v>2312</v>
      </c>
      <c r="D3098" s="2" t="s">
        <v>38</v>
      </c>
      <c r="F3098" s="2">
        <v>509800696</v>
      </c>
      <c r="G3098" s="2" t="s">
        <v>291</v>
      </c>
      <c r="H3098" s="2" t="s">
        <v>2313</v>
      </c>
      <c r="I3098" s="2" t="s">
        <v>2314</v>
      </c>
      <c r="J3098" s="2">
        <v>930444437</v>
      </c>
      <c r="K3098" s="2" t="s">
        <v>2313</v>
      </c>
      <c r="L3098" s="2" t="s">
        <v>40</v>
      </c>
      <c r="N3098" s="2" t="s">
        <v>2315</v>
      </c>
      <c r="O3098" s="2" t="s">
        <v>115</v>
      </c>
      <c r="P3098" s="2" t="s">
        <v>180</v>
      </c>
      <c r="Q3098" s="2" t="s">
        <v>181</v>
      </c>
      <c r="R3098" s="2">
        <v>2</v>
      </c>
      <c r="S3098" s="2">
        <v>1198.8</v>
      </c>
      <c r="T3098" s="2">
        <v>275.72399999999999</v>
      </c>
      <c r="U3098" s="2">
        <v>1474.5239999999999</v>
      </c>
      <c r="V3098" s="2">
        <f>343.5857*R3098</f>
        <v>687.17139999999995</v>
      </c>
      <c r="W3098" s="5">
        <f t="shared" si="314"/>
        <v>0.42678395061728397</v>
      </c>
      <c r="Y3098" s="2" t="s">
        <v>118</v>
      </c>
      <c r="Z3098" s="2" t="s">
        <v>182</v>
      </c>
      <c r="AE3098" s="2">
        <f t="shared" si="309"/>
        <v>0</v>
      </c>
      <c r="AF3098" s="2">
        <v>343.38569999999999</v>
      </c>
      <c r="AI3098" s="2">
        <f t="shared" si="310"/>
        <v>0</v>
      </c>
      <c r="AJ3098" s="2">
        <f t="shared" si="312"/>
        <v>511.62860000000001</v>
      </c>
      <c r="AK3098" s="5">
        <f t="shared" si="313"/>
        <v>0.42678395061728397</v>
      </c>
    </row>
    <row r="3099" spans="1:37" x14ac:dyDescent="0.2">
      <c r="A3099" s="2">
        <v>2026</v>
      </c>
      <c r="B3099" s="2">
        <v>2</v>
      </c>
      <c r="C3099" s="2" t="s">
        <v>2349</v>
      </c>
      <c r="H3099" s="2" t="s">
        <v>810</v>
      </c>
      <c r="K3099" s="2" t="s">
        <v>100</v>
      </c>
      <c r="L3099" s="2" t="s">
        <v>40</v>
      </c>
      <c r="N3099" s="2" t="s">
        <v>2503</v>
      </c>
      <c r="O3099" s="2" t="s">
        <v>115</v>
      </c>
      <c r="P3099" s="2" t="s">
        <v>180</v>
      </c>
      <c r="Q3099" s="2" t="s">
        <v>181</v>
      </c>
      <c r="R3099" s="2">
        <v>-1</v>
      </c>
      <c r="S3099" s="2">
        <v>-699.3</v>
      </c>
      <c r="T3099" s="2">
        <v>-160.839</v>
      </c>
      <c r="U3099" s="2">
        <v>-860.1389999999999</v>
      </c>
      <c r="V3099" s="2">
        <v>346.57</v>
      </c>
      <c r="W3099" s="5">
        <f>SIGN(S3099)*((ABS(S3099)-V3099)/ABS(S3099))</f>
        <v>-0.50440440440440437</v>
      </c>
      <c r="Y3099" s="2" t="s">
        <v>118</v>
      </c>
      <c r="Z3099" s="2" t="s">
        <v>182</v>
      </c>
      <c r="AE3099" s="2">
        <f t="shared" si="309"/>
        <v>0</v>
      </c>
      <c r="AF3099" s="2">
        <v>343.38569999999999</v>
      </c>
      <c r="AI3099" s="2">
        <f t="shared" si="310"/>
        <v>0</v>
      </c>
    </row>
    <row r="3100" spans="1:37" x14ac:dyDescent="0.2">
      <c r="A3100" s="2">
        <v>2026</v>
      </c>
      <c r="B3100" s="2">
        <v>2</v>
      </c>
      <c r="C3100" s="2" t="s">
        <v>2504</v>
      </c>
      <c r="L3100" s="2" t="s">
        <v>40</v>
      </c>
      <c r="N3100" s="2" t="s">
        <v>2505</v>
      </c>
      <c r="O3100" s="2" t="s">
        <v>115</v>
      </c>
      <c r="P3100" s="2" t="s">
        <v>180</v>
      </c>
      <c r="Q3100" s="2" t="s">
        <v>181</v>
      </c>
      <c r="R3100" s="2">
        <v>1</v>
      </c>
      <c r="S3100" s="2">
        <v>699.3</v>
      </c>
      <c r="T3100" s="2">
        <v>160.839</v>
      </c>
      <c r="U3100" s="2">
        <v>860.1389999999999</v>
      </c>
      <c r="V3100" s="2">
        <v>346.57</v>
      </c>
      <c r="W3100" s="5">
        <f t="shared" ref="W3100:W3109" si="315">(S3100-V3100)/S3100</f>
        <v>0.50440440440440437</v>
      </c>
      <c r="Y3100" s="2" t="s">
        <v>118</v>
      </c>
      <c r="Z3100" s="2" t="s">
        <v>182</v>
      </c>
      <c r="AE3100" s="2">
        <f t="shared" si="309"/>
        <v>0</v>
      </c>
      <c r="AF3100" s="2">
        <v>343.38569999999999</v>
      </c>
      <c r="AI3100" s="2">
        <f t="shared" si="310"/>
        <v>0</v>
      </c>
      <c r="AJ3100" s="2">
        <f t="shared" ref="AJ3100:AJ3131" si="316">S3100-V3100</f>
        <v>352.72999999999996</v>
      </c>
      <c r="AK3100" s="5">
        <f t="shared" ref="AK3100:AK3131" si="317">(S3100-V3100)/S3100</f>
        <v>0.50440440440440437</v>
      </c>
    </row>
    <row r="3101" spans="1:37" x14ac:dyDescent="0.2">
      <c r="A3101" s="2">
        <v>2026</v>
      </c>
      <c r="B3101" s="2">
        <v>2</v>
      </c>
      <c r="C3101" s="2" t="s">
        <v>750</v>
      </c>
      <c r="D3101" s="2" t="s">
        <v>109</v>
      </c>
      <c r="E3101" s="2" t="s">
        <v>39</v>
      </c>
      <c r="F3101" s="2">
        <v>509181163</v>
      </c>
      <c r="G3101" s="2" t="s">
        <v>40</v>
      </c>
      <c r="H3101" s="2" t="s">
        <v>751</v>
      </c>
      <c r="I3101" s="2" t="s">
        <v>752</v>
      </c>
      <c r="J3101" s="2">
        <v>962372760</v>
      </c>
      <c r="K3101" s="2" t="s">
        <v>202</v>
      </c>
      <c r="L3101" s="2" t="s">
        <v>40</v>
      </c>
      <c r="N3101" s="2" t="s">
        <v>2506</v>
      </c>
      <c r="O3101" s="2" t="s">
        <v>115</v>
      </c>
      <c r="P3101" s="2" t="s">
        <v>1436</v>
      </c>
      <c r="Q3101" s="2" t="s">
        <v>1437</v>
      </c>
      <c r="R3101" s="2">
        <v>1</v>
      </c>
      <c r="S3101" s="2">
        <v>1600.98</v>
      </c>
      <c r="T3101" s="2">
        <v>368.22539999999998</v>
      </c>
      <c r="U3101" s="2">
        <v>1969.2054000000001</v>
      </c>
      <c r="V3101" s="2">
        <v>871.87</v>
      </c>
      <c r="W3101" s="5">
        <f t="shared" si="315"/>
        <v>0.45541480842983673</v>
      </c>
      <c r="Y3101" s="2" t="s">
        <v>118</v>
      </c>
      <c r="Z3101" s="2" t="s">
        <v>621</v>
      </c>
      <c r="AA3101" s="2" t="s">
        <v>965</v>
      </c>
      <c r="AB3101" s="2" t="s">
        <v>115</v>
      </c>
      <c r="AE3101" s="2">
        <f t="shared" si="309"/>
        <v>0</v>
      </c>
      <c r="AF3101" s="2">
        <f>868.26+3.61</f>
        <v>871.87</v>
      </c>
      <c r="AI3101" s="2">
        <f t="shared" si="310"/>
        <v>0</v>
      </c>
      <c r="AJ3101" s="2">
        <f t="shared" si="316"/>
        <v>729.11</v>
      </c>
      <c r="AK3101" s="5">
        <f t="shared" si="317"/>
        <v>0.45541480842983673</v>
      </c>
    </row>
    <row r="3102" spans="1:37" x14ac:dyDescent="0.2">
      <c r="A3102" s="2">
        <v>2026</v>
      </c>
      <c r="B3102" s="2">
        <v>2</v>
      </c>
      <c r="C3102" s="2" t="s">
        <v>562</v>
      </c>
      <c r="D3102" s="2" t="s">
        <v>109</v>
      </c>
      <c r="E3102" s="2" t="s">
        <v>39</v>
      </c>
      <c r="F3102" s="2">
        <v>506517233</v>
      </c>
      <c r="G3102" s="2" t="s">
        <v>81</v>
      </c>
      <c r="H3102" s="2" t="s">
        <v>563</v>
      </c>
      <c r="I3102" s="2" t="s">
        <v>564</v>
      </c>
      <c r="K3102" s="2" t="s">
        <v>134</v>
      </c>
      <c r="L3102" s="2" t="s">
        <v>40</v>
      </c>
      <c r="N3102" s="2" t="s">
        <v>2507</v>
      </c>
      <c r="O3102" s="2" t="s">
        <v>115</v>
      </c>
      <c r="P3102" s="2" t="s">
        <v>2508</v>
      </c>
      <c r="Q3102" s="2" t="s">
        <v>2509</v>
      </c>
      <c r="R3102" s="2">
        <v>1</v>
      </c>
      <c r="S3102" s="2">
        <v>214.96</v>
      </c>
      <c r="T3102" s="2">
        <v>49.440800000000003</v>
      </c>
      <c r="U3102" s="2">
        <v>264.4008</v>
      </c>
      <c r="V3102" s="2">
        <v>102.88500000000001</v>
      </c>
      <c r="W3102" s="5">
        <f t="shared" si="315"/>
        <v>0.52137606996650543</v>
      </c>
      <c r="Y3102" s="2" t="s">
        <v>118</v>
      </c>
      <c r="Z3102" s="2" t="s">
        <v>119</v>
      </c>
      <c r="AA3102" s="2" t="s">
        <v>120</v>
      </c>
      <c r="AB3102" s="2" t="s">
        <v>115</v>
      </c>
      <c r="AE3102" s="2">
        <f t="shared" si="309"/>
        <v>0</v>
      </c>
      <c r="AF3102" s="2">
        <v>102.88249999999999</v>
      </c>
      <c r="AI3102" s="2">
        <f t="shared" si="310"/>
        <v>0</v>
      </c>
      <c r="AJ3102" s="2">
        <f t="shared" si="316"/>
        <v>112.075</v>
      </c>
      <c r="AK3102" s="5">
        <f t="shared" si="317"/>
        <v>0.52137606996650543</v>
      </c>
    </row>
    <row r="3103" spans="1:37" x14ac:dyDescent="0.2">
      <c r="A3103" s="2">
        <v>2026</v>
      </c>
      <c r="B3103" s="2">
        <v>2</v>
      </c>
      <c r="C3103" s="2" t="s">
        <v>562</v>
      </c>
      <c r="D3103" s="2" t="s">
        <v>109</v>
      </c>
      <c r="E3103" s="2" t="s">
        <v>39</v>
      </c>
      <c r="F3103" s="2">
        <v>506517233</v>
      </c>
      <c r="G3103" s="2" t="s">
        <v>81</v>
      </c>
      <c r="H3103" s="2" t="s">
        <v>563</v>
      </c>
      <c r="I3103" s="2" t="s">
        <v>564</v>
      </c>
      <c r="K3103" s="2" t="s">
        <v>134</v>
      </c>
      <c r="L3103" s="2" t="s">
        <v>40</v>
      </c>
      <c r="N3103" s="2" t="s">
        <v>2510</v>
      </c>
      <c r="O3103" s="2" t="s">
        <v>115</v>
      </c>
      <c r="P3103" s="2" t="s">
        <v>2511</v>
      </c>
      <c r="Q3103" s="2" t="s">
        <v>2512</v>
      </c>
      <c r="R3103" s="2">
        <v>1</v>
      </c>
      <c r="S3103" s="2">
        <v>28.35</v>
      </c>
      <c r="T3103" s="2">
        <v>6.5205000000000002</v>
      </c>
      <c r="U3103" s="2">
        <v>34.8705</v>
      </c>
      <c r="V3103" s="2">
        <v>15</v>
      </c>
      <c r="W3103" s="5">
        <f t="shared" si="315"/>
        <v>0.47089947089947093</v>
      </c>
      <c r="Y3103" s="2" t="s">
        <v>118</v>
      </c>
      <c r="Z3103" s="2" t="s">
        <v>119</v>
      </c>
      <c r="AA3103" s="2" t="s">
        <v>120</v>
      </c>
      <c r="AB3103" s="2" t="s">
        <v>115</v>
      </c>
      <c r="AE3103" s="2">
        <f t="shared" si="309"/>
        <v>0</v>
      </c>
      <c r="AF3103" s="2">
        <v>15</v>
      </c>
      <c r="AI3103" s="2">
        <f t="shared" si="310"/>
        <v>0</v>
      </c>
      <c r="AJ3103" s="2">
        <f t="shared" si="316"/>
        <v>13.350000000000001</v>
      </c>
      <c r="AK3103" s="5">
        <f t="shared" si="317"/>
        <v>0.47089947089947093</v>
      </c>
    </row>
    <row r="3104" spans="1:37" x14ac:dyDescent="0.2">
      <c r="A3104" s="2">
        <v>2026</v>
      </c>
      <c r="B3104" s="2">
        <v>2</v>
      </c>
      <c r="C3104" s="2" t="s">
        <v>2513</v>
      </c>
      <c r="L3104" s="2" t="s">
        <v>40</v>
      </c>
      <c r="N3104" s="2" t="s">
        <v>2514</v>
      </c>
      <c r="O3104" s="2" t="s">
        <v>115</v>
      </c>
      <c r="P3104" s="2" t="s">
        <v>2515</v>
      </c>
      <c r="Q3104" s="2" t="s">
        <v>2516</v>
      </c>
      <c r="R3104" s="2">
        <v>1</v>
      </c>
      <c r="S3104" s="2">
        <v>87.3</v>
      </c>
      <c r="T3104" s="2">
        <v>20.079000000000001</v>
      </c>
      <c r="U3104" s="2">
        <v>107.379</v>
      </c>
      <c r="V3104" s="2">
        <v>43.23</v>
      </c>
      <c r="W3104" s="5">
        <f t="shared" si="315"/>
        <v>0.50481099656357387</v>
      </c>
      <c r="Y3104" s="2" t="s">
        <v>118</v>
      </c>
      <c r="Z3104" s="2" t="s">
        <v>119</v>
      </c>
      <c r="AA3104" s="2" t="s">
        <v>120</v>
      </c>
      <c r="AB3104" s="2" t="s">
        <v>115</v>
      </c>
      <c r="AE3104" s="2">
        <f t="shared" si="309"/>
        <v>0</v>
      </c>
      <c r="AF3104" s="2">
        <v>43.23</v>
      </c>
      <c r="AI3104" s="2">
        <f t="shared" si="310"/>
        <v>0</v>
      </c>
      <c r="AJ3104" s="2">
        <f t="shared" si="316"/>
        <v>44.07</v>
      </c>
      <c r="AK3104" s="5">
        <f t="shared" si="317"/>
        <v>0.50481099656357387</v>
      </c>
    </row>
    <row r="3105" spans="1:37" x14ac:dyDescent="0.2">
      <c r="A3105" s="2">
        <v>2026</v>
      </c>
      <c r="B3105" s="2">
        <v>2</v>
      </c>
      <c r="C3105" s="2" t="s">
        <v>489</v>
      </c>
      <c r="D3105" s="2" t="s">
        <v>109</v>
      </c>
      <c r="E3105" s="2" t="s">
        <v>39</v>
      </c>
      <c r="F3105" s="2">
        <v>506834689</v>
      </c>
      <c r="G3105" s="2" t="s">
        <v>41</v>
      </c>
      <c r="H3105" s="2" t="s">
        <v>490</v>
      </c>
      <c r="I3105" s="2" t="s">
        <v>491</v>
      </c>
      <c r="J3105" s="2">
        <v>919866237</v>
      </c>
      <c r="K3105" s="2" t="s">
        <v>465</v>
      </c>
      <c r="L3105" s="2" t="s">
        <v>41</v>
      </c>
      <c r="O3105" s="2" t="s">
        <v>115</v>
      </c>
      <c r="P3105" s="2" t="s">
        <v>2517</v>
      </c>
      <c r="Q3105" s="2" t="s">
        <v>2518</v>
      </c>
      <c r="R3105" s="2">
        <v>1</v>
      </c>
      <c r="S3105" s="2">
        <v>1190</v>
      </c>
      <c r="T3105" s="2">
        <v>273.7</v>
      </c>
      <c r="U3105" s="2">
        <v>1463.7</v>
      </c>
      <c r="W3105" s="5">
        <f t="shared" si="315"/>
        <v>1</v>
      </c>
      <c r="Y3105" s="2" t="s">
        <v>118</v>
      </c>
      <c r="AE3105" s="2">
        <f t="shared" si="309"/>
        <v>0</v>
      </c>
      <c r="AI3105" s="2">
        <f t="shared" si="310"/>
        <v>0</v>
      </c>
      <c r="AJ3105" s="2">
        <f t="shared" si="316"/>
        <v>1190</v>
      </c>
      <c r="AK3105" s="5">
        <f t="shared" si="317"/>
        <v>1</v>
      </c>
    </row>
    <row r="3106" spans="1:37" x14ac:dyDescent="0.2">
      <c r="A3106" s="2">
        <v>2026</v>
      </c>
      <c r="B3106" s="2">
        <v>2</v>
      </c>
      <c r="C3106" s="2" t="s">
        <v>787</v>
      </c>
      <c r="D3106" s="2" t="s">
        <v>38</v>
      </c>
      <c r="E3106" s="2" t="s">
        <v>39</v>
      </c>
      <c r="F3106" s="2">
        <v>510219675</v>
      </c>
      <c r="G3106" s="2" t="s">
        <v>40</v>
      </c>
      <c r="H3106" s="2" t="s">
        <v>788</v>
      </c>
      <c r="I3106" s="2" t="s">
        <v>789</v>
      </c>
      <c r="J3106" s="2">
        <v>917341136</v>
      </c>
      <c r="K3106" s="2" t="s">
        <v>100</v>
      </c>
      <c r="O3106" s="2" t="s">
        <v>115</v>
      </c>
      <c r="P3106" s="2" t="s">
        <v>1342</v>
      </c>
      <c r="Q3106" s="2" t="s">
        <v>1343</v>
      </c>
      <c r="R3106" s="2">
        <v>1</v>
      </c>
      <c r="S3106" s="2">
        <v>60.1</v>
      </c>
      <c r="T3106" s="2">
        <v>13.823</v>
      </c>
      <c r="U3106" s="2">
        <v>73.923000000000002</v>
      </c>
      <c r="W3106" s="5">
        <f t="shared" si="315"/>
        <v>1</v>
      </c>
      <c r="Y3106" s="2" t="s">
        <v>118</v>
      </c>
      <c r="AE3106" s="2">
        <f t="shared" si="309"/>
        <v>0</v>
      </c>
      <c r="AI3106" s="2">
        <f t="shared" si="310"/>
        <v>0</v>
      </c>
      <c r="AJ3106" s="2">
        <f t="shared" si="316"/>
        <v>60.1</v>
      </c>
      <c r="AK3106" s="5">
        <f t="shared" si="317"/>
        <v>1</v>
      </c>
    </row>
    <row r="3107" spans="1:37" x14ac:dyDescent="0.2">
      <c r="A3107" s="2">
        <v>2026</v>
      </c>
      <c r="B3107" s="2">
        <v>2</v>
      </c>
      <c r="C3107" s="2" t="s">
        <v>2464</v>
      </c>
      <c r="O3107" s="2" t="s">
        <v>115</v>
      </c>
      <c r="P3107" s="2" t="s">
        <v>2519</v>
      </c>
      <c r="Q3107" s="2" t="s">
        <v>2520</v>
      </c>
      <c r="R3107" s="2">
        <v>1</v>
      </c>
      <c r="S3107" s="2">
        <v>3754.3</v>
      </c>
      <c r="T3107" s="2">
        <v>863.48900000000003</v>
      </c>
      <c r="U3107" s="2">
        <v>4617.7890000000007</v>
      </c>
      <c r="W3107" s="5">
        <f t="shared" si="315"/>
        <v>1</v>
      </c>
      <c r="Y3107" s="2" t="s">
        <v>118</v>
      </c>
      <c r="AE3107" s="2">
        <f t="shared" si="309"/>
        <v>0</v>
      </c>
      <c r="AI3107" s="2">
        <f t="shared" si="310"/>
        <v>0</v>
      </c>
      <c r="AJ3107" s="2">
        <f t="shared" si="316"/>
        <v>3754.3</v>
      </c>
      <c r="AK3107" s="5">
        <f t="shared" si="317"/>
        <v>1</v>
      </c>
    </row>
    <row r="3108" spans="1:37" x14ac:dyDescent="0.2">
      <c r="A3108" s="2">
        <v>2026</v>
      </c>
      <c r="B3108" s="2">
        <v>2</v>
      </c>
      <c r="C3108" s="2" t="s">
        <v>333</v>
      </c>
      <c r="D3108" s="2" t="s">
        <v>109</v>
      </c>
      <c r="E3108" s="2" t="s">
        <v>39</v>
      </c>
      <c r="F3108" s="2">
        <v>513493557</v>
      </c>
      <c r="G3108" s="2" t="s">
        <v>41</v>
      </c>
      <c r="H3108" s="2" t="s">
        <v>280</v>
      </c>
      <c r="I3108" s="2" t="s">
        <v>334</v>
      </c>
      <c r="K3108" s="2" t="s">
        <v>178</v>
      </c>
      <c r="O3108" s="2" t="s">
        <v>115</v>
      </c>
      <c r="P3108" s="2" t="s">
        <v>581</v>
      </c>
      <c r="Q3108" s="2" t="s">
        <v>582</v>
      </c>
      <c r="R3108" s="2">
        <v>1</v>
      </c>
      <c r="S3108" s="2">
        <v>79.47</v>
      </c>
      <c r="T3108" s="2">
        <v>18.278099999999998</v>
      </c>
      <c r="U3108" s="2">
        <v>97.748099999999994</v>
      </c>
      <c r="W3108" s="5">
        <f t="shared" si="315"/>
        <v>1</v>
      </c>
      <c r="Y3108" s="2" t="s">
        <v>118</v>
      </c>
      <c r="AE3108" s="2">
        <f t="shared" si="309"/>
        <v>0</v>
      </c>
      <c r="AI3108" s="2">
        <f t="shared" si="310"/>
        <v>0</v>
      </c>
      <c r="AJ3108" s="2">
        <f t="shared" si="316"/>
        <v>79.47</v>
      </c>
      <c r="AK3108" s="5">
        <f t="shared" si="317"/>
        <v>1</v>
      </c>
    </row>
    <row r="3109" spans="1:37" x14ac:dyDescent="0.2">
      <c r="A3109" s="2">
        <v>2026</v>
      </c>
      <c r="B3109" s="2">
        <v>2</v>
      </c>
      <c r="C3109" s="2" t="s">
        <v>579</v>
      </c>
      <c r="D3109" s="2" t="s">
        <v>38</v>
      </c>
      <c r="E3109" s="2" t="s">
        <v>39</v>
      </c>
      <c r="F3109" s="2">
        <v>504811029</v>
      </c>
      <c r="G3109" s="2" t="s">
        <v>41</v>
      </c>
      <c r="H3109" s="2" t="s">
        <v>178</v>
      </c>
      <c r="I3109" s="2" t="s">
        <v>580</v>
      </c>
      <c r="K3109" s="2" t="s">
        <v>178</v>
      </c>
      <c r="L3109" s="2" t="s">
        <v>40</v>
      </c>
      <c r="N3109" s="2" t="s">
        <v>2521</v>
      </c>
      <c r="O3109" s="2" t="s">
        <v>115</v>
      </c>
      <c r="P3109" s="2" t="s">
        <v>581</v>
      </c>
      <c r="Q3109" s="2" t="s">
        <v>582</v>
      </c>
      <c r="R3109" s="2">
        <v>1</v>
      </c>
      <c r="S3109" s="2">
        <v>79.47</v>
      </c>
      <c r="T3109" s="2">
        <v>18.278099999999998</v>
      </c>
      <c r="U3109" s="2">
        <v>97.748099999999994</v>
      </c>
      <c r="V3109" s="2">
        <v>25.2</v>
      </c>
      <c r="W3109" s="5">
        <f t="shared" si="315"/>
        <v>0.68289920724801811</v>
      </c>
      <c r="Y3109" s="2" t="s">
        <v>118</v>
      </c>
      <c r="Z3109" s="2" t="s">
        <v>583</v>
      </c>
      <c r="AA3109" s="2" t="s">
        <v>120</v>
      </c>
      <c r="AB3109" s="2" t="s">
        <v>115</v>
      </c>
      <c r="AE3109" s="2">
        <f t="shared" si="309"/>
        <v>0</v>
      </c>
      <c r="AF3109" s="2">
        <v>25.2</v>
      </c>
      <c r="AI3109" s="2">
        <f t="shared" si="310"/>
        <v>0</v>
      </c>
      <c r="AJ3109" s="2">
        <f t="shared" si="316"/>
        <v>54.269999999999996</v>
      </c>
      <c r="AK3109" s="5">
        <f t="shared" si="317"/>
        <v>0.68289920724801811</v>
      </c>
    </row>
    <row r="3110" spans="1:37" x14ac:dyDescent="0.2">
      <c r="A3110" s="2">
        <v>2026</v>
      </c>
      <c r="B3110" s="2">
        <v>2</v>
      </c>
      <c r="C3110" s="2" t="s">
        <v>489</v>
      </c>
      <c r="D3110" s="2" t="s">
        <v>109</v>
      </c>
      <c r="E3110" s="2" t="s">
        <v>39</v>
      </c>
      <c r="F3110" s="2">
        <v>506834689</v>
      </c>
      <c r="G3110" s="2" t="s">
        <v>41</v>
      </c>
      <c r="H3110" s="2" t="s">
        <v>490</v>
      </c>
      <c r="I3110" s="2" t="s">
        <v>491</v>
      </c>
      <c r="J3110" s="2">
        <v>919866237</v>
      </c>
      <c r="K3110" s="2" t="s">
        <v>465</v>
      </c>
      <c r="L3110" s="2" t="s">
        <v>41</v>
      </c>
      <c r="O3110" s="2" t="s">
        <v>115</v>
      </c>
      <c r="P3110" s="2" t="s">
        <v>1538</v>
      </c>
      <c r="Q3110" s="2" t="s">
        <v>1539</v>
      </c>
      <c r="R3110" s="2">
        <v>1</v>
      </c>
      <c r="S3110" s="2">
        <v>0</v>
      </c>
      <c r="T3110" s="2">
        <v>0</v>
      </c>
      <c r="U3110" s="2">
        <v>0</v>
      </c>
      <c r="W3110" s="5">
        <v>0</v>
      </c>
      <c r="Y3110" s="2" t="s">
        <v>118</v>
      </c>
      <c r="AE3110" s="2">
        <f t="shared" si="309"/>
        <v>0</v>
      </c>
      <c r="AI3110" s="2">
        <f t="shared" si="310"/>
        <v>0</v>
      </c>
      <c r="AJ3110" s="2">
        <f t="shared" si="316"/>
        <v>0</v>
      </c>
      <c r="AK3110" s="5" t="e">
        <f t="shared" si="317"/>
        <v>#DIV/0!</v>
      </c>
    </row>
    <row r="3111" spans="1:37" x14ac:dyDescent="0.2">
      <c r="A3111" s="2">
        <v>2026</v>
      </c>
      <c r="B3111" s="2">
        <v>2</v>
      </c>
      <c r="C3111" s="2" t="s">
        <v>1364</v>
      </c>
      <c r="D3111" s="2" t="s">
        <v>109</v>
      </c>
      <c r="E3111" s="2" t="s">
        <v>397</v>
      </c>
      <c r="F3111" s="2">
        <v>502401010</v>
      </c>
      <c r="G3111" s="2" t="s">
        <v>291</v>
      </c>
      <c r="H3111" s="2" t="s">
        <v>2522</v>
      </c>
      <c r="I3111" s="2" t="s">
        <v>2523</v>
      </c>
      <c r="K3111" s="2" t="s">
        <v>294</v>
      </c>
      <c r="O3111" s="2" t="s">
        <v>115</v>
      </c>
      <c r="P3111" s="2" t="s">
        <v>2524</v>
      </c>
      <c r="Q3111" s="2" t="s">
        <v>2525</v>
      </c>
      <c r="R3111" s="2">
        <v>1</v>
      </c>
      <c r="S3111" s="2">
        <v>1594.72</v>
      </c>
      <c r="T3111" s="2">
        <v>366.78559999999999</v>
      </c>
      <c r="U3111" s="2">
        <v>1961.5056</v>
      </c>
      <c r="W3111" s="5">
        <f t="shared" ref="W3111:W3129" si="318">(S3111-V3111)/S3111</f>
        <v>1</v>
      </c>
      <c r="Y3111" s="2" t="s">
        <v>118</v>
      </c>
      <c r="AE3111" s="2">
        <f t="shared" si="309"/>
        <v>0</v>
      </c>
      <c r="AI3111" s="2">
        <f t="shared" si="310"/>
        <v>0</v>
      </c>
      <c r="AJ3111" s="2">
        <f t="shared" si="316"/>
        <v>1594.72</v>
      </c>
      <c r="AK3111" s="5">
        <f t="shared" si="317"/>
        <v>1</v>
      </c>
    </row>
    <row r="3112" spans="1:37" x14ac:dyDescent="0.2">
      <c r="A3112" s="2">
        <v>2026</v>
      </c>
      <c r="B3112" s="2">
        <v>2</v>
      </c>
      <c r="C3112" s="2" t="s">
        <v>3273</v>
      </c>
      <c r="D3112" s="2" t="s">
        <v>38</v>
      </c>
      <c r="E3112" s="2" t="s">
        <v>474</v>
      </c>
      <c r="F3112" s="2">
        <v>513626930</v>
      </c>
      <c r="G3112" s="2" t="s">
        <v>40</v>
      </c>
      <c r="H3112" s="2" t="s">
        <v>340</v>
      </c>
      <c r="I3112" s="2" t="s">
        <v>475</v>
      </c>
      <c r="K3112" s="2" t="s">
        <v>345</v>
      </c>
      <c r="L3112" s="2" t="s">
        <v>40</v>
      </c>
      <c r="N3112" s="2" t="s">
        <v>2526</v>
      </c>
      <c r="O3112" s="2" t="s">
        <v>115</v>
      </c>
      <c r="P3112" s="2" t="s">
        <v>1192</v>
      </c>
      <c r="Q3112" s="2" t="s">
        <v>1193</v>
      </c>
      <c r="R3112" s="2">
        <v>1</v>
      </c>
      <c r="S3112" s="2">
        <v>11990</v>
      </c>
      <c r="T3112" s="2">
        <v>2757.7</v>
      </c>
      <c r="U3112" s="2">
        <v>14747.7</v>
      </c>
      <c r="V3112" s="2">
        <v>7437.5950000000003</v>
      </c>
      <c r="W3112" s="5">
        <f t="shared" si="318"/>
        <v>0.3796834862385321</v>
      </c>
      <c r="Y3112" s="2" t="s">
        <v>105</v>
      </c>
      <c r="Z3112" s="2" t="s">
        <v>418</v>
      </c>
      <c r="AA3112" s="2" t="s">
        <v>152</v>
      </c>
      <c r="AB3112" s="2" t="s">
        <v>115</v>
      </c>
      <c r="AE3112" s="2">
        <f t="shared" si="309"/>
        <v>0</v>
      </c>
      <c r="AF3112" s="2">
        <v>7437.5950000000003</v>
      </c>
      <c r="AI3112" s="2">
        <f t="shared" si="310"/>
        <v>0</v>
      </c>
      <c r="AJ3112" s="2">
        <f t="shared" si="316"/>
        <v>4552.4049999999997</v>
      </c>
      <c r="AK3112" s="5">
        <f t="shared" si="317"/>
        <v>0.3796834862385321</v>
      </c>
    </row>
    <row r="3113" spans="1:37" x14ac:dyDescent="0.2">
      <c r="A3113" s="2">
        <v>2026</v>
      </c>
      <c r="B3113" s="2">
        <v>2</v>
      </c>
      <c r="C3113" s="2" t="s">
        <v>611</v>
      </c>
      <c r="D3113" s="2" t="s">
        <v>109</v>
      </c>
      <c r="E3113" s="2" t="s">
        <v>39</v>
      </c>
      <c r="F3113" s="2">
        <v>504822187</v>
      </c>
      <c r="G3113" s="2" t="s">
        <v>110</v>
      </c>
      <c r="H3113" s="2" t="s">
        <v>612</v>
      </c>
      <c r="I3113" s="2" t="s">
        <v>613</v>
      </c>
      <c r="J3113" s="2">
        <v>966216853</v>
      </c>
      <c r="K3113" s="2" t="s">
        <v>465</v>
      </c>
      <c r="O3113" s="2" t="s">
        <v>115</v>
      </c>
      <c r="P3113" s="2" t="s">
        <v>842</v>
      </c>
      <c r="Q3113" s="2" t="s">
        <v>843</v>
      </c>
      <c r="R3113" s="2">
        <v>1</v>
      </c>
      <c r="S3113" s="2">
        <v>13990</v>
      </c>
      <c r="T3113" s="2">
        <v>3217.7</v>
      </c>
      <c r="U3113" s="2">
        <v>17207.7</v>
      </c>
      <c r="V3113" s="2">
        <v>9589.8799999999992</v>
      </c>
      <c r="W3113" s="5">
        <f t="shared" si="318"/>
        <v>0.31451894210150111</v>
      </c>
      <c r="Y3113" s="2" t="s">
        <v>105</v>
      </c>
      <c r="Z3113" s="2" t="s">
        <v>418</v>
      </c>
      <c r="AA3113" s="2" t="s">
        <v>152</v>
      </c>
      <c r="AB3113" s="2" t="s">
        <v>115</v>
      </c>
      <c r="AE3113" s="2">
        <f t="shared" si="309"/>
        <v>0</v>
      </c>
      <c r="AI3113" s="2">
        <f t="shared" si="310"/>
        <v>0</v>
      </c>
      <c r="AJ3113" s="2">
        <f t="shared" si="316"/>
        <v>4400.1200000000008</v>
      </c>
      <c r="AK3113" s="5">
        <f t="shared" si="317"/>
        <v>0.31451894210150111</v>
      </c>
    </row>
    <row r="3114" spans="1:37" x14ac:dyDescent="0.2">
      <c r="A3114" s="2">
        <v>2026</v>
      </c>
      <c r="B3114" s="2">
        <v>1</v>
      </c>
      <c r="C3114" s="2" t="s">
        <v>3272</v>
      </c>
      <c r="D3114" s="2" t="s">
        <v>38</v>
      </c>
      <c r="E3114" s="2" t="s">
        <v>474</v>
      </c>
      <c r="F3114" s="2">
        <v>513626930</v>
      </c>
      <c r="G3114" s="2" t="s">
        <v>40</v>
      </c>
      <c r="H3114" s="2" t="s">
        <v>340</v>
      </c>
      <c r="I3114" s="2" t="s">
        <v>475</v>
      </c>
      <c r="K3114" s="2" t="s">
        <v>361</v>
      </c>
      <c r="L3114" s="2" t="s">
        <v>110</v>
      </c>
      <c r="N3114" s="2" t="s">
        <v>2527</v>
      </c>
      <c r="O3114" s="2" t="s">
        <v>115</v>
      </c>
      <c r="P3114" s="2" t="s">
        <v>963</v>
      </c>
      <c r="Q3114" s="2" t="s">
        <v>964</v>
      </c>
      <c r="R3114" s="2">
        <v>1</v>
      </c>
      <c r="S3114" s="2">
        <v>8930</v>
      </c>
      <c r="T3114" s="2">
        <v>2053.9</v>
      </c>
      <c r="U3114" s="2">
        <v>10983.9</v>
      </c>
      <c r="V3114" s="2">
        <v>6468.73</v>
      </c>
      <c r="W3114" s="5">
        <f t="shared" si="318"/>
        <v>0.27561814109742444</v>
      </c>
      <c r="Y3114" s="2" t="s">
        <v>105</v>
      </c>
      <c r="Z3114" s="2" t="s">
        <v>621</v>
      </c>
      <c r="AA3114" s="2" t="s">
        <v>965</v>
      </c>
      <c r="AB3114" s="2" t="s">
        <v>115</v>
      </c>
      <c r="AE3114" s="2">
        <f t="shared" si="309"/>
        <v>0</v>
      </c>
      <c r="AF3114" s="2">
        <f>6193.4+275.33</f>
        <v>6468.73</v>
      </c>
      <c r="AI3114" s="2">
        <f t="shared" si="310"/>
        <v>0</v>
      </c>
      <c r="AJ3114" s="2">
        <f t="shared" si="316"/>
        <v>2461.2700000000004</v>
      </c>
      <c r="AK3114" s="5">
        <f t="shared" si="317"/>
        <v>0.27561814109742444</v>
      </c>
    </row>
    <row r="3115" spans="1:37" x14ac:dyDescent="0.2">
      <c r="A3115" s="2">
        <v>2026</v>
      </c>
      <c r="B3115" s="2">
        <v>2</v>
      </c>
      <c r="C3115" s="2" t="s">
        <v>3274</v>
      </c>
      <c r="D3115" s="2" t="s">
        <v>38</v>
      </c>
      <c r="E3115" s="2" t="s">
        <v>474</v>
      </c>
      <c r="F3115" s="2">
        <v>513626930</v>
      </c>
      <c r="G3115" s="2" t="s">
        <v>40</v>
      </c>
      <c r="H3115" s="2" t="s">
        <v>340</v>
      </c>
      <c r="I3115" s="2" t="s">
        <v>475</v>
      </c>
      <c r="K3115" s="2" t="s">
        <v>178</v>
      </c>
      <c r="L3115" s="2" t="s">
        <v>41</v>
      </c>
      <c r="N3115" s="2" t="s">
        <v>2528</v>
      </c>
      <c r="O3115" s="2" t="s">
        <v>115</v>
      </c>
      <c r="P3115" s="2" t="s">
        <v>963</v>
      </c>
      <c r="Q3115" s="2" t="s">
        <v>964</v>
      </c>
      <c r="R3115" s="2">
        <v>1</v>
      </c>
      <c r="S3115" s="2">
        <v>8930</v>
      </c>
      <c r="T3115" s="2">
        <v>2053.9</v>
      </c>
      <c r="U3115" s="2">
        <v>10983.9</v>
      </c>
      <c r="V3115" s="2">
        <v>6468.73</v>
      </c>
      <c r="W3115" s="5">
        <f t="shared" si="318"/>
        <v>0.27561814109742444</v>
      </c>
      <c r="Y3115" s="2" t="s">
        <v>105</v>
      </c>
      <c r="Z3115" s="2" t="s">
        <v>621</v>
      </c>
      <c r="AA3115" s="2" t="s">
        <v>965</v>
      </c>
      <c r="AB3115" s="2" t="s">
        <v>115</v>
      </c>
      <c r="AE3115" s="2">
        <f t="shared" si="309"/>
        <v>0</v>
      </c>
      <c r="AF3115" s="2">
        <v>6468.73</v>
      </c>
      <c r="AI3115" s="2">
        <f t="shared" si="310"/>
        <v>0</v>
      </c>
      <c r="AJ3115" s="2">
        <f t="shared" si="316"/>
        <v>2461.2700000000004</v>
      </c>
      <c r="AK3115" s="5">
        <f t="shared" si="317"/>
        <v>0.27561814109742444</v>
      </c>
    </row>
    <row r="3116" spans="1:37" x14ac:dyDescent="0.2">
      <c r="A3116" s="2">
        <v>2026</v>
      </c>
      <c r="B3116" s="2">
        <v>2</v>
      </c>
      <c r="C3116" s="2" t="s">
        <v>1129</v>
      </c>
      <c r="D3116" s="2" t="s">
        <v>109</v>
      </c>
      <c r="E3116" s="2" t="s">
        <v>39</v>
      </c>
      <c r="F3116" s="2">
        <v>504923765</v>
      </c>
      <c r="G3116" s="2" t="s">
        <v>110</v>
      </c>
      <c r="H3116" s="2" t="s">
        <v>3275</v>
      </c>
      <c r="I3116" s="2" t="s">
        <v>3276</v>
      </c>
      <c r="J3116" s="2">
        <v>96179412</v>
      </c>
      <c r="K3116" s="2" t="s">
        <v>465</v>
      </c>
      <c r="L3116" s="2" t="s">
        <v>110</v>
      </c>
      <c r="N3116" s="2" t="s">
        <v>3277</v>
      </c>
      <c r="O3116" s="2" t="s">
        <v>115</v>
      </c>
      <c r="P3116" s="2" t="s">
        <v>963</v>
      </c>
      <c r="Q3116" s="2" t="s">
        <v>964</v>
      </c>
      <c r="R3116" s="2">
        <v>1</v>
      </c>
      <c r="S3116" s="2">
        <v>8930</v>
      </c>
      <c r="T3116" s="2">
        <v>2053.9</v>
      </c>
      <c r="U3116" s="2">
        <v>10983.9</v>
      </c>
      <c r="V3116" s="2">
        <v>6468.73</v>
      </c>
      <c r="W3116" s="5">
        <f t="shared" si="318"/>
        <v>0.27561814109742444</v>
      </c>
      <c r="Y3116" s="2" t="s">
        <v>105</v>
      </c>
      <c r="Z3116" s="2" t="s">
        <v>621</v>
      </c>
      <c r="AA3116" s="2" t="s">
        <v>965</v>
      </c>
      <c r="AB3116" s="2" t="s">
        <v>115</v>
      </c>
      <c r="AE3116" s="2">
        <f t="shared" si="309"/>
        <v>0</v>
      </c>
      <c r="AF3116" s="2">
        <v>6468.73</v>
      </c>
      <c r="AI3116" s="2">
        <f t="shared" si="310"/>
        <v>0</v>
      </c>
      <c r="AJ3116" s="2">
        <f t="shared" si="316"/>
        <v>2461.2700000000004</v>
      </c>
      <c r="AK3116" s="5">
        <f t="shared" si="317"/>
        <v>0.27561814109742444</v>
      </c>
    </row>
    <row r="3117" spans="1:37" x14ac:dyDescent="0.2">
      <c r="A3117" s="2">
        <v>2026</v>
      </c>
      <c r="B3117" s="2">
        <v>2</v>
      </c>
      <c r="C3117" s="2" t="s">
        <v>2529</v>
      </c>
      <c r="O3117" s="2" t="s">
        <v>115</v>
      </c>
      <c r="P3117" s="2" t="s">
        <v>886</v>
      </c>
      <c r="Q3117" s="2" t="s">
        <v>887</v>
      </c>
      <c r="R3117" s="2">
        <v>1</v>
      </c>
      <c r="S3117" s="2">
        <v>4471.55</v>
      </c>
      <c r="T3117" s="2">
        <v>1028.4565</v>
      </c>
      <c r="U3117" s="2">
        <v>5500.0065000000004</v>
      </c>
      <c r="V3117" s="2">
        <v>3279.19</v>
      </c>
      <c r="W3117" s="5">
        <f t="shared" si="318"/>
        <v>0.26665473940803525</v>
      </c>
      <c r="Y3117" s="2" t="s">
        <v>105</v>
      </c>
      <c r="Z3117" s="2" t="s">
        <v>621</v>
      </c>
      <c r="AA3117" s="2" t="s">
        <v>2530</v>
      </c>
      <c r="AB3117" s="2" t="s">
        <v>115</v>
      </c>
      <c r="AE3117" s="2">
        <f t="shared" si="309"/>
        <v>0</v>
      </c>
      <c r="AF3117" s="2">
        <f>3130.82+148.37</f>
        <v>3279.19</v>
      </c>
      <c r="AI3117" s="2">
        <f t="shared" si="310"/>
        <v>0</v>
      </c>
      <c r="AJ3117" s="2">
        <f t="shared" si="316"/>
        <v>1192.3600000000001</v>
      </c>
      <c r="AK3117" s="5">
        <f t="shared" si="317"/>
        <v>0.26665473940803525</v>
      </c>
    </row>
    <row r="3118" spans="1:37" x14ac:dyDescent="0.2">
      <c r="A3118" s="2">
        <v>2026</v>
      </c>
      <c r="B3118" s="2">
        <v>2</v>
      </c>
      <c r="C3118" s="2" t="s">
        <v>3274</v>
      </c>
      <c r="D3118" s="2" t="s">
        <v>38</v>
      </c>
      <c r="E3118" s="2" t="s">
        <v>474</v>
      </c>
      <c r="F3118" s="2">
        <v>513626930</v>
      </c>
      <c r="G3118" s="2" t="s">
        <v>40</v>
      </c>
      <c r="H3118" s="2" t="s">
        <v>340</v>
      </c>
      <c r="I3118" s="2" t="s">
        <v>475</v>
      </c>
      <c r="K3118" s="2" t="s">
        <v>178</v>
      </c>
      <c r="L3118" s="2" t="s">
        <v>41</v>
      </c>
      <c r="N3118" s="2" t="s">
        <v>2528</v>
      </c>
      <c r="O3118" s="2" t="s">
        <v>115</v>
      </c>
      <c r="P3118" s="2" t="s">
        <v>844</v>
      </c>
      <c r="Q3118" s="2" t="s">
        <v>845</v>
      </c>
      <c r="R3118" s="2">
        <v>1</v>
      </c>
      <c r="S3118" s="2">
        <v>4290</v>
      </c>
      <c r="T3118" s="2">
        <v>986.7</v>
      </c>
      <c r="U3118" s="2">
        <v>5276.7</v>
      </c>
      <c r="V3118" s="2">
        <v>3345.12</v>
      </c>
      <c r="W3118" s="5">
        <f t="shared" si="318"/>
        <v>0.22025174825174829</v>
      </c>
      <c r="Y3118" s="2" t="s">
        <v>105</v>
      </c>
      <c r="Z3118" s="2" t="s">
        <v>151</v>
      </c>
      <c r="AA3118" s="2" t="s">
        <v>152</v>
      </c>
      <c r="AB3118" s="2" t="s">
        <v>115</v>
      </c>
      <c r="AE3118" s="2">
        <f t="shared" si="309"/>
        <v>0</v>
      </c>
      <c r="AF3118" s="2">
        <v>3345.125</v>
      </c>
      <c r="AI3118" s="2">
        <f t="shared" si="310"/>
        <v>0</v>
      </c>
      <c r="AJ3118" s="2">
        <f t="shared" si="316"/>
        <v>944.88000000000011</v>
      </c>
      <c r="AK3118" s="5">
        <f t="shared" si="317"/>
        <v>0.22025174825174829</v>
      </c>
    </row>
    <row r="3119" spans="1:37" x14ac:dyDescent="0.2">
      <c r="A3119" s="2">
        <v>2026</v>
      </c>
      <c r="B3119" s="2">
        <v>2</v>
      </c>
      <c r="C3119" s="2" t="s">
        <v>489</v>
      </c>
      <c r="D3119" s="2" t="s">
        <v>109</v>
      </c>
      <c r="E3119" s="2" t="s">
        <v>39</v>
      </c>
      <c r="F3119" s="2">
        <v>506834689</v>
      </c>
      <c r="G3119" s="2" t="s">
        <v>41</v>
      </c>
      <c r="H3119" s="2" t="s">
        <v>490</v>
      </c>
      <c r="I3119" s="2" t="s">
        <v>491</v>
      </c>
      <c r="J3119" s="2">
        <v>919866237</v>
      </c>
      <c r="K3119" s="2" t="s">
        <v>465</v>
      </c>
      <c r="L3119" s="2" t="s">
        <v>41</v>
      </c>
      <c r="O3119" s="2" t="s">
        <v>115</v>
      </c>
      <c r="P3119" s="2" t="s">
        <v>1594</v>
      </c>
      <c r="Q3119" s="2" t="s">
        <v>1595</v>
      </c>
      <c r="R3119" s="2">
        <v>1</v>
      </c>
      <c r="S3119" s="2">
        <v>7990</v>
      </c>
      <c r="T3119" s="2">
        <v>1837.7</v>
      </c>
      <c r="U3119" s="2">
        <v>9827.7000000000007</v>
      </c>
      <c r="V3119" s="2">
        <v>5064.2299999999996</v>
      </c>
      <c r="W3119" s="5">
        <f t="shared" si="318"/>
        <v>0.36617897371714647</v>
      </c>
      <c r="Y3119" s="2" t="s">
        <v>105</v>
      </c>
      <c r="Z3119" s="2" t="s">
        <v>151</v>
      </c>
      <c r="AA3119" s="2" t="s">
        <v>152</v>
      </c>
      <c r="AB3119" s="2" t="s">
        <v>115</v>
      </c>
      <c r="AE3119" s="2">
        <f t="shared" si="309"/>
        <v>0</v>
      </c>
      <c r="AF3119" s="2">
        <f>4893.23+171</f>
        <v>5064.2299999999996</v>
      </c>
      <c r="AI3119" s="2">
        <f t="shared" si="310"/>
        <v>0</v>
      </c>
      <c r="AJ3119" s="2">
        <f t="shared" si="316"/>
        <v>2925.7700000000004</v>
      </c>
      <c r="AK3119" s="5">
        <f t="shared" si="317"/>
        <v>0.36617897371714647</v>
      </c>
    </row>
    <row r="3120" spans="1:37" x14ac:dyDescent="0.2">
      <c r="A3120" s="2">
        <v>2026</v>
      </c>
      <c r="B3120" s="2">
        <v>2</v>
      </c>
      <c r="C3120" s="2" t="s">
        <v>406</v>
      </c>
      <c r="D3120" s="2" t="s">
        <v>38</v>
      </c>
      <c r="E3120" s="2" t="s">
        <v>39</v>
      </c>
      <c r="F3120" s="2">
        <v>109095197</v>
      </c>
      <c r="G3120" s="2" t="s">
        <v>40</v>
      </c>
      <c r="H3120" s="2" t="s">
        <v>2498</v>
      </c>
      <c r="I3120" s="2" t="s">
        <v>3147</v>
      </c>
      <c r="J3120" s="2">
        <v>965864665</v>
      </c>
      <c r="K3120" s="2" t="s">
        <v>345</v>
      </c>
      <c r="L3120" s="2" t="s">
        <v>40</v>
      </c>
      <c r="N3120" s="2" t="s">
        <v>2499</v>
      </c>
      <c r="O3120" s="2" t="s">
        <v>1620</v>
      </c>
      <c r="P3120" s="2" t="s">
        <v>1785</v>
      </c>
      <c r="Q3120" s="2" t="s">
        <v>1786</v>
      </c>
      <c r="R3120" s="2">
        <v>1</v>
      </c>
      <c r="S3120" s="2">
        <v>68.86</v>
      </c>
      <c r="T3120" s="2">
        <v>15.8378</v>
      </c>
      <c r="U3120" s="2">
        <v>84.697800000000001</v>
      </c>
      <c r="V3120" s="2">
        <v>23.9572</v>
      </c>
      <c r="W3120" s="5">
        <f t="shared" si="318"/>
        <v>0.65208829509149002</v>
      </c>
      <c r="Y3120" s="2" t="s">
        <v>118</v>
      </c>
      <c r="Z3120" s="2" t="s">
        <v>119</v>
      </c>
      <c r="AA3120" s="2" t="s">
        <v>120</v>
      </c>
      <c r="AB3120" s="2" t="s">
        <v>1620</v>
      </c>
      <c r="AE3120" s="2">
        <f t="shared" si="309"/>
        <v>0</v>
      </c>
      <c r="AF3120" s="2">
        <v>23.9572</v>
      </c>
      <c r="AI3120" s="2">
        <f t="shared" si="310"/>
        <v>0</v>
      </c>
      <c r="AJ3120" s="2">
        <f t="shared" si="316"/>
        <v>44.902799999999999</v>
      </c>
      <c r="AK3120" s="5">
        <f t="shared" si="317"/>
        <v>0.65208829509149002</v>
      </c>
    </row>
    <row r="3121" spans="1:37" x14ac:dyDescent="0.2">
      <c r="A3121" s="2">
        <v>2026</v>
      </c>
      <c r="B3121" s="2">
        <v>2</v>
      </c>
      <c r="C3121" s="2" t="s">
        <v>2531</v>
      </c>
      <c r="O3121" s="2" t="s">
        <v>1620</v>
      </c>
      <c r="P3121" s="2" t="s">
        <v>1785</v>
      </c>
      <c r="Q3121" s="2" t="s">
        <v>1786</v>
      </c>
      <c r="R3121" s="2">
        <v>1</v>
      </c>
      <c r="S3121" s="2">
        <v>68.86</v>
      </c>
      <c r="T3121" s="2">
        <v>15.8378</v>
      </c>
      <c r="U3121" s="2">
        <v>84.697800000000001</v>
      </c>
      <c r="V3121" s="2">
        <v>23.9572</v>
      </c>
      <c r="W3121" s="5">
        <f t="shared" si="318"/>
        <v>0.65208829509149002</v>
      </c>
      <c r="Y3121" s="2" t="s">
        <v>118</v>
      </c>
      <c r="Z3121" s="2" t="s">
        <v>119</v>
      </c>
      <c r="AA3121" s="2" t="s">
        <v>120</v>
      </c>
      <c r="AB3121" s="2" t="s">
        <v>1620</v>
      </c>
      <c r="AE3121" s="2">
        <f t="shared" si="309"/>
        <v>0</v>
      </c>
      <c r="AF3121" s="2">
        <v>23.9572</v>
      </c>
      <c r="AI3121" s="2">
        <f t="shared" si="310"/>
        <v>0</v>
      </c>
      <c r="AJ3121" s="2">
        <f t="shared" si="316"/>
        <v>44.902799999999999</v>
      </c>
      <c r="AK3121" s="5">
        <f t="shared" si="317"/>
        <v>0.65208829509149002</v>
      </c>
    </row>
    <row r="3122" spans="1:37" x14ac:dyDescent="0.2">
      <c r="A3122" s="2">
        <v>2026</v>
      </c>
      <c r="B3122" s="2">
        <v>2</v>
      </c>
      <c r="C3122" s="2" t="s">
        <v>750</v>
      </c>
      <c r="D3122" s="2" t="s">
        <v>109</v>
      </c>
      <c r="E3122" s="2" t="s">
        <v>39</v>
      </c>
      <c r="F3122" s="2">
        <v>509181163</v>
      </c>
      <c r="G3122" s="2" t="s">
        <v>40</v>
      </c>
      <c r="H3122" s="2" t="s">
        <v>751</v>
      </c>
      <c r="I3122" s="2" t="s">
        <v>752</v>
      </c>
      <c r="J3122" s="2">
        <v>962372760</v>
      </c>
      <c r="K3122" s="2" t="s">
        <v>202</v>
      </c>
      <c r="O3122" s="2" t="s">
        <v>1620</v>
      </c>
      <c r="P3122" s="2" t="s">
        <v>1618</v>
      </c>
      <c r="Q3122" s="2" t="s">
        <v>1619</v>
      </c>
      <c r="R3122" s="2">
        <v>1</v>
      </c>
      <c r="S3122" s="2">
        <v>68.86</v>
      </c>
      <c r="T3122" s="2">
        <v>15.8378</v>
      </c>
      <c r="U3122" s="2">
        <v>84.697800000000001</v>
      </c>
      <c r="V3122" s="2">
        <v>10.15</v>
      </c>
      <c r="W3122" s="5">
        <f t="shared" si="318"/>
        <v>0.8525994772001162</v>
      </c>
      <c r="Y3122" s="2" t="s">
        <v>118</v>
      </c>
      <c r="Z3122" s="2" t="s">
        <v>119</v>
      </c>
      <c r="AA3122" s="2" t="s">
        <v>120</v>
      </c>
      <c r="AB3122" s="2" t="s">
        <v>1620</v>
      </c>
      <c r="AE3122" s="2">
        <f t="shared" si="309"/>
        <v>0</v>
      </c>
      <c r="AF3122" s="2">
        <v>10.15</v>
      </c>
      <c r="AI3122" s="2">
        <f t="shared" si="310"/>
        <v>0</v>
      </c>
      <c r="AJ3122" s="2">
        <f t="shared" si="316"/>
        <v>58.71</v>
      </c>
      <c r="AK3122" s="5">
        <f t="shared" si="317"/>
        <v>0.8525994772001162</v>
      </c>
    </row>
    <row r="3123" spans="1:37" x14ac:dyDescent="0.2">
      <c r="A3123" s="2">
        <v>2026</v>
      </c>
      <c r="B3123" s="2">
        <v>2</v>
      </c>
      <c r="C3123" s="2" t="s">
        <v>2532</v>
      </c>
      <c r="O3123" s="2" t="s">
        <v>153</v>
      </c>
      <c r="P3123" s="2" t="s">
        <v>2533</v>
      </c>
      <c r="Q3123" s="2" t="s">
        <v>2534</v>
      </c>
      <c r="R3123" s="2">
        <v>1</v>
      </c>
      <c r="S3123" s="2">
        <v>15</v>
      </c>
      <c r="T3123" s="2">
        <v>3.45</v>
      </c>
      <c r="U3123" s="2">
        <v>18.45</v>
      </c>
      <c r="W3123" s="5">
        <f t="shared" si="318"/>
        <v>1</v>
      </c>
      <c r="Y3123" s="2" t="s">
        <v>3256</v>
      </c>
      <c r="Z3123" s="2" t="s">
        <v>156</v>
      </c>
      <c r="AA3123" s="2" t="s">
        <v>155</v>
      </c>
      <c r="AB3123" s="2" t="s">
        <v>153</v>
      </c>
      <c r="AE3123" s="2">
        <f t="shared" si="309"/>
        <v>0</v>
      </c>
      <c r="AI3123" s="2">
        <f t="shared" si="310"/>
        <v>0</v>
      </c>
      <c r="AJ3123" s="2">
        <f t="shared" si="316"/>
        <v>15</v>
      </c>
      <c r="AK3123" s="5">
        <f t="shared" si="317"/>
        <v>1</v>
      </c>
    </row>
    <row r="3124" spans="1:37" x14ac:dyDescent="0.2">
      <c r="A3124" s="2">
        <v>2026</v>
      </c>
      <c r="B3124" s="2">
        <v>2</v>
      </c>
      <c r="C3124" s="2" t="s">
        <v>2532</v>
      </c>
      <c r="O3124" s="2" t="s">
        <v>153</v>
      </c>
      <c r="P3124" s="2" t="s">
        <v>154</v>
      </c>
      <c r="Q3124" s="2" t="s">
        <v>155</v>
      </c>
      <c r="R3124" s="2">
        <v>20</v>
      </c>
      <c r="S3124" s="2">
        <v>15</v>
      </c>
      <c r="T3124" s="2">
        <v>3.45</v>
      </c>
      <c r="U3124" s="2">
        <v>18.45</v>
      </c>
      <c r="W3124" s="5">
        <f t="shared" si="318"/>
        <v>1</v>
      </c>
      <c r="Y3124" s="2" t="s">
        <v>3256</v>
      </c>
      <c r="Z3124" s="2" t="s">
        <v>156</v>
      </c>
      <c r="AA3124" s="2" t="s">
        <v>155</v>
      </c>
      <c r="AB3124" s="2" t="s">
        <v>153</v>
      </c>
      <c r="AE3124" s="2">
        <f t="shared" si="309"/>
        <v>0</v>
      </c>
      <c r="AI3124" s="2">
        <f t="shared" si="310"/>
        <v>0</v>
      </c>
      <c r="AJ3124" s="2">
        <f t="shared" si="316"/>
        <v>15</v>
      </c>
      <c r="AK3124" s="5">
        <f t="shared" si="317"/>
        <v>1</v>
      </c>
    </row>
    <row r="3125" spans="1:37" x14ac:dyDescent="0.2">
      <c r="A3125" s="2">
        <v>2026</v>
      </c>
      <c r="B3125" s="2">
        <v>2</v>
      </c>
      <c r="C3125" s="2" t="s">
        <v>2535</v>
      </c>
      <c r="L3125" s="2" t="s">
        <v>110</v>
      </c>
      <c r="O3125" s="2" t="s">
        <v>283</v>
      </c>
      <c r="P3125" s="2" t="s">
        <v>2536</v>
      </c>
      <c r="Q3125" s="2" t="s">
        <v>2537</v>
      </c>
      <c r="R3125" s="2">
        <v>1</v>
      </c>
      <c r="S3125" s="2">
        <v>790</v>
      </c>
      <c r="T3125" s="2">
        <v>181.7</v>
      </c>
      <c r="U3125" s="2">
        <v>971.7</v>
      </c>
      <c r="V3125" s="2">
        <v>759</v>
      </c>
      <c r="W3125" s="5">
        <f t="shared" si="318"/>
        <v>3.9240506329113925E-2</v>
      </c>
      <c r="Y3125" s="2" t="s">
        <v>105</v>
      </c>
      <c r="Z3125" s="2" t="s">
        <v>72</v>
      </c>
      <c r="AA3125" s="2" t="s">
        <v>120</v>
      </c>
      <c r="AB3125" s="2" t="s">
        <v>120</v>
      </c>
      <c r="AE3125" s="2">
        <f t="shared" si="309"/>
        <v>0</v>
      </c>
      <c r="AF3125" s="2">
        <v>759</v>
      </c>
      <c r="AI3125" s="2">
        <f t="shared" si="310"/>
        <v>0</v>
      </c>
      <c r="AJ3125" s="2">
        <f t="shared" si="316"/>
        <v>31</v>
      </c>
      <c r="AK3125" s="5">
        <f t="shared" si="317"/>
        <v>3.9240506329113925E-2</v>
      </c>
    </row>
    <row r="3126" spans="1:37" x14ac:dyDescent="0.2">
      <c r="A3126" s="2">
        <v>2026</v>
      </c>
      <c r="B3126" s="2">
        <v>2</v>
      </c>
      <c r="C3126" s="2" t="s">
        <v>2538</v>
      </c>
      <c r="D3126" s="2" t="s">
        <v>758</v>
      </c>
      <c r="E3126" s="2" t="s">
        <v>39</v>
      </c>
      <c r="F3126" s="2">
        <v>515570354</v>
      </c>
      <c r="G3126" s="2" t="s">
        <v>110</v>
      </c>
      <c r="H3126" s="2" t="s">
        <v>2539</v>
      </c>
      <c r="I3126" s="2" t="s">
        <v>2540</v>
      </c>
      <c r="J3126" s="2">
        <v>967032538</v>
      </c>
      <c r="K3126" s="2" t="s">
        <v>400</v>
      </c>
      <c r="L3126" s="2" t="s">
        <v>110</v>
      </c>
      <c r="O3126" s="2" t="s">
        <v>283</v>
      </c>
      <c r="P3126" s="2" t="s">
        <v>1563</v>
      </c>
      <c r="Q3126" s="2" t="s">
        <v>1564</v>
      </c>
      <c r="R3126" s="2">
        <v>1</v>
      </c>
      <c r="S3126" s="2">
        <v>595</v>
      </c>
      <c r="T3126" s="2">
        <v>136.85</v>
      </c>
      <c r="U3126" s="2">
        <v>731.85</v>
      </c>
      <c r="V3126" s="2">
        <v>297</v>
      </c>
      <c r="W3126" s="5">
        <f t="shared" si="318"/>
        <v>0.50084033613445378</v>
      </c>
      <c r="Y3126" s="2" t="s">
        <v>105</v>
      </c>
      <c r="Z3126" s="2" t="s">
        <v>389</v>
      </c>
      <c r="AA3126" s="2" t="s">
        <v>390</v>
      </c>
      <c r="AB3126" s="2" t="s">
        <v>391</v>
      </c>
      <c r="AE3126" s="2">
        <f t="shared" si="309"/>
        <v>0</v>
      </c>
      <c r="AF3126" s="2">
        <v>297</v>
      </c>
      <c r="AG3126" s="2">
        <v>595</v>
      </c>
      <c r="AI3126" s="2">
        <f t="shared" si="310"/>
        <v>0</v>
      </c>
      <c r="AJ3126" s="2">
        <f t="shared" si="316"/>
        <v>298</v>
      </c>
      <c r="AK3126" s="5">
        <f t="shared" si="317"/>
        <v>0.50084033613445378</v>
      </c>
    </row>
    <row r="3127" spans="1:37" x14ac:dyDescent="0.2">
      <c r="A3127" s="2">
        <v>2026</v>
      </c>
      <c r="B3127" s="2">
        <v>2</v>
      </c>
      <c r="C3127" s="2" t="s">
        <v>1591</v>
      </c>
      <c r="D3127" s="2" t="s">
        <v>38</v>
      </c>
      <c r="F3127" s="2">
        <v>505123177</v>
      </c>
      <c r="G3127" s="2" t="s">
        <v>110</v>
      </c>
      <c r="H3127" s="2" t="s">
        <v>2541</v>
      </c>
      <c r="I3127" s="2" t="s">
        <v>2542</v>
      </c>
      <c r="K3127" s="2" t="s">
        <v>400</v>
      </c>
      <c r="L3127" s="2" t="s">
        <v>110</v>
      </c>
      <c r="O3127" s="2" t="s">
        <v>283</v>
      </c>
      <c r="P3127" s="2" t="s">
        <v>1563</v>
      </c>
      <c r="Q3127" s="2" t="s">
        <v>1564</v>
      </c>
      <c r="R3127" s="2">
        <v>1</v>
      </c>
      <c r="S3127" s="2">
        <v>595</v>
      </c>
      <c r="T3127" s="2">
        <v>136.85</v>
      </c>
      <c r="U3127" s="2">
        <v>731.85</v>
      </c>
      <c r="V3127" s="2">
        <v>297</v>
      </c>
      <c r="W3127" s="5">
        <f t="shared" si="318"/>
        <v>0.50084033613445378</v>
      </c>
      <c r="Y3127" s="2" t="s">
        <v>105</v>
      </c>
      <c r="Z3127" s="2" t="s">
        <v>389</v>
      </c>
      <c r="AA3127" s="2" t="s">
        <v>390</v>
      </c>
      <c r="AB3127" s="2" t="s">
        <v>391</v>
      </c>
      <c r="AE3127" s="2">
        <f t="shared" si="309"/>
        <v>0</v>
      </c>
      <c r="AF3127" s="2">
        <v>297</v>
      </c>
      <c r="AG3127" s="2">
        <v>595</v>
      </c>
      <c r="AI3127" s="2">
        <f t="shared" si="310"/>
        <v>0</v>
      </c>
      <c r="AJ3127" s="2">
        <f t="shared" si="316"/>
        <v>298</v>
      </c>
      <c r="AK3127" s="5">
        <f t="shared" si="317"/>
        <v>0.50084033613445378</v>
      </c>
    </row>
    <row r="3128" spans="1:37" x14ac:dyDescent="0.2">
      <c r="A3128" s="2">
        <v>2026</v>
      </c>
      <c r="B3128" s="2">
        <v>2</v>
      </c>
      <c r="C3128" s="2" t="s">
        <v>2543</v>
      </c>
      <c r="D3128" s="2" t="s">
        <v>38</v>
      </c>
      <c r="F3128" s="2">
        <v>259186163</v>
      </c>
      <c r="G3128" s="2" t="s">
        <v>110</v>
      </c>
      <c r="H3128" s="2" t="s">
        <v>2544</v>
      </c>
      <c r="I3128" s="2" t="s">
        <v>2545</v>
      </c>
      <c r="K3128" s="2" t="s">
        <v>465</v>
      </c>
      <c r="L3128" s="2" t="s">
        <v>110</v>
      </c>
      <c r="O3128" s="2" t="s">
        <v>283</v>
      </c>
      <c r="P3128" s="2" t="s">
        <v>1563</v>
      </c>
      <c r="Q3128" s="2" t="s">
        <v>1564</v>
      </c>
      <c r="R3128" s="2">
        <v>1</v>
      </c>
      <c r="S3128" s="2">
        <v>595</v>
      </c>
      <c r="T3128" s="2">
        <v>136.85</v>
      </c>
      <c r="U3128" s="2">
        <v>731.85</v>
      </c>
      <c r="V3128" s="2">
        <v>297</v>
      </c>
      <c r="W3128" s="5">
        <f t="shared" si="318"/>
        <v>0.50084033613445378</v>
      </c>
      <c r="Y3128" s="2" t="s">
        <v>105</v>
      </c>
      <c r="Z3128" s="2" t="s">
        <v>389</v>
      </c>
      <c r="AA3128" s="2" t="s">
        <v>390</v>
      </c>
      <c r="AB3128" s="2" t="s">
        <v>391</v>
      </c>
      <c r="AE3128" s="2">
        <f t="shared" si="309"/>
        <v>0</v>
      </c>
      <c r="AF3128" s="2">
        <v>297</v>
      </c>
      <c r="AG3128" s="2">
        <v>595</v>
      </c>
      <c r="AI3128" s="2">
        <f t="shared" si="310"/>
        <v>0</v>
      </c>
      <c r="AJ3128" s="2">
        <f t="shared" si="316"/>
        <v>298</v>
      </c>
      <c r="AK3128" s="5">
        <f t="shared" si="317"/>
        <v>0.50084033613445378</v>
      </c>
    </row>
    <row r="3129" spans="1:37" x14ac:dyDescent="0.2">
      <c r="A3129" s="2">
        <v>2026</v>
      </c>
      <c r="B3129" s="2">
        <v>2</v>
      </c>
      <c r="C3129" s="2" t="s">
        <v>2538</v>
      </c>
      <c r="D3129" s="2" t="s">
        <v>758</v>
      </c>
      <c r="E3129" s="2" t="s">
        <v>39</v>
      </c>
      <c r="F3129" s="2">
        <v>515570354</v>
      </c>
      <c r="G3129" s="2" t="s">
        <v>110</v>
      </c>
      <c r="H3129" s="2" t="s">
        <v>2539</v>
      </c>
      <c r="I3129" s="2" t="s">
        <v>2540</v>
      </c>
      <c r="J3129" s="2">
        <v>967032538</v>
      </c>
      <c r="K3129" s="2" t="s">
        <v>400</v>
      </c>
      <c r="L3129" s="2" t="s">
        <v>110</v>
      </c>
      <c r="O3129" s="2" t="s">
        <v>283</v>
      </c>
      <c r="P3129" s="2" t="s">
        <v>401</v>
      </c>
      <c r="Q3129" s="2" t="s">
        <v>402</v>
      </c>
      <c r="R3129" s="2">
        <v>11</v>
      </c>
      <c r="S3129" s="2">
        <v>200</v>
      </c>
      <c r="T3129" s="2">
        <v>46</v>
      </c>
      <c r="U3129" s="2">
        <v>246</v>
      </c>
      <c r="V3129" s="2">
        <v>159.5</v>
      </c>
      <c r="W3129" s="5">
        <f t="shared" si="318"/>
        <v>0.20250000000000001</v>
      </c>
      <c r="Y3129" s="2" t="s">
        <v>3256</v>
      </c>
      <c r="Z3129" s="2" t="s">
        <v>46</v>
      </c>
      <c r="AA3129" s="2" t="s">
        <v>61</v>
      </c>
      <c r="AB3129" s="2" t="s">
        <v>403</v>
      </c>
      <c r="AE3129" s="2">
        <f t="shared" si="309"/>
        <v>0</v>
      </c>
      <c r="AI3129" s="2">
        <f t="shared" si="310"/>
        <v>0</v>
      </c>
      <c r="AJ3129" s="2">
        <f t="shared" si="316"/>
        <v>40.5</v>
      </c>
      <c r="AK3129" s="5">
        <f t="shared" si="317"/>
        <v>0.20250000000000001</v>
      </c>
    </row>
    <row r="3130" spans="1:37" x14ac:dyDescent="0.2">
      <c r="A3130" s="2">
        <v>2026</v>
      </c>
      <c r="B3130" s="2">
        <v>2</v>
      </c>
      <c r="C3130" s="2" t="s">
        <v>1591</v>
      </c>
      <c r="L3130" s="2" t="s">
        <v>110</v>
      </c>
      <c r="O3130" s="2" t="s">
        <v>283</v>
      </c>
      <c r="P3130" s="2" t="s">
        <v>401</v>
      </c>
      <c r="Q3130" s="2" t="s">
        <v>402</v>
      </c>
      <c r="R3130" s="2">
        <v>1</v>
      </c>
      <c r="S3130" s="2">
        <v>0</v>
      </c>
      <c r="T3130" s="2">
        <v>0</v>
      </c>
      <c r="U3130" s="2">
        <v>0</v>
      </c>
      <c r="V3130" s="2">
        <v>14.5</v>
      </c>
      <c r="W3130" s="5">
        <v>0</v>
      </c>
      <c r="Y3130" s="2" t="s">
        <v>3256</v>
      </c>
      <c r="Z3130" s="2" t="s">
        <v>46</v>
      </c>
      <c r="AA3130" s="2" t="s">
        <v>61</v>
      </c>
      <c r="AB3130" s="2" t="s">
        <v>403</v>
      </c>
      <c r="AE3130" s="2">
        <f t="shared" si="309"/>
        <v>0</v>
      </c>
      <c r="AI3130" s="2">
        <f t="shared" si="310"/>
        <v>0</v>
      </c>
      <c r="AJ3130" s="2">
        <f t="shared" si="316"/>
        <v>-14.5</v>
      </c>
      <c r="AK3130" s="5" t="e">
        <f t="shared" si="317"/>
        <v>#DIV/0!</v>
      </c>
    </row>
    <row r="3131" spans="1:37" x14ac:dyDescent="0.2">
      <c r="A3131" s="2">
        <v>2026</v>
      </c>
      <c r="B3131" s="2">
        <v>2</v>
      </c>
      <c r="C3131" s="2" t="s">
        <v>2543</v>
      </c>
      <c r="L3131" s="2" t="s">
        <v>110</v>
      </c>
      <c r="O3131" s="2" t="s">
        <v>283</v>
      </c>
      <c r="P3131" s="2" t="s">
        <v>401</v>
      </c>
      <c r="Q3131" s="2" t="s">
        <v>402</v>
      </c>
      <c r="R3131" s="2">
        <v>10</v>
      </c>
      <c r="S3131" s="2">
        <v>200</v>
      </c>
      <c r="T3131" s="2">
        <v>46</v>
      </c>
      <c r="U3131" s="2">
        <v>246</v>
      </c>
      <c r="V3131" s="2">
        <v>145</v>
      </c>
      <c r="W3131" s="5">
        <f>(S3131-V3131)/S3131</f>
        <v>0.27500000000000002</v>
      </c>
      <c r="Y3131" s="2" t="s">
        <v>3256</v>
      </c>
      <c r="Z3131" s="2" t="s">
        <v>46</v>
      </c>
      <c r="AA3131" s="2" t="s">
        <v>61</v>
      </c>
      <c r="AB3131" s="2" t="s">
        <v>403</v>
      </c>
      <c r="AE3131" s="2">
        <f t="shared" si="309"/>
        <v>0</v>
      </c>
      <c r="AI3131" s="2">
        <f t="shared" si="310"/>
        <v>0</v>
      </c>
      <c r="AJ3131" s="2">
        <f t="shared" si="316"/>
        <v>55</v>
      </c>
      <c r="AK3131" s="5">
        <f t="shared" si="317"/>
        <v>0.27500000000000002</v>
      </c>
    </row>
    <row r="3132" spans="1:37" x14ac:dyDescent="0.2">
      <c r="A3132" s="2">
        <v>2026</v>
      </c>
      <c r="B3132" s="2">
        <v>2</v>
      </c>
      <c r="C3132" s="2" t="s">
        <v>2538</v>
      </c>
      <c r="D3132" s="2" t="s">
        <v>758</v>
      </c>
      <c r="E3132" s="2" t="s">
        <v>39</v>
      </c>
      <c r="F3132" s="2">
        <v>515570354</v>
      </c>
      <c r="G3132" s="2" t="s">
        <v>110</v>
      </c>
      <c r="H3132" s="2" t="s">
        <v>2539</v>
      </c>
      <c r="I3132" s="2" t="s">
        <v>2540</v>
      </c>
      <c r="J3132" s="2">
        <v>967032538</v>
      </c>
      <c r="K3132" s="2" t="s">
        <v>400</v>
      </c>
      <c r="L3132" s="2" t="s">
        <v>110</v>
      </c>
      <c r="O3132" s="2" t="s">
        <v>283</v>
      </c>
      <c r="P3132" s="2" t="s">
        <v>404</v>
      </c>
      <c r="Q3132" s="2" t="s">
        <v>405</v>
      </c>
      <c r="R3132" s="2">
        <v>11</v>
      </c>
      <c r="S3132" s="2">
        <v>200</v>
      </c>
      <c r="T3132" s="2">
        <v>46</v>
      </c>
      <c r="U3132" s="2">
        <v>246</v>
      </c>
      <c r="V3132" s="2">
        <v>159.5</v>
      </c>
      <c r="W3132" s="5">
        <f>(S3132-V3132)/S3132</f>
        <v>0.20250000000000001</v>
      </c>
      <c r="Y3132" s="2" t="s">
        <v>3256</v>
      </c>
      <c r="Z3132" s="2" t="s">
        <v>46</v>
      </c>
      <c r="AA3132" s="2" t="s">
        <v>61</v>
      </c>
      <c r="AB3132" s="2" t="s">
        <v>403</v>
      </c>
      <c r="AE3132" s="2">
        <f t="shared" si="309"/>
        <v>0</v>
      </c>
      <c r="AI3132" s="2">
        <f t="shared" si="310"/>
        <v>0</v>
      </c>
      <c r="AJ3132" s="2">
        <f t="shared" ref="AJ3132:AJ3157" si="319">S3132-V3132</f>
        <v>40.5</v>
      </c>
      <c r="AK3132" s="5">
        <f t="shared" ref="AK3132:AK3154" si="320">(S3132-V3132)/S3132</f>
        <v>0.20250000000000001</v>
      </c>
    </row>
    <row r="3133" spans="1:37" x14ac:dyDescent="0.2">
      <c r="A3133" s="2">
        <v>2026</v>
      </c>
      <c r="B3133" s="2">
        <v>2</v>
      </c>
      <c r="C3133" s="2" t="s">
        <v>1591</v>
      </c>
      <c r="L3133" s="2" t="s">
        <v>110</v>
      </c>
      <c r="O3133" s="2" t="s">
        <v>283</v>
      </c>
      <c r="P3133" s="2" t="s">
        <v>404</v>
      </c>
      <c r="Q3133" s="2" t="s">
        <v>405</v>
      </c>
      <c r="R3133" s="2">
        <v>1</v>
      </c>
      <c r="S3133" s="2">
        <v>0</v>
      </c>
      <c r="T3133" s="2">
        <v>0</v>
      </c>
      <c r="U3133" s="2">
        <v>0</v>
      </c>
      <c r="V3133" s="2">
        <v>14.5</v>
      </c>
      <c r="W3133" s="5">
        <v>0</v>
      </c>
      <c r="Y3133" s="2" t="s">
        <v>3256</v>
      </c>
      <c r="Z3133" s="2" t="s">
        <v>46</v>
      </c>
      <c r="AA3133" s="2" t="s">
        <v>61</v>
      </c>
      <c r="AB3133" s="2" t="s">
        <v>403</v>
      </c>
      <c r="AE3133" s="2">
        <f t="shared" si="309"/>
        <v>0</v>
      </c>
      <c r="AI3133" s="2">
        <f t="shared" si="310"/>
        <v>0</v>
      </c>
      <c r="AJ3133" s="2">
        <f t="shared" si="319"/>
        <v>-14.5</v>
      </c>
      <c r="AK3133" s="5" t="e">
        <f t="shared" si="320"/>
        <v>#DIV/0!</v>
      </c>
    </row>
    <row r="3134" spans="1:37" x14ac:dyDescent="0.2">
      <c r="A3134" s="2">
        <v>2026</v>
      </c>
      <c r="B3134" s="2">
        <v>2</v>
      </c>
      <c r="C3134" s="2" t="s">
        <v>2543</v>
      </c>
      <c r="L3134" s="2" t="s">
        <v>110</v>
      </c>
      <c r="O3134" s="2" t="s">
        <v>283</v>
      </c>
      <c r="P3134" s="2" t="s">
        <v>404</v>
      </c>
      <c r="Q3134" s="2" t="s">
        <v>405</v>
      </c>
      <c r="R3134" s="2">
        <v>10</v>
      </c>
      <c r="S3134" s="2">
        <v>200</v>
      </c>
      <c r="T3134" s="2">
        <v>46</v>
      </c>
      <c r="U3134" s="2">
        <v>246</v>
      </c>
      <c r="V3134" s="2">
        <v>145</v>
      </c>
      <c r="W3134" s="5">
        <f t="shared" ref="W3134:W3154" si="321">(S3134-V3134)/S3134</f>
        <v>0.27500000000000002</v>
      </c>
      <c r="Y3134" s="2" t="s">
        <v>3256</v>
      </c>
      <c r="Z3134" s="2" t="s">
        <v>46</v>
      </c>
      <c r="AA3134" s="2" t="s">
        <v>61</v>
      </c>
      <c r="AB3134" s="2" t="s">
        <v>403</v>
      </c>
      <c r="AE3134" s="2">
        <f t="shared" si="309"/>
        <v>0</v>
      </c>
      <c r="AI3134" s="2">
        <f t="shared" si="310"/>
        <v>0</v>
      </c>
      <c r="AJ3134" s="2">
        <f t="shared" si="319"/>
        <v>55</v>
      </c>
      <c r="AK3134" s="5">
        <f t="shared" si="320"/>
        <v>0.27500000000000002</v>
      </c>
    </row>
    <row r="3135" spans="1:37" x14ac:dyDescent="0.2">
      <c r="A3135" s="2">
        <v>2026</v>
      </c>
      <c r="B3135" s="2">
        <v>2</v>
      </c>
      <c r="C3135" s="2" t="s">
        <v>586</v>
      </c>
      <c r="L3135" s="2" t="s">
        <v>41</v>
      </c>
      <c r="N3135" s="2" t="s">
        <v>2546</v>
      </c>
      <c r="O3135" s="2" t="s">
        <v>43</v>
      </c>
      <c r="P3135" s="2" t="s">
        <v>352</v>
      </c>
      <c r="Q3135" s="2" t="s">
        <v>353</v>
      </c>
      <c r="R3135" s="2">
        <v>2</v>
      </c>
      <c r="S3135" s="2">
        <v>42</v>
      </c>
      <c r="T3135" s="2">
        <v>9.66</v>
      </c>
      <c r="U3135" s="2">
        <v>51.66</v>
      </c>
      <c r="V3135" s="2">
        <f>10.67*R3135</f>
        <v>21.34</v>
      </c>
      <c r="W3135" s="5">
        <f t="shared" si="321"/>
        <v>0.4919047619047619</v>
      </c>
      <c r="Y3135" s="2" t="s">
        <v>3256</v>
      </c>
      <c r="Z3135" s="2" t="s">
        <v>46</v>
      </c>
      <c r="AA3135" s="2" t="s">
        <v>47</v>
      </c>
      <c r="AB3135" s="2" t="s">
        <v>48</v>
      </c>
      <c r="AE3135" s="2">
        <f t="shared" si="309"/>
        <v>0</v>
      </c>
      <c r="AF3135" s="2">
        <v>10.67</v>
      </c>
      <c r="AG3135" s="2">
        <v>21</v>
      </c>
      <c r="AI3135" s="2">
        <f t="shared" si="310"/>
        <v>0</v>
      </c>
      <c r="AJ3135" s="2">
        <f t="shared" si="319"/>
        <v>20.66</v>
      </c>
      <c r="AK3135" s="5">
        <f t="shared" si="320"/>
        <v>0.4919047619047619</v>
      </c>
    </row>
    <row r="3136" spans="1:37" x14ac:dyDescent="0.2">
      <c r="A3136" s="2">
        <v>2026</v>
      </c>
      <c r="B3136" s="2">
        <v>2</v>
      </c>
      <c r="C3136" s="2" t="s">
        <v>787</v>
      </c>
      <c r="D3136" s="2" t="s">
        <v>38</v>
      </c>
      <c r="E3136" s="2" t="s">
        <v>39</v>
      </c>
      <c r="F3136" s="2">
        <v>510219675</v>
      </c>
      <c r="G3136" s="2" t="s">
        <v>40</v>
      </c>
      <c r="H3136" s="2" t="s">
        <v>788</v>
      </c>
      <c r="I3136" s="2" t="s">
        <v>789</v>
      </c>
      <c r="J3136" s="2">
        <v>917341136</v>
      </c>
      <c r="K3136" s="2" t="s">
        <v>100</v>
      </c>
      <c r="L3136" s="2" t="s">
        <v>81</v>
      </c>
      <c r="O3136" s="2" t="s">
        <v>43</v>
      </c>
      <c r="P3136" s="2" t="s">
        <v>49</v>
      </c>
      <c r="Q3136" s="2" t="s">
        <v>50</v>
      </c>
      <c r="R3136" s="2">
        <v>1</v>
      </c>
      <c r="S3136" s="2">
        <v>12</v>
      </c>
      <c r="T3136" s="2">
        <v>2.76</v>
      </c>
      <c r="U3136" s="2">
        <v>14.76</v>
      </c>
      <c r="V3136" s="2">
        <f t="shared" ref="V3136:V3141" si="322">6.6267*R3136</f>
        <v>6.6266999999999996</v>
      </c>
      <c r="W3136" s="5">
        <f t="shared" si="321"/>
        <v>0.44777500000000003</v>
      </c>
      <c r="Y3136" s="2" t="s">
        <v>3256</v>
      </c>
      <c r="Z3136" s="2" t="s">
        <v>46</v>
      </c>
      <c r="AA3136" s="2" t="s">
        <v>47</v>
      </c>
      <c r="AB3136" s="2" t="s">
        <v>48</v>
      </c>
      <c r="AE3136" s="2">
        <f t="shared" si="309"/>
        <v>0</v>
      </c>
      <c r="AF3136" s="2">
        <v>6.6266999999999996</v>
      </c>
      <c r="AG3136" s="2">
        <v>12</v>
      </c>
      <c r="AI3136" s="2">
        <f t="shared" si="310"/>
        <v>0</v>
      </c>
      <c r="AJ3136" s="2">
        <f t="shared" si="319"/>
        <v>5.3733000000000004</v>
      </c>
      <c r="AK3136" s="5">
        <f t="shared" si="320"/>
        <v>0.44777500000000003</v>
      </c>
    </row>
    <row r="3137" spans="1:37" x14ac:dyDescent="0.2">
      <c r="A3137" s="2">
        <v>2026</v>
      </c>
      <c r="B3137" s="2">
        <v>2</v>
      </c>
      <c r="C3137" s="2" t="s">
        <v>1030</v>
      </c>
      <c r="D3137" s="2" t="s">
        <v>38</v>
      </c>
      <c r="E3137" s="2" t="s">
        <v>39</v>
      </c>
      <c r="F3137" s="2">
        <v>504493612</v>
      </c>
      <c r="G3137" s="2" t="s">
        <v>41</v>
      </c>
      <c r="H3137" s="2" t="s">
        <v>1570</v>
      </c>
      <c r="I3137" s="2" t="s">
        <v>2547</v>
      </c>
      <c r="K3137" s="2" t="s">
        <v>178</v>
      </c>
      <c r="O3137" s="2" t="s">
        <v>43</v>
      </c>
      <c r="P3137" s="2" t="s">
        <v>49</v>
      </c>
      <c r="Q3137" s="2" t="s">
        <v>50</v>
      </c>
      <c r="R3137" s="2">
        <v>1</v>
      </c>
      <c r="S3137" s="2">
        <v>13</v>
      </c>
      <c r="T3137" s="2">
        <v>2.99</v>
      </c>
      <c r="U3137" s="2">
        <v>15.99</v>
      </c>
      <c r="V3137" s="2">
        <f t="shared" si="322"/>
        <v>6.6266999999999996</v>
      </c>
      <c r="W3137" s="5">
        <f t="shared" si="321"/>
        <v>0.49025384615384621</v>
      </c>
      <c r="Y3137" s="2" t="s">
        <v>3256</v>
      </c>
      <c r="Z3137" s="2" t="s">
        <v>46</v>
      </c>
      <c r="AA3137" s="2" t="s">
        <v>47</v>
      </c>
      <c r="AB3137" s="2" t="s">
        <v>48</v>
      </c>
      <c r="AE3137" s="2">
        <f t="shared" si="309"/>
        <v>0</v>
      </c>
      <c r="AF3137" s="2">
        <v>6.6266999999999996</v>
      </c>
      <c r="AG3137" s="2">
        <v>12</v>
      </c>
      <c r="AI3137" s="2">
        <f t="shared" si="310"/>
        <v>0</v>
      </c>
      <c r="AJ3137" s="2">
        <f t="shared" si="319"/>
        <v>6.3733000000000004</v>
      </c>
      <c r="AK3137" s="5">
        <f t="shared" si="320"/>
        <v>0.49025384615384621</v>
      </c>
    </row>
    <row r="3138" spans="1:37" x14ac:dyDescent="0.2">
      <c r="A3138" s="2">
        <v>2026</v>
      </c>
      <c r="B3138" s="2">
        <v>2</v>
      </c>
      <c r="C3138" s="2" t="s">
        <v>1409</v>
      </c>
      <c r="D3138" s="2" t="s">
        <v>38</v>
      </c>
      <c r="E3138" s="2" t="s">
        <v>39</v>
      </c>
      <c r="F3138" s="2">
        <v>509014313</v>
      </c>
      <c r="G3138" s="2" t="s">
        <v>40</v>
      </c>
      <c r="H3138" s="2" t="s">
        <v>3246</v>
      </c>
      <c r="I3138" s="2" t="s">
        <v>3245</v>
      </c>
      <c r="J3138" s="2">
        <v>913814877</v>
      </c>
      <c r="K3138" s="2" t="s">
        <v>202</v>
      </c>
      <c r="L3138" s="2" t="s">
        <v>81</v>
      </c>
      <c r="N3138" s="2" t="s">
        <v>3242</v>
      </c>
      <c r="O3138" s="2" t="s">
        <v>43</v>
      </c>
      <c r="P3138" s="2" t="s">
        <v>49</v>
      </c>
      <c r="Q3138" s="2" t="s">
        <v>50</v>
      </c>
      <c r="R3138" s="2">
        <v>2</v>
      </c>
      <c r="S3138" s="2">
        <v>24</v>
      </c>
      <c r="T3138" s="2">
        <v>5.52</v>
      </c>
      <c r="U3138" s="2">
        <v>29.52</v>
      </c>
      <c r="V3138" s="2">
        <f t="shared" si="322"/>
        <v>13.253399999999999</v>
      </c>
      <c r="W3138" s="5">
        <f t="shared" si="321"/>
        <v>0.44777500000000003</v>
      </c>
      <c r="Y3138" s="2" t="s">
        <v>3256</v>
      </c>
      <c r="Z3138" s="2" t="s">
        <v>46</v>
      </c>
      <c r="AA3138" s="2" t="s">
        <v>47</v>
      </c>
      <c r="AB3138" s="2" t="s">
        <v>48</v>
      </c>
      <c r="AE3138" s="2">
        <f t="shared" si="309"/>
        <v>0</v>
      </c>
      <c r="AF3138" s="2">
        <v>6.6266999999999996</v>
      </c>
      <c r="AG3138" s="2">
        <v>12</v>
      </c>
      <c r="AI3138" s="2">
        <f t="shared" si="310"/>
        <v>0</v>
      </c>
      <c r="AJ3138" s="2">
        <f t="shared" si="319"/>
        <v>10.746600000000001</v>
      </c>
      <c r="AK3138" s="5">
        <f t="shared" si="320"/>
        <v>0.44777500000000003</v>
      </c>
    </row>
    <row r="3139" spans="1:37" x14ac:dyDescent="0.2">
      <c r="A3139" s="2">
        <v>2026</v>
      </c>
      <c r="B3139" s="2">
        <v>2</v>
      </c>
      <c r="C3139" s="2" t="s">
        <v>511</v>
      </c>
      <c r="D3139" s="2" t="s">
        <v>38</v>
      </c>
      <c r="E3139" s="2" t="s">
        <v>39</v>
      </c>
      <c r="F3139" s="2">
        <v>514446170</v>
      </c>
      <c r="G3139" s="2" t="s">
        <v>41</v>
      </c>
      <c r="H3139" s="2" t="s">
        <v>178</v>
      </c>
      <c r="I3139" s="2" t="s">
        <v>3158</v>
      </c>
      <c r="K3139" s="2" t="s">
        <v>178</v>
      </c>
      <c r="L3139" s="2" t="s">
        <v>41</v>
      </c>
      <c r="N3139" s="2" t="s">
        <v>3165</v>
      </c>
      <c r="O3139" s="2" t="s">
        <v>43</v>
      </c>
      <c r="P3139" s="2" t="s">
        <v>49</v>
      </c>
      <c r="Q3139" s="2" t="s">
        <v>50</v>
      </c>
      <c r="R3139" s="2">
        <v>3</v>
      </c>
      <c r="S3139" s="2">
        <v>36</v>
      </c>
      <c r="T3139" s="2">
        <v>8.2800000000000011</v>
      </c>
      <c r="U3139" s="2">
        <v>44.28</v>
      </c>
      <c r="V3139" s="2">
        <f t="shared" si="322"/>
        <v>19.880099999999999</v>
      </c>
      <c r="W3139" s="5">
        <f t="shared" si="321"/>
        <v>0.44777500000000003</v>
      </c>
      <c r="Y3139" s="2" t="s">
        <v>3256</v>
      </c>
      <c r="Z3139" s="2" t="s">
        <v>46</v>
      </c>
      <c r="AA3139" s="2" t="s">
        <v>47</v>
      </c>
      <c r="AB3139" s="2" t="s">
        <v>48</v>
      </c>
      <c r="AE3139" s="2">
        <f t="shared" ref="AE3139:AE3202" si="323">AI3139</f>
        <v>0</v>
      </c>
      <c r="AF3139" s="2">
        <v>6.6266999999999996</v>
      </c>
      <c r="AG3139" s="2">
        <v>12</v>
      </c>
      <c r="AI3139" s="2">
        <f t="shared" ref="AI3139:AI3202" si="324">AH3139*S3139</f>
        <v>0</v>
      </c>
      <c r="AJ3139" s="2">
        <f t="shared" si="319"/>
        <v>16.119900000000001</v>
      </c>
      <c r="AK3139" s="5">
        <f t="shared" si="320"/>
        <v>0.44777500000000003</v>
      </c>
    </row>
    <row r="3140" spans="1:37" x14ac:dyDescent="0.2">
      <c r="A3140" s="2">
        <v>2026</v>
      </c>
      <c r="B3140" s="2">
        <v>2</v>
      </c>
      <c r="C3140" s="2" t="s">
        <v>2548</v>
      </c>
      <c r="O3140" s="2" t="s">
        <v>43</v>
      </c>
      <c r="P3140" s="2" t="s">
        <v>49</v>
      </c>
      <c r="Q3140" s="2" t="s">
        <v>50</v>
      </c>
      <c r="R3140" s="2">
        <v>2</v>
      </c>
      <c r="S3140" s="2">
        <v>24</v>
      </c>
      <c r="T3140" s="2">
        <v>5.52</v>
      </c>
      <c r="U3140" s="2">
        <v>29.52</v>
      </c>
      <c r="V3140" s="2">
        <f t="shared" si="322"/>
        <v>13.253399999999999</v>
      </c>
      <c r="W3140" s="5">
        <f t="shared" si="321"/>
        <v>0.44777500000000003</v>
      </c>
      <c r="Y3140" s="2" t="s">
        <v>3256</v>
      </c>
      <c r="Z3140" s="2" t="s">
        <v>46</v>
      </c>
      <c r="AA3140" s="2" t="s">
        <v>47</v>
      </c>
      <c r="AB3140" s="2" t="s">
        <v>48</v>
      </c>
      <c r="AE3140" s="2">
        <f t="shared" si="323"/>
        <v>0</v>
      </c>
      <c r="AF3140" s="2">
        <v>6.6266999999999996</v>
      </c>
      <c r="AG3140" s="2">
        <v>12</v>
      </c>
      <c r="AI3140" s="2">
        <f t="shared" si="324"/>
        <v>0</v>
      </c>
      <c r="AJ3140" s="2">
        <f t="shared" si="319"/>
        <v>10.746600000000001</v>
      </c>
      <c r="AK3140" s="5">
        <f t="shared" si="320"/>
        <v>0.44777500000000003</v>
      </c>
    </row>
    <row r="3141" spans="1:37" x14ac:dyDescent="0.2">
      <c r="A3141" s="2">
        <v>2026</v>
      </c>
      <c r="B3141" s="2">
        <v>2</v>
      </c>
      <c r="C3141" s="2" t="s">
        <v>623</v>
      </c>
      <c r="D3141" s="2" t="s">
        <v>38</v>
      </c>
      <c r="E3141" s="2" t="s">
        <v>39</v>
      </c>
      <c r="F3141" s="2">
        <v>513759654</v>
      </c>
      <c r="G3141" s="2" t="s">
        <v>41</v>
      </c>
      <c r="H3141" s="2" t="s">
        <v>624</v>
      </c>
      <c r="I3141" s="2" t="s">
        <v>625</v>
      </c>
      <c r="K3141" s="2" t="s">
        <v>422</v>
      </c>
      <c r="L3141" s="2" t="s">
        <v>41</v>
      </c>
      <c r="O3141" s="2" t="s">
        <v>43</v>
      </c>
      <c r="P3141" s="2" t="s">
        <v>49</v>
      </c>
      <c r="Q3141" s="2" t="s">
        <v>50</v>
      </c>
      <c r="R3141" s="2">
        <v>1</v>
      </c>
      <c r="S3141" s="2">
        <v>12</v>
      </c>
      <c r="T3141" s="2">
        <v>2.76</v>
      </c>
      <c r="U3141" s="2">
        <v>14.76</v>
      </c>
      <c r="V3141" s="2">
        <f t="shared" si="322"/>
        <v>6.6266999999999996</v>
      </c>
      <c r="W3141" s="5">
        <f t="shared" si="321"/>
        <v>0.44777500000000003</v>
      </c>
      <c r="Y3141" s="2" t="s">
        <v>3256</v>
      </c>
      <c r="Z3141" s="2" t="s">
        <v>46</v>
      </c>
      <c r="AA3141" s="2" t="s">
        <v>47</v>
      </c>
      <c r="AB3141" s="2" t="s">
        <v>48</v>
      </c>
      <c r="AE3141" s="2">
        <f t="shared" si="323"/>
        <v>0</v>
      </c>
      <c r="AF3141" s="2">
        <v>6.6266999999999996</v>
      </c>
      <c r="AG3141" s="2">
        <v>12</v>
      </c>
      <c r="AI3141" s="2">
        <f t="shared" si="324"/>
        <v>0</v>
      </c>
      <c r="AJ3141" s="2">
        <f t="shared" si="319"/>
        <v>5.3733000000000004</v>
      </c>
      <c r="AK3141" s="5">
        <f t="shared" si="320"/>
        <v>0.44777500000000003</v>
      </c>
    </row>
    <row r="3142" spans="1:37" x14ac:dyDescent="0.2">
      <c r="A3142" s="2">
        <v>2026</v>
      </c>
      <c r="B3142" s="2">
        <v>2</v>
      </c>
      <c r="C3142" s="2" t="s">
        <v>1920</v>
      </c>
      <c r="O3142" s="2" t="s">
        <v>43</v>
      </c>
      <c r="P3142" s="2" t="s">
        <v>1373</v>
      </c>
      <c r="Q3142" s="2" t="s">
        <v>1374</v>
      </c>
      <c r="R3142" s="2">
        <v>1</v>
      </c>
      <c r="S3142" s="2">
        <v>34.200000000000003</v>
      </c>
      <c r="T3142" s="2">
        <v>7.8660000000000014</v>
      </c>
      <c r="U3142" s="2">
        <v>42.066000000000003</v>
      </c>
      <c r="W3142" s="5">
        <f t="shared" si="321"/>
        <v>1</v>
      </c>
      <c r="Y3142" s="2" t="s">
        <v>3256</v>
      </c>
      <c r="Z3142" s="2" t="s">
        <v>46</v>
      </c>
      <c r="AA3142" s="2" t="s">
        <v>47</v>
      </c>
      <c r="AB3142" s="2" t="s">
        <v>48</v>
      </c>
      <c r="AE3142" s="2">
        <f t="shared" si="323"/>
        <v>0</v>
      </c>
      <c r="AI3142" s="2">
        <f t="shared" si="324"/>
        <v>0</v>
      </c>
      <c r="AJ3142" s="2">
        <f t="shared" si="319"/>
        <v>34.200000000000003</v>
      </c>
      <c r="AK3142" s="5">
        <f t="shared" si="320"/>
        <v>1</v>
      </c>
    </row>
    <row r="3143" spans="1:37" x14ac:dyDescent="0.2">
      <c r="A3143" s="2">
        <v>2026</v>
      </c>
      <c r="B3143" s="2">
        <v>2</v>
      </c>
      <c r="C3143" s="2" t="s">
        <v>623</v>
      </c>
      <c r="D3143" s="2" t="s">
        <v>38</v>
      </c>
      <c r="E3143" s="2" t="s">
        <v>39</v>
      </c>
      <c r="F3143" s="2">
        <v>513759654</v>
      </c>
      <c r="G3143" s="2" t="s">
        <v>41</v>
      </c>
      <c r="H3143" s="2" t="s">
        <v>624</v>
      </c>
      <c r="I3143" s="2" t="s">
        <v>625</v>
      </c>
      <c r="K3143" s="2" t="s">
        <v>422</v>
      </c>
      <c r="L3143" s="2" t="s">
        <v>41</v>
      </c>
      <c r="O3143" s="2" t="s">
        <v>43</v>
      </c>
      <c r="P3143" s="2" t="s">
        <v>1373</v>
      </c>
      <c r="Q3143" s="2" t="s">
        <v>1374</v>
      </c>
      <c r="R3143" s="2">
        <v>1</v>
      </c>
      <c r="S3143" s="2">
        <v>34.200000000000003</v>
      </c>
      <c r="T3143" s="2">
        <v>7.8660000000000014</v>
      </c>
      <c r="U3143" s="2">
        <v>42.066000000000003</v>
      </c>
      <c r="W3143" s="5">
        <f t="shared" si="321"/>
        <v>1</v>
      </c>
      <c r="Y3143" s="2" t="s">
        <v>3256</v>
      </c>
      <c r="Z3143" s="2" t="s">
        <v>46</v>
      </c>
      <c r="AA3143" s="2" t="s">
        <v>47</v>
      </c>
      <c r="AB3143" s="2" t="s">
        <v>48</v>
      </c>
      <c r="AE3143" s="2">
        <f t="shared" si="323"/>
        <v>0</v>
      </c>
      <c r="AI3143" s="2">
        <f t="shared" si="324"/>
        <v>0</v>
      </c>
      <c r="AJ3143" s="2">
        <f t="shared" si="319"/>
        <v>34.200000000000003</v>
      </c>
      <c r="AK3143" s="5">
        <f t="shared" si="320"/>
        <v>1</v>
      </c>
    </row>
    <row r="3144" spans="1:37" x14ac:dyDescent="0.2">
      <c r="A3144" s="2">
        <v>2026</v>
      </c>
      <c r="B3144" s="2">
        <v>2</v>
      </c>
      <c r="C3144" s="2" t="s">
        <v>1920</v>
      </c>
      <c r="O3144" s="2" t="s">
        <v>43</v>
      </c>
      <c r="P3144" s="2" t="s">
        <v>597</v>
      </c>
      <c r="Q3144" s="2" t="s">
        <v>598</v>
      </c>
      <c r="R3144" s="2">
        <v>2</v>
      </c>
      <c r="S3144" s="2">
        <v>72</v>
      </c>
      <c r="T3144" s="2">
        <v>16.559999999999999</v>
      </c>
      <c r="U3144" s="2">
        <v>88.56</v>
      </c>
      <c r="W3144" s="5">
        <f t="shared" si="321"/>
        <v>1</v>
      </c>
      <c r="Y3144" s="2" t="s">
        <v>3256</v>
      </c>
      <c r="Z3144" s="2" t="s">
        <v>46</v>
      </c>
      <c r="AA3144" s="2" t="s">
        <v>47</v>
      </c>
      <c r="AB3144" s="2" t="s">
        <v>48</v>
      </c>
      <c r="AE3144" s="2">
        <f t="shared" si="323"/>
        <v>0</v>
      </c>
      <c r="AI3144" s="2">
        <f t="shared" si="324"/>
        <v>0</v>
      </c>
      <c r="AJ3144" s="2">
        <f t="shared" si="319"/>
        <v>72</v>
      </c>
      <c r="AK3144" s="5">
        <f t="shared" si="320"/>
        <v>1</v>
      </c>
    </row>
    <row r="3145" spans="1:37" x14ac:dyDescent="0.2">
      <c r="A3145" s="2">
        <v>2026</v>
      </c>
      <c r="B3145" s="2">
        <v>2</v>
      </c>
      <c r="C3145" s="2" t="s">
        <v>623</v>
      </c>
      <c r="D3145" s="2" t="s">
        <v>38</v>
      </c>
      <c r="E3145" s="2" t="s">
        <v>39</v>
      </c>
      <c r="F3145" s="2">
        <v>513759654</v>
      </c>
      <c r="G3145" s="2" t="s">
        <v>41</v>
      </c>
      <c r="H3145" s="2" t="s">
        <v>624</v>
      </c>
      <c r="I3145" s="2" t="s">
        <v>625</v>
      </c>
      <c r="K3145" s="2" t="s">
        <v>422</v>
      </c>
      <c r="L3145" s="2" t="s">
        <v>41</v>
      </c>
      <c r="O3145" s="2" t="s">
        <v>43</v>
      </c>
      <c r="P3145" s="2" t="s">
        <v>597</v>
      </c>
      <c r="Q3145" s="2" t="s">
        <v>598</v>
      </c>
      <c r="R3145" s="2">
        <v>1</v>
      </c>
      <c r="S3145" s="2">
        <v>36</v>
      </c>
      <c r="T3145" s="2">
        <v>8.2800000000000011</v>
      </c>
      <c r="U3145" s="2">
        <v>44.28</v>
      </c>
      <c r="W3145" s="5">
        <f t="shared" si="321"/>
        <v>1</v>
      </c>
      <c r="Y3145" s="2" t="s">
        <v>3256</v>
      </c>
      <c r="Z3145" s="2" t="s">
        <v>46</v>
      </c>
      <c r="AA3145" s="2" t="s">
        <v>47</v>
      </c>
      <c r="AB3145" s="2" t="s">
        <v>48</v>
      </c>
      <c r="AE3145" s="2">
        <f t="shared" si="323"/>
        <v>0</v>
      </c>
      <c r="AI3145" s="2">
        <f t="shared" si="324"/>
        <v>0</v>
      </c>
      <c r="AJ3145" s="2">
        <f t="shared" si="319"/>
        <v>36</v>
      </c>
      <c r="AK3145" s="5">
        <f t="shared" si="320"/>
        <v>1</v>
      </c>
    </row>
    <row r="3146" spans="1:37" x14ac:dyDescent="0.2">
      <c r="A3146" s="2">
        <v>2026</v>
      </c>
      <c r="B3146" s="2">
        <v>2</v>
      </c>
      <c r="C3146" s="2" t="s">
        <v>1122</v>
      </c>
      <c r="D3146" s="2" t="s">
        <v>38</v>
      </c>
      <c r="E3146" s="2" t="s">
        <v>39</v>
      </c>
      <c r="F3146" s="2">
        <v>210420588</v>
      </c>
      <c r="G3146" s="2" t="s">
        <v>40</v>
      </c>
      <c r="H3146" s="2" t="s">
        <v>1123</v>
      </c>
      <c r="I3146" s="2" t="s">
        <v>1124</v>
      </c>
      <c r="J3146" s="2">
        <v>914550474</v>
      </c>
      <c r="K3146" s="2" t="s">
        <v>100</v>
      </c>
      <c r="L3146" s="2" t="s">
        <v>81</v>
      </c>
      <c r="N3146" s="2" t="s">
        <v>2549</v>
      </c>
      <c r="O3146" s="2" t="s">
        <v>43</v>
      </c>
      <c r="P3146" s="2" t="s">
        <v>161</v>
      </c>
      <c r="Q3146" s="2" t="s">
        <v>162</v>
      </c>
      <c r="R3146" s="2">
        <v>5</v>
      </c>
      <c r="S3146" s="2">
        <v>45.6</v>
      </c>
      <c r="T3146" s="2">
        <v>10.488</v>
      </c>
      <c r="U3146" s="2">
        <v>56.088000000000001</v>
      </c>
      <c r="V3146" s="2">
        <f>3.7358*R3146</f>
        <v>18.678999999999998</v>
      </c>
      <c r="W3146" s="5">
        <f t="shared" si="321"/>
        <v>0.59037280701754391</v>
      </c>
      <c r="Y3146" s="2" t="s">
        <v>3256</v>
      </c>
      <c r="Z3146" s="2" t="s">
        <v>46</v>
      </c>
      <c r="AA3146" s="2" t="s">
        <v>47</v>
      </c>
      <c r="AB3146" s="2" t="s">
        <v>48</v>
      </c>
      <c r="AE3146" s="2">
        <f t="shared" si="323"/>
        <v>0</v>
      </c>
      <c r="AF3146" s="2">
        <v>3.7357999999999998</v>
      </c>
      <c r="AG3146" s="2">
        <v>9</v>
      </c>
      <c r="AI3146" s="2">
        <f t="shared" si="324"/>
        <v>0</v>
      </c>
      <c r="AJ3146" s="2">
        <f t="shared" si="319"/>
        <v>26.921000000000003</v>
      </c>
      <c r="AK3146" s="5">
        <f t="shared" si="320"/>
        <v>0.59037280701754391</v>
      </c>
    </row>
    <row r="3147" spans="1:37" x14ac:dyDescent="0.2">
      <c r="A3147" s="2">
        <v>2026</v>
      </c>
      <c r="B3147" s="2">
        <v>2</v>
      </c>
      <c r="C3147" s="2" t="s">
        <v>695</v>
      </c>
      <c r="D3147" s="2" t="s">
        <v>109</v>
      </c>
      <c r="E3147" s="2" t="s">
        <v>39</v>
      </c>
      <c r="F3147" s="2">
        <v>503589950</v>
      </c>
      <c r="G3147" s="2" t="s">
        <v>41</v>
      </c>
      <c r="H3147" s="2" t="s">
        <v>615</v>
      </c>
      <c r="I3147" s="2" t="s">
        <v>696</v>
      </c>
      <c r="J3147" s="2">
        <v>913036545</v>
      </c>
      <c r="K3147" s="2" t="s">
        <v>178</v>
      </c>
      <c r="L3147" s="2" t="s">
        <v>41</v>
      </c>
      <c r="N3147" s="2" t="s">
        <v>2438</v>
      </c>
      <c r="O3147" s="2" t="s">
        <v>43</v>
      </c>
      <c r="P3147" s="2" t="s">
        <v>237</v>
      </c>
      <c r="Q3147" s="2" t="s">
        <v>238</v>
      </c>
      <c r="R3147" s="2">
        <v>1</v>
      </c>
      <c r="S3147" s="2">
        <v>17.399999999999999</v>
      </c>
      <c r="T3147" s="2">
        <v>4.0019999999999998</v>
      </c>
      <c r="U3147" s="2">
        <v>21.402000000000001</v>
      </c>
      <c r="W3147" s="5">
        <f t="shared" si="321"/>
        <v>1</v>
      </c>
      <c r="Y3147" s="2" t="s">
        <v>3256</v>
      </c>
      <c r="Z3147" s="2" t="s">
        <v>46</v>
      </c>
      <c r="AA3147" s="2" t="s">
        <v>57</v>
      </c>
      <c r="AB3147" s="2" t="s">
        <v>58</v>
      </c>
      <c r="AE3147" s="2">
        <f t="shared" si="323"/>
        <v>0</v>
      </c>
      <c r="AI3147" s="2">
        <f t="shared" si="324"/>
        <v>0</v>
      </c>
      <c r="AJ3147" s="2">
        <f t="shared" si="319"/>
        <v>17.399999999999999</v>
      </c>
      <c r="AK3147" s="5">
        <f t="shared" si="320"/>
        <v>1</v>
      </c>
    </row>
    <row r="3148" spans="1:37" x14ac:dyDescent="0.2">
      <c r="A3148" s="2">
        <v>2026</v>
      </c>
      <c r="B3148" s="2">
        <v>2</v>
      </c>
      <c r="C3148" s="2" t="s">
        <v>426</v>
      </c>
      <c r="D3148" s="2" t="s">
        <v>99</v>
      </c>
      <c r="E3148" s="2" t="s">
        <v>39</v>
      </c>
      <c r="F3148" s="2">
        <v>503523470</v>
      </c>
      <c r="G3148" s="2" t="s">
        <v>40</v>
      </c>
      <c r="H3148" s="2" t="s">
        <v>427</v>
      </c>
      <c r="I3148" s="2" t="s">
        <v>428</v>
      </c>
      <c r="K3148" s="2" t="s">
        <v>202</v>
      </c>
      <c r="L3148" s="2" t="s">
        <v>81</v>
      </c>
      <c r="O3148" s="2" t="s">
        <v>43</v>
      </c>
      <c r="P3148" s="2" t="s">
        <v>233</v>
      </c>
      <c r="Q3148" s="2" t="s">
        <v>234</v>
      </c>
      <c r="R3148" s="2">
        <v>1</v>
      </c>
      <c r="S3148" s="2">
        <v>12.6</v>
      </c>
      <c r="T3148" s="2">
        <v>2.8980000000000001</v>
      </c>
      <c r="U3148" s="2">
        <v>15.497999999999999</v>
      </c>
      <c r="V3148" s="2">
        <v>5.9066999999999998</v>
      </c>
      <c r="W3148" s="5">
        <f t="shared" si="321"/>
        <v>0.53121428571428575</v>
      </c>
      <c r="Y3148" s="2" t="s">
        <v>3256</v>
      </c>
      <c r="Z3148" s="2" t="s">
        <v>46</v>
      </c>
      <c r="AA3148" s="2" t="s">
        <v>57</v>
      </c>
      <c r="AB3148" s="2" t="s">
        <v>58</v>
      </c>
      <c r="AE3148" s="2">
        <f t="shared" si="323"/>
        <v>0</v>
      </c>
      <c r="AF3148" s="2">
        <v>5.9066999999999998</v>
      </c>
      <c r="AG3148" s="2">
        <v>12.6</v>
      </c>
      <c r="AI3148" s="2">
        <f t="shared" si="324"/>
        <v>0</v>
      </c>
      <c r="AJ3148" s="2">
        <f t="shared" si="319"/>
        <v>6.6932999999999998</v>
      </c>
      <c r="AK3148" s="5">
        <f t="shared" si="320"/>
        <v>0.53121428571428575</v>
      </c>
    </row>
    <row r="3149" spans="1:37" x14ac:dyDescent="0.2">
      <c r="A3149" s="2">
        <v>2026</v>
      </c>
      <c r="B3149" s="2">
        <v>2</v>
      </c>
      <c r="C3149" s="2" t="s">
        <v>695</v>
      </c>
      <c r="D3149" s="2" t="s">
        <v>109</v>
      </c>
      <c r="E3149" s="2" t="s">
        <v>39</v>
      </c>
      <c r="F3149" s="2">
        <v>503589950</v>
      </c>
      <c r="G3149" s="2" t="s">
        <v>41</v>
      </c>
      <c r="H3149" s="2" t="s">
        <v>615</v>
      </c>
      <c r="I3149" s="2" t="s">
        <v>696</v>
      </c>
      <c r="J3149" s="2">
        <v>913036545</v>
      </c>
      <c r="K3149" s="2" t="s">
        <v>178</v>
      </c>
      <c r="L3149" s="2" t="s">
        <v>41</v>
      </c>
      <c r="N3149" s="2" t="s">
        <v>2438</v>
      </c>
      <c r="O3149" s="2" t="s">
        <v>43</v>
      </c>
      <c r="P3149" s="2" t="s">
        <v>239</v>
      </c>
      <c r="Q3149" s="2" t="s">
        <v>240</v>
      </c>
      <c r="R3149" s="2">
        <v>1</v>
      </c>
      <c r="S3149" s="2">
        <v>21</v>
      </c>
      <c r="T3149" s="2">
        <v>4.83</v>
      </c>
      <c r="U3149" s="2">
        <v>25.83</v>
      </c>
      <c r="W3149" s="5">
        <f t="shared" si="321"/>
        <v>1</v>
      </c>
      <c r="Y3149" s="2" t="s">
        <v>3256</v>
      </c>
      <c r="Z3149" s="2" t="s">
        <v>46</v>
      </c>
      <c r="AA3149" s="2" t="s">
        <v>57</v>
      </c>
      <c r="AB3149" s="2" t="s">
        <v>58</v>
      </c>
      <c r="AE3149" s="2">
        <f t="shared" si="323"/>
        <v>0</v>
      </c>
      <c r="AI3149" s="2">
        <f t="shared" si="324"/>
        <v>0</v>
      </c>
      <c r="AJ3149" s="2">
        <f t="shared" si="319"/>
        <v>21</v>
      </c>
      <c r="AK3149" s="5">
        <f t="shared" si="320"/>
        <v>1</v>
      </c>
    </row>
    <row r="3150" spans="1:37" x14ac:dyDescent="0.2">
      <c r="A3150" s="2">
        <v>2026</v>
      </c>
      <c r="B3150" s="2">
        <v>2</v>
      </c>
      <c r="C3150" s="2" t="s">
        <v>426</v>
      </c>
      <c r="D3150" s="2" t="s">
        <v>99</v>
      </c>
      <c r="E3150" s="2" t="s">
        <v>39</v>
      </c>
      <c r="F3150" s="2">
        <v>503523470</v>
      </c>
      <c r="G3150" s="2" t="s">
        <v>40</v>
      </c>
      <c r="H3150" s="2" t="s">
        <v>427</v>
      </c>
      <c r="I3150" s="2" t="s">
        <v>428</v>
      </c>
      <c r="K3150" s="2" t="s">
        <v>202</v>
      </c>
      <c r="L3150" s="2" t="s">
        <v>81</v>
      </c>
      <c r="O3150" s="2" t="s">
        <v>43</v>
      </c>
      <c r="P3150" s="2" t="s">
        <v>235</v>
      </c>
      <c r="Q3150" s="2" t="s">
        <v>236</v>
      </c>
      <c r="R3150" s="2">
        <v>1</v>
      </c>
      <c r="S3150" s="2">
        <v>14.4</v>
      </c>
      <c r="T3150" s="2">
        <v>3.3119999999999998</v>
      </c>
      <c r="U3150" s="2">
        <v>17.712</v>
      </c>
      <c r="V3150" s="2">
        <f>7.2217*R3150</f>
        <v>7.2217000000000002</v>
      </c>
      <c r="W3150" s="5">
        <f t="shared" si="321"/>
        <v>0.49849305555555556</v>
      </c>
      <c r="Y3150" s="2" t="s">
        <v>3256</v>
      </c>
      <c r="Z3150" s="2" t="s">
        <v>46</v>
      </c>
      <c r="AA3150" s="2" t="s">
        <v>57</v>
      </c>
      <c r="AB3150" s="2" t="s">
        <v>58</v>
      </c>
      <c r="AE3150" s="2">
        <f t="shared" si="323"/>
        <v>0</v>
      </c>
      <c r="AF3150" s="2">
        <v>7.2217000000000002</v>
      </c>
      <c r="AG3150" s="2">
        <v>14.4</v>
      </c>
      <c r="AI3150" s="2">
        <f t="shared" si="324"/>
        <v>0</v>
      </c>
      <c r="AJ3150" s="2">
        <f t="shared" si="319"/>
        <v>7.1783000000000001</v>
      </c>
      <c r="AK3150" s="5">
        <f t="shared" si="320"/>
        <v>0.49849305555555556</v>
      </c>
    </row>
    <row r="3151" spans="1:37" x14ac:dyDescent="0.2">
      <c r="A3151" s="2">
        <v>2026</v>
      </c>
      <c r="B3151" s="2">
        <v>2</v>
      </c>
      <c r="C3151" s="2" t="s">
        <v>695</v>
      </c>
      <c r="D3151" s="2" t="s">
        <v>109</v>
      </c>
      <c r="E3151" s="2" t="s">
        <v>39</v>
      </c>
      <c r="F3151" s="2">
        <v>503589950</v>
      </c>
      <c r="G3151" s="2" t="s">
        <v>41</v>
      </c>
      <c r="H3151" s="2" t="s">
        <v>615</v>
      </c>
      <c r="I3151" s="2" t="s">
        <v>696</v>
      </c>
      <c r="J3151" s="2">
        <v>913036545</v>
      </c>
      <c r="K3151" s="2" t="s">
        <v>178</v>
      </c>
      <c r="L3151" s="2" t="s">
        <v>41</v>
      </c>
      <c r="N3151" s="2" t="s">
        <v>2438</v>
      </c>
      <c r="O3151" s="2" t="s">
        <v>43</v>
      </c>
      <c r="P3151" s="2" t="s">
        <v>243</v>
      </c>
      <c r="Q3151" s="2" t="s">
        <v>244</v>
      </c>
      <c r="R3151" s="2">
        <v>1</v>
      </c>
      <c r="S3151" s="2">
        <v>30</v>
      </c>
      <c r="T3151" s="2">
        <v>6.9</v>
      </c>
      <c r="U3151" s="2">
        <v>36.9</v>
      </c>
      <c r="W3151" s="5">
        <f t="shared" si="321"/>
        <v>1</v>
      </c>
      <c r="Y3151" s="2" t="s">
        <v>3256</v>
      </c>
      <c r="Z3151" s="2" t="s">
        <v>46</v>
      </c>
      <c r="AA3151" s="2" t="s">
        <v>57</v>
      </c>
      <c r="AB3151" s="2" t="s">
        <v>58</v>
      </c>
      <c r="AE3151" s="2">
        <f t="shared" si="323"/>
        <v>0</v>
      </c>
      <c r="AI3151" s="2">
        <f t="shared" si="324"/>
        <v>0</v>
      </c>
      <c r="AJ3151" s="2">
        <f t="shared" si="319"/>
        <v>30</v>
      </c>
      <c r="AK3151" s="5">
        <f t="shared" si="320"/>
        <v>1</v>
      </c>
    </row>
    <row r="3152" spans="1:37" x14ac:dyDescent="0.2">
      <c r="A3152" s="2">
        <v>2026</v>
      </c>
      <c r="B3152" s="2">
        <v>2</v>
      </c>
      <c r="C3152" s="2" t="s">
        <v>426</v>
      </c>
      <c r="D3152" s="2" t="s">
        <v>99</v>
      </c>
      <c r="E3152" s="2" t="s">
        <v>39</v>
      </c>
      <c r="F3152" s="2">
        <v>503523470</v>
      </c>
      <c r="G3152" s="2" t="s">
        <v>40</v>
      </c>
      <c r="H3152" s="2" t="s">
        <v>427</v>
      </c>
      <c r="I3152" s="2" t="s">
        <v>428</v>
      </c>
      <c r="K3152" s="2" t="s">
        <v>202</v>
      </c>
      <c r="L3152" s="2" t="s">
        <v>81</v>
      </c>
      <c r="O3152" s="2" t="s">
        <v>43</v>
      </c>
      <c r="P3152" s="2" t="s">
        <v>237</v>
      </c>
      <c r="Q3152" s="2" t="s">
        <v>238</v>
      </c>
      <c r="R3152" s="2">
        <v>1</v>
      </c>
      <c r="S3152" s="2">
        <v>17.399999999999999</v>
      </c>
      <c r="T3152" s="2">
        <v>4.0019999999999998</v>
      </c>
      <c r="U3152" s="2">
        <v>21.402000000000001</v>
      </c>
      <c r="W3152" s="5">
        <f t="shared" si="321"/>
        <v>1</v>
      </c>
      <c r="Y3152" s="2" t="s">
        <v>3256</v>
      </c>
      <c r="Z3152" s="2" t="s">
        <v>46</v>
      </c>
      <c r="AA3152" s="2" t="s">
        <v>57</v>
      </c>
      <c r="AB3152" s="2" t="s">
        <v>58</v>
      </c>
      <c r="AE3152" s="2">
        <f t="shared" si="323"/>
        <v>0</v>
      </c>
      <c r="AI3152" s="2">
        <f t="shared" si="324"/>
        <v>0</v>
      </c>
      <c r="AJ3152" s="2">
        <f t="shared" si="319"/>
        <v>17.399999999999999</v>
      </c>
      <c r="AK3152" s="5">
        <f t="shared" si="320"/>
        <v>1</v>
      </c>
    </row>
    <row r="3153" spans="1:37" x14ac:dyDescent="0.2">
      <c r="A3153" s="2">
        <v>2026</v>
      </c>
      <c r="B3153" s="2">
        <v>3</v>
      </c>
      <c r="C3153" s="2" t="s">
        <v>695</v>
      </c>
      <c r="D3153" s="2" t="s">
        <v>109</v>
      </c>
      <c r="E3153" s="2" t="s">
        <v>39</v>
      </c>
      <c r="F3153" s="2">
        <v>503589950</v>
      </c>
      <c r="G3153" s="2" t="s">
        <v>41</v>
      </c>
      <c r="H3153" s="2" t="s">
        <v>615</v>
      </c>
      <c r="I3153" s="2" t="s">
        <v>696</v>
      </c>
      <c r="J3153" s="2">
        <v>913036545</v>
      </c>
      <c r="K3153" s="2" t="s">
        <v>178</v>
      </c>
      <c r="L3153" s="2" t="s">
        <v>40</v>
      </c>
      <c r="N3153" s="2" t="s">
        <v>2550</v>
      </c>
      <c r="O3153" s="2" t="s">
        <v>115</v>
      </c>
      <c r="P3153" s="2" t="s">
        <v>2551</v>
      </c>
      <c r="Q3153" s="2" t="s">
        <v>2552</v>
      </c>
      <c r="R3153" s="2">
        <v>1</v>
      </c>
      <c r="S3153" s="2">
        <v>263.73</v>
      </c>
      <c r="T3153" s="2">
        <v>60.657900000000012</v>
      </c>
      <c r="U3153" s="2">
        <v>324.3879</v>
      </c>
      <c r="V3153" s="2">
        <v>120.81</v>
      </c>
      <c r="W3153" s="5">
        <f t="shared" si="321"/>
        <v>0.54191787054942553</v>
      </c>
      <c r="Y3153" s="2" t="s">
        <v>118</v>
      </c>
      <c r="Z3153" s="2" t="s">
        <v>119</v>
      </c>
      <c r="AA3153" s="2" t="s">
        <v>120</v>
      </c>
      <c r="AB3153" s="2" t="s">
        <v>115</v>
      </c>
      <c r="AE3153" s="2">
        <f t="shared" si="323"/>
        <v>0</v>
      </c>
      <c r="AF3153" s="2">
        <v>120.81</v>
      </c>
      <c r="AI3153" s="2">
        <f t="shared" si="324"/>
        <v>0</v>
      </c>
      <c r="AJ3153" s="2">
        <f t="shared" si="319"/>
        <v>142.92000000000002</v>
      </c>
      <c r="AK3153" s="5">
        <f t="shared" si="320"/>
        <v>0.54191787054942553</v>
      </c>
    </row>
    <row r="3154" spans="1:37" x14ac:dyDescent="0.2">
      <c r="A3154" s="2">
        <v>2026</v>
      </c>
      <c r="B3154" s="2">
        <v>2</v>
      </c>
      <c r="C3154" s="2" t="s">
        <v>426</v>
      </c>
      <c r="D3154" s="2" t="s">
        <v>99</v>
      </c>
      <c r="E3154" s="2" t="s">
        <v>39</v>
      </c>
      <c r="F3154" s="2">
        <v>503523470</v>
      </c>
      <c r="G3154" s="2" t="s">
        <v>40</v>
      </c>
      <c r="H3154" s="2" t="s">
        <v>427</v>
      </c>
      <c r="I3154" s="2" t="s">
        <v>428</v>
      </c>
      <c r="K3154" s="2" t="s">
        <v>202</v>
      </c>
      <c r="L3154" s="2" t="s">
        <v>81</v>
      </c>
      <c r="O3154" s="2" t="s">
        <v>43</v>
      </c>
      <c r="P3154" s="2" t="s">
        <v>239</v>
      </c>
      <c r="Q3154" s="2" t="s">
        <v>240</v>
      </c>
      <c r="R3154" s="2">
        <v>1</v>
      </c>
      <c r="S3154" s="2">
        <v>21</v>
      </c>
      <c r="T3154" s="2">
        <v>4.83</v>
      </c>
      <c r="U3154" s="2">
        <v>25.83</v>
      </c>
      <c r="W3154" s="5">
        <f t="shared" si="321"/>
        <v>1</v>
      </c>
      <c r="Y3154" s="2" t="s">
        <v>3256</v>
      </c>
      <c r="Z3154" s="2" t="s">
        <v>46</v>
      </c>
      <c r="AA3154" s="2" t="s">
        <v>57</v>
      </c>
      <c r="AB3154" s="2" t="s">
        <v>58</v>
      </c>
      <c r="AE3154" s="2">
        <f t="shared" si="323"/>
        <v>0</v>
      </c>
      <c r="AI3154" s="2">
        <f t="shared" si="324"/>
        <v>0</v>
      </c>
      <c r="AJ3154" s="2">
        <f t="shared" si="319"/>
        <v>21</v>
      </c>
      <c r="AK3154" s="5">
        <f t="shared" si="320"/>
        <v>1</v>
      </c>
    </row>
    <row r="3155" spans="1:37" x14ac:dyDescent="0.2">
      <c r="A3155" s="2">
        <v>2026</v>
      </c>
      <c r="B3155" s="2">
        <v>2</v>
      </c>
      <c r="C3155" s="2" t="s">
        <v>429</v>
      </c>
      <c r="D3155" s="2" t="s">
        <v>99</v>
      </c>
      <c r="E3155" s="2" t="s">
        <v>39</v>
      </c>
      <c r="F3155" s="2">
        <v>510613888</v>
      </c>
      <c r="G3155" s="2" t="s">
        <v>40</v>
      </c>
      <c r="H3155" s="2" t="s">
        <v>430</v>
      </c>
      <c r="I3155" s="2" t="s">
        <v>431</v>
      </c>
      <c r="K3155" s="2" t="s">
        <v>100</v>
      </c>
      <c r="L3155" s="2" t="s">
        <v>81</v>
      </c>
      <c r="O3155" s="2" t="s">
        <v>43</v>
      </c>
      <c r="P3155" s="2" t="s">
        <v>239</v>
      </c>
      <c r="Q3155" s="2" t="s">
        <v>240</v>
      </c>
      <c r="R3155" s="2">
        <v>0</v>
      </c>
      <c r="S3155" s="2">
        <v>0</v>
      </c>
      <c r="T3155" s="2">
        <v>0</v>
      </c>
      <c r="U3155" s="2">
        <v>0</v>
      </c>
      <c r="W3155" s="5">
        <f>IF(S3155=0,IF(V3155&gt;0,-100%,0%),(S3155-V3155)/S3155)</f>
        <v>0</v>
      </c>
      <c r="Y3155" s="2" t="s">
        <v>3256</v>
      </c>
      <c r="Z3155" s="2" t="s">
        <v>46</v>
      </c>
      <c r="AA3155" s="2" t="s">
        <v>57</v>
      </c>
      <c r="AB3155" s="2" t="s">
        <v>58</v>
      </c>
      <c r="AE3155" s="2">
        <f t="shared" si="323"/>
        <v>0</v>
      </c>
      <c r="AI3155" s="2">
        <f t="shared" si="324"/>
        <v>0</v>
      </c>
      <c r="AJ3155" s="2">
        <f t="shared" si="319"/>
        <v>0</v>
      </c>
      <c r="AK3155" s="5">
        <f>IF(S3155=0,IF(V3155&gt;0,-100%,0%),(S3155-V3155)/S3155)</f>
        <v>0</v>
      </c>
    </row>
    <row r="3156" spans="1:37" x14ac:dyDescent="0.2">
      <c r="A3156" s="2">
        <v>2026</v>
      </c>
      <c r="B3156" s="2">
        <v>2</v>
      </c>
      <c r="C3156" s="2" t="s">
        <v>426</v>
      </c>
      <c r="D3156" s="2" t="s">
        <v>99</v>
      </c>
      <c r="E3156" s="2" t="s">
        <v>39</v>
      </c>
      <c r="F3156" s="2">
        <v>503523470</v>
      </c>
      <c r="G3156" s="2" t="s">
        <v>40</v>
      </c>
      <c r="H3156" s="2" t="s">
        <v>427</v>
      </c>
      <c r="I3156" s="2" t="s">
        <v>428</v>
      </c>
      <c r="K3156" s="2" t="s">
        <v>202</v>
      </c>
      <c r="L3156" s="2" t="s">
        <v>81</v>
      </c>
      <c r="O3156" s="2" t="s">
        <v>43</v>
      </c>
      <c r="P3156" s="2" t="s">
        <v>241</v>
      </c>
      <c r="Q3156" s="2" t="s">
        <v>242</v>
      </c>
      <c r="R3156" s="2">
        <v>1</v>
      </c>
      <c r="S3156" s="2">
        <v>25.2</v>
      </c>
      <c r="T3156" s="2">
        <v>5.7960000000000003</v>
      </c>
      <c r="U3156" s="2">
        <v>30.995999999999999</v>
      </c>
      <c r="W3156" s="5">
        <f>(S3156-V3156)/S3156</f>
        <v>1</v>
      </c>
      <c r="Y3156" s="2" t="s">
        <v>3256</v>
      </c>
      <c r="Z3156" s="2" t="s">
        <v>46</v>
      </c>
      <c r="AA3156" s="2" t="s">
        <v>57</v>
      </c>
      <c r="AB3156" s="2" t="s">
        <v>58</v>
      </c>
      <c r="AE3156" s="2">
        <f t="shared" si="323"/>
        <v>0</v>
      </c>
      <c r="AI3156" s="2">
        <f t="shared" si="324"/>
        <v>0</v>
      </c>
      <c r="AJ3156" s="2">
        <f t="shared" si="319"/>
        <v>25.2</v>
      </c>
      <c r="AK3156" s="5">
        <f>(S3156-V3156)/S3156</f>
        <v>1</v>
      </c>
    </row>
    <row r="3157" spans="1:37" x14ac:dyDescent="0.2">
      <c r="A3157" s="2">
        <v>2026</v>
      </c>
      <c r="B3157" s="2">
        <v>2</v>
      </c>
      <c r="C3157" s="2" t="s">
        <v>429</v>
      </c>
      <c r="D3157" s="2" t="s">
        <v>99</v>
      </c>
      <c r="E3157" s="2" t="s">
        <v>39</v>
      </c>
      <c r="F3157" s="2">
        <v>510613888</v>
      </c>
      <c r="G3157" s="2" t="s">
        <v>40</v>
      </c>
      <c r="H3157" s="2" t="s">
        <v>430</v>
      </c>
      <c r="I3157" s="2" t="s">
        <v>431</v>
      </c>
      <c r="K3157" s="2" t="s">
        <v>100</v>
      </c>
      <c r="L3157" s="2" t="s">
        <v>81</v>
      </c>
      <c r="O3157" s="2" t="s">
        <v>43</v>
      </c>
      <c r="P3157" s="2" t="s">
        <v>241</v>
      </c>
      <c r="Q3157" s="2" t="s">
        <v>242</v>
      </c>
      <c r="R3157" s="2">
        <v>0</v>
      </c>
      <c r="S3157" s="2">
        <v>0</v>
      </c>
      <c r="T3157" s="2">
        <v>0</v>
      </c>
      <c r="U3157" s="2">
        <v>0</v>
      </c>
      <c r="W3157" s="5">
        <f>IF(S3157=0,IF(V3157&gt;0,-100%,0%),(S3157-V3157)/S3157)</f>
        <v>0</v>
      </c>
      <c r="Y3157" s="2" t="s">
        <v>3256</v>
      </c>
      <c r="Z3157" s="2" t="s">
        <v>46</v>
      </c>
      <c r="AA3157" s="2" t="s">
        <v>57</v>
      </c>
      <c r="AB3157" s="2" t="s">
        <v>58</v>
      </c>
      <c r="AE3157" s="2">
        <f t="shared" si="323"/>
        <v>0</v>
      </c>
      <c r="AI3157" s="2">
        <f t="shared" si="324"/>
        <v>0</v>
      </c>
      <c r="AJ3157" s="2">
        <f t="shared" si="319"/>
        <v>0</v>
      </c>
      <c r="AK3157" s="5">
        <f>IF(S3157=0,IF(V3157&gt;0,-100%,0%),(S3157-V3157)/S3157)</f>
        <v>0</v>
      </c>
    </row>
    <row r="3158" spans="1:37" x14ac:dyDescent="0.2">
      <c r="A3158" s="2">
        <v>2026</v>
      </c>
      <c r="B3158" s="2">
        <v>3</v>
      </c>
      <c r="C3158" s="2" t="s">
        <v>695</v>
      </c>
      <c r="D3158" s="2" t="s">
        <v>109</v>
      </c>
      <c r="E3158" s="2" t="s">
        <v>39</v>
      </c>
      <c r="F3158" s="2">
        <v>503589950</v>
      </c>
      <c r="G3158" s="2" t="s">
        <v>41</v>
      </c>
      <c r="H3158" s="2" t="s">
        <v>615</v>
      </c>
      <c r="I3158" s="2" t="s">
        <v>696</v>
      </c>
      <c r="J3158" s="2">
        <v>913036545</v>
      </c>
      <c r="K3158" s="2" t="s">
        <v>178</v>
      </c>
      <c r="L3158" s="2" t="s">
        <v>40</v>
      </c>
      <c r="N3158" s="2" t="s">
        <v>2463</v>
      </c>
      <c r="O3158" s="2" t="s">
        <v>115</v>
      </c>
      <c r="P3158" s="2" t="s">
        <v>2121</v>
      </c>
      <c r="Q3158" s="2" t="s">
        <v>2122</v>
      </c>
      <c r="R3158" s="2">
        <v>-1</v>
      </c>
      <c r="S3158" s="2">
        <v>-55.13</v>
      </c>
      <c r="T3158" s="2">
        <v>-12.6799</v>
      </c>
      <c r="U3158" s="2">
        <v>-67.809899999999999</v>
      </c>
      <c r="V3158" s="2">
        <v>42.23</v>
      </c>
      <c r="W3158" s="5">
        <f>SIGN(S3158)*((ABS(S3158)-V3158)/ABS(S3158))</f>
        <v>-0.23399238164338845</v>
      </c>
      <c r="Y3158" s="2" t="s">
        <v>118</v>
      </c>
      <c r="Z3158" s="2" t="s">
        <v>119</v>
      </c>
      <c r="AA3158" s="2" t="s">
        <v>120</v>
      </c>
      <c r="AB3158" s="2" t="s">
        <v>115</v>
      </c>
      <c r="AE3158" s="2">
        <f t="shared" si="323"/>
        <v>0</v>
      </c>
      <c r="AF3158" s="2">
        <v>42.23</v>
      </c>
      <c r="AI3158" s="2">
        <f t="shared" si="324"/>
        <v>0</v>
      </c>
    </row>
    <row r="3159" spans="1:37" x14ac:dyDescent="0.2">
      <c r="A3159" s="2">
        <v>2026</v>
      </c>
      <c r="B3159" s="2">
        <v>2</v>
      </c>
      <c r="C3159" s="2" t="s">
        <v>426</v>
      </c>
      <c r="D3159" s="2" t="s">
        <v>99</v>
      </c>
      <c r="E3159" s="2" t="s">
        <v>39</v>
      </c>
      <c r="F3159" s="2">
        <v>503523470</v>
      </c>
      <c r="G3159" s="2" t="s">
        <v>40</v>
      </c>
      <c r="H3159" s="2" t="s">
        <v>427</v>
      </c>
      <c r="I3159" s="2" t="s">
        <v>428</v>
      </c>
      <c r="K3159" s="2" t="s">
        <v>202</v>
      </c>
      <c r="L3159" s="2" t="s">
        <v>81</v>
      </c>
      <c r="O3159" s="2" t="s">
        <v>43</v>
      </c>
      <c r="P3159" s="2" t="s">
        <v>243</v>
      </c>
      <c r="Q3159" s="2" t="s">
        <v>244</v>
      </c>
      <c r="R3159" s="2">
        <v>1</v>
      </c>
      <c r="S3159" s="2">
        <v>30</v>
      </c>
      <c r="T3159" s="2">
        <v>6.9</v>
      </c>
      <c r="U3159" s="2">
        <v>36.9</v>
      </c>
      <c r="W3159" s="5">
        <f>(S3159-V3159)/S3159</f>
        <v>1</v>
      </c>
      <c r="Y3159" s="2" t="s">
        <v>3256</v>
      </c>
      <c r="Z3159" s="2" t="s">
        <v>46</v>
      </c>
      <c r="AA3159" s="2" t="s">
        <v>57</v>
      </c>
      <c r="AB3159" s="2" t="s">
        <v>58</v>
      </c>
      <c r="AE3159" s="2">
        <f t="shared" si="323"/>
        <v>0</v>
      </c>
      <c r="AI3159" s="2">
        <f t="shared" si="324"/>
        <v>0</v>
      </c>
      <c r="AJ3159" s="2">
        <f t="shared" ref="AJ3159:AJ3190" si="325">S3159-V3159</f>
        <v>30</v>
      </c>
      <c r="AK3159" s="5">
        <f>(S3159-V3159)/S3159</f>
        <v>1</v>
      </c>
    </row>
    <row r="3160" spans="1:37" x14ac:dyDescent="0.2">
      <c r="A3160" s="2">
        <v>2026</v>
      </c>
      <c r="B3160" s="2">
        <v>2</v>
      </c>
      <c r="C3160" s="2" t="s">
        <v>429</v>
      </c>
      <c r="D3160" s="2" t="s">
        <v>99</v>
      </c>
      <c r="E3160" s="2" t="s">
        <v>39</v>
      </c>
      <c r="F3160" s="2">
        <v>510613888</v>
      </c>
      <c r="G3160" s="2" t="s">
        <v>40</v>
      </c>
      <c r="H3160" s="2" t="s">
        <v>430</v>
      </c>
      <c r="I3160" s="2" t="s">
        <v>431</v>
      </c>
      <c r="K3160" s="2" t="s">
        <v>100</v>
      </c>
      <c r="L3160" s="2" t="s">
        <v>81</v>
      </c>
      <c r="O3160" s="2" t="s">
        <v>43</v>
      </c>
      <c r="P3160" s="2" t="s">
        <v>243</v>
      </c>
      <c r="Q3160" s="2" t="s">
        <v>244</v>
      </c>
      <c r="R3160" s="2">
        <v>0</v>
      </c>
      <c r="S3160" s="2">
        <v>0</v>
      </c>
      <c r="T3160" s="2">
        <v>0</v>
      </c>
      <c r="U3160" s="2">
        <v>0</v>
      </c>
      <c r="W3160" s="5">
        <f>IF(S3160=0,IF(V3160&gt;0,-100%,0%),(S3160-V3160)/S3160)</f>
        <v>0</v>
      </c>
      <c r="Y3160" s="2" t="s">
        <v>3256</v>
      </c>
      <c r="Z3160" s="2" t="s">
        <v>46</v>
      </c>
      <c r="AA3160" s="2" t="s">
        <v>57</v>
      </c>
      <c r="AB3160" s="2" t="s">
        <v>58</v>
      </c>
      <c r="AE3160" s="2">
        <f t="shared" si="323"/>
        <v>0</v>
      </c>
      <c r="AI3160" s="2">
        <f t="shared" si="324"/>
        <v>0</v>
      </c>
      <c r="AJ3160" s="2">
        <f t="shared" si="325"/>
        <v>0</v>
      </c>
      <c r="AK3160" s="5">
        <f>IF(S3160=0,IF(V3160&gt;0,-100%,0%),(S3160-V3160)/S3160)</f>
        <v>0</v>
      </c>
    </row>
    <row r="3161" spans="1:37" x14ac:dyDescent="0.2">
      <c r="A3161" s="2">
        <v>2026</v>
      </c>
      <c r="B3161" s="2">
        <v>2</v>
      </c>
      <c r="C3161" s="2" t="s">
        <v>37</v>
      </c>
      <c r="D3161" s="2" t="s">
        <v>38</v>
      </c>
      <c r="E3161" s="2" t="s">
        <v>39</v>
      </c>
      <c r="G3161" s="2" t="s">
        <v>40</v>
      </c>
      <c r="O3161" s="2" t="s">
        <v>43</v>
      </c>
      <c r="P3161" s="2" t="s">
        <v>55</v>
      </c>
      <c r="Q3161" s="2" t="s">
        <v>56</v>
      </c>
      <c r="R3161" s="2">
        <v>4</v>
      </c>
      <c r="S3161" s="2">
        <v>58</v>
      </c>
      <c r="T3161" s="2">
        <v>13.34</v>
      </c>
      <c r="U3161" s="2">
        <v>71.34</v>
      </c>
      <c r="V3161" s="2">
        <f>10.6*R3161</f>
        <v>42.4</v>
      </c>
      <c r="W3161" s="5">
        <f t="shared" ref="W3161:W3169" si="326">(S3161-V3161)/S3161</f>
        <v>0.26896551724137935</v>
      </c>
      <c r="Y3161" s="2" t="s">
        <v>3256</v>
      </c>
      <c r="Z3161" s="2" t="s">
        <v>46</v>
      </c>
      <c r="AA3161" s="2" t="s">
        <v>57</v>
      </c>
      <c r="AB3161" s="2" t="s">
        <v>58</v>
      </c>
      <c r="AE3161" s="2">
        <f t="shared" si="323"/>
        <v>0</v>
      </c>
      <c r="AF3161" s="2">
        <v>10.6</v>
      </c>
      <c r="AG3161" s="2">
        <v>18</v>
      </c>
      <c r="AI3161" s="2">
        <f t="shared" si="324"/>
        <v>0</v>
      </c>
      <c r="AJ3161" s="2">
        <f t="shared" si="325"/>
        <v>15.600000000000001</v>
      </c>
      <c r="AK3161" s="5">
        <f t="shared" ref="AK3161:AK3169" si="327">(S3161-V3161)/S3161</f>
        <v>0.26896551724137935</v>
      </c>
    </row>
    <row r="3162" spans="1:37" x14ac:dyDescent="0.2">
      <c r="A3162" s="2">
        <v>2026</v>
      </c>
      <c r="B3162" s="2">
        <v>2</v>
      </c>
      <c r="C3162" s="2" t="s">
        <v>309</v>
      </c>
      <c r="D3162" s="2" t="s">
        <v>109</v>
      </c>
      <c r="E3162" s="2" t="s">
        <v>39</v>
      </c>
      <c r="F3162" s="2">
        <v>503724300</v>
      </c>
      <c r="G3162" s="2" t="s">
        <v>110</v>
      </c>
      <c r="H3162" s="2" t="s">
        <v>3138</v>
      </c>
      <c r="I3162" s="2" t="s">
        <v>3139</v>
      </c>
      <c r="K3162" s="2" t="s">
        <v>113</v>
      </c>
      <c r="L3162" s="2" t="s">
        <v>110</v>
      </c>
      <c r="N3162" s="2" t="s">
        <v>3142</v>
      </c>
      <c r="O3162" s="2" t="s">
        <v>43</v>
      </c>
      <c r="P3162" s="2" t="s">
        <v>55</v>
      </c>
      <c r="Q3162" s="2" t="s">
        <v>56</v>
      </c>
      <c r="R3162" s="2">
        <v>3</v>
      </c>
      <c r="S3162" s="2">
        <v>54</v>
      </c>
      <c r="T3162" s="2">
        <v>12.42</v>
      </c>
      <c r="U3162" s="2">
        <v>66.42</v>
      </c>
      <c r="V3162" s="2">
        <f>10.6*R3162</f>
        <v>31.799999999999997</v>
      </c>
      <c r="W3162" s="5">
        <f t="shared" si="326"/>
        <v>0.41111111111111115</v>
      </c>
      <c r="Y3162" s="2" t="s">
        <v>3256</v>
      </c>
      <c r="Z3162" s="2" t="s">
        <v>46</v>
      </c>
      <c r="AA3162" s="2" t="s">
        <v>57</v>
      </c>
      <c r="AB3162" s="2" t="s">
        <v>58</v>
      </c>
      <c r="AE3162" s="2">
        <f t="shared" si="323"/>
        <v>0</v>
      </c>
      <c r="AF3162" s="2">
        <v>10.6</v>
      </c>
      <c r="AG3162" s="2">
        <v>18</v>
      </c>
      <c r="AI3162" s="2">
        <f t="shared" si="324"/>
        <v>0</v>
      </c>
      <c r="AJ3162" s="2">
        <f t="shared" si="325"/>
        <v>22.200000000000003</v>
      </c>
      <c r="AK3162" s="5">
        <f t="shared" si="327"/>
        <v>0.41111111111111115</v>
      </c>
    </row>
    <row r="3163" spans="1:37" x14ac:dyDescent="0.2">
      <c r="A3163" s="2">
        <v>2026</v>
      </c>
      <c r="B3163" s="2">
        <v>2</v>
      </c>
      <c r="C3163" s="2" t="s">
        <v>2553</v>
      </c>
      <c r="O3163" s="2" t="s">
        <v>43</v>
      </c>
      <c r="P3163" s="2" t="s">
        <v>55</v>
      </c>
      <c r="Q3163" s="2" t="s">
        <v>56</v>
      </c>
      <c r="R3163" s="2">
        <v>10</v>
      </c>
      <c r="S3163" s="2">
        <v>140</v>
      </c>
      <c r="T3163" s="2">
        <v>32.200000000000003</v>
      </c>
      <c r="U3163" s="2">
        <v>172.2</v>
      </c>
      <c r="V3163" s="2">
        <f>10.6*R3163</f>
        <v>106</v>
      </c>
      <c r="W3163" s="5">
        <f t="shared" si="326"/>
        <v>0.24285714285714285</v>
      </c>
      <c r="Y3163" s="2" t="s">
        <v>3256</v>
      </c>
      <c r="Z3163" s="2" t="s">
        <v>46</v>
      </c>
      <c r="AA3163" s="2" t="s">
        <v>57</v>
      </c>
      <c r="AB3163" s="2" t="s">
        <v>58</v>
      </c>
      <c r="AE3163" s="2">
        <f t="shared" si="323"/>
        <v>0</v>
      </c>
      <c r="AF3163" s="2">
        <v>10.6</v>
      </c>
      <c r="AG3163" s="2">
        <v>18</v>
      </c>
      <c r="AI3163" s="2">
        <f t="shared" si="324"/>
        <v>0</v>
      </c>
      <c r="AJ3163" s="2">
        <f t="shared" si="325"/>
        <v>34</v>
      </c>
      <c r="AK3163" s="5">
        <f t="shared" si="327"/>
        <v>0.24285714285714285</v>
      </c>
    </row>
    <row r="3164" spans="1:37" x14ac:dyDescent="0.2">
      <c r="A3164" s="2">
        <v>2026</v>
      </c>
      <c r="B3164" s="2">
        <v>2</v>
      </c>
      <c r="C3164" s="2" t="s">
        <v>426</v>
      </c>
      <c r="D3164" s="2" t="s">
        <v>99</v>
      </c>
      <c r="E3164" s="2" t="s">
        <v>39</v>
      </c>
      <c r="F3164" s="2">
        <v>503523470</v>
      </c>
      <c r="G3164" s="2" t="s">
        <v>40</v>
      </c>
      <c r="H3164" s="2" t="s">
        <v>427</v>
      </c>
      <c r="I3164" s="2" t="s">
        <v>428</v>
      </c>
      <c r="K3164" s="2" t="s">
        <v>202</v>
      </c>
      <c r="L3164" s="2" t="s">
        <v>81</v>
      </c>
      <c r="O3164" s="2" t="s">
        <v>43</v>
      </c>
      <c r="P3164" s="2" t="s">
        <v>55</v>
      </c>
      <c r="Q3164" s="2" t="s">
        <v>56</v>
      </c>
      <c r="R3164" s="2">
        <v>1</v>
      </c>
      <c r="S3164" s="2">
        <v>18</v>
      </c>
      <c r="T3164" s="2">
        <v>4.1400000000000006</v>
      </c>
      <c r="U3164" s="2">
        <v>22.14</v>
      </c>
      <c r="V3164" s="2">
        <f>10.6*R3164</f>
        <v>10.6</v>
      </c>
      <c r="W3164" s="5">
        <f t="shared" si="326"/>
        <v>0.41111111111111115</v>
      </c>
      <c r="Y3164" s="2" t="s">
        <v>3256</v>
      </c>
      <c r="Z3164" s="2" t="s">
        <v>46</v>
      </c>
      <c r="AA3164" s="2" t="s">
        <v>57</v>
      </c>
      <c r="AB3164" s="2" t="s">
        <v>58</v>
      </c>
      <c r="AE3164" s="2">
        <f t="shared" si="323"/>
        <v>0</v>
      </c>
      <c r="AF3164" s="2">
        <v>10.6</v>
      </c>
      <c r="AG3164" s="2">
        <v>18</v>
      </c>
      <c r="AI3164" s="2">
        <f t="shared" si="324"/>
        <v>0</v>
      </c>
      <c r="AJ3164" s="2">
        <f t="shared" si="325"/>
        <v>7.4</v>
      </c>
      <c r="AK3164" s="5">
        <f t="shared" si="327"/>
        <v>0.41111111111111115</v>
      </c>
    </row>
    <row r="3165" spans="1:37" x14ac:dyDescent="0.2">
      <c r="A3165" s="2">
        <v>2026</v>
      </c>
      <c r="B3165" s="2">
        <v>2</v>
      </c>
      <c r="C3165" s="2" t="s">
        <v>1030</v>
      </c>
      <c r="D3165" s="2" t="s">
        <v>38</v>
      </c>
      <c r="E3165" s="2" t="s">
        <v>39</v>
      </c>
      <c r="F3165" s="2">
        <v>504493612</v>
      </c>
      <c r="G3165" s="2" t="s">
        <v>41</v>
      </c>
      <c r="H3165" s="2" t="s">
        <v>1570</v>
      </c>
      <c r="I3165" s="2" t="s">
        <v>2547</v>
      </c>
      <c r="K3165" s="2" t="s">
        <v>178</v>
      </c>
      <c r="O3165" s="2" t="s">
        <v>43</v>
      </c>
      <c r="P3165" s="2" t="s">
        <v>55</v>
      </c>
      <c r="Q3165" s="2" t="s">
        <v>56</v>
      </c>
      <c r="R3165" s="2">
        <v>2</v>
      </c>
      <c r="S3165" s="2">
        <v>36</v>
      </c>
      <c r="T3165" s="2">
        <v>8.2800000000000011</v>
      </c>
      <c r="U3165" s="2">
        <v>44.28</v>
      </c>
      <c r="V3165" s="2">
        <f>10.6*R3165</f>
        <v>21.2</v>
      </c>
      <c r="W3165" s="5">
        <f t="shared" si="326"/>
        <v>0.41111111111111115</v>
      </c>
      <c r="Y3165" s="2" t="s">
        <v>3256</v>
      </c>
      <c r="Z3165" s="2" t="s">
        <v>46</v>
      </c>
      <c r="AA3165" s="2" t="s">
        <v>57</v>
      </c>
      <c r="AB3165" s="2" t="s">
        <v>58</v>
      </c>
      <c r="AE3165" s="2">
        <f t="shared" si="323"/>
        <v>0</v>
      </c>
      <c r="AF3165" s="2">
        <v>10.6</v>
      </c>
      <c r="AG3165" s="2">
        <v>18</v>
      </c>
      <c r="AI3165" s="2">
        <f t="shared" si="324"/>
        <v>0</v>
      </c>
      <c r="AJ3165" s="2">
        <f t="shared" si="325"/>
        <v>14.8</v>
      </c>
      <c r="AK3165" s="5">
        <f t="shared" si="327"/>
        <v>0.41111111111111115</v>
      </c>
    </row>
    <row r="3166" spans="1:37" x14ac:dyDescent="0.2">
      <c r="A3166" s="2">
        <v>2026</v>
      </c>
      <c r="B3166" s="2">
        <v>2</v>
      </c>
      <c r="C3166" s="2" t="s">
        <v>1030</v>
      </c>
      <c r="D3166" s="2" t="s">
        <v>38</v>
      </c>
      <c r="E3166" s="2" t="s">
        <v>39</v>
      </c>
      <c r="F3166" s="2">
        <v>504493612</v>
      </c>
      <c r="G3166" s="2" t="s">
        <v>41</v>
      </c>
      <c r="H3166" s="2" t="s">
        <v>1570</v>
      </c>
      <c r="I3166" s="2" t="s">
        <v>2547</v>
      </c>
      <c r="K3166" s="2" t="s">
        <v>178</v>
      </c>
      <c r="L3166" s="2" t="s">
        <v>41</v>
      </c>
      <c r="N3166" s="2" t="s">
        <v>2554</v>
      </c>
      <c r="O3166" s="2" t="s">
        <v>43</v>
      </c>
      <c r="P3166" s="2" t="s">
        <v>59</v>
      </c>
      <c r="Q3166" s="2" t="s">
        <v>60</v>
      </c>
      <c r="R3166" s="2">
        <v>100</v>
      </c>
      <c r="S3166" s="2">
        <v>14</v>
      </c>
      <c r="T3166" s="2">
        <v>3.22</v>
      </c>
      <c r="U3166" s="2">
        <v>17.22</v>
      </c>
      <c r="V3166" s="2">
        <f>0.0914*R3166</f>
        <v>9.1399999999999988</v>
      </c>
      <c r="W3166" s="5">
        <f t="shared" si="326"/>
        <v>0.34714285714285725</v>
      </c>
      <c r="Y3166" s="2" t="s">
        <v>3256</v>
      </c>
      <c r="Z3166" s="2" t="s">
        <v>46</v>
      </c>
      <c r="AA3166" s="2" t="s">
        <v>61</v>
      </c>
      <c r="AB3166" s="2" t="s">
        <v>58</v>
      </c>
      <c r="AE3166" s="2">
        <f t="shared" si="323"/>
        <v>0</v>
      </c>
      <c r="AF3166" s="2">
        <v>9.14</v>
      </c>
      <c r="AG3166" s="2">
        <v>16</v>
      </c>
      <c r="AI3166" s="2">
        <f t="shared" si="324"/>
        <v>0</v>
      </c>
      <c r="AJ3166" s="2">
        <f t="shared" si="325"/>
        <v>4.8600000000000012</v>
      </c>
      <c r="AK3166" s="5">
        <f t="shared" si="327"/>
        <v>0.34714285714285725</v>
      </c>
    </row>
    <row r="3167" spans="1:37" x14ac:dyDescent="0.2">
      <c r="A3167" s="2">
        <v>2026</v>
      </c>
      <c r="B3167" s="2">
        <v>2</v>
      </c>
      <c r="C3167" s="2" t="s">
        <v>623</v>
      </c>
      <c r="D3167" s="2" t="s">
        <v>38</v>
      </c>
      <c r="E3167" s="2" t="s">
        <v>39</v>
      </c>
      <c r="F3167" s="2">
        <v>513759654</v>
      </c>
      <c r="G3167" s="2" t="s">
        <v>41</v>
      </c>
      <c r="H3167" s="2" t="s">
        <v>624</v>
      </c>
      <c r="I3167" s="2" t="s">
        <v>625</v>
      </c>
      <c r="K3167" s="2" t="s">
        <v>422</v>
      </c>
      <c r="L3167" s="2" t="s">
        <v>41</v>
      </c>
      <c r="N3167" s="2" t="s">
        <v>2555</v>
      </c>
      <c r="O3167" s="2" t="s">
        <v>43</v>
      </c>
      <c r="P3167" s="2" t="s">
        <v>59</v>
      </c>
      <c r="Q3167" s="2" t="s">
        <v>60</v>
      </c>
      <c r="R3167" s="2">
        <v>200</v>
      </c>
      <c r="S3167" s="2">
        <v>26</v>
      </c>
      <c r="T3167" s="2">
        <v>5.98</v>
      </c>
      <c r="U3167" s="2">
        <v>31.98</v>
      </c>
      <c r="V3167" s="2">
        <f>0.0914*R3167</f>
        <v>18.279999999999998</v>
      </c>
      <c r="W3167" s="5">
        <f t="shared" si="326"/>
        <v>0.29692307692307701</v>
      </c>
      <c r="Y3167" s="2" t="s">
        <v>3256</v>
      </c>
      <c r="Z3167" s="2" t="s">
        <v>46</v>
      </c>
      <c r="AA3167" s="2" t="s">
        <v>61</v>
      </c>
      <c r="AB3167" s="2" t="s">
        <v>58</v>
      </c>
      <c r="AE3167" s="2">
        <f t="shared" si="323"/>
        <v>0</v>
      </c>
      <c r="AF3167" s="2">
        <v>9.14</v>
      </c>
      <c r="AG3167" s="2">
        <v>16</v>
      </c>
      <c r="AI3167" s="2">
        <f t="shared" si="324"/>
        <v>0</v>
      </c>
      <c r="AJ3167" s="2">
        <f t="shared" si="325"/>
        <v>7.7200000000000024</v>
      </c>
      <c r="AK3167" s="5">
        <f t="shared" si="327"/>
        <v>0.29692307692307701</v>
      </c>
    </row>
    <row r="3168" spans="1:37" x14ac:dyDescent="0.2">
      <c r="A3168" s="2">
        <v>2026</v>
      </c>
      <c r="B3168" s="2">
        <v>2</v>
      </c>
      <c r="C3168" s="2" t="s">
        <v>37</v>
      </c>
      <c r="D3168" s="2" t="s">
        <v>38</v>
      </c>
      <c r="E3168" s="2" t="s">
        <v>39</v>
      </c>
      <c r="G3168" s="2" t="s">
        <v>40</v>
      </c>
      <c r="O3168" s="2" t="s">
        <v>43</v>
      </c>
      <c r="P3168" s="2" t="s">
        <v>62</v>
      </c>
      <c r="Q3168" s="2" t="s">
        <v>63</v>
      </c>
      <c r="R3168" s="2">
        <v>1900</v>
      </c>
      <c r="S3168" s="2">
        <v>209</v>
      </c>
      <c r="T3168" s="2">
        <v>48.07</v>
      </c>
      <c r="U3168" s="2">
        <v>257.07</v>
      </c>
      <c r="V3168" s="2">
        <f t="shared" ref="V3168:V3174" si="328">0.082*R3168</f>
        <v>155.80000000000001</v>
      </c>
      <c r="W3168" s="5">
        <f t="shared" si="326"/>
        <v>0.25454545454545446</v>
      </c>
      <c r="Y3168" s="2" t="s">
        <v>3256</v>
      </c>
      <c r="Z3168" s="2" t="s">
        <v>46</v>
      </c>
      <c r="AA3168" s="2" t="s">
        <v>61</v>
      </c>
      <c r="AB3168" s="2" t="s">
        <v>58</v>
      </c>
      <c r="AE3168" s="2">
        <f t="shared" si="323"/>
        <v>0</v>
      </c>
      <c r="AF3168" s="2">
        <v>8.1999999999999993</v>
      </c>
      <c r="AG3168" s="2">
        <v>13</v>
      </c>
      <c r="AI3168" s="2">
        <f t="shared" si="324"/>
        <v>0</v>
      </c>
      <c r="AJ3168" s="2">
        <f t="shared" si="325"/>
        <v>53.199999999999989</v>
      </c>
      <c r="AK3168" s="5">
        <f t="shared" si="327"/>
        <v>0.25454545454545446</v>
      </c>
    </row>
    <row r="3169" spans="1:37" x14ac:dyDescent="0.2">
      <c r="A3169" s="2">
        <v>2026</v>
      </c>
      <c r="B3169" s="2">
        <v>2</v>
      </c>
      <c r="C3169" s="2" t="s">
        <v>426</v>
      </c>
      <c r="D3169" s="2" t="s">
        <v>99</v>
      </c>
      <c r="E3169" s="2" t="s">
        <v>39</v>
      </c>
      <c r="F3169" s="2">
        <v>503523470</v>
      </c>
      <c r="G3169" s="2" t="s">
        <v>40</v>
      </c>
      <c r="H3169" s="2" t="s">
        <v>427</v>
      </c>
      <c r="I3169" s="2" t="s">
        <v>428</v>
      </c>
      <c r="K3169" s="2" t="s">
        <v>202</v>
      </c>
      <c r="L3169" s="2" t="s">
        <v>81</v>
      </c>
      <c r="O3169" s="2" t="s">
        <v>43</v>
      </c>
      <c r="P3169" s="2" t="s">
        <v>62</v>
      </c>
      <c r="Q3169" s="2" t="s">
        <v>63</v>
      </c>
      <c r="R3169" s="2">
        <v>200</v>
      </c>
      <c r="S3169" s="2">
        <v>26</v>
      </c>
      <c r="T3169" s="2">
        <v>5.98</v>
      </c>
      <c r="U3169" s="2">
        <v>31.98</v>
      </c>
      <c r="V3169" s="2">
        <f t="shared" si="328"/>
        <v>16.400000000000002</v>
      </c>
      <c r="W3169" s="5">
        <f t="shared" si="326"/>
        <v>0.36923076923076914</v>
      </c>
      <c r="Y3169" s="2" t="s">
        <v>3256</v>
      </c>
      <c r="Z3169" s="2" t="s">
        <v>46</v>
      </c>
      <c r="AA3169" s="2" t="s">
        <v>61</v>
      </c>
      <c r="AB3169" s="2" t="s">
        <v>58</v>
      </c>
      <c r="AE3169" s="2">
        <f t="shared" si="323"/>
        <v>0</v>
      </c>
      <c r="AF3169" s="2">
        <v>8.1999999999999993</v>
      </c>
      <c r="AG3169" s="2">
        <v>13</v>
      </c>
      <c r="AI3169" s="2">
        <f t="shared" si="324"/>
        <v>0</v>
      </c>
      <c r="AJ3169" s="2">
        <f t="shared" si="325"/>
        <v>9.5999999999999979</v>
      </c>
      <c r="AK3169" s="5">
        <f t="shared" si="327"/>
        <v>0.36923076923076914</v>
      </c>
    </row>
    <row r="3170" spans="1:37" x14ac:dyDescent="0.2">
      <c r="A3170" s="2">
        <v>2026</v>
      </c>
      <c r="B3170" s="2">
        <v>2</v>
      </c>
      <c r="C3170" s="2" t="s">
        <v>429</v>
      </c>
      <c r="D3170" s="2" t="s">
        <v>99</v>
      </c>
      <c r="E3170" s="2" t="s">
        <v>39</v>
      </c>
      <c r="F3170" s="2">
        <v>510613888</v>
      </c>
      <c r="G3170" s="2" t="s">
        <v>40</v>
      </c>
      <c r="H3170" s="2" t="s">
        <v>430</v>
      </c>
      <c r="I3170" s="2" t="s">
        <v>431</v>
      </c>
      <c r="K3170" s="2" t="s">
        <v>100</v>
      </c>
      <c r="L3170" s="2" t="s">
        <v>81</v>
      </c>
      <c r="O3170" s="2" t="s">
        <v>43</v>
      </c>
      <c r="P3170" s="2" t="s">
        <v>62</v>
      </c>
      <c r="Q3170" s="2" t="s">
        <v>63</v>
      </c>
      <c r="R3170" s="2">
        <v>0</v>
      </c>
      <c r="S3170" s="2">
        <v>0</v>
      </c>
      <c r="T3170" s="2">
        <v>0</v>
      </c>
      <c r="U3170" s="2">
        <v>0</v>
      </c>
      <c r="V3170" s="2">
        <f t="shared" si="328"/>
        <v>0</v>
      </c>
      <c r="W3170" s="5">
        <f>IF(S3170=0,IF(V3170&gt;0,-100%,0%),(S3170-V3170)/S3170)</f>
        <v>0</v>
      </c>
      <c r="Y3170" s="2" t="s">
        <v>3256</v>
      </c>
      <c r="Z3170" s="2" t="s">
        <v>46</v>
      </c>
      <c r="AA3170" s="2" t="s">
        <v>61</v>
      </c>
      <c r="AB3170" s="2" t="s">
        <v>58</v>
      </c>
      <c r="AE3170" s="2">
        <f t="shared" si="323"/>
        <v>0</v>
      </c>
      <c r="AF3170" s="2">
        <v>8.1999999999999993</v>
      </c>
      <c r="AG3170" s="2">
        <v>13</v>
      </c>
      <c r="AI3170" s="2">
        <f t="shared" si="324"/>
        <v>0</v>
      </c>
      <c r="AJ3170" s="2">
        <f t="shared" si="325"/>
        <v>0</v>
      </c>
      <c r="AK3170" s="5">
        <f>IF(S3170=0,IF(V3170&gt;0,-100%,0%),(S3170-V3170)/S3170)</f>
        <v>0</v>
      </c>
    </row>
    <row r="3171" spans="1:37" x14ac:dyDescent="0.2">
      <c r="A3171" s="2">
        <v>2026</v>
      </c>
      <c r="B3171" s="2">
        <v>2</v>
      </c>
      <c r="C3171" s="2" t="s">
        <v>2556</v>
      </c>
      <c r="O3171" s="2" t="s">
        <v>43</v>
      </c>
      <c r="P3171" s="2" t="s">
        <v>62</v>
      </c>
      <c r="Q3171" s="2" t="s">
        <v>63</v>
      </c>
      <c r="R3171" s="2">
        <v>200</v>
      </c>
      <c r="S3171" s="2">
        <v>24</v>
      </c>
      <c r="T3171" s="2">
        <v>5.52</v>
      </c>
      <c r="U3171" s="2">
        <v>29.52</v>
      </c>
      <c r="V3171" s="2">
        <f t="shared" si="328"/>
        <v>16.400000000000002</v>
      </c>
      <c r="W3171" s="5">
        <f t="shared" ref="W3171:W3181" si="329">(S3171-V3171)/S3171</f>
        <v>0.3166666666666666</v>
      </c>
      <c r="Y3171" s="2" t="s">
        <v>3256</v>
      </c>
      <c r="Z3171" s="2" t="s">
        <v>46</v>
      </c>
      <c r="AA3171" s="2" t="s">
        <v>61</v>
      </c>
      <c r="AB3171" s="2" t="s">
        <v>58</v>
      </c>
      <c r="AE3171" s="2">
        <f t="shared" si="323"/>
        <v>0</v>
      </c>
      <c r="AF3171" s="2">
        <v>8.1999999999999993</v>
      </c>
      <c r="AG3171" s="2">
        <v>13</v>
      </c>
      <c r="AI3171" s="2">
        <f t="shared" si="324"/>
        <v>0</v>
      </c>
      <c r="AJ3171" s="2">
        <f t="shared" si="325"/>
        <v>7.5999999999999979</v>
      </c>
      <c r="AK3171" s="5">
        <f t="shared" ref="AK3171:AK3181" si="330">(S3171-V3171)/S3171</f>
        <v>0.3166666666666666</v>
      </c>
    </row>
    <row r="3172" spans="1:37" x14ac:dyDescent="0.2">
      <c r="A3172" s="2">
        <v>2026</v>
      </c>
      <c r="B3172" s="2">
        <v>2</v>
      </c>
      <c r="C3172" s="2" t="s">
        <v>1030</v>
      </c>
      <c r="D3172" s="2" t="s">
        <v>38</v>
      </c>
      <c r="E3172" s="2" t="s">
        <v>39</v>
      </c>
      <c r="F3172" s="2">
        <v>504493612</v>
      </c>
      <c r="G3172" s="2" t="s">
        <v>41</v>
      </c>
      <c r="H3172" s="2" t="s">
        <v>1570</v>
      </c>
      <c r="I3172" s="2" t="s">
        <v>2547</v>
      </c>
      <c r="K3172" s="2" t="s">
        <v>178</v>
      </c>
      <c r="O3172" s="2" t="s">
        <v>43</v>
      </c>
      <c r="P3172" s="2" t="s">
        <v>62</v>
      </c>
      <c r="Q3172" s="2" t="s">
        <v>63</v>
      </c>
      <c r="R3172" s="2">
        <v>100</v>
      </c>
      <c r="S3172" s="2">
        <v>13</v>
      </c>
      <c r="T3172" s="2">
        <v>2.99</v>
      </c>
      <c r="U3172" s="2">
        <v>15.99</v>
      </c>
      <c r="V3172" s="2">
        <f t="shared" si="328"/>
        <v>8.2000000000000011</v>
      </c>
      <c r="W3172" s="5">
        <f t="shared" si="329"/>
        <v>0.36923076923076914</v>
      </c>
      <c r="Y3172" s="2" t="s">
        <v>3256</v>
      </c>
      <c r="Z3172" s="2" t="s">
        <v>46</v>
      </c>
      <c r="AA3172" s="2" t="s">
        <v>61</v>
      </c>
      <c r="AB3172" s="2" t="s">
        <v>58</v>
      </c>
      <c r="AE3172" s="2">
        <f t="shared" si="323"/>
        <v>0</v>
      </c>
      <c r="AF3172" s="2">
        <v>8.1999999999999993</v>
      </c>
      <c r="AG3172" s="2">
        <v>13</v>
      </c>
      <c r="AI3172" s="2">
        <f t="shared" si="324"/>
        <v>0</v>
      </c>
      <c r="AJ3172" s="2">
        <f t="shared" si="325"/>
        <v>4.7999999999999989</v>
      </c>
      <c r="AK3172" s="5">
        <f t="shared" si="330"/>
        <v>0.36923076923076914</v>
      </c>
    </row>
    <row r="3173" spans="1:37" x14ac:dyDescent="0.2">
      <c r="A3173" s="2">
        <v>2026</v>
      </c>
      <c r="B3173" s="2">
        <v>2</v>
      </c>
      <c r="C3173" s="2" t="s">
        <v>623</v>
      </c>
      <c r="D3173" s="2" t="s">
        <v>38</v>
      </c>
      <c r="E3173" s="2" t="s">
        <v>39</v>
      </c>
      <c r="F3173" s="2">
        <v>513759654</v>
      </c>
      <c r="G3173" s="2" t="s">
        <v>41</v>
      </c>
      <c r="H3173" s="2" t="s">
        <v>624</v>
      </c>
      <c r="I3173" s="2" t="s">
        <v>625</v>
      </c>
      <c r="K3173" s="2" t="s">
        <v>422</v>
      </c>
      <c r="L3173" s="2" t="s">
        <v>41</v>
      </c>
      <c r="O3173" s="2" t="s">
        <v>43</v>
      </c>
      <c r="P3173" s="2" t="s">
        <v>62</v>
      </c>
      <c r="Q3173" s="2" t="s">
        <v>63</v>
      </c>
      <c r="R3173" s="2">
        <v>100</v>
      </c>
      <c r="S3173" s="2">
        <v>12</v>
      </c>
      <c r="T3173" s="2">
        <v>2.76</v>
      </c>
      <c r="U3173" s="2">
        <v>14.76</v>
      </c>
      <c r="V3173" s="2">
        <f t="shared" si="328"/>
        <v>8.2000000000000011</v>
      </c>
      <c r="W3173" s="5">
        <f t="shared" si="329"/>
        <v>0.3166666666666666</v>
      </c>
      <c r="Y3173" s="2" t="s">
        <v>3256</v>
      </c>
      <c r="Z3173" s="2" t="s">
        <v>46</v>
      </c>
      <c r="AA3173" s="2" t="s">
        <v>61</v>
      </c>
      <c r="AB3173" s="2" t="s">
        <v>58</v>
      </c>
      <c r="AE3173" s="2">
        <f t="shared" si="323"/>
        <v>0</v>
      </c>
      <c r="AF3173" s="2">
        <v>8.1999999999999993</v>
      </c>
      <c r="AG3173" s="2">
        <v>13</v>
      </c>
      <c r="AI3173" s="2">
        <f t="shared" si="324"/>
        <v>0</v>
      </c>
      <c r="AJ3173" s="2">
        <f t="shared" si="325"/>
        <v>3.7999999999999989</v>
      </c>
      <c r="AK3173" s="5">
        <f t="shared" si="330"/>
        <v>0.3166666666666666</v>
      </c>
    </row>
    <row r="3174" spans="1:37" x14ac:dyDescent="0.2">
      <c r="A3174" s="2">
        <v>2026</v>
      </c>
      <c r="B3174" s="2">
        <v>2</v>
      </c>
      <c r="C3174" s="2" t="s">
        <v>1322</v>
      </c>
      <c r="D3174" s="2" t="s">
        <v>38</v>
      </c>
      <c r="E3174" s="2" t="s">
        <v>39</v>
      </c>
      <c r="F3174" s="2">
        <v>509512739</v>
      </c>
      <c r="G3174" s="2" t="s">
        <v>41</v>
      </c>
      <c r="H3174" s="2" t="s">
        <v>178</v>
      </c>
      <c r="I3174" s="2" t="s">
        <v>1323</v>
      </c>
      <c r="K3174" s="2" t="s">
        <v>178</v>
      </c>
      <c r="L3174" s="2" t="s">
        <v>41</v>
      </c>
      <c r="N3174" s="2" t="s">
        <v>2557</v>
      </c>
      <c r="O3174" s="2" t="s">
        <v>43</v>
      </c>
      <c r="P3174" s="2" t="s">
        <v>62</v>
      </c>
      <c r="Q3174" s="2" t="s">
        <v>63</v>
      </c>
      <c r="R3174" s="2">
        <v>200</v>
      </c>
      <c r="S3174" s="2">
        <v>24</v>
      </c>
      <c r="T3174" s="2">
        <v>5.52</v>
      </c>
      <c r="U3174" s="2">
        <v>29.52</v>
      </c>
      <c r="V3174" s="2">
        <f t="shared" si="328"/>
        <v>16.400000000000002</v>
      </c>
      <c r="W3174" s="5">
        <f t="shared" si="329"/>
        <v>0.3166666666666666</v>
      </c>
      <c r="Y3174" s="2" t="s">
        <v>3256</v>
      </c>
      <c r="Z3174" s="2" t="s">
        <v>46</v>
      </c>
      <c r="AA3174" s="2" t="s">
        <v>61</v>
      </c>
      <c r="AB3174" s="2" t="s">
        <v>58</v>
      </c>
      <c r="AE3174" s="2">
        <f t="shared" si="323"/>
        <v>0</v>
      </c>
      <c r="AF3174" s="2">
        <v>8.1999999999999993</v>
      </c>
      <c r="AG3174" s="2">
        <v>13</v>
      </c>
      <c r="AI3174" s="2">
        <f t="shared" si="324"/>
        <v>0</v>
      </c>
      <c r="AJ3174" s="2">
        <f t="shared" si="325"/>
        <v>7.5999999999999979</v>
      </c>
      <c r="AK3174" s="5">
        <f t="shared" si="330"/>
        <v>0.3166666666666666</v>
      </c>
    </row>
    <row r="3175" spans="1:37" x14ac:dyDescent="0.2">
      <c r="A3175" s="2">
        <v>2026</v>
      </c>
      <c r="B3175" s="2">
        <v>2</v>
      </c>
      <c r="C3175" s="2" t="s">
        <v>2556</v>
      </c>
      <c r="O3175" s="2" t="s">
        <v>43</v>
      </c>
      <c r="P3175" s="2" t="s">
        <v>255</v>
      </c>
      <c r="Q3175" s="2" t="s">
        <v>256</v>
      </c>
      <c r="R3175" s="2">
        <v>100</v>
      </c>
      <c r="S3175" s="2">
        <v>14</v>
      </c>
      <c r="T3175" s="2">
        <v>3.22</v>
      </c>
      <c r="U3175" s="2">
        <v>17.22</v>
      </c>
      <c r="W3175" s="5">
        <f t="shared" si="329"/>
        <v>1</v>
      </c>
      <c r="Y3175" s="2" t="s">
        <v>3256</v>
      </c>
      <c r="Z3175" s="2" t="s">
        <v>46</v>
      </c>
      <c r="AA3175" s="2" t="s">
        <v>61</v>
      </c>
      <c r="AB3175" s="2" t="s">
        <v>58</v>
      </c>
      <c r="AE3175" s="2">
        <f t="shared" si="323"/>
        <v>0</v>
      </c>
      <c r="AI3175" s="2">
        <f t="shared" si="324"/>
        <v>0</v>
      </c>
      <c r="AJ3175" s="2">
        <f t="shared" si="325"/>
        <v>14</v>
      </c>
      <c r="AK3175" s="5">
        <f t="shared" si="330"/>
        <v>1</v>
      </c>
    </row>
    <row r="3176" spans="1:37" x14ac:dyDescent="0.2">
      <c r="A3176" s="2">
        <v>2026</v>
      </c>
      <c r="B3176" s="2">
        <v>2</v>
      </c>
      <c r="C3176" s="2" t="s">
        <v>1322</v>
      </c>
      <c r="D3176" s="2" t="s">
        <v>38</v>
      </c>
      <c r="E3176" s="2" t="s">
        <v>39</v>
      </c>
      <c r="F3176" s="2">
        <v>509512739</v>
      </c>
      <c r="G3176" s="2" t="s">
        <v>41</v>
      </c>
      <c r="H3176" s="2" t="s">
        <v>178</v>
      </c>
      <c r="I3176" s="2" t="s">
        <v>1323</v>
      </c>
      <c r="K3176" s="2" t="s">
        <v>178</v>
      </c>
      <c r="L3176" s="2" t="s">
        <v>41</v>
      </c>
      <c r="N3176" s="2" t="s">
        <v>2557</v>
      </c>
      <c r="O3176" s="2" t="s">
        <v>43</v>
      </c>
      <c r="P3176" s="2" t="s">
        <v>255</v>
      </c>
      <c r="Q3176" s="2" t="s">
        <v>256</v>
      </c>
      <c r="R3176" s="2">
        <v>100</v>
      </c>
      <c r="S3176" s="2">
        <v>14</v>
      </c>
      <c r="T3176" s="2">
        <v>3.22</v>
      </c>
      <c r="U3176" s="2">
        <v>17.22</v>
      </c>
      <c r="W3176" s="5">
        <f t="shared" si="329"/>
        <v>1</v>
      </c>
      <c r="Y3176" s="2" t="s">
        <v>3256</v>
      </c>
      <c r="Z3176" s="2" t="s">
        <v>46</v>
      </c>
      <c r="AA3176" s="2" t="s">
        <v>61</v>
      </c>
      <c r="AB3176" s="2" t="s">
        <v>58</v>
      </c>
      <c r="AE3176" s="2">
        <f t="shared" si="323"/>
        <v>0</v>
      </c>
      <c r="AI3176" s="2">
        <f t="shared" si="324"/>
        <v>0</v>
      </c>
      <c r="AJ3176" s="2">
        <f t="shared" si="325"/>
        <v>14</v>
      </c>
      <c r="AK3176" s="5">
        <f t="shared" si="330"/>
        <v>1</v>
      </c>
    </row>
    <row r="3177" spans="1:37" x14ac:dyDescent="0.2">
      <c r="A3177" s="2">
        <v>2026</v>
      </c>
      <c r="B3177" s="2">
        <v>2</v>
      </c>
      <c r="C3177" s="2" t="s">
        <v>1030</v>
      </c>
      <c r="D3177" s="2" t="s">
        <v>38</v>
      </c>
      <c r="E3177" s="2" t="s">
        <v>39</v>
      </c>
      <c r="F3177" s="2">
        <v>504493612</v>
      </c>
      <c r="G3177" s="2" t="s">
        <v>41</v>
      </c>
      <c r="H3177" s="2" t="s">
        <v>1570</v>
      </c>
      <c r="I3177" s="2" t="s">
        <v>2547</v>
      </c>
      <c r="K3177" s="2" t="s">
        <v>178</v>
      </c>
      <c r="L3177" s="2" t="s">
        <v>41</v>
      </c>
      <c r="O3177" s="2" t="s">
        <v>43</v>
      </c>
      <c r="P3177" s="2" t="s">
        <v>424</v>
      </c>
      <c r="Q3177" s="2" t="s">
        <v>425</v>
      </c>
      <c r="R3177" s="2">
        <v>4</v>
      </c>
      <c r="S3177" s="2">
        <v>28.8</v>
      </c>
      <c r="T3177" s="2">
        <v>6.6240000000000014</v>
      </c>
      <c r="U3177" s="2">
        <v>35.423999999999999</v>
      </c>
      <c r="V3177" s="2">
        <f>3.7556*R3177</f>
        <v>15.022399999999999</v>
      </c>
      <c r="W3177" s="5">
        <f t="shared" si="329"/>
        <v>0.47838888888888892</v>
      </c>
      <c r="Y3177" s="2" t="s">
        <v>3256</v>
      </c>
      <c r="Z3177" s="2" t="s">
        <v>46</v>
      </c>
      <c r="AA3177" s="2" t="s">
        <v>61</v>
      </c>
      <c r="AB3177" s="2" t="s">
        <v>58</v>
      </c>
      <c r="AE3177" s="2">
        <f t="shared" si="323"/>
        <v>0</v>
      </c>
      <c r="AF3177" s="2">
        <v>3.7555999999999998</v>
      </c>
      <c r="AG3177" s="2">
        <v>7.2</v>
      </c>
      <c r="AI3177" s="2">
        <f t="shared" si="324"/>
        <v>0</v>
      </c>
      <c r="AJ3177" s="2">
        <f t="shared" si="325"/>
        <v>13.777600000000001</v>
      </c>
      <c r="AK3177" s="5">
        <f t="shared" si="330"/>
        <v>0.47838888888888892</v>
      </c>
    </row>
    <row r="3178" spans="1:37" x14ac:dyDescent="0.2">
      <c r="A3178" s="2">
        <v>2026</v>
      </c>
      <c r="B3178" s="2">
        <v>2</v>
      </c>
      <c r="C3178" s="2" t="s">
        <v>1030</v>
      </c>
      <c r="D3178" s="2" t="s">
        <v>38</v>
      </c>
      <c r="E3178" s="2" t="s">
        <v>39</v>
      </c>
      <c r="F3178" s="2">
        <v>504493612</v>
      </c>
      <c r="G3178" s="2" t="s">
        <v>41</v>
      </c>
      <c r="H3178" s="2" t="s">
        <v>1570</v>
      </c>
      <c r="I3178" s="2" t="s">
        <v>2547</v>
      </c>
      <c r="K3178" s="2" t="s">
        <v>178</v>
      </c>
      <c r="O3178" s="2" t="s">
        <v>43</v>
      </c>
      <c r="P3178" s="2" t="s">
        <v>64</v>
      </c>
      <c r="Q3178" s="2" t="s">
        <v>65</v>
      </c>
      <c r="R3178" s="2">
        <v>1</v>
      </c>
      <c r="S3178" s="2">
        <v>1.8</v>
      </c>
      <c r="T3178" s="2">
        <v>0.41399999999999998</v>
      </c>
      <c r="U3178" s="2">
        <v>2.214</v>
      </c>
      <c r="V3178" s="2">
        <f>0.8561*R3178</f>
        <v>0.85609999999999997</v>
      </c>
      <c r="W3178" s="5">
        <f t="shared" si="329"/>
        <v>0.5243888888888889</v>
      </c>
      <c r="Y3178" s="2" t="s">
        <v>3256</v>
      </c>
      <c r="Z3178" s="2" t="s">
        <v>46</v>
      </c>
      <c r="AA3178" s="2" t="s">
        <v>61</v>
      </c>
      <c r="AB3178" s="2" t="s">
        <v>58</v>
      </c>
      <c r="AE3178" s="2">
        <f t="shared" si="323"/>
        <v>0</v>
      </c>
      <c r="AF3178" s="2">
        <v>0.85609999999999997</v>
      </c>
      <c r="AG3178" s="2">
        <v>1.8</v>
      </c>
      <c r="AI3178" s="2">
        <f t="shared" si="324"/>
        <v>0</v>
      </c>
      <c r="AJ3178" s="2">
        <f t="shared" si="325"/>
        <v>0.94390000000000007</v>
      </c>
      <c r="AK3178" s="5">
        <f t="shared" si="330"/>
        <v>0.5243888888888889</v>
      </c>
    </row>
    <row r="3179" spans="1:37" x14ac:dyDescent="0.2">
      <c r="A3179" s="2">
        <v>2026</v>
      </c>
      <c r="B3179" s="2">
        <v>2</v>
      </c>
      <c r="C3179" s="2" t="s">
        <v>2558</v>
      </c>
      <c r="O3179" s="2" t="s">
        <v>43</v>
      </c>
      <c r="P3179" s="2" t="s">
        <v>64</v>
      </c>
      <c r="Q3179" s="2" t="s">
        <v>65</v>
      </c>
      <c r="R3179" s="2">
        <v>1</v>
      </c>
      <c r="S3179" s="2">
        <v>3</v>
      </c>
      <c r="T3179" s="2">
        <v>0.69000000000000006</v>
      </c>
      <c r="U3179" s="2">
        <v>3.69</v>
      </c>
      <c r="V3179" s="2">
        <f>0.8561*R3179</f>
        <v>0.85609999999999997</v>
      </c>
      <c r="W3179" s="5">
        <f t="shared" si="329"/>
        <v>0.71463333333333334</v>
      </c>
      <c r="Y3179" s="2" t="s">
        <v>3256</v>
      </c>
      <c r="Z3179" s="2" t="s">
        <v>46</v>
      </c>
      <c r="AA3179" s="2" t="s">
        <v>61</v>
      </c>
      <c r="AB3179" s="2" t="s">
        <v>58</v>
      </c>
      <c r="AE3179" s="2">
        <f t="shared" si="323"/>
        <v>0</v>
      </c>
      <c r="AF3179" s="2">
        <v>0.85609999999999997</v>
      </c>
      <c r="AG3179" s="2">
        <v>1.8</v>
      </c>
      <c r="AI3179" s="2">
        <f t="shared" si="324"/>
        <v>0</v>
      </c>
      <c r="AJ3179" s="2">
        <f t="shared" si="325"/>
        <v>2.1438999999999999</v>
      </c>
      <c r="AK3179" s="5">
        <f t="shared" si="330"/>
        <v>0.71463333333333334</v>
      </c>
    </row>
    <row r="3180" spans="1:37" x14ac:dyDescent="0.2">
      <c r="A3180" s="2">
        <v>2026</v>
      </c>
      <c r="B3180" s="2">
        <v>2</v>
      </c>
      <c r="C3180" s="2" t="s">
        <v>2559</v>
      </c>
      <c r="L3180" s="2" t="s">
        <v>81</v>
      </c>
      <c r="O3180" s="2" t="s">
        <v>43</v>
      </c>
      <c r="P3180" s="2" t="s">
        <v>335</v>
      </c>
      <c r="Q3180" s="2" t="s">
        <v>336</v>
      </c>
      <c r="R3180" s="2">
        <v>3</v>
      </c>
      <c r="S3180" s="2">
        <v>9</v>
      </c>
      <c r="T3180" s="2">
        <v>2.0699999999999998</v>
      </c>
      <c r="U3180" s="2">
        <v>11.07</v>
      </c>
      <c r="V3180" s="2">
        <f>1.1122*R3180</f>
        <v>3.3366000000000002</v>
      </c>
      <c r="W3180" s="5">
        <f t="shared" si="329"/>
        <v>0.62926666666666664</v>
      </c>
      <c r="Y3180" s="2" t="s">
        <v>3256</v>
      </c>
      <c r="Z3180" s="2" t="s">
        <v>46</v>
      </c>
      <c r="AA3180" s="2" t="s">
        <v>61</v>
      </c>
      <c r="AB3180" s="2" t="s">
        <v>58</v>
      </c>
      <c r="AE3180" s="2">
        <f t="shared" si="323"/>
        <v>0</v>
      </c>
      <c r="AF3180" s="2">
        <v>1.1122000000000001</v>
      </c>
      <c r="AG3180" s="2">
        <v>3</v>
      </c>
      <c r="AI3180" s="2">
        <f t="shared" si="324"/>
        <v>0</v>
      </c>
      <c r="AJ3180" s="2">
        <f t="shared" si="325"/>
        <v>5.6633999999999993</v>
      </c>
      <c r="AK3180" s="5">
        <f t="shared" si="330"/>
        <v>0.62926666666666664</v>
      </c>
    </row>
    <row r="3181" spans="1:37" x14ac:dyDescent="0.2">
      <c r="A3181" s="2">
        <v>2026</v>
      </c>
      <c r="B3181" s="2">
        <v>2</v>
      </c>
      <c r="C3181" s="2" t="s">
        <v>2543</v>
      </c>
      <c r="L3181" s="2" t="s">
        <v>110</v>
      </c>
      <c r="O3181" s="2" t="s">
        <v>43</v>
      </c>
      <c r="P3181" s="2" t="s">
        <v>2400</v>
      </c>
      <c r="Q3181" s="2" t="s">
        <v>2401</v>
      </c>
      <c r="R3181" s="2">
        <v>1</v>
      </c>
      <c r="S3181" s="2">
        <v>60</v>
      </c>
      <c r="T3181" s="2">
        <v>13.8</v>
      </c>
      <c r="U3181" s="2">
        <v>73.8</v>
      </c>
      <c r="W3181" s="5">
        <f t="shared" si="329"/>
        <v>1</v>
      </c>
      <c r="Y3181" s="2" t="s">
        <v>3256</v>
      </c>
      <c r="Z3181" s="2" t="s">
        <v>46</v>
      </c>
      <c r="AA3181" s="2" t="s">
        <v>91</v>
      </c>
      <c r="AB3181" s="2" t="s">
        <v>58</v>
      </c>
      <c r="AE3181" s="2">
        <f t="shared" si="323"/>
        <v>0</v>
      </c>
      <c r="AI3181" s="2">
        <f t="shared" si="324"/>
        <v>0</v>
      </c>
      <c r="AJ3181" s="2">
        <f t="shared" si="325"/>
        <v>60</v>
      </c>
      <c r="AK3181" s="5">
        <f t="shared" si="330"/>
        <v>1</v>
      </c>
    </row>
    <row r="3182" spans="1:37" x14ac:dyDescent="0.2">
      <c r="A3182" s="2">
        <v>2026</v>
      </c>
      <c r="B3182" s="2">
        <v>2</v>
      </c>
      <c r="C3182" s="2" t="s">
        <v>1024</v>
      </c>
      <c r="D3182" s="2" t="s">
        <v>109</v>
      </c>
      <c r="E3182" s="2" t="s">
        <v>481</v>
      </c>
      <c r="F3182" s="2">
        <v>503815284</v>
      </c>
      <c r="G3182" s="2" t="s">
        <v>40</v>
      </c>
      <c r="H3182" s="2" t="s">
        <v>157</v>
      </c>
      <c r="I3182" s="2" t="s">
        <v>2560</v>
      </c>
      <c r="K3182" s="2" t="s">
        <v>100</v>
      </c>
      <c r="L3182" s="2" t="s">
        <v>81</v>
      </c>
      <c r="N3182" s="2" t="s">
        <v>2561</v>
      </c>
      <c r="O3182" s="2" t="s">
        <v>43</v>
      </c>
      <c r="P3182" s="2" t="s">
        <v>165</v>
      </c>
      <c r="Q3182" s="2" t="s">
        <v>166</v>
      </c>
      <c r="R3182" s="2">
        <v>1</v>
      </c>
      <c r="S3182" s="2">
        <v>0</v>
      </c>
      <c r="T3182" s="2">
        <v>0</v>
      </c>
      <c r="U3182" s="2">
        <v>0</v>
      </c>
      <c r="V3182" s="2">
        <f>7.9612*R3182</f>
        <v>7.9611999999999998</v>
      </c>
      <c r="W3182" s="5">
        <f>IF(S3182=0,IF(V3182&gt;0,-100%,0%),(S3182-V3182)/S3182)</f>
        <v>-1</v>
      </c>
      <c r="Y3182" s="2" t="s">
        <v>3256</v>
      </c>
      <c r="Z3182" s="2" t="s">
        <v>46</v>
      </c>
      <c r="AA3182" s="2" t="s">
        <v>68</v>
      </c>
      <c r="AB3182" s="2" t="s">
        <v>58</v>
      </c>
      <c r="AE3182" s="2">
        <f t="shared" si="323"/>
        <v>0</v>
      </c>
      <c r="AF3182" s="2">
        <v>7.9611999999999998</v>
      </c>
      <c r="AG3182" s="2">
        <v>14.4</v>
      </c>
      <c r="AI3182" s="2">
        <f t="shared" si="324"/>
        <v>0</v>
      </c>
      <c r="AJ3182" s="2">
        <f t="shared" si="325"/>
        <v>-7.9611999999999998</v>
      </c>
      <c r="AK3182" s="5">
        <f>IF(S3182=0,IF(V3182&gt;0,-100%,0%),(S3182-V3182)/S3182)</f>
        <v>-1</v>
      </c>
    </row>
    <row r="3183" spans="1:37" x14ac:dyDescent="0.2">
      <c r="A3183" s="2">
        <v>2026</v>
      </c>
      <c r="B3183" s="2">
        <v>2</v>
      </c>
      <c r="C3183" s="2" t="s">
        <v>579</v>
      </c>
      <c r="D3183" s="2" t="s">
        <v>38</v>
      </c>
      <c r="E3183" s="2" t="s">
        <v>39</v>
      </c>
      <c r="F3183" s="2">
        <v>504811029</v>
      </c>
      <c r="G3183" s="2" t="s">
        <v>41</v>
      </c>
      <c r="H3183" s="2" t="s">
        <v>178</v>
      </c>
      <c r="I3183" s="2" t="s">
        <v>580</v>
      </c>
      <c r="K3183" s="2" t="s">
        <v>178</v>
      </c>
      <c r="L3183" s="2" t="s">
        <v>41</v>
      </c>
      <c r="O3183" s="2" t="s">
        <v>43</v>
      </c>
      <c r="P3183" s="2" t="s">
        <v>165</v>
      </c>
      <c r="Q3183" s="2" t="s">
        <v>166</v>
      </c>
      <c r="R3183" s="2">
        <v>1</v>
      </c>
      <c r="S3183" s="2">
        <v>23.5</v>
      </c>
      <c r="T3183" s="2">
        <v>5.4050000000000002</v>
      </c>
      <c r="U3183" s="2">
        <v>28.905000000000001</v>
      </c>
      <c r="V3183" s="2">
        <f>7.9612*R3183</f>
        <v>7.9611999999999998</v>
      </c>
      <c r="W3183" s="5">
        <f t="shared" ref="W3183:W3214" si="331">(S3183-V3183)/S3183</f>
        <v>0.66122553191489364</v>
      </c>
      <c r="Y3183" s="2" t="s">
        <v>3256</v>
      </c>
      <c r="Z3183" s="2" t="s">
        <v>46</v>
      </c>
      <c r="AA3183" s="2" t="s">
        <v>68</v>
      </c>
      <c r="AB3183" s="2" t="s">
        <v>58</v>
      </c>
      <c r="AE3183" s="2">
        <f t="shared" si="323"/>
        <v>0</v>
      </c>
      <c r="AF3183" s="2">
        <v>7.9611999999999998</v>
      </c>
      <c r="AG3183" s="2">
        <v>14.4</v>
      </c>
      <c r="AI3183" s="2">
        <f t="shared" si="324"/>
        <v>0</v>
      </c>
      <c r="AJ3183" s="2">
        <f t="shared" si="325"/>
        <v>15.5388</v>
      </c>
      <c r="AK3183" s="5">
        <f t="shared" ref="AK3183:AK3214" si="332">(S3183-V3183)/S3183</f>
        <v>0.66122553191489364</v>
      </c>
    </row>
    <row r="3184" spans="1:37" x14ac:dyDescent="0.2">
      <c r="A3184" s="2">
        <v>2026</v>
      </c>
      <c r="B3184" s="2">
        <v>2</v>
      </c>
      <c r="C3184" s="2" t="s">
        <v>2553</v>
      </c>
      <c r="O3184" s="2" t="s">
        <v>43</v>
      </c>
      <c r="P3184" s="2" t="s">
        <v>66</v>
      </c>
      <c r="Q3184" s="2" t="s">
        <v>67</v>
      </c>
      <c r="R3184" s="2">
        <v>3</v>
      </c>
      <c r="S3184" s="2">
        <v>70.5</v>
      </c>
      <c r="T3184" s="2">
        <v>16.215</v>
      </c>
      <c r="U3184" s="2">
        <v>86.715000000000003</v>
      </c>
      <c r="V3184" s="2">
        <f>15.0203*R3184</f>
        <v>45.060900000000004</v>
      </c>
      <c r="W3184" s="5">
        <f t="shared" si="331"/>
        <v>0.3608382978723404</v>
      </c>
      <c r="Y3184" s="2" t="s">
        <v>3256</v>
      </c>
      <c r="Z3184" s="2" t="s">
        <v>46</v>
      </c>
      <c r="AA3184" s="2" t="s">
        <v>68</v>
      </c>
      <c r="AB3184" s="2" t="s">
        <v>58</v>
      </c>
      <c r="AE3184" s="2">
        <f t="shared" si="323"/>
        <v>0</v>
      </c>
      <c r="AF3184" s="2">
        <v>15.020300000000001</v>
      </c>
      <c r="AG3184" s="2">
        <v>27.6</v>
      </c>
      <c r="AI3184" s="2">
        <f t="shared" si="324"/>
        <v>0</v>
      </c>
      <c r="AJ3184" s="2">
        <f t="shared" si="325"/>
        <v>25.439099999999996</v>
      </c>
      <c r="AK3184" s="5">
        <f t="shared" si="332"/>
        <v>0.3608382978723404</v>
      </c>
    </row>
    <row r="3185" spans="1:37" x14ac:dyDescent="0.2">
      <c r="A3185" s="2">
        <v>2026</v>
      </c>
      <c r="B3185" s="2">
        <v>2</v>
      </c>
      <c r="C3185" s="2" t="s">
        <v>333</v>
      </c>
      <c r="D3185" s="2" t="s">
        <v>109</v>
      </c>
      <c r="E3185" s="2" t="s">
        <v>39</v>
      </c>
      <c r="F3185" s="2">
        <v>513493557</v>
      </c>
      <c r="G3185" s="2" t="s">
        <v>41</v>
      </c>
      <c r="H3185" s="2" t="s">
        <v>280</v>
      </c>
      <c r="I3185" s="2" t="s">
        <v>334</v>
      </c>
      <c r="K3185" s="2" t="s">
        <v>178</v>
      </c>
      <c r="L3185" s="2" t="s">
        <v>41</v>
      </c>
      <c r="O3185" s="2" t="s">
        <v>43</v>
      </c>
      <c r="P3185" s="2" t="s">
        <v>66</v>
      </c>
      <c r="Q3185" s="2" t="s">
        <v>67</v>
      </c>
      <c r="R3185" s="2">
        <v>3</v>
      </c>
      <c r="S3185" s="2">
        <v>70.5</v>
      </c>
      <c r="T3185" s="2">
        <v>16.215</v>
      </c>
      <c r="U3185" s="2">
        <v>86.715000000000003</v>
      </c>
      <c r="V3185" s="2">
        <f>15.0203*R3185</f>
        <v>45.060900000000004</v>
      </c>
      <c r="W3185" s="5">
        <f t="shared" si="331"/>
        <v>0.3608382978723404</v>
      </c>
      <c r="Y3185" s="2" t="s">
        <v>3256</v>
      </c>
      <c r="Z3185" s="2" t="s">
        <v>46</v>
      </c>
      <c r="AA3185" s="2" t="s">
        <v>68</v>
      </c>
      <c r="AB3185" s="2" t="s">
        <v>58</v>
      </c>
      <c r="AE3185" s="2">
        <f t="shared" si="323"/>
        <v>0</v>
      </c>
      <c r="AF3185" s="2">
        <v>15.020300000000001</v>
      </c>
      <c r="AG3185" s="2">
        <v>27.6</v>
      </c>
      <c r="AI3185" s="2">
        <f t="shared" si="324"/>
        <v>0</v>
      </c>
      <c r="AJ3185" s="2">
        <f t="shared" si="325"/>
        <v>25.439099999999996</v>
      </c>
      <c r="AK3185" s="5">
        <f t="shared" si="332"/>
        <v>0.3608382978723404</v>
      </c>
    </row>
    <row r="3186" spans="1:37" x14ac:dyDescent="0.2">
      <c r="A3186" s="2">
        <v>2026</v>
      </c>
      <c r="B3186" s="2">
        <v>2</v>
      </c>
      <c r="C3186" s="2" t="s">
        <v>1382</v>
      </c>
      <c r="L3186" s="2" t="s">
        <v>2562</v>
      </c>
      <c r="O3186" s="2" t="s">
        <v>43</v>
      </c>
      <c r="P3186" s="2" t="s">
        <v>66</v>
      </c>
      <c r="Q3186" s="2" t="s">
        <v>67</v>
      </c>
      <c r="R3186" s="2">
        <v>2</v>
      </c>
      <c r="S3186" s="2">
        <v>55.2</v>
      </c>
      <c r="T3186" s="2">
        <v>12.696</v>
      </c>
      <c r="U3186" s="2">
        <v>67.896000000000001</v>
      </c>
      <c r="V3186" s="2">
        <f>15.0203*R3186</f>
        <v>30.040600000000001</v>
      </c>
      <c r="W3186" s="5">
        <f t="shared" si="331"/>
        <v>0.45578623188405798</v>
      </c>
      <c r="Y3186" s="2" t="s">
        <v>3256</v>
      </c>
      <c r="Z3186" s="2" t="s">
        <v>46</v>
      </c>
      <c r="AA3186" s="2" t="s">
        <v>68</v>
      </c>
      <c r="AB3186" s="2" t="s">
        <v>58</v>
      </c>
      <c r="AE3186" s="2">
        <f t="shared" si="323"/>
        <v>0</v>
      </c>
      <c r="AF3186" s="2">
        <v>15.020300000000001</v>
      </c>
      <c r="AG3186" s="2">
        <v>27.6</v>
      </c>
      <c r="AI3186" s="2">
        <f t="shared" si="324"/>
        <v>0</v>
      </c>
      <c r="AJ3186" s="2">
        <f t="shared" si="325"/>
        <v>25.159400000000002</v>
      </c>
      <c r="AK3186" s="5">
        <f t="shared" si="332"/>
        <v>0.45578623188405798</v>
      </c>
    </row>
    <row r="3187" spans="1:37" x14ac:dyDescent="0.2">
      <c r="A3187" s="2">
        <v>2026</v>
      </c>
      <c r="B3187" s="2">
        <v>2</v>
      </c>
      <c r="C3187" s="2" t="s">
        <v>1024</v>
      </c>
      <c r="D3187" s="2" t="s">
        <v>109</v>
      </c>
      <c r="E3187" s="2" t="s">
        <v>481</v>
      </c>
      <c r="F3187" s="2">
        <v>503815284</v>
      </c>
      <c r="G3187" s="2" t="s">
        <v>40</v>
      </c>
      <c r="H3187" s="2" t="s">
        <v>157</v>
      </c>
      <c r="I3187" s="2" t="s">
        <v>2560</v>
      </c>
      <c r="K3187" s="2" t="s">
        <v>100</v>
      </c>
      <c r="L3187" s="2" t="s">
        <v>81</v>
      </c>
      <c r="N3187" s="2" t="s">
        <v>2561</v>
      </c>
      <c r="O3187" s="2" t="s">
        <v>43</v>
      </c>
      <c r="P3187" s="2" t="s">
        <v>66</v>
      </c>
      <c r="Q3187" s="2" t="s">
        <v>67</v>
      </c>
      <c r="R3187" s="2">
        <v>2</v>
      </c>
      <c r="S3187" s="2">
        <v>46</v>
      </c>
      <c r="T3187" s="2">
        <v>10.58</v>
      </c>
      <c r="U3187" s="2">
        <v>56.58</v>
      </c>
      <c r="V3187" s="2">
        <f>15.0203*R3187</f>
        <v>30.040600000000001</v>
      </c>
      <c r="W3187" s="5">
        <f t="shared" si="331"/>
        <v>0.34694347826086952</v>
      </c>
      <c r="Y3187" s="2" t="s">
        <v>3256</v>
      </c>
      <c r="Z3187" s="2" t="s">
        <v>46</v>
      </c>
      <c r="AA3187" s="2" t="s">
        <v>68</v>
      </c>
      <c r="AB3187" s="2" t="s">
        <v>58</v>
      </c>
      <c r="AE3187" s="2">
        <f t="shared" si="323"/>
        <v>0</v>
      </c>
      <c r="AF3187" s="2">
        <v>15.020300000000001</v>
      </c>
      <c r="AG3187" s="2">
        <v>27.6</v>
      </c>
      <c r="AI3187" s="2">
        <f t="shared" si="324"/>
        <v>0</v>
      </c>
      <c r="AJ3187" s="2">
        <f t="shared" si="325"/>
        <v>15.959399999999999</v>
      </c>
      <c r="AK3187" s="5">
        <f t="shared" si="332"/>
        <v>0.34694347826086952</v>
      </c>
    </row>
    <row r="3188" spans="1:37" x14ac:dyDescent="0.2">
      <c r="A3188" s="2">
        <v>2026</v>
      </c>
      <c r="B3188" s="2">
        <v>2</v>
      </c>
      <c r="C3188" s="2" t="s">
        <v>623</v>
      </c>
      <c r="D3188" s="2" t="s">
        <v>38</v>
      </c>
      <c r="E3188" s="2" t="s">
        <v>39</v>
      </c>
      <c r="F3188" s="2">
        <v>513759654</v>
      </c>
      <c r="G3188" s="2" t="s">
        <v>41</v>
      </c>
      <c r="H3188" s="2" t="s">
        <v>624</v>
      </c>
      <c r="I3188" s="2" t="s">
        <v>625</v>
      </c>
      <c r="K3188" s="2" t="s">
        <v>422</v>
      </c>
      <c r="L3188" s="2" t="s">
        <v>41</v>
      </c>
      <c r="O3188" s="2" t="s">
        <v>43</v>
      </c>
      <c r="P3188" s="2" t="s">
        <v>66</v>
      </c>
      <c r="Q3188" s="2" t="s">
        <v>67</v>
      </c>
      <c r="R3188" s="2">
        <v>1</v>
      </c>
      <c r="S3188" s="2">
        <v>23.5</v>
      </c>
      <c r="T3188" s="2">
        <v>5.4050000000000002</v>
      </c>
      <c r="U3188" s="2">
        <v>28.905000000000001</v>
      </c>
      <c r="V3188" s="2">
        <f>15.0203*R3188</f>
        <v>15.020300000000001</v>
      </c>
      <c r="W3188" s="5">
        <f t="shared" si="331"/>
        <v>0.3608382978723404</v>
      </c>
      <c r="Y3188" s="2" t="s">
        <v>3256</v>
      </c>
      <c r="Z3188" s="2" t="s">
        <v>46</v>
      </c>
      <c r="AA3188" s="2" t="s">
        <v>68</v>
      </c>
      <c r="AB3188" s="2" t="s">
        <v>58</v>
      </c>
      <c r="AE3188" s="2">
        <f t="shared" si="323"/>
        <v>0</v>
      </c>
      <c r="AF3188" s="2">
        <v>15.020300000000001</v>
      </c>
      <c r="AG3188" s="2">
        <v>27.6</v>
      </c>
      <c r="AI3188" s="2">
        <f t="shared" si="324"/>
        <v>0</v>
      </c>
      <c r="AJ3188" s="2">
        <f t="shared" si="325"/>
        <v>8.4796999999999993</v>
      </c>
      <c r="AK3188" s="5">
        <f t="shared" si="332"/>
        <v>0.3608382978723404</v>
      </c>
    </row>
    <row r="3189" spans="1:37" x14ac:dyDescent="0.2">
      <c r="A3189" s="2">
        <v>2026</v>
      </c>
      <c r="B3189" s="2">
        <v>2</v>
      </c>
      <c r="C3189" s="2" t="s">
        <v>579</v>
      </c>
      <c r="D3189" s="2" t="s">
        <v>38</v>
      </c>
      <c r="E3189" s="2" t="s">
        <v>39</v>
      </c>
      <c r="F3189" s="2">
        <v>504811029</v>
      </c>
      <c r="G3189" s="2" t="s">
        <v>41</v>
      </c>
      <c r="H3189" s="2" t="s">
        <v>178</v>
      </c>
      <c r="I3189" s="2" t="s">
        <v>580</v>
      </c>
      <c r="K3189" s="2" t="s">
        <v>178</v>
      </c>
      <c r="L3189" s="2" t="s">
        <v>41</v>
      </c>
      <c r="O3189" s="2" t="s">
        <v>102</v>
      </c>
      <c r="P3189" s="2" t="s">
        <v>1102</v>
      </c>
      <c r="Q3189" s="2" t="s">
        <v>1103</v>
      </c>
      <c r="R3189" s="2">
        <v>3</v>
      </c>
      <c r="S3189" s="2">
        <v>9000</v>
      </c>
      <c r="T3189" s="2">
        <v>2070</v>
      </c>
      <c r="U3189" s="2">
        <v>11070</v>
      </c>
      <c r="V3189" s="2">
        <f>2256.42*R3189</f>
        <v>6769.26</v>
      </c>
      <c r="W3189" s="5">
        <f t="shared" si="331"/>
        <v>0.24785999999999997</v>
      </c>
      <c r="Y3189" s="2" t="s">
        <v>105</v>
      </c>
      <c r="Z3189" s="2" t="s">
        <v>265</v>
      </c>
      <c r="AA3189" s="2" t="s">
        <v>1104</v>
      </c>
      <c r="AB3189" s="2" t="s">
        <v>102</v>
      </c>
      <c r="AE3189" s="2">
        <f t="shared" si="323"/>
        <v>0</v>
      </c>
      <c r="AF3189" s="2">
        <f>2084.42+172</f>
        <v>2256.42</v>
      </c>
      <c r="AI3189" s="2">
        <f t="shared" si="324"/>
        <v>0</v>
      </c>
      <c r="AJ3189" s="2">
        <f t="shared" si="325"/>
        <v>2230.7399999999998</v>
      </c>
      <c r="AK3189" s="5">
        <f t="shared" si="332"/>
        <v>0.24785999999999997</v>
      </c>
    </row>
    <row r="3190" spans="1:37" x14ac:dyDescent="0.2">
      <c r="A3190" s="2">
        <v>2026</v>
      </c>
      <c r="B3190" s="2">
        <v>2</v>
      </c>
      <c r="C3190" s="2" t="s">
        <v>37</v>
      </c>
      <c r="D3190" s="2" t="s">
        <v>38</v>
      </c>
      <c r="E3190" s="2" t="s">
        <v>39</v>
      </c>
      <c r="G3190" s="2" t="s">
        <v>40</v>
      </c>
      <c r="L3190" s="2" t="s">
        <v>41</v>
      </c>
      <c r="N3190" s="2" t="s">
        <v>2563</v>
      </c>
      <c r="O3190" s="2" t="s">
        <v>43</v>
      </c>
      <c r="P3190" s="2" t="s">
        <v>2564</v>
      </c>
      <c r="Q3190" s="2" t="s">
        <v>2565</v>
      </c>
      <c r="R3190" s="2">
        <v>2</v>
      </c>
      <c r="S3190" s="2">
        <v>36</v>
      </c>
      <c r="T3190" s="2">
        <v>8.2800000000000011</v>
      </c>
      <c r="U3190" s="2">
        <v>44.28</v>
      </c>
      <c r="V3190" s="2">
        <f>10.6*R3190</f>
        <v>21.2</v>
      </c>
      <c r="W3190" s="5">
        <f t="shared" si="331"/>
        <v>0.41111111111111115</v>
      </c>
      <c r="Y3190" s="2" t="s">
        <v>3256</v>
      </c>
      <c r="Z3190" s="2" t="s">
        <v>46</v>
      </c>
      <c r="AA3190" s="2" t="s">
        <v>57</v>
      </c>
      <c r="AB3190" s="2" t="s">
        <v>58</v>
      </c>
      <c r="AE3190" s="2">
        <f t="shared" si="323"/>
        <v>0</v>
      </c>
      <c r="AF3190" s="2">
        <v>10.6</v>
      </c>
      <c r="AG3190" s="2">
        <v>18</v>
      </c>
      <c r="AI3190" s="2">
        <f t="shared" si="324"/>
        <v>0</v>
      </c>
      <c r="AJ3190" s="2">
        <f t="shared" si="325"/>
        <v>14.8</v>
      </c>
      <c r="AK3190" s="5">
        <f t="shared" si="332"/>
        <v>0.41111111111111115</v>
      </c>
    </row>
    <row r="3191" spans="1:37" x14ac:dyDescent="0.2">
      <c r="A3191" s="2">
        <v>2026</v>
      </c>
      <c r="B3191" s="2">
        <v>2</v>
      </c>
      <c r="C3191" s="2" t="s">
        <v>579</v>
      </c>
      <c r="D3191" s="2" t="s">
        <v>38</v>
      </c>
      <c r="E3191" s="2" t="s">
        <v>39</v>
      </c>
      <c r="F3191" s="2">
        <v>504811029</v>
      </c>
      <c r="G3191" s="2" t="s">
        <v>41</v>
      </c>
      <c r="H3191" s="2" t="s">
        <v>178</v>
      </c>
      <c r="I3191" s="2" t="s">
        <v>580</v>
      </c>
      <c r="K3191" s="2" t="s">
        <v>178</v>
      </c>
      <c r="L3191" s="2" t="s">
        <v>41</v>
      </c>
      <c r="O3191" s="2" t="s">
        <v>69</v>
      </c>
      <c r="P3191" s="2" t="s">
        <v>2566</v>
      </c>
      <c r="Q3191" s="2" t="s">
        <v>2567</v>
      </c>
      <c r="R3191" s="2">
        <v>1</v>
      </c>
      <c r="S3191" s="2">
        <v>13.61</v>
      </c>
      <c r="T3191" s="2">
        <v>3.1303000000000001</v>
      </c>
      <c r="U3191" s="2">
        <v>16.740300000000001</v>
      </c>
      <c r="V3191" s="2">
        <v>8.17</v>
      </c>
      <c r="W3191" s="5">
        <f t="shared" si="331"/>
        <v>0.39970609845701688</v>
      </c>
      <c r="Y3191" s="2" t="s">
        <v>3256</v>
      </c>
      <c r="Z3191" s="2" t="s">
        <v>72</v>
      </c>
      <c r="AA3191" s="2" t="s">
        <v>69</v>
      </c>
      <c r="AB3191" s="2" t="s">
        <v>3261</v>
      </c>
      <c r="AE3191" s="2">
        <f t="shared" si="323"/>
        <v>0</v>
      </c>
      <c r="AF3191" s="2">
        <v>8.17</v>
      </c>
      <c r="AI3191" s="2">
        <f t="shared" si="324"/>
        <v>0</v>
      </c>
      <c r="AJ3191" s="2">
        <f t="shared" ref="AJ3191:AJ3222" si="333">S3191-V3191</f>
        <v>5.4399999999999995</v>
      </c>
      <c r="AK3191" s="5">
        <f t="shared" si="332"/>
        <v>0.39970609845701688</v>
      </c>
    </row>
    <row r="3192" spans="1:37" x14ac:dyDescent="0.2">
      <c r="A3192" s="2">
        <v>2026</v>
      </c>
      <c r="B3192" s="2">
        <v>2</v>
      </c>
      <c r="C3192" s="2" t="s">
        <v>579</v>
      </c>
      <c r="D3192" s="2" t="s">
        <v>38</v>
      </c>
      <c r="E3192" s="2" t="s">
        <v>39</v>
      </c>
      <c r="F3192" s="2">
        <v>504811029</v>
      </c>
      <c r="G3192" s="2" t="s">
        <v>41</v>
      </c>
      <c r="H3192" s="2" t="s">
        <v>178</v>
      </c>
      <c r="I3192" s="2" t="s">
        <v>580</v>
      </c>
      <c r="K3192" s="2" t="s">
        <v>178</v>
      </c>
      <c r="L3192" s="2" t="s">
        <v>41</v>
      </c>
      <c r="O3192" s="2" t="s">
        <v>69</v>
      </c>
      <c r="P3192" s="2" t="s">
        <v>2568</v>
      </c>
      <c r="Q3192" s="2" t="s">
        <v>2569</v>
      </c>
      <c r="R3192" s="2">
        <v>1</v>
      </c>
      <c r="S3192" s="2">
        <v>16.96</v>
      </c>
      <c r="T3192" s="2">
        <v>3.9007999999999998</v>
      </c>
      <c r="U3192" s="2">
        <v>20.860800000000001</v>
      </c>
      <c r="V3192" s="2">
        <v>10.18</v>
      </c>
      <c r="W3192" s="5">
        <f t="shared" si="331"/>
        <v>0.39976415094339629</v>
      </c>
      <c r="Y3192" s="2" t="s">
        <v>3256</v>
      </c>
      <c r="Z3192" s="2" t="s">
        <v>72</v>
      </c>
      <c r="AA3192" s="2" t="s">
        <v>69</v>
      </c>
      <c r="AB3192" s="2" t="s">
        <v>3261</v>
      </c>
      <c r="AE3192" s="2">
        <f t="shared" si="323"/>
        <v>0</v>
      </c>
      <c r="AF3192" s="2">
        <v>10.18</v>
      </c>
      <c r="AI3192" s="2">
        <f t="shared" si="324"/>
        <v>0</v>
      </c>
      <c r="AJ3192" s="2">
        <f t="shared" si="333"/>
        <v>6.7800000000000011</v>
      </c>
      <c r="AK3192" s="5">
        <f t="shared" si="332"/>
        <v>0.39976415094339629</v>
      </c>
    </row>
    <row r="3193" spans="1:37" x14ac:dyDescent="0.2">
      <c r="A3193" s="2">
        <v>2026</v>
      </c>
      <c r="B3193" s="2">
        <v>2</v>
      </c>
      <c r="C3193" s="2" t="s">
        <v>579</v>
      </c>
      <c r="D3193" s="2" t="s">
        <v>38</v>
      </c>
      <c r="E3193" s="2" t="s">
        <v>39</v>
      </c>
      <c r="F3193" s="2">
        <v>504811029</v>
      </c>
      <c r="G3193" s="2" t="s">
        <v>41</v>
      </c>
      <c r="H3193" s="2" t="s">
        <v>178</v>
      </c>
      <c r="I3193" s="2" t="s">
        <v>580</v>
      </c>
      <c r="K3193" s="2" t="s">
        <v>178</v>
      </c>
      <c r="L3193" s="2" t="s">
        <v>41</v>
      </c>
      <c r="O3193" s="2" t="s">
        <v>69</v>
      </c>
      <c r="P3193" s="2" t="s">
        <v>2570</v>
      </c>
      <c r="Q3193" s="2" t="s">
        <v>2571</v>
      </c>
      <c r="R3193" s="2">
        <v>1</v>
      </c>
      <c r="S3193" s="2">
        <v>16.88</v>
      </c>
      <c r="T3193" s="2">
        <v>3.8824000000000001</v>
      </c>
      <c r="U3193" s="2">
        <v>20.7624</v>
      </c>
      <c r="V3193" s="2">
        <v>10.130000000000001</v>
      </c>
      <c r="W3193" s="5">
        <f t="shared" si="331"/>
        <v>0.39988151658767762</v>
      </c>
      <c r="Y3193" s="2" t="s">
        <v>3256</v>
      </c>
      <c r="Z3193" s="2" t="s">
        <v>72</v>
      </c>
      <c r="AA3193" s="2" t="s">
        <v>69</v>
      </c>
      <c r="AB3193" s="2" t="s">
        <v>3261</v>
      </c>
      <c r="AE3193" s="2">
        <f t="shared" si="323"/>
        <v>0</v>
      </c>
      <c r="AF3193" s="2">
        <v>10.130000000000001</v>
      </c>
      <c r="AI3193" s="2">
        <f t="shared" si="324"/>
        <v>0</v>
      </c>
      <c r="AJ3193" s="2">
        <f t="shared" si="333"/>
        <v>6.7499999999999982</v>
      </c>
      <c r="AK3193" s="5">
        <f t="shared" si="332"/>
        <v>0.39988151658767762</v>
      </c>
    </row>
    <row r="3194" spans="1:37" x14ac:dyDescent="0.2">
      <c r="A3194" s="2">
        <v>2026</v>
      </c>
      <c r="B3194" s="2">
        <v>2</v>
      </c>
      <c r="C3194" s="2" t="s">
        <v>1498</v>
      </c>
      <c r="L3194" s="2" t="s">
        <v>41</v>
      </c>
      <c r="O3194" s="2" t="s">
        <v>69</v>
      </c>
      <c r="P3194" s="2" t="s">
        <v>1169</v>
      </c>
      <c r="Q3194" s="2" t="s">
        <v>1170</v>
      </c>
      <c r="R3194" s="2">
        <v>1</v>
      </c>
      <c r="S3194" s="2">
        <v>60</v>
      </c>
      <c r="T3194" s="2">
        <v>13.8</v>
      </c>
      <c r="U3194" s="2">
        <v>73.8</v>
      </c>
      <c r="V3194" s="2">
        <v>47.4</v>
      </c>
      <c r="W3194" s="5">
        <f t="shared" si="331"/>
        <v>0.21000000000000002</v>
      </c>
      <c r="Y3194" s="2" t="s">
        <v>3256</v>
      </c>
      <c r="Z3194" s="2" t="s">
        <v>72</v>
      </c>
      <c r="AA3194" s="2" t="s">
        <v>69</v>
      </c>
      <c r="AB3194" s="2" t="s">
        <v>3261</v>
      </c>
      <c r="AE3194" s="2">
        <f t="shared" si="323"/>
        <v>0</v>
      </c>
      <c r="AF3194" s="2">
        <v>47.4</v>
      </c>
      <c r="AI3194" s="2">
        <f t="shared" si="324"/>
        <v>0</v>
      </c>
      <c r="AJ3194" s="2">
        <f t="shared" si="333"/>
        <v>12.600000000000001</v>
      </c>
      <c r="AK3194" s="5">
        <f t="shared" si="332"/>
        <v>0.21000000000000002</v>
      </c>
    </row>
    <row r="3195" spans="1:37" x14ac:dyDescent="0.2">
      <c r="A3195" s="2">
        <v>2026</v>
      </c>
      <c r="B3195" s="2">
        <v>2</v>
      </c>
      <c r="C3195" s="2" t="s">
        <v>2538</v>
      </c>
      <c r="D3195" s="2" t="s">
        <v>758</v>
      </c>
      <c r="E3195" s="2" t="s">
        <v>39</v>
      </c>
      <c r="F3195" s="2">
        <v>515570354</v>
      </c>
      <c r="G3195" s="2" t="s">
        <v>110</v>
      </c>
      <c r="H3195" s="2" t="s">
        <v>2539</v>
      </c>
      <c r="I3195" s="2" t="s">
        <v>2540</v>
      </c>
      <c r="J3195" s="2">
        <v>967032538</v>
      </c>
      <c r="K3195" s="2" t="s">
        <v>400</v>
      </c>
      <c r="L3195" s="2" t="s">
        <v>110</v>
      </c>
      <c r="O3195" s="2" t="s">
        <v>69</v>
      </c>
      <c r="P3195" s="2" t="s">
        <v>2572</v>
      </c>
      <c r="Q3195" s="2" t="s">
        <v>2573</v>
      </c>
      <c r="R3195" s="2">
        <v>1</v>
      </c>
      <c r="S3195" s="2">
        <v>490</v>
      </c>
      <c r="T3195" s="2">
        <v>112.7</v>
      </c>
      <c r="U3195" s="2">
        <v>602.70000000000005</v>
      </c>
      <c r="V3195" s="2">
        <v>235.29</v>
      </c>
      <c r="W3195" s="5">
        <f t="shared" si="331"/>
        <v>0.51981632653061227</v>
      </c>
      <c r="Y3195" s="2" t="s">
        <v>105</v>
      </c>
      <c r="Z3195" s="2" t="s">
        <v>151</v>
      </c>
      <c r="AA3195" s="2" t="s">
        <v>152</v>
      </c>
      <c r="AB3195" s="2" t="s">
        <v>3261</v>
      </c>
      <c r="AE3195" s="2">
        <f t="shared" si="323"/>
        <v>0</v>
      </c>
      <c r="AF3195" s="2">
        <v>235.29</v>
      </c>
      <c r="AI3195" s="2">
        <f t="shared" si="324"/>
        <v>0</v>
      </c>
      <c r="AJ3195" s="2">
        <f t="shared" si="333"/>
        <v>254.71</v>
      </c>
      <c r="AK3195" s="5">
        <f t="shared" si="332"/>
        <v>0.51981632653061227</v>
      </c>
    </row>
    <row r="3196" spans="1:37" x14ac:dyDescent="0.2">
      <c r="A3196" s="2">
        <v>2026</v>
      </c>
      <c r="B3196" s="2">
        <v>2</v>
      </c>
      <c r="C3196" s="2" t="s">
        <v>2538</v>
      </c>
      <c r="D3196" s="2" t="s">
        <v>758</v>
      </c>
      <c r="E3196" s="2" t="s">
        <v>39</v>
      </c>
      <c r="F3196" s="2">
        <v>515570354</v>
      </c>
      <c r="G3196" s="2" t="s">
        <v>110</v>
      </c>
      <c r="H3196" s="2" t="s">
        <v>2539</v>
      </c>
      <c r="I3196" s="2" t="s">
        <v>2540</v>
      </c>
      <c r="J3196" s="2">
        <v>967032538</v>
      </c>
      <c r="K3196" s="2" t="s">
        <v>400</v>
      </c>
      <c r="L3196" s="2" t="s">
        <v>110</v>
      </c>
      <c r="N3196" s="2" t="s">
        <v>2574</v>
      </c>
      <c r="O3196" s="2" t="s">
        <v>69</v>
      </c>
      <c r="P3196" s="2" t="s">
        <v>2575</v>
      </c>
      <c r="Q3196" s="2" t="s">
        <v>2576</v>
      </c>
      <c r="R3196" s="2">
        <v>1</v>
      </c>
      <c r="S3196" s="2">
        <v>1200</v>
      </c>
      <c r="T3196" s="2">
        <v>276</v>
      </c>
      <c r="U3196" s="2">
        <v>1476</v>
      </c>
      <c r="V3196" s="2">
        <v>647.05999999999995</v>
      </c>
      <c r="W3196" s="5">
        <f t="shared" si="331"/>
        <v>0.46078333333333338</v>
      </c>
      <c r="Y3196" s="2" t="s">
        <v>105</v>
      </c>
      <c r="Z3196" s="2" t="s">
        <v>151</v>
      </c>
      <c r="AA3196" s="2" t="s">
        <v>152</v>
      </c>
      <c r="AB3196" s="2" t="s">
        <v>3261</v>
      </c>
      <c r="AE3196" s="2">
        <f t="shared" si="323"/>
        <v>0</v>
      </c>
      <c r="AF3196" s="2">
        <v>647.05999999999995</v>
      </c>
      <c r="AI3196" s="2">
        <f t="shared" si="324"/>
        <v>0</v>
      </c>
      <c r="AJ3196" s="2">
        <f t="shared" si="333"/>
        <v>552.94000000000005</v>
      </c>
      <c r="AK3196" s="5">
        <f t="shared" si="332"/>
        <v>0.46078333333333338</v>
      </c>
    </row>
    <row r="3197" spans="1:37" x14ac:dyDescent="0.2">
      <c r="A3197" s="2">
        <v>2026</v>
      </c>
      <c r="B3197" s="2">
        <v>2</v>
      </c>
      <c r="C3197" s="2" t="s">
        <v>1804</v>
      </c>
      <c r="L3197" s="2" t="s">
        <v>110</v>
      </c>
      <c r="N3197" s="2" t="s">
        <v>2577</v>
      </c>
      <c r="O3197" s="2" t="s">
        <v>69</v>
      </c>
      <c r="P3197" s="2" t="s">
        <v>2575</v>
      </c>
      <c r="Q3197" s="2" t="s">
        <v>2576</v>
      </c>
      <c r="R3197" s="2">
        <v>1</v>
      </c>
      <c r="S3197" s="2">
        <v>1181.5</v>
      </c>
      <c r="T3197" s="2">
        <v>271.745</v>
      </c>
      <c r="U3197" s="2">
        <v>1453.2449999999999</v>
      </c>
      <c r="V3197" s="2">
        <v>647.05999999999995</v>
      </c>
      <c r="W3197" s="5">
        <f t="shared" si="331"/>
        <v>0.45234024545069829</v>
      </c>
      <c r="Y3197" s="2" t="s">
        <v>105</v>
      </c>
      <c r="Z3197" s="2" t="s">
        <v>151</v>
      </c>
      <c r="AA3197" s="2" t="s">
        <v>152</v>
      </c>
      <c r="AB3197" s="2" t="s">
        <v>3261</v>
      </c>
      <c r="AE3197" s="2">
        <f t="shared" si="323"/>
        <v>0</v>
      </c>
      <c r="AF3197" s="2">
        <v>647.05999999999995</v>
      </c>
      <c r="AI3197" s="2">
        <f t="shared" si="324"/>
        <v>0</v>
      </c>
      <c r="AJ3197" s="2">
        <f t="shared" si="333"/>
        <v>534.44000000000005</v>
      </c>
      <c r="AK3197" s="5">
        <f t="shared" si="332"/>
        <v>0.45234024545069829</v>
      </c>
    </row>
    <row r="3198" spans="1:37" x14ac:dyDescent="0.2">
      <c r="A3198" s="2">
        <v>2026</v>
      </c>
      <c r="B3198" s="2">
        <v>2</v>
      </c>
      <c r="C3198" s="2" t="s">
        <v>37</v>
      </c>
      <c r="D3198" s="2" t="s">
        <v>38</v>
      </c>
      <c r="E3198" s="2" t="s">
        <v>39</v>
      </c>
      <c r="G3198" s="2" t="s">
        <v>40</v>
      </c>
      <c r="L3198" s="2" t="s">
        <v>81</v>
      </c>
      <c r="N3198" s="2" t="s">
        <v>2578</v>
      </c>
      <c r="O3198" s="2" t="s">
        <v>73</v>
      </c>
      <c r="P3198" s="2" t="s">
        <v>74</v>
      </c>
      <c r="Q3198" s="2" t="s">
        <v>75</v>
      </c>
      <c r="R3198" s="2">
        <v>1</v>
      </c>
      <c r="S3198" s="2">
        <v>242.45</v>
      </c>
      <c r="T3198" s="2">
        <v>55.763500000000001</v>
      </c>
      <c r="U3198" s="2">
        <v>298.21350000000001</v>
      </c>
      <c r="V3198" s="2">
        <v>125.51600000000001</v>
      </c>
      <c r="W3198" s="5">
        <f t="shared" si="331"/>
        <v>0.4823015054650443</v>
      </c>
      <c r="Y3198" s="2" t="s">
        <v>3256</v>
      </c>
      <c r="Z3198" s="2" t="s">
        <v>76</v>
      </c>
      <c r="AA3198" s="2" t="s">
        <v>77</v>
      </c>
      <c r="AB3198" s="2" t="s">
        <v>78</v>
      </c>
      <c r="AE3198" s="2">
        <f t="shared" si="323"/>
        <v>0</v>
      </c>
      <c r="AF3198" s="2">
        <v>125.51600000000001</v>
      </c>
      <c r="AG3198" s="2">
        <v>220</v>
      </c>
      <c r="AI3198" s="2">
        <f t="shared" si="324"/>
        <v>0</v>
      </c>
      <c r="AJ3198" s="2">
        <f t="shared" si="333"/>
        <v>116.93399999999998</v>
      </c>
      <c r="AK3198" s="5">
        <f t="shared" si="332"/>
        <v>0.4823015054650443</v>
      </c>
    </row>
    <row r="3199" spans="1:37" x14ac:dyDescent="0.2">
      <c r="A3199" s="2">
        <v>2026</v>
      </c>
      <c r="B3199" s="2">
        <v>2</v>
      </c>
      <c r="C3199" s="2" t="s">
        <v>2559</v>
      </c>
      <c r="L3199" s="2" t="s">
        <v>81</v>
      </c>
      <c r="O3199" s="2" t="s">
        <v>73</v>
      </c>
      <c r="P3199" s="2" t="s">
        <v>74</v>
      </c>
      <c r="Q3199" s="2" t="s">
        <v>75</v>
      </c>
      <c r="R3199" s="2">
        <v>2</v>
      </c>
      <c r="S3199" s="2">
        <v>440</v>
      </c>
      <c r="T3199" s="2">
        <v>101.2</v>
      </c>
      <c r="U3199" s="2">
        <v>541.20000000000005</v>
      </c>
      <c r="V3199" s="2">
        <v>251.03200000000001</v>
      </c>
      <c r="W3199" s="5">
        <f t="shared" si="331"/>
        <v>0.42947272727272723</v>
      </c>
      <c r="Y3199" s="2" t="s">
        <v>3256</v>
      </c>
      <c r="Z3199" s="2" t="s">
        <v>76</v>
      </c>
      <c r="AA3199" s="2" t="s">
        <v>77</v>
      </c>
      <c r="AB3199" s="2" t="s">
        <v>78</v>
      </c>
      <c r="AE3199" s="2">
        <f t="shared" si="323"/>
        <v>0</v>
      </c>
      <c r="AF3199" s="2">
        <v>125.51600000000001</v>
      </c>
      <c r="AG3199" s="2">
        <v>220</v>
      </c>
      <c r="AI3199" s="2">
        <f t="shared" si="324"/>
        <v>0</v>
      </c>
      <c r="AJ3199" s="2">
        <f t="shared" si="333"/>
        <v>188.96799999999999</v>
      </c>
      <c r="AK3199" s="5">
        <f t="shared" si="332"/>
        <v>0.42947272727272723</v>
      </c>
    </row>
    <row r="3200" spans="1:37" x14ac:dyDescent="0.2">
      <c r="A3200" s="2">
        <v>2026</v>
      </c>
      <c r="B3200" s="2">
        <v>2</v>
      </c>
      <c r="C3200" s="2" t="s">
        <v>2579</v>
      </c>
      <c r="O3200" s="2" t="s">
        <v>73</v>
      </c>
      <c r="P3200" s="2" t="s">
        <v>74</v>
      </c>
      <c r="Q3200" s="2" t="s">
        <v>75</v>
      </c>
      <c r="R3200" s="2">
        <v>1</v>
      </c>
      <c r="S3200" s="2">
        <v>220</v>
      </c>
      <c r="T3200" s="2">
        <v>50.6</v>
      </c>
      <c r="U3200" s="2">
        <v>270.60000000000002</v>
      </c>
      <c r="V3200" s="2">
        <v>125.51600000000001</v>
      </c>
      <c r="W3200" s="5">
        <f t="shared" si="331"/>
        <v>0.42947272727272723</v>
      </c>
      <c r="Y3200" s="2" t="s">
        <v>3256</v>
      </c>
      <c r="Z3200" s="2" t="s">
        <v>76</v>
      </c>
      <c r="AA3200" s="2" t="s">
        <v>77</v>
      </c>
      <c r="AB3200" s="2" t="s">
        <v>78</v>
      </c>
      <c r="AE3200" s="2">
        <f t="shared" si="323"/>
        <v>0</v>
      </c>
      <c r="AF3200" s="2">
        <v>125.51600000000001</v>
      </c>
      <c r="AG3200" s="2">
        <v>220</v>
      </c>
      <c r="AI3200" s="2">
        <f t="shared" si="324"/>
        <v>0</v>
      </c>
      <c r="AJ3200" s="2">
        <f t="shared" si="333"/>
        <v>94.483999999999995</v>
      </c>
      <c r="AK3200" s="5">
        <f t="shared" si="332"/>
        <v>0.42947272727272723</v>
      </c>
    </row>
    <row r="3201" spans="1:37" x14ac:dyDescent="0.2">
      <c r="A3201" s="2">
        <v>2026</v>
      </c>
      <c r="B3201" s="2">
        <v>2</v>
      </c>
      <c r="C3201" s="2" t="s">
        <v>2014</v>
      </c>
      <c r="L3201" s="2" t="s">
        <v>81</v>
      </c>
      <c r="O3201" s="2" t="s">
        <v>73</v>
      </c>
      <c r="P3201" s="2" t="s">
        <v>74</v>
      </c>
      <c r="Q3201" s="2" t="s">
        <v>75</v>
      </c>
      <c r="R3201" s="2">
        <v>1</v>
      </c>
      <c r="S3201" s="2">
        <v>220</v>
      </c>
      <c r="T3201" s="2">
        <v>50.6</v>
      </c>
      <c r="U3201" s="2">
        <v>270.60000000000002</v>
      </c>
      <c r="V3201" s="2">
        <v>125.51600000000001</v>
      </c>
      <c r="W3201" s="5">
        <f t="shared" si="331"/>
        <v>0.42947272727272723</v>
      </c>
      <c r="Y3201" s="2" t="s">
        <v>3256</v>
      </c>
      <c r="Z3201" s="2" t="s">
        <v>76</v>
      </c>
      <c r="AA3201" s="2" t="s">
        <v>77</v>
      </c>
      <c r="AB3201" s="2" t="s">
        <v>78</v>
      </c>
      <c r="AE3201" s="2">
        <f t="shared" si="323"/>
        <v>0</v>
      </c>
      <c r="AF3201" s="2">
        <v>125.51600000000001</v>
      </c>
      <c r="AG3201" s="2">
        <v>220</v>
      </c>
      <c r="AI3201" s="2">
        <f t="shared" si="324"/>
        <v>0</v>
      </c>
      <c r="AJ3201" s="2">
        <f t="shared" si="333"/>
        <v>94.483999999999995</v>
      </c>
      <c r="AK3201" s="5">
        <f t="shared" si="332"/>
        <v>0.42947272727272723</v>
      </c>
    </row>
    <row r="3202" spans="1:37" x14ac:dyDescent="0.2">
      <c r="A3202" s="2">
        <v>2026</v>
      </c>
      <c r="B3202" s="2">
        <v>2</v>
      </c>
      <c r="C3202" s="2" t="s">
        <v>1569</v>
      </c>
      <c r="D3202" s="2" t="s">
        <v>109</v>
      </c>
      <c r="E3202" s="2" t="s">
        <v>723</v>
      </c>
      <c r="F3202" s="2">
        <v>500975914</v>
      </c>
      <c r="G3202" s="2" t="s">
        <v>41</v>
      </c>
      <c r="H3202" s="2" t="s">
        <v>1570</v>
      </c>
      <c r="I3202" s="2" t="s">
        <v>1571</v>
      </c>
      <c r="K3202" s="2" t="s">
        <v>100</v>
      </c>
      <c r="L3202" s="2" t="s">
        <v>41</v>
      </c>
      <c r="O3202" s="2" t="s">
        <v>73</v>
      </c>
      <c r="P3202" s="2" t="s">
        <v>74</v>
      </c>
      <c r="Q3202" s="2" t="s">
        <v>75</v>
      </c>
      <c r="R3202" s="2">
        <v>1</v>
      </c>
      <c r="S3202" s="2">
        <v>220</v>
      </c>
      <c r="T3202" s="2">
        <v>50.6</v>
      </c>
      <c r="U3202" s="2">
        <v>270.60000000000002</v>
      </c>
      <c r="V3202" s="2">
        <v>125.51600000000001</v>
      </c>
      <c r="W3202" s="5">
        <f t="shared" si="331"/>
        <v>0.42947272727272723</v>
      </c>
      <c r="Y3202" s="2" t="s">
        <v>3256</v>
      </c>
      <c r="Z3202" s="2" t="s">
        <v>76</v>
      </c>
      <c r="AA3202" s="2" t="s">
        <v>77</v>
      </c>
      <c r="AB3202" s="2" t="s">
        <v>78</v>
      </c>
      <c r="AE3202" s="2">
        <f t="shared" si="323"/>
        <v>0</v>
      </c>
      <c r="AF3202" s="2">
        <v>125.51600000000001</v>
      </c>
      <c r="AG3202" s="2">
        <v>220</v>
      </c>
      <c r="AI3202" s="2">
        <f t="shared" si="324"/>
        <v>0</v>
      </c>
      <c r="AJ3202" s="2">
        <f t="shared" si="333"/>
        <v>94.483999999999995</v>
      </c>
      <c r="AK3202" s="5">
        <f t="shared" si="332"/>
        <v>0.42947272727272723</v>
      </c>
    </row>
    <row r="3203" spans="1:37" x14ac:dyDescent="0.2">
      <c r="A3203" s="2">
        <v>2026</v>
      </c>
      <c r="B3203" s="2">
        <v>2</v>
      </c>
      <c r="C3203" s="2" t="s">
        <v>1386</v>
      </c>
      <c r="D3203" s="2" t="s">
        <v>38</v>
      </c>
      <c r="E3203" s="2" t="s">
        <v>39</v>
      </c>
      <c r="F3203" s="2">
        <v>503116670</v>
      </c>
      <c r="G3203" s="2" t="s">
        <v>41</v>
      </c>
      <c r="H3203" s="2" t="s">
        <v>1387</v>
      </c>
      <c r="I3203" s="2" t="s">
        <v>1388</v>
      </c>
      <c r="J3203" s="2">
        <v>962004640</v>
      </c>
      <c r="K3203" s="2" t="s">
        <v>422</v>
      </c>
      <c r="L3203" s="2" t="s">
        <v>81</v>
      </c>
      <c r="O3203" s="2" t="s">
        <v>73</v>
      </c>
      <c r="P3203" s="2" t="s">
        <v>74</v>
      </c>
      <c r="Q3203" s="2" t="s">
        <v>75</v>
      </c>
      <c r="R3203" s="2">
        <v>1</v>
      </c>
      <c r="S3203" s="2">
        <v>220</v>
      </c>
      <c r="T3203" s="2">
        <v>50.6</v>
      </c>
      <c r="U3203" s="2">
        <v>270.60000000000002</v>
      </c>
      <c r="V3203" s="2">
        <v>125.51600000000001</v>
      </c>
      <c r="W3203" s="5">
        <f t="shared" si="331"/>
        <v>0.42947272727272723</v>
      </c>
      <c r="Y3203" s="2" t="s">
        <v>3256</v>
      </c>
      <c r="Z3203" s="2" t="s">
        <v>76</v>
      </c>
      <c r="AA3203" s="2" t="s">
        <v>77</v>
      </c>
      <c r="AB3203" s="2" t="s">
        <v>78</v>
      </c>
      <c r="AE3203" s="2">
        <f t="shared" ref="AE3203:AE3266" si="334">AI3203</f>
        <v>0</v>
      </c>
      <c r="AF3203" s="2">
        <v>125.51600000000001</v>
      </c>
      <c r="AG3203" s="2">
        <v>220</v>
      </c>
      <c r="AI3203" s="2">
        <f t="shared" ref="AI3203:AI3266" si="335">AH3203*S3203</f>
        <v>0</v>
      </c>
      <c r="AJ3203" s="2">
        <f t="shared" si="333"/>
        <v>94.483999999999995</v>
      </c>
      <c r="AK3203" s="5">
        <f t="shared" si="332"/>
        <v>0.42947272727272723</v>
      </c>
    </row>
    <row r="3204" spans="1:37" x14ac:dyDescent="0.2">
      <c r="A3204" s="2">
        <v>2026</v>
      </c>
      <c r="B3204" s="2">
        <v>2</v>
      </c>
      <c r="C3204" s="2" t="s">
        <v>553</v>
      </c>
      <c r="D3204" s="2" t="s">
        <v>109</v>
      </c>
      <c r="E3204" s="2" t="s">
        <v>397</v>
      </c>
      <c r="F3204" s="2">
        <v>503641790</v>
      </c>
      <c r="G3204" s="2" t="s">
        <v>40</v>
      </c>
      <c r="H3204" s="2" t="s">
        <v>554</v>
      </c>
      <c r="I3204" s="2" t="s">
        <v>555</v>
      </c>
      <c r="J3204" s="2">
        <v>917753665</v>
      </c>
      <c r="K3204" s="2" t="s">
        <v>100</v>
      </c>
      <c r="L3204" s="2" t="s">
        <v>81</v>
      </c>
      <c r="N3204" s="2" t="s">
        <v>2580</v>
      </c>
      <c r="O3204" s="2" t="s">
        <v>73</v>
      </c>
      <c r="P3204" s="2" t="s">
        <v>74</v>
      </c>
      <c r="Q3204" s="2" t="s">
        <v>75</v>
      </c>
      <c r="R3204" s="2">
        <v>1</v>
      </c>
      <c r="S3204" s="2">
        <v>220</v>
      </c>
      <c r="T3204" s="2">
        <v>50.6</v>
      </c>
      <c r="U3204" s="2">
        <v>270.60000000000002</v>
      </c>
      <c r="V3204" s="2">
        <v>125.51600000000001</v>
      </c>
      <c r="W3204" s="5">
        <f t="shared" si="331"/>
        <v>0.42947272727272723</v>
      </c>
      <c r="Y3204" s="2" t="s">
        <v>3256</v>
      </c>
      <c r="Z3204" s="2" t="s">
        <v>76</v>
      </c>
      <c r="AA3204" s="2" t="s">
        <v>77</v>
      </c>
      <c r="AB3204" s="2" t="s">
        <v>78</v>
      </c>
      <c r="AE3204" s="2">
        <f t="shared" si="334"/>
        <v>0</v>
      </c>
      <c r="AF3204" s="2">
        <v>125.51600000000001</v>
      </c>
      <c r="AG3204" s="2">
        <v>220</v>
      </c>
      <c r="AI3204" s="2">
        <f t="shared" si="335"/>
        <v>0</v>
      </c>
      <c r="AJ3204" s="2">
        <f t="shared" si="333"/>
        <v>94.483999999999995</v>
      </c>
      <c r="AK3204" s="5">
        <f t="shared" si="332"/>
        <v>0.42947272727272723</v>
      </c>
    </row>
    <row r="3205" spans="1:37" x14ac:dyDescent="0.2">
      <c r="A3205" s="2">
        <v>2026</v>
      </c>
      <c r="B3205" s="2">
        <v>2</v>
      </c>
      <c r="C3205" s="2" t="s">
        <v>2581</v>
      </c>
      <c r="L3205" s="2" t="s">
        <v>81</v>
      </c>
      <c r="O3205" s="2" t="s">
        <v>73</v>
      </c>
      <c r="P3205" s="2" t="s">
        <v>74</v>
      </c>
      <c r="Q3205" s="2" t="s">
        <v>75</v>
      </c>
      <c r="R3205" s="2">
        <v>3</v>
      </c>
      <c r="S3205" s="2">
        <v>660</v>
      </c>
      <c r="T3205" s="2">
        <v>151.80000000000001</v>
      </c>
      <c r="U3205" s="2">
        <v>811.8</v>
      </c>
      <c r="V3205" s="2">
        <v>376.548</v>
      </c>
      <c r="W3205" s="5">
        <f t="shared" si="331"/>
        <v>0.42947272727272728</v>
      </c>
      <c r="Y3205" s="2" t="s">
        <v>3256</v>
      </c>
      <c r="Z3205" s="2" t="s">
        <v>76</v>
      </c>
      <c r="AA3205" s="2" t="s">
        <v>77</v>
      </c>
      <c r="AB3205" s="2" t="s">
        <v>78</v>
      </c>
      <c r="AE3205" s="2">
        <f t="shared" si="334"/>
        <v>0</v>
      </c>
      <c r="AF3205" s="2">
        <v>125.51600000000001</v>
      </c>
      <c r="AG3205" s="2">
        <v>220</v>
      </c>
      <c r="AI3205" s="2">
        <f t="shared" si="335"/>
        <v>0</v>
      </c>
      <c r="AJ3205" s="2">
        <f t="shared" si="333"/>
        <v>283.452</v>
      </c>
      <c r="AK3205" s="5">
        <f t="shared" si="332"/>
        <v>0.42947272727272728</v>
      </c>
    </row>
    <row r="3206" spans="1:37" x14ac:dyDescent="0.2">
      <c r="A3206" s="2">
        <v>2026</v>
      </c>
      <c r="B3206" s="2">
        <v>2</v>
      </c>
      <c r="C3206" s="2" t="s">
        <v>1609</v>
      </c>
      <c r="D3206" s="2" t="s">
        <v>109</v>
      </c>
      <c r="E3206" s="2" t="s">
        <v>397</v>
      </c>
      <c r="F3206" s="2">
        <v>500314594</v>
      </c>
      <c r="G3206" s="2" t="s">
        <v>40</v>
      </c>
      <c r="H3206" s="2" t="s">
        <v>1610</v>
      </c>
      <c r="I3206" s="2" t="s">
        <v>1611</v>
      </c>
      <c r="K3206" s="2" t="s">
        <v>202</v>
      </c>
      <c r="L3206" s="2" t="s">
        <v>81</v>
      </c>
      <c r="N3206" s="2" t="s">
        <v>2582</v>
      </c>
      <c r="O3206" s="2" t="s">
        <v>73</v>
      </c>
      <c r="P3206" s="2" t="s">
        <v>687</v>
      </c>
      <c r="Q3206" s="2" t="s">
        <v>75</v>
      </c>
      <c r="R3206" s="2">
        <v>1</v>
      </c>
      <c r="S3206" s="2">
        <v>220</v>
      </c>
      <c r="T3206" s="2">
        <v>50.6</v>
      </c>
      <c r="U3206" s="2">
        <v>270.60000000000002</v>
      </c>
      <c r="V3206" s="2">
        <v>104.49</v>
      </c>
      <c r="W3206" s="5">
        <f t="shared" si="331"/>
        <v>0.52504545454545459</v>
      </c>
      <c r="Y3206" s="2" t="s">
        <v>3256</v>
      </c>
      <c r="Z3206" s="2" t="s">
        <v>76</v>
      </c>
      <c r="AA3206" s="2" t="s">
        <v>77</v>
      </c>
      <c r="AB3206" s="2" t="s">
        <v>78</v>
      </c>
      <c r="AE3206" s="2">
        <f t="shared" si="334"/>
        <v>0</v>
      </c>
      <c r="AF3206" s="2">
        <v>104.49</v>
      </c>
      <c r="AG3206" s="2">
        <v>220</v>
      </c>
      <c r="AI3206" s="2">
        <f t="shared" si="335"/>
        <v>0</v>
      </c>
      <c r="AJ3206" s="2">
        <f t="shared" si="333"/>
        <v>115.51</v>
      </c>
      <c r="AK3206" s="5">
        <f t="shared" si="332"/>
        <v>0.52504545454545459</v>
      </c>
    </row>
    <row r="3207" spans="1:37" x14ac:dyDescent="0.2">
      <c r="A3207" s="2">
        <v>2026</v>
      </c>
      <c r="B3207" s="2">
        <v>2</v>
      </c>
      <c r="C3207" s="2" t="s">
        <v>37</v>
      </c>
      <c r="D3207" s="2" t="s">
        <v>38</v>
      </c>
      <c r="E3207" s="2" t="s">
        <v>39</v>
      </c>
      <c r="G3207" s="2" t="s">
        <v>40</v>
      </c>
      <c r="L3207" s="2" t="s">
        <v>81</v>
      </c>
      <c r="N3207" s="2" t="s">
        <v>2583</v>
      </c>
      <c r="O3207" s="2" t="s">
        <v>73</v>
      </c>
      <c r="P3207" s="2" t="s">
        <v>436</v>
      </c>
      <c r="Q3207" s="2" t="s">
        <v>332</v>
      </c>
      <c r="R3207" s="2">
        <v>1</v>
      </c>
      <c r="S3207" s="2">
        <v>258.68</v>
      </c>
      <c r="T3207" s="2">
        <v>59.496400000000001</v>
      </c>
      <c r="U3207" s="2">
        <v>318.1764</v>
      </c>
      <c r="V3207" s="2">
        <v>108.075</v>
      </c>
      <c r="W3207" s="5">
        <f t="shared" si="331"/>
        <v>0.5822058141332922</v>
      </c>
      <c r="Y3207" s="2" t="s">
        <v>3256</v>
      </c>
      <c r="Z3207" s="2" t="s">
        <v>76</v>
      </c>
      <c r="AA3207" s="2" t="s">
        <v>77</v>
      </c>
      <c r="AB3207" s="2" t="s">
        <v>78</v>
      </c>
      <c r="AE3207" s="2">
        <f t="shared" si="334"/>
        <v>0</v>
      </c>
      <c r="AF3207" s="2">
        <f>101.305+6.77</f>
        <v>108.075</v>
      </c>
      <c r="AG3207" s="2">
        <v>210</v>
      </c>
      <c r="AI3207" s="2">
        <f t="shared" si="335"/>
        <v>0</v>
      </c>
      <c r="AJ3207" s="2">
        <f t="shared" si="333"/>
        <v>150.60500000000002</v>
      </c>
      <c r="AK3207" s="5">
        <f t="shared" si="332"/>
        <v>0.5822058141332922</v>
      </c>
    </row>
    <row r="3208" spans="1:37" x14ac:dyDescent="0.2">
      <c r="A3208" s="2">
        <v>2026</v>
      </c>
      <c r="B3208" s="2">
        <v>2</v>
      </c>
      <c r="C3208" s="2" t="s">
        <v>853</v>
      </c>
      <c r="D3208" s="2" t="s">
        <v>99</v>
      </c>
      <c r="E3208" s="2" t="s">
        <v>39</v>
      </c>
      <c r="F3208" s="2">
        <v>507148886</v>
      </c>
      <c r="G3208" s="2" t="s">
        <v>291</v>
      </c>
      <c r="H3208" s="2" t="s">
        <v>2584</v>
      </c>
      <c r="I3208" s="2" t="s">
        <v>2585</v>
      </c>
      <c r="J3208" s="2">
        <v>912897776</v>
      </c>
      <c r="K3208" s="2" t="s">
        <v>340</v>
      </c>
      <c r="L3208" s="2" t="s">
        <v>81</v>
      </c>
      <c r="N3208" s="2" t="s">
        <v>2586</v>
      </c>
      <c r="O3208" s="2" t="s">
        <v>73</v>
      </c>
      <c r="P3208" s="2" t="s">
        <v>902</v>
      </c>
      <c r="Q3208" s="2" t="s">
        <v>383</v>
      </c>
      <c r="R3208" s="2">
        <v>1</v>
      </c>
      <c r="S3208" s="2">
        <v>230</v>
      </c>
      <c r="T3208" s="2">
        <v>52.900000000000013</v>
      </c>
      <c r="U3208" s="2">
        <v>282.89999999999998</v>
      </c>
      <c r="V3208" s="2">
        <v>113.17</v>
      </c>
      <c r="W3208" s="5">
        <f t="shared" si="331"/>
        <v>0.50795652173913042</v>
      </c>
      <c r="Y3208" s="2" t="s">
        <v>3256</v>
      </c>
      <c r="Z3208" s="2" t="s">
        <v>76</v>
      </c>
      <c r="AA3208" s="2" t="s">
        <v>77</v>
      </c>
      <c r="AB3208" s="2" t="s">
        <v>78</v>
      </c>
      <c r="AE3208" s="2">
        <f t="shared" si="334"/>
        <v>0</v>
      </c>
      <c r="AF3208" s="2">
        <v>113.17</v>
      </c>
      <c r="AI3208" s="2">
        <f t="shared" si="335"/>
        <v>0</v>
      </c>
      <c r="AJ3208" s="2">
        <f t="shared" si="333"/>
        <v>116.83</v>
      </c>
      <c r="AK3208" s="5">
        <f t="shared" si="332"/>
        <v>0.50795652173913042</v>
      </c>
    </row>
    <row r="3209" spans="1:37" x14ac:dyDescent="0.2">
      <c r="A3209" s="2">
        <v>2026</v>
      </c>
      <c r="B3209" s="2">
        <v>2</v>
      </c>
      <c r="C3209" s="2" t="s">
        <v>1266</v>
      </c>
      <c r="D3209" s="2" t="s">
        <v>109</v>
      </c>
      <c r="E3209" s="2" t="s">
        <v>39</v>
      </c>
      <c r="F3209" s="2">
        <v>502217650</v>
      </c>
      <c r="G3209" s="2" t="s">
        <v>40</v>
      </c>
      <c r="H3209" s="2" t="s">
        <v>202</v>
      </c>
      <c r="I3209" s="2" t="s">
        <v>2587</v>
      </c>
      <c r="K3209" s="2" t="s">
        <v>202</v>
      </c>
      <c r="L3209" s="2" t="s">
        <v>81</v>
      </c>
      <c r="N3209" s="2" t="s">
        <v>2588</v>
      </c>
      <c r="O3209" s="2" t="s">
        <v>73</v>
      </c>
      <c r="P3209" s="2" t="s">
        <v>302</v>
      </c>
      <c r="Q3209" s="2" t="s">
        <v>75</v>
      </c>
      <c r="R3209" s="2">
        <v>2</v>
      </c>
      <c r="S3209" s="2">
        <v>440</v>
      </c>
      <c r="T3209" s="2">
        <v>101.2</v>
      </c>
      <c r="U3209" s="2">
        <v>541.20000000000005</v>
      </c>
      <c r="V3209" s="2">
        <f>121.46*R3209</f>
        <v>242.92</v>
      </c>
      <c r="W3209" s="5">
        <f t="shared" si="331"/>
        <v>0.44790909090909092</v>
      </c>
      <c r="Y3209" s="2" t="s">
        <v>3256</v>
      </c>
      <c r="Z3209" s="2" t="s">
        <v>76</v>
      </c>
      <c r="AA3209" s="2" t="s">
        <v>77</v>
      </c>
      <c r="AB3209" s="2" t="s">
        <v>78</v>
      </c>
      <c r="AE3209" s="2">
        <f t="shared" si="334"/>
        <v>0</v>
      </c>
      <c r="AF3209" s="2">
        <v>121.46</v>
      </c>
      <c r="AG3209" s="2">
        <v>210</v>
      </c>
      <c r="AI3209" s="2">
        <f t="shared" si="335"/>
        <v>0</v>
      </c>
      <c r="AJ3209" s="2">
        <f t="shared" si="333"/>
        <v>197.08</v>
      </c>
      <c r="AK3209" s="5">
        <f t="shared" si="332"/>
        <v>0.44790909090909092</v>
      </c>
    </row>
    <row r="3210" spans="1:37" x14ac:dyDescent="0.2">
      <c r="A3210" s="2">
        <v>2026</v>
      </c>
      <c r="B3210" s="2">
        <v>2</v>
      </c>
      <c r="C3210" s="2" t="s">
        <v>755</v>
      </c>
      <c r="D3210" s="2" t="s">
        <v>109</v>
      </c>
      <c r="E3210" s="2" t="s">
        <v>39</v>
      </c>
      <c r="F3210" s="2">
        <v>510039537</v>
      </c>
      <c r="G3210" s="2" t="s">
        <v>40</v>
      </c>
      <c r="H3210" s="2" t="s">
        <v>576</v>
      </c>
      <c r="I3210" s="2" t="s">
        <v>756</v>
      </c>
      <c r="J3210" s="2">
        <v>969042927</v>
      </c>
      <c r="K3210" s="2" t="s">
        <v>576</v>
      </c>
      <c r="L3210" s="2" t="s">
        <v>81</v>
      </c>
      <c r="O3210" s="2" t="s">
        <v>73</v>
      </c>
      <c r="P3210" s="2" t="s">
        <v>1460</v>
      </c>
      <c r="Q3210" s="2" t="s">
        <v>383</v>
      </c>
      <c r="R3210" s="2">
        <v>1</v>
      </c>
      <c r="S3210" s="2">
        <v>230</v>
      </c>
      <c r="T3210" s="2">
        <v>52.900000000000013</v>
      </c>
      <c r="U3210" s="2">
        <v>282.89999999999998</v>
      </c>
      <c r="V3210" s="2">
        <v>133.916</v>
      </c>
      <c r="W3210" s="5">
        <f t="shared" si="331"/>
        <v>0.41775652173913047</v>
      </c>
      <c r="Y3210" s="2" t="s">
        <v>3256</v>
      </c>
      <c r="Z3210" s="2" t="s">
        <v>76</v>
      </c>
      <c r="AA3210" s="2" t="s">
        <v>77</v>
      </c>
      <c r="AB3210" s="2" t="s">
        <v>78</v>
      </c>
      <c r="AE3210" s="2">
        <f t="shared" si="334"/>
        <v>0</v>
      </c>
      <c r="AI3210" s="2">
        <f t="shared" si="335"/>
        <v>0</v>
      </c>
      <c r="AJ3210" s="2">
        <f t="shared" si="333"/>
        <v>96.084000000000003</v>
      </c>
      <c r="AK3210" s="5">
        <f t="shared" si="332"/>
        <v>0.41775652173913047</v>
      </c>
    </row>
    <row r="3211" spans="1:37" x14ac:dyDescent="0.2">
      <c r="A3211" s="2">
        <v>2026</v>
      </c>
      <c r="B3211" s="2">
        <v>2</v>
      </c>
      <c r="C3211" s="2" t="s">
        <v>2589</v>
      </c>
      <c r="D3211" s="2" t="s">
        <v>38</v>
      </c>
      <c r="E3211" s="2" t="s">
        <v>39</v>
      </c>
      <c r="F3211" s="2">
        <v>501561196</v>
      </c>
      <c r="G3211" s="2" t="s">
        <v>110</v>
      </c>
      <c r="H3211" s="2" t="s">
        <v>2590</v>
      </c>
      <c r="I3211" s="2" t="s">
        <v>2591</v>
      </c>
      <c r="K3211" s="2" t="s">
        <v>134</v>
      </c>
      <c r="L3211" s="2" t="s">
        <v>81</v>
      </c>
      <c r="N3211" s="2" t="s">
        <v>2592</v>
      </c>
      <c r="O3211" s="2" t="s">
        <v>73</v>
      </c>
      <c r="P3211" s="2" t="s">
        <v>488</v>
      </c>
      <c r="Q3211" s="2" t="s">
        <v>75</v>
      </c>
      <c r="R3211" s="2">
        <v>1</v>
      </c>
      <c r="S3211" s="2">
        <v>230</v>
      </c>
      <c r="T3211" s="2">
        <v>52.900000000000013</v>
      </c>
      <c r="U3211" s="2">
        <v>282.89999999999998</v>
      </c>
      <c r="V3211" s="2">
        <v>131.93</v>
      </c>
      <c r="W3211" s="5">
        <f t="shared" si="331"/>
        <v>0.42639130434782607</v>
      </c>
      <c r="Y3211" s="2" t="s">
        <v>3256</v>
      </c>
      <c r="Z3211" s="2" t="s">
        <v>76</v>
      </c>
      <c r="AA3211" s="2" t="s">
        <v>77</v>
      </c>
      <c r="AB3211" s="2" t="s">
        <v>78</v>
      </c>
      <c r="AE3211" s="2">
        <f t="shared" si="334"/>
        <v>0</v>
      </c>
      <c r="AF3211" s="2">
        <v>131.93</v>
      </c>
      <c r="AG3211" s="2">
        <v>220</v>
      </c>
      <c r="AI3211" s="2">
        <f t="shared" si="335"/>
        <v>0</v>
      </c>
      <c r="AJ3211" s="2">
        <f t="shared" si="333"/>
        <v>98.07</v>
      </c>
      <c r="AK3211" s="5">
        <f t="shared" si="332"/>
        <v>0.42639130434782607</v>
      </c>
    </row>
    <row r="3212" spans="1:37" x14ac:dyDescent="0.2">
      <c r="A3212" s="2">
        <v>2026</v>
      </c>
      <c r="B3212" s="2">
        <v>2</v>
      </c>
      <c r="C3212" s="2" t="s">
        <v>2589</v>
      </c>
      <c r="O3212" s="2" t="s">
        <v>73</v>
      </c>
      <c r="P3212" s="2" t="s">
        <v>919</v>
      </c>
      <c r="Q3212" s="2" t="s">
        <v>75</v>
      </c>
      <c r="R3212" s="2">
        <v>1</v>
      </c>
      <c r="S3212" s="2">
        <v>230</v>
      </c>
      <c r="T3212" s="2">
        <v>52.900000000000013</v>
      </c>
      <c r="U3212" s="2">
        <v>282.89999999999998</v>
      </c>
      <c r="W3212" s="5">
        <f t="shared" si="331"/>
        <v>1</v>
      </c>
      <c r="Y3212" s="2" t="s">
        <v>3256</v>
      </c>
      <c r="Z3212" s="2" t="s">
        <v>76</v>
      </c>
      <c r="AA3212" s="2" t="s">
        <v>77</v>
      </c>
      <c r="AB3212" s="2" t="s">
        <v>78</v>
      </c>
      <c r="AE3212" s="2">
        <f t="shared" si="334"/>
        <v>0</v>
      </c>
      <c r="AI3212" s="2">
        <f t="shared" si="335"/>
        <v>0</v>
      </c>
      <c r="AJ3212" s="2">
        <f t="shared" si="333"/>
        <v>230</v>
      </c>
      <c r="AK3212" s="5">
        <f t="shared" si="332"/>
        <v>1</v>
      </c>
    </row>
    <row r="3213" spans="1:37" x14ac:dyDescent="0.2">
      <c r="A3213" s="2">
        <v>2026</v>
      </c>
      <c r="B3213" s="2">
        <v>2</v>
      </c>
      <c r="C3213" s="2" t="s">
        <v>989</v>
      </c>
      <c r="D3213" s="2" t="s">
        <v>109</v>
      </c>
      <c r="E3213" s="2" t="s">
        <v>723</v>
      </c>
      <c r="F3213" s="2">
        <v>500594309</v>
      </c>
      <c r="G3213" s="2" t="s">
        <v>291</v>
      </c>
      <c r="H3213" s="2" t="s">
        <v>990</v>
      </c>
      <c r="I3213" s="2" t="s">
        <v>991</v>
      </c>
      <c r="K3213" s="2" t="s">
        <v>294</v>
      </c>
      <c r="L3213" s="2" t="s">
        <v>81</v>
      </c>
      <c r="N3213" s="2" t="s">
        <v>2593</v>
      </c>
      <c r="O3213" s="2" t="s">
        <v>73</v>
      </c>
      <c r="P3213" s="2" t="s">
        <v>1044</v>
      </c>
      <c r="Q3213" s="2" t="s">
        <v>80</v>
      </c>
      <c r="R3213" s="2">
        <v>1</v>
      </c>
      <c r="S3213" s="2">
        <v>220</v>
      </c>
      <c r="T3213" s="2">
        <v>50.6</v>
      </c>
      <c r="U3213" s="2">
        <v>270.60000000000002</v>
      </c>
      <c r="V3213" s="2">
        <v>113.33</v>
      </c>
      <c r="W3213" s="5">
        <f t="shared" si="331"/>
        <v>0.48486363636363639</v>
      </c>
      <c r="Y3213" s="2" t="s">
        <v>3256</v>
      </c>
      <c r="Z3213" s="2" t="s">
        <v>76</v>
      </c>
      <c r="AA3213" s="2" t="s">
        <v>77</v>
      </c>
      <c r="AB3213" s="2" t="s">
        <v>78</v>
      </c>
      <c r="AE3213" s="2">
        <f t="shared" si="334"/>
        <v>0</v>
      </c>
      <c r="AF3213" s="2">
        <v>113.33</v>
      </c>
      <c r="AG3213" s="2">
        <v>220</v>
      </c>
      <c r="AI3213" s="2">
        <f t="shared" si="335"/>
        <v>0</v>
      </c>
      <c r="AJ3213" s="2">
        <f t="shared" si="333"/>
        <v>106.67</v>
      </c>
      <c r="AK3213" s="5">
        <f t="shared" si="332"/>
        <v>0.48486363636363639</v>
      </c>
    </row>
    <row r="3214" spans="1:37" x14ac:dyDescent="0.2">
      <c r="A3214" s="2">
        <v>2026</v>
      </c>
      <c r="B3214" s="2">
        <v>2</v>
      </c>
      <c r="C3214" s="2" t="s">
        <v>37</v>
      </c>
      <c r="D3214" s="2" t="s">
        <v>38</v>
      </c>
      <c r="E3214" s="2" t="s">
        <v>39</v>
      </c>
      <c r="G3214" s="2" t="s">
        <v>40</v>
      </c>
      <c r="L3214" s="2" t="s">
        <v>81</v>
      </c>
      <c r="N3214" s="2" t="s">
        <v>2594</v>
      </c>
      <c r="O3214" s="2" t="s">
        <v>73</v>
      </c>
      <c r="P3214" s="2" t="s">
        <v>561</v>
      </c>
      <c r="Q3214" s="2" t="s">
        <v>308</v>
      </c>
      <c r="R3214" s="2">
        <v>1</v>
      </c>
      <c r="S3214" s="2">
        <v>138</v>
      </c>
      <c r="T3214" s="2">
        <v>31.74</v>
      </c>
      <c r="U3214" s="2">
        <v>169.74</v>
      </c>
      <c r="V3214" s="2">
        <v>122.446</v>
      </c>
      <c r="W3214" s="5">
        <f t="shared" si="331"/>
        <v>0.11271014492753624</v>
      </c>
      <c r="Y3214" s="2" t="s">
        <v>3256</v>
      </c>
      <c r="Z3214" s="2" t="s">
        <v>76</v>
      </c>
      <c r="AA3214" s="2" t="s">
        <v>77</v>
      </c>
      <c r="AB3214" s="2" t="s">
        <v>78</v>
      </c>
      <c r="AE3214" s="2">
        <f t="shared" si="334"/>
        <v>0</v>
      </c>
      <c r="AF3214" s="2">
        <v>122.446</v>
      </c>
      <c r="AG3214" s="2">
        <v>230</v>
      </c>
      <c r="AI3214" s="2">
        <f t="shared" si="335"/>
        <v>0</v>
      </c>
      <c r="AJ3214" s="2">
        <f t="shared" si="333"/>
        <v>15.554000000000002</v>
      </c>
      <c r="AK3214" s="5">
        <f t="shared" si="332"/>
        <v>0.11271014492753624</v>
      </c>
    </row>
    <row r="3215" spans="1:37" x14ac:dyDescent="0.2">
      <c r="A3215" s="2">
        <v>2026</v>
      </c>
      <c r="B3215" s="2">
        <v>4</v>
      </c>
      <c r="C3215" s="2" t="s">
        <v>695</v>
      </c>
      <c r="D3215" s="2" t="s">
        <v>109</v>
      </c>
      <c r="E3215" s="2" t="s">
        <v>39</v>
      </c>
      <c r="F3215" s="2">
        <v>503589950</v>
      </c>
      <c r="G3215" s="2" t="s">
        <v>41</v>
      </c>
      <c r="H3215" s="2" t="s">
        <v>615</v>
      </c>
      <c r="I3215" s="2" t="s">
        <v>696</v>
      </c>
      <c r="J3215" s="2">
        <v>913036545</v>
      </c>
      <c r="K3215" s="2" t="s">
        <v>178</v>
      </c>
      <c r="L3215" s="2" t="s">
        <v>40</v>
      </c>
      <c r="N3215" s="2" t="s">
        <v>2463</v>
      </c>
      <c r="O3215" s="2" t="s">
        <v>115</v>
      </c>
      <c r="P3215" s="2" t="s">
        <v>1436</v>
      </c>
      <c r="Q3215" s="2" t="s">
        <v>1437</v>
      </c>
      <c r="R3215" s="2">
        <v>-1</v>
      </c>
      <c r="S3215" s="2">
        <v>-1867.81</v>
      </c>
      <c r="T3215" s="2">
        <v>-429.59629999999999</v>
      </c>
      <c r="U3215" s="2">
        <v>-2297.4063000000001</v>
      </c>
      <c r="V3215" s="2">
        <v>871.87</v>
      </c>
      <c r="W3215" s="5">
        <f>SIGN(S3215)*((ABS(S3215)-V3215)/ABS(S3215))</f>
        <v>-0.53321269293986007</v>
      </c>
      <c r="Y3215" s="2" t="s">
        <v>118</v>
      </c>
      <c r="Z3215" s="2" t="s">
        <v>621</v>
      </c>
      <c r="AA3215" s="2" t="s">
        <v>965</v>
      </c>
      <c r="AB3215" s="2" t="s">
        <v>115</v>
      </c>
      <c r="AE3215" s="2">
        <f t="shared" si="334"/>
        <v>0</v>
      </c>
      <c r="AF3215" s="2">
        <f>868.26+3.61</f>
        <v>871.87</v>
      </c>
      <c r="AI3215" s="2">
        <f t="shared" si="335"/>
        <v>0</v>
      </c>
      <c r="AJ3215" s="2">
        <f t="shared" si="333"/>
        <v>-2739.68</v>
      </c>
      <c r="AK3215" s="5">
        <f t="shared" ref="AK3215:AK3246" si="336">(S3215-V3215)/S3215</f>
        <v>1.4667873070601398</v>
      </c>
    </row>
    <row r="3216" spans="1:37" x14ac:dyDescent="0.2">
      <c r="A3216" s="2">
        <v>2026</v>
      </c>
      <c r="B3216" s="2">
        <v>2</v>
      </c>
      <c r="C3216" s="2" t="s">
        <v>1266</v>
      </c>
      <c r="O3216" s="2" t="s">
        <v>73</v>
      </c>
      <c r="P3216" s="2" t="s">
        <v>326</v>
      </c>
      <c r="Q3216" s="2" t="s">
        <v>80</v>
      </c>
      <c r="R3216" s="2">
        <v>1</v>
      </c>
      <c r="S3216" s="2">
        <v>210</v>
      </c>
      <c r="T3216" s="2">
        <v>48.3</v>
      </c>
      <c r="U3216" s="2">
        <v>258.3</v>
      </c>
      <c r="V3216" s="2">
        <f>110.68*R3216</f>
        <v>110.68</v>
      </c>
      <c r="W3216" s="5">
        <f t="shared" ref="W3216:W3261" si="337">(S3216-V3216)/S3216</f>
        <v>0.4729523809523809</v>
      </c>
      <c r="Y3216" s="2" t="s">
        <v>3256</v>
      </c>
      <c r="Z3216" s="2" t="s">
        <v>76</v>
      </c>
      <c r="AA3216" s="2" t="s">
        <v>77</v>
      </c>
      <c r="AB3216" s="2" t="s">
        <v>78</v>
      </c>
      <c r="AE3216" s="2">
        <f t="shared" si="334"/>
        <v>0</v>
      </c>
      <c r="AF3216" s="2">
        <v>110.68</v>
      </c>
      <c r="AG3216" s="2">
        <v>210</v>
      </c>
      <c r="AI3216" s="2">
        <f t="shared" si="335"/>
        <v>0</v>
      </c>
      <c r="AJ3216" s="2">
        <f t="shared" si="333"/>
        <v>99.32</v>
      </c>
      <c r="AK3216" s="5">
        <f t="shared" si="336"/>
        <v>0.4729523809523809</v>
      </c>
    </row>
    <row r="3217" spans="1:37" x14ac:dyDescent="0.2">
      <c r="A3217" s="2">
        <v>2026</v>
      </c>
      <c r="B3217" s="2">
        <v>2</v>
      </c>
      <c r="C3217" s="2" t="s">
        <v>1062</v>
      </c>
      <c r="D3217" s="2" t="s">
        <v>184</v>
      </c>
      <c r="E3217" s="2" t="s">
        <v>1063</v>
      </c>
      <c r="F3217" s="2">
        <v>500199523</v>
      </c>
      <c r="G3217" s="2" t="s">
        <v>291</v>
      </c>
      <c r="H3217" s="2" t="s">
        <v>294</v>
      </c>
      <c r="I3217" s="2" t="s">
        <v>1064</v>
      </c>
      <c r="K3217" s="2" t="s">
        <v>294</v>
      </c>
      <c r="L3217" s="2" t="s">
        <v>81</v>
      </c>
      <c r="N3217" s="2" t="s">
        <v>2595</v>
      </c>
      <c r="O3217" s="2" t="s">
        <v>73</v>
      </c>
      <c r="P3217" s="2" t="s">
        <v>326</v>
      </c>
      <c r="Q3217" s="2" t="s">
        <v>80</v>
      </c>
      <c r="R3217" s="2">
        <v>1</v>
      </c>
      <c r="S3217" s="2">
        <v>210</v>
      </c>
      <c r="T3217" s="2">
        <v>48.3</v>
      </c>
      <c r="U3217" s="2">
        <v>258.3</v>
      </c>
      <c r="V3217" s="2">
        <f>110.68*R3217</f>
        <v>110.68</v>
      </c>
      <c r="W3217" s="5">
        <f t="shared" si="337"/>
        <v>0.4729523809523809</v>
      </c>
      <c r="Y3217" s="2" t="s">
        <v>3256</v>
      </c>
      <c r="Z3217" s="2" t="s">
        <v>76</v>
      </c>
      <c r="AA3217" s="2" t="s">
        <v>77</v>
      </c>
      <c r="AB3217" s="2" t="s">
        <v>78</v>
      </c>
      <c r="AE3217" s="2">
        <f t="shared" si="334"/>
        <v>0</v>
      </c>
      <c r="AF3217" s="2">
        <v>110.68</v>
      </c>
      <c r="AG3217" s="2">
        <v>210</v>
      </c>
      <c r="AI3217" s="2">
        <f t="shared" si="335"/>
        <v>0</v>
      </c>
      <c r="AJ3217" s="2">
        <f t="shared" si="333"/>
        <v>99.32</v>
      </c>
      <c r="AK3217" s="5">
        <f t="shared" si="336"/>
        <v>0.4729523809523809</v>
      </c>
    </row>
    <row r="3218" spans="1:37" x14ac:dyDescent="0.2">
      <c r="A3218" s="2">
        <v>2026</v>
      </c>
      <c r="B3218" s="2">
        <v>2</v>
      </c>
      <c r="C3218" s="2" t="s">
        <v>37</v>
      </c>
      <c r="D3218" s="2" t="s">
        <v>38</v>
      </c>
      <c r="E3218" s="2" t="s">
        <v>39</v>
      </c>
      <c r="G3218" s="2" t="s">
        <v>40</v>
      </c>
      <c r="L3218" s="2" t="s">
        <v>81</v>
      </c>
      <c r="N3218" s="2" t="s">
        <v>2596</v>
      </c>
      <c r="O3218" s="2" t="s">
        <v>73</v>
      </c>
      <c r="P3218" s="2" t="s">
        <v>537</v>
      </c>
      <c r="Q3218" s="2" t="s">
        <v>538</v>
      </c>
      <c r="R3218" s="2">
        <v>1</v>
      </c>
      <c r="S3218" s="2">
        <v>194.75</v>
      </c>
      <c r="T3218" s="2">
        <v>44.792499999999997</v>
      </c>
      <c r="U3218" s="2">
        <v>239.54249999999999</v>
      </c>
      <c r="V3218" s="2">
        <f>110.125+11.77</f>
        <v>121.895</v>
      </c>
      <c r="W3218" s="5">
        <f t="shared" si="337"/>
        <v>0.37409499358151477</v>
      </c>
      <c r="Y3218" s="2" t="s">
        <v>3256</v>
      </c>
      <c r="Z3218" s="2" t="s">
        <v>76</v>
      </c>
      <c r="AA3218" s="2" t="s">
        <v>77</v>
      </c>
      <c r="AB3218" s="2" t="s">
        <v>78</v>
      </c>
      <c r="AE3218" s="2">
        <f t="shared" si="334"/>
        <v>0</v>
      </c>
      <c r="AF3218" s="2">
        <f>110.125+11.77</f>
        <v>121.895</v>
      </c>
      <c r="AI3218" s="2">
        <f t="shared" si="335"/>
        <v>0</v>
      </c>
      <c r="AJ3218" s="2">
        <f t="shared" si="333"/>
        <v>72.855000000000004</v>
      </c>
      <c r="AK3218" s="5">
        <f t="shared" si="336"/>
        <v>0.37409499358151477</v>
      </c>
    </row>
    <row r="3219" spans="1:37" x14ac:dyDescent="0.2">
      <c r="A3219" s="2">
        <v>2026</v>
      </c>
      <c r="B3219" s="2">
        <v>2</v>
      </c>
      <c r="C3219" s="2" t="s">
        <v>2014</v>
      </c>
      <c r="L3219" s="2" t="s">
        <v>81</v>
      </c>
      <c r="O3219" s="2" t="s">
        <v>73</v>
      </c>
      <c r="P3219" s="2" t="s">
        <v>1143</v>
      </c>
      <c r="Q3219" s="2" t="s">
        <v>538</v>
      </c>
      <c r="R3219" s="2">
        <v>1</v>
      </c>
      <c r="S3219" s="2">
        <v>220</v>
      </c>
      <c r="T3219" s="2">
        <v>50.6</v>
      </c>
      <c r="U3219" s="2">
        <v>270.60000000000002</v>
      </c>
      <c r="W3219" s="5">
        <f t="shared" si="337"/>
        <v>1</v>
      </c>
      <c r="Y3219" s="2" t="s">
        <v>3256</v>
      </c>
      <c r="Z3219" s="2" t="s">
        <v>76</v>
      </c>
      <c r="AA3219" s="2" t="s">
        <v>77</v>
      </c>
      <c r="AB3219" s="2" t="s">
        <v>78</v>
      </c>
      <c r="AE3219" s="2">
        <f t="shared" si="334"/>
        <v>0</v>
      </c>
      <c r="AI3219" s="2">
        <f t="shared" si="335"/>
        <v>0</v>
      </c>
      <c r="AJ3219" s="2">
        <f t="shared" si="333"/>
        <v>220</v>
      </c>
      <c r="AK3219" s="5">
        <f t="shared" si="336"/>
        <v>1</v>
      </c>
    </row>
    <row r="3220" spans="1:37" x14ac:dyDescent="0.2">
      <c r="A3220" s="2">
        <v>2026</v>
      </c>
      <c r="B3220" s="2">
        <v>2</v>
      </c>
      <c r="C3220" s="2" t="s">
        <v>534</v>
      </c>
      <c r="D3220" s="2" t="s">
        <v>109</v>
      </c>
      <c r="E3220" s="2" t="s">
        <v>535</v>
      </c>
      <c r="F3220" s="2">
        <v>502139552</v>
      </c>
      <c r="G3220" s="2" t="s">
        <v>40</v>
      </c>
      <c r="H3220" s="2" t="s">
        <v>340</v>
      </c>
      <c r="I3220" s="2" t="s">
        <v>536</v>
      </c>
      <c r="K3220" s="2" t="s">
        <v>340</v>
      </c>
      <c r="L3220" s="2" t="s">
        <v>81</v>
      </c>
      <c r="O3220" s="2" t="s">
        <v>73</v>
      </c>
      <c r="P3220" s="2" t="s">
        <v>1034</v>
      </c>
      <c r="Q3220" s="2" t="s">
        <v>198</v>
      </c>
      <c r="R3220" s="2">
        <v>1</v>
      </c>
      <c r="S3220" s="2">
        <v>257.60000000000002</v>
      </c>
      <c r="T3220" s="2">
        <v>59.247999999999998</v>
      </c>
      <c r="U3220" s="2">
        <v>316.84800000000001</v>
      </c>
      <c r="W3220" s="5">
        <f t="shared" si="337"/>
        <v>1</v>
      </c>
      <c r="Y3220" s="2" t="s">
        <v>3256</v>
      </c>
      <c r="Z3220" s="2" t="s">
        <v>76</v>
      </c>
      <c r="AA3220" s="2" t="s">
        <v>77</v>
      </c>
      <c r="AB3220" s="2" t="s">
        <v>78</v>
      </c>
      <c r="AE3220" s="2">
        <f t="shared" si="334"/>
        <v>0</v>
      </c>
      <c r="AI3220" s="2">
        <f t="shared" si="335"/>
        <v>0</v>
      </c>
      <c r="AJ3220" s="2">
        <f t="shared" si="333"/>
        <v>257.60000000000002</v>
      </c>
      <c r="AK3220" s="5">
        <f t="shared" si="336"/>
        <v>1</v>
      </c>
    </row>
    <row r="3221" spans="1:37" x14ac:dyDescent="0.2">
      <c r="A3221" s="2">
        <v>2026</v>
      </c>
      <c r="B3221" s="2">
        <v>2</v>
      </c>
      <c r="C3221" s="2" t="s">
        <v>2597</v>
      </c>
      <c r="O3221" s="2" t="s">
        <v>73</v>
      </c>
      <c r="P3221" s="2" t="s">
        <v>2598</v>
      </c>
      <c r="Q3221" s="2" t="s">
        <v>2599</v>
      </c>
      <c r="R3221" s="2">
        <v>1</v>
      </c>
      <c r="S3221" s="2">
        <v>250</v>
      </c>
      <c r="T3221" s="2">
        <v>57.5</v>
      </c>
      <c r="U3221" s="2">
        <v>307.5</v>
      </c>
      <c r="W3221" s="5">
        <f t="shared" si="337"/>
        <v>1</v>
      </c>
      <c r="Y3221" s="2" t="s">
        <v>3256</v>
      </c>
      <c r="Z3221" s="2" t="s">
        <v>76</v>
      </c>
      <c r="AA3221" s="2" t="s">
        <v>77</v>
      </c>
      <c r="AB3221" s="2" t="s">
        <v>78</v>
      </c>
      <c r="AE3221" s="2">
        <f t="shared" si="334"/>
        <v>0</v>
      </c>
      <c r="AI3221" s="2">
        <f t="shared" si="335"/>
        <v>0</v>
      </c>
      <c r="AJ3221" s="2">
        <f t="shared" si="333"/>
        <v>250</v>
      </c>
      <c r="AK3221" s="5">
        <f t="shared" si="336"/>
        <v>1</v>
      </c>
    </row>
    <row r="3222" spans="1:37" x14ac:dyDescent="0.2">
      <c r="A3222" s="2">
        <v>2026</v>
      </c>
      <c r="B3222" s="2">
        <v>2</v>
      </c>
      <c r="C3222" s="2" t="s">
        <v>2600</v>
      </c>
      <c r="D3222" s="2" t="s">
        <v>184</v>
      </c>
      <c r="E3222" s="2" t="s">
        <v>2601</v>
      </c>
      <c r="F3222" s="2">
        <v>515259144</v>
      </c>
      <c r="G3222" s="2" t="s">
        <v>81</v>
      </c>
      <c r="H3222" s="2" t="s">
        <v>157</v>
      </c>
      <c r="I3222" s="2" t="s">
        <v>2602</v>
      </c>
      <c r="J3222" s="2">
        <v>968626165</v>
      </c>
      <c r="K3222" s="2" t="s">
        <v>100</v>
      </c>
      <c r="L3222" s="2" t="s">
        <v>81</v>
      </c>
      <c r="N3222" s="2" t="s">
        <v>2603</v>
      </c>
      <c r="O3222" s="2" t="s">
        <v>1047</v>
      </c>
      <c r="P3222" s="2" t="s">
        <v>1972</v>
      </c>
      <c r="Q3222" s="2" t="s">
        <v>1973</v>
      </c>
      <c r="R3222" s="2">
        <v>8</v>
      </c>
      <c r="S3222" s="2">
        <v>1766.4</v>
      </c>
      <c r="T3222" s="2">
        <v>406.27199999999999</v>
      </c>
      <c r="U3222" s="2">
        <v>2172.672</v>
      </c>
      <c r="V3222" s="2">
        <v>963.12</v>
      </c>
      <c r="W3222" s="5">
        <f t="shared" si="337"/>
        <v>0.45475543478260871</v>
      </c>
      <c r="Y3222" s="2" t="s">
        <v>3256</v>
      </c>
      <c r="Z3222" s="2" t="s">
        <v>76</v>
      </c>
      <c r="AA3222" s="2" t="s">
        <v>77</v>
      </c>
      <c r="AB3222" s="2" t="s">
        <v>1047</v>
      </c>
      <c r="AE3222" s="2">
        <f t="shared" si="334"/>
        <v>0</v>
      </c>
      <c r="AI3222" s="2">
        <f t="shared" si="335"/>
        <v>0</v>
      </c>
      <c r="AJ3222" s="2">
        <f t="shared" si="333"/>
        <v>803.28000000000009</v>
      </c>
      <c r="AK3222" s="5">
        <f t="shared" si="336"/>
        <v>0.45475543478260871</v>
      </c>
    </row>
    <row r="3223" spans="1:37" x14ac:dyDescent="0.2">
      <c r="A3223" s="2">
        <v>2026</v>
      </c>
      <c r="B3223" s="2">
        <v>2</v>
      </c>
      <c r="C3223" s="2" t="s">
        <v>37</v>
      </c>
      <c r="D3223" s="2" t="s">
        <v>38</v>
      </c>
      <c r="E3223" s="2" t="s">
        <v>39</v>
      </c>
      <c r="G3223" s="2" t="s">
        <v>40</v>
      </c>
      <c r="L3223" s="2" t="s">
        <v>81</v>
      </c>
      <c r="O3223" s="2" t="s">
        <v>1047</v>
      </c>
      <c r="P3223" s="2" t="s">
        <v>2604</v>
      </c>
      <c r="Q3223" s="2" t="s">
        <v>2605</v>
      </c>
      <c r="R3223" s="2">
        <v>2</v>
      </c>
      <c r="S3223" s="2">
        <v>475</v>
      </c>
      <c r="T3223" s="2">
        <v>109.25</v>
      </c>
      <c r="U3223" s="2">
        <v>584.25</v>
      </c>
      <c r="V3223" s="2">
        <v>245.06</v>
      </c>
      <c r="W3223" s="5">
        <f t="shared" si="337"/>
        <v>0.48408421052631578</v>
      </c>
      <c r="Y3223" s="2" t="s">
        <v>3256</v>
      </c>
      <c r="Z3223" s="2" t="s">
        <v>76</v>
      </c>
      <c r="AA3223" s="2" t="s">
        <v>77</v>
      </c>
      <c r="AB3223" s="2" t="s">
        <v>1047</v>
      </c>
      <c r="AE3223" s="2">
        <f t="shared" si="334"/>
        <v>0</v>
      </c>
      <c r="AI3223" s="2">
        <f t="shared" si="335"/>
        <v>0</v>
      </c>
      <c r="AJ3223" s="2">
        <f t="shared" ref="AJ3223:AJ3254" si="338">S3223-V3223</f>
        <v>229.94</v>
      </c>
      <c r="AK3223" s="5">
        <f t="shared" si="336"/>
        <v>0.48408421052631578</v>
      </c>
    </row>
    <row r="3224" spans="1:37" x14ac:dyDescent="0.2">
      <c r="A3224" s="2">
        <v>2026</v>
      </c>
      <c r="B3224" s="2">
        <v>2</v>
      </c>
      <c r="C3224" s="2" t="s">
        <v>1171</v>
      </c>
      <c r="D3224" s="2" t="s">
        <v>758</v>
      </c>
      <c r="F3224" s="2">
        <v>508199280</v>
      </c>
      <c r="G3224" s="2" t="s">
        <v>40</v>
      </c>
      <c r="H3224" s="2" t="s">
        <v>1172</v>
      </c>
      <c r="K3224" s="2" t="s">
        <v>294</v>
      </c>
      <c r="O3224" s="2" t="s">
        <v>1047</v>
      </c>
      <c r="P3224" s="2" t="s">
        <v>2606</v>
      </c>
      <c r="Q3224" s="2" t="s">
        <v>2607</v>
      </c>
      <c r="R3224" s="2">
        <v>1</v>
      </c>
      <c r="S3224" s="2">
        <v>285</v>
      </c>
      <c r="T3224" s="2">
        <v>65.55</v>
      </c>
      <c r="U3224" s="2">
        <v>350.55</v>
      </c>
      <c r="V3224" s="2">
        <v>122.535</v>
      </c>
      <c r="W3224" s="5">
        <f t="shared" si="337"/>
        <v>0.57005263157894737</v>
      </c>
      <c r="Y3224" s="2" t="s">
        <v>3256</v>
      </c>
      <c r="Z3224" s="2" t="s">
        <v>76</v>
      </c>
      <c r="AA3224" s="2" t="s">
        <v>77</v>
      </c>
      <c r="AB3224" s="2" t="s">
        <v>1047</v>
      </c>
      <c r="AE3224" s="2">
        <f t="shared" si="334"/>
        <v>0</v>
      </c>
      <c r="AI3224" s="2">
        <f t="shared" si="335"/>
        <v>0</v>
      </c>
      <c r="AJ3224" s="2">
        <f t="shared" si="338"/>
        <v>162.465</v>
      </c>
      <c r="AK3224" s="5">
        <f t="shared" si="336"/>
        <v>0.57005263157894737</v>
      </c>
    </row>
    <row r="3225" spans="1:37" x14ac:dyDescent="0.2">
      <c r="A3225" s="2">
        <v>2026</v>
      </c>
      <c r="B3225" s="2">
        <v>2</v>
      </c>
      <c r="C3225" s="2" t="s">
        <v>426</v>
      </c>
      <c r="D3225" s="2" t="s">
        <v>99</v>
      </c>
      <c r="E3225" s="2" t="s">
        <v>39</v>
      </c>
      <c r="F3225" s="2">
        <v>503523470</v>
      </c>
      <c r="G3225" s="2" t="s">
        <v>40</v>
      </c>
      <c r="H3225" s="2" t="s">
        <v>427</v>
      </c>
      <c r="I3225" s="2" t="s">
        <v>428</v>
      </c>
      <c r="K3225" s="2" t="s">
        <v>202</v>
      </c>
      <c r="L3225" s="2" t="s">
        <v>81</v>
      </c>
      <c r="O3225" s="2" t="s">
        <v>85</v>
      </c>
      <c r="P3225" s="2" t="s">
        <v>269</v>
      </c>
      <c r="Q3225" s="2" t="s">
        <v>270</v>
      </c>
      <c r="R3225" s="2">
        <v>1</v>
      </c>
      <c r="S3225" s="2">
        <v>6</v>
      </c>
      <c r="T3225" s="2">
        <v>1.38</v>
      </c>
      <c r="U3225" s="2">
        <v>7.38</v>
      </c>
      <c r="V3225" s="2">
        <v>2.4154</v>
      </c>
      <c r="W3225" s="5">
        <f t="shared" si="337"/>
        <v>0.59743333333333337</v>
      </c>
      <c r="Y3225" s="2" t="s">
        <v>3256</v>
      </c>
      <c r="Z3225" s="2" t="s">
        <v>88</v>
      </c>
      <c r="AA3225" s="2" t="s">
        <v>91</v>
      </c>
      <c r="AB3225" s="2" t="s">
        <v>85</v>
      </c>
      <c r="AE3225" s="2">
        <f t="shared" si="334"/>
        <v>0</v>
      </c>
      <c r="AI3225" s="2">
        <f t="shared" si="335"/>
        <v>0</v>
      </c>
      <c r="AJ3225" s="2">
        <f t="shared" si="338"/>
        <v>3.5846</v>
      </c>
      <c r="AK3225" s="5">
        <f t="shared" si="336"/>
        <v>0.59743333333333337</v>
      </c>
    </row>
    <row r="3226" spans="1:37" x14ac:dyDescent="0.2">
      <c r="A3226" s="2">
        <v>2026</v>
      </c>
      <c r="B3226" s="2">
        <v>2</v>
      </c>
      <c r="C3226" s="2" t="s">
        <v>429</v>
      </c>
      <c r="D3226" s="2" t="s">
        <v>99</v>
      </c>
      <c r="E3226" s="2" t="s">
        <v>39</v>
      </c>
      <c r="F3226" s="2">
        <v>510613888</v>
      </c>
      <c r="G3226" s="2" t="s">
        <v>40</v>
      </c>
      <c r="H3226" s="2" t="s">
        <v>430</v>
      </c>
      <c r="I3226" s="2" t="s">
        <v>431</v>
      </c>
      <c r="K3226" s="2" t="s">
        <v>100</v>
      </c>
      <c r="L3226" s="2" t="s">
        <v>81</v>
      </c>
      <c r="O3226" s="2" t="s">
        <v>85</v>
      </c>
      <c r="P3226" s="2" t="s">
        <v>269</v>
      </c>
      <c r="Q3226" s="2" t="s">
        <v>270</v>
      </c>
      <c r="R3226" s="2">
        <v>0</v>
      </c>
      <c r="S3226" s="2">
        <v>6</v>
      </c>
      <c r="T3226" s="2">
        <v>1.38</v>
      </c>
      <c r="U3226" s="2">
        <v>7.38</v>
      </c>
      <c r="V3226" s="2">
        <v>2.4154</v>
      </c>
      <c r="W3226" s="5">
        <f t="shared" si="337"/>
        <v>0.59743333333333337</v>
      </c>
      <c r="Y3226" s="2" t="s">
        <v>3256</v>
      </c>
      <c r="Z3226" s="2" t="s">
        <v>88</v>
      </c>
      <c r="AA3226" s="2" t="s">
        <v>91</v>
      </c>
      <c r="AB3226" s="2" t="s">
        <v>85</v>
      </c>
      <c r="AE3226" s="2">
        <f t="shared" si="334"/>
        <v>0</v>
      </c>
      <c r="AI3226" s="2">
        <f t="shared" si="335"/>
        <v>0</v>
      </c>
      <c r="AJ3226" s="2">
        <f t="shared" si="338"/>
        <v>3.5846</v>
      </c>
      <c r="AK3226" s="5">
        <f t="shared" si="336"/>
        <v>0.59743333333333337</v>
      </c>
    </row>
    <row r="3227" spans="1:37" x14ac:dyDescent="0.2">
      <c r="A3227" s="2">
        <v>2026</v>
      </c>
      <c r="B3227" s="2">
        <v>2</v>
      </c>
      <c r="C3227" s="2" t="s">
        <v>649</v>
      </c>
      <c r="D3227" s="2" t="s">
        <v>38</v>
      </c>
      <c r="E3227" s="2" t="s">
        <v>39</v>
      </c>
      <c r="F3227" s="2">
        <v>509056946</v>
      </c>
      <c r="G3227" s="2" t="s">
        <v>110</v>
      </c>
      <c r="H3227" s="2" t="s">
        <v>650</v>
      </c>
      <c r="I3227" s="2" t="s">
        <v>651</v>
      </c>
      <c r="J3227" s="2">
        <v>964495536</v>
      </c>
      <c r="K3227" s="2" t="s">
        <v>113</v>
      </c>
      <c r="L3227" s="2" t="s">
        <v>110</v>
      </c>
      <c r="N3227" s="2" t="s">
        <v>2608</v>
      </c>
      <c r="O3227" s="2" t="s">
        <v>85</v>
      </c>
      <c r="P3227" s="2" t="s">
        <v>2609</v>
      </c>
      <c r="Q3227" s="2" t="s">
        <v>2610</v>
      </c>
      <c r="R3227" s="2">
        <v>1</v>
      </c>
      <c r="S3227" s="2">
        <v>77</v>
      </c>
      <c r="T3227" s="2">
        <v>17.71</v>
      </c>
      <c r="U3227" s="2">
        <v>94.710000000000008</v>
      </c>
      <c r="W3227" s="5">
        <f t="shared" si="337"/>
        <v>1</v>
      </c>
      <c r="Y3227" s="2" t="s">
        <v>3256</v>
      </c>
      <c r="Z3227" s="2" t="s">
        <v>88</v>
      </c>
      <c r="AA3227" s="2" t="s">
        <v>61</v>
      </c>
      <c r="AB3227" s="2" t="s">
        <v>85</v>
      </c>
      <c r="AE3227" s="2">
        <f t="shared" si="334"/>
        <v>0</v>
      </c>
      <c r="AI3227" s="2">
        <f t="shared" si="335"/>
        <v>0</v>
      </c>
      <c r="AJ3227" s="2">
        <f t="shared" si="338"/>
        <v>77</v>
      </c>
      <c r="AK3227" s="5">
        <f t="shared" si="336"/>
        <v>1</v>
      </c>
    </row>
    <row r="3228" spans="1:37" x14ac:dyDescent="0.2">
      <c r="A3228" s="2">
        <v>2026</v>
      </c>
      <c r="B3228" s="2">
        <v>2</v>
      </c>
      <c r="C3228" s="2" t="s">
        <v>649</v>
      </c>
      <c r="D3228" s="2" t="s">
        <v>38</v>
      </c>
      <c r="E3228" s="2" t="s">
        <v>39</v>
      </c>
      <c r="F3228" s="2">
        <v>509056946</v>
      </c>
      <c r="G3228" s="2" t="s">
        <v>110</v>
      </c>
      <c r="H3228" s="2" t="s">
        <v>650</v>
      </c>
      <c r="I3228" s="2" t="s">
        <v>651</v>
      </c>
      <c r="J3228" s="2">
        <v>964495536</v>
      </c>
      <c r="K3228" s="2" t="s">
        <v>113</v>
      </c>
      <c r="L3228" s="2" t="s">
        <v>110</v>
      </c>
      <c r="N3228" s="2" t="s">
        <v>2611</v>
      </c>
      <c r="O3228" s="2" t="s">
        <v>1203</v>
      </c>
      <c r="P3228" s="2" t="s">
        <v>2612</v>
      </c>
      <c r="Q3228" s="2" t="s">
        <v>2613</v>
      </c>
      <c r="R3228" s="2">
        <v>1</v>
      </c>
      <c r="S3228" s="2">
        <v>1020</v>
      </c>
      <c r="T3228" s="2">
        <v>234.6</v>
      </c>
      <c r="U3228" s="2">
        <v>1254.5999999999999</v>
      </c>
      <c r="W3228" s="5">
        <f t="shared" si="337"/>
        <v>1</v>
      </c>
      <c r="Y3228" s="2" t="s">
        <v>105</v>
      </c>
      <c r="Z3228" s="2" t="s">
        <v>1208</v>
      </c>
      <c r="AA3228" s="2" t="s">
        <v>120</v>
      </c>
      <c r="AB3228" s="2" t="s">
        <v>1203</v>
      </c>
      <c r="AE3228" s="2">
        <f t="shared" si="334"/>
        <v>0</v>
      </c>
      <c r="AI3228" s="2">
        <f t="shared" si="335"/>
        <v>0</v>
      </c>
      <c r="AJ3228" s="2">
        <f t="shared" si="338"/>
        <v>1020</v>
      </c>
      <c r="AK3228" s="5">
        <f t="shared" si="336"/>
        <v>1</v>
      </c>
    </row>
    <row r="3229" spans="1:37" x14ac:dyDescent="0.2">
      <c r="A3229" s="2">
        <v>2026</v>
      </c>
      <c r="B3229" s="2">
        <v>2</v>
      </c>
      <c r="C3229" s="2" t="s">
        <v>1804</v>
      </c>
      <c r="N3229" s="2" t="s">
        <v>2614</v>
      </c>
      <c r="O3229" s="2" t="s">
        <v>2104</v>
      </c>
      <c r="P3229" s="2" t="s">
        <v>2615</v>
      </c>
      <c r="Q3229" s="2" t="s">
        <v>2616</v>
      </c>
      <c r="R3229" s="2">
        <v>1</v>
      </c>
      <c r="S3229" s="2">
        <v>2507.5</v>
      </c>
      <c r="T3229" s="2">
        <v>576.72500000000002</v>
      </c>
      <c r="U3229" s="2">
        <v>3084.2249999999999</v>
      </c>
      <c r="V3229" s="2">
        <v>963.33989999999994</v>
      </c>
      <c r="W3229" s="5">
        <f t="shared" si="337"/>
        <v>0.61581659022931212</v>
      </c>
      <c r="Y3229" s="2" t="s">
        <v>105</v>
      </c>
      <c r="Z3229" s="2" t="s">
        <v>621</v>
      </c>
      <c r="AA3229" s="2" t="s">
        <v>152</v>
      </c>
      <c r="AB3229" s="2" t="s">
        <v>2104</v>
      </c>
      <c r="AE3229" s="2">
        <f t="shared" si="334"/>
        <v>0</v>
      </c>
      <c r="AF3229" s="2">
        <f>527.7299+435.61</f>
        <v>963.33990000000006</v>
      </c>
      <c r="AI3229" s="2">
        <f t="shared" si="335"/>
        <v>0</v>
      </c>
      <c r="AJ3229" s="2">
        <f t="shared" si="338"/>
        <v>1544.1601000000001</v>
      </c>
      <c r="AK3229" s="5">
        <f t="shared" si="336"/>
        <v>0.61581659022931212</v>
      </c>
    </row>
    <row r="3230" spans="1:37" x14ac:dyDescent="0.2">
      <c r="A3230" s="2">
        <v>2026</v>
      </c>
      <c r="B3230" s="2">
        <v>2</v>
      </c>
      <c r="C3230" s="2" t="s">
        <v>2538</v>
      </c>
      <c r="D3230" s="2" t="s">
        <v>758</v>
      </c>
      <c r="E3230" s="2" t="s">
        <v>39</v>
      </c>
      <c r="F3230" s="2">
        <v>515570354</v>
      </c>
      <c r="G3230" s="2" t="s">
        <v>110</v>
      </c>
      <c r="H3230" s="2" t="s">
        <v>2539</v>
      </c>
      <c r="I3230" s="2" t="s">
        <v>2540</v>
      </c>
      <c r="J3230" s="2">
        <v>967032538</v>
      </c>
      <c r="K3230" s="2" t="s">
        <v>400</v>
      </c>
      <c r="L3230" s="2" t="s">
        <v>110</v>
      </c>
      <c r="N3230" s="2" t="s">
        <v>2574</v>
      </c>
      <c r="O3230" s="2" t="s">
        <v>2104</v>
      </c>
      <c r="P3230" s="2" t="s">
        <v>2617</v>
      </c>
      <c r="Q3230" s="2" t="s">
        <v>2618</v>
      </c>
      <c r="R3230" s="2">
        <v>1</v>
      </c>
      <c r="S3230" s="2">
        <v>2593.0500000000002</v>
      </c>
      <c r="T3230" s="2">
        <v>596.40150000000006</v>
      </c>
      <c r="U3230" s="2">
        <v>3189.4515000000001</v>
      </c>
      <c r="V3230" s="2">
        <v>1330.9204999999999</v>
      </c>
      <c r="W3230" s="5">
        <f t="shared" si="337"/>
        <v>0.48673550452170228</v>
      </c>
      <c r="Y3230" s="2" t="s">
        <v>105</v>
      </c>
      <c r="Z3230" s="2" t="s">
        <v>621</v>
      </c>
      <c r="AA3230" s="2" t="s">
        <v>152</v>
      </c>
      <c r="AB3230" s="2" t="s">
        <v>2104</v>
      </c>
      <c r="AE3230" s="2">
        <f t="shared" si="334"/>
        <v>0</v>
      </c>
      <c r="AF3230" s="2">
        <f>729.1005+601.82</f>
        <v>1330.9205000000002</v>
      </c>
      <c r="AI3230" s="2">
        <f t="shared" si="335"/>
        <v>0</v>
      </c>
      <c r="AJ3230" s="2">
        <f t="shared" si="338"/>
        <v>1262.1295000000002</v>
      </c>
      <c r="AK3230" s="5">
        <f t="shared" si="336"/>
        <v>0.48673550452170228</v>
      </c>
    </row>
    <row r="3231" spans="1:37" x14ac:dyDescent="0.2">
      <c r="A3231" s="2">
        <v>2026</v>
      </c>
      <c r="B3231" s="2">
        <v>2</v>
      </c>
      <c r="C3231" s="2" t="s">
        <v>2619</v>
      </c>
      <c r="L3231" s="2" t="s">
        <v>81</v>
      </c>
      <c r="O3231" s="2" t="s">
        <v>1047</v>
      </c>
      <c r="P3231" s="2" t="s">
        <v>1943</v>
      </c>
      <c r="Q3231" s="2" t="s">
        <v>1944</v>
      </c>
      <c r="R3231" s="2">
        <v>4</v>
      </c>
      <c r="S3231" s="2">
        <v>609.76</v>
      </c>
      <c r="T3231" s="2">
        <v>140.2448</v>
      </c>
      <c r="U3231" s="2">
        <v>750.00479999999993</v>
      </c>
      <c r="V3231" s="2">
        <v>379.52</v>
      </c>
      <c r="W3231" s="5">
        <f t="shared" si="337"/>
        <v>0.37759118341642617</v>
      </c>
      <c r="Y3231" s="2" t="s">
        <v>3256</v>
      </c>
      <c r="Z3231" s="2" t="s">
        <v>1050</v>
      </c>
      <c r="AA3231" s="2" t="s">
        <v>1280</v>
      </c>
      <c r="AB3231" s="2" t="s">
        <v>1047</v>
      </c>
      <c r="AE3231" s="2">
        <f t="shared" si="334"/>
        <v>0</v>
      </c>
      <c r="AI3231" s="2">
        <f t="shared" si="335"/>
        <v>0</v>
      </c>
      <c r="AJ3231" s="2">
        <f t="shared" si="338"/>
        <v>230.24</v>
      </c>
      <c r="AK3231" s="5">
        <f t="shared" si="336"/>
        <v>0.37759118341642617</v>
      </c>
    </row>
    <row r="3232" spans="1:37" x14ac:dyDescent="0.2">
      <c r="A3232" s="2">
        <v>2026</v>
      </c>
      <c r="B3232" s="2">
        <v>2</v>
      </c>
      <c r="C3232" s="2" t="s">
        <v>37</v>
      </c>
      <c r="D3232" s="2" t="s">
        <v>38</v>
      </c>
      <c r="E3232" s="2" t="s">
        <v>39</v>
      </c>
      <c r="G3232" s="2" t="s">
        <v>40</v>
      </c>
      <c r="L3232" s="2" t="s">
        <v>81</v>
      </c>
      <c r="O3232" s="2" t="s">
        <v>1047</v>
      </c>
      <c r="P3232" s="2" t="s">
        <v>2620</v>
      </c>
      <c r="Q3232" s="2" t="s">
        <v>2621</v>
      </c>
      <c r="R3232" s="2">
        <v>4</v>
      </c>
      <c r="S3232" s="2">
        <v>487.81</v>
      </c>
      <c r="T3232" s="2">
        <v>112.19629999999999</v>
      </c>
      <c r="U3232" s="2">
        <v>600.00630000000001</v>
      </c>
      <c r="V3232" s="2">
        <v>304.52</v>
      </c>
      <c r="W3232" s="5">
        <f t="shared" si="337"/>
        <v>0.37574055472417545</v>
      </c>
      <c r="Y3232" s="2" t="s">
        <v>3256</v>
      </c>
      <c r="Z3232" s="2" t="s">
        <v>1050</v>
      </c>
      <c r="AA3232" s="2" t="s">
        <v>1280</v>
      </c>
      <c r="AB3232" s="2" t="s">
        <v>1047</v>
      </c>
      <c r="AE3232" s="2">
        <f t="shared" si="334"/>
        <v>0</v>
      </c>
      <c r="AI3232" s="2">
        <f t="shared" si="335"/>
        <v>0</v>
      </c>
      <c r="AJ3232" s="2">
        <f t="shared" si="338"/>
        <v>183.29000000000002</v>
      </c>
      <c r="AK3232" s="5">
        <f t="shared" si="336"/>
        <v>0.37574055472417545</v>
      </c>
    </row>
    <row r="3233" spans="1:37" x14ac:dyDescent="0.2">
      <c r="A3233" s="2">
        <v>2026</v>
      </c>
      <c r="B3233" s="2">
        <v>2</v>
      </c>
      <c r="C3233" s="2" t="s">
        <v>2532</v>
      </c>
      <c r="L3233" s="2" t="s">
        <v>81</v>
      </c>
      <c r="O3233" s="2" t="s">
        <v>1047</v>
      </c>
      <c r="P3233" s="2" t="s">
        <v>2622</v>
      </c>
      <c r="Q3233" s="2" t="s">
        <v>2623</v>
      </c>
      <c r="R3233" s="2">
        <v>4</v>
      </c>
      <c r="S3233" s="2">
        <v>1422.77</v>
      </c>
      <c r="T3233" s="2">
        <v>327.2371</v>
      </c>
      <c r="U3233" s="2">
        <v>1750.0071</v>
      </c>
      <c r="V3233" s="2">
        <v>1013.8</v>
      </c>
      <c r="W3233" s="5">
        <f t="shared" si="337"/>
        <v>0.28744631950350374</v>
      </c>
      <c r="Y3233" s="2" t="s">
        <v>3256</v>
      </c>
      <c r="Z3233" s="2" t="s">
        <v>1050</v>
      </c>
      <c r="AA3233" s="2" t="s">
        <v>2190</v>
      </c>
      <c r="AB3233" s="2" t="s">
        <v>1047</v>
      </c>
      <c r="AE3233" s="2">
        <f t="shared" si="334"/>
        <v>0</v>
      </c>
      <c r="AI3233" s="2">
        <f t="shared" si="335"/>
        <v>0</v>
      </c>
      <c r="AJ3233" s="2">
        <f t="shared" si="338"/>
        <v>408.97</v>
      </c>
      <c r="AK3233" s="5">
        <f t="shared" si="336"/>
        <v>0.28744631950350374</v>
      </c>
    </row>
    <row r="3234" spans="1:37" x14ac:dyDescent="0.2">
      <c r="A3234" s="2">
        <v>2026</v>
      </c>
      <c r="B3234" s="2">
        <v>2</v>
      </c>
      <c r="C3234" s="2" t="s">
        <v>492</v>
      </c>
      <c r="D3234" s="2" t="s">
        <v>38</v>
      </c>
      <c r="E3234" s="2" t="s">
        <v>39</v>
      </c>
      <c r="F3234" s="2">
        <v>507380312</v>
      </c>
      <c r="G3234" s="2" t="s">
        <v>40</v>
      </c>
      <c r="H3234" s="2" t="s">
        <v>493</v>
      </c>
      <c r="I3234" s="2" t="s">
        <v>494</v>
      </c>
      <c r="J3234" s="2">
        <v>912293443</v>
      </c>
      <c r="K3234" s="2" t="s">
        <v>100</v>
      </c>
      <c r="L3234" s="2" t="s">
        <v>40</v>
      </c>
      <c r="N3234" s="2" t="s">
        <v>2624</v>
      </c>
      <c r="O3234" s="2" t="s">
        <v>40</v>
      </c>
      <c r="P3234" s="2" t="s">
        <v>495</v>
      </c>
      <c r="Q3234" s="2" t="s">
        <v>496</v>
      </c>
      <c r="R3234" s="2">
        <v>1</v>
      </c>
      <c r="S3234" s="2">
        <v>664.04</v>
      </c>
      <c r="T3234" s="2">
        <v>152.72919999999999</v>
      </c>
      <c r="U3234" s="2">
        <v>816.76919999999996</v>
      </c>
      <c r="W3234" s="5">
        <f t="shared" si="337"/>
        <v>1</v>
      </c>
      <c r="Y3234" s="2" t="s">
        <v>120</v>
      </c>
      <c r="AE3234" s="2">
        <f t="shared" si="334"/>
        <v>0</v>
      </c>
      <c r="AI3234" s="2">
        <f t="shared" si="335"/>
        <v>0</v>
      </c>
      <c r="AJ3234" s="2">
        <f t="shared" si="338"/>
        <v>664.04</v>
      </c>
      <c r="AK3234" s="5">
        <f t="shared" si="336"/>
        <v>1</v>
      </c>
    </row>
    <row r="3235" spans="1:37" x14ac:dyDescent="0.2">
      <c r="A3235" s="2">
        <v>2026</v>
      </c>
      <c r="B3235" s="2">
        <v>2</v>
      </c>
      <c r="C3235" s="2" t="s">
        <v>2548</v>
      </c>
      <c r="L3235" s="2" t="s">
        <v>40</v>
      </c>
      <c r="O3235" s="2" t="s">
        <v>188</v>
      </c>
      <c r="P3235" s="2" t="s">
        <v>318</v>
      </c>
      <c r="Q3235" s="2" t="s">
        <v>319</v>
      </c>
      <c r="R3235" s="2">
        <v>1</v>
      </c>
      <c r="S3235" s="2">
        <v>696.5</v>
      </c>
      <c r="T3235" s="2">
        <v>160.19499999999999</v>
      </c>
      <c r="U3235" s="2">
        <v>856.69499999999994</v>
      </c>
      <c r="W3235" s="5">
        <f t="shared" si="337"/>
        <v>1</v>
      </c>
      <c r="Y3235" s="2" t="s">
        <v>118</v>
      </c>
      <c r="Z3235" s="2" t="s">
        <v>318</v>
      </c>
      <c r="AE3235" s="2">
        <f t="shared" si="334"/>
        <v>0</v>
      </c>
      <c r="AI3235" s="2">
        <f t="shared" si="335"/>
        <v>0</v>
      </c>
      <c r="AJ3235" s="2">
        <f t="shared" si="338"/>
        <v>696.5</v>
      </c>
      <c r="AK3235" s="5">
        <f t="shared" si="336"/>
        <v>1</v>
      </c>
    </row>
    <row r="3236" spans="1:37" x14ac:dyDescent="0.2">
      <c r="A3236" s="2">
        <v>2026</v>
      </c>
      <c r="B3236" s="2">
        <v>3</v>
      </c>
      <c r="C3236" s="2" t="s">
        <v>747</v>
      </c>
      <c r="L3236" s="2" t="s">
        <v>40</v>
      </c>
      <c r="O3236" s="2" t="s">
        <v>188</v>
      </c>
      <c r="P3236" s="2" t="s">
        <v>192</v>
      </c>
      <c r="Q3236" s="2" t="s">
        <v>191</v>
      </c>
      <c r="R3236" s="2">
        <v>1</v>
      </c>
      <c r="S3236" s="2">
        <v>55</v>
      </c>
      <c r="T3236" s="2">
        <v>12.65</v>
      </c>
      <c r="U3236" s="2">
        <v>67.650000000000006</v>
      </c>
      <c r="V3236" s="2">
        <f>S3236*50%</f>
        <v>27.5</v>
      </c>
      <c r="W3236" s="5">
        <f t="shared" si="337"/>
        <v>0.5</v>
      </c>
      <c r="Y3236" s="2" t="s">
        <v>118</v>
      </c>
      <c r="Z3236" s="2" t="s">
        <v>191</v>
      </c>
      <c r="AE3236" s="2">
        <f t="shared" si="334"/>
        <v>0</v>
      </c>
      <c r="AF3236" s="2">
        <f t="shared" ref="AF3236:AF3267" si="339">V3236</f>
        <v>27.5</v>
      </c>
      <c r="AI3236" s="2">
        <f t="shared" si="335"/>
        <v>0</v>
      </c>
      <c r="AJ3236" s="2">
        <f t="shared" si="338"/>
        <v>27.5</v>
      </c>
      <c r="AK3236" s="5">
        <f t="shared" si="336"/>
        <v>0.5</v>
      </c>
    </row>
    <row r="3237" spans="1:37" x14ac:dyDescent="0.2">
      <c r="A3237" s="2">
        <v>2026</v>
      </c>
      <c r="B3237" s="2">
        <v>2</v>
      </c>
      <c r="C3237" s="2" t="s">
        <v>1364</v>
      </c>
      <c r="D3237" s="2" t="s">
        <v>109</v>
      </c>
      <c r="E3237" s="2" t="s">
        <v>397</v>
      </c>
      <c r="F3237" s="2">
        <v>502401010</v>
      </c>
      <c r="G3237" s="2" t="s">
        <v>291</v>
      </c>
      <c r="H3237" s="2" t="s">
        <v>2522</v>
      </c>
      <c r="I3237" s="2" t="s">
        <v>2523</v>
      </c>
      <c r="K3237" s="2" t="s">
        <v>294</v>
      </c>
      <c r="L3237" s="2" t="s">
        <v>40</v>
      </c>
      <c r="O3237" s="2" t="s">
        <v>188</v>
      </c>
      <c r="P3237" s="2" t="s">
        <v>189</v>
      </c>
      <c r="Q3237" s="2" t="s">
        <v>190</v>
      </c>
      <c r="R3237" s="2">
        <v>2</v>
      </c>
      <c r="S3237" s="2">
        <v>100</v>
      </c>
      <c r="T3237" s="2">
        <v>23</v>
      </c>
      <c r="U3237" s="2">
        <v>123</v>
      </c>
      <c r="V3237" s="2">
        <f>S3237*40%</f>
        <v>40</v>
      </c>
      <c r="W3237" s="5">
        <f t="shared" si="337"/>
        <v>0.6</v>
      </c>
      <c r="Y3237" s="2" t="s">
        <v>118</v>
      </c>
      <c r="Z3237" s="2" t="s">
        <v>191</v>
      </c>
      <c r="AE3237" s="2">
        <f t="shared" si="334"/>
        <v>0</v>
      </c>
      <c r="AF3237" s="2">
        <f t="shared" si="339"/>
        <v>40</v>
      </c>
      <c r="AI3237" s="2">
        <f t="shared" si="335"/>
        <v>0</v>
      </c>
      <c r="AJ3237" s="2">
        <f t="shared" si="338"/>
        <v>60</v>
      </c>
      <c r="AK3237" s="5">
        <f t="shared" si="336"/>
        <v>0.6</v>
      </c>
    </row>
    <row r="3238" spans="1:37" x14ac:dyDescent="0.2">
      <c r="A3238" s="2">
        <v>2026</v>
      </c>
      <c r="B3238" s="2">
        <v>2</v>
      </c>
      <c r="C3238" s="2" t="s">
        <v>1364</v>
      </c>
      <c r="D3238" s="2" t="s">
        <v>109</v>
      </c>
      <c r="E3238" s="2" t="s">
        <v>397</v>
      </c>
      <c r="F3238" s="2">
        <v>502401010</v>
      </c>
      <c r="G3238" s="2" t="s">
        <v>291</v>
      </c>
      <c r="H3238" s="2" t="s">
        <v>2522</v>
      </c>
      <c r="I3238" s="2" t="s">
        <v>2523</v>
      </c>
      <c r="K3238" s="2" t="s">
        <v>294</v>
      </c>
      <c r="L3238" s="2" t="s">
        <v>40</v>
      </c>
      <c r="O3238" s="2" t="s">
        <v>188</v>
      </c>
      <c r="P3238" s="2" t="s">
        <v>192</v>
      </c>
      <c r="Q3238" s="2" t="s">
        <v>191</v>
      </c>
      <c r="R3238" s="2">
        <v>4</v>
      </c>
      <c r="S3238" s="2">
        <v>220</v>
      </c>
      <c r="T3238" s="2">
        <v>50.6</v>
      </c>
      <c r="U3238" s="2">
        <v>270.60000000000002</v>
      </c>
      <c r="V3238" s="2">
        <f>S3238*50%</f>
        <v>110</v>
      </c>
      <c r="W3238" s="5">
        <f t="shared" si="337"/>
        <v>0.5</v>
      </c>
      <c r="Y3238" s="2" t="s">
        <v>118</v>
      </c>
      <c r="Z3238" s="2" t="s">
        <v>191</v>
      </c>
      <c r="AE3238" s="2">
        <f t="shared" si="334"/>
        <v>0</v>
      </c>
      <c r="AF3238" s="2">
        <f t="shared" si="339"/>
        <v>110</v>
      </c>
      <c r="AI3238" s="2">
        <f t="shared" si="335"/>
        <v>0</v>
      </c>
      <c r="AJ3238" s="2">
        <f t="shared" si="338"/>
        <v>110</v>
      </c>
      <c r="AK3238" s="5">
        <f t="shared" si="336"/>
        <v>0.5</v>
      </c>
    </row>
    <row r="3239" spans="1:37" x14ac:dyDescent="0.2">
      <c r="A3239" s="2">
        <v>2026</v>
      </c>
      <c r="B3239" s="2">
        <v>2</v>
      </c>
      <c r="C3239" s="2" t="s">
        <v>750</v>
      </c>
      <c r="D3239" s="2" t="s">
        <v>109</v>
      </c>
      <c r="E3239" s="2" t="s">
        <v>39</v>
      </c>
      <c r="F3239" s="2">
        <v>509181163</v>
      </c>
      <c r="G3239" s="2" t="s">
        <v>40</v>
      </c>
      <c r="H3239" s="2" t="s">
        <v>751</v>
      </c>
      <c r="I3239" s="2" t="s">
        <v>752</v>
      </c>
      <c r="J3239" s="2">
        <v>962372760</v>
      </c>
      <c r="K3239" s="2" t="s">
        <v>202</v>
      </c>
      <c r="L3239" s="2" t="s">
        <v>40</v>
      </c>
      <c r="O3239" s="2" t="s">
        <v>188</v>
      </c>
      <c r="P3239" s="2" t="s">
        <v>189</v>
      </c>
      <c r="Q3239" s="2" t="s">
        <v>190</v>
      </c>
      <c r="R3239" s="2">
        <v>3</v>
      </c>
      <c r="S3239" s="2">
        <v>219</v>
      </c>
      <c r="T3239" s="2">
        <v>50.37</v>
      </c>
      <c r="U3239" s="2">
        <v>269.37</v>
      </c>
      <c r="V3239" s="2">
        <f>S3239*40%</f>
        <v>87.600000000000009</v>
      </c>
      <c r="W3239" s="5">
        <f t="shared" si="337"/>
        <v>0.59999999999999987</v>
      </c>
      <c r="Y3239" s="2" t="s">
        <v>118</v>
      </c>
      <c r="Z3239" s="2" t="s">
        <v>191</v>
      </c>
      <c r="AE3239" s="2">
        <f t="shared" si="334"/>
        <v>0</v>
      </c>
      <c r="AF3239" s="2">
        <f t="shared" si="339"/>
        <v>87.600000000000009</v>
      </c>
      <c r="AI3239" s="2">
        <f t="shared" si="335"/>
        <v>0</v>
      </c>
      <c r="AJ3239" s="2">
        <f t="shared" si="338"/>
        <v>131.39999999999998</v>
      </c>
      <c r="AK3239" s="5">
        <f t="shared" si="336"/>
        <v>0.59999999999999987</v>
      </c>
    </row>
    <row r="3240" spans="1:37" x14ac:dyDescent="0.2">
      <c r="A3240" s="2">
        <v>2026</v>
      </c>
      <c r="B3240" s="2">
        <v>2</v>
      </c>
      <c r="C3240" s="2" t="s">
        <v>750</v>
      </c>
      <c r="D3240" s="2" t="s">
        <v>109</v>
      </c>
      <c r="E3240" s="2" t="s">
        <v>39</v>
      </c>
      <c r="F3240" s="2">
        <v>509181163</v>
      </c>
      <c r="G3240" s="2" t="s">
        <v>40</v>
      </c>
      <c r="H3240" s="2" t="s">
        <v>751</v>
      </c>
      <c r="I3240" s="2" t="s">
        <v>752</v>
      </c>
      <c r="J3240" s="2">
        <v>962372760</v>
      </c>
      <c r="K3240" s="2" t="s">
        <v>202</v>
      </c>
      <c r="L3240" s="2" t="s">
        <v>40</v>
      </c>
      <c r="O3240" s="2" t="s">
        <v>188</v>
      </c>
      <c r="P3240" s="2" t="s">
        <v>192</v>
      </c>
      <c r="Q3240" s="2" t="s">
        <v>191</v>
      </c>
      <c r="R3240" s="2">
        <v>3</v>
      </c>
      <c r="S3240" s="2">
        <v>165</v>
      </c>
      <c r="T3240" s="2">
        <v>37.950000000000003</v>
      </c>
      <c r="U3240" s="2">
        <v>202.95</v>
      </c>
      <c r="V3240" s="2">
        <f>S3240*50%</f>
        <v>82.5</v>
      </c>
      <c r="W3240" s="5">
        <f t="shared" si="337"/>
        <v>0.5</v>
      </c>
      <c r="Y3240" s="2" t="s">
        <v>118</v>
      </c>
      <c r="Z3240" s="2" t="s">
        <v>191</v>
      </c>
      <c r="AE3240" s="2">
        <f t="shared" si="334"/>
        <v>0</v>
      </c>
      <c r="AF3240" s="2">
        <f t="shared" si="339"/>
        <v>82.5</v>
      </c>
      <c r="AI3240" s="2">
        <f t="shared" si="335"/>
        <v>0</v>
      </c>
      <c r="AJ3240" s="2">
        <f t="shared" si="338"/>
        <v>82.5</v>
      </c>
      <c r="AK3240" s="5">
        <f t="shared" si="336"/>
        <v>0.5</v>
      </c>
    </row>
    <row r="3241" spans="1:37" x14ac:dyDescent="0.2">
      <c r="A3241" s="2">
        <v>2026</v>
      </c>
      <c r="B3241" s="2">
        <v>1</v>
      </c>
      <c r="C3241" s="2" t="s">
        <v>2253</v>
      </c>
      <c r="L3241" s="2" t="s">
        <v>40</v>
      </c>
      <c r="O3241" s="2" t="s">
        <v>188</v>
      </c>
      <c r="P3241" s="2" t="s">
        <v>189</v>
      </c>
      <c r="Q3241" s="2" t="s">
        <v>190</v>
      </c>
      <c r="R3241" s="2">
        <v>1</v>
      </c>
      <c r="S3241" s="2">
        <v>138</v>
      </c>
      <c r="T3241" s="2">
        <v>31.74</v>
      </c>
      <c r="U3241" s="2">
        <v>169.74</v>
      </c>
      <c r="V3241" s="2">
        <f>S3241*40%</f>
        <v>55.2</v>
      </c>
      <c r="W3241" s="5">
        <f t="shared" si="337"/>
        <v>0.6</v>
      </c>
      <c r="Y3241" s="2" t="s">
        <v>118</v>
      </c>
      <c r="Z3241" s="2" t="s">
        <v>191</v>
      </c>
      <c r="AE3241" s="2">
        <f t="shared" si="334"/>
        <v>0</v>
      </c>
      <c r="AF3241" s="2">
        <f t="shared" si="339"/>
        <v>55.2</v>
      </c>
      <c r="AI3241" s="2">
        <f t="shared" si="335"/>
        <v>0</v>
      </c>
      <c r="AJ3241" s="2">
        <f t="shared" si="338"/>
        <v>82.8</v>
      </c>
      <c r="AK3241" s="5">
        <f t="shared" si="336"/>
        <v>0.6</v>
      </c>
    </row>
    <row r="3242" spans="1:37" x14ac:dyDescent="0.2">
      <c r="A3242" s="2">
        <v>2026</v>
      </c>
      <c r="B3242" s="2">
        <v>1</v>
      </c>
      <c r="C3242" s="2" t="s">
        <v>2253</v>
      </c>
      <c r="L3242" s="2" t="s">
        <v>40</v>
      </c>
      <c r="O3242" s="2" t="s">
        <v>188</v>
      </c>
      <c r="P3242" s="2" t="s">
        <v>192</v>
      </c>
      <c r="Q3242" s="2" t="s">
        <v>191</v>
      </c>
      <c r="R3242" s="2">
        <v>0.75</v>
      </c>
      <c r="S3242" s="2">
        <v>37.5</v>
      </c>
      <c r="T3242" s="2">
        <v>8.625</v>
      </c>
      <c r="U3242" s="2">
        <v>46.125</v>
      </c>
      <c r="V3242" s="2">
        <f>S3242*50%</f>
        <v>18.75</v>
      </c>
      <c r="W3242" s="5">
        <f t="shared" si="337"/>
        <v>0.5</v>
      </c>
      <c r="Y3242" s="2" t="s">
        <v>118</v>
      </c>
      <c r="Z3242" s="2" t="s">
        <v>191</v>
      </c>
      <c r="AE3242" s="2">
        <f t="shared" si="334"/>
        <v>0</v>
      </c>
      <c r="AF3242" s="2">
        <f t="shared" si="339"/>
        <v>18.75</v>
      </c>
      <c r="AI3242" s="2">
        <f t="shared" si="335"/>
        <v>0</v>
      </c>
      <c r="AJ3242" s="2">
        <f t="shared" si="338"/>
        <v>18.75</v>
      </c>
      <c r="AK3242" s="5">
        <f t="shared" si="336"/>
        <v>0.5</v>
      </c>
    </row>
    <row r="3243" spans="1:37" x14ac:dyDescent="0.2">
      <c r="A3243" s="2">
        <v>2026</v>
      </c>
      <c r="B3243" s="2">
        <v>4</v>
      </c>
      <c r="C3243" s="2" t="s">
        <v>1009</v>
      </c>
      <c r="D3243" s="2" t="s">
        <v>38</v>
      </c>
      <c r="E3243" s="2" t="s">
        <v>39</v>
      </c>
      <c r="F3243" s="2">
        <v>510743854</v>
      </c>
      <c r="G3243" s="2" t="s">
        <v>40</v>
      </c>
      <c r="H3243" s="2" t="s">
        <v>1010</v>
      </c>
      <c r="I3243" s="2" t="s">
        <v>1011</v>
      </c>
      <c r="J3243" s="2">
        <v>917233128</v>
      </c>
      <c r="K3243" s="2" t="s">
        <v>100</v>
      </c>
      <c r="L3243" s="2" t="s">
        <v>40</v>
      </c>
      <c r="N3243" s="2" t="s">
        <v>2625</v>
      </c>
      <c r="O3243" s="2" t="s">
        <v>188</v>
      </c>
      <c r="P3243" s="2" t="s">
        <v>189</v>
      </c>
      <c r="Q3243" s="2" t="s">
        <v>190</v>
      </c>
      <c r="R3243" s="2">
        <v>1</v>
      </c>
      <c r="S3243" s="2">
        <v>55</v>
      </c>
      <c r="T3243" s="2">
        <v>12.65</v>
      </c>
      <c r="U3243" s="2">
        <v>67.650000000000006</v>
      </c>
      <c r="V3243" s="2">
        <f>S3243*40%</f>
        <v>22</v>
      </c>
      <c r="W3243" s="5">
        <f t="shared" si="337"/>
        <v>0.6</v>
      </c>
      <c r="Y3243" s="2" t="s">
        <v>118</v>
      </c>
      <c r="Z3243" s="2" t="s">
        <v>191</v>
      </c>
      <c r="AE3243" s="2">
        <f t="shared" si="334"/>
        <v>0</v>
      </c>
      <c r="AF3243" s="2">
        <f t="shared" si="339"/>
        <v>22</v>
      </c>
      <c r="AI3243" s="2">
        <f t="shared" si="335"/>
        <v>0</v>
      </c>
      <c r="AJ3243" s="2">
        <f t="shared" si="338"/>
        <v>33</v>
      </c>
      <c r="AK3243" s="5">
        <f t="shared" si="336"/>
        <v>0.6</v>
      </c>
    </row>
    <row r="3244" spans="1:37" x14ac:dyDescent="0.2">
      <c r="A3244" s="2">
        <v>2026</v>
      </c>
      <c r="B3244" s="2">
        <v>4</v>
      </c>
      <c r="C3244" s="2" t="s">
        <v>1009</v>
      </c>
      <c r="D3244" s="2" t="s">
        <v>38</v>
      </c>
      <c r="E3244" s="2" t="s">
        <v>39</v>
      </c>
      <c r="F3244" s="2">
        <v>510743854</v>
      </c>
      <c r="G3244" s="2" t="s">
        <v>40</v>
      </c>
      <c r="H3244" s="2" t="s">
        <v>1010</v>
      </c>
      <c r="I3244" s="2" t="s">
        <v>1011</v>
      </c>
      <c r="J3244" s="2">
        <v>917233128</v>
      </c>
      <c r="K3244" s="2" t="s">
        <v>100</v>
      </c>
      <c r="L3244" s="2" t="s">
        <v>40</v>
      </c>
      <c r="N3244" s="2" t="s">
        <v>2625</v>
      </c>
      <c r="O3244" s="2" t="s">
        <v>188</v>
      </c>
      <c r="P3244" s="2" t="s">
        <v>192</v>
      </c>
      <c r="Q3244" s="2" t="s">
        <v>191</v>
      </c>
      <c r="R3244" s="2">
        <v>2</v>
      </c>
      <c r="S3244" s="2">
        <v>110</v>
      </c>
      <c r="T3244" s="2">
        <v>25.3</v>
      </c>
      <c r="U3244" s="2">
        <v>135.30000000000001</v>
      </c>
      <c r="V3244" s="2">
        <f>S3244*50%</f>
        <v>55</v>
      </c>
      <c r="W3244" s="5">
        <f t="shared" si="337"/>
        <v>0.5</v>
      </c>
      <c r="Y3244" s="2" t="s">
        <v>118</v>
      </c>
      <c r="Z3244" s="2" t="s">
        <v>191</v>
      </c>
      <c r="AE3244" s="2">
        <f t="shared" si="334"/>
        <v>0</v>
      </c>
      <c r="AF3244" s="2">
        <f t="shared" si="339"/>
        <v>55</v>
      </c>
      <c r="AI3244" s="2">
        <f t="shared" si="335"/>
        <v>0</v>
      </c>
      <c r="AJ3244" s="2">
        <f t="shared" si="338"/>
        <v>55</v>
      </c>
      <c r="AK3244" s="5">
        <f t="shared" si="336"/>
        <v>0.5</v>
      </c>
    </row>
    <row r="3245" spans="1:37" x14ac:dyDescent="0.2">
      <c r="A3245" s="2">
        <v>2026</v>
      </c>
      <c r="B3245" s="2">
        <v>1</v>
      </c>
      <c r="C3245" s="2" t="s">
        <v>2355</v>
      </c>
      <c r="L3245" s="2" t="s">
        <v>40</v>
      </c>
      <c r="O3245" s="2" t="s">
        <v>188</v>
      </c>
      <c r="P3245" s="2" t="s">
        <v>189</v>
      </c>
      <c r="Q3245" s="2" t="s">
        <v>190</v>
      </c>
      <c r="R3245" s="2">
        <v>1</v>
      </c>
      <c r="S3245" s="2">
        <v>293</v>
      </c>
      <c r="T3245" s="2">
        <v>67.39</v>
      </c>
      <c r="U3245" s="2">
        <v>360.39</v>
      </c>
      <c r="V3245" s="2">
        <f>S3245*40%</f>
        <v>117.2</v>
      </c>
      <c r="W3245" s="5">
        <f t="shared" si="337"/>
        <v>0.60000000000000009</v>
      </c>
      <c r="Y3245" s="2" t="s">
        <v>118</v>
      </c>
      <c r="Z3245" s="2" t="s">
        <v>191</v>
      </c>
      <c r="AE3245" s="2">
        <f t="shared" si="334"/>
        <v>0</v>
      </c>
      <c r="AF3245" s="2">
        <f t="shared" si="339"/>
        <v>117.2</v>
      </c>
      <c r="AI3245" s="2">
        <f t="shared" si="335"/>
        <v>0</v>
      </c>
      <c r="AJ3245" s="2">
        <f t="shared" si="338"/>
        <v>175.8</v>
      </c>
      <c r="AK3245" s="5">
        <f t="shared" si="336"/>
        <v>0.60000000000000009</v>
      </c>
    </row>
    <row r="3246" spans="1:37" x14ac:dyDescent="0.2">
      <c r="A3246" s="2">
        <v>2026</v>
      </c>
      <c r="B3246" s="2">
        <v>1</v>
      </c>
      <c r="C3246" s="2" t="s">
        <v>2355</v>
      </c>
      <c r="L3246" s="2" t="s">
        <v>40</v>
      </c>
      <c r="O3246" s="2" t="s">
        <v>188</v>
      </c>
      <c r="P3246" s="2" t="s">
        <v>192</v>
      </c>
      <c r="Q3246" s="2" t="s">
        <v>191</v>
      </c>
      <c r="R3246" s="2">
        <v>1.75</v>
      </c>
      <c r="S3246" s="2">
        <v>87.5</v>
      </c>
      <c r="T3246" s="2">
        <v>20.125</v>
      </c>
      <c r="U3246" s="2">
        <v>107.625</v>
      </c>
      <c r="V3246" s="2">
        <f>S3246*50%</f>
        <v>43.75</v>
      </c>
      <c r="W3246" s="5">
        <f t="shared" si="337"/>
        <v>0.5</v>
      </c>
      <c r="Y3246" s="2" t="s">
        <v>118</v>
      </c>
      <c r="Z3246" s="2" t="s">
        <v>191</v>
      </c>
      <c r="AE3246" s="2">
        <f t="shared" si="334"/>
        <v>0</v>
      </c>
      <c r="AF3246" s="2">
        <f t="shared" si="339"/>
        <v>43.75</v>
      </c>
      <c r="AI3246" s="2">
        <f t="shared" si="335"/>
        <v>0</v>
      </c>
      <c r="AJ3246" s="2">
        <f t="shared" si="338"/>
        <v>43.75</v>
      </c>
      <c r="AK3246" s="5">
        <f t="shared" si="336"/>
        <v>0.5</v>
      </c>
    </row>
    <row r="3247" spans="1:37" x14ac:dyDescent="0.2">
      <c r="A3247" s="2">
        <v>2026</v>
      </c>
      <c r="B3247" s="2">
        <v>1</v>
      </c>
      <c r="C3247" s="2" t="s">
        <v>781</v>
      </c>
      <c r="D3247" s="2" t="s">
        <v>38</v>
      </c>
      <c r="E3247" s="2" t="s">
        <v>39</v>
      </c>
      <c r="F3247" s="2">
        <v>507324560</v>
      </c>
      <c r="G3247" s="2" t="s">
        <v>40</v>
      </c>
      <c r="H3247" s="2" t="s">
        <v>782</v>
      </c>
      <c r="I3247" s="2" t="s">
        <v>783</v>
      </c>
      <c r="K3247" s="2" t="s">
        <v>340</v>
      </c>
      <c r="L3247" s="2" t="s">
        <v>40</v>
      </c>
      <c r="N3247" s="2" t="s">
        <v>2326</v>
      </c>
      <c r="O3247" s="2" t="s">
        <v>188</v>
      </c>
      <c r="P3247" s="2" t="s">
        <v>189</v>
      </c>
      <c r="Q3247" s="2" t="s">
        <v>190</v>
      </c>
      <c r="R3247" s="2">
        <v>1</v>
      </c>
      <c r="S3247" s="2">
        <v>50</v>
      </c>
      <c r="T3247" s="2">
        <v>11.5</v>
      </c>
      <c r="U3247" s="2">
        <v>61.5</v>
      </c>
      <c r="V3247" s="2">
        <f>S3247*40%</f>
        <v>20</v>
      </c>
      <c r="W3247" s="5">
        <f t="shared" si="337"/>
        <v>0.6</v>
      </c>
      <c r="Y3247" s="2" t="s">
        <v>118</v>
      </c>
      <c r="Z3247" s="2" t="s">
        <v>191</v>
      </c>
      <c r="AE3247" s="2">
        <f t="shared" si="334"/>
        <v>0</v>
      </c>
      <c r="AF3247" s="2">
        <f t="shared" si="339"/>
        <v>20</v>
      </c>
      <c r="AI3247" s="2">
        <f t="shared" si="335"/>
        <v>0</v>
      </c>
      <c r="AJ3247" s="2">
        <f t="shared" si="338"/>
        <v>30</v>
      </c>
      <c r="AK3247" s="5">
        <f t="shared" ref="AK3247:AK3261" si="340">(S3247-V3247)/S3247</f>
        <v>0.6</v>
      </c>
    </row>
    <row r="3248" spans="1:37" x14ac:dyDescent="0.2">
      <c r="A3248" s="2">
        <v>2026</v>
      </c>
      <c r="B3248" s="2">
        <v>1</v>
      </c>
      <c r="C3248" s="2" t="s">
        <v>781</v>
      </c>
      <c r="D3248" s="2" t="s">
        <v>38</v>
      </c>
      <c r="E3248" s="2" t="s">
        <v>39</v>
      </c>
      <c r="F3248" s="2">
        <v>507324560</v>
      </c>
      <c r="G3248" s="2" t="s">
        <v>40</v>
      </c>
      <c r="H3248" s="2" t="s">
        <v>782</v>
      </c>
      <c r="I3248" s="2" t="s">
        <v>783</v>
      </c>
      <c r="K3248" s="2" t="s">
        <v>340</v>
      </c>
      <c r="L3248" s="2" t="s">
        <v>40</v>
      </c>
      <c r="N3248" s="2" t="s">
        <v>2326</v>
      </c>
      <c r="O3248" s="2" t="s">
        <v>188</v>
      </c>
      <c r="P3248" s="2" t="s">
        <v>192</v>
      </c>
      <c r="Q3248" s="2" t="s">
        <v>191</v>
      </c>
      <c r="R3248" s="2">
        <v>1.25</v>
      </c>
      <c r="S3248" s="2">
        <v>62.5</v>
      </c>
      <c r="T3248" s="2">
        <v>14.375</v>
      </c>
      <c r="U3248" s="2">
        <v>76.875</v>
      </c>
      <c r="V3248" s="2">
        <f>S3248*50%</f>
        <v>31.25</v>
      </c>
      <c r="W3248" s="5">
        <f t="shared" si="337"/>
        <v>0.5</v>
      </c>
      <c r="Y3248" s="2" t="s">
        <v>118</v>
      </c>
      <c r="Z3248" s="2" t="s">
        <v>191</v>
      </c>
      <c r="AE3248" s="2">
        <f t="shared" si="334"/>
        <v>0</v>
      </c>
      <c r="AF3248" s="2">
        <f t="shared" si="339"/>
        <v>31.25</v>
      </c>
      <c r="AI3248" s="2">
        <f t="shared" si="335"/>
        <v>0</v>
      </c>
      <c r="AJ3248" s="2">
        <f t="shared" si="338"/>
        <v>31.25</v>
      </c>
      <c r="AK3248" s="5">
        <f t="shared" si="340"/>
        <v>0.5</v>
      </c>
    </row>
    <row r="3249" spans="1:37" x14ac:dyDescent="0.2">
      <c r="A3249" s="2">
        <v>2026</v>
      </c>
      <c r="B3249" s="2">
        <v>2</v>
      </c>
      <c r="C3249" s="2" t="s">
        <v>781</v>
      </c>
      <c r="D3249" s="2" t="s">
        <v>38</v>
      </c>
      <c r="E3249" s="2" t="s">
        <v>39</v>
      </c>
      <c r="F3249" s="2">
        <v>507324560</v>
      </c>
      <c r="G3249" s="2" t="s">
        <v>40</v>
      </c>
      <c r="H3249" s="2" t="s">
        <v>782</v>
      </c>
      <c r="I3249" s="2" t="s">
        <v>783</v>
      </c>
      <c r="K3249" s="2" t="s">
        <v>340</v>
      </c>
      <c r="L3249" s="2" t="s">
        <v>40</v>
      </c>
      <c r="N3249" s="2" t="s">
        <v>2496</v>
      </c>
      <c r="O3249" s="2" t="s">
        <v>188</v>
      </c>
      <c r="P3249" s="2" t="s">
        <v>189</v>
      </c>
      <c r="Q3249" s="2" t="s">
        <v>190</v>
      </c>
      <c r="R3249" s="2">
        <v>1</v>
      </c>
      <c r="S3249" s="2">
        <v>55</v>
      </c>
      <c r="T3249" s="2">
        <v>12.65</v>
      </c>
      <c r="U3249" s="2">
        <v>67.650000000000006</v>
      </c>
      <c r="V3249" s="2">
        <f>S3249*40%</f>
        <v>22</v>
      </c>
      <c r="W3249" s="5">
        <f t="shared" si="337"/>
        <v>0.6</v>
      </c>
      <c r="Y3249" s="2" t="s">
        <v>118</v>
      </c>
      <c r="Z3249" s="2" t="s">
        <v>191</v>
      </c>
      <c r="AE3249" s="2">
        <f t="shared" si="334"/>
        <v>0</v>
      </c>
      <c r="AF3249" s="2">
        <f t="shared" si="339"/>
        <v>22</v>
      </c>
      <c r="AI3249" s="2">
        <f t="shared" si="335"/>
        <v>0</v>
      </c>
      <c r="AJ3249" s="2">
        <f t="shared" si="338"/>
        <v>33</v>
      </c>
      <c r="AK3249" s="5">
        <f t="shared" si="340"/>
        <v>0.6</v>
      </c>
    </row>
    <row r="3250" spans="1:37" x14ac:dyDescent="0.2">
      <c r="A3250" s="2">
        <v>2026</v>
      </c>
      <c r="B3250" s="2">
        <v>2</v>
      </c>
      <c r="C3250" s="2" t="s">
        <v>781</v>
      </c>
      <c r="D3250" s="2" t="s">
        <v>38</v>
      </c>
      <c r="E3250" s="2" t="s">
        <v>39</v>
      </c>
      <c r="F3250" s="2">
        <v>507324560</v>
      </c>
      <c r="G3250" s="2" t="s">
        <v>40</v>
      </c>
      <c r="H3250" s="2" t="s">
        <v>782</v>
      </c>
      <c r="I3250" s="2" t="s">
        <v>783</v>
      </c>
      <c r="K3250" s="2" t="s">
        <v>340</v>
      </c>
      <c r="L3250" s="2" t="s">
        <v>40</v>
      </c>
      <c r="N3250" s="2" t="s">
        <v>2496</v>
      </c>
      <c r="O3250" s="2" t="s">
        <v>188</v>
      </c>
      <c r="P3250" s="2" t="s">
        <v>192</v>
      </c>
      <c r="Q3250" s="2" t="s">
        <v>191</v>
      </c>
      <c r="R3250" s="2">
        <v>1</v>
      </c>
      <c r="S3250" s="2">
        <v>55</v>
      </c>
      <c r="T3250" s="2">
        <v>12.65</v>
      </c>
      <c r="U3250" s="2">
        <v>67.650000000000006</v>
      </c>
      <c r="V3250" s="2">
        <f>S3250*50%</f>
        <v>27.5</v>
      </c>
      <c r="W3250" s="5">
        <f t="shared" si="337"/>
        <v>0.5</v>
      </c>
      <c r="Y3250" s="2" t="s">
        <v>118</v>
      </c>
      <c r="Z3250" s="2" t="s">
        <v>191</v>
      </c>
      <c r="AE3250" s="2">
        <f t="shared" si="334"/>
        <v>0</v>
      </c>
      <c r="AF3250" s="2">
        <f t="shared" si="339"/>
        <v>27.5</v>
      </c>
      <c r="AI3250" s="2">
        <f t="shared" si="335"/>
        <v>0</v>
      </c>
      <c r="AJ3250" s="2">
        <f t="shared" si="338"/>
        <v>27.5</v>
      </c>
      <c r="AK3250" s="5">
        <f t="shared" si="340"/>
        <v>0.5</v>
      </c>
    </row>
    <row r="3251" spans="1:37" x14ac:dyDescent="0.2">
      <c r="A3251" s="2">
        <v>2026</v>
      </c>
      <c r="B3251" s="2">
        <v>1</v>
      </c>
      <c r="C3251" s="2" t="s">
        <v>1017</v>
      </c>
      <c r="L3251" s="2" t="s">
        <v>40</v>
      </c>
      <c r="O3251" s="2" t="s">
        <v>188</v>
      </c>
      <c r="P3251" s="2" t="s">
        <v>189</v>
      </c>
      <c r="Q3251" s="2" t="s">
        <v>190</v>
      </c>
      <c r="R3251" s="2">
        <v>1</v>
      </c>
      <c r="S3251" s="2">
        <v>88</v>
      </c>
      <c r="T3251" s="2">
        <v>20.239999999999998</v>
      </c>
      <c r="U3251" s="2">
        <v>108.24</v>
      </c>
      <c r="V3251" s="2">
        <f>S3251*40%</f>
        <v>35.200000000000003</v>
      </c>
      <c r="W3251" s="5">
        <f t="shared" si="337"/>
        <v>0.6</v>
      </c>
      <c r="Y3251" s="2" t="s">
        <v>118</v>
      </c>
      <c r="Z3251" s="2" t="s">
        <v>191</v>
      </c>
      <c r="AE3251" s="2">
        <f t="shared" si="334"/>
        <v>0</v>
      </c>
      <c r="AF3251" s="2">
        <f t="shared" si="339"/>
        <v>35.200000000000003</v>
      </c>
      <c r="AI3251" s="2">
        <f t="shared" si="335"/>
        <v>0</v>
      </c>
      <c r="AJ3251" s="2">
        <f t="shared" si="338"/>
        <v>52.8</v>
      </c>
      <c r="AK3251" s="5">
        <f t="shared" si="340"/>
        <v>0.6</v>
      </c>
    </row>
    <row r="3252" spans="1:37" x14ac:dyDescent="0.2">
      <c r="A3252" s="2">
        <v>2026</v>
      </c>
      <c r="B3252" s="2">
        <v>1</v>
      </c>
      <c r="C3252" s="2" t="s">
        <v>1017</v>
      </c>
      <c r="L3252" s="2" t="s">
        <v>40</v>
      </c>
      <c r="O3252" s="2" t="s">
        <v>188</v>
      </c>
      <c r="P3252" s="2" t="s">
        <v>192</v>
      </c>
      <c r="Q3252" s="2" t="s">
        <v>191</v>
      </c>
      <c r="R3252" s="2">
        <v>1</v>
      </c>
      <c r="S3252" s="2">
        <v>50</v>
      </c>
      <c r="T3252" s="2">
        <v>11.5</v>
      </c>
      <c r="U3252" s="2">
        <v>61.5</v>
      </c>
      <c r="V3252" s="2">
        <f>S3252*50%</f>
        <v>25</v>
      </c>
      <c r="W3252" s="5">
        <f t="shared" si="337"/>
        <v>0.5</v>
      </c>
      <c r="Y3252" s="2" t="s">
        <v>118</v>
      </c>
      <c r="Z3252" s="2" t="s">
        <v>191</v>
      </c>
      <c r="AE3252" s="2">
        <f t="shared" si="334"/>
        <v>0</v>
      </c>
      <c r="AF3252" s="2">
        <f t="shared" si="339"/>
        <v>25</v>
      </c>
      <c r="AI3252" s="2">
        <f t="shared" si="335"/>
        <v>0</v>
      </c>
      <c r="AJ3252" s="2">
        <f t="shared" si="338"/>
        <v>25</v>
      </c>
      <c r="AK3252" s="5">
        <f t="shared" si="340"/>
        <v>0.5</v>
      </c>
    </row>
    <row r="3253" spans="1:37" x14ac:dyDescent="0.2">
      <c r="A3253" s="2">
        <v>2026</v>
      </c>
      <c r="B3253" s="2">
        <v>4</v>
      </c>
      <c r="C3253" s="2" t="s">
        <v>1018</v>
      </c>
      <c r="D3253" s="2" t="s">
        <v>109</v>
      </c>
      <c r="E3253" s="2" t="s">
        <v>39</v>
      </c>
      <c r="F3253" s="2">
        <v>507063481</v>
      </c>
      <c r="G3253" s="2" t="s">
        <v>291</v>
      </c>
      <c r="H3253" s="2" t="s">
        <v>1019</v>
      </c>
      <c r="I3253" s="2" t="s">
        <v>1020</v>
      </c>
      <c r="K3253" s="2" t="s">
        <v>294</v>
      </c>
      <c r="L3253" s="2" t="s">
        <v>40</v>
      </c>
      <c r="O3253" s="2" t="s">
        <v>188</v>
      </c>
      <c r="P3253" s="2" t="s">
        <v>189</v>
      </c>
      <c r="Q3253" s="2" t="s">
        <v>190</v>
      </c>
      <c r="R3253" s="2">
        <v>1</v>
      </c>
      <c r="S3253" s="2">
        <v>60</v>
      </c>
      <c r="T3253" s="2">
        <v>13.8</v>
      </c>
      <c r="U3253" s="2">
        <v>73.8</v>
      </c>
      <c r="V3253" s="2">
        <f>S3253*40%</f>
        <v>24</v>
      </c>
      <c r="W3253" s="5">
        <f t="shared" si="337"/>
        <v>0.6</v>
      </c>
      <c r="Y3253" s="2" t="s">
        <v>118</v>
      </c>
      <c r="Z3253" s="2" t="s">
        <v>191</v>
      </c>
      <c r="AE3253" s="2">
        <f t="shared" si="334"/>
        <v>0</v>
      </c>
      <c r="AF3253" s="2">
        <f t="shared" si="339"/>
        <v>24</v>
      </c>
      <c r="AI3253" s="2">
        <f t="shared" si="335"/>
        <v>0</v>
      </c>
      <c r="AJ3253" s="2">
        <f t="shared" si="338"/>
        <v>36</v>
      </c>
      <c r="AK3253" s="5">
        <f t="shared" si="340"/>
        <v>0.6</v>
      </c>
    </row>
    <row r="3254" spans="1:37" x14ac:dyDescent="0.2">
      <c r="A3254" s="2">
        <v>2026</v>
      </c>
      <c r="B3254" s="2">
        <v>4</v>
      </c>
      <c r="C3254" s="2" t="s">
        <v>1018</v>
      </c>
      <c r="D3254" s="2" t="s">
        <v>109</v>
      </c>
      <c r="E3254" s="2" t="s">
        <v>39</v>
      </c>
      <c r="F3254" s="2">
        <v>507063481</v>
      </c>
      <c r="G3254" s="2" t="s">
        <v>291</v>
      </c>
      <c r="H3254" s="2" t="s">
        <v>1019</v>
      </c>
      <c r="I3254" s="2" t="s">
        <v>1020</v>
      </c>
      <c r="K3254" s="2" t="s">
        <v>294</v>
      </c>
      <c r="L3254" s="2" t="s">
        <v>40</v>
      </c>
      <c r="O3254" s="2" t="s">
        <v>188</v>
      </c>
      <c r="P3254" s="2" t="s">
        <v>192</v>
      </c>
      <c r="Q3254" s="2" t="s">
        <v>191</v>
      </c>
      <c r="R3254" s="2">
        <v>1</v>
      </c>
      <c r="S3254" s="2">
        <v>55</v>
      </c>
      <c r="T3254" s="2">
        <v>12.65</v>
      </c>
      <c r="U3254" s="2">
        <v>67.650000000000006</v>
      </c>
      <c r="V3254" s="2">
        <f>S3254*50%</f>
        <v>27.5</v>
      </c>
      <c r="W3254" s="5">
        <f t="shared" si="337"/>
        <v>0.5</v>
      </c>
      <c r="Y3254" s="2" t="s">
        <v>118</v>
      </c>
      <c r="Z3254" s="2" t="s">
        <v>191</v>
      </c>
      <c r="AE3254" s="2">
        <f t="shared" si="334"/>
        <v>0</v>
      </c>
      <c r="AF3254" s="2">
        <f t="shared" si="339"/>
        <v>27.5</v>
      </c>
      <c r="AI3254" s="2">
        <f t="shared" si="335"/>
        <v>0</v>
      </c>
      <c r="AJ3254" s="2">
        <f t="shared" si="338"/>
        <v>27.5</v>
      </c>
      <c r="AK3254" s="5">
        <f t="shared" si="340"/>
        <v>0.5</v>
      </c>
    </row>
    <row r="3255" spans="1:37" x14ac:dyDescent="0.2">
      <c r="A3255" s="2">
        <v>2026</v>
      </c>
      <c r="B3255" s="2">
        <v>4</v>
      </c>
      <c r="C3255" s="2" t="s">
        <v>1250</v>
      </c>
      <c r="L3255" s="2" t="s">
        <v>40</v>
      </c>
      <c r="O3255" s="2" t="s">
        <v>188</v>
      </c>
      <c r="P3255" s="2" t="s">
        <v>189</v>
      </c>
      <c r="Q3255" s="2" t="s">
        <v>190</v>
      </c>
      <c r="R3255" s="2">
        <v>3</v>
      </c>
      <c r="S3255" s="2">
        <v>110</v>
      </c>
      <c r="T3255" s="2">
        <v>25.3</v>
      </c>
      <c r="U3255" s="2">
        <v>135.30000000000001</v>
      </c>
      <c r="V3255" s="2">
        <f>S3255*40%</f>
        <v>44</v>
      </c>
      <c r="W3255" s="5">
        <f t="shared" si="337"/>
        <v>0.6</v>
      </c>
      <c r="Y3255" s="2" t="s">
        <v>118</v>
      </c>
      <c r="Z3255" s="2" t="s">
        <v>191</v>
      </c>
      <c r="AE3255" s="2">
        <f t="shared" si="334"/>
        <v>0</v>
      </c>
      <c r="AF3255" s="2">
        <f t="shared" si="339"/>
        <v>44</v>
      </c>
      <c r="AI3255" s="2">
        <f t="shared" si="335"/>
        <v>0</v>
      </c>
      <c r="AJ3255" s="2">
        <f t="shared" ref="AJ3255:AJ3261" si="341">S3255-V3255</f>
        <v>66</v>
      </c>
      <c r="AK3255" s="5">
        <f t="shared" si="340"/>
        <v>0.6</v>
      </c>
    </row>
    <row r="3256" spans="1:37" x14ac:dyDescent="0.2">
      <c r="A3256" s="2">
        <v>2026</v>
      </c>
      <c r="B3256" s="2">
        <v>4</v>
      </c>
      <c r="C3256" s="2" t="s">
        <v>1250</v>
      </c>
      <c r="L3256" s="2" t="s">
        <v>40</v>
      </c>
      <c r="O3256" s="2" t="s">
        <v>188</v>
      </c>
      <c r="P3256" s="2" t="s">
        <v>192</v>
      </c>
      <c r="Q3256" s="2" t="s">
        <v>191</v>
      </c>
      <c r="R3256" s="2">
        <v>3.75</v>
      </c>
      <c r="S3256" s="2">
        <v>206.25</v>
      </c>
      <c r="T3256" s="2">
        <v>47.4375</v>
      </c>
      <c r="U3256" s="2">
        <v>253.6875</v>
      </c>
      <c r="V3256" s="2">
        <f>S3256*50%</f>
        <v>103.125</v>
      </c>
      <c r="W3256" s="5">
        <f t="shared" si="337"/>
        <v>0.5</v>
      </c>
      <c r="Y3256" s="2" t="s">
        <v>118</v>
      </c>
      <c r="Z3256" s="2" t="s">
        <v>191</v>
      </c>
      <c r="AE3256" s="2">
        <f t="shared" si="334"/>
        <v>0</v>
      </c>
      <c r="AF3256" s="2">
        <f t="shared" si="339"/>
        <v>103.125</v>
      </c>
      <c r="AI3256" s="2">
        <f t="shared" si="335"/>
        <v>0</v>
      </c>
      <c r="AJ3256" s="2">
        <f t="shared" si="341"/>
        <v>103.125</v>
      </c>
      <c r="AK3256" s="5">
        <f t="shared" si="340"/>
        <v>0.5</v>
      </c>
    </row>
    <row r="3257" spans="1:37" x14ac:dyDescent="0.2">
      <c r="A3257" s="2">
        <v>2026</v>
      </c>
      <c r="B3257" s="2">
        <v>2</v>
      </c>
      <c r="C3257" s="2" t="s">
        <v>2531</v>
      </c>
      <c r="L3257" s="2" t="s">
        <v>40</v>
      </c>
      <c r="O3257" s="2" t="s">
        <v>188</v>
      </c>
      <c r="P3257" s="2" t="s">
        <v>189</v>
      </c>
      <c r="Q3257" s="2" t="s">
        <v>190</v>
      </c>
      <c r="R3257" s="2">
        <v>1</v>
      </c>
      <c r="S3257" s="2">
        <v>210</v>
      </c>
      <c r="T3257" s="2">
        <v>48.3</v>
      </c>
      <c r="U3257" s="2">
        <v>258.3</v>
      </c>
      <c r="V3257" s="2">
        <f>S3257*40%</f>
        <v>84</v>
      </c>
      <c r="W3257" s="5">
        <f t="shared" si="337"/>
        <v>0.6</v>
      </c>
      <c r="Y3257" s="2" t="s">
        <v>118</v>
      </c>
      <c r="Z3257" s="2" t="s">
        <v>191</v>
      </c>
      <c r="AE3257" s="2">
        <f t="shared" si="334"/>
        <v>0</v>
      </c>
      <c r="AF3257" s="2">
        <f t="shared" si="339"/>
        <v>84</v>
      </c>
      <c r="AI3257" s="2">
        <f t="shared" si="335"/>
        <v>0</v>
      </c>
      <c r="AJ3257" s="2">
        <f t="shared" si="341"/>
        <v>126</v>
      </c>
      <c r="AK3257" s="5">
        <f t="shared" si="340"/>
        <v>0.6</v>
      </c>
    </row>
    <row r="3258" spans="1:37" x14ac:dyDescent="0.2">
      <c r="A3258" s="2">
        <v>2026</v>
      </c>
      <c r="B3258" s="2">
        <v>2</v>
      </c>
      <c r="C3258" s="2" t="s">
        <v>2531</v>
      </c>
      <c r="L3258" s="2" t="s">
        <v>40</v>
      </c>
      <c r="O3258" s="2" t="s">
        <v>188</v>
      </c>
      <c r="P3258" s="2" t="s">
        <v>192</v>
      </c>
      <c r="Q3258" s="2" t="s">
        <v>191</v>
      </c>
      <c r="R3258" s="2">
        <v>1.5</v>
      </c>
      <c r="S3258" s="2">
        <v>75</v>
      </c>
      <c r="T3258" s="2">
        <v>17.25</v>
      </c>
      <c r="U3258" s="2">
        <v>92.25</v>
      </c>
      <c r="V3258" s="2">
        <f>S3258*50%</f>
        <v>37.5</v>
      </c>
      <c r="W3258" s="5">
        <f t="shared" si="337"/>
        <v>0.5</v>
      </c>
      <c r="Y3258" s="2" t="s">
        <v>118</v>
      </c>
      <c r="Z3258" s="2" t="s">
        <v>191</v>
      </c>
      <c r="AE3258" s="2">
        <f t="shared" si="334"/>
        <v>0</v>
      </c>
      <c r="AF3258" s="2">
        <f t="shared" si="339"/>
        <v>37.5</v>
      </c>
      <c r="AI3258" s="2">
        <f t="shared" si="335"/>
        <v>0</v>
      </c>
      <c r="AJ3258" s="2">
        <f t="shared" si="341"/>
        <v>37.5</v>
      </c>
      <c r="AK3258" s="5">
        <f t="shared" si="340"/>
        <v>0.5</v>
      </c>
    </row>
    <row r="3259" spans="1:37" x14ac:dyDescent="0.2">
      <c r="A3259" s="2">
        <v>2026</v>
      </c>
      <c r="B3259" s="2">
        <v>4</v>
      </c>
      <c r="C3259" s="2" t="s">
        <v>2626</v>
      </c>
      <c r="D3259" s="2" t="s">
        <v>109</v>
      </c>
      <c r="E3259" s="2" t="s">
        <v>39</v>
      </c>
      <c r="F3259" s="2">
        <v>5056222351</v>
      </c>
      <c r="G3259" s="2" t="s">
        <v>110</v>
      </c>
      <c r="H3259" s="2" t="s">
        <v>113</v>
      </c>
      <c r="I3259" s="2" t="s">
        <v>2627</v>
      </c>
      <c r="J3259" s="2">
        <v>935402550</v>
      </c>
      <c r="K3259" s="2" t="s">
        <v>113</v>
      </c>
      <c r="L3259" s="2" t="s">
        <v>40</v>
      </c>
      <c r="N3259" s="2" t="s">
        <v>2628</v>
      </c>
      <c r="O3259" s="2" t="s">
        <v>188</v>
      </c>
      <c r="P3259" s="2" t="s">
        <v>189</v>
      </c>
      <c r="Q3259" s="2" t="s">
        <v>190</v>
      </c>
      <c r="R3259" s="2">
        <v>1</v>
      </c>
      <c r="S3259" s="2">
        <v>164</v>
      </c>
      <c r="T3259" s="2">
        <v>37.72</v>
      </c>
      <c r="U3259" s="2">
        <v>201.72</v>
      </c>
      <c r="V3259" s="2">
        <f>S3259*40%</f>
        <v>65.600000000000009</v>
      </c>
      <c r="W3259" s="5">
        <f t="shared" si="337"/>
        <v>0.6</v>
      </c>
      <c r="Y3259" s="2" t="s">
        <v>118</v>
      </c>
      <c r="Z3259" s="2" t="s">
        <v>191</v>
      </c>
      <c r="AE3259" s="2">
        <f t="shared" si="334"/>
        <v>0</v>
      </c>
      <c r="AF3259" s="2">
        <f t="shared" si="339"/>
        <v>65.600000000000009</v>
      </c>
      <c r="AI3259" s="2">
        <f t="shared" si="335"/>
        <v>0</v>
      </c>
      <c r="AJ3259" s="2">
        <f t="shared" si="341"/>
        <v>98.399999999999991</v>
      </c>
      <c r="AK3259" s="5">
        <f t="shared" si="340"/>
        <v>0.6</v>
      </c>
    </row>
    <row r="3260" spans="1:37" x14ac:dyDescent="0.2">
      <c r="A3260" s="2">
        <v>2026</v>
      </c>
      <c r="B3260" s="2">
        <v>4</v>
      </c>
      <c r="C3260" s="2" t="s">
        <v>2626</v>
      </c>
      <c r="D3260" s="2" t="s">
        <v>109</v>
      </c>
      <c r="E3260" s="2" t="s">
        <v>39</v>
      </c>
      <c r="F3260" s="2">
        <v>5056222351</v>
      </c>
      <c r="G3260" s="2" t="s">
        <v>110</v>
      </c>
      <c r="H3260" s="2" t="s">
        <v>113</v>
      </c>
      <c r="I3260" s="2" t="s">
        <v>2627</v>
      </c>
      <c r="J3260" s="2">
        <v>935402550</v>
      </c>
      <c r="K3260" s="2" t="s">
        <v>113</v>
      </c>
      <c r="L3260" s="2" t="s">
        <v>40</v>
      </c>
      <c r="N3260" s="2" t="s">
        <v>2628</v>
      </c>
      <c r="O3260" s="2" t="s">
        <v>188</v>
      </c>
      <c r="P3260" s="2" t="s">
        <v>192</v>
      </c>
      <c r="Q3260" s="2" t="s">
        <v>191</v>
      </c>
      <c r="R3260" s="2">
        <v>2.5</v>
      </c>
      <c r="S3260" s="2">
        <v>137.5</v>
      </c>
      <c r="T3260" s="2">
        <v>31.625</v>
      </c>
      <c r="U3260" s="2">
        <v>169.125</v>
      </c>
      <c r="V3260" s="2">
        <f>S3260*50%</f>
        <v>68.75</v>
      </c>
      <c r="W3260" s="5">
        <f t="shared" si="337"/>
        <v>0.5</v>
      </c>
      <c r="Y3260" s="2" t="s">
        <v>118</v>
      </c>
      <c r="Z3260" s="2" t="s">
        <v>191</v>
      </c>
      <c r="AE3260" s="2">
        <f t="shared" si="334"/>
        <v>0</v>
      </c>
      <c r="AF3260" s="2">
        <f t="shared" si="339"/>
        <v>68.75</v>
      </c>
      <c r="AI3260" s="2">
        <f t="shared" si="335"/>
        <v>0</v>
      </c>
      <c r="AJ3260" s="2">
        <f t="shared" si="341"/>
        <v>68.75</v>
      </c>
      <c r="AK3260" s="5">
        <f t="shared" si="340"/>
        <v>0.5</v>
      </c>
    </row>
    <row r="3261" spans="1:37" x14ac:dyDescent="0.2">
      <c r="A3261" s="2">
        <v>2026</v>
      </c>
      <c r="B3261" s="2">
        <v>4</v>
      </c>
      <c r="C3261" s="2" t="s">
        <v>2629</v>
      </c>
      <c r="D3261" s="2" t="s">
        <v>38</v>
      </c>
      <c r="E3261" s="2" t="s">
        <v>39</v>
      </c>
      <c r="F3261" s="2">
        <v>225260913</v>
      </c>
      <c r="G3261" s="2" t="s">
        <v>40</v>
      </c>
      <c r="H3261" s="2" t="s">
        <v>2630</v>
      </c>
      <c r="I3261" s="2" t="s">
        <v>2631</v>
      </c>
      <c r="J3261" s="2">
        <v>912183782</v>
      </c>
      <c r="K3261" s="2" t="s">
        <v>202</v>
      </c>
      <c r="L3261" s="2" t="s">
        <v>40</v>
      </c>
      <c r="N3261" s="2" t="s">
        <v>2632</v>
      </c>
      <c r="O3261" s="2" t="s">
        <v>188</v>
      </c>
      <c r="P3261" s="2" t="s">
        <v>189</v>
      </c>
      <c r="Q3261" s="2" t="s">
        <v>190</v>
      </c>
      <c r="R3261" s="2">
        <v>1</v>
      </c>
      <c r="S3261" s="2">
        <v>58</v>
      </c>
      <c r="T3261" s="2">
        <v>13.34</v>
      </c>
      <c r="U3261" s="2">
        <v>71.34</v>
      </c>
      <c r="V3261" s="2">
        <f>S3261*40%</f>
        <v>23.200000000000003</v>
      </c>
      <c r="W3261" s="5">
        <f t="shared" si="337"/>
        <v>0.6</v>
      </c>
      <c r="Y3261" s="2" t="s">
        <v>118</v>
      </c>
      <c r="Z3261" s="2" t="s">
        <v>191</v>
      </c>
      <c r="AE3261" s="2">
        <f t="shared" si="334"/>
        <v>0</v>
      </c>
      <c r="AF3261" s="2">
        <f t="shared" si="339"/>
        <v>23.200000000000003</v>
      </c>
      <c r="AI3261" s="2">
        <f t="shared" si="335"/>
        <v>0</v>
      </c>
      <c r="AJ3261" s="2">
        <f t="shared" si="341"/>
        <v>34.799999999999997</v>
      </c>
      <c r="AK3261" s="5">
        <f t="shared" si="340"/>
        <v>0.6</v>
      </c>
    </row>
    <row r="3262" spans="1:37" x14ac:dyDescent="0.2">
      <c r="A3262" s="2">
        <v>2026</v>
      </c>
      <c r="B3262" s="2">
        <v>4</v>
      </c>
      <c r="C3262" s="2" t="s">
        <v>2629</v>
      </c>
      <c r="D3262" s="2" t="s">
        <v>38</v>
      </c>
      <c r="E3262" s="2" t="s">
        <v>39</v>
      </c>
      <c r="F3262" s="2">
        <v>225260913</v>
      </c>
      <c r="G3262" s="2" t="s">
        <v>40</v>
      </c>
      <c r="H3262" s="2" t="s">
        <v>2630</v>
      </c>
      <c r="I3262" s="2" t="s">
        <v>2631</v>
      </c>
      <c r="J3262" s="2">
        <v>912183782</v>
      </c>
      <c r="K3262" s="2" t="s">
        <v>202</v>
      </c>
      <c r="L3262" s="2" t="s">
        <v>40</v>
      </c>
      <c r="N3262" s="2" t="s">
        <v>2632</v>
      </c>
      <c r="O3262" s="2" t="s">
        <v>188</v>
      </c>
      <c r="P3262" s="2" t="s">
        <v>192</v>
      </c>
      <c r="Q3262" s="2" t="s">
        <v>191</v>
      </c>
      <c r="R3262" s="2">
        <v>1</v>
      </c>
      <c r="S3262" s="2">
        <v>0</v>
      </c>
      <c r="T3262" s="2">
        <v>0</v>
      </c>
      <c r="U3262" s="2">
        <v>0</v>
      </c>
      <c r="V3262" s="2">
        <f>S3262*50%</f>
        <v>0</v>
      </c>
      <c r="W3262" s="5">
        <v>0</v>
      </c>
      <c r="Y3262" s="2" t="s">
        <v>118</v>
      </c>
      <c r="Z3262" s="2" t="s">
        <v>191</v>
      </c>
      <c r="AE3262" s="2">
        <f t="shared" si="334"/>
        <v>0</v>
      </c>
      <c r="AF3262" s="2">
        <f t="shared" si="339"/>
        <v>0</v>
      </c>
      <c r="AI3262" s="2">
        <f t="shared" si="335"/>
        <v>0</v>
      </c>
      <c r="AJ3262" s="2">
        <v>0</v>
      </c>
      <c r="AK3262" s="5">
        <v>0</v>
      </c>
    </row>
    <row r="3263" spans="1:37" x14ac:dyDescent="0.2">
      <c r="A3263" s="2">
        <v>2026</v>
      </c>
      <c r="B3263" s="2">
        <v>4</v>
      </c>
      <c r="C3263" s="2" t="s">
        <v>455</v>
      </c>
      <c r="D3263" s="2" t="s">
        <v>109</v>
      </c>
      <c r="E3263" s="2" t="s">
        <v>39</v>
      </c>
      <c r="F3263" s="2">
        <v>506085686</v>
      </c>
      <c r="G3263" s="2" t="s">
        <v>40</v>
      </c>
      <c r="H3263" s="2" t="s">
        <v>456</v>
      </c>
      <c r="I3263" s="2" t="s">
        <v>457</v>
      </c>
      <c r="J3263" s="2">
        <v>917241919</v>
      </c>
      <c r="K3263" s="2" t="s">
        <v>400</v>
      </c>
      <c r="L3263" s="2" t="s">
        <v>40</v>
      </c>
      <c r="O3263" s="2" t="s">
        <v>188</v>
      </c>
      <c r="P3263" s="2" t="s">
        <v>189</v>
      </c>
      <c r="Q3263" s="2" t="s">
        <v>190</v>
      </c>
      <c r="R3263" s="2">
        <v>5</v>
      </c>
      <c r="S3263" s="2">
        <v>435</v>
      </c>
      <c r="T3263" s="2">
        <v>100.05</v>
      </c>
      <c r="U3263" s="2">
        <v>535.04999999999995</v>
      </c>
      <c r="V3263" s="2">
        <f>S3263*40%</f>
        <v>174</v>
      </c>
      <c r="W3263" s="5">
        <f t="shared" ref="W3263:W3275" si="342">(S3263-V3263)/S3263</f>
        <v>0.6</v>
      </c>
      <c r="Y3263" s="2" t="s">
        <v>118</v>
      </c>
      <c r="Z3263" s="2" t="s">
        <v>191</v>
      </c>
      <c r="AE3263" s="2">
        <f t="shared" si="334"/>
        <v>0</v>
      </c>
      <c r="AF3263" s="2">
        <f t="shared" si="339"/>
        <v>174</v>
      </c>
      <c r="AI3263" s="2">
        <f t="shared" si="335"/>
        <v>0</v>
      </c>
      <c r="AJ3263" s="2">
        <f t="shared" ref="AJ3263:AJ3294" si="343">S3263-V3263</f>
        <v>261</v>
      </c>
      <c r="AK3263" s="5">
        <f t="shared" ref="AK3263:AK3294" si="344">(S3263-V3263)/S3263</f>
        <v>0.6</v>
      </c>
    </row>
    <row r="3264" spans="1:37" x14ac:dyDescent="0.2">
      <c r="A3264" s="2">
        <v>2026</v>
      </c>
      <c r="B3264" s="2">
        <v>4</v>
      </c>
      <c r="C3264" s="2" t="s">
        <v>455</v>
      </c>
      <c r="D3264" s="2" t="s">
        <v>109</v>
      </c>
      <c r="E3264" s="2" t="s">
        <v>39</v>
      </c>
      <c r="F3264" s="2">
        <v>506085686</v>
      </c>
      <c r="G3264" s="2" t="s">
        <v>40</v>
      </c>
      <c r="H3264" s="2" t="s">
        <v>456</v>
      </c>
      <c r="I3264" s="2" t="s">
        <v>457</v>
      </c>
      <c r="J3264" s="2">
        <v>917241919</v>
      </c>
      <c r="K3264" s="2" t="s">
        <v>400</v>
      </c>
      <c r="L3264" s="2" t="s">
        <v>40</v>
      </c>
      <c r="O3264" s="2" t="s">
        <v>188</v>
      </c>
      <c r="P3264" s="2" t="s">
        <v>192</v>
      </c>
      <c r="Q3264" s="2" t="s">
        <v>191</v>
      </c>
      <c r="R3264" s="2">
        <v>11</v>
      </c>
      <c r="S3264" s="2">
        <v>522.5</v>
      </c>
      <c r="T3264" s="2">
        <v>120.175</v>
      </c>
      <c r="U3264" s="2">
        <v>642.67499999999995</v>
      </c>
      <c r="V3264" s="2">
        <f>S3264*50%</f>
        <v>261.25</v>
      </c>
      <c r="W3264" s="5">
        <f t="shared" si="342"/>
        <v>0.5</v>
      </c>
      <c r="Y3264" s="2" t="s">
        <v>118</v>
      </c>
      <c r="Z3264" s="2" t="s">
        <v>191</v>
      </c>
      <c r="AE3264" s="2">
        <f t="shared" si="334"/>
        <v>0</v>
      </c>
      <c r="AF3264" s="2">
        <f t="shared" si="339"/>
        <v>261.25</v>
      </c>
      <c r="AI3264" s="2">
        <f t="shared" si="335"/>
        <v>0</v>
      </c>
      <c r="AJ3264" s="2">
        <f t="shared" si="343"/>
        <v>261.25</v>
      </c>
      <c r="AK3264" s="5">
        <f t="shared" si="344"/>
        <v>0.5</v>
      </c>
    </row>
    <row r="3265" spans="1:37" x14ac:dyDescent="0.2">
      <c r="A3265" s="2">
        <v>2026</v>
      </c>
      <c r="B3265" s="2">
        <v>3</v>
      </c>
      <c r="C3265" s="2" t="s">
        <v>828</v>
      </c>
      <c r="L3265" s="2" t="s">
        <v>40</v>
      </c>
      <c r="O3265" s="2" t="s">
        <v>188</v>
      </c>
      <c r="P3265" s="2" t="s">
        <v>189</v>
      </c>
      <c r="Q3265" s="2" t="s">
        <v>190</v>
      </c>
      <c r="R3265" s="2">
        <v>1</v>
      </c>
      <c r="S3265" s="2">
        <v>103</v>
      </c>
      <c r="T3265" s="2">
        <v>23.69</v>
      </c>
      <c r="U3265" s="2">
        <v>126.69</v>
      </c>
      <c r="V3265" s="2">
        <f>S3265*40%</f>
        <v>41.2</v>
      </c>
      <c r="W3265" s="5">
        <f t="shared" si="342"/>
        <v>0.6</v>
      </c>
      <c r="Y3265" s="2" t="s">
        <v>118</v>
      </c>
      <c r="Z3265" s="2" t="s">
        <v>191</v>
      </c>
      <c r="AE3265" s="2">
        <f t="shared" si="334"/>
        <v>0</v>
      </c>
      <c r="AF3265" s="2">
        <f t="shared" si="339"/>
        <v>41.2</v>
      </c>
      <c r="AI3265" s="2">
        <f t="shared" si="335"/>
        <v>0</v>
      </c>
      <c r="AJ3265" s="2">
        <f t="shared" si="343"/>
        <v>61.8</v>
      </c>
      <c r="AK3265" s="5">
        <f t="shared" si="344"/>
        <v>0.6</v>
      </c>
    </row>
    <row r="3266" spans="1:37" x14ac:dyDescent="0.2">
      <c r="A3266" s="2">
        <v>2026</v>
      </c>
      <c r="B3266" s="2">
        <v>3</v>
      </c>
      <c r="C3266" s="2" t="s">
        <v>828</v>
      </c>
      <c r="L3266" s="2" t="s">
        <v>40</v>
      </c>
      <c r="O3266" s="2" t="s">
        <v>188</v>
      </c>
      <c r="P3266" s="2" t="s">
        <v>192</v>
      </c>
      <c r="Q3266" s="2" t="s">
        <v>191</v>
      </c>
      <c r="R3266" s="2">
        <v>0.75</v>
      </c>
      <c r="S3266" s="2">
        <v>41.25</v>
      </c>
      <c r="T3266" s="2">
        <v>9.4875000000000007</v>
      </c>
      <c r="U3266" s="2">
        <v>50.737499999999997</v>
      </c>
      <c r="V3266" s="2">
        <f>S3266*50%</f>
        <v>20.625</v>
      </c>
      <c r="W3266" s="5">
        <f t="shared" si="342"/>
        <v>0.5</v>
      </c>
      <c r="Y3266" s="2" t="s">
        <v>118</v>
      </c>
      <c r="Z3266" s="2" t="s">
        <v>191</v>
      </c>
      <c r="AE3266" s="2">
        <f t="shared" si="334"/>
        <v>0</v>
      </c>
      <c r="AF3266" s="2">
        <f t="shared" si="339"/>
        <v>20.625</v>
      </c>
      <c r="AI3266" s="2">
        <f t="shared" si="335"/>
        <v>0</v>
      </c>
      <c r="AJ3266" s="2">
        <f t="shared" si="343"/>
        <v>20.625</v>
      </c>
      <c r="AK3266" s="5">
        <f t="shared" si="344"/>
        <v>0.5</v>
      </c>
    </row>
    <row r="3267" spans="1:37" x14ac:dyDescent="0.2">
      <c r="A3267" s="2">
        <v>2026</v>
      </c>
      <c r="B3267" s="2">
        <v>4</v>
      </c>
      <c r="C3267" s="2" t="s">
        <v>828</v>
      </c>
      <c r="L3267" s="2" t="s">
        <v>40</v>
      </c>
      <c r="O3267" s="2" t="s">
        <v>188</v>
      </c>
      <c r="P3267" s="2" t="s">
        <v>189</v>
      </c>
      <c r="Q3267" s="2" t="s">
        <v>190</v>
      </c>
      <c r="R3267" s="2">
        <v>1</v>
      </c>
      <c r="S3267" s="2">
        <v>124</v>
      </c>
      <c r="T3267" s="2">
        <v>28.52</v>
      </c>
      <c r="U3267" s="2">
        <v>152.52000000000001</v>
      </c>
      <c r="V3267" s="2">
        <f>S3267*40%</f>
        <v>49.6</v>
      </c>
      <c r="W3267" s="5">
        <f t="shared" si="342"/>
        <v>0.60000000000000009</v>
      </c>
      <c r="Y3267" s="2" t="s">
        <v>118</v>
      </c>
      <c r="Z3267" s="2" t="s">
        <v>191</v>
      </c>
      <c r="AE3267" s="2">
        <f t="shared" ref="AE3267:AE3330" si="345">AI3267</f>
        <v>0</v>
      </c>
      <c r="AF3267" s="2">
        <f t="shared" si="339"/>
        <v>49.6</v>
      </c>
      <c r="AI3267" s="2">
        <f t="shared" ref="AI3267:AI3330" si="346">AH3267*S3267</f>
        <v>0</v>
      </c>
      <c r="AJ3267" s="2">
        <f t="shared" si="343"/>
        <v>74.400000000000006</v>
      </c>
      <c r="AK3267" s="5">
        <f t="shared" si="344"/>
        <v>0.60000000000000009</v>
      </c>
    </row>
    <row r="3268" spans="1:37" x14ac:dyDescent="0.2">
      <c r="A3268" s="2">
        <v>2026</v>
      </c>
      <c r="B3268" s="2">
        <v>2</v>
      </c>
      <c r="C3268" s="2" t="s">
        <v>1171</v>
      </c>
      <c r="D3268" s="2" t="s">
        <v>758</v>
      </c>
      <c r="F3268" s="2">
        <v>508199280</v>
      </c>
      <c r="G3268" s="2" t="s">
        <v>40</v>
      </c>
      <c r="H3268" s="2" t="s">
        <v>1172</v>
      </c>
      <c r="K3268" s="2" t="s">
        <v>294</v>
      </c>
      <c r="O3268" s="2" t="s">
        <v>170</v>
      </c>
      <c r="P3268" s="2" t="s">
        <v>171</v>
      </c>
      <c r="Q3268" s="2" t="s">
        <v>171</v>
      </c>
      <c r="R3268" s="2">
        <v>1</v>
      </c>
      <c r="S3268" s="2">
        <v>15</v>
      </c>
      <c r="T3268" s="2">
        <v>3.45</v>
      </c>
      <c r="U3268" s="2">
        <v>18.45</v>
      </c>
      <c r="W3268" s="5">
        <f t="shared" si="342"/>
        <v>1</v>
      </c>
      <c r="Y3268" s="2" t="s">
        <v>170</v>
      </c>
      <c r="Z3268" s="2" t="s">
        <v>170</v>
      </c>
      <c r="AE3268" s="2">
        <f t="shared" si="345"/>
        <v>0</v>
      </c>
      <c r="AI3268" s="2">
        <f t="shared" si="346"/>
        <v>0</v>
      </c>
      <c r="AJ3268" s="2">
        <f t="shared" si="343"/>
        <v>15</v>
      </c>
      <c r="AK3268" s="5">
        <f t="shared" si="344"/>
        <v>1</v>
      </c>
    </row>
    <row r="3269" spans="1:37" x14ac:dyDescent="0.2">
      <c r="A3269" s="2">
        <v>2026</v>
      </c>
      <c r="B3269" s="2">
        <v>2</v>
      </c>
      <c r="C3269" s="2" t="s">
        <v>2532</v>
      </c>
      <c r="O3269" s="2" t="s">
        <v>170</v>
      </c>
      <c r="P3269" s="2" t="s">
        <v>171</v>
      </c>
      <c r="Q3269" s="2" t="s">
        <v>171</v>
      </c>
      <c r="R3269" s="2">
        <v>1</v>
      </c>
      <c r="S3269" s="2">
        <v>50</v>
      </c>
      <c r="T3269" s="2">
        <v>11.5</v>
      </c>
      <c r="U3269" s="2">
        <v>61.5</v>
      </c>
      <c r="W3269" s="5">
        <f t="shared" si="342"/>
        <v>1</v>
      </c>
      <c r="Y3269" s="2" t="s">
        <v>170</v>
      </c>
      <c r="Z3269" s="2" t="s">
        <v>170</v>
      </c>
      <c r="AE3269" s="2">
        <f t="shared" si="345"/>
        <v>0</v>
      </c>
      <c r="AI3269" s="2">
        <f t="shared" si="346"/>
        <v>0</v>
      </c>
      <c r="AJ3269" s="2">
        <f t="shared" si="343"/>
        <v>50</v>
      </c>
      <c r="AK3269" s="5">
        <f t="shared" si="344"/>
        <v>1</v>
      </c>
    </row>
    <row r="3270" spans="1:37" x14ac:dyDescent="0.2">
      <c r="A3270" s="2">
        <v>2026</v>
      </c>
      <c r="B3270" s="2">
        <v>2</v>
      </c>
      <c r="C3270" s="2" t="s">
        <v>2600</v>
      </c>
      <c r="D3270" s="2" t="s">
        <v>184</v>
      </c>
      <c r="E3270" s="2" t="s">
        <v>2601</v>
      </c>
      <c r="F3270" s="2">
        <v>515259144</v>
      </c>
      <c r="G3270" s="2" t="s">
        <v>81</v>
      </c>
      <c r="H3270" s="2" t="s">
        <v>157</v>
      </c>
      <c r="I3270" s="2" t="s">
        <v>2602</v>
      </c>
      <c r="J3270" s="2">
        <v>968626165</v>
      </c>
      <c r="K3270" s="2" t="s">
        <v>100</v>
      </c>
      <c r="L3270" s="2" t="s">
        <v>81</v>
      </c>
      <c r="N3270" s="2" t="s">
        <v>2633</v>
      </c>
      <c r="O3270" s="2" t="s">
        <v>170</v>
      </c>
      <c r="P3270" s="2" t="s">
        <v>171</v>
      </c>
      <c r="Q3270" s="2" t="s">
        <v>171</v>
      </c>
      <c r="R3270" s="2">
        <v>1</v>
      </c>
      <c r="S3270" s="2">
        <v>100</v>
      </c>
      <c r="T3270" s="2">
        <v>23</v>
      </c>
      <c r="U3270" s="2">
        <v>123</v>
      </c>
      <c r="W3270" s="5">
        <f t="shared" si="342"/>
        <v>1</v>
      </c>
      <c r="Y3270" s="2" t="s">
        <v>170</v>
      </c>
      <c r="Z3270" s="2" t="s">
        <v>170</v>
      </c>
      <c r="AE3270" s="2">
        <f t="shared" si="345"/>
        <v>0</v>
      </c>
      <c r="AI3270" s="2">
        <f t="shared" si="346"/>
        <v>0</v>
      </c>
      <c r="AJ3270" s="2">
        <f t="shared" si="343"/>
        <v>100</v>
      </c>
      <c r="AK3270" s="5">
        <f t="shared" si="344"/>
        <v>1</v>
      </c>
    </row>
    <row r="3271" spans="1:37" x14ac:dyDescent="0.2">
      <c r="A3271" s="2">
        <v>2026</v>
      </c>
      <c r="B3271" s="2">
        <v>2</v>
      </c>
      <c r="C3271" s="2" t="s">
        <v>1030</v>
      </c>
      <c r="D3271" s="2" t="s">
        <v>38</v>
      </c>
      <c r="E3271" s="2" t="s">
        <v>39</v>
      </c>
      <c r="F3271" s="2">
        <v>504493612</v>
      </c>
      <c r="G3271" s="2" t="s">
        <v>41</v>
      </c>
      <c r="H3271" s="2" t="s">
        <v>1570</v>
      </c>
      <c r="I3271" s="2" t="s">
        <v>2547</v>
      </c>
      <c r="K3271" s="2" t="s">
        <v>178</v>
      </c>
      <c r="O3271" s="2" t="s">
        <v>170</v>
      </c>
      <c r="P3271" s="2" t="s">
        <v>171</v>
      </c>
      <c r="Q3271" s="2" t="s">
        <v>171</v>
      </c>
      <c r="R3271" s="2">
        <v>1</v>
      </c>
      <c r="S3271" s="2">
        <v>8</v>
      </c>
      <c r="T3271" s="2">
        <v>1.84</v>
      </c>
      <c r="U3271" s="2">
        <v>9.84</v>
      </c>
      <c r="W3271" s="5">
        <f t="shared" si="342"/>
        <v>1</v>
      </c>
      <c r="Y3271" s="2" t="s">
        <v>170</v>
      </c>
      <c r="Z3271" s="2" t="s">
        <v>170</v>
      </c>
      <c r="AE3271" s="2">
        <f t="shared" si="345"/>
        <v>0</v>
      </c>
      <c r="AI3271" s="2">
        <f t="shared" si="346"/>
        <v>0</v>
      </c>
      <c r="AJ3271" s="2">
        <f t="shared" si="343"/>
        <v>8</v>
      </c>
      <c r="AK3271" s="5">
        <f t="shared" si="344"/>
        <v>1</v>
      </c>
    </row>
    <row r="3272" spans="1:37" x14ac:dyDescent="0.2">
      <c r="A3272" s="2">
        <v>2026</v>
      </c>
      <c r="B3272" s="2">
        <v>2</v>
      </c>
      <c r="C3272" s="2" t="s">
        <v>2558</v>
      </c>
      <c r="O3272" s="2" t="s">
        <v>170</v>
      </c>
      <c r="P3272" s="2" t="s">
        <v>171</v>
      </c>
      <c r="Q3272" s="2" t="s">
        <v>171</v>
      </c>
      <c r="R3272" s="2">
        <v>1</v>
      </c>
      <c r="S3272" s="2">
        <v>8</v>
      </c>
      <c r="T3272" s="2">
        <v>1.84</v>
      </c>
      <c r="U3272" s="2">
        <v>9.84</v>
      </c>
      <c r="W3272" s="5">
        <f t="shared" si="342"/>
        <v>1</v>
      </c>
      <c r="Y3272" s="2" t="s">
        <v>170</v>
      </c>
      <c r="Z3272" s="2" t="s">
        <v>170</v>
      </c>
      <c r="AE3272" s="2">
        <f t="shared" si="345"/>
        <v>0</v>
      </c>
      <c r="AI3272" s="2">
        <f t="shared" si="346"/>
        <v>0</v>
      </c>
      <c r="AJ3272" s="2">
        <f t="shared" si="343"/>
        <v>8</v>
      </c>
      <c r="AK3272" s="5">
        <f t="shared" si="344"/>
        <v>1</v>
      </c>
    </row>
    <row r="3273" spans="1:37" x14ac:dyDescent="0.2">
      <c r="A3273" s="2">
        <v>2026</v>
      </c>
      <c r="B3273" s="2">
        <v>2</v>
      </c>
      <c r="C3273" s="2" t="s">
        <v>1409</v>
      </c>
      <c r="D3273" s="2" t="s">
        <v>38</v>
      </c>
      <c r="E3273" s="2" t="s">
        <v>39</v>
      </c>
      <c r="F3273" s="2">
        <v>509014313</v>
      </c>
      <c r="G3273" s="2" t="s">
        <v>40</v>
      </c>
      <c r="H3273" s="2" t="s">
        <v>3246</v>
      </c>
      <c r="I3273" s="2" t="s">
        <v>3245</v>
      </c>
      <c r="J3273" s="2">
        <v>913814877</v>
      </c>
      <c r="K3273" s="2" t="s">
        <v>202</v>
      </c>
      <c r="L3273" s="2" t="s">
        <v>81</v>
      </c>
      <c r="N3273" s="2" t="s">
        <v>3242</v>
      </c>
      <c r="O3273" s="2" t="s">
        <v>170</v>
      </c>
      <c r="P3273" s="2" t="s">
        <v>171</v>
      </c>
      <c r="Q3273" s="2" t="s">
        <v>171</v>
      </c>
      <c r="R3273" s="2">
        <v>1</v>
      </c>
      <c r="S3273" s="2">
        <v>8</v>
      </c>
      <c r="T3273" s="2">
        <v>1.84</v>
      </c>
      <c r="U3273" s="2">
        <v>9.84</v>
      </c>
      <c r="W3273" s="5">
        <f t="shared" si="342"/>
        <v>1</v>
      </c>
      <c r="Y3273" s="2" t="s">
        <v>170</v>
      </c>
      <c r="Z3273" s="2" t="s">
        <v>170</v>
      </c>
      <c r="AE3273" s="2">
        <f t="shared" si="345"/>
        <v>0</v>
      </c>
      <c r="AI3273" s="2">
        <f t="shared" si="346"/>
        <v>0</v>
      </c>
      <c r="AJ3273" s="2">
        <f t="shared" si="343"/>
        <v>8</v>
      </c>
      <c r="AK3273" s="5">
        <f t="shared" si="344"/>
        <v>1</v>
      </c>
    </row>
    <row r="3274" spans="1:37" x14ac:dyDescent="0.2">
      <c r="A3274" s="2">
        <v>2026</v>
      </c>
      <c r="B3274" s="2">
        <v>2</v>
      </c>
      <c r="C3274" s="2" t="s">
        <v>623</v>
      </c>
      <c r="D3274" s="2" t="s">
        <v>38</v>
      </c>
      <c r="E3274" s="2" t="s">
        <v>39</v>
      </c>
      <c r="F3274" s="2">
        <v>513759654</v>
      </c>
      <c r="G3274" s="2" t="s">
        <v>41</v>
      </c>
      <c r="H3274" s="2" t="s">
        <v>624</v>
      </c>
      <c r="I3274" s="2" t="s">
        <v>625</v>
      </c>
      <c r="K3274" s="2" t="s">
        <v>422</v>
      </c>
      <c r="L3274" s="2" t="s">
        <v>41</v>
      </c>
      <c r="O3274" s="2" t="s">
        <v>170</v>
      </c>
      <c r="P3274" s="2" t="s">
        <v>171</v>
      </c>
      <c r="Q3274" s="2" t="s">
        <v>171</v>
      </c>
      <c r="R3274" s="2">
        <v>1</v>
      </c>
      <c r="S3274" s="2">
        <v>5</v>
      </c>
      <c r="T3274" s="2">
        <v>1.1499999999999999</v>
      </c>
      <c r="U3274" s="2">
        <v>6.15</v>
      </c>
      <c r="W3274" s="5">
        <f t="shared" si="342"/>
        <v>1</v>
      </c>
      <c r="Y3274" s="2" t="s">
        <v>170</v>
      </c>
      <c r="Z3274" s="2" t="s">
        <v>170</v>
      </c>
      <c r="AE3274" s="2">
        <f t="shared" si="345"/>
        <v>0</v>
      </c>
      <c r="AI3274" s="2">
        <f t="shared" si="346"/>
        <v>0</v>
      </c>
      <c r="AJ3274" s="2">
        <f t="shared" si="343"/>
        <v>5</v>
      </c>
      <c r="AK3274" s="5">
        <f t="shared" si="344"/>
        <v>1</v>
      </c>
    </row>
    <row r="3275" spans="1:37" x14ac:dyDescent="0.2">
      <c r="A3275" s="2">
        <v>2026</v>
      </c>
      <c r="B3275" s="2">
        <v>2</v>
      </c>
      <c r="C3275" s="2" t="s">
        <v>649</v>
      </c>
      <c r="D3275" s="2" t="s">
        <v>38</v>
      </c>
      <c r="E3275" s="2" t="s">
        <v>39</v>
      </c>
      <c r="F3275" s="2">
        <v>509056946</v>
      </c>
      <c r="G3275" s="2" t="s">
        <v>110</v>
      </c>
      <c r="H3275" s="2" t="s">
        <v>650</v>
      </c>
      <c r="I3275" s="2" t="s">
        <v>651</v>
      </c>
      <c r="J3275" s="2">
        <v>964495536</v>
      </c>
      <c r="K3275" s="2" t="s">
        <v>113</v>
      </c>
      <c r="L3275" s="2" t="s">
        <v>110</v>
      </c>
      <c r="N3275" s="2" t="s">
        <v>2608</v>
      </c>
      <c r="O3275" s="2" t="s">
        <v>170</v>
      </c>
      <c r="P3275" s="2" t="s">
        <v>171</v>
      </c>
      <c r="Q3275" s="2" t="s">
        <v>171</v>
      </c>
      <c r="R3275" s="2">
        <v>1</v>
      </c>
      <c r="S3275" s="2">
        <v>5</v>
      </c>
      <c r="T3275" s="2">
        <v>1.1499999999999999</v>
      </c>
      <c r="U3275" s="2">
        <v>6.15</v>
      </c>
      <c r="W3275" s="5">
        <f t="shared" si="342"/>
        <v>1</v>
      </c>
      <c r="Y3275" s="2" t="s">
        <v>170</v>
      </c>
      <c r="Z3275" s="2" t="s">
        <v>170</v>
      </c>
      <c r="AE3275" s="2">
        <f t="shared" si="345"/>
        <v>0</v>
      </c>
      <c r="AI3275" s="2">
        <f t="shared" si="346"/>
        <v>0</v>
      </c>
      <c r="AJ3275" s="2">
        <f t="shared" si="343"/>
        <v>5</v>
      </c>
      <c r="AK3275" s="5">
        <f t="shared" si="344"/>
        <v>1</v>
      </c>
    </row>
    <row r="3276" spans="1:37" x14ac:dyDescent="0.2">
      <c r="A3276" s="2">
        <v>2026</v>
      </c>
      <c r="B3276" s="2">
        <v>2</v>
      </c>
      <c r="C3276" s="2" t="s">
        <v>534</v>
      </c>
      <c r="D3276" s="2" t="s">
        <v>109</v>
      </c>
      <c r="E3276" s="2" t="s">
        <v>535</v>
      </c>
      <c r="F3276" s="2">
        <v>502139552</v>
      </c>
      <c r="G3276" s="2" t="s">
        <v>40</v>
      </c>
      <c r="H3276" s="2" t="s">
        <v>340</v>
      </c>
      <c r="I3276" s="2" t="s">
        <v>536</v>
      </c>
      <c r="K3276" s="2" t="s">
        <v>340</v>
      </c>
      <c r="L3276" s="2" t="s">
        <v>40</v>
      </c>
      <c r="O3276" s="2" t="s">
        <v>40</v>
      </c>
      <c r="P3276" s="2" t="s">
        <v>141</v>
      </c>
      <c r="Q3276" s="2" t="s">
        <v>142</v>
      </c>
      <c r="R3276" s="2">
        <v>-1</v>
      </c>
      <c r="S3276" s="2">
        <v>-4.5</v>
      </c>
      <c r="T3276" s="2">
        <v>-1.0349999999999999</v>
      </c>
      <c r="U3276" s="2">
        <v>-5.5350000000000001</v>
      </c>
      <c r="W3276" s="5">
        <f>SIGN(S3276)*((ABS(S3276)-V3276)/ABS(S3276))</f>
        <v>-1</v>
      </c>
      <c r="Y3276" s="2" t="s">
        <v>120</v>
      </c>
      <c r="Z3276" s="2" t="s">
        <v>143</v>
      </c>
      <c r="AE3276" s="2">
        <f t="shared" si="345"/>
        <v>0</v>
      </c>
      <c r="AI3276" s="2">
        <f t="shared" si="346"/>
        <v>0</v>
      </c>
      <c r="AJ3276" s="2">
        <f t="shared" si="343"/>
        <v>-4.5</v>
      </c>
      <c r="AK3276" s="5">
        <f t="shared" si="344"/>
        <v>1</v>
      </c>
    </row>
    <row r="3277" spans="1:37" x14ac:dyDescent="0.2">
      <c r="A3277" s="2">
        <v>2026</v>
      </c>
      <c r="B3277" s="2">
        <v>2</v>
      </c>
      <c r="C3277" s="2" t="s">
        <v>2175</v>
      </c>
      <c r="L3277" s="2" t="s">
        <v>40</v>
      </c>
      <c r="O3277" s="2" t="s">
        <v>188</v>
      </c>
      <c r="P3277" s="2" t="s">
        <v>1318</v>
      </c>
      <c r="Q3277" s="2" t="s">
        <v>1319</v>
      </c>
      <c r="R3277" s="2">
        <v>28</v>
      </c>
      <c r="S3277" s="2">
        <v>477.28</v>
      </c>
      <c r="T3277" s="2">
        <v>109.7744</v>
      </c>
      <c r="U3277" s="2">
        <v>587.05439999999999</v>
      </c>
      <c r="W3277" s="5">
        <f t="shared" ref="W3277:W3316" si="347">(S3277-V3277)/S3277</f>
        <v>1</v>
      </c>
      <c r="Y3277" s="2" t="s">
        <v>118</v>
      </c>
      <c r="Z3277" s="2" t="s">
        <v>1320</v>
      </c>
      <c r="AE3277" s="2">
        <f t="shared" si="345"/>
        <v>0</v>
      </c>
      <c r="AI3277" s="2">
        <f t="shared" si="346"/>
        <v>0</v>
      </c>
      <c r="AJ3277" s="2">
        <f t="shared" si="343"/>
        <v>477.28</v>
      </c>
      <c r="AK3277" s="5">
        <f t="shared" si="344"/>
        <v>1</v>
      </c>
    </row>
    <row r="3278" spans="1:37" x14ac:dyDescent="0.2">
      <c r="A3278" s="2">
        <v>2026</v>
      </c>
      <c r="B3278" s="2">
        <v>2</v>
      </c>
      <c r="C3278" s="2" t="s">
        <v>37</v>
      </c>
      <c r="D3278" s="2" t="s">
        <v>38</v>
      </c>
      <c r="E3278" s="2" t="s">
        <v>39</v>
      </c>
      <c r="G3278" s="2" t="s">
        <v>40</v>
      </c>
      <c r="L3278" s="2" t="s">
        <v>81</v>
      </c>
      <c r="N3278" s="2" t="s">
        <v>2634</v>
      </c>
      <c r="O3278" s="2" t="s">
        <v>94</v>
      </c>
      <c r="P3278" s="2" t="s">
        <v>95</v>
      </c>
      <c r="Q3278" s="2" t="s">
        <v>96</v>
      </c>
      <c r="R3278" s="2">
        <v>6</v>
      </c>
      <c r="S3278" s="2">
        <v>8.8800000000000008</v>
      </c>
      <c r="T3278" s="2">
        <v>2.0424000000000002</v>
      </c>
      <c r="U3278" s="2">
        <v>10.9224</v>
      </c>
      <c r="V3278" s="2">
        <v>8.879999999999999</v>
      </c>
      <c r="W3278" s="5">
        <f t="shared" si="347"/>
        <v>2.000401846171453E-16</v>
      </c>
      <c r="Y3278" s="2" t="s">
        <v>3256</v>
      </c>
      <c r="Z3278" s="2" t="s">
        <v>97</v>
      </c>
      <c r="AA3278" s="2" t="s">
        <v>77</v>
      </c>
      <c r="AB3278" s="2" t="s">
        <v>94</v>
      </c>
      <c r="AE3278" s="2">
        <f t="shared" si="345"/>
        <v>0</v>
      </c>
      <c r="AI3278" s="2">
        <f t="shared" si="346"/>
        <v>0</v>
      </c>
      <c r="AJ3278" s="2">
        <f t="shared" si="343"/>
        <v>0</v>
      </c>
      <c r="AK3278" s="5">
        <f t="shared" si="344"/>
        <v>2.000401846171453E-16</v>
      </c>
    </row>
    <row r="3279" spans="1:37" x14ac:dyDescent="0.2">
      <c r="A3279" s="2">
        <v>2026</v>
      </c>
      <c r="B3279" s="2">
        <v>2</v>
      </c>
      <c r="C3279" s="2" t="s">
        <v>2559</v>
      </c>
      <c r="L3279" s="2" t="s">
        <v>81</v>
      </c>
      <c r="O3279" s="2" t="s">
        <v>94</v>
      </c>
      <c r="P3279" s="2" t="s">
        <v>95</v>
      </c>
      <c r="Q3279" s="2" t="s">
        <v>96</v>
      </c>
      <c r="R3279" s="2">
        <v>2</v>
      </c>
      <c r="S3279" s="2">
        <v>2.96</v>
      </c>
      <c r="T3279" s="2">
        <v>0.68080000000000007</v>
      </c>
      <c r="U3279" s="2">
        <v>3.6408</v>
      </c>
      <c r="V3279" s="2">
        <v>2.96</v>
      </c>
      <c r="W3279" s="5">
        <f t="shared" si="347"/>
        <v>0</v>
      </c>
      <c r="Y3279" s="2" t="s">
        <v>3256</v>
      </c>
      <c r="Z3279" s="2" t="s">
        <v>97</v>
      </c>
      <c r="AA3279" s="2" t="s">
        <v>77</v>
      </c>
      <c r="AB3279" s="2" t="s">
        <v>94</v>
      </c>
      <c r="AE3279" s="2">
        <f t="shared" si="345"/>
        <v>0</v>
      </c>
      <c r="AI3279" s="2">
        <f t="shared" si="346"/>
        <v>0</v>
      </c>
      <c r="AJ3279" s="2">
        <f t="shared" si="343"/>
        <v>0</v>
      </c>
      <c r="AK3279" s="5">
        <f t="shared" si="344"/>
        <v>0</v>
      </c>
    </row>
    <row r="3280" spans="1:37" x14ac:dyDescent="0.2">
      <c r="A3280" s="2">
        <v>2026</v>
      </c>
      <c r="B3280" s="2">
        <v>2</v>
      </c>
      <c r="C3280" s="2" t="s">
        <v>1171</v>
      </c>
      <c r="D3280" s="2" t="s">
        <v>758</v>
      </c>
      <c r="F3280" s="2">
        <v>508199280</v>
      </c>
      <c r="G3280" s="2" t="s">
        <v>40</v>
      </c>
      <c r="H3280" s="2" t="s">
        <v>1172</v>
      </c>
      <c r="K3280" s="2" t="s">
        <v>294</v>
      </c>
      <c r="O3280" s="2" t="s">
        <v>94</v>
      </c>
      <c r="P3280" s="2" t="s">
        <v>95</v>
      </c>
      <c r="Q3280" s="2" t="s">
        <v>96</v>
      </c>
      <c r="R3280" s="2">
        <v>1</v>
      </c>
      <c r="S3280" s="2">
        <v>1.48</v>
      </c>
      <c r="T3280" s="2">
        <v>0.34039999999999998</v>
      </c>
      <c r="U3280" s="2">
        <v>1.8204</v>
      </c>
      <c r="V3280" s="2">
        <v>1.48</v>
      </c>
      <c r="W3280" s="5">
        <f t="shared" si="347"/>
        <v>0</v>
      </c>
      <c r="Y3280" s="2" t="s">
        <v>3256</v>
      </c>
      <c r="Z3280" s="2" t="s">
        <v>97</v>
      </c>
      <c r="AA3280" s="2" t="s">
        <v>77</v>
      </c>
      <c r="AB3280" s="2" t="s">
        <v>94</v>
      </c>
      <c r="AE3280" s="2">
        <f t="shared" si="345"/>
        <v>0</v>
      </c>
      <c r="AI3280" s="2">
        <f t="shared" si="346"/>
        <v>0</v>
      </c>
      <c r="AJ3280" s="2">
        <f t="shared" si="343"/>
        <v>0</v>
      </c>
      <c r="AK3280" s="5">
        <f t="shared" si="344"/>
        <v>0</v>
      </c>
    </row>
    <row r="3281" spans="1:37" x14ac:dyDescent="0.2">
      <c r="A3281" s="2">
        <v>2026</v>
      </c>
      <c r="B3281" s="2">
        <v>2</v>
      </c>
      <c r="C3281" s="2" t="s">
        <v>2597</v>
      </c>
      <c r="O3281" s="2" t="s">
        <v>94</v>
      </c>
      <c r="P3281" s="2" t="s">
        <v>95</v>
      </c>
      <c r="Q3281" s="2" t="s">
        <v>96</v>
      </c>
      <c r="R3281" s="2">
        <v>1</v>
      </c>
      <c r="S3281" s="2">
        <v>1.48</v>
      </c>
      <c r="T3281" s="2">
        <v>0.34039999999999998</v>
      </c>
      <c r="U3281" s="2">
        <v>1.8204</v>
      </c>
      <c r="V3281" s="2">
        <v>1.48</v>
      </c>
      <c r="W3281" s="5">
        <f t="shared" si="347"/>
        <v>0</v>
      </c>
      <c r="Y3281" s="2" t="s">
        <v>3256</v>
      </c>
      <c r="Z3281" s="2" t="s">
        <v>97</v>
      </c>
      <c r="AA3281" s="2" t="s">
        <v>77</v>
      </c>
      <c r="AB3281" s="2" t="s">
        <v>94</v>
      </c>
      <c r="AE3281" s="2">
        <f t="shared" si="345"/>
        <v>0</v>
      </c>
      <c r="AI3281" s="2">
        <f t="shared" si="346"/>
        <v>0</v>
      </c>
      <c r="AJ3281" s="2">
        <f t="shared" si="343"/>
        <v>0</v>
      </c>
      <c r="AK3281" s="5">
        <f t="shared" si="344"/>
        <v>0</v>
      </c>
    </row>
    <row r="3282" spans="1:37" x14ac:dyDescent="0.2">
      <c r="A3282" s="2">
        <v>2026</v>
      </c>
      <c r="B3282" s="2">
        <v>4</v>
      </c>
      <c r="C3282" s="2" t="s">
        <v>695</v>
      </c>
      <c r="D3282" s="2" t="s">
        <v>109</v>
      </c>
      <c r="E3282" s="2" t="s">
        <v>39</v>
      </c>
      <c r="F3282" s="2">
        <v>503589950</v>
      </c>
      <c r="G3282" s="2" t="s">
        <v>41</v>
      </c>
      <c r="H3282" s="2" t="s">
        <v>615</v>
      </c>
      <c r="I3282" s="2" t="s">
        <v>696</v>
      </c>
      <c r="J3282" s="2">
        <v>913036545</v>
      </c>
      <c r="K3282" s="2" t="s">
        <v>178</v>
      </c>
      <c r="L3282" s="2" t="s">
        <v>41</v>
      </c>
      <c r="N3282" s="2" t="s">
        <v>2635</v>
      </c>
      <c r="O3282" s="2" t="s">
        <v>43</v>
      </c>
      <c r="P3282" s="2" t="s">
        <v>159</v>
      </c>
      <c r="Q3282" s="2" t="s">
        <v>160</v>
      </c>
      <c r="R3282" s="2">
        <v>2</v>
      </c>
      <c r="S3282" s="2">
        <v>42</v>
      </c>
      <c r="T3282" s="2">
        <v>9.66</v>
      </c>
      <c r="U3282" s="2">
        <v>51.66</v>
      </c>
      <c r="V3282" s="2">
        <f>9.3*R3282</f>
        <v>18.600000000000001</v>
      </c>
      <c r="W3282" s="5">
        <f t="shared" si="347"/>
        <v>0.55714285714285716</v>
      </c>
      <c r="Y3282" s="2" t="s">
        <v>3256</v>
      </c>
      <c r="Z3282" s="2" t="s">
        <v>46</v>
      </c>
      <c r="AA3282" s="2" t="s">
        <v>47</v>
      </c>
      <c r="AB3282" s="2" t="s">
        <v>48</v>
      </c>
      <c r="AE3282" s="2">
        <f t="shared" si="345"/>
        <v>0</v>
      </c>
      <c r="AF3282" s="2">
        <v>9.3000000000000007</v>
      </c>
      <c r="AG3282" s="2">
        <v>21</v>
      </c>
      <c r="AI3282" s="2">
        <f t="shared" si="346"/>
        <v>0</v>
      </c>
      <c r="AJ3282" s="2">
        <f t="shared" si="343"/>
        <v>23.4</v>
      </c>
      <c r="AK3282" s="5">
        <f t="shared" si="344"/>
        <v>0.55714285714285716</v>
      </c>
    </row>
    <row r="3283" spans="1:37" x14ac:dyDescent="0.2">
      <c r="A3283" s="2">
        <v>2026</v>
      </c>
      <c r="B3283" s="2">
        <v>2</v>
      </c>
      <c r="C3283" s="2" t="s">
        <v>989</v>
      </c>
      <c r="D3283" s="2" t="s">
        <v>109</v>
      </c>
      <c r="E3283" s="2" t="s">
        <v>723</v>
      </c>
      <c r="F3283" s="2">
        <v>500594309</v>
      </c>
      <c r="G3283" s="2" t="s">
        <v>291</v>
      </c>
      <c r="H3283" s="2" t="s">
        <v>990</v>
      </c>
      <c r="I3283" s="2" t="s">
        <v>991</v>
      </c>
      <c r="K3283" s="2" t="s">
        <v>294</v>
      </c>
      <c r="L3283" s="2" t="s">
        <v>81</v>
      </c>
      <c r="N3283" s="2" t="s">
        <v>2593</v>
      </c>
      <c r="O3283" s="2" t="s">
        <v>94</v>
      </c>
      <c r="P3283" s="2" t="s">
        <v>95</v>
      </c>
      <c r="Q3283" s="2" t="s">
        <v>96</v>
      </c>
      <c r="R3283" s="2">
        <v>1</v>
      </c>
      <c r="S3283" s="2">
        <v>1.48</v>
      </c>
      <c r="T3283" s="2">
        <v>0.34039999999999998</v>
      </c>
      <c r="U3283" s="2">
        <v>1.8204</v>
      </c>
      <c r="V3283" s="2">
        <v>1.48</v>
      </c>
      <c r="W3283" s="5">
        <f t="shared" si="347"/>
        <v>0</v>
      </c>
      <c r="Y3283" s="2" t="s">
        <v>3256</v>
      </c>
      <c r="Z3283" s="2" t="s">
        <v>97</v>
      </c>
      <c r="AA3283" s="2" t="s">
        <v>77</v>
      </c>
      <c r="AB3283" s="2" t="s">
        <v>94</v>
      </c>
      <c r="AE3283" s="2">
        <f t="shared" si="345"/>
        <v>0</v>
      </c>
      <c r="AF3283" s="2">
        <v>1.48</v>
      </c>
      <c r="AG3283" s="2">
        <v>1.48</v>
      </c>
      <c r="AI3283" s="2">
        <f t="shared" si="346"/>
        <v>0</v>
      </c>
      <c r="AJ3283" s="2">
        <f t="shared" si="343"/>
        <v>0</v>
      </c>
      <c r="AK3283" s="5">
        <f t="shared" si="344"/>
        <v>0</v>
      </c>
    </row>
    <row r="3284" spans="1:37" x14ac:dyDescent="0.2">
      <c r="A3284" s="2">
        <v>2026</v>
      </c>
      <c r="B3284" s="2">
        <v>2</v>
      </c>
      <c r="C3284" s="2" t="s">
        <v>2579</v>
      </c>
      <c r="O3284" s="2" t="s">
        <v>94</v>
      </c>
      <c r="P3284" s="2" t="s">
        <v>95</v>
      </c>
      <c r="Q3284" s="2" t="s">
        <v>96</v>
      </c>
      <c r="R3284" s="2">
        <v>1</v>
      </c>
      <c r="S3284" s="2">
        <v>1.48</v>
      </c>
      <c r="T3284" s="2">
        <v>0.34039999999999998</v>
      </c>
      <c r="U3284" s="2">
        <v>1.8204</v>
      </c>
      <c r="V3284" s="2">
        <v>1.48</v>
      </c>
      <c r="W3284" s="5">
        <f t="shared" si="347"/>
        <v>0</v>
      </c>
      <c r="Y3284" s="2" t="s">
        <v>3256</v>
      </c>
      <c r="Z3284" s="2" t="s">
        <v>97</v>
      </c>
      <c r="AA3284" s="2" t="s">
        <v>77</v>
      </c>
      <c r="AB3284" s="2" t="s">
        <v>94</v>
      </c>
      <c r="AE3284" s="2">
        <f t="shared" si="345"/>
        <v>0</v>
      </c>
      <c r="AI3284" s="2">
        <f t="shared" si="346"/>
        <v>0</v>
      </c>
      <c r="AJ3284" s="2">
        <f t="shared" si="343"/>
        <v>0</v>
      </c>
      <c r="AK3284" s="5">
        <f t="shared" si="344"/>
        <v>0</v>
      </c>
    </row>
    <row r="3285" spans="1:37" x14ac:dyDescent="0.2">
      <c r="A3285" s="2">
        <v>2026</v>
      </c>
      <c r="B3285" s="2">
        <v>2</v>
      </c>
      <c r="C3285" s="2" t="s">
        <v>755</v>
      </c>
      <c r="D3285" s="2" t="s">
        <v>109</v>
      </c>
      <c r="E3285" s="2" t="s">
        <v>39</v>
      </c>
      <c r="F3285" s="2">
        <v>510039537</v>
      </c>
      <c r="G3285" s="2" t="s">
        <v>40</v>
      </c>
      <c r="H3285" s="2" t="s">
        <v>576</v>
      </c>
      <c r="I3285" s="2" t="s">
        <v>756</v>
      </c>
      <c r="J3285" s="2">
        <v>969042927</v>
      </c>
      <c r="K3285" s="2" t="s">
        <v>576</v>
      </c>
      <c r="L3285" s="2" t="s">
        <v>81</v>
      </c>
      <c r="O3285" s="2" t="s">
        <v>94</v>
      </c>
      <c r="P3285" s="2" t="s">
        <v>95</v>
      </c>
      <c r="Q3285" s="2" t="s">
        <v>96</v>
      </c>
      <c r="R3285" s="2">
        <v>1</v>
      </c>
      <c r="S3285" s="2">
        <v>1.48</v>
      </c>
      <c r="T3285" s="2">
        <v>0.34039999999999998</v>
      </c>
      <c r="U3285" s="2">
        <v>1.8204</v>
      </c>
      <c r="V3285" s="2">
        <v>1.48</v>
      </c>
      <c r="W3285" s="5">
        <f t="shared" si="347"/>
        <v>0</v>
      </c>
      <c r="Y3285" s="2" t="s">
        <v>3256</v>
      </c>
      <c r="Z3285" s="2" t="s">
        <v>97</v>
      </c>
      <c r="AA3285" s="2" t="s">
        <v>77</v>
      </c>
      <c r="AB3285" s="2" t="s">
        <v>94</v>
      </c>
      <c r="AE3285" s="2">
        <f t="shared" si="345"/>
        <v>0</v>
      </c>
      <c r="AI3285" s="2">
        <f t="shared" si="346"/>
        <v>0</v>
      </c>
      <c r="AJ3285" s="2">
        <f t="shared" si="343"/>
        <v>0</v>
      </c>
      <c r="AK3285" s="5">
        <f t="shared" si="344"/>
        <v>0</v>
      </c>
    </row>
    <row r="3286" spans="1:37" x14ac:dyDescent="0.2">
      <c r="A3286" s="2">
        <v>2026</v>
      </c>
      <c r="B3286" s="2">
        <v>2</v>
      </c>
      <c r="C3286" s="2" t="s">
        <v>2014</v>
      </c>
      <c r="L3286" s="2" t="s">
        <v>81</v>
      </c>
      <c r="O3286" s="2" t="s">
        <v>94</v>
      </c>
      <c r="P3286" s="2" t="s">
        <v>95</v>
      </c>
      <c r="Q3286" s="2" t="s">
        <v>96</v>
      </c>
      <c r="R3286" s="2">
        <v>2</v>
      </c>
      <c r="S3286" s="2">
        <v>2.96</v>
      </c>
      <c r="T3286" s="2">
        <v>0.68080000000000007</v>
      </c>
      <c r="U3286" s="2">
        <v>3.6408</v>
      </c>
      <c r="V3286" s="2">
        <v>2.96</v>
      </c>
      <c r="W3286" s="5">
        <f t="shared" si="347"/>
        <v>0</v>
      </c>
      <c r="Y3286" s="2" t="s">
        <v>3256</v>
      </c>
      <c r="Z3286" s="2" t="s">
        <v>97</v>
      </c>
      <c r="AA3286" s="2" t="s">
        <v>77</v>
      </c>
      <c r="AB3286" s="2" t="s">
        <v>94</v>
      </c>
      <c r="AE3286" s="2">
        <f t="shared" si="345"/>
        <v>0</v>
      </c>
      <c r="AI3286" s="2">
        <f t="shared" si="346"/>
        <v>0</v>
      </c>
      <c r="AJ3286" s="2">
        <f t="shared" si="343"/>
        <v>0</v>
      </c>
      <c r="AK3286" s="5">
        <f t="shared" si="344"/>
        <v>0</v>
      </c>
    </row>
    <row r="3287" spans="1:37" x14ac:dyDescent="0.2">
      <c r="A3287" s="2">
        <v>2026</v>
      </c>
      <c r="B3287" s="2">
        <v>2</v>
      </c>
      <c r="C3287" s="2" t="s">
        <v>2600</v>
      </c>
      <c r="D3287" s="2" t="s">
        <v>184</v>
      </c>
      <c r="E3287" s="2" t="s">
        <v>2601</v>
      </c>
      <c r="F3287" s="2">
        <v>515259144</v>
      </c>
      <c r="G3287" s="2" t="s">
        <v>81</v>
      </c>
      <c r="H3287" s="2" t="s">
        <v>157</v>
      </c>
      <c r="I3287" s="2" t="s">
        <v>2602</v>
      </c>
      <c r="J3287" s="2">
        <v>968626165</v>
      </c>
      <c r="K3287" s="2" t="s">
        <v>100</v>
      </c>
      <c r="L3287" s="2" t="s">
        <v>81</v>
      </c>
      <c r="N3287" s="2" t="s">
        <v>2603</v>
      </c>
      <c r="O3287" s="2" t="s">
        <v>94</v>
      </c>
      <c r="P3287" s="2" t="s">
        <v>95</v>
      </c>
      <c r="Q3287" s="2" t="s">
        <v>96</v>
      </c>
      <c r="R3287" s="2">
        <v>8</v>
      </c>
      <c r="S3287" s="2">
        <v>11.84</v>
      </c>
      <c r="T3287" s="2">
        <v>2.7231999999999998</v>
      </c>
      <c r="U3287" s="2">
        <v>14.5632</v>
      </c>
      <c r="V3287" s="2">
        <v>11.84</v>
      </c>
      <c r="W3287" s="5">
        <f t="shared" si="347"/>
        <v>0</v>
      </c>
      <c r="Y3287" s="2" t="s">
        <v>3256</v>
      </c>
      <c r="Z3287" s="2" t="s">
        <v>97</v>
      </c>
      <c r="AA3287" s="2" t="s">
        <v>77</v>
      </c>
      <c r="AB3287" s="2" t="s">
        <v>94</v>
      </c>
      <c r="AE3287" s="2">
        <f t="shared" si="345"/>
        <v>0</v>
      </c>
      <c r="AI3287" s="2">
        <f t="shared" si="346"/>
        <v>0</v>
      </c>
      <c r="AJ3287" s="2">
        <f t="shared" si="343"/>
        <v>0</v>
      </c>
      <c r="AK3287" s="5">
        <f t="shared" si="344"/>
        <v>0</v>
      </c>
    </row>
    <row r="3288" spans="1:37" x14ac:dyDescent="0.2">
      <c r="A3288" s="2">
        <v>2026</v>
      </c>
      <c r="B3288" s="2">
        <v>2</v>
      </c>
      <c r="C3288" s="2" t="s">
        <v>1569</v>
      </c>
      <c r="D3288" s="2" t="s">
        <v>109</v>
      </c>
      <c r="E3288" s="2" t="s">
        <v>723</v>
      </c>
      <c r="F3288" s="2">
        <v>500975914</v>
      </c>
      <c r="G3288" s="2" t="s">
        <v>41</v>
      </c>
      <c r="H3288" s="2" t="s">
        <v>1570</v>
      </c>
      <c r="I3288" s="2" t="s">
        <v>1571</v>
      </c>
      <c r="K3288" s="2" t="s">
        <v>100</v>
      </c>
      <c r="L3288" s="2" t="s">
        <v>41</v>
      </c>
      <c r="O3288" s="2" t="s">
        <v>94</v>
      </c>
      <c r="P3288" s="2" t="s">
        <v>95</v>
      </c>
      <c r="Q3288" s="2" t="s">
        <v>96</v>
      </c>
      <c r="R3288" s="2">
        <v>1</v>
      </c>
      <c r="S3288" s="2">
        <v>1.48</v>
      </c>
      <c r="T3288" s="2">
        <v>0.34039999999999998</v>
      </c>
      <c r="U3288" s="2">
        <v>1.8204</v>
      </c>
      <c r="V3288" s="2">
        <v>1.48</v>
      </c>
      <c r="W3288" s="5">
        <f t="shared" si="347"/>
        <v>0</v>
      </c>
      <c r="Y3288" s="2" t="s">
        <v>3256</v>
      </c>
      <c r="Z3288" s="2" t="s">
        <v>97</v>
      </c>
      <c r="AA3288" s="2" t="s">
        <v>77</v>
      </c>
      <c r="AB3288" s="2" t="s">
        <v>94</v>
      </c>
      <c r="AE3288" s="2">
        <f t="shared" si="345"/>
        <v>0</v>
      </c>
      <c r="AI3288" s="2">
        <f t="shared" si="346"/>
        <v>0</v>
      </c>
      <c r="AJ3288" s="2">
        <f t="shared" si="343"/>
        <v>0</v>
      </c>
      <c r="AK3288" s="5">
        <f t="shared" si="344"/>
        <v>0</v>
      </c>
    </row>
    <row r="3289" spans="1:37" x14ac:dyDescent="0.2">
      <c r="A3289" s="2">
        <v>2026</v>
      </c>
      <c r="B3289" s="2">
        <v>2</v>
      </c>
      <c r="C3289" s="2" t="s">
        <v>1386</v>
      </c>
      <c r="D3289" s="2" t="s">
        <v>38</v>
      </c>
      <c r="E3289" s="2" t="s">
        <v>39</v>
      </c>
      <c r="F3289" s="2">
        <v>503116670</v>
      </c>
      <c r="G3289" s="2" t="s">
        <v>41</v>
      </c>
      <c r="H3289" s="2" t="s">
        <v>1387</v>
      </c>
      <c r="I3289" s="2" t="s">
        <v>1388</v>
      </c>
      <c r="J3289" s="2">
        <v>962004640</v>
      </c>
      <c r="K3289" s="2" t="s">
        <v>422</v>
      </c>
      <c r="L3289" s="2" t="s">
        <v>81</v>
      </c>
      <c r="O3289" s="2" t="s">
        <v>94</v>
      </c>
      <c r="P3289" s="2" t="s">
        <v>95</v>
      </c>
      <c r="Q3289" s="2" t="s">
        <v>96</v>
      </c>
      <c r="R3289" s="2">
        <v>1</v>
      </c>
      <c r="S3289" s="2">
        <v>1.48</v>
      </c>
      <c r="T3289" s="2">
        <v>0.34039999999999998</v>
      </c>
      <c r="U3289" s="2">
        <v>1.8204</v>
      </c>
      <c r="V3289" s="2">
        <v>1.48</v>
      </c>
      <c r="W3289" s="5">
        <f t="shared" si="347"/>
        <v>0</v>
      </c>
      <c r="Y3289" s="2" t="s">
        <v>3256</v>
      </c>
      <c r="Z3289" s="2" t="s">
        <v>97</v>
      </c>
      <c r="AA3289" s="2" t="s">
        <v>77</v>
      </c>
      <c r="AB3289" s="2" t="s">
        <v>94</v>
      </c>
      <c r="AE3289" s="2">
        <f t="shared" si="345"/>
        <v>0</v>
      </c>
      <c r="AI3289" s="2">
        <f t="shared" si="346"/>
        <v>0</v>
      </c>
      <c r="AJ3289" s="2">
        <f t="shared" si="343"/>
        <v>0</v>
      </c>
      <c r="AK3289" s="5">
        <f t="shared" si="344"/>
        <v>0</v>
      </c>
    </row>
    <row r="3290" spans="1:37" x14ac:dyDescent="0.2">
      <c r="A3290" s="2">
        <v>2026</v>
      </c>
      <c r="B3290" s="2">
        <v>2</v>
      </c>
      <c r="C3290" s="2" t="s">
        <v>2589</v>
      </c>
      <c r="O3290" s="2" t="s">
        <v>94</v>
      </c>
      <c r="P3290" s="2" t="s">
        <v>95</v>
      </c>
      <c r="Q3290" s="2" t="s">
        <v>96</v>
      </c>
      <c r="R3290" s="2">
        <v>2</v>
      </c>
      <c r="S3290" s="2">
        <v>2.96</v>
      </c>
      <c r="T3290" s="2">
        <v>0.68080000000000007</v>
      </c>
      <c r="U3290" s="2">
        <v>3.6408</v>
      </c>
      <c r="V3290" s="2">
        <v>2.96</v>
      </c>
      <c r="W3290" s="5">
        <f t="shared" si="347"/>
        <v>0</v>
      </c>
      <c r="Y3290" s="2" t="s">
        <v>3256</v>
      </c>
      <c r="Z3290" s="2" t="s">
        <v>97</v>
      </c>
      <c r="AA3290" s="2" t="s">
        <v>77</v>
      </c>
      <c r="AB3290" s="2" t="s">
        <v>94</v>
      </c>
      <c r="AE3290" s="2">
        <f t="shared" si="345"/>
        <v>0</v>
      </c>
      <c r="AI3290" s="2">
        <f t="shared" si="346"/>
        <v>0</v>
      </c>
      <c r="AJ3290" s="2">
        <f t="shared" si="343"/>
        <v>0</v>
      </c>
      <c r="AK3290" s="5">
        <f t="shared" si="344"/>
        <v>0</v>
      </c>
    </row>
    <row r="3291" spans="1:37" x14ac:dyDescent="0.2">
      <c r="A3291" s="2">
        <v>2026</v>
      </c>
      <c r="B3291" s="2">
        <v>2</v>
      </c>
      <c r="C3291" s="2" t="s">
        <v>853</v>
      </c>
      <c r="O3291" s="2" t="s">
        <v>94</v>
      </c>
      <c r="P3291" s="2" t="s">
        <v>95</v>
      </c>
      <c r="Q3291" s="2" t="s">
        <v>96</v>
      </c>
      <c r="R3291" s="2">
        <v>1</v>
      </c>
      <c r="S3291" s="2">
        <v>1.48</v>
      </c>
      <c r="T3291" s="2">
        <v>0.34039999999999998</v>
      </c>
      <c r="U3291" s="2">
        <v>1.8204</v>
      </c>
      <c r="V3291" s="2">
        <v>1.48</v>
      </c>
      <c r="W3291" s="5">
        <f t="shared" si="347"/>
        <v>0</v>
      </c>
      <c r="Y3291" s="2" t="s">
        <v>3256</v>
      </c>
      <c r="Z3291" s="2" t="s">
        <v>97</v>
      </c>
      <c r="AA3291" s="2" t="s">
        <v>77</v>
      </c>
      <c r="AB3291" s="2" t="s">
        <v>94</v>
      </c>
      <c r="AE3291" s="2">
        <f t="shared" si="345"/>
        <v>0</v>
      </c>
      <c r="AI3291" s="2">
        <f t="shared" si="346"/>
        <v>0</v>
      </c>
      <c r="AJ3291" s="2">
        <f t="shared" si="343"/>
        <v>0</v>
      </c>
      <c r="AK3291" s="5">
        <f t="shared" si="344"/>
        <v>0</v>
      </c>
    </row>
    <row r="3292" spans="1:37" x14ac:dyDescent="0.2">
      <c r="A3292" s="2">
        <v>2026</v>
      </c>
      <c r="B3292" s="2">
        <v>2</v>
      </c>
      <c r="C3292" s="2" t="s">
        <v>1266</v>
      </c>
      <c r="O3292" s="2" t="s">
        <v>94</v>
      </c>
      <c r="P3292" s="2" t="s">
        <v>95</v>
      </c>
      <c r="Q3292" s="2" t="s">
        <v>96</v>
      </c>
      <c r="R3292" s="2">
        <v>3</v>
      </c>
      <c r="S3292" s="2">
        <v>4.4400000000000004</v>
      </c>
      <c r="T3292" s="2">
        <v>1.0212000000000001</v>
      </c>
      <c r="U3292" s="2">
        <v>5.4612000000000007</v>
      </c>
      <c r="V3292" s="2">
        <v>4.4400000000000004</v>
      </c>
      <c r="W3292" s="5">
        <f t="shared" si="347"/>
        <v>0</v>
      </c>
      <c r="Y3292" s="2" t="s">
        <v>3256</v>
      </c>
      <c r="Z3292" s="2" t="s">
        <v>97</v>
      </c>
      <c r="AA3292" s="2" t="s">
        <v>77</v>
      </c>
      <c r="AB3292" s="2" t="s">
        <v>94</v>
      </c>
      <c r="AE3292" s="2">
        <f t="shared" si="345"/>
        <v>0</v>
      </c>
      <c r="AI3292" s="2">
        <f t="shared" si="346"/>
        <v>0</v>
      </c>
      <c r="AJ3292" s="2">
        <f t="shared" si="343"/>
        <v>0</v>
      </c>
      <c r="AK3292" s="5">
        <f t="shared" si="344"/>
        <v>0</v>
      </c>
    </row>
    <row r="3293" spans="1:37" x14ac:dyDescent="0.2">
      <c r="A3293" s="2">
        <v>2026</v>
      </c>
      <c r="B3293" s="2">
        <v>2</v>
      </c>
      <c r="C3293" s="2" t="s">
        <v>1062</v>
      </c>
      <c r="D3293" s="2" t="s">
        <v>184</v>
      </c>
      <c r="E3293" s="2" t="s">
        <v>1063</v>
      </c>
      <c r="F3293" s="2">
        <v>500199523</v>
      </c>
      <c r="G3293" s="2" t="s">
        <v>291</v>
      </c>
      <c r="H3293" s="2" t="s">
        <v>294</v>
      </c>
      <c r="I3293" s="2" t="s">
        <v>1064</v>
      </c>
      <c r="K3293" s="2" t="s">
        <v>294</v>
      </c>
      <c r="L3293" s="2" t="s">
        <v>81</v>
      </c>
      <c r="N3293" s="2" t="s">
        <v>2595</v>
      </c>
      <c r="O3293" s="2" t="s">
        <v>94</v>
      </c>
      <c r="P3293" s="2" t="s">
        <v>95</v>
      </c>
      <c r="Q3293" s="2" t="s">
        <v>96</v>
      </c>
      <c r="R3293" s="2">
        <v>1</v>
      </c>
      <c r="S3293" s="2">
        <v>1.48</v>
      </c>
      <c r="T3293" s="2">
        <v>0.34039999999999998</v>
      </c>
      <c r="U3293" s="2">
        <v>1.8204</v>
      </c>
      <c r="V3293" s="2">
        <v>1.48</v>
      </c>
      <c r="W3293" s="5">
        <f t="shared" si="347"/>
        <v>0</v>
      </c>
      <c r="Y3293" s="2" t="s">
        <v>3256</v>
      </c>
      <c r="Z3293" s="2" t="s">
        <v>97</v>
      </c>
      <c r="AA3293" s="2" t="s">
        <v>77</v>
      </c>
      <c r="AB3293" s="2" t="s">
        <v>94</v>
      </c>
      <c r="AE3293" s="2">
        <f t="shared" si="345"/>
        <v>0</v>
      </c>
      <c r="AI3293" s="2">
        <f t="shared" si="346"/>
        <v>0</v>
      </c>
      <c r="AJ3293" s="2">
        <f t="shared" si="343"/>
        <v>0</v>
      </c>
      <c r="AK3293" s="5">
        <f t="shared" si="344"/>
        <v>0</v>
      </c>
    </row>
    <row r="3294" spans="1:37" x14ac:dyDescent="0.2">
      <c r="A3294" s="2">
        <v>2026</v>
      </c>
      <c r="B3294" s="2">
        <v>2</v>
      </c>
      <c r="C3294" s="2" t="s">
        <v>1609</v>
      </c>
      <c r="D3294" s="2" t="s">
        <v>109</v>
      </c>
      <c r="E3294" s="2" t="s">
        <v>397</v>
      </c>
      <c r="F3294" s="2">
        <v>500314594</v>
      </c>
      <c r="G3294" s="2" t="s">
        <v>40</v>
      </c>
      <c r="H3294" s="2" t="s">
        <v>1610</v>
      </c>
      <c r="I3294" s="2" t="s">
        <v>1611</v>
      </c>
      <c r="K3294" s="2" t="s">
        <v>202</v>
      </c>
      <c r="L3294" s="2" t="s">
        <v>81</v>
      </c>
      <c r="N3294" s="2" t="s">
        <v>2582</v>
      </c>
      <c r="O3294" s="2" t="s">
        <v>94</v>
      </c>
      <c r="P3294" s="2" t="s">
        <v>95</v>
      </c>
      <c r="Q3294" s="2" t="s">
        <v>96</v>
      </c>
      <c r="R3294" s="2">
        <v>1</v>
      </c>
      <c r="S3294" s="2">
        <v>1.48</v>
      </c>
      <c r="T3294" s="2">
        <v>0.34039999999999998</v>
      </c>
      <c r="U3294" s="2">
        <v>1.8204</v>
      </c>
      <c r="V3294" s="2">
        <v>1.48</v>
      </c>
      <c r="W3294" s="5">
        <f t="shared" si="347"/>
        <v>0</v>
      </c>
      <c r="Y3294" s="2" t="s">
        <v>3256</v>
      </c>
      <c r="Z3294" s="2" t="s">
        <v>97</v>
      </c>
      <c r="AA3294" s="2" t="s">
        <v>77</v>
      </c>
      <c r="AB3294" s="2" t="s">
        <v>94</v>
      </c>
      <c r="AE3294" s="2">
        <f t="shared" si="345"/>
        <v>0</v>
      </c>
      <c r="AF3294" s="2">
        <v>1.48</v>
      </c>
      <c r="AG3294" s="2">
        <v>1.48</v>
      </c>
      <c r="AI3294" s="2">
        <f t="shared" si="346"/>
        <v>0</v>
      </c>
      <c r="AJ3294" s="2">
        <f t="shared" si="343"/>
        <v>0</v>
      </c>
      <c r="AK3294" s="5">
        <f t="shared" si="344"/>
        <v>0</v>
      </c>
    </row>
    <row r="3295" spans="1:37" x14ac:dyDescent="0.2">
      <c r="A3295" s="2">
        <v>2026</v>
      </c>
      <c r="B3295" s="2">
        <v>2</v>
      </c>
      <c r="C3295" s="2" t="s">
        <v>534</v>
      </c>
      <c r="D3295" s="2" t="s">
        <v>109</v>
      </c>
      <c r="E3295" s="2" t="s">
        <v>535</v>
      </c>
      <c r="F3295" s="2">
        <v>502139552</v>
      </c>
      <c r="G3295" s="2" t="s">
        <v>40</v>
      </c>
      <c r="H3295" s="2" t="s">
        <v>340</v>
      </c>
      <c r="I3295" s="2" t="s">
        <v>536</v>
      </c>
      <c r="K3295" s="2" t="s">
        <v>340</v>
      </c>
      <c r="L3295" s="2" t="s">
        <v>81</v>
      </c>
      <c r="O3295" s="2" t="s">
        <v>94</v>
      </c>
      <c r="P3295" s="2" t="s">
        <v>95</v>
      </c>
      <c r="Q3295" s="2" t="s">
        <v>96</v>
      </c>
      <c r="R3295" s="2">
        <v>1</v>
      </c>
      <c r="S3295" s="2">
        <v>1.48</v>
      </c>
      <c r="T3295" s="2">
        <v>0.34039999999999998</v>
      </c>
      <c r="U3295" s="2">
        <v>1.8204</v>
      </c>
      <c r="V3295" s="2">
        <v>1.48</v>
      </c>
      <c r="W3295" s="5">
        <f t="shared" si="347"/>
        <v>0</v>
      </c>
      <c r="Y3295" s="2" t="s">
        <v>3256</v>
      </c>
      <c r="Z3295" s="2" t="s">
        <v>97</v>
      </c>
      <c r="AA3295" s="2" t="s">
        <v>77</v>
      </c>
      <c r="AB3295" s="2" t="s">
        <v>94</v>
      </c>
      <c r="AE3295" s="2">
        <f t="shared" si="345"/>
        <v>0</v>
      </c>
      <c r="AI3295" s="2">
        <f t="shared" si="346"/>
        <v>0</v>
      </c>
      <c r="AJ3295" s="2">
        <f t="shared" ref="AJ3295:AJ3316" si="348">S3295-V3295</f>
        <v>0</v>
      </c>
      <c r="AK3295" s="5">
        <f t="shared" ref="AK3295:AK3316" si="349">(S3295-V3295)/S3295</f>
        <v>0</v>
      </c>
    </row>
    <row r="3296" spans="1:37" x14ac:dyDescent="0.2">
      <c r="A3296" s="2">
        <v>2026</v>
      </c>
      <c r="B3296" s="2">
        <v>2</v>
      </c>
      <c r="C3296" s="2" t="s">
        <v>553</v>
      </c>
      <c r="D3296" s="2" t="s">
        <v>109</v>
      </c>
      <c r="E3296" s="2" t="s">
        <v>397</v>
      </c>
      <c r="F3296" s="2">
        <v>503641790</v>
      </c>
      <c r="G3296" s="2" t="s">
        <v>40</v>
      </c>
      <c r="H3296" s="2" t="s">
        <v>554</v>
      </c>
      <c r="I3296" s="2" t="s">
        <v>555</v>
      </c>
      <c r="J3296" s="2">
        <v>917753665</v>
      </c>
      <c r="K3296" s="2" t="s">
        <v>100</v>
      </c>
      <c r="L3296" s="2" t="s">
        <v>81</v>
      </c>
      <c r="N3296" s="2" t="s">
        <v>2580</v>
      </c>
      <c r="O3296" s="2" t="s">
        <v>94</v>
      </c>
      <c r="P3296" s="2" t="s">
        <v>95</v>
      </c>
      <c r="Q3296" s="2" t="s">
        <v>96</v>
      </c>
      <c r="R3296" s="2">
        <v>1</v>
      </c>
      <c r="S3296" s="2">
        <v>1.48</v>
      </c>
      <c r="T3296" s="2">
        <v>0.34039999999999998</v>
      </c>
      <c r="U3296" s="2">
        <v>1.8204</v>
      </c>
      <c r="V3296" s="2">
        <v>1.48</v>
      </c>
      <c r="W3296" s="5">
        <f t="shared" si="347"/>
        <v>0</v>
      </c>
      <c r="Y3296" s="2" t="s">
        <v>3256</v>
      </c>
      <c r="Z3296" s="2" t="s">
        <v>97</v>
      </c>
      <c r="AA3296" s="2" t="s">
        <v>77</v>
      </c>
      <c r="AB3296" s="2" t="s">
        <v>94</v>
      </c>
      <c r="AE3296" s="2">
        <f t="shared" si="345"/>
        <v>0</v>
      </c>
      <c r="AF3296" s="2">
        <v>1.48</v>
      </c>
      <c r="AG3296" s="2">
        <v>1.48</v>
      </c>
      <c r="AI3296" s="2">
        <f t="shared" si="346"/>
        <v>0</v>
      </c>
      <c r="AJ3296" s="2">
        <f t="shared" si="348"/>
        <v>0</v>
      </c>
      <c r="AK3296" s="5">
        <f t="shared" si="349"/>
        <v>0</v>
      </c>
    </row>
    <row r="3297" spans="1:37" x14ac:dyDescent="0.2">
      <c r="A3297" s="2">
        <v>2026</v>
      </c>
      <c r="B3297" s="2">
        <v>2</v>
      </c>
      <c r="C3297" s="2" t="s">
        <v>2581</v>
      </c>
      <c r="L3297" s="2" t="s">
        <v>81</v>
      </c>
      <c r="O3297" s="2" t="s">
        <v>94</v>
      </c>
      <c r="P3297" s="2" t="s">
        <v>95</v>
      </c>
      <c r="Q3297" s="2" t="s">
        <v>96</v>
      </c>
      <c r="R3297" s="2">
        <v>3</v>
      </c>
      <c r="S3297" s="2">
        <v>4.4400000000000004</v>
      </c>
      <c r="T3297" s="2">
        <v>1.0212000000000001</v>
      </c>
      <c r="U3297" s="2">
        <v>5.4612000000000007</v>
      </c>
      <c r="V3297" s="2">
        <v>4.4400000000000004</v>
      </c>
      <c r="W3297" s="5">
        <f t="shared" si="347"/>
        <v>0</v>
      </c>
      <c r="Y3297" s="2" t="s">
        <v>3256</v>
      </c>
      <c r="Z3297" s="2" t="s">
        <v>97</v>
      </c>
      <c r="AA3297" s="2" t="s">
        <v>77</v>
      </c>
      <c r="AB3297" s="2" t="s">
        <v>94</v>
      </c>
      <c r="AE3297" s="2">
        <f t="shared" si="345"/>
        <v>0</v>
      </c>
      <c r="AI3297" s="2">
        <f t="shared" si="346"/>
        <v>0</v>
      </c>
      <c r="AJ3297" s="2">
        <f t="shared" si="348"/>
        <v>0</v>
      </c>
      <c r="AK3297" s="5">
        <f t="shared" si="349"/>
        <v>0</v>
      </c>
    </row>
    <row r="3298" spans="1:37" x14ac:dyDescent="0.2">
      <c r="A3298" s="2">
        <v>2026</v>
      </c>
      <c r="B3298" s="2">
        <v>2</v>
      </c>
      <c r="C3298" s="2" t="s">
        <v>2548</v>
      </c>
      <c r="L3298" s="2" t="s">
        <v>40</v>
      </c>
      <c r="O3298" s="2" t="s">
        <v>115</v>
      </c>
      <c r="P3298" s="2" t="s">
        <v>411</v>
      </c>
      <c r="Q3298" s="2" t="s">
        <v>412</v>
      </c>
      <c r="R3298" s="2">
        <v>1</v>
      </c>
      <c r="S3298" s="2">
        <v>0</v>
      </c>
      <c r="T3298" s="2">
        <v>0</v>
      </c>
      <c r="U3298" s="2">
        <v>0</v>
      </c>
      <c r="W3298" s="5" t="e">
        <f t="shared" si="347"/>
        <v>#DIV/0!</v>
      </c>
      <c r="Y3298" s="2" t="s">
        <v>118</v>
      </c>
      <c r="Z3298" s="2" t="s">
        <v>318</v>
      </c>
      <c r="AE3298" s="2">
        <f t="shared" si="345"/>
        <v>0</v>
      </c>
      <c r="AI3298" s="2">
        <f t="shared" si="346"/>
        <v>0</v>
      </c>
      <c r="AJ3298" s="2">
        <f t="shared" si="348"/>
        <v>0</v>
      </c>
      <c r="AK3298" s="5" t="e">
        <f t="shared" si="349"/>
        <v>#DIV/0!</v>
      </c>
    </row>
    <row r="3299" spans="1:37" x14ac:dyDescent="0.2">
      <c r="A3299" s="2">
        <v>2026</v>
      </c>
      <c r="B3299" s="2">
        <v>2</v>
      </c>
      <c r="C3299" s="2" t="s">
        <v>2636</v>
      </c>
      <c r="O3299" s="2" t="s">
        <v>40</v>
      </c>
      <c r="P3299" s="2" t="s">
        <v>364</v>
      </c>
      <c r="Q3299" s="2" t="s">
        <v>365</v>
      </c>
      <c r="R3299" s="2">
        <v>1</v>
      </c>
      <c r="S3299" s="2">
        <v>200.03</v>
      </c>
      <c r="T3299" s="2">
        <v>46.006900000000002</v>
      </c>
      <c r="U3299" s="2">
        <v>246.0369</v>
      </c>
      <c r="W3299" s="5">
        <f t="shared" si="347"/>
        <v>1</v>
      </c>
      <c r="Y3299" s="2" t="s">
        <v>120</v>
      </c>
      <c r="AE3299" s="2">
        <f t="shared" si="345"/>
        <v>0</v>
      </c>
      <c r="AI3299" s="2">
        <f t="shared" si="346"/>
        <v>0</v>
      </c>
      <c r="AJ3299" s="2">
        <f t="shared" si="348"/>
        <v>200.03</v>
      </c>
      <c r="AK3299" s="5">
        <f t="shared" si="349"/>
        <v>1</v>
      </c>
    </row>
    <row r="3300" spans="1:37" x14ac:dyDescent="0.2">
      <c r="A3300" s="2">
        <v>2026</v>
      </c>
      <c r="B3300" s="2">
        <v>2</v>
      </c>
      <c r="C3300" s="2" t="s">
        <v>1097</v>
      </c>
      <c r="D3300" s="2" t="s">
        <v>109</v>
      </c>
      <c r="E3300" s="2" t="s">
        <v>39</v>
      </c>
      <c r="F3300" s="2">
        <v>505194147</v>
      </c>
      <c r="G3300" s="2" t="s">
        <v>110</v>
      </c>
      <c r="H3300" s="2" t="s">
        <v>1098</v>
      </c>
      <c r="I3300" s="2" t="s">
        <v>1099</v>
      </c>
      <c r="J3300" s="2">
        <v>917523997</v>
      </c>
      <c r="K3300" s="2" t="s">
        <v>113</v>
      </c>
      <c r="L3300" s="2" t="s">
        <v>40</v>
      </c>
      <c r="N3300" s="2" t="s">
        <v>2637</v>
      </c>
      <c r="O3300" s="2" t="s">
        <v>40</v>
      </c>
      <c r="P3300" s="2" t="s">
        <v>364</v>
      </c>
      <c r="Q3300" s="2" t="s">
        <v>365</v>
      </c>
      <c r="R3300" s="2">
        <v>1</v>
      </c>
      <c r="S3300" s="2">
        <v>352.08</v>
      </c>
      <c r="T3300" s="2">
        <v>80.978399999999993</v>
      </c>
      <c r="U3300" s="2">
        <v>433.05840000000001</v>
      </c>
      <c r="W3300" s="5">
        <f t="shared" si="347"/>
        <v>1</v>
      </c>
      <c r="Y3300" s="2" t="s">
        <v>118</v>
      </c>
      <c r="Z3300" s="2" t="s">
        <v>119</v>
      </c>
      <c r="AE3300" s="2">
        <f t="shared" si="345"/>
        <v>0</v>
      </c>
      <c r="AI3300" s="2">
        <f t="shared" si="346"/>
        <v>0</v>
      </c>
      <c r="AJ3300" s="2">
        <f t="shared" si="348"/>
        <v>352.08</v>
      </c>
      <c r="AK3300" s="5">
        <f t="shared" si="349"/>
        <v>1</v>
      </c>
    </row>
    <row r="3301" spans="1:37" x14ac:dyDescent="0.2">
      <c r="A3301" s="2">
        <v>2026</v>
      </c>
      <c r="B3301" s="2">
        <v>2</v>
      </c>
      <c r="C3301" s="2" t="s">
        <v>529</v>
      </c>
      <c r="D3301" s="2" t="s">
        <v>109</v>
      </c>
      <c r="E3301" s="2" t="s">
        <v>39</v>
      </c>
      <c r="F3301" s="2">
        <v>509391583</v>
      </c>
      <c r="G3301" s="2" t="s">
        <v>40</v>
      </c>
      <c r="H3301" s="2" t="s">
        <v>530</v>
      </c>
      <c r="I3301" s="2" t="s">
        <v>531</v>
      </c>
      <c r="K3301" s="2" t="s">
        <v>345</v>
      </c>
      <c r="L3301" s="2" t="s">
        <v>40</v>
      </c>
      <c r="N3301" s="2" t="s">
        <v>2638</v>
      </c>
      <c r="O3301" s="2" t="s">
        <v>115</v>
      </c>
      <c r="P3301" s="2" t="s">
        <v>2247</v>
      </c>
      <c r="Q3301" s="2" t="s">
        <v>2248</v>
      </c>
      <c r="R3301" s="2">
        <v>1</v>
      </c>
      <c r="S3301" s="2">
        <v>11.25</v>
      </c>
      <c r="T3301" s="2">
        <v>2.5874999999999999</v>
      </c>
      <c r="U3301" s="2">
        <v>13.8375</v>
      </c>
      <c r="V3301" s="2">
        <v>5.35</v>
      </c>
      <c r="W3301" s="5">
        <f t="shared" si="347"/>
        <v>0.52444444444444449</v>
      </c>
      <c r="Y3301" s="2" t="s">
        <v>118</v>
      </c>
      <c r="Z3301" s="2" t="s">
        <v>119</v>
      </c>
      <c r="AA3301" s="2" t="s">
        <v>120</v>
      </c>
      <c r="AB3301" s="2" t="s">
        <v>115</v>
      </c>
      <c r="AE3301" s="2">
        <f t="shared" si="345"/>
        <v>0</v>
      </c>
      <c r="AF3301" s="2">
        <v>5.35</v>
      </c>
      <c r="AI3301" s="2">
        <f t="shared" si="346"/>
        <v>0</v>
      </c>
      <c r="AJ3301" s="2">
        <f t="shared" si="348"/>
        <v>5.9</v>
      </c>
      <c r="AK3301" s="5">
        <f t="shared" si="349"/>
        <v>0.52444444444444449</v>
      </c>
    </row>
    <row r="3302" spans="1:37" x14ac:dyDescent="0.2">
      <c r="A3302" s="2">
        <v>2026</v>
      </c>
      <c r="B3302" s="2">
        <v>2</v>
      </c>
      <c r="C3302" s="2" t="s">
        <v>2280</v>
      </c>
      <c r="F3302" s="2">
        <v>503636002</v>
      </c>
      <c r="H3302" s="2" t="s">
        <v>2639</v>
      </c>
      <c r="L3302" s="2" t="s">
        <v>40</v>
      </c>
      <c r="N3302" s="2" t="s">
        <v>2640</v>
      </c>
      <c r="O3302" s="2" t="s">
        <v>115</v>
      </c>
      <c r="P3302" s="2" t="s">
        <v>2249</v>
      </c>
      <c r="Q3302" s="2" t="s">
        <v>2250</v>
      </c>
      <c r="R3302" s="2">
        <v>4</v>
      </c>
      <c r="S3302" s="2">
        <v>210.64</v>
      </c>
      <c r="T3302" s="2">
        <v>48.447200000000002</v>
      </c>
      <c r="U3302" s="2">
        <v>259.0872</v>
      </c>
      <c r="V3302" s="2">
        <f>28.3725*R3302</f>
        <v>113.49</v>
      </c>
      <c r="W3302" s="5">
        <f t="shared" si="347"/>
        <v>0.46121344473984049</v>
      </c>
      <c r="Y3302" s="2" t="s">
        <v>118</v>
      </c>
      <c r="Z3302" s="2" t="s">
        <v>119</v>
      </c>
      <c r="AA3302" s="2" t="s">
        <v>120</v>
      </c>
      <c r="AB3302" s="2" t="s">
        <v>115</v>
      </c>
      <c r="AE3302" s="2">
        <f t="shared" si="345"/>
        <v>0</v>
      </c>
      <c r="AF3302" s="2">
        <v>28.372499999999999</v>
      </c>
      <c r="AI3302" s="2">
        <f t="shared" si="346"/>
        <v>0</v>
      </c>
      <c r="AJ3302" s="2">
        <f t="shared" si="348"/>
        <v>97.149999999999991</v>
      </c>
      <c r="AK3302" s="5">
        <f t="shared" si="349"/>
        <v>0.46121344473984049</v>
      </c>
    </row>
    <row r="3303" spans="1:37" x14ac:dyDescent="0.2">
      <c r="A3303" s="2">
        <v>2026</v>
      </c>
      <c r="B3303" s="2">
        <v>2</v>
      </c>
      <c r="C3303" s="2" t="s">
        <v>290</v>
      </c>
      <c r="D3303" s="2" t="s">
        <v>109</v>
      </c>
      <c r="E3303" s="2" t="s">
        <v>39</v>
      </c>
      <c r="F3303" s="2">
        <v>508428300</v>
      </c>
      <c r="G3303" s="2" t="s">
        <v>291</v>
      </c>
      <c r="H3303" s="2" t="s">
        <v>292</v>
      </c>
      <c r="I3303" s="2" t="s">
        <v>293</v>
      </c>
      <c r="J3303" s="2">
        <v>917165642</v>
      </c>
      <c r="K3303" s="2" t="s">
        <v>294</v>
      </c>
      <c r="L3303" s="2" t="s">
        <v>40</v>
      </c>
      <c r="N3303" s="2" t="s">
        <v>2641</v>
      </c>
      <c r="O3303" s="2" t="s">
        <v>115</v>
      </c>
      <c r="P3303" s="2" t="s">
        <v>2642</v>
      </c>
      <c r="Q3303" s="2" t="s">
        <v>2643</v>
      </c>
      <c r="R3303" s="2">
        <v>4</v>
      </c>
      <c r="S3303" s="2">
        <v>40.56</v>
      </c>
      <c r="T3303" s="2">
        <v>9.3288000000000011</v>
      </c>
      <c r="U3303" s="2">
        <v>49.888800000000003</v>
      </c>
      <c r="V3303" s="2">
        <f>3.5*R3303</f>
        <v>14</v>
      </c>
      <c r="W3303" s="5">
        <f t="shared" si="347"/>
        <v>0.65483234714003946</v>
      </c>
      <c r="Y3303" s="2" t="s">
        <v>118</v>
      </c>
      <c r="Z3303" s="2" t="s">
        <v>119</v>
      </c>
      <c r="AA3303" s="2" t="s">
        <v>120</v>
      </c>
      <c r="AB3303" s="2" t="s">
        <v>115</v>
      </c>
      <c r="AE3303" s="2">
        <f t="shared" si="345"/>
        <v>0</v>
      </c>
      <c r="AF3303" s="2">
        <v>3.5</v>
      </c>
      <c r="AI3303" s="2">
        <f t="shared" si="346"/>
        <v>0</v>
      </c>
      <c r="AJ3303" s="2">
        <f t="shared" si="348"/>
        <v>26.560000000000002</v>
      </c>
      <c r="AK3303" s="5">
        <f t="shared" si="349"/>
        <v>0.65483234714003946</v>
      </c>
    </row>
    <row r="3304" spans="1:37" x14ac:dyDescent="0.2">
      <c r="A3304" s="2">
        <v>2026</v>
      </c>
      <c r="B3304" s="2">
        <v>3</v>
      </c>
      <c r="C3304" s="2" t="s">
        <v>2069</v>
      </c>
      <c r="L3304" s="2" t="s">
        <v>40</v>
      </c>
      <c r="N3304" s="2" t="s">
        <v>2644</v>
      </c>
      <c r="O3304" s="2" t="s">
        <v>115</v>
      </c>
      <c r="P3304" s="2" t="s">
        <v>785</v>
      </c>
      <c r="Q3304" s="2" t="s">
        <v>786</v>
      </c>
      <c r="R3304" s="2">
        <v>2</v>
      </c>
      <c r="S3304" s="2">
        <v>157.18</v>
      </c>
      <c r="T3304" s="2">
        <v>36.151400000000002</v>
      </c>
      <c r="U3304" s="2">
        <v>193.3314</v>
      </c>
      <c r="V3304" s="2">
        <f>35.9317*R3304</f>
        <v>71.863399999999999</v>
      </c>
      <c r="W3304" s="5">
        <f t="shared" si="347"/>
        <v>0.54279552105865891</v>
      </c>
      <c r="Y3304" s="2" t="s">
        <v>118</v>
      </c>
      <c r="Z3304" s="2" t="s">
        <v>119</v>
      </c>
      <c r="AA3304" s="2" t="s">
        <v>120</v>
      </c>
      <c r="AB3304" s="2" t="s">
        <v>115</v>
      </c>
      <c r="AE3304" s="2">
        <f t="shared" si="345"/>
        <v>0</v>
      </c>
      <c r="AF3304" s="2">
        <v>35.931699999999999</v>
      </c>
      <c r="AI3304" s="2">
        <f t="shared" si="346"/>
        <v>0</v>
      </c>
      <c r="AJ3304" s="2">
        <f t="shared" si="348"/>
        <v>85.316600000000008</v>
      </c>
      <c r="AK3304" s="5">
        <f t="shared" si="349"/>
        <v>0.54279552105865891</v>
      </c>
    </row>
    <row r="3305" spans="1:37" x14ac:dyDescent="0.2">
      <c r="A3305" s="2">
        <v>2026</v>
      </c>
      <c r="B3305" s="2">
        <v>2</v>
      </c>
      <c r="C3305" s="2" t="s">
        <v>2280</v>
      </c>
      <c r="L3305" s="2" t="s">
        <v>40</v>
      </c>
      <c r="N3305" s="2" t="s">
        <v>2640</v>
      </c>
      <c r="O3305" s="2" t="s">
        <v>115</v>
      </c>
      <c r="P3305" s="2" t="s">
        <v>960</v>
      </c>
      <c r="Q3305" s="2" t="s">
        <v>961</v>
      </c>
      <c r="R3305" s="2">
        <v>1</v>
      </c>
      <c r="S3305" s="2">
        <v>31.32</v>
      </c>
      <c r="T3305" s="2">
        <v>7.2036000000000007</v>
      </c>
      <c r="U3305" s="2">
        <v>38.523600000000002</v>
      </c>
      <c r="V3305" s="2">
        <f>14.67*R3305</f>
        <v>14.67</v>
      </c>
      <c r="W3305" s="5">
        <f t="shared" si="347"/>
        <v>0.53160919540229878</v>
      </c>
      <c r="Y3305" s="2" t="s">
        <v>118</v>
      </c>
      <c r="Z3305" s="2" t="s">
        <v>583</v>
      </c>
      <c r="AA3305" s="2" t="s">
        <v>120</v>
      </c>
      <c r="AB3305" s="2" t="s">
        <v>115</v>
      </c>
      <c r="AE3305" s="2">
        <f t="shared" si="345"/>
        <v>0</v>
      </c>
      <c r="AF3305" s="2">
        <f>14.4+0.27</f>
        <v>14.67</v>
      </c>
      <c r="AI3305" s="2">
        <f t="shared" si="346"/>
        <v>0</v>
      </c>
      <c r="AJ3305" s="2">
        <f t="shared" si="348"/>
        <v>16.649999999999999</v>
      </c>
      <c r="AK3305" s="5">
        <f t="shared" si="349"/>
        <v>0.53160919540229878</v>
      </c>
    </row>
    <row r="3306" spans="1:37" x14ac:dyDescent="0.2">
      <c r="A3306" s="2">
        <v>2026</v>
      </c>
      <c r="B3306" s="2">
        <v>3</v>
      </c>
      <c r="C3306" s="2" t="s">
        <v>1177</v>
      </c>
      <c r="D3306" s="2" t="s">
        <v>758</v>
      </c>
      <c r="E3306" s="2" t="s">
        <v>1178</v>
      </c>
      <c r="F3306" s="2">
        <v>505760088</v>
      </c>
      <c r="G3306" s="2" t="s">
        <v>291</v>
      </c>
      <c r="H3306" s="2" t="s">
        <v>1179</v>
      </c>
      <c r="I3306" s="2" t="s">
        <v>1180</v>
      </c>
      <c r="K3306" s="2" t="s">
        <v>340</v>
      </c>
      <c r="L3306" s="2" t="s">
        <v>40</v>
      </c>
      <c r="N3306" s="2" t="s">
        <v>2467</v>
      </c>
      <c r="O3306" s="2" t="s">
        <v>115</v>
      </c>
      <c r="P3306" s="2" t="s">
        <v>911</v>
      </c>
      <c r="Q3306" s="2" t="s">
        <v>912</v>
      </c>
      <c r="R3306" s="2">
        <v>1</v>
      </c>
      <c r="S3306" s="2">
        <v>699.3</v>
      </c>
      <c r="T3306" s="2">
        <v>160.839</v>
      </c>
      <c r="U3306" s="2">
        <v>860.1389999999999</v>
      </c>
      <c r="V3306" s="2">
        <v>342.22</v>
      </c>
      <c r="W3306" s="5">
        <f t="shared" si="347"/>
        <v>0.51062491062491056</v>
      </c>
      <c r="Y3306" s="2" t="s">
        <v>118</v>
      </c>
      <c r="Z3306" s="2" t="s">
        <v>182</v>
      </c>
      <c r="AE3306" s="2">
        <f t="shared" si="345"/>
        <v>0</v>
      </c>
      <c r="AF3306" s="2">
        <v>342.22</v>
      </c>
      <c r="AI3306" s="2">
        <f t="shared" si="346"/>
        <v>0</v>
      </c>
      <c r="AJ3306" s="2">
        <f t="shared" si="348"/>
        <v>357.07999999999993</v>
      </c>
      <c r="AK3306" s="5">
        <f t="shared" si="349"/>
        <v>0.51062491062491056</v>
      </c>
    </row>
    <row r="3307" spans="1:37" x14ac:dyDescent="0.2">
      <c r="A3307" s="2">
        <v>2026</v>
      </c>
      <c r="B3307" s="2">
        <v>2</v>
      </c>
      <c r="C3307" s="2" t="s">
        <v>2172</v>
      </c>
      <c r="L3307" s="2" t="s">
        <v>40</v>
      </c>
      <c r="N3307" s="2" t="s">
        <v>2645</v>
      </c>
      <c r="O3307" s="2" t="s">
        <v>115</v>
      </c>
      <c r="P3307" s="2" t="s">
        <v>645</v>
      </c>
      <c r="Q3307" s="2" t="s">
        <v>646</v>
      </c>
      <c r="R3307" s="2">
        <v>1</v>
      </c>
      <c r="S3307" s="2">
        <v>1222.1199999999999</v>
      </c>
      <c r="T3307" s="2">
        <v>281.08760000000001</v>
      </c>
      <c r="U3307" s="2">
        <v>1503.2076</v>
      </c>
      <c r="V3307" s="2">
        <v>605.65</v>
      </c>
      <c r="W3307" s="5">
        <f t="shared" si="347"/>
        <v>0.50442673387228742</v>
      </c>
      <c r="Y3307" s="2" t="s">
        <v>118</v>
      </c>
      <c r="Z3307" s="2" t="s">
        <v>119</v>
      </c>
      <c r="AA3307" s="2" t="s">
        <v>120</v>
      </c>
      <c r="AB3307" s="2" t="s">
        <v>115</v>
      </c>
      <c r="AE3307" s="2">
        <f t="shared" si="345"/>
        <v>0</v>
      </c>
      <c r="AF3307" s="2">
        <f>597.47+8.18</f>
        <v>605.65</v>
      </c>
      <c r="AI3307" s="2">
        <f t="shared" si="346"/>
        <v>0</v>
      </c>
      <c r="AJ3307" s="2">
        <f t="shared" si="348"/>
        <v>616.46999999999991</v>
      </c>
      <c r="AK3307" s="5">
        <f t="shared" si="349"/>
        <v>0.50442673387228742</v>
      </c>
    </row>
    <row r="3308" spans="1:37" x14ac:dyDescent="0.2">
      <c r="A3308" s="2">
        <v>2026</v>
      </c>
      <c r="B3308" s="2">
        <v>4</v>
      </c>
      <c r="C3308" s="2" t="s">
        <v>695</v>
      </c>
      <c r="D3308" s="2" t="s">
        <v>109</v>
      </c>
      <c r="E3308" s="2" t="s">
        <v>39</v>
      </c>
      <c r="F3308" s="2">
        <v>503589950</v>
      </c>
      <c r="G3308" s="2" t="s">
        <v>41</v>
      </c>
      <c r="H3308" s="2" t="s">
        <v>615</v>
      </c>
      <c r="I3308" s="2" t="s">
        <v>696</v>
      </c>
      <c r="J3308" s="2">
        <v>913036545</v>
      </c>
      <c r="K3308" s="2" t="s">
        <v>178</v>
      </c>
      <c r="L3308" s="2" t="s">
        <v>41</v>
      </c>
      <c r="N3308" s="2" t="s">
        <v>2635</v>
      </c>
      <c r="O3308" s="2" t="s">
        <v>43</v>
      </c>
      <c r="P3308" s="2" t="s">
        <v>864</v>
      </c>
      <c r="Q3308" s="2" t="s">
        <v>865</v>
      </c>
      <c r="R3308" s="2">
        <v>2</v>
      </c>
      <c r="S3308" s="2">
        <v>46.8</v>
      </c>
      <c r="T3308" s="2">
        <v>10.763999999999999</v>
      </c>
      <c r="U3308" s="2">
        <v>57.563999999999993</v>
      </c>
      <c r="W3308" s="5">
        <f t="shared" si="347"/>
        <v>1</v>
      </c>
      <c r="Y3308" s="2" t="s">
        <v>3256</v>
      </c>
      <c r="Z3308" s="2" t="s">
        <v>46</v>
      </c>
      <c r="AA3308" s="2" t="s">
        <v>47</v>
      </c>
      <c r="AB3308" s="2" t="s">
        <v>48</v>
      </c>
      <c r="AE3308" s="2">
        <f t="shared" si="345"/>
        <v>0</v>
      </c>
      <c r="AI3308" s="2">
        <f t="shared" si="346"/>
        <v>0</v>
      </c>
      <c r="AJ3308" s="2">
        <f t="shared" si="348"/>
        <v>46.8</v>
      </c>
      <c r="AK3308" s="5">
        <f t="shared" si="349"/>
        <v>1</v>
      </c>
    </row>
    <row r="3309" spans="1:37" x14ac:dyDescent="0.2">
      <c r="A3309" s="2">
        <v>2026</v>
      </c>
      <c r="B3309" s="2">
        <v>3</v>
      </c>
      <c r="C3309" s="2" t="s">
        <v>2646</v>
      </c>
      <c r="L3309" s="2" t="s">
        <v>40</v>
      </c>
      <c r="N3309" s="2" t="s">
        <v>2647</v>
      </c>
      <c r="O3309" s="2" t="s">
        <v>115</v>
      </c>
      <c r="P3309" s="2" t="s">
        <v>2648</v>
      </c>
      <c r="Q3309" s="2" t="s">
        <v>2649</v>
      </c>
      <c r="R3309" s="2">
        <v>1</v>
      </c>
      <c r="S3309" s="2">
        <v>18.41</v>
      </c>
      <c r="T3309" s="2">
        <v>4.2343000000000002</v>
      </c>
      <c r="U3309" s="2">
        <v>22.644300000000001</v>
      </c>
      <c r="V3309" s="2">
        <v>8.77</v>
      </c>
      <c r="W3309" s="5">
        <f t="shared" si="347"/>
        <v>0.52362846279196096</v>
      </c>
      <c r="Y3309" s="2" t="s">
        <v>118</v>
      </c>
      <c r="Z3309" s="2" t="s">
        <v>119</v>
      </c>
      <c r="AA3309" s="2" t="s">
        <v>120</v>
      </c>
      <c r="AB3309" s="2" t="s">
        <v>115</v>
      </c>
      <c r="AE3309" s="2">
        <f t="shared" si="345"/>
        <v>0</v>
      </c>
      <c r="AF3309" s="2">
        <v>8.77</v>
      </c>
      <c r="AI3309" s="2">
        <f t="shared" si="346"/>
        <v>0</v>
      </c>
      <c r="AJ3309" s="2">
        <f t="shared" si="348"/>
        <v>9.64</v>
      </c>
      <c r="AK3309" s="5">
        <f t="shared" si="349"/>
        <v>0.52362846279196096</v>
      </c>
    </row>
    <row r="3310" spans="1:37" x14ac:dyDescent="0.2">
      <c r="A3310" s="2">
        <v>2026</v>
      </c>
      <c r="B3310" s="2">
        <v>2</v>
      </c>
      <c r="C3310" s="2" t="s">
        <v>747</v>
      </c>
      <c r="O3310" s="2" t="s">
        <v>115</v>
      </c>
      <c r="P3310" s="2" t="s">
        <v>986</v>
      </c>
      <c r="Q3310" s="2" t="s">
        <v>987</v>
      </c>
      <c r="R3310" s="2">
        <v>1</v>
      </c>
      <c r="S3310" s="2">
        <v>79.819999999999993</v>
      </c>
      <c r="T3310" s="2">
        <v>18.358599999999999</v>
      </c>
      <c r="U3310" s="2">
        <v>98.178599999999989</v>
      </c>
      <c r="W3310" s="5">
        <f t="shared" si="347"/>
        <v>1</v>
      </c>
      <c r="Y3310" s="2" t="s">
        <v>118</v>
      </c>
      <c r="AE3310" s="2">
        <f t="shared" si="345"/>
        <v>0</v>
      </c>
      <c r="AI3310" s="2">
        <f t="shared" si="346"/>
        <v>0</v>
      </c>
      <c r="AJ3310" s="2">
        <f t="shared" si="348"/>
        <v>79.819999999999993</v>
      </c>
      <c r="AK3310" s="5">
        <f t="shared" si="349"/>
        <v>1</v>
      </c>
    </row>
    <row r="3311" spans="1:37" x14ac:dyDescent="0.2">
      <c r="A3311" s="2">
        <v>2026</v>
      </c>
      <c r="B3311" s="2">
        <v>2</v>
      </c>
      <c r="C3311" s="2" t="s">
        <v>623</v>
      </c>
      <c r="D3311" s="2" t="s">
        <v>38</v>
      </c>
      <c r="E3311" s="2" t="s">
        <v>39</v>
      </c>
      <c r="F3311" s="2">
        <v>513759654</v>
      </c>
      <c r="G3311" s="2" t="s">
        <v>41</v>
      </c>
      <c r="H3311" s="2" t="s">
        <v>624</v>
      </c>
      <c r="I3311" s="2" t="s">
        <v>625</v>
      </c>
      <c r="K3311" s="2" t="s">
        <v>422</v>
      </c>
      <c r="L3311" s="2" t="s">
        <v>41</v>
      </c>
      <c r="O3311" s="2" t="s">
        <v>115</v>
      </c>
      <c r="P3311" s="2" t="s">
        <v>986</v>
      </c>
      <c r="Q3311" s="2" t="s">
        <v>987</v>
      </c>
      <c r="R3311" s="2">
        <v>1</v>
      </c>
      <c r="S3311" s="2">
        <v>83.46</v>
      </c>
      <c r="T3311" s="2">
        <v>19.195799999999998</v>
      </c>
      <c r="U3311" s="2">
        <v>102.6558</v>
      </c>
      <c r="W3311" s="5">
        <f t="shared" si="347"/>
        <v>1</v>
      </c>
      <c r="Y3311" s="2" t="s">
        <v>118</v>
      </c>
      <c r="AE3311" s="2">
        <f t="shared" si="345"/>
        <v>0</v>
      </c>
      <c r="AI3311" s="2">
        <f t="shared" si="346"/>
        <v>0</v>
      </c>
      <c r="AJ3311" s="2">
        <f t="shared" si="348"/>
        <v>83.46</v>
      </c>
      <c r="AK3311" s="5">
        <f t="shared" si="349"/>
        <v>1</v>
      </c>
    </row>
    <row r="3312" spans="1:37" x14ac:dyDescent="0.2">
      <c r="A3312" s="2">
        <v>2026</v>
      </c>
      <c r="B3312" s="2">
        <v>2</v>
      </c>
      <c r="C3312" s="2" t="s">
        <v>649</v>
      </c>
      <c r="D3312" s="2" t="s">
        <v>38</v>
      </c>
      <c r="E3312" s="2" t="s">
        <v>39</v>
      </c>
      <c r="F3312" s="2">
        <v>509056946</v>
      </c>
      <c r="G3312" s="2" t="s">
        <v>110</v>
      </c>
      <c r="H3312" s="2" t="s">
        <v>650</v>
      </c>
      <c r="I3312" s="2" t="s">
        <v>651</v>
      </c>
      <c r="J3312" s="2">
        <v>964495536</v>
      </c>
      <c r="K3312" s="2" t="s">
        <v>113</v>
      </c>
      <c r="L3312" s="2" t="s">
        <v>40</v>
      </c>
      <c r="N3312" s="2" t="s">
        <v>2650</v>
      </c>
      <c r="O3312" s="2" t="s">
        <v>115</v>
      </c>
      <c r="P3312" s="2" t="s">
        <v>986</v>
      </c>
      <c r="Q3312" s="2" t="s">
        <v>987</v>
      </c>
      <c r="R3312" s="2">
        <v>1</v>
      </c>
      <c r="S3312" s="2">
        <v>83.46</v>
      </c>
      <c r="T3312" s="2">
        <v>19.195799999999998</v>
      </c>
      <c r="U3312" s="2">
        <v>102.6558</v>
      </c>
      <c r="W3312" s="5">
        <f t="shared" si="347"/>
        <v>1</v>
      </c>
      <c r="Y3312" s="2" t="s">
        <v>118</v>
      </c>
      <c r="Z3312" s="2" t="s">
        <v>119</v>
      </c>
      <c r="AE3312" s="2">
        <f t="shared" si="345"/>
        <v>0</v>
      </c>
      <c r="AI3312" s="2">
        <f t="shared" si="346"/>
        <v>0</v>
      </c>
      <c r="AJ3312" s="2">
        <f t="shared" si="348"/>
        <v>83.46</v>
      </c>
      <c r="AK3312" s="5">
        <f t="shared" si="349"/>
        <v>1</v>
      </c>
    </row>
    <row r="3313" spans="1:37" x14ac:dyDescent="0.2">
      <c r="A3313" s="2">
        <v>2026</v>
      </c>
      <c r="B3313" s="2">
        <v>2</v>
      </c>
      <c r="C3313" s="2" t="s">
        <v>913</v>
      </c>
      <c r="O3313" s="2" t="s">
        <v>115</v>
      </c>
      <c r="P3313" s="2" t="s">
        <v>1483</v>
      </c>
      <c r="Q3313" s="2" t="s">
        <v>1484</v>
      </c>
      <c r="R3313" s="2">
        <v>1</v>
      </c>
      <c r="S3313" s="2">
        <v>689.22</v>
      </c>
      <c r="T3313" s="2">
        <v>158.5206</v>
      </c>
      <c r="U3313" s="2">
        <v>847.74060000000009</v>
      </c>
      <c r="W3313" s="5">
        <f t="shared" si="347"/>
        <v>1</v>
      </c>
      <c r="Y3313" s="2" t="s">
        <v>118</v>
      </c>
      <c r="AE3313" s="2">
        <f t="shared" si="345"/>
        <v>0</v>
      </c>
      <c r="AI3313" s="2">
        <f t="shared" si="346"/>
        <v>0</v>
      </c>
      <c r="AJ3313" s="2">
        <f t="shared" si="348"/>
        <v>689.22</v>
      </c>
      <c r="AK3313" s="5">
        <f t="shared" si="349"/>
        <v>1</v>
      </c>
    </row>
    <row r="3314" spans="1:37" x14ac:dyDescent="0.2">
      <c r="A3314" s="2">
        <v>2026</v>
      </c>
      <c r="B3314" s="2">
        <v>2</v>
      </c>
      <c r="C3314" s="2" t="s">
        <v>2646</v>
      </c>
      <c r="O3314" s="2" t="s">
        <v>115</v>
      </c>
      <c r="P3314" s="2" t="s">
        <v>1483</v>
      </c>
      <c r="Q3314" s="2" t="s">
        <v>1484</v>
      </c>
      <c r="R3314" s="2">
        <v>1</v>
      </c>
      <c r="S3314" s="2">
        <v>699.3</v>
      </c>
      <c r="T3314" s="2">
        <v>160.839</v>
      </c>
      <c r="U3314" s="2">
        <v>860.1389999999999</v>
      </c>
      <c r="W3314" s="5">
        <f t="shared" si="347"/>
        <v>1</v>
      </c>
      <c r="Y3314" s="2" t="s">
        <v>118</v>
      </c>
      <c r="AE3314" s="2">
        <f t="shared" si="345"/>
        <v>0</v>
      </c>
      <c r="AI3314" s="2">
        <f t="shared" si="346"/>
        <v>0</v>
      </c>
      <c r="AJ3314" s="2">
        <f t="shared" si="348"/>
        <v>699.3</v>
      </c>
      <c r="AK3314" s="5">
        <f t="shared" si="349"/>
        <v>1</v>
      </c>
    </row>
    <row r="3315" spans="1:37" x14ac:dyDescent="0.2">
      <c r="A3315" s="2">
        <v>2026</v>
      </c>
      <c r="B3315" s="2">
        <v>2</v>
      </c>
      <c r="C3315" s="2" t="s">
        <v>2651</v>
      </c>
      <c r="O3315" s="2" t="s">
        <v>115</v>
      </c>
      <c r="P3315" s="2" t="s">
        <v>2136</v>
      </c>
      <c r="Q3315" s="2" t="s">
        <v>2137</v>
      </c>
      <c r="R3315" s="2">
        <v>1</v>
      </c>
      <c r="S3315" s="2">
        <v>698.4</v>
      </c>
      <c r="T3315" s="2">
        <v>160.63200000000001</v>
      </c>
      <c r="U3315" s="2">
        <v>859.03199999999993</v>
      </c>
      <c r="W3315" s="5">
        <f t="shared" si="347"/>
        <v>1</v>
      </c>
      <c r="Y3315" s="2" t="s">
        <v>118</v>
      </c>
      <c r="AE3315" s="2">
        <f t="shared" si="345"/>
        <v>0</v>
      </c>
      <c r="AI3315" s="2">
        <f t="shared" si="346"/>
        <v>0</v>
      </c>
      <c r="AJ3315" s="2">
        <f t="shared" si="348"/>
        <v>698.4</v>
      </c>
      <c r="AK3315" s="5">
        <f t="shared" si="349"/>
        <v>1</v>
      </c>
    </row>
    <row r="3316" spans="1:37" x14ac:dyDescent="0.2">
      <c r="A3316" s="2">
        <v>2026</v>
      </c>
      <c r="B3316" s="2">
        <v>2</v>
      </c>
      <c r="C3316" s="2" t="s">
        <v>1606</v>
      </c>
      <c r="L3316" s="2" t="s">
        <v>41</v>
      </c>
      <c r="O3316" s="2" t="s">
        <v>115</v>
      </c>
      <c r="P3316" s="2" t="s">
        <v>2652</v>
      </c>
      <c r="Q3316" s="2" t="s">
        <v>2653</v>
      </c>
      <c r="R3316" s="2">
        <v>1</v>
      </c>
      <c r="S3316" s="2">
        <v>136.22999999999999</v>
      </c>
      <c r="T3316" s="2">
        <v>31.332899999999999</v>
      </c>
      <c r="U3316" s="2">
        <v>167.56290000000001</v>
      </c>
      <c r="W3316" s="5">
        <f t="shared" si="347"/>
        <v>1</v>
      </c>
      <c r="Y3316" s="2" t="s">
        <v>118</v>
      </c>
      <c r="AE3316" s="2">
        <f t="shared" si="345"/>
        <v>0</v>
      </c>
      <c r="AI3316" s="2">
        <f t="shared" si="346"/>
        <v>0</v>
      </c>
      <c r="AJ3316" s="2">
        <f t="shared" si="348"/>
        <v>136.22999999999999</v>
      </c>
      <c r="AK3316" s="5">
        <f t="shared" si="349"/>
        <v>1</v>
      </c>
    </row>
    <row r="3317" spans="1:37" x14ac:dyDescent="0.2">
      <c r="A3317" s="2">
        <v>2026</v>
      </c>
      <c r="B3317" s="2">
        <v>2</v>
      </c>
      <c r="C3317" s="2" t="s">
        <v>98</v>
      </c>
      <c r="D3317" s="2" t="s">
        <v>99</v>
      </c>
      <c r="E3317" s="2" t="s">
        <v>39</v>
      </c>
      <c r="F3317" s="2">
        <v>517450925</v>
      </c>
      <c r="G3317" s="2" t="s">
        <v>40</v>
      </c>
      <c r="H3317" s="2" t="s">
        <v>100</v>
      </c>
      <c r="I3317" s="2" t="s">
        <v>101</v>
      </c>
      <c r="K3317" s="2" t="s">
        <v>100</v>
      </c>
      <c r="L3317" s="2" t="s">
        <v>40</v>
      </c>
      <c r="O3317" s="2" t="s">
        <v>115</v>
      </c>
      <c r="P3317" s="2" t="s">
        <v>1192</v>
      </c>
      <c r="Q3317" s="2" t="s">
        <v>1193</v>
      </c>
      <c r="R3317" s="2">
        <v>-1</v>
      </c>
      <c r="S3317" s="2">
        <v>-8130.08</v>
      </c>
      <c r="T3317" s="2">
        <v>-1869.9184</v>
      </c>
      <c r="U3317" s="2">
        <v>-9999.9984000000004</v>
      </c>
      <c r="V3317" s="2">
        <v>7437.5950000000003</v>
      </c>
      <c r="W3317" s="5">
        <f>SIGN(S3317)*((ABS(S3317)-V3317)/ABS(S3317))</f>
        <v>-8.5175668628106938E-2</v>
      </c>
      <c r="Y3317" s="2" t="s">
        <v>105</v>
      </c>
      <c r="Z3317" s="2" t="s">
        <v>418</v>
      </c>
      <c r="AA3317" s="2" t="s">
        <v>152</v>
      </c>
      <c r="AB3317" s="2" t="s">
        <v>115</v>
      </c>
      <c r="AE3317" s="2">
        <f t="shared" si="345"/>
        <v>0</v>
      </c>
      <c r="AF3317" s="2">
        <v>7437.5950000000003</v>
      </c>
      <c r="AI3317" s="2">
        <f t="shared" si="346"/>
        <v>0</v>
      </c>
      <c r="AJ3317" s="2">
        <f>V3317+(S3317)</f>
        <v>-692.48499999999967</v>
      </c>
      <c r="AK3317" s="5">
        <f>SIGN(S3317)*((ABS(S3317)-V3317)/ABS(S3317))</f>
        <v>-8.5175668628106938E-2</v>
      </c>
    </row>
    <row r="3318" spans="1:37" x14ac:dyDescent="0.2">
      <c r="A3318" s="2">
        <v>2026</v>
      </c>
      <c r="B3318" s="2">
        <v>3</v>
      </c>
      <c r="C3318" s="2" t="s">
        <v>2651</v>
      </c>
      <c r="O3318" s="2" t="s">
        <v>115</v>
      </c>
      <c r="P3318" s="2" t="s">
        <v>1192</v>
      </c>
      <c r="Q3318" s="2" t="s">
        <v>1193</v>
      </c>
      <c r="R3318" s="2">
        <v>1</v>
      </c>
      <c r="S3318" s="2">
        <v>12299.6</v>
      </c>
      <c r="T3318" s="2">
        <v>2828.9079999999999</v>
      </c>
      <c r="U3318" s="2">
        <v>15128.508</v>
      </c>
      <c r="V3318" s="2">
        <v>7437.5950000000003</v>
      </c>
      <c r="W3318" s="5">
        <f t="shared" ref="W3318:W3324" si="350">(S3318-V3318)/S3318</f>
        <v>0.39529781456307522</v>
      </c>
      <c r="Y3318" s="2" t="s">
        <v>105</v>
      </c>
      <c r="Z3318" s="2" t="s">
        <v>418</v>
      </c>
      <c r="AA3318" s="2" t="s">
        <v>152</v>
      </c>
      <c r="AB3318" s="2" t="s">
        <v>115</v>
      </c>
      <c r="AE3318" s="2">
        <f t="shared" si="345"/>
        <v>0</v>
      </c>
      <c r="AF3318" s="2">
        <v>7437.5950000000003</v>
      </c>
      <c r="AI3318" s="2">
        <f t="shared" si="346"/>
        <v>0</v>
      </c>
      <c r="AJ3318" s="2">
        <f t="shared" ref="AJ3318:AJ3381" si="351">S3318-V3318</f>
        <v>4862.0050000000001</v>
      </c>
      <c r="AK3318" s="5">
        <f t="shared" ref="AK3318:AK3328" si="352">(S3318-V3318)/S3318</f>
        <v>0.39529781456307522</v>
      </c>
    </row>
    <row r="3319" spans="1:37" x14ac:dyDescent="0.2">
      <c r="A3319" s="2">
        <v>2026</v>
      </c>
      <c r="B3319" s="2">
        <v>3</v>
      </c>
      <c r="C3319" s="2" t="s">
        <v>2654</v>
      </c>
      <c r="D3319" s="2" t="s">
        <v>38</v>
      </c>
      <c r="F3319" s="2">
        <v>508857562</v>
      </c>
      <c r="G3319" s="2" t="s">
        <v>110</v>
      </c>
      <c r="H3319" s="2" t="s">
        <v>2655</v>
      </c>
      <c r="I3319" s="2" t="s">
        <v>2656</v>
      </c>
      <c r="K3319" s="2" t="s">
        <v>465</v>
      </c>
      <c r="O3319" s="2" t="s">
        <v>115</v>
      </c>
      <c r="P3319" s="2" t="s">
        <v>416</v>
      </c>
      <c r="Q3319" s="2" t="s">
        <v>417</v>
      </c>
      <c r="R3319" s="2">
        <v>1</v>
      </c>
      <c r="S3319" s="2">
        <v>14990</v>
      </c>
      <c r="T3319" s="2">
        <v>3447.7</v>
      </c>
      <c r="U3319" s="2">
        <v>18437.7</v>
      </c>
      <c r="V3319" s="2">
        <v>10669.4</v>
      </c>
      <c r="W3319" s="5">
        <f t="shared" si="350"/>
        <v>0.28823215476984659</v>
      </c>
      <c r="Y3319" s="2" t="s">
        <v>105</v>
      </c>
      <c r="Z3319" s="2" t="s">
        <v>418</v>
      </c>
      <c r="AA3319" s="2" t="s">
        <v>152</v>
      </c>
      <c r="AB3319" s="2" t="s">
        <v>115</v>
      </c>
      <c r="AE3319" s="2">
        <f t="shared" si="345"/>
        <v>0</v>
      </c>
      <c r="AI3319" s="2">
        <f t="shared" si="346"/>
        <v>0</v>
      </c>
      <c r="AJ3319" s="2">
        <f t="shared" si="351"/>
        <v>4320.6000000000004</v>
      </c>
      <c r="AK3319" s="5">
        <f t="shared" si="352"/>
        <v>0.28823215476984659</v>
      </c>
    </row>
    <row r="3320" spans="1:37" x14ac:dyDescent="0.2">
      <c r="A3320" s="2">
        <v>2026</v>
      </c>
      <c r="B3320" s="2">
        <v>3</v>
      </c>
      <c r="C3320" s="2" t="s">
        <v>1903</v>
      </c>
      <c r="L3320" s="2" t="s">
        <v>291</v>
      </c>
      <c r="N3320" s="2" t="s">
        <v>2657</v>
      </c>
      <c r="O3320" s="2" t="s">
        <v>2658</v>
      </c>
      <c r="P3320" s="2" t="s">
        <v>2659</v>
      </c>
      <c r="Q3320" s="2" t="s">
        <v>2660</v>
      </c>
      <c r="R3320" s="2">
        <v>1</v>
      </c>
      <c r="S3320" s="2">
        <v>369</v>
      </c>
      <c r="T3320" s="2">
        <v>84.87</v>
      </c>
      <c r="U3320" s="2">
        <v>453.87</v>
      </c>
      <c r="V3320" s="2">
        <v>299</v>
      </c>
      <c r="W3320" s="5">
        <f t="shared" si="350"/>
        <v>0.18970189701897019</v>
      </c>
      <c r="Y3320" s="2" t="s">
        <v>3256</v>
      </c>
      <c r="Z3320" s="2" t="s">
        <v>72</v>
      </c>
      <c r="AA3320" s="2" t="s">
        <v>120</v>
      </c>
      <c r="AB3320" s="2" t="s">
        <v>2658</v>
      </c>
      <c r="AE3320" s="2">
        <f t="shared" si="345"/>
        <v>0</v>
      </c>
      <c r="AF3320" s="2">
        <v>299</v>
      </c>
      <c r="AI3320" s="2">
        <f t="shared" si="346"/>
        <v>0</v>
      </c>
      <c r="AJ3320" s="2">
        <f t="shared" si="351"/>
        <v>70</v>
      </c>
      <c r="AK3320" s="5">
        <f t="shared" si="352"/>
        <v>0.18970189701897019</v>
      </c>
    </row>
    <row r="3321" spans="1:37" x14ac:dyDescent="0.2">
      <c r="A3321" s="2">
        <v>2026</v>
      </c>
      <c r="B3321" s="2">
        <v>3</v>
      </c>
      <c r="C3321" s="2" t="s">
        <v>2538</v>
      </c>
      <c r="D3321" s="2" t="s">
        <v>758</v>
      </c>
      <c r="E3321" s="2" t="s">
        <v>39</v>
      </c>
      <c r="F3321" s="2">
        <v>515570354</v>
      </c>
      <c r="G3321" s="2" t="s">
        <v>110</v>
      </c>
      <c r="H3321" s="2" t="s">
        <v>2539</v>
      </c>
      <c r="I3321" s="2" t="s">
        <v>2540</v>
      </c>
      <c r="J3321" s="2">
        <v>967032538</v>
      </c>
      <c r="K3321" s="2" t="s">
        <v>400</v>
      </c>
      <c r="L3321" s="2" t="s">
        <v>110</v>
      </c>
      <c r="N3321" s="2" t="s">
        <v>2661</v>
      </c>
      <c r="O3321" s="2" t="s">
        <v>283</v>
      </c>
      <c r="P3321" s="2" t="s">
        <v>1214</v>
      </c>
      <c r="Q3321" s="2" t="s">
        <v>1215</v>
      </c>
      <c r="R3321" s="2">
        <v>1</v>
      </c>
      <c r="S3321" s="2">
        <v>23.9</v>
      </c>
      <c r="T3321" s="2">
        <v>5.4969999999999999</v>
      </c>
      <c r="U3321" s="2">
        <v>29.396999999999998</v>
      </c>
      <c r="V3321" s="2">
        <v>14.34</v>
      </c>
      <c r="W3321" s="5">
        <f t="shared" si="350"/>
        <v>0.39999999999999997</v>
      </c>
      <c r="Y3321" s="2" t="s">
        <v>3256</v>
      </c>
      <c r="Z3321" s="2" t="s">
        <v>72</v>
      </c>
      <c r="AA3321" s="2" t="s">
        <v>120</v>
      </c>
      <c r="AB3321" s="2" t="s">
        <v>120</v>
      </c>
      <c r="AE3321" s="2">
        <f t="shared" si="345"/>
        <v>0</v>
      </c>
      <c r="AF3321" s="2">
        <v>14.34</v>
      </c>
      <c r="AI3321" s="2">
        <f t="shared" si="346"/>
        <v>0</v>
      </c>
      <c r="AJ3321" s="2">
        <f t="shared" si="351"/>
        <v>9.5599999999999987</v>
      </c>
      <c r="AK3321" s="5">
        <f t="shared" si="352"/>
        <v>0.39999999999999997</v>
      </c>
    </row>
    <row r="3322" spans="1:37" x14ac:dyDescent="0.2">
      <c r="A3322" s="2">
        <v>2026</v>
      </c>
      <c r="B3322" s="2">
        <v>3</v>
      </c>
      <c r="C3322" s="2" t="s">
        <v>2662</v>
      </c>
      <c r="O3322" s="2" t="s">
        <v>283</v>
      </c>
      <c r="P3322" s="2" t="s">
        <v>1679</v>
      </c>
      <c r="Q3322" s="2" t="s">
        <v>1680</v>
      </c>
      <c r="R3322" s="2">
        <v>1</v>
      </c>
      <c r="S3322" s="2">
        <v>4900</v>
      </c>
      <c r="T3322" s="2">
        <v>1127</v>
      </c>
      <c r="U3322" s="2">
        <v>6027</v>
      </c>
      <c r="V3322" s="2">
        <v>3290</v>
      </c>
      <c r="W3322" s="5">
        <f t="shared" si="350"/>
        <v>0.32857142857142857</v>
      </c>
      <c r="Y3322" s="2" t="s">
        <v>105</v>
      </c>
      <c r="Z3322" s="2" t="s">
        <v>389</v>
      </c>
      <c r="AA3322" s="2" t="s">
        <v>2663</v>
      </c>
      <c r="AB3322" s="2" t="s">
        <v>1337</v>
      </c>
      <c r="AE3322" s="2">
        <f t="shared" si="345"/>
        <v>0</v>
      </c>
      <c r="AI3322" s="2">
        <f t="shared" si="346"/>
        <v>0</v>
      </c>
      <c r="AJ3322" s="2">
        <f t="shared" si="351"/>
        <v>1610</v>
      </c>
      <c r="AK3322" s="5">
        <f t="shared" si="352"/>
        <v>0.32857142857142857</v>
      </c>
    </row>
    <row r="3323" spans="1:37" x14ac:dyDescent="0.2">
      <c r="A3323" s="2">
        <v>2026</v>
      </c>
      <c r="B3323" s="2">
        <v>3</v>
      </c>
      <c r="C3323" s="2" t="s">
        <v>2662</v>
      </c>
      <c r="O3323" s="2" t="s">
        <v>283</v>
      </c>
      <c r="P3323" s="2" t="s">
        <v>1681</v>
      </c>
      <c r="Q3323" s="2" t="s">
        <v>1682</v>
      </c>
      <c r="R3323" s="2">
        <v>1</v>
      </c>
      <c r="S3323" s="2">
        <v>0</v>
      </c>
      <c r="T3323" s="2">
        <v>0</v>
      </c>
      <c r="U3323" s="2">
        <v>0</v>
      </c>
      <c r="V3323" s="2">
        <v>0</v>
      </c>
      <c r="W3323" s="5" t="e">
        <f t="shared" si="350"/>
        <v>#DIV/0!</v>
      </c>
      <c r="Y3323" s="2" t="s">
        <v>105</v>
      </c>
      <c r="Z3323" s="2" t="s">
        <v>389</v>
      </c>
      <c r="AA3323" s="2" t="s">
        <v>2663</v>
      </c>
      <c r="AB3323" s="2" t="s">
        <v>1337</v>
      </c>
      <c r="AE3323" s="2">
        <f t="shared" si="345"/>
        <v>0</v>
      </c>
      <c r="AI3323" s="2">
        <f t="shared" si="346"/>
        <v>0</v>
      </c>
      <c r="AJ3323" s="2">
        <f t="shared" si="351"/>
        <v>0</v>
      </c>
      <c r="AK3323" s="5" t="e">
        <f t="shared" si="352"/>
        <v>#DIV/0!</v>
      </c>
    </row>
    <row r="3324" spans="1:37" x14ac:dyDescent="0.2">
      <c r="A3324" s="2">
        <v>2026</v>
      </c>
      <c r="B3324" s="2">
        <v>3</v>
      </c>
      <c r="C3324" s="2" t="s">
        <v>2664</v>
      </c>
      <c r="D3324" s="2" t="s">
        <v>38</v>
      </c>
      <c r="F3324" s="2">
        <v>506820378</v>
      </c>
      <c r="G3324" s="2" t="s">
        <v>41</v>
      </c>
      <c r="H3324" s="2" t="s">
        <v>2665</v>
      </c>
      <c r="I3324" s="2" t="s">
        <v>2666</v>
      </c>
      <c r="K3324" s="2" t="s">
        <v>422</v>
      </c>
      <c r="L3324" s="2" t="s">
        <v>41</v>
      </c>
      <c r="N3324" s="2" t="s">
        <v>2667</v>
      </c>
      <c r="O3324" s="2" t="s">
        <v>283</v>
      </c>
      <c r="P3324" s="2" t="s">
        <v>1798</v>
      </c>
      <c r="Q3324" s="2" t="s">
        <v>1799</v>
      </c>
      <c r="R3324" s="2">
        <v>1</v>
      </c>
      <c r="S3324" s="2">
        <v>1990</v>
      </c>
      <c r="T3324" s="2">
        <v>457.7</v>
      </c>
      <c r="U3324" s="2">
        <v>2447.6999999999998</v>
      </c>
      <c r="V3324" s="2">
        <v>1458</v>
      </c>
      <c r="W3324" s="5">
        <f t="shared" si="350"/>
        <v>0.26733668341708544</v>
      </c>
      <c r="Y3324" s="2" t="s">
        <v>105</v>
      </c>
      <c r="Z3324" s="2" t="s">
        <v>389</v>
      </c>
      <c r="AA3324" s="2" t="s">
        <v>1340</v>
      </c>
      <c r="AB3324" s="2" t="s">
        <v>1337</v>
      </c>
      <c r="AE3324" s="2">
        <f t="shared" si="345"/>
        <v>0</v>
      </c>
      <c r="AF3324" s="2">
        <v>1458</v>
      </c>
      <c r="AI3324" s="2">
        <f t="shared" si="346"/>
        <v>0</v>
      </c>
      <c r="AJ3324" s="2">
        <f t="shared" si="351"/>
        <v>532</v>
      </c>
      <c r="AK3324" s="5">
        <f t="shared" si="352"/>
        <v>0.26733668341708544</v>
      </c>
    </row>
    <row r="3325" spans="1:37" x14ac:dyDescent="0.2">
      <c r="A3325" s="2">
        <v>2026</v>
      </c>
      <c r="B3325" s="2">
        <v>3</v>
      </c>
      <c r="C3325" s="2" t="s">
        <v>3288</v>
      </c>
      <c r="D3325" s="2" t="s">
        <v>38</v>
      </c>
      <c r="F3325" s="2">
        <v>500844321</v>
      </c>
      <c r="G3325" s="2" t="s">
        <v>40</v>
      </c>
      <c r="H3325" s="2" t="s">
        <v>340</v>
      </c>
      <c r="I3325" s="2" t="s">
        <v>2668</v>
      </c>
      <c r="K3325" s="2" t="s">
        <v>422</v>
      </c>
      <c r="L3325" s="2" t="s">
        <v>41</v>
      </c>
      <c r="N3325" s="2" t="s">
        <v>3287</v>
      </c>
      <c r="O3325" s="2" t="s">
        <v>283</v>
      </c>
      <c r="P3325" s="2" t="s">
        <v>2669</v>
      </c>
      <c r="Q3325" s="2" t="s">
        <v>2670</v>
      </c>
      <c r="R3325" s="2">
        <v>1</v>
      </c>
      <c r="S3325" s="2">
        <v>0</v>
      </c>
      <c r="T3325" s="2">
        <v>0</v>
      </c>
      <c r="U3325" s="2">
        <v>0</v>
      </c>
      <c r="V3325" s="2">
        <v>0</v>
      </c>
      <c r="W3325" s="5">
        <v>0</v>
      </c>
      <c r="Y3325" s="2" t="s">
        <v>105</v>
      </c>
      <c r="Z3325" s="2" t="s">
        <v>1590</v>
      </c>
      <c r="AA3325" s="2" t="s">
        <v>390</v>
      </c>
      <c r="AB3325" s="2" t="s">
        <v>1337</v>
      </c>
      <c r="AE3325" s="2">
        <f t="shared" si="345"/>
        <v>0</v>
      </c>
      <c r="AI3325" s="2">
        <f t="shared" si="346"/>
        <v>0</v>
      </c>
      <c r="AJ3325" s="2">
        <f t="shared" si="351"/>
        <v>0</v>
      </c>
      <c r="AK3325" s="5" t="e">
        <f t="shared" si="352"/>
        <v>#DIV/0!</v>
      </c>
    </row>
    <row r="3326" spans="1:37" x14ac:dyDescent="0.2">
      <c r="A3326" s="2">
        <v>2026</v>
      </c>
      <c r="B3326" s="2">
        <v>3</v>
      </c>
      <c r="C3326" s="2" t="s">
        <v>3288</v>
      </c>
      <c r="D3326" s="2" t="s">
        <v>38</v>
      </c>
      <c r="F3326" s="2">
        <v>500844321</v>
      </c>
      <c r="G3326" s="2" t="s">
        <v>40</v>
      </c>
      <c r="H3326" s="2" t="s">
        <v>340</v>
      </c>
      <c r="I3326" s="2" t="s">
        <v>2668</v>
      </c>
      <c r="K3326" s="2" t="s">
        <v>422</v>
      </c>
      <c r="L3326" s="2" t="s">
        <v>41</v>
      </c>
      <c r="N3326" s="2" t="s">
        <v>3287</v>
      </c>
      <c r="O3326" s="2" t="s">
        <v>283</v>
      </c>
      <c r="P3326" s="2" t="s">
        <v>2671</v>
      </c>
      <c r="Q3326" s="2" t="s">
        <v>2672</v>
      </c>
      <c r="R3326" s="2">
        <v>1</v>
      </c>
      <c r="S3326" s="2">
        <v>12500</v>
      </c>
      <c r="T3326" s="2">
        <v>2875</v>
      </c>
      <c r="U3326" s="2">
        <v>15375</v>
      </c>
      <c r="V3326" s="2">
        <v>10257</v>
      </c>
      <c r="W3326" s="5">
        <f>(S3326-V3326)/S3326</f>
        <v>0.17943999999999999</v>
      </c>
      <c r="Y3326" s="2" t="s">
        <v>105</v>
      </c>
      <c r="Z3326" s="2" t="s">
        <v>1590</v>
      </c>
      <c r="AA3326" s="2" t="s">
        <v>390</v>
      </c>
      <c r="AB3326" s="2" t="s">
        <v>1337</v>
      </c>
      <c r="AE3326" s="2">
        <f t="shared" si="345"/>
        <v>0</v>
      </c>
      <c r="AF3326" s="2">
        <v>10257</v>
      </c>
      <c r="AI3326" s="2">
        <f t="shared" si="346"/>
        <v>0</v>
      </c>
      <c r="AJ3326" s="2">
        <f t="shared" si="351"/>
        <v>2243</v>
      </c>
      <c r="AK3326" s="5">
        <f t="shared" si="352"/>
        <v>0.17943999999999999</v>
      </c>
    </row>
    <row r="3327" spans="1:37" x14ac:dyDescent="0.2">
      <c r="A3327" s="2">
        <v>2026</v>
      </c>
      <c r="B3327" s="2">
        <v>3</v>
      </c>
      <c r="C3327" s="2" t="s">
        <v>3288</v>
      </c>
      <c r="D3327" s="2" t="s">
        <v>38</v>
      </c>
      <c r="F3327" s="2">
        <v>500844321</v>
      </c>
      <c r="G3327" s="2" t="s">
        <v>40</v>
      </c>
      <c r="H3327" s="2" t="s">
        <v>340</v>
      </c>
      <c r="I3327" s="2" t="s">
        <v>2668</v>
      </c>
      <c r="K3327" s="2" t="s">
        <v>422</v>
      </c>
      <c r="L3327" s="2" t="s">
        <v>41</v>
      </c>
      <c r="N3327" s="2" t="s">
        <v>3287</v>
      </c>
      <c r="O3327" s="2" t="s">
        <v>283</v>
      </c>
      <c r="P3327" s="2" t="s">
        <v>2673</v>
      </c>
      <c r="Q3327" s="2" t="s">
        <v>2674</v>
      </c>
      <c r="R3327" s="2">
        <v>1</v>
      </c>
      <c r="S3327" s="2">
        <v>0</v>
      </c>
      <c r="T3327" s="2">
        <v>0</v>
      </c>
      <c r="U3327" s="2">
        <v>0</v>
      </c>
      <c r="V3327" s="2">
        <v>0</v>
      </c>
      <c r="W3327" s="5">
        <v>0</v>
      </c>
      <c r="Y3327" s="2" t="s">
        <v>105</v>
      </c>
      <c r="Z3327" s="2" t="s">
        <v>1590</v>
      </c>
      <c r="AA3327" s="2" t="s">
        <v>390</v>
      </c>
      <c r="AB3327" s="2" t="s">
        <v>1337</v>
      </c>
      <c r="AE3327" s="2">
        <f t="shared" si="345"/>
        <v>0</v>
      </c>
      <c r="AI3327" s="2">
        <f t="shared" si="346"/>
        <v>0</v>
      </c>
      <c r="AJ3327" s="2">
        <f t="shared" si="351"/>
        <v>0</v>
      </c>
      <c r="AK3327" s="5" t="e">
        <f t="shared" si="352"/>
        <v>#DIV/0!</v>
      </c>
    </row>
    <row r="3328" spans="1:37" x14ac:dyDescent="0.2">
      <c r="A3328" s="2">
        <v>2026</v>
      </c>
      <c r="B3328" s="2">
        <v>3</v>
      </c>
      <c r="C3328" s="2" t="s">
        <v>473</v>
      </c>
      <c r="D3328" s="2" t="s">
        <v>38</v>
      </c>
      <c r="E3328" s="2" t="s">
        <v>474</v>
      </c>
      <c r="F3328" s="2">
        <v>513626930</v>
      </c>
      <c r="G3328" s="2" t="s">
        <v>40</v>
      </c>
      <c r="H3328" s="2" t="s">
        <v>340</v>
      </c>
      <c r="I3328" s="2" t="s">
        <v>475</v>
      </c>
      <c r="K3328" s="2" t="s">
        <v>340</v>
      </c>
      <c r="L3328" s="2" t="s">
        <v>40</v>
      </c>
      <c r="N3328" s="2" t="s">
        <v>2675</v>
      </c>
      <c r="O3328" s="2" t="s">
        <v>283</v>
      </c>
      <c r="P3328" s="2" t="s">
        <v>1292</v>
      </c>
      <c r="Q3328" s="2" t="s">
        <v>1293</v>
      </c>
      <c r="R3328" s="2">
        <v>1</v>
      </c>
      <c r="S3328" s="2">
        <v>1500</v>
      </c>
      <c r="T3328" s="2">
        <v>345</v>
      </c>
      <c r="U3328" s="2">
        <v>1845</v>
      </c>
      <c r="V3328" s="2">
        <v>1389</v>
      </c>
      <c r="W3328" s="5">
        <f>(S3328-V3328)/S3328</f>
        <v>7.3999999999999996E-2</v>
      </c>
      <c r="Y3328" s="2" t="s">
        <v>105</v>
      </c>
      <c r="Z3328" s="2" t="s">
        <v>1590</v>
      </c>
      <c r="AA3328" s="2" t="s">
        <v>390</v>
      </c>
      <c r="AB3328" s="2" t="s">
        <v>1337</v>
      </c>
      <c r="AE3328" s="2">
        <f t="shared" si="345"/>
        <v>0</v>
      </c>
      <c r="AF3328" s="2">
        <v>1389</v>
      </c>
      <c r="AI3328" s="2">
        <f t="shared" si="346"/>
        <v>0</v>
      </c>
      <c r="AJ3328" s="2">
        <f t="shared" si="351"/>
        <v>111</v>
      </c>
      <c r="AK3328" s="5">
        <f t="shared" si="352"/>
        <v>7.3999999999999996E-2</v>
      </c>
    </row>
    <row r="3329" spans="1:37" x14ac:dyDescent="0.2">
      <c r="A3329" s="2">
        <v>2026</v>
      </c>
      <c r="B3329" s="2">
        <v>3</v>
      </c>
      <c r="C3329" s="2" t="s">
        <v>473</v>
      </c>
      <c r="D3329" s="2" t="s">
        <v>38</v>
      </c>
      <c r="E3329" s="2" t="s">
        <v>474</v>
      </c>
      <c r="F3329" s="2">
        <v>513626930</v>
      </c>
      <c r="G3329" s="2" t="s">
        <v>40</v>
      </c>
      <c r="H3329" s="2" t="s">
        <v>340</v>
      </c>
      <c r="I3329" s="2" t="s">
        <v>475</v>
      </c>
      <c r="K3329" s="2" t="s">
        <v>340</v>
      </c>
      <c r="L3329" s="2" t="s">
        <v>40</v>
      </c>
      <c r="N3329" s="2" t="s">
        <v>2675</v>
      </c>
      <c r="O3329" s="2" t="s">
        <v>283</v>
      </c>
      <c r="P3329" s="2" t="s">
        <v>1294</v>
      </c>
      <c r="Q3329" s="2" t="s">
        <v>1295</v>
      </c>
      <c r="R3329" s="2">
        <v>1</v>
      </c>
      <c r="S3329" s="2">
        <v>0</v>
      </c>
      <c r="T3329" s="2">
        <v>0</v>
      </c>
      <c r="U3329" s="2">
        <v>0</v>
      </c>
      <c r="V3329" s="2">
        <v>0</v>
      </c>
      <c r="W3329" s="5">
        <v>0</v>
      </c>
      <c r="Y3329" s="2" t="s">
        <v>118</v>
      </c>
      <c r="Z3329" s="2" t="s">
        <v>182</v>
      </c>
      <c r="AA3329" s="2" t="s">
        <v>390</v>
      </c>
      <c r="AB3329" s="2" t="s">
        <v>1337</v>
      </c>
      <c r="AE3329" s="2">
        <f t="shared" si="345"/>
        <v>0</v>
      </c>
      <c r="AI3329" s="2">
        <f t="shared" si="346"/>
        <v>0</v>
      </c>
      <c r="AJ3329" s="2">
        <f t="shared" si="351"/>
        <v>0</v>
      </c>
      <c r="AK3329" s="5">
        <v>0</v>
      </c>
    </row>
    <row r="3330" spans="1:37" x14ac:dyDescent="0.2">
      <c r="A3330" s="2">
        <v>2026</v>
      </c>
      <c r="B3330" s="2">
        <v>3</v>
      </c>
      <c r="C3330" s="2" t="s">
        <v>473</v>
      </c>
      <c r="D3330" s="2" t="s">
        <v>38</v>
      </c>
      <c r="E3330" s="2" t="s">
        <v>474</v>
      </c>
      <c r="F3330" s="2">
        <v>513626930</v>
      </c>
      <c r="G3330" s="2" t="s">
        <v>40</v>
      </c>
      <c r="H3330" s="2" t="s">
        <v>340</v>
      </c>
      <c r="I3330" s="2" t="s">
        <v>475</v>
      </c>
      <c r="K3330" s="2" t="s">
        <v>340</v>
      </c>
      <c r="L3330" s="2" t="s">
        <v>40</v>
      </c>
      <c r="N3330" s="2" t="s">
        <v>2675</v>
      </c>
      <c r="O3330" s="2" t="s">
        <v>283</v>
      </c>
      <c r="P3330" s="2" t="s">
        <v>1163</v>
      </c>
      <c r="Q3330" s="2" t="s">
        <v>1164</v>
      </c>
      <c r="R3330" s="2">
        <v>1</v>
      </c>
      <c r="S3330" s="2">
        <v>2990</v>
      </c>
      <c r="T3330" s="2">
        <v>687.7</v>
      </c>
      <c r="U3330" s="2">
        <v>3677.7</v>
      </c>
      <c r="V3330" s="2">
        <v>2190</v>
      </c>
      <c r="W3330" s="5">
        <f>(S3330-V3330)/S3330</f>
        <v>0.26755852842809363</v>
      </c>
      <c r="Y3330" s="2" t="s">
        <v>105</v>
      </c>
      <c r="Z3330" s="2" t="s">
        <v>1590</v>
      </c>
      <c r="AA3330" s="2" t="s">
        <v>390</v>
      </c>
      <c r="AB3330" s="2" t="s">
        <v>1337</v>
      </c>
      <c r="AE3330" s="2">
        <f t="shared" si="345"/>
        <v>0</v>
      </c>
      <c r="AF3330" s="2">
        <v>2189</v>
      </c>
      <c r="AI3330" s="2">
        <f t="shared" si="346"/>
        <v>0</v>
      </c>
      <c r="AJ3330" s="2">
        <f t="shared" si="351"/>
        <v>800</v>
      </c>
      <c r="AK3330" s="5">
        <f t="shared" ref="AK3330:AK3336" si="353">(S3330-V3330)/S3330</f>
        <v>0.26755852842809363</v>
      </c>
    </row>
    <row r="3331" spans="1:37" x14ac:dyDescent="0.2">
      <c r="A3331" s="2">
        <v>2026</v>
      </c>
      <c r="B3331" s="2">
        <v>3</v>
      </c>
      <c r="C3331" s="2" t="s">
        <v>2676</v>
      </c>
      <c r="D3331" s="2" t="s">
        <v>758</v>
      </c>
      <c r="E3331" s="2" t="s">
        <v>39</v>
      </c>
      <c r="F3331" s="2">
        <v>157409490</v>
      </c>
      <c r="G3331" s="2" t="s">
        <v>40</v>
      </c>
      <c r="H3331" s="2" t="s">
        <v>2677</v>
      </c>
      <c r="I3331" s="2" t="s">
        <v>2678</v>
      </c>
      <c r="J3331" s="2">
        <v>917531684</v>
      </c>
      <c r="K3331" s="2" t="s">
        <v>178</v>
      </c>
      <c r="L3331" s="2" t="s">
        <v>40</v>
      </c>
      <c r="N3331" s="2" t="s">
        <v>2679</v>
      </c>
      <c r="O3331" s="2" t="s">
        <v>283</v>
      </c>
      <c r="P3331" s="2" t="s">
        <v>1296</v>
      </c>
      <c r="Q3331" s="2" t="s">
        <v>1297</v>
      </c>
      <c r="R3331" s="2">
        <v>1</v>
      </c>
      <c r="S3331" s="2">
        <v>1900</v>
      </c>
      <c r="T3331" s="2">
        <v>437</v>
      </c>
      <c r="U3331" s="2">
        <v>2337</v>
      </c>
      <c r="V3331" s="2">
        <v>1195</v>
      </c>
      <c r="W3331" s="5">
        <f>(S3331-V3331)/S3331</f>
        <v>0.37105263157894736</v>
      </c>
      <c r="Y3331" s="2" t="s">
        <v>105</v>
      </c>
      <c r="Z3331" s="2" t="s">
        <v>1590</v>
      </c>
      <c r="AA3331" s="2" t="s">
        <v>390</v>
      </c>
      <c r="AB3331" s="2" t="s">
        <v>1337</v>
      </c>
      <c r="AE3331" s="2">
        <f t="shared" ref="AE3331:AE3394" si="354">AI3331</f>
        <v>0</v>
      </c>
      <c r="AF3331" s="2">
        <v>1195</v>
      </c>
      <c r="AI3331" s="2">
        <f t="shared" ref="AI3331:AI3394" si="355">AH3331*S3331</f>
        <v>0</v>
      </c>
      <c r="AJ3331" s="2">
        <f t="shared" si="351"/>
        <v>705</v>
      </c>
      <c r="AK3331" s="5">
        <f t="shared" si="353"/>
        <v>0.37105263157894736</v>
      </c>
    </row>
    <row r="3332" spans="1:37" x14ac:dyDescent="0.2">
      <c r="A3332" s="2">
        <v>2026</v>
      </c>
      <c r="B3332" s="2">
        <v>3</v>
      </c>
      <c r="C3332" s="2" t="s">
        <v>2662</v>
      </c>
      <c r="O3332" s="2" t="s">
        <v>283</v>
      </c>
      <c r="P3332" s="2" t="s">
        <v>1296</v>
      </c>
      <c r="Q3332" s="2" t="s">
        <v>1297</v>
      </c>
      <c r="R3332" s="2">
        <v>1</v>
      </c>
      <c r="S3332" s="2">
        <v>1890</v>
      </c>
      <c r="T3332" s="2">
        <v>434.7</v>
      </c>
      <c r="U3332" s="2">
        <v>2324.6999999999998</v>
      </c>
      <c r="V3332" s="2">
        <v>1195</v>
      </c>
      <c r="W3332" s="5">
        <f>(S3332-V3332)/S3332</f>
        <v>0.36772486772486773</v>
      </c>
      <c r="Y3332" s="2" t="s">
        <v>105</v>
      </c>
      <c r="Z3332" s="2" t="s">
        <v>1590</v>
      </c>
      <c r="AA3332" s="2" t="s">
        <v>390</v>
      </c>
      <c r="AB3332" s="2" t="s">
        <v>1337</v>
      </c>
      <c r="AE3332" s="2">
        <f t="shared" si="354"/>
        <v>0</v>
      </c>
      <c r="AF3332" s="2">
        <v>1195</v>
      </c>
      <c r="AI3332" s="2">
        <f t="shared" si="355"/>
        <v>0</v>
      </c>
      <c r="AJ3332" s="2">
        <f t="shared" si="351"/>
        <v>695</v>
      </c>
      <c r="AK3332" s="5">
        <f t="shared" si="353"/>
        <v>0.36772486772486773</v>
      </c>
    </row>
    <row r="3333" spans="1:37" x14ac:dyDescent="0.2">
      <c r="A3333" s="2">
        <v>2026</v>
      </c>
      <c r="B3333" s="2">
        <v>3</v>
      </c>
      <c r="C3333" s="2" t="s">
        <v>2680</v>
      </c>
      <c r="O3333" s="2" t="s">
        <v>283</v>
      </c>
      <c r="P3333" s="2" t="s">
        <v>1296</v>
      </c>
      <c r="Q3333" s="2" t="s">
        <v>1297</v>
      </c>
      <c r="R3333" s="2">
        <v>1</v>
      </c>
      <c r="S3333" s="2">
        <v>1900</v>
      </c>
      <c r="T3333" s="2">
        <v>437</v>
      </c>
      <c r="U3333" s="2">
        <v>2337</v>
      </c>
      <c r="V3333" s="2">
        <v>1195</v>
      </c>
      <c r="W3333" s="5">
        <f>(S3333-V3333)/S3333</f>
        <v>0.37105263157894736</v>
      </c>
      <c r="Y3333" s="2" t="s">
        <v>105</v>
      </c>
      <c r="Z3333" s="2" t="s">
        <v>1590</v>
      </c>
      <c r="AA3333" s="2" t="s">
        <v>390</v>
      </c>
      <c r="AB3333" s="2" t="s">
        <v>1337</v>
      </c>
      <c r="AE3333" s="2">
        <f t="shared" si="354"/>
        <v>0</v>
      </c>
      <c r="AF3333" s="2">
        <v>1195</v>
      </c>
      <c r="AI3333" s="2">
        <f t="shared" si="355"/>
        <v>0</v>
      </c>
      <c r="AJ3333" s="2">
        <f t="shared" si="351"/>
        <v>705</v>
      </c>
      <c r="AK3333" s="5">
        <f t="shared" si="353"/>
        <v>0.37105263157894736</v>
      </c>
    </row>
    <row r="3334" spans="1:37" x14ac:dyDescent="0.2">
      <c r="A3334" s="2">
        <v>2026</v>
      </c>
      <c r="B3334" s="2">
        <v>3</v>
      </c>
      <c r="C3334" s="2" t="s">
        <v>2681</v>
      </c>
      <c r="D3334" s="2" t="s">
        <v>758</v>
      </c>
      <c r="E3334" s="2" t="s">
        <v>39</v>
      </c>
      <c r="F3334" s="2">
        <v>514057190</v>
      </c>
      <c r="G3334" s="2" t="s">
        <v>40</v>
      </c>
      <c r="H3334" s="2" t="s">
        <v>2682</v>
      </c>
      <c r="I3334" s="2" t="s">
        <v>2683</v>
      </c>
      <c r="J3334" s="2">
        <v>934367883</v>
      </c>
      <c r="K3334" s="2" t="s">
        <v>422</v>
      </c>
      <c r="N3334" s="2" t="s">
        <v>2684</v>
      </c>
      <c r="O3334" s="2" t="s">
        <v>283</v>
      </c>
      <c r="P3334" s="2" t="s">
        <v>1296</v>
      </c>
      <c r="Q3334" s="2" t="s">
        <v>1297</v>
      </c>
      <c r="R3334" s="2">
        <v>1</v>
      </c>
      <c r="S3334" s="2">
        <v>1900</v>
      </c>
      <c r="T3334" s="2">
        <v>437</v>
      </c>
      <c r="U3334" s="2">
        <v>2337</v>
      </c>
      <c r="V3334" s="2">
        <v>1195</v>
      </c>
      <c r="W3334" s="5">
        <f>(S3334-V3334)/S3334</f>
        <v>0.37105263157894736</v>
      </c>
      <c r="Y3334" s="2" t="s">
        <v>105</v>
      </c>
      <c r="Z3334" s="2" t="s">
        <v>1590</v>
      </c>
      <c r="AA3334" s="2" t="s">
        <v>390</v>
      </c>
      <c r="AB3334" s="2" t="s">
        <v>1337</v>
      </c>
      <c r="AE3334" s="2">
        <f t="shared" si="354"/>
        <v>0</v>
      </c>
      <c r="AF3334" s="2">
        <v>1195</v>
      </c>
      <c r="AI3334" s="2">
        <f t="shared" si="355"/>
        <v>0</v>
      </c>
      <c r="AJ3334" s="2">
        <f t="shared" si="351"/>
        <v>705</v>
      </c>
      <c r="AK3334" s="5">
        <f t="shared" si="353"/>
        <v>0.37105263157894736</v>
      </c>
    </row>
    <row r="3335" spans="1:37" x14ac:dyDescent="0.2">
      <c r="A3335" s="2">
        <v>2026</v>
      </c>
      <c r="B3335" s="2">
        <v>3</v>
      </c>
      <c r="C3335" s="2" t="s">
        <v>2676</v>
      </c>
      <c r="D3335" s="2" t="s">
        <v>758</v>
      </c>
      <c r="E3335" s="2" t="s">
        <v>39</v>
      </c>
      <c r="F3335" s="2">
        <v>157409490</v>
      </c>
      <c r="G3335" s="2" t="s">
        <v>40</v>
      </c>
      <c r="H3335" s="2" t="s">
        <v>2677</v>
      </c>
      <c r="I3335" s="2" t="s">
        <v>2678</v>
      </c>
      <c r="J3335" s="2">
        <v>917531684</v>
      </c>
      <c r="K3335" s="2" t="s">
        <v>178</v>
      </c>
      <c r="L3335" s="2" t="s">
        <v>40</v>
      </c>
      <c r="N3335" s="2" t="s">
        <v>2679</v>
      </c>
      <c r="O3335" s="2" t="s">
        <v>283</v>
      </c>
      <c r="P3335" s="2" t="s">
        <v>1167</v>
      </c>
      <c r="Q3335" s="2" t="s">
        <v>1168</v>
      </c>
      <c r="R3335" s="2">
        <v>1</v>
      </c>
      <c r="S3335" s="2">
        <v>0</v>
      </c>
      <c r="T3335" s="2">
        <v>0</v>
      </c>
      <c r="U3335" s="2">
        <v>0</v>
      </c>
      <c r="V3335" s="2">
        <v>0</v>
      </c>
      <c r="W3335" s="5">
        <v>0</v>
      </c>
      <c r="Y3335" s="2" t="s">
        <v>105</v>
      </c>
      <c r="Z3335" s="2" t="s">
        <v>1590</v>
      </c>
      <c r="AA3335" s="2" t="s">
        <v>390</v>
      </c>
      <c r="AB3335" s="2" t="s">
        <v>1337</v>
      </c>
      <c r="AE3335" s="2">
        <f t="shared" si="354"/>
        <v>0</v>
      </c>
      <c r="AF3335" s="2">
        <v>0</v>
      </c>
      <c r="AG3335" s="2">
        <v>0</v>
      </c>
      <c r="AI3335" s="2">
        <f t="shared" si="355"/>
        <v>0</v>
      </c>
      <c r="AJ3335" s="2">
        <f t="shared" si="351"/>
        <v>0</v>
      </c>
      <c r="AK3335" s="5" t="e">
        <f t="shared" si="353"/>
        <v>#DIV/0!</v>
      </c>
    </row>
    <row r="3336" spans="1:37" x14ac:dyDescent="0.2">
      <c r="A3336" s="2">
        <v>2026</v>
      </c>
      <c r="B3336" s="2">
        <v>3</v>
      </c>
      <c r="C3336" s="2" t="s">
        <v>2662</v>
      </c>
      <c r="O3336" s="2" t="s">
        <v>283</v>
      </c>
      <c r="P3336" s="2" t="s">
        <v>1167</v>
      </c>
      <c r="Q3336" s="2" t="s">
        <v>1168</v>
      </c>
      <c r="R3336" s="2">
        <v>1</v>
      </c>
      <c r="S3336" s="2">
        <v>0</v>
      </c>
      <c r="T3336" s="2">
        <v>0</v>
      </c>
      <c r="U3336" s="2">
        <v>0</v>
      </c>
      <c r="V3336" s="2">
        <v>0</v>
      </c>
      <c r="W3336" s="5" t="e">
        <f>(S3336-V3336)/S3336</f>
        <v>#DIV/0!</v>
      </c>
      <c r="Y3336" s="2" t="s">
        <v>105</v>
      </c>
      <c r="Z3336" s="2" t="s">
        <v>1590</v>
      </c>
      <c r="AA3336" s="2" t="s">
        <v>390</v>
      </c>
      <c r="AB3336" s="2" t="s">
        <v>1337</v>
      </c>
      <c r="AE3336" s="2">
        <f t="shared" si="354"/>
        <v>0</v>
      </c>
      <c r="AF3336" s="2">
        <v>0</v>
      </c>
      <c r="AG3336" s="2">
        <v>0</v>
      </c>
      <c r="AI3336" s="2">
        <f t="shared" si="355"/>
        <v>0</v>
      </c>
      <c r="AJ3336" s="2">
        <f t="shared" si="351"/>
        <v>0</v>
      </c>
      <c r="AK3336" s="5" t="e">
        <f t="shared" si="353"/>
        <v>#DIV/0!</v>
      </c>
    </row>
    <row r="3337" spans="1:37" x14ac:dyDescent="0.2">
      <c r="A3337" s="2">
        <v>2026</v>
      </c>
      <c r="B3337" s="2">
        <v>3</v>
      </c>
      <c r="C3337" s="2" t="s">
        <v>473</v>
      </c>
      <c r="D3337" s="2" t="s">
        <v>38</v>
      </c>
      <c r="E3337" s="2" t="s">
        <v>474</v>
      </c>
      <c r="F3337" s="2">
        <v>513626930</v>
      </c>
      <c r="G3337" s="2" t="s">
        <v>40</v>
      </c>
      <c r="H3337" s="2" t="s">
        <v>340</v>
      </c>
      <c r="I3337" s="2" t="s">
        <v>475</v>
      </c>
      <c r="K3337" s="2" t="s">
        <v>340</v>
      </c>
      <c r="L3337" s="2" t="s">
        <v>40</v>
      </c>
      <c r="N3337" s="2" t="s">
        <v>2675</v>
      </c>
      <c r="O3337" s="2" t="s">
        <v>283</v>
      </c>
      <c r="P3337" s="2" t="s">
        <v>1167</v>
      </c>
      <c r="Q3337" s="2" t="s">
        <v>1168</v>
      </c>
      <c r="R3337" s="2">
        <v>1</v>
      </c>
      <c r="S3337" s="2">
        <v>0</v>
      </c>
      <c r="T3337" s="2">
        <v>0</v>
      </c>
      <c r="U3337" s="2">
        <v>0</v>
      </c>
      <c r="V3337" s="2">
        <v>0</v>
      </c>
      <c r="W3337" s="5">
        <v>0</v>
      </c>
      <c r="Y3337" s="2" t="s">
        <v>105</v>
      </c>
      <c r="Z3337" s="2" t="s">
        <v>1590</v>
      </c>
      <c r="AA3337" s="2" t="s">
        <v>390</v>
      </c>
      <c r="AB3337" s="2" t="s">
        <v>1337</v>
      </c>
      <c r="AE3337" s="2">
        <f t="shared" si="354"/>
        <v>0</v>
      </c>
      <c r="AF3337" s="2">
        <v>0</v>
      </c>
      <c r="AG3337" s="2">
        <v>0</v>
      </c>
      <c r="AI3337" s="2">
        <f t="shared" si="355"/>
        <v>0</v>
      </c>
      <c r="AJ3337" s="2">
        <f t="shared" si="351"/>
        <v>0</v>
      </c>
      <c r="AK3337" s="5">
        <v>0</v>
      </c>
    </row>
    <row r="3338" spans="1:37" x14ac:dyDescent="0.2">
      <c r="A3338" s="2">
        <v>2026</v>
      </c>
      <c r="B3338" s="2">
        <v>3</v>
      </c>
      <c r="C3338" s="2" t="s">
        <v>2680</v>
      </c>
      <c r="O3338" s="2" t="s">
        <v>283</v>
      </c>
      <c r="P3338" s="2" t="s">
        <v>1167</v>
      </c>
      <c r="Q3338" s="2" t="s">
        <v>1168</v>
      </c>
      <c r="R3338" s="2">
        <v>1</v>
      </c>
      <c r="S3338" s="2">
        <v>0</v>
      </c>
      <c r="T3338" s="2">
        <v>0</v>
      </c>
      <c r="U3338" s="2">
        <v>0</v>
      </c>
      <c r="V3338" s="2">
        <v>0</v>
      </c>
      <c r="W3338" s="5" t="e">
        <f>(S3338-V3338)/S3338</f>
        <v>#DIV/0!</v>
      </c>
      <c r="Y3338" s="2" t="s">
        <v>105</v>
      </c>
      <c r="Z3338" s="2" t="s">
        <v>1590</v>
      </c>
      <c r="AA3338" s="2" t="s">
        <v>390</v>
      </c>
      <c r="AB3338" s="2" t="s">
        <v>1337</v>
      </c>
      <c r="AE3338" s="2">
        <f t="shared" si="354"/>
        <v>0</v>
      </c>
      <c r="AF3338" s="2">
        <v>0</v>
      </c>
      <c r="AG3338" s="2">
        <v>0</v>
      </c>
      <c r="AI3338" s="2">
        <f t="shared" si="355"/>
        <v>0</v>
      </c>
      <c r="AJ3338" s="2">
        <f t="shared" si="351"/>
        <v>0</v>
      </c>
      <c r="AK3338" s="5" t="e">
        <f t="shared" ref="AK3338:AK3364" si="356">(S3338-V3338)/S3338</f>
        <v>#DIV/0!</v>
      </c>
    </row>
    <row r="3339" spans="1:37" x14ac:dyDescent="0.2">
      <c r="A3339" s="2">
        <v>2026</v>
      </c>
      <c r="B3339" s="2">
        <v>3</v>
      </c>
      <c r="C3339" s="2" t="s">
        <v>2681</v>
      </c>
      <c r="D3339" s="2" t="s">
        <v>758</v>
      </c>
      <c r="E3339" s="2" t="s">
        <v>39</v>
      </c>
      <c r="F3339" s="2">
        <v>514057190</v>
      </c>
      <c r="G3339" s="2" t="s">
        <v>40</v>
      </c>
      <c r="H3339" s="2" t="s">
        <v>2682</v>
      </c>
      <c r="I3339" s="2" t="s">
        <v>2683</v>
      </c>
      <c r="J3339" s="2">
        <v>934367883</v>
      </c>
      <c r="K3339" s="2" t="s">
        <v>422</v>
      </c>
      <c r="N3339" s="2" t="s">
        <v>2684</v>
      </c>
      <c r="O3339" s="2" t="s">
        <v>283</v>
      </c>
      <c r="P3339" s="2" t="s">
        <v>1167</v>
      </c>
      <c r="Q3339" s="2" t="s">
        <v>1168</v>
      </c>
      <c r="R3339" s="2">
        <v>1</v>
      </c>
      <c r="S3339" s="2">
        <v>0</v>
      </c>
      <c r="T3339" s="2">
        <v>0</v>
      </c>
      <c r="U3339" s="2">
        <v>0</v>
      </c>
      <c r="V3339" s="2">
        <v>0</v>
      </c>
      <c r="W3339" s="5">
        <v>0</v>
      </c>
      <c r="Y3339" s="2" t="s">
        <v>105</v>
      </c>
      <c r="Z3339" s="2" t="s">
        <v>1590</v>
      </c>
      <c r="AA3339" s="2" t="s">
        <v>390</v>
      </c>
      <c r="AB3339" s="2" t="s">
        <v>1337</v>
      </c>
      <c r="AE3339" s="2">
        <f t="shared" si="354"/>
        <v>0</v>
      </c>
      <c r="AF3339" s="2">
        <v>0</v>
      </c>
      <c r="AG3339" s="2">
        <v>0</v>
      </c>
      <c r="AI3339" s="2">
        <f t="shared" si="355"/>
        <v>0</v>
      </c>
      <c r="AJ3339" s="2">
        <f t="shared" si="351"/>
        <v>0</v>
      </c>
      <c r="AK3339" s="5" t="e">
        <f t="shared" si="356"/>
        <v>#DIV/0!</v>
      </c>
    </row>
    <row r="3340" spans="1:37" x14ac:dyDescent="0.2">
      <c r="A3340" s="2">
        <v>2026</v>
      </c>
      <c r="B3340" s="2">
        <v>3</v>
      </c>
      <c r="C3340" s="2" t="s">
        <v>2676</v>
      </c>
      <c r="D3340" s="2" t="s">
        <v>758</v>
      </c>
      <c r="E3340" s="2" t="s">
        <v>39</v>
      </c>
      <c r="F3340" s="2">
        <v>157409490</v>
      </c>
      <c r="G3340" s="2" t="s">
        <v>40</v>
      </c>
      <c r="H3340" s="2" t="s">
        <v>2677</v>
      </c>
      <c r="I3340" s="2" t="s">
        <v>2678</v>
      </c>
      <c r="J3340" s="2">
        <v>917531684</v>
      </c>
      <c r="K3340" s="2" t="s">
        <v>178</v>
      </c>
      <c r="L3340" s="2" t="s">
        <v>40</v>
      </c>
      <c r="N3340" s="2" t="s">
        <v>2679</v>
      </c>
      <c r="O3340" s="2" t="s">
        <v>283</v>
      </c>
      <c r="P3340" s="2" t="s">
        <v>1298</v>
      </c>
      <c r="Q3340" s="2" t="s">
        <v>1299</v>
      </c>
      <c r="R3340" s="2">
        <v>1</v>
      </c>
      <c r="T3340" s="2">
        <v>0</v>
      </c>
      <c r="U3340" s="2">
        <v>0</v>
      </c>
      <c r="V3340" s="2">
        <v>0</v>
      </c>
      <c r="W3340" s="5">
        <v>0</v>
      </c>
      <c r="Y3340" s="2" t="s">
        <v>105</v>
      </c>
      <c r="Z3340" s="2" t="s">
        <v>1590</v>
      </c>
      <c r="AA3340" s="2" t="s">
        <v>390</v>
      </c>
      <c r="AB3340" s="2" t="s">
        <v>1337</v>
      </c>
      <c r="AE3340" s="2">
        <f t="shared" si="354"/>
        <v>0</v>
      </c>
      <c r="AF3340" s="2">
        <v>0</v>
      </c>
      <c r="AG3340" s="2">
        <v>0</v>
      </c>
      <c r="AI3340" s="2">
        <f t="shared" si="355"/>
        <v>0</v>
      </c>
      <c r="AJ3340" s="2">
        <f t="shared" si="351"/>
        <v>0</v>
      </c>
      <c r="AK3340" s="5" t="e">
        <f t="shared" si="356"/>
        <v>#DIV/0!</v>
      </c>
    </row>
    <row r="3341" spans="1:37" x14ac:dyDescent="0.2">
      <c r="A3341" s="2">
        <v>2026</v>
      </c>
      <c r="B3341" s="2">
        <v>3</v>
      </c>
      <c r="C3341" s="2" t="s">
        <v>2662</v>
      </c>
      <c r="D3341" s="2" t="s">
        <v>758</v>
      </c>
      <c r="F3341" s="2">
        <v>504481991</v>
      </c>
      <c r="G3341" s="2" t="s">
        <v>40</v>
      </c>
      <c r="H3341" s="2" t="s">
        <v>2685</v>
      </c>
      <c r="I3341" s="2" t="s">
        <v>2686</v>
      </c>
      <c r="K3341" s="2" t="s">
        <v>202</v>
      </c>
      <c r="O3341" s="2" t="s">
        <v>283</v>
      </c>
      <c r="P3341" s="2" t="s">
        <v>1298</v>
      </c>
      <c r="Q3341" s="2" t="s">
        <v>1299</v>
      </c>
      <c r="R3341" s="2">
        <v>1</v>
      </c>
      <c r="S3341" s="2">
        <v>0</v>
      </c>
      <c r="T3341" s="2">
        <v>0</v>
      </c>
      <c r="U3341" s="2">
        <v>0</v>
      </c>
      <c r="V3341" s="2">
        <v>0</v>
      </c>
      <c r="W3341" s="5" t="e">
        <f>(S3341-V3341)/S3341</f>
        <v>#DIV/0!</v>
      </c>
      <c r="Y3341" s="2" t="s">
        <v>105</v>
      </c>
      <c r="Z3341" s="2" t="s">
        <v>1590</v>
      </c>
      <c r="AA3341" s="2" t="s">
        <v>390</v>
      </c>
      <c r="AB3341" s="2" t="s">
        <v>1337</v>
      </c>
      <c r="AE3341" s="2">
        <f t="shared" si="354"/>
        <v>0</v>
      </c>
      <c r="AF3341" s="2">
        <v>0</v>
      </c>
      <c r="AG3341" s="2">
        <v>0</v>
      </c>
      <c r="AI3341" s="2">
        <f t="shared" si="355"/>
        <v>0</v>
      </c>
      <c r="AJ3341" s="2">
        <f t="shared" si="351"/>
        <v>0</v>
      </c>
      <c r="AK3341" s="5" t="e">
        <f t="shared" si="356"/>
        <v>#DIV/0!</v>
      </c>
    </row>
    <row r="3342" spans="1:37" x14ac:dyDescent="0.2">
      <c r="A3342" s="2">
        <v>2026</v>
      </c>
      <c r="B3342" s="2">
        <v>3</v>
      </c>
      <c r="C3342" s="2" t="s">
        <v>2680</v>
      </c>
      <c r="D3342" s="2" t="s">
        <v>758</v>
      </c>
      <c r="F3342" s="2">
        <v>509674658</v>
      </c>
      <c r="G3342" s="2" t="s">
        <v>40</v>
      </c>
      <c r="H3342" s="2" t="s">
        <v>2687</v>
      </c>
      <c r="I3342" s="2" t="s">
        <v>2688</v>
      </c>
      <c r="K3342" s="2" t="s">
        <v>178</v>
      </c>
      <c r="O3342" s="2" t="s">
        <v>283</v>
      </c>
      <c r="P3342" s="2" t="s">
        <v>1298</v>
      </c>
      <c r="Q3342" s="2" t="s">
        <v>1299</v>
      </c>
      <c r="R3342" s="2">
        <v>1</v>
      </c>
      <c r="S3342" s="2">
        <v>0</v>
      </c>
      <c r="T3342" s="2">
        <v>0</v>
      </c>
      <c r="U3342" s="2">
        <v>0</v>
      </c>
      <c r="V3342" s="2">
        <v>0</v>
      </c>
      <c r="W3342" s="5" t="e">
        <f>(S3342-V3342)/S3342</f>
        <v>#DIV/0!</v>
      </c>
      <c r="Y3342" s="2" t="s">
        <v>105</v>
      </c>
      <c r="Z3342" s="2" t="s">
        <v>1590</v>
      </c>
      <c r="AA3342" s="2" t="s">
        <v>390</v>
      </c>
      <c r="AB3342" s="2" t="s">
        <v>1337</v>
      </c>
      <c r="AE3342" s="2">
        <f t="shared" si="354"/>
        <v>0</v>
      </c>
      <c r="AF3342" s="2">
        <v>0</v>
      </c>
      <c r="AG3342" s="2">
        <v>0</v>
      </c>
      <c r="AI3342" s="2">
        <f t="shared" si="355"/>
        <v>0</v>
      </c>
      <c r="AJ3342" s="2">
        <f t="shared" si="351"/>
        <v>0</v>
      </c>
      <c r="AK3342" s="5" t="e">
        <f t="shared" si="356"/>
        <v>#DIV/0!</v>
      </c>
    </row>
    <row r="3343" spans="1:37" x14ac:dyDescent="0.2">
      <c r="A3343" s="2">
        <v>2026</v>
      </c>
      <c r="B3343" s="2">
        <v>3</v>
      </c>
      <c r="C3343" s="2" t="s">
        <v>2681</v>
      </c>
      <c r="D3343" s="2" t="s">
        <v>758</v>
      </c>
      <c r="E3343" s="2" t="s">
        <v>39</v>
      </c>
      <c r="F3343" s="2">
        <v>514057190</v>
      </c>
      <c r="G3343" s="2" t="s">
        <v>40</v>
      </c>
      <c r="H3343" s="2" t="s">
        <v>2682</v>
      </c>
      <c r="I3343" s="2" t="s">
        <v>2683</v>
      </c>
      <c r="J3343" s="2">
        <v>934367883</v>
      </c>
      <c r="K3343" s="2" t="s">
        <v>422</v>
      </c>
      <c r="N3343" s="2" t="s">
        <v>2684</v>
      </c>
      <c r="O3343" s="2" t="s">
        <v>283</v>
      </c>
      <c r="P3343" s="2" t="s">
        <v>1298</v>
      </c>
      <c r="Q3343" s="2" t="s">
        <v>1299</v>
      </c>
      <c r="R3343" s="2">
        <v>1</v>
      </c>
      <c r="S3343" s="2">
        <v>0</v>
      </c>
      <c r="T3343" s="2">
        <v>0</v>
      </c>
      <c r="U3343" s="2">
        <v>0</v>
      </c>
      <c r="V3343" s="2">
        <v>0</v>
      </c>
      <c r="W3343" s="5">
        <v>0</v>
      </c>
      <c r="Y3343" s="2" t="s">
        <v>105</v>
      </c>
      <c r="Z3343" s="2" t="s">
        <v>1590</v>
      </c>
      <c r="AA3343" s="2" t="s">
        <v>390</v>
      </c>
      <c r="AB3343" s="2" t="s">
        <v>1337</v>
      </c>
      <c r="AE3343" s="2">
        <f t="shared" si="354"/>
        <v>0</v>
      </c>
      <c r="AF3343" s="2">
        <v>0</v>
      </c>
      <c r="AG3343" s="2">
        <v>0</v>
      </c>
      <c r="AI3343" s="2">
        <f t="shared" si="355"/>
        <v>0</v>
      </c>
      <c r="AJ3343" s="2">
        <f t="shared" si="351"/>
        <v>0</v>
      </c>
      <c r="AK3343" s="5" t="e">
        <f t="shared" si="356"/>
        <v>#DIV/0!</v>
      </c>
    </row>
    <row r="3344" spans="1:37" x14ac:dyDescent="0.2">
      <c r="A3344" s="2">
        <v>2026</v>
      </c>
      <c r="B3344" s="2">
        <v>3</v>
      </c>
      <c r="C3344" s="2" t="s">
        <v>1903</v>
      </c>
      <c r="O3344" s="2" t="s">
        <v>283</v>
      </c>
      <c r="P3344" s="2" t="s">
        <v>1969</v>
      </c>
      <c r="Q3344" s="2" t="s">
        <v>1970</v>
      </c>
      <c r="R3344" s="2">
        <v>1</v>
      </c>
      <c r="S3344" s="2">
        <v>269</v>
      </c>
      <c r="T3344" s="2">
        <v>61.87</v>
      </c>
      <c r="U3344" s="2">
        <v>330.87</v>
      </c>
      <c r="V3344" s="2">
        <v>144.28</v>
      </c>
      <c r="W3344" s="5">
        <f t="shared" ref="W3344:W3364" si="357">(S3344-V3344)/S3344</f>
        <v>0.46364312267657992</v>
      </c>
      <c r="Y3344" s="2" t="s">
        <v>3256</v>
      </c>
      <c r="Z3344" s="2" t="s">
        <v>72</v>
      </c>
      <c r="AA3344" s="2" t="s">
        <v>120</v>
      </c>
      <c r="AB3344" s="2" t="s">
        <v>120</v>
      </c>
      <c r="AE3344" s="2">
        <f t="shared" si="354"/>
        <v>0</v>
      </c>
      <c r="AI3344" s="2">
        <f t="shared" si="355"/>
        <v>0</v>
      </c>
      <c r="AJ3344" s="2">
        <f t="shared" si="351"/>
        <v>124.72</v>
      </c>
      <c r="AK3344" s="5">
        <f t="shared" si="356"/>
        <v>0.46364312267657992</v>
      </c>
    </row>
    <row r="3345" spans="1:37" x14ac:dyDescent="0.2">
      <c r="A3345" s="2">
        <v>2026</v>
      </c>
      <c r="B3345" s="2">
        <v>3</v>
      </c>
      <c r="C3345" s="2" t="s">
        <v>2689</v>
      </c>
      <c r="O3345" s="2" t="s">
        <v>283</v>
      </c>
      <c r="P3345" s="2" t="s">
        <v>1448</v>
      </c>
      <c r="Q3345" s="2" t="s">
        <v>1449</v>
      </c>
      <c r="R3345" s="2">
        <v>30</v>
      </c>
      <c r="S3345" s="2">
        <v>207</v>
      </c>
      <c r="T3345" s="2">
        <v>47.61</v>
      </c>
      <c r="U3345" s="2">
        <v>254.61</v>
      </c>
      <c r="V3345" s="2">
        <v>154.05000000000001</v>
      </c>
      <c r="W3345" s="5">
        <f t="shared" si="357"/>
        <v>0.25579710144927531</v>
      </c>
      <c r="Y3345" s="2" t="s">
        <v>3256</v>
      </c>
      <c r="Z3345" s="2" t="s">
        <v>72</v>
      </c>
      <c r="AA3345" s="2" t="s">
        <v>120</v>
      </c>
      <c r="AB3345" s="2" t="s">
        <v>120</v>
      </c>
      <c r="AE3345" s="2">
        <f t="shared" si="354"/>
        <v>0</v>
      </c>
      <c r="AF3345" s="2">
        <v>2.4323999999999999</v>
      </c>
      <c r="AG3345" s="2">
        <v>7.9</v>
      </c>
      <c r="AI3345" s="2">
        <f t="shared" si="355"/>
        <v>0</v>
      </c>
      <c r="AJ3345" s="2">
        <f t="shared" si="351"/>
        <v>52.949999999999989</v>
      </c>
      <c r="AK3345" s="5">
        <f t="shared" si="356"/>
        <v>0.25579710144927531</v>
      </c>
    </row>
    <row r="3346" spans="1:37" x14ac:dyDescent="0.2">
      <c r="A3346" s="2">
        <v>2026</v>
      </c>
      <c r="B3346" s="2">
        <v>3</v>
      </c>
      <c r="C3346" s="2" t="s">
        <v>492</v>
      </c>
      <c r="D3346" s="2" t="s">
        <v>38</v>
      </c>
      <c r="E3346" s="2" t="s">
        <v>39</v>
      </c>
      <c r="F3346" s="2">
        <v>507380312</v>
      </c>
      <c r="G3346" s="2" t="s">
        <v>40</v>
      </c>
      <c r="H3346" s="2" t="s">
        <v>493</v>
      </c>
      <c r="I3346" s="2" t="s">
        <v>494</v>
      </c>
      <c r="J3346" s="2">
        <v>912293443</v>
      </c>
      <c r="K3346" s="2" t="s">
        <v>100</v>
      </c>
      <c r="L3346" s="2" t="s">
        <v>81</v>
      </c>
      <c r="N3346" s="2" t="s">
        <v>2690</v>
      </c>
      <c r="O3346" s="2" t="s">
        <v>283</v>
      </c>
      <c r="P3346" s="2" t="s">
        <v>1448</v>
      </c>
      <c r="Q3346" s="2" t="s">
        <v>1449</v>
      </c>
      <c r="R3346" s="2">
        <v>2</v>
      </c>
      <c r="S3346" s="2">
        <v>15.8</v>
      </c>
      <c r="T3346" s="2">
        <v>3.6339999999999999</v>
      </c>
      <c r="U3346" s="2">
        <v>19.434000000000001</v>
      </c>
      <c r="V3346" s="2">
        <v>10.27</v>
      </c>
      <c r="W3346" s="5">
        <f t="shared" si="357"/>
        <v>0.35000000000000003</v>
      </c>
      <c r="Y3346" s="2" t="s">
        <v>3256</v>
      </c>
      <c r="Z3346" s="2" t="s">
        <v>72</v>
      </c>
      <c r="AA3346" s="2" t="s">
        <v>120</v>
      </c>
      <c r="AB3346" s="2" t="s">
        <v>120</v>
      </c>
      <c r="AE3346" s="2">
        <f t="shared" si="354"/>
        <v>0</v>
      </c>
      <c r="AF3346" s="2">
        <v>2.4323999999999999</v>
      </c>
      <c r="AG3346" s="2">
        <v>7.9</v>
      </c>
      <c r="AI3346" s="2">
        <f t="shared" si="355"/>
        <v>0</v>
      </c>
      <c r="AJ3346" s="2">
        <f t="shared" si="351"/>
        <v>5.5300000000000011</v>
      </c>
      <c r="AK3346" s="5">
        <f t="shared" si="356"/>
        <v>0.35000000000000003</v>
      </c>
    </row>
    <row r="3347" spans="1:37" x14ac:dyDescent="0.2">
      <c r="A3347" s="2">
        <v>2026</v>
      </c>
      <c r="B3347" s="2">
        <v>3</v>
      </c>
      <c r="C3347" s="2" t="s">
        <v>2691</v>
      </c>
      <c r="D3347" s="2" t="s">
        <v>38</v>
      </c>
      <c r="E3347" s="2" t="s">
        <v>39</v>
      </c>
      <c r="F3347" s="2">
        <v>186862520</v>
      </c>
      <c r="G3347" s="2" t="s">
        <v>41</v>
      </c>
      <c r="H3347" s="2" t="s">
        <v>1570</v>
      </c>
      <c r="J3347" s="2">
        <v>965119464</v>
      </c>
      <c r="K3347" s="2" t="s">
        <v>178</v>
      </c>
      <c r="L3347" s="2" t="s">
        <v>41</v>
      </c>
      <c r="O3347" s="2" t="s">
        <v>283</v>
      </c>
      <c r="P3347" s="2" t="s">
        <v>1563</v>
      </c>
      <c r="Q3347" s="2" t="s">
        <v>1564</v>
      </c>
      <c r="R3347" s="2">
        <v>1</v>
      </c>
      <c r="S3347" s="2">
        <v>495</v>
      </c>
      <c r="T3347" s="2">
        <v>113.85</v>
      </c>
      <c r="U3347" s="2">
        <v>608.85</v>
      </c>
      <c r="V3347" s="2">
        <v>297</v>
      </c>
      <c r="W3347" s="5">
        <f t="shared" si="357"/>
        <v>0.4</v>
      </c>
      <c r="Y3347" s="2" t="s">
        <v>105</v>
      </c>
      <c r="Z3347" s="2" t="s">
        <v>389</v>
      </c>
      <c r="AA3347" s="2" t="s">
        <v>390</v>
      </c>
      <c r="AB3347" s="2" t="s">
        <v>391</v>
      </c>
      <c r="AE3347" s="2">
        <f t="shared" si="354"/>
        <v>0</v>
      </c>
      <c r="AF3347" s="2">
        <v>297</v>
      </c>
      <c r="AG3347" s="2">
        <v>595</v>
      </c>
      <c r="AI3347" s="2">
        <f t="shared" si="355"/>
        <v>0</v>
      </c>
      <c r="AJ3347" s="2">
        <f t="shared" si="351"/>
        <v>198</v>
      </c>
      <c r="AK3347" s="5">
        <f t="shared" si="356"/>
        <v>0.4</v>
      </c>
    </row>
    <row r="3348" spans="1:37" x14ac:dyDescent="0.2">
      <c r="A3348" s="2">
        <v>2026</v>
      </c>
      <c r="B3348" s="2">
        <v>3</v>
      </c>
      <c r="C3348" s="2" t="s">
        <v>3288</v>
      </c>
      <c r="D3348" s="2" t="s">
        <v>38</v>
      </c>
      <c r="F3348" s="2">
        <v>500844321</v>
      </c>
      <c r="G3348" s="2" t="s">
        <v>40</v>
      </c>
      <c r="H3348" s="2" t="s">
        <v>340</v>
      </c>
      <c r="I3348" s="2" t="s">
        <v>2668</v>
      </c>
      <c r="K3348" s="2" t="s">
        <v>422</v>
      </c>
      <c r="L3348" s="2" t="s">
        <v>41</v>
      </c>
      <c r="N3348" s="2" t="s">
        <v>3287</v>
      </c>
      <c r="O3348" s="2" t="s">
        <v>283</v>
      </c>
      <c r="P3348" s="2" t="s">
        <v>1262</v>
      </c>
      <c r="Q3348" s="2" t="s">
        <v>1263</v>
      </c>
      <c r="R3348" s="2">
        <v>1</v>
      </c>
      <c r="S3348" s="2">
        <v>1500</v>
      </c>
      <c r="T3348" s="2">
        <v>345</v>
      </c>
      <c r="U3348" s="2">
        <v>1845</v>
      </c>
      <c r="V3348" s="2">
        <v>1239</v>
      </c>
      <c r="W3348" s="5">
        <f t="shared" si="357"/>
        <v>0.17399999999999999</v>
      </c>
      <c r="Y3348" s="2" t="s">
        <v>105</v>
      </c>
      <c r="Z3348" s="2" t="s">
        <v>389</v>
      </c>
      <c r="AA3348" s="2" t="s">
        <v>390</v>
      </c>
      <c r="AB3348" s="2" t="s">
        <v>391</v>
      </c>
      <c r="AE3348" s="2">
        <f t="shared" si="354"/>
        <v>0</v>
      </c>
      <c r="AF3348" s="2">
        <v>1239</v>
      </c>
      <c r="AG3348" s="2">
        <v>2950</v>
      </c>
      <c r="AI3348" s="2">
        <f t="shared" si="355"/>
        <v>0</v>
      </c>
      <c r="AJ3348" s="2">
        <f t="shared" si="351"/>
        <v>261</v>
      </c>
      <c r="AK3348" s="5">
        <f t="shared" si="356"/>
        <v>0.17399999999999999</v>
      </c>
    </row>
    <row r="3349" spans="1:37" x14ac:dyDescent="0.2">
      <c r="A3349" s="2">
        <v>2026</v>
      </c>
      <c r="B3349" s="2">
        <v>3</v>
      </c>
      <c r="C3349" s="2" t="s">
        <v>2691</v>
      </c>
      <c r="D3349" s="2" t="s">
        <v>38</v>
      </c>
      <c r="E3349" s="2" t="s">
        <v>39</v>
      </c>
      <c r="F3349" s="2">
        <v>186862520</v>
      </c>
      <c r="G3349" s="2" t="s">
        <v>41</v>
      </c>
      <c r="H3349" s="2" t="s">
        <v>1570</v>
      </c>
      <c r="J3349" s="2">
        <v>965119464</v>
      </c>
      <c r="K3349" s="2" t="s">
        <v>178</v>
      </c>
      <c r="L3349" s="2" t="s">
        <v>41</v>
      </c>
      <c r="O3349" s="2" t="s">
        <v>283</v>
      </c>
      <c r="P3349" s="2" t="s">
        <v>401</v>
      </c>
      <c r="Q3349" s="2" t="s">
        <v>402</v>
      </c>
      <c r="R3349" s="2">
        <v>10</v>
      </c>
      <c r="S3349" s="2">
        <v>200</v>
      </c>
      <c r="T3349" s="2">
        <v>46</v>
      </c>
      <c r="U3349" s="2">
        <v>246</v>
      </c>
      <c r="V3349" s="2">
        <v>145</v>
      </c>
      <c r="W3349" s="5">
        <f t="shared" si="357"/>
        <v>0.27500000000000002</v>
      </c>
      <c r="Y3349" s="2" t="s">
        <v>3256</v>
      </c>
      <c r="Z3349" s="2" t="s">
        <v>46</v>
      </c>
      <c r="AA3349" s="2" t="s">
        <v>61</v>
      </c>
      <c r="AB3349" s="2" t="s">
        <v>403</v>
      </c>
      <c r="AE3349" s="2">
        <f t="shared" si="354"/>
        <v>0</v>
      </c>
      <c r="AI3349" s="2">
        <f t="shared" si="355"/>
        <v>0</v>
      </c>
      <c r="AJ3349" s="2">
        <f t="shared" si="351"/>
        <v>55</v>
      </c>
      <c r="AK3349" s="5">
        <f t="shared" si="356"/>
        <v>0.27500000000000002</v>
      </c>
    </row>
    <row r="3350" spans="1:37" x14ac:dyDescent="0.2">
      <c r="A3350" s="2">
        <v>2026</v>
      </c>
      <c r="B3350" s="2">
        <v>3</v>
      </c>
      <c r="C3350" s="2" t="s">
        <v>1365</v>
      </c>
      <c r="D3350" s="2" t="s">
        <v>758</v>
      </c>
      <c r="E3350" s="2" t="s">
        <v>39</v>
      </c>
      <c r="F3350" s="2">
        <v>518238334</v>
      </c>
      <c r="G3350" s="2" t="s">
        <v>41</v>
      </c>
      <c r="H3350" s="2" t="s">
        <v>768</v>
      </c>
      <c r="I3350" s="2" t="s">
        <v>1366</v>
      </c>
      <c r="K3350" s="2" t="s">
        <v>422</v>
      </c>
      <c r="L3350" s="2" t="s">
        <v>41</v>
      </c>
      <c r="O3350" s="2" t="s">
        <v>283</v>
      </c>
      <c r="P3350" s="2" t="s">
        <v>401</v>
      </c>
      <c r="Q3350" s="2" t="s">
        <v>402</v>
      </c>
      <c r="R3350" s="2">
        <v>10</v>
      </c>
      <c r="S3350" s="2">
        <v>200</v>
      </c>
      <c r="T3350" s="2">
        <v>46</v>
      </c>
      <c r="U3350" s="2">
        <v>246</v>
      </c>
      <c r="V3350" s="2">
        <v>145</v>
      </c>
      <c r="W3350" s="5">
        <f t="shared" si="357"/>
        <v>0.27500000000000002</v>
      </c>
      <c r="Y3350" s="2" t="s">
        <v>3256</v>
      </c>
      <c r="Z3350" s="2" t="s">
        <v>46</v>
      </c>
      <c r="AA3350" s="2" t="s">
        <v>61</v>
      </c>
      <c r="AB3350" s="2" t="s">
        <v>403</v>
      </c>
      <c r="AE3350" s="2">
        <f t="shared" si="354"/>
        <v>0</v>
      </c>
      <c r="AI3350" s="2">
        <f t="shared" si="355"/>
        <v>0</v>
      </c>
      <c r="AJ3350" s="2">
        <f t="shared" si="351"/>
        <v>55</v>
      </c>
      <c r="AK3350" s="5">
        <f t="shared" si="356"/>
        <v>0.27500000000000002</v>
      </c>
    </row>
    <row r="3351" spans="1:37" x14ac:dyDescent="0.2">
      <c r="A3351" s="2">
        <v>2026</v>
      </c>
      <c r="B3351" s="2">
        <v>3</v>
      </c>
      <c r="C3351" s="2" t="s">
        <v>1015</v>
      </c>
      <c r="L3351" s="2" t="s">
        <v>41</v>
      </c>
      <c r="O3351" s="2" t="s">
        <v>283</v>
      </c>
      <c r="P3351" s="2" t="s">
        <v>401</v>
      </c>
      <c r="Q3351" s="2" t="s">
        <v>402</v>
      </c>
      <c r="R3351" s="2">
        <v>10</v>
      </c>
      <c r="S3351" s="2">
        <v>200</v>
      </c>
      <c r="T3351" s="2">
        <v>46</v>
      </c>
      <c r="U3351" s="2">
        <v>246</v>
      </c>
      <c r="V3351" s="2">
        <v>145</v>
      </c>
      <c r="W3351" s="5">
        <f t="shared" si="357"/>
        <v>0.27500000000000002</v>
      </c>
      <c r="Y3351" s="2" t="s">
        <v>3256</v>
      </c>
      <c r="Z3351" s="2" t="s">
        <v>46</v>
      </c>
      <c r="AA3351" s="2" t="s">
        <v>61</v>
      </c>
      <c r="AB3351" s="2" t="s">
        <v>403</v>
      </c>
      <c r="AE3351" s="2">
        <f t="shared" si="354"/>
        <v>0</v>
      </c>
      <c r="AI3351" s="2">
        <f t="shared" si="355"/>
        <v>0</v>
      </c>
      <c r="AJ3351" s="2">
        <f t="shared" si="351"/>
        <v>55</v>
      </c>
      <c r="AK3351" s="5">
        <f t="shared" si="356"/>
        <v>0.27500000000000002</v>
      </c>
    </row>
    <row r="3352" spans="1:37" x14ac:dyDescent="0.2">
      <c r="A3352" s="2">
        <v>2026</v>
      </c>
      <c r="B3352" s="2">
        <v>3</v>
      </c>
      <c r="C3352" s="2" t="s">
        <v>1569</v>
      </c>
      <c r="D3352" s="2" t="s">
        <v>109</v>
      </c>
      <c r="E3352" s="2" t="s">
        <v>723</v>
      </c>
      <c r="F3352" s="2">
        <v>500975914</v>
      </c>
      <c r="G3352" s="2" t="s">
        <v>41</v>
      </c>
      <c r="H3352" s="2" t="s">
        <v>1570</v>
      </c>
      <c r="I3352" s="2" t="s">
        <v>1571</v>
      </c>
      <c r="K3352" s="2" t="s">
        <v>100</v>
      </c>
      <c r="L3352" s="2" t="s">
        <v>41</v>
      </c>
      <c r="O3352" s="2" t="s">
        <v>283</v>
      </c>
      <c r="P3352" s="2" t="s">
        <v>401</v>
      </c>
      <c r="Q3352" s="2" t="s">
        <v>402</v>
      </c>
      <c r="R3352" s="2">
        <v>20</v>
      </c>
      <c r="S3352" s="2">
        <v>400</v>
      </c>
      <c r="T3352" s="2">
        <v>92</v>
      </c>
      <c r="U3352" s="2">
        <v>492</v>
      </c>
      <c r="V3352" s="2">
        <v>290</v>
      </c>
      <c r="W3352" s="5">
        <f t="shared" si="357"/>
        <v>0.27500000000000002</v>
      </c>
      <c r="Y3352" s="2" t="s">
        <v>3256</v>
      </c>
      <c r="Z3352" s="2" t="s">
        <v>46</v>
      </c>
      <c r="AA3352" s="2" t="s">
        <v>61</v>
      </c>
      <c r="AB3352" s="2" t="s">
        <v>403</v>
      </c>
      <c r="AE3352" s="2">
        <f t="shared" si="354"/>
        <v>0</v>
      </c>
      <c r="AI3352" s="2">
        <f t="shared" si="355"/>
        <v>0</v>
      </c>
      <c r="AJ3352" s="2">
        <f t="shared" si="351"/>
        <v>110</v>
      </c>
      <c r="AK3352" s="5">
        <f t="shared" si="356"/>
        <v>0.27500000000000002</v>
      </c>
    </row>
    <row r="3353" spans="1:37" x14ac:dyDescent="0.2">
      <c r="A3353" s="2">
        <v>2026</v>
      </c>
      <c r="B3353" s="2">
        <v>3</v>
      </c>
      <c r="C3353" s="2" t="s">
        <v>2691</v>
      </c>
      <c r="D3353" s="2" t="s">
        <v>38</v>
      </c>
      <c r="E3353" s="2" t="s">
        <v>39</v>
      </c>
      <c r="F3353" s="2">
        <v>186862520</v>
      </c>
      <c r="G3353" s="2" t="s">
        <v>41</v>
      </c>
      <c r="H3353" s="2" t="s">
        <v>1570</v>
      </c>
      <c r="J3353" s="2">
        <v>965119464</v>
      </c>
      <c r="K3353" s="2" t="s">
        <v>178</v>
      </c>
      <c r="L3353" s="2" t="s">
        <v>41</v>
      </c>
      <c r="O3353" s="2" t="s">
        <v>283</v>
      </c>
      <c r="P3353" s="2" t="s">
        <v>404</v>
      </c>
      <c r="Q3353" s="2" t="s">
        <v>405</v>
      </c>
      <c r="R3353" s="2">
        <v>10</v>
      </c>
      <c r="S3353" s="2">
        <v>200</v>
      </c>
      <c r="T3353" s="2">
        <v>46</v>
      </c>
      <c r="U3353" s="2">
        <v>246</v>
      </c>
      <c r="V3353" s="2">
        <v>145</v>
      </c>
      <c r="W3353" s="5">
        <f t="shared" si="357"/>
        <v>0.27500000000000002</v>
      </c>
      <c r="Y3353" s="2" t="s">
        <v>3256</v>
      </c>
      <c r="Z3353" s="2" t="s">
        <v>46</v>
      </c>
      <c r="AA3353" s="2" t="s">
        <v>61</v>
      </c>
      <c r="AB3353" s="2" t="s">
        <v>403</v>
      </c>
      <c r="AE3353" s="2">
        <f t="shared" si="354"/>
        <v>0</v>
      </c>
      <c r="AI3353" s="2">
        <f t="shared" si="355"/>
        <v>0</v>
      </c>
      <c r="AJ3353" s="2">
        <f t="shared" si="351"/>
        <v>55</v>
      </c>
      <c r="AK3353" s="5">
        <f t="shared" si="356"/>
        <v>0.27500000000000002</v>
      </c>
    </row>
    <row r="3354" spans="1:37" x14ac:dyDescent="0.2">
      <c r="A3354" s="2">
        <v>2026</v>
      </c>
      <c r="B3354" s="2">
        <v>3</v>
      </c>
      <c r="C3354" s="2" t="s">
        <v>1365</v>
      </c>
      <c r="D3354" s="2" t="s">
        <v>758</v>
      </c>
      <c r="E3354" s="2" t="s">
        <v>39</v>
      </c>
      <c r="F3354" s="2">
        <v>518238334</v>
      </c>
      <c r="G3354" s="2" t="s">
        <v>41</v>
      </c>
      <c r="H3354" s="2" t="s">
        <v>768</v>
      </c>
      <c r="I3354" s="2" t="s">
        <v>1366</v>
      </c>
      <c r="K3354" s="2" t="s">
        <v>422</v>
      </c>
      <c r="L3354" s="2" t="s">
        <v>41</v>
      </c>
      <c r="O3354" s="2" t="s">
        <v>283</v>
      </c>
      <c r="P3354" s="2" t="s">
        <v>404</v>
      </c>
      <c r="Q3354" s="2" t="s">
        <v>405</v>
      </c>
      <c r="R3354" s="2">
        <v>10</v>
      </c>
      <c r="S3354" s="2">
        <v>200</v>
      </c>
      <c r="T3354" s="2">
        <v>46</v>
      </c>
      <c r="U3354" s="2">
        <v>246</v>
      </c>
      <c r="V3354" s="2">
        <v>145</v>
      </c>
      <c r="W3354" s="5">
        <f t="shared" si="357"/>
        <v>0.27500000000000002</v>
      </c>
      <c r="Y3354" s="2" t="s">
        <v>3256</v>
      </c>
      <c r="Z3354" s="2" t="s">
        <v>46</v>
      </c>
      <c r="AA3354" s="2" t="s">
        <v>61</v>
      </c>
      <c r="AB3354" s="2" t="s">
        <v>403</v>
      </c>
      <c r="AE3354" s="2">
        <f t="shared" si="354"/>
        <v>0</v>
      </c>
      <c r="AI3354" s="2">
        <f t="shared" si="355"/>
        <v>0</v>
      </c>
      <c r="AJ3354" s="2">
        <f t="shared" si="351"/>
        <v>55</v>
      </c>
      <c r="AK3354" s="5">
        <f t="shared" si="356"/>
        <v>0.27500000000000002</v>
      </c>
    </row>
    <row r="3355" spans="1:37" x14ac:dyDescent="0.2">
      <c r="A3355" s="2">
        <v>2026</v>
      </c>
      <c r="B3355" s="2">
        <v>3</v>
      </c>
      <c r="C3355" s="2" t="s">
        <v>1015</v>
      </c>
      <c r="L3355" s="2" t="s">
        <v>41</v>
      </c>
      <c r="O3355" s="2" t="s">
        <v>283</v>
      </c>
      <c r="P3355" s="2" t="s">
        <v>404</v>
      </c>
      <c r="Q3355" s="2" t="s">
        <v>405</v>
      </c>
      <c r="R3355" s="2">
        <v>10</v>
      </c>
      <c r="S3355" s="2">
        <v>200</v>
      </c>
      <c r="T3355" s="2">
        <v>46</v>
      </c>
      <c r="U3355" s="2">
        <v>246</v>
      </c>
      <c r="V3355" s="2">
        <v>145</v>
      </c>
      <c r="W3355" s="5">
        <f t="shared" si="357"/>
        <v>0.27500000000000002</v>
      </c>
      <c r="Y3355" s="2" t="s">
        <v>3256</v>
      </c>
      <c r="Z3355" s="2" t="s">
        <v>46</v>
      </c>
      <c r="AA3355" s="2" t="s">
        <v>61</v>
      </c>
      <c r="AB3355" s="2" t="s">
        <v>403</v>
      </c>
      <c r="AE3355" s="2">
        <f t="shared" si="354"/>
        <v>0</v>
      </c>
      <c r="AI3355" s="2">
        <f t="shared" si="355"/>
        <v>0</v>
      </c>
      <c r="AJ3355" s="2">
        <f t="shared" si="351"/>
        <v>55</v>
      </c>
      <c r="AK3355" s="5">
        <f t="shared" si="356"/>
        <v>0.27500000000000002</v>
      </c>
    </row>
    <row r="3356" spans="1:37" x14ac:dyDescent="0.2">
      <c r="A3356" s="2">
        <v>2026</v>
      </c>
      <c r="B3356" s="2">
        <v>3</v>
      </c>
      <c r="C3356" s="2" t="s">
        <v>1569</v>
      </c>
      <c r="D3356" s="2" t="s">
        <v>109</v>
      </c>
      <c r="E3356" s="2" t="s">
        <v>723</v>
      </c>
      <c r="F3356" s="2">
        <v>500975914</v>
      </c>
      <c r="G3356" s="2" t="s">
        <v>41</v>
      </c>
      <c r="H3356" s="2" t="s">
        <v>1570</v>
      </c>
      <c r="I3356" s="2" t="s">
        <v>1571</v>
      </c>
      <c r="K3356" s="2" t="s">
        <v>100</v>
      </c>
      <c r="L3356" s="2" t="s">
        <v>41</v>
      </c>
      <c r="O3356" s="2" t="s">
        <v>283</v>
      </c>
      <c r="P3356" s="2" t="s">
        <v>404</v>
      </c>
      <c r="Q3356" s="2" t="s">
        <v>405</v>
      </c>
      <c r="R3356" s="2">
        <v>20</v>
      </c>
      <c r="S3356" s="2">
        <v>400</v>
      </c>
      <c r="T3356" s="2">
        <v>92</v>
      </c>
      <c r="U3356" s="2">
        <v>492</v>
      </c>
      <c r="V3356" s="2">
        <v>290</v>
      </c>
      <c r="W3356" s="5">
        <f t="shared" si="357"/>
        <v>0.27500000000000002</v>
      </c>
      <c r="Y3356" s="2" t="s">
        <v>3256</v>
      </c>
      <c r="Z3356" s="2" t="s">
        <v>46</v>
      </c>
      <c r="AA3356" s="2" t="s">
        <v>61</v>
      </c>
      <c r="AB3356" s="2" t="s">
        <v>403</v>
      </c>
      <c r="AE3356" s="2">
        <f t="shared" si="354"/>
        <v>0</v>
      </c>
      <c r="AI3356" s="2">
        <f t="shared" si="355"/>
        <v>0</v>
      </c>
      <c r="AJ3356" s="2">
        <f t="shared" si="351"/>
        <v>110</v>
      </c>
      <c r="AK3356" s="5">
        <f t="shared" si="356"/>
        <v>0.27500000000000002</v>
      </c>
    </row>
    <row r="3357" spans="1:37" x14ac:dyDescent="0.2">
      <c r="A3357" s="2">
        <v>2026</v>
      </c>
      <c r="B3357" s="2">
        <v>3</v>
      </c>
      <c r="C3357" s="2" t="s">
        <v>2538</v>
      </c>
      <c r="D3357" s="2" t="s">
        <v>758</v>
      </c>
      <c r="E3357" s="2" t="s">
        <v>39</v>
      </c>
      <c r="F3357" s="2">
        <v>515570354</v>
      </c>
      <c r="G3357" s="2" t="s">
        <v>110</v>
      </c>
      <c r="H3357" s="2" t="s">
        <v>2539</v>
      </c>
      <c r="I3357" s="2" t="s">
        <v>2540</v>
      </c>
      <c r="J3357" s="2">
        <v>967032538</v>
      </c>
      <c r="K3357" s="2" t="s">
        <v>400</v>
      </c>
      <c r="L3357" s="2" t="s">
        <v>110</v>
      </c>
      <c r="N3357" s="2" t="s">
        <v>2661</v>
      </c>
      <c r="O3357" s="2" t="s">
        <v>43</v>
      </c>
      <c r="P3357" s="2" t="s">
        <v>1113</v>
      </c>
      <c r="Q3357" s="2" t="s">
        <v>1114</v>
      </c>
      <c r="R3357" s="2">
        <v>1</v>
      </c>
      <c r="S3357" s="2">
        <v>21</v>
      </c>
      <c r="T3357" s="2">
        <v>4.83</v>
      </c>
      <c r="U3357" s="2">
        <v>25.83</v>
      </c>
      <c r="V3357" s="2">
        <v>10</v>
      </c>
      <c r="W3357" s="5">
        <f t="shared" si="357"/>
        <v>0.52380952380952384</v>
      </c>
      <c r="Y3357" s="2" t="s">
        <v>3256</v>
      </c>
      <c r="Z3357" s="2" t="s">
        <v>46</v>
      </c>
      <c r="AA3357" s="2" t="s">
        <v>47</v>
      </c>
      <c r="AB3357" s="2" t="s">
        <v>48</v>
      </c>
      <c r="AE3357" s="2">
        <f t="shared" si="354"/>
        <v>0</v>
      </c>
      <c r="AF3357" s="2">
        <v>10</v>
      </c>
      <c r="AG3357" s="2">
        <v>21</v>
      </c>
      <c r="AI3357" s="2">
        <f t="shared" si="355"/>
        <v>0</v>
      </c>
      <c r="AJ3357" s="2">
        <f t="shared" si="351"/>
        <v>11</v>
      </c>
      <c r="AK3357" s="5">
        <f t="shared" si="356"/>
        <v>0.52380952380952384</v>
      </c>
    </row>
    <row r="3358" spans="1:37" x14ac:dyDescent="0.2">
      <c r="A3358" s="2">
        <v>2026</v>
      </c>
      <c r="B3358" s="2">
        <v>3</v>
      </c>
      <c r="C3358" s="2" t="s">
        <v>37</v>
      </c>
      <c r="D3358" s="2" t="s">
        <v>38</v>
      </c>
      <c r="E3358" s="2" t="s">
        <v>39</v>
      </c>
      <c r="G3358" s="2" t="s">
        <v>40</v>
      </c>
      <c r="L3358" s="2" t="s">
        <v>41</v>
      </c>
      <c r="O3358" s="2" t="s">
        <v>43</v>
      </c>
      <c r="P3358" s="2" t="s">
        <v>49</v>
      </c>
      <c r="Q3358" s="2" t="s">
        <v>50</v>
      </c>
      <c r="R3358" s="2">
        <v>2</v>
      </c>
      <c r="S3358" s="2">
        <v>26</v>
      </c>
      <c r="T3358" s="2">
        <v>5.98</v>
      </c>
      <c r="U3358" s="2">
        <v>31.98</v>
      </c>
      <c r="V3358" s="2">
        <f>6.6267*R3358</f>
        <v>13.253399999999999</v>
      </c>
      <c r="W3358" s="5">
        <f t="shared" si="357"/>
        <v>0.49025384615384621</v>
      </c>
      <c r="Y3358" s="2" t="s">
        <v>3256</v>
      </c>
      <c r="Z3358" s="2" t="s">
        <v>46</v>
      </c>
      <c r="AA3358" s="2" t="s">
        <v>47</v>
      </c>
      <c r="AB3358" s="2" t="s">
        <v>48</v>
      </c>
      <c r="AE3358" s="2">
        <f t="shared" si="354"/>
        <v>0</v>
      </c>
      <c r="AF3358" s="2">
        <v>6.6266999999999996</v>
      </c>
      <c r="AG3358" s="2">
        <v>12</v>
      </c>
      <c r="AI3358" s="2">
        <f t="shared" si="355"/>
        <v>0</v>
      </c>
      <c r="AJ3358" s="2">
        <f t="shared" si="351"/>
        <v>12.746600000000001</v>
      </c>
      <c r="AK3358" s="5">
        <f t="shared" si="356"/>
        <v>0.49025384615384621</v>
      </c>
    </row>
    <row r="3359" spans="1:37" x14ac:dyDescent="0.2">
      <c r="A3359" s="2">
        <v>2026</v>
      </c>
      <c r="B3359" s="2">
        <v>3</v>
      </c>
      <c r="C3359" s="2" t="s">
        <v>2538</v>
      </c>
      <c r="D3359" s="2" t="s">
        <v>758</v>
      </c>
      <c r="E3359" s="2" t="s">
        <v>39</v>
      </c>
      <c r="F3359" s="2">
        <v>515570354</v>
      </c>
      <c r="G3359" s="2" t="s">
        <v>110</v>
      </c>
      <c r="H3359" s="2" t="s">
        <v>2539</v>
      </c>
      <c r="I3359" s="2" t="s">
        <v>2540</v>
      </c>
      <c r="J3359" s="2">
        <v>967032538</v>
      </c>
      <c r="K3359" s="2" t="s">
        <v>400</v>
      </c>
      <c r="L3359" s="2" t="s">
        <v>110</v>
      </c>
      <c r="O3359" s="2" t="s">
        <v>43</v>
      </c>
      <c r="P3359" s="2" t="s">
        <v>49</v>
      </c>
      <c r="Q3359" s="2" t="s">
        <v>50</v>
      </c>
      <c r="R3359" s="2">
        <v>1</v>
      </c>
      <c r="S3359" s="2">
        <v>12</v>
      </c>
      <c r="T3359" s="2">
        <v>2.76</v>
      </c>
      <c r="U3359" s="2">
        <v>14.76</v>
      </c>
      <c r="V3359" s="2">
        <f>6.6267*R3359</f>
        <v>6.6266999999999996</v>
      </c>
      <c r="W3359" s="5">
        <f t="shared" si="357"/>
        <v>0.44777500000000003</v>
      </c>
      <c r="Y3359" s="2" t="s">
        <v>3256</v>
      </c>
      <c r="Z3359" s="2" t="s">
        <v>46</v>
      </c>
      <c r="AA3359" s="2" t="s">
        <v>47</v>
      </c>
      <c r="AB3359" s="2" t="s">
        <v>48</v>
      </c>
      <c r="AE3359" s="2">
        <f t="shared" si="354"/>
        <v>0</v>
      </c>
      <c r="AF3359" s="2">
        <v>6.6266999999999996</v>
      </c>
      <c r="AG3359" s="2">
        <v>12</v>
      </c>
      <c r="AI3359" s="2">
        <f t="shared" si="355"/>
        <v>0</v>
      </c>
      <c r="AJ3359" s="2">
        <f t="shared" si="351"/>
        <v>5.3733000000000004</v>
      </c>
      <c r="AK3359" s="5">
        <f t="shared" si="356"/>
        <v>0.44777500000000003</v>
      </c>
    </row>
    <row r="3360" spans="1:37" x14ac:dyDescent="0.2">
      <c r="A3360" s="2">
        <v>2026</v>
      </c>
      <c r="B3360" s="2">
        <v>3</v>
      </c>
      <c r="C3360" s="2" t="s">
        <v>1017</v>
      </c>
      <c r="L3360" s="2" t="s">
        <v>41</v>
      </c>
      <c r="O3360" s="2" t="s">
        <v>43</v>
      </c>
      <c r="P3360" s="2" t="s">
        <v>49</v>
      </c>
      <c r="Q3360" s="2" t="s">
        <v>50</v>
      </c>
      <c r="R3360" s="2">
        <v>1</v>
      </c>
      <c r="S3360" s="2">
        <v>13</v>
      </c>
      <c r="T3360" s="2">
        <v>2.99</v>
      </c>
      <c r="U3360" s="2">
        <v>15.99</v>
      </c>
      <c r="V3360" s="2">
        <f>6.6267*R3360</f>
        <v>6.6266999999999996</v>
      </c>
      <c r="W3360" s="5">
        <f t="shared" si="357"/>
        <v>0.49025384615384621</v>
      </c>
      <c r="Y3360" s="2" t="s">
        <v>3256</v>
      </c>
      <c r="Z3360" s="2" t="s">
        <v>46</v>
      </c>
      <c r="AA3360" s="2" t="s">
        <v>47</v>
      </c>
      <c r="AB3360" s="2" t="s">
        <v>48</v>
      </c>
      <c r="AE3360" s="2">
        <f t="shared" si="354"/>
        <v>0</v>
      </c>
      <c r="AF3360" s="2">
        <v>6.6266999999999996</v>
      </c>
      <c r="AG3360" s="2">
        <v>12</v>
      </c>
      <c r="AI3360" s="2">
        <f t="shared" si="355"/>
        <v>0</v>
      </c>
      <c r="AJ3360" s="2">
        <f t="shared" si="351"/>
        <v>6.3733000000000004</v>
      </c>
      <c r="AK3360" s="5">
        <f t="shared" si="356"/>
        <v>0.49025384615384621</v>
      </c>
    </row>
    <row r="3361" spans="1:37" x14ac:dyDescent="0.2">
      <c r="A3361" s="2">
        <v>2026</v>
      </c>
      <c r="B3361" s="2">
        <v>3</v>
      </c>
      <c r="C3361" s="2" t="s">
        <v>850</v>
      </c>
      <c r="D3361" s="2" t="s">
        <v>38</v>
      </c>
      <c r="E3361" s="2" t="s">
        <v>39</v>
      </c>
      <c r="F3361" s="2">
        <v>161685080</v>
      </c>
      <c r="G3361" s="2" t="s">
        <v>41</v>
      </c>
      <c r="H3361" s="2" t="s">
        <v>422</v>
      </c>
      <c r="J3361" s="2" t="s">
        <v>851</v>
      </c>
      <c r="K3361" s="2" t="s">
        <v>422</v>
      </c>
      <c r="L3361" s="2" t="s">
        <v>41</v>
      </c>
      <c r="N3361" s="2" t="s">
        <v>2692</v>
      </c>
      <c r="O3361" s="2" t="s">
        <v>43</v>
      </c>
      <c r="P3361" s="2" t="s">
        <v>49</v>
      </c>
      <c r="Q3361" s="2" t="s">
        <v>50</v>
      </c>
      <c r="R3361" s="2">
        <v>1</v>
      </c>
      <c r="S3361" s="2">
        <v>13</v>
      </c>
      <c r="T3361" s="2">
        <v>2.99</v>
      </c>
      <c r="U3361" s="2">
        <v>15.99</v>
      </c>
      <c r="V3361" s="2">
        <f>6.6267*R3361</f>
        <v>6.6266999999999996</v>
      </c>
      <c r="W3361" s="5">
        <f t="shared" si="357"/>
        <v>0.49025384615384621</v>
      </c>
      <c r="Y3361" s="2" t="s">
        <v>3256</v>
      </c>
      <c r="Z3361" s="2" t="s">
        <v>46</v>
      </c>
      <c r="AA3361" s="2" t="s">
        <v>47</v>
      </c>
      <c r="AB3361" s="2" t="s">
        <v>48</v>
      </c>
      <c r="AE3361" s="2">
        <f t="shared" si="354"/>
        <v>0</v>
      </c>
      <c r="AF3361" s="2">
        <v>6.6266999999999996</v>
      </c>
      <c r="AG3361" s="2">
        <v>12</v>
      </c>
      <c r="AI3361" s="2">
        <f t="shared" si="355"/>
        <v>0</v>
      </c>
      <c r="AJ3361" s="2">
        <f t="shared" si="351"/>
        <v>6.3733000000000004</v>
      </c>
      <c r="AK3361" s="5">
        <f t="shared" si="356"/>
        <v>0.49025384615384621</v>
      </c>
    </row>
    <row r="3362" spans="1:37" x14ac:dyDescent="0.2">
      <c r="A3362" s="2">
        <v>2026</v>
      </c>
      <c r="B3362" s="2">
        <v>4</v>
      </c>
      <c r="C3362" s="2" t="s">
        <v>695</v>
      </c>
      <c r="D3362" s="2" t="s">
        <v>109</v>
      </c>
      <c r="E3362" s="2" t="s">
        <v>39</v>
      </c>
      <c r="F3362" s="2">
        <v>503589950</v>
      </c>
      <c r="G3362" s="2" t="s">
        <v>41</v>
      </c>
      <c r="H3362" s="2" t="s">
        <v>615</v>
      </c>
      <c r="I3362" s="2" t="s">
        <v>696</v>
      </c>
      <c r="J3362" s="2">
        <v>913036545</v>
      </c>
      <c r="K3362" s="2" t="s">
        <v>178</v>
      </c>
      <c r="L3362" s="2" t="s">
        <v>41</v>
      </c>
      <c r="N3362" s="2" t="s">
        <v>2635</v>
      </c>
      <c r="O3362" s="2" t="s">
        <v>43</v>
      </c>
      <c r="P3362" s="2" t="s">
        <v>51</v>
      </c>
      <c r="Q3362" s="2" t="s">
        <v>52</v>
      </c>
      <c r="R3362" s="2">
        <v>2</v>
      </c>
      <c r="S3362" s="2">
        <v>42</v>
      </c>
      <c r="T3362" s="2">
        <v>9.66</v>
      </c>
      <c r="U3362" s="2">
        <v>51.66</v>
      </c>
      <c r="V3362" s="2">
        <f>14.4*R3362</f>
        <v>28.8</v>
      </c>
      <c r="W3362" s="5">
        <f t="shared" si="357"/>
        <v>0.31428571428571428</v>
      </c>
      <c r="Y3362" s="2" t="s">
        <v>3256</v>
      </c>
      <c r="Z3362" s="2" t="s">
        <v>46</v>
      </c>
      <c r="AA3362" s="2" t="s">
        <v>47</v>
      </c>
      <c r="AB3362" s="2" t="s">
        <v>48</v>
      </c>
      <c r="AE3362" s="2">
        <f t="shared" si="354"/>
        <v>0</v>
      </c>
      <c r="AF3362" s="2">
        <v>14.4</v>
      </c>
      <c r="AG3362" s="2">
        <v>21</v>
      </c>
      <c r="AI3362" s="2">
        <f t="shared" si="355"/>
        <v>0</v>
      </c>
      <c r="AJ3362" s="2">
        <f t="shared" si="351"/>
        <v>13.2</v>
      </c>
      <c r="AK3362" s="5">
        <f t="shared" si="356"/>
        <v>0.31428571428571428</v>
      </c>
    </row>
    <row r="3363" spans="1:37" x14ac:dyDescent="0.2">
      <c r="A3363" s="2">
        <v>2026</v>
      </c>
      <c r="B3363" s="2">
        <v>3</v>
      </c>
      <c r="C3363" s="2" t="s">
        <v>871</v>
      </c>
      <c r="D3363" s="2" t="s">
        <v>38</v>
      </c>
      <c r="F3363" s="2">
        <v>517724308</v>
      </c>
      <c r="H3363" s="2" t="s">
        <v>178</v>
      </c>
      <c r="K3363" s="2" t="s">
        <v>178</v>
      </c>
      <c r="L3363" s="2" t="s">
        <v>41</v>
      </c>
      <c r="N3363" s="2" t="s">
        <v>2693</v>
      </c>
      <c r="O3363" s="2" t="s">
        <v>43</v>
      </c>
      <c r="P3363" s="2" t="s">
        <v>49</v>
      </c>
      <c r="Q3363" s="2" t="s">
        <v>50</v>
      </c>
      <c r="R3363" s="2">
        <v>1</v>
      </c>
      <c r="S3363" s="2">
        <v>12</v>
      </c>
      <c r="T3363" s="2">
        <v>2.76</v>
      </c>
      <c r="U3363" s="2">
        <v>14.76</v>
      </c>
      <c r="V3363" s="2">
        <f>6.6267*R3363</f>
        <v>6.6266999999999996</v>
      </c>
      <c r="W3363" s="5">
        <f t="shared" si="357"/>
        <v>0.44777500000000003</v>
      </c>
      <c r="Y3363" s="2" t="s">
        <v>3256</v>
      </c>
      <c r="Z3363" s="2" t="s">
        <v>46</v>
      </c>
      <c r="AA3363" s="2" t="s">
        <v>47</v>
      </c>
      <c r="AB3363" s="2" t="s">
        <v>48</v>
      </c>
      <c r="AE3363" s="2">
        <f t="shared" si="354"/>
        <v>0</v>
      </c>
      <c r="AF3363" s="2">
        <v>6.6266999999999996</v>
      </c>
      <c r="AG3363" s="2">
        <v>12</v>
      </c>
      <c r="AI3363" s="2">
        <f t="shared" si="355"/>
        <v>0</v>
      </c>
      <c r="AJ3363" s="2">
        <f t="shared" si="351"/>
        <v>5.3733000000000004</v>
      </c>
      <c r="AK3363" s="5">
        <f t="shared" si="356"/>
        <v>0.44777500000000003</v>
      </c>
    </row>
    <row r="3364" spans="1:37" x14ac:dyDescent="0.2">
      <c r="A3364" s="2">
        <v>2026</v>
      </c>
      <c r="B3364" s="2">
        <v>3</v>
      </c>
      <c r="C3364" s="2" t="s">
        <v>1101</v>
      </c>
      <c r="D3364" s="2" t="s">
        <v>109</v>
      </c>
      <c r="E3364" s="2" t="s">
        <v>39</v>
      </c>
      <c r="F3364" s="2">
        <v>513356932</v>
      </c>
      <c r="G3364" s="2" t="s">
        <v>41</v>
      </c>
      <c r="H3364" s="2" t="s">
        <v>2694</v>
      </c>
      <c r="I3364" s="2" t="s">
        <v>2695</v>
      </c>
      <c r="J3364" s="2">
        <v>962939747</v>
      </c>
      <c r="K3364" s="2" t="s">
        <v>100</v>
      </c>
      <c r="L3364" s="2" t="s">
        <v>41</v>
      </c>
      <c r="N3364" s="2" t="s">
        <v>2696</v>
      </c>
      <c r="O3364" s="2" t="s">
        <v>43</v>
      </c>
      <c r="P3364" s="2" t="s">
        <v>49</v>
      </c>
      <c r="Q3364" s="2" t="s">
        <v>50</v>
      </c>
      <c r="R3364" s="2">
        <v>10</v>
      </c>
      <c r="S3364" s="2">
        <v>110</v>
      </c>
      <c r="T3364" s="2">
        <v>25.3</v>
      </c>
      <c r="U3364" s="2">
        <v>135.30000000000001</v>
      </c>
      <c r="V3364" s="2">
        <f>6.6267*R3364</f>
        <v>66.266999999999996</v>
      </c>
      <c r="W3364" s="5">
        <f t="shared" si="357"/>
        <v>0.3975727272727273</v>
      </c>
      <c r="Y3364" s="2" t="s">
        <v>3256</v>
      </c>
      <c r="Z3364" s="2" t="s">
        <v>46</v>
      </c>
      <c r="AA3364" s="2" t="s">
        <v>47</v>
      </c>
      <c r="AB3364" s="2" t="s">
        <v>48</v>
      </c>
      <c r="AE3364" s="2">
        <f t="shared" si="354"/>
        <v>0</v>
      </c>
      <c r="AF3364" s="2">
        <v>6.6266999999999996</v>
      </c>
      <c r="AG3364" s="2">
        <v>12</v>
      </c>
      <c r="AI3364" s="2">
        <f t="shared" si="355"/>
        <v>0</v>
      </c>
      <c r="AJ3364" s="2">
        <f t="shared" si="351"/>
        <v>43.733000000000004</v>
      </c>
      <c r="AK3364" s="5">
        <f t="shared" si="356"/>
        <v>0.3975727272727273</v>
      </c>
    </row>
    <row r="3365" spans="1:37" x14ac:dyDescent="0.2">
      <c r="A3365" s="2">
        <v>2026</v>
      </c>
      <c r="B3365" s="2">
        <v>3</v>
      </c>
      <c r="C3365" s="2" t="s">
        <v>602</v>
      </c>
      <c r="D3365" s="2" t="s">
        <v>38</v>
      </c>
      <c r="E3365" s="2" t="s">
        <v>39</v>
      </c>
      <c r="F3365" s="2">
        <v>509680364</v>
      </c>
      <c r="G3365" s="2" t="s">
        <v>41</v>
      </c>
      <c r="H3365" s="2" t="s">
        <v>603</v>
      </c>
      <c r="I3365" s="2" t="s">
        <v>604</v>
      </c>
      <c r="J3365" s="2">
        <v>919603867</v>
      </c>
      <c r="K3365" s="2" t="s">
        <v>605</v>
      </c>
      <c r="L3365" s="2" t="s">
        <v>41</v>
      </c>
      <c r="N3365" s="2" t="s">
        <v>2697</v>
      </c>
      <c r="O3365" s="2" t="s">
        <v>43</v>
      </c>
      <c r="P3365" s="2" t="s">
        <v>49</v>
      </c>
      <c r="Q3365" s="2" t="s">
        <v>50</v>
      </c>
      <c r="R3365" s="2">
        <v>2</v>
      </c>
      <c r="S3365" s="2">
        <v>0</v>
      </c>
      <c r="T3365" s="2">
        <v>0</v>
      </c>
      <c r="U3365" s="2">
        <v>0</v>
      </c>
      <c r="V3365" s="2">
        <f>6.6267*R3365</f>
        <v>13.253399999999999</v>
      </c>
      <c r="W3365" s="5">
        <f>IF(S3365=0,IF(V3365&gt;0,-100%,0%),(S3365-V3365)/S3365)</f>
        <v>-1</v>
      </c>
      <c r="Y3365" s="2" t="s">
        <v>3256</v>
      </c>
      <c r="Z3365" s="2" t="s">
        <v>46</v>
      </c>
      <c r="AA3365" s="2" t="s">
        <v>47</v>
      </c>
      <c r="AB3365" s="2" t="s">
        <v>48</v>
      </c>
      <c r="AE3365" s="2">
        <f t="shared" si="354"/>
        <v>0</v>
      </c>
      <c r="AF3365" s="2">
        <v>6.6266999999999996</v>
      </c>
      <c r="AG3365" s="2">
        <v>12</v>
      </c>
      <c r="AI3365" s="2">
        <f t="shared" si="355"/>
        <v>0</v>
      </c>
      <c r="AJ3365" s="2">
        <f t="shared" si="351"/>
        <v>-13.253399999999999</v>
      </c>
      <c r="AK3365" s="5">
        <f>IF(S3365=0,IF(V3365&gt;0,-100%,0%),(S3365-V3365)/S3365)</f>
        <v>-1</v>
      </c>
    </row>
    <row r="3366" spans="1:37" x14ac:dyDescent="0.2">
      <c r="A3366" s="2">
        <v>2026</v>
      </c>
      <c r="B3366" s="2">
        <v>3</v>
      </c>
      <c r="C3366" s="2" t="s">
        <v>1322</v>
      </c>
      <c r="D3366" s="2" t="s">
        <v>38</v>
      </c>
      <c r="E3366" s="2" t="s">
        <v>39</v>
      </c>
      <c r="F3366" s="2">
        <v>509512739</v>
      </c>
      <c r="G3366" s="2" t="s">
        <v>41</v>
      </c>
      <c r="H3366" s="2" t="s">
        <v>178</v>
      </c>
      <c r="I3366" s="2" t="s">
        <v>1323</v>
      </c>
      <c r="K3366" s="2" t="s">
        <v>178</v>
      </c>
      <c r="L3366" s="2" t="s">
        <v>41</v>
      </c>
      <c r="N3366" s="2" t="s">
        <v>2698</v>
      </c>
      <c r="O3366" s="2" t="s">
        <v>43</v>
      </c>
      <c r="P3366" s="2" t="s">
        <v>597</v>
      </c>
      <c r="Q3366" s="2" t="s">
        <v>598</v>
      </c>
      <c r="R3366" s="2">
        <v>1</v>
      </c>
      <c r="S3366" s="2">
        <v>36</v>
      </c>
      <c r="T3366" s="2">
        <v>8.2800000000000011</v>
      </c>
      <c r="U3366" s="2">
        <v>44.28</v>
      </c>
      <c r="V3366" s="2">
        <f>11.76</f>
        <v>11.76</v>
      </c>
      <c r="W3366" s="5">
        <f t="shared" ref="W3366:W3373" si="358">(S3366-V3366)/S3366</f>
        <v>0.67333333333333334</v>
      </c>
      <c r="Y3366" s="2" t="s">
        <v>3256</v>
      </c>
      <c r="Z3366" s="2" t="s">
        <v>46</v>
      </c>
      <c r="AA3366" s="2" t="s">
        <v>47</v>
      </c>
      <c r="AB3366" s="2" t="s">
        <v>48</v>
      </c>
      <c r="AE3366" s="2">
        <f t="shared" si="354"/>
        <v>0</v>
      </c>
      <c r="AF3366" s="2">
        <v>11.76</v>
      </c>
      <c r="AG3366" s="2">
        <v>36</v>
      </c>
      <c r="AI3366" s="2">
        <f t="shared" si="355"/>
        <v>0</v>
      </c>
      <c r="AJ3366" s="2">
        <f t="shared" si="351"/>
        <v>24.240000000000002</v>
      </c>
      <c r="AK3366" s="5">
        <f t="shared" ref="AK3366:AK3373" si="359">(S3366-V3366)/S3366</f>
        <v>0.67333333333333334</v>
      </c>
    </row>
    <row r="3367" spans="1:37" x14ac:dyDescent="0.2">
      <c r="A3367" s="2">
        <v>2026</v>
      </c>
      <c r="B3367" s="2">
        <v>3</v>
      </c>
      <c r="C3367" s="2" t="s">
        <v>819</v>
      </c>
      <c r="D3367" s="2" t="s">
        <v>38</v>
      </c>
      <c r="E3367" s="2" t="s">
        <v>39</v>
      </c>
      <c r="F3367" s="2" t="s">
        <v>820</v>
      </c>
      <c r="G3367" s="2" t="s">
        <v>41</v>
      </c>
      <c r="H3367" s="2" t="s">
        <v>632</v>
      </c>
      <c r="K3367" s="2" t="s">
        <v>632</v>
      </c>
      <c r="L3367" s="2" t="s">
        <v>41</v>
      </c>
      <c r="N3367" s="2" t="s">
        <v>2699</v>
      </c>
      <c r="O3367" s="2" t="s">
        <v>43</v>
      </c>
      <c r="P3367" s="2" t="s">
        <v>51</v>
      </c>
      <c r="Q3367" s="2" t="s">
        <v>52</v>
      </c>
      <c r="R3367" s="2">
        <v>1</v>
      </c>
      <c r="S3367" s="2">
        <v>21</v>
      </c>
      <c r="T3367" s="2">
        <v>4.83</v>
      </c>
      <c r="U3367" s="2">
        <v>25.83</v>
      </c>
      <c r="V3367" s="2">
        <f>14.4*R3367</f>
        <v>14.4</v>
      </c>
      <c r="W3367" s="5">
        <f t="shared" si="358"/>
        <v>0.31428571428571428</v>
      </c>
      <c r="Y3367" s="2" t="s">
        <v>3256</v>
      </c>
      <c r="Z3367" s="2" t="s">
        <v>46</v>
      </c>
      <c r="AA3367" s="2" t="s">
        <v>47</v>
      </c>
      <c r="AB3367" s="2" t="s">
        <v>48</v>
      </c>
      <c r="AE3367" s="2">
        <f t="shared" si="354"/>
        <v>0</v>
      </c>
      <c r="AF3367" s="2">
        <v>14.4</v>
      </c>
      <c r="AG3367" s="2">
        <v>21</v>
      </c>
      <c r="AI3367" s="2">
        <f t="shared" si="355"/>
        <v>0</v>
      </c>
      <c r="AJ3367" s="2">
        <f t="shared" si="351"/>
        <v>6.6</v>
      </c>
      <c r="AK3367" s="5">
        <f t="shared" si="359"/>
        <v>0.31428571428571428</v>
      </c>
    </row>
    <row r="3368" spans="1:37" x14ac:dyDescent="0.2">
      <c r="A3368" s="2">
        <v>2026</v>
      </c>
      <c r="B3368" s="2">
        <v>3</v>
      </c>
      <c r="C3368" s="2" t="s">
        <v>37</v>
      </c>
      <c r="D3368" s="2" t="s">
        <v>38</v>
      </c>
      <c r="E3368" s="2" t="s">
        <v>39</v>
      </c>
      <c r="G3368" s="2" t="s">
        <v>40</v>
      </c>
      <c r="L3368" s="2" t="s">
        <v>41</v>
      </c>
      <c r="O3368" s="2" t="s">
        <v>43</v>
      </c>
      <c r="P3368" s="2" t="s">
        <v>161</v>
      </c>
      <c r="Q3368" s="2" t="s">
        <v>162</v>
      </c>
      <c r="R3368" s="2">
        <v>1</v>
      </c>
      <c r="S3368" s="2">
        <v>9</v>
      </c>
      <c r="T3368" s="2">
        <v>2.0699999999999998</v>
      </c>
      <c r="U3368" s="2">
        <v>11.07</v>
      </c>
      <c r="V3368" s="2">
        <f>3.7358*R3368</f>
        <v>3.7357999999999998</v>
      </c>
      <c r="W3368" s="5">
        <f t="shared" si="358"/>
        <v>0.58491111111111116</v>
      </c>
      <c r="Y3368" s="2" t="s">
        <v>3256</v>
      </c>
      <c r="Z3368" s="2" t="s">
        <v>46</v>
      </c>
      <c r="AA3368" s="2" t="s">
        <v>47</v>
      </c>
      <c r="AB3368" s="2" t="s">
        <v>48</v>
      </c>
      <c r="AE3368" s="2">
        <f t="shared" si="354"/>
        <v>0</v>
      </c>
      <c r="AF3368" s="2">
        <v>3.7357999999999998</v>
      </c>
      <c r="AG3368" s="2">
        <v>9</v>
      </c>
      <c r="AI3368" s="2">
        <f t="shared" si="355"/>
        <v>0</v>
      </c>
      <c r="AJ3368" s="2">
        <f t="shared" si="351"/>
        <v>5.2642000000000007</v>
      </c>
      <c r="AK3368" s="5">
        <f t="shared" si="359"/>
        <v>0.58491111111111116</v>
      </c>
    </row>
    <row r="3369" spans="1:37" x14ac:dyDescent="0.2">
      <c r="A3369" s="2">
        <v>2026</v>
      </c>
      <c r="B3369" s="2">
        <v>3</v>
      </c>
      <c r="C3369" s="2" t="s">
        <v>819</v>
      </c>
      <c r="D3369" s="2" t="s">
        <v>38</v>
      </c>
      <c r="E3369" s="2" t="s">
        <v>39</v>
      </c>
      <c r="F3369" s="2" t="s">
        <v>820</v>
      </c>
      <c r="G3369" s="2" t="s">
        <v>41</v>
      </c>
      <c r="H3369" s="2" t="s">
        <v>632</v>
      </c>
      <c r="K3369" s="2" t="s">
        <v>632</v>
      </c>
      <c r="L3369" s="2" t="s">
        <v>41</v>
      </c>
      <c r="N3369" s="2" t="s">
        <v>2699</v>
      </c>
      <c r="O3369" s="2" t="s">
        <v>43</v>
      </c>
      <c r="P3369" s="2" t="s">
        <v>161</v>
      </c>
      <c r="Q3369" s="2" t="s">
        <v>162</v>
      </c>
      <c r="R3369" s="2">
        <v>1</v>
      </c>
      <c r="S3369" s="2">
        <v>9</v>
      </c>
      <c r="T3369" s="2">
        <v>2.0699999999999998</v>
      </c>
      <c r="U3369" s="2">
        <v>11.07</v>
      </c>
      <c r="V3369" s="2">
        <f>3.7358*R3369</f>
        <v>3.7357999999999998</v>
      </c>
      <c r="W3369" s="5">
        <f t="shared" si="358"/>
        <v>0.58491111111111116</v>
      </c>
      <c r="Y3369" s="2" t="s">
        <v>3256</v>
      </c>
      <c r="Z3369" s="2" t="s">
        <v>46</v>
      </c>
      <c r="AA3369" s="2" t="s">
        <v>47</v>
      </c>
      <c r="AB3369" s="2" t="s">
        <v>48</v>
      </c>
      <c r="AE3369" s="2">
        <f t="shared" si="354"/>
        <v>0</v>
      </c>
      <c r="AF3369" s="2">
        <v>3.7357999999999998</v>
      </c>
      <c r="AG3369" s="2">
        <v>9</v>
      </c>
      <c r="AI3369" s="2">
        <f t="shared" si="355"/>
        <v>0</v>
      </c>
      <c r="AJ3369" s="2">
        <f t="shared" si="351"/>
        <v>5.2642000000000007</v>
      </c>
      <c r="AK3369" s="5">
        <f t="shared" si="359"/>
        <v>0.58491111111111116</v>
      </c>
    </row>
    <row r="3370" spans="1:37" x14ac:dyDescent="0.2">
      <c r="A3370" s="2">
        <v>2026</v>
      </c>
      <c r="B3370" s="2">
        <v>3</v>
      </c>
      <c r="C3370" s="2" t="s">
        <v>443</v>
      </c>
      <c r="D3370" s="2" t="s">
        <v>38</v>
      </c>
      <c r="E3370" s="2" t="s">
        <v>39</v>
      </c>
      <c r="F3370" s="2">
        <v>205800831</v>
      </c>
      <c r="G3370" s="2" t="s">
        <v>41</v>
      </c>
      <c r="H3370" s="2" t="s">
        <v>178</v>
      </c>
      <c r="I3370" s="2" t="s">
        <v>3205</v>
      </c>
      <c r="J3370" s="2">
        <v>911577458</v>
      </c>
      <c r="K3370" s="2" t="s">
        <v>178</v>
      </c>
      <c r="L3370" s="2" t="s">
        <v>41</v>
      </c>
      <c r="N3370" s="2" t="s">
        <v>3209</v>
      </c>
      <c r="O3370" s="2" t="s">
        <v>43</v>
      </c>
      <c r="P3370" s="2" t="s">
        <v>161</v>
      </c>
      <c r="Q3370" s="2" t="s">
        <v>162</v>
      </c>
      <c r="R3370" s="2">
        <v>2</v>
      </c>
      <c r="S3370" s="2">
        <v>18</v>
      </c>
      <c r="T3370" s="2">
        <v>4.1400000000000006</v>
      </c>
      <c r="U3370" s="2">
        <v>22.14</v>
      </c>
      <c r="V3370" s="2">
        <f>3.7358*R3370</f>
        <v>7.4715999999999996</v>
      </c>
      <c r="W3370" s="5">
        <f t="shared" si="358"/>
        <v>0.58491111111111116</v>
      </c>
      <c r="Y3370" s="2" t="s">
        <v>3256</v>
      </c>
      <c r="Z3370" s="2" t="s">
        <v>46</v>
      </c>
      <c r="AA3370" s="2" t="s">
        <v>47</v>
      </c>
      <c r="AB3370" s="2" t="s">
        <v>48</v>
      </c>
      <c r="AE3370" s="2">
        <f t="shared" si="354"/>
        <v>0</v>
      </c>
      <c r="AF3370" s="2">
        <v>3.7357999999999998</v>
      </c>
      <c r="AG3370" s="2">
        <v>9</v>
      </c>
      <c r="AI3370" s="2">
        <f t="shared" si="355"/>
        <v>0</v>
      </c>
      <c r="AJ3370" s="2">
        <f t="shared" si="351"/>
        <v>10.528400000000001</v>
      </c>
      <c r="AK3370" s="5">
        <f t="shared" si="359"/>
        <v>0.58491111111111116</v>
      </c>
    </row>
    <row r="3371" spans="1:37" x14ac:dyDescent="0.2">
      <c r="A3371" s="2">
        <v>2026</v>
      </c>
      <c r="B3371" s="2">
        <v>3</v>
      </c>
      <c r="C3371" s="2" t="s">
        <v>593</v>
      </c>
      <c r="D3371" s="2" t="s">
        <v>38</v>
      </c>
      <c r="E3371" s="2" t="s">
        <v>39</v>
      </c>
      <c r="F3371" s="2">
        <v>510339298</v>
      </c>
      <c r="G3371" s="2" t="s">
        <v>41</v>
      </c>
      <c r="H3371" s="2" t="s">
        <v>178</v>
      </c>
      <c r="I3371" s="2" t="s">
        <v>594</v>
      </c>
      <c r="K3371" s="2" t="s">
        <v>178</v>
      </c>
      <c r="L3371" s="2" t="s">
        <v>41</v>
      </c>
      <c r="O3371" s="2" t="s">
        <v>43</v>
      </c>
      <c r="P3371" s="2" t="s">
        <v>161</v>
      </c>
      <c r="Q3371" s="2" t="s">
        <v>162</v>
      </c>
      <c r="R3371" s="2">
        <v>1</v>
      </c>
      <c r="S3371" s="2">
        <v>9</v>
      </c>
      <c r="T3371" s="2">
        <v>2.0699999999999998</v>
      </c>
      <c r="U3371" s="2">
        <v>11.07</v>
      </c>
      <c r="V3371" s="2">
        <f>3.7358*R3371</f>
        <v>3.7357999999999998</v>
      </c>
      <c r="W3371" s="5">
        <f t="shared" si="358"/>
        <v>0.58491111111111116</v>
      </c>
      <c r="Y3371" s="2" t="s">
        <v>3256</v>
      </c>
      <c r="Z3371" s="2" t="s">
        <v>46</v>
      </c>
      <c r="AA3371" s="2" t="s">
        <v>47</v>
      </c>
      <c r="AB3371" s="2" t="s">
        <v>48</v>
      </c>
      <c r="AE3371" s="2">
        <f t="shared" si="354"/>
        <v>0</v>
      </c>
      <c r="AF3371" s="2">
        <v>3.7357999999999998</v>
      </c>
      <c r="AG3371" s="2">
        <v>9</v>
      </c>
      <c r="AI3371" s="2">
        <f t="shared" si="355"/>
        <v>0</v>
      </c>
      <c r="AJ3371" s="2">
        <f t="shared" si="351"/>
        <v>5.2642000000000007</v>
      </c>
      <c r="AK3371" s="5">
        <f t="shared" si="359"/>
        <v>0.58491111111111116</v>
      </c>
    </row>
    <row r="3372" spans="1:37" x14ac:dyDescent="0.2">
      <c r="A3372" s="2">
        <v>2026</v>
      </c>
      <c r="B3372" s="2">
        <v>3</v>
      </c>
      <c r="C3372" s="2" t="s">
        <v>2538</v>
      </c>
      <c r="D3372" s="2" t="s">
        <v>758</v>
      </c>
      <c r="E3372" s="2" t="s">
        <v>39</v>
      </c>
      <c r="F3372" s="2">
        <v>515570354</v>
      </c>
      <c r="G3372" s="2" t="s">
        <v>110</v>
      </c>
      <c r="H3372" s="2" t="s">
        <v>2539</v>
      </c>
      <c r="I3372" s="2" t="s">
        <v>2540</v>
      </c>
      <c r="J3372" s="2">
        <v>967032538</v>
      </c>
      <c r="K3372" s="2" t="s">
        <v>400</v>
      </c>
      <c r="L3372" s="2" t="s">
        <v>110</v>
      </c>
      <c r="O3372" s="2" t="s">
        <v>43</v>
      </c>
      <c r="P3372" s="2" t="s">
        <v>53</v>
      </c>
      <c r="Q3372" s="2" t="s">
        <v>54</v>
      </c>
      <c r="R3372" s="2">
        <v>1</v>
      </c>
      <c r="S3372" s="2">
        <v>10.8</v>
      </c>
      <c r="T3372" s="2">
        <v>2.484</v>
      </c>
      <c r="U3372" s="2">
        <v>13.284000000000001</v>
      </c>
      <c r="V3372" s="2">
        <f>5.2973*R3372</f>
        <v>5.2972999999999999</v>
      </c>
      <c r="W3372" s="5">
        <f t="shared" si="358"/>
        <v>0.50950925925925927</v>
      </c>
      <c r="Y3372" s="2" t="s">
        <v>3256</v>
      </c>
      <c r="Z3372" s="2" t="s">
        <v>46</v>
      </c>
      <c r="AA3372" s="2" t="s">
        <v>47</v>
      </c>
      <c r="AB3372" s="2" t="s">
        <v>48</v>
      </c>
      <c r="AE3372" s="2">
        <f t="shared" si="354"/>
        <v>0</v>
      </c>
      <c r="AF3372" s="2">
        <v>5.2972999999999999</v>
      </c>
      <c r="AG3372" s="2">
        <v>10.8</v>
      </c>
      <c r="AI3372" s="2">
        <f t="shared" si="355"/>
        <v>0</v>
      </c>
      <c r="AJ3372" s="2">
        <f t="shared" si="351"/>
        <v>5.5027000000000008</v>
      </c>
      <c r="AK3372" s="5">
        <f t="shared" si="359"/>
        <v>0.50950925925925927</v>
      </c>
    </row>
    <row r="3373" spans="1:37" x14ac:dyDescent="0.2">
      <c r="A3373" s="2">
        <v>2026</v>
      </c>
      <c r="B3373" s="2">
        <v>3</v>
      </c>
      <c r="C3373" s="2" t="s">
        <v>871</v>
      </c>
      <c r="D3373" s="2" t="s">
        <v>38</v>
      </c>
      <c r="F3373" s="2">
        <v>517724308</v>
      </c>
      <c r="H3373" s="2" t="s">
        <v>178</v>
      </c>
      <c r="K3373" s="2" t="s">
        <v>178</v>
      </c>
      <c r="L3373" s="2" t="s">
        <v>41</v>
      </c>
      <c r="N3373" s="2" t="s">
        <v>2700</v>
      </c>
      <c r="O3373" s="2" t="s">
        <v>43</v>
      </c>
      <c r="P3373" s="2" t="s">
        <v>53</v>
      </c>
      <c r="Q3373" s="2" t="s">
        <v>54</v>
      </c>
      <c r="R3373" s="2">
        <v>1</v>
      </c>
      <c r="S3373" s="2">
        <v>10.8</v>
      </c>
      <c r="T3373" s="2">
        <v>2.484</v>
      </c>
      <c r="U3373" s="2">
        <v>13.284000000000001</v>
      </c>
      <c r="V3373" s="2">
        <f>5.2973*R3373</f>
        <v>5.2972999999999999</v>
      </c>
      <c r="W3373" s="5">
        <f t="shared" si="358"/>
        <v>0.50950925925925927</v>
      </c>
      <c r="Y3373" s="2" t="s">
        <v>3256</v>
      </c>
      <c r="Z3373" s="2" t="s">
        <v>46</v>
      </c>
      <c r="AA3373" s="2" t="s">
        <v>47</v>
      </c>
      <c r="AB3373" s="2" t="s">
        <v>48</v>
      </c>
      <c r="AE3373" s="2">
        <f t="shared" si="354"/>
        <v>0</v>
      </c>
      <c r="AF3373" s="2">
        <v>5.2972999999999999</v>
      </c>
      <c r="AG3373" s="2">
        <v>10.8</v>
      </c>
      <c r="AI3373" s="2">
        <f t="shared" si="355"/>
        <v>0</v>
      </c>
      <c r="AJ3373" s="2">
        <f t="shared" si="351"/>
        <v>5.5027000000000008</v>
      </c>
      <c r="AK3373" s="5">
        <f t="shared" si="359"/>
        <v>0.50950925925925927</v>
      </c>
    </row>
    <row r="3374" spans="1:37" x14ac:dyDescent="0.2">
      <c r="A3374" s="2">
        <v>2026</v>
      </c>
      <c r="B3374" s="2">
        <v>3</v>
      </c>
      <c r="C3374" s="2" t="s">
        <v>602</v>
      </c>
      <c r="D3374" s="2" t="s">
        <v>38</v>
      </c>
      <c r="E3374" s="2" t="s">
        <v>39</v>
      </c>
      <c r="F3374" s="2">
        <v>509680364</v>
      </c>
      <c r="G3374" s="2" t="s">
        <v>41</v>
      </c>
      <c r="H3374" s="2" t="s">
        <v>603</v>
      </c>
      <c r="I3374" s="2" t="s">
        <v>604</v>
      </c>
      <c r="J3374" s="2">
        <v>919603867</v>
      </c>
      <c r="K3374" s="2" t="s">
        <v>605</v>
      </c>
      <c r="L3374" s="2" t="s">
        <v>41</v>
      </c>
      <c r="N3374" s="2" t="s">
        <v>2697</v>
      </c>
      <c r="O3374" s="2" t="s">
        <v>43</v>
      </c>
      <c r="P3374" s="2" t="s">
        <v>53</v>
      </c>
      <c r="Q3374" s="2" t="s">
        <v>54</v>
      </c>
      <c r="R3374" s="2">
        <v>1</v>
      </c>
      <c r="S3374" s="2">
        <v>0</v>
      </c>
      <c r="T3374" s="2">
        <v>0</v>
      </c>
      <c r="U3374" s="2">
        <v>0</v>
      </c>
      <c r="V3374" s="2">
        <f>5.2973*R3374</f>
        <v>5.2972999999999999</v>
      </c>
      <c r="W3374" s="5">
        <f>IF(S3374=0,IF(V3374&gt;0,-100%,0%),(S3374-V3374)/S3374)</f>
        <v>-1</v>
      </c>
      <c r="Y3374" s="2" t="s">
        <v>3256</v>
      </c>
      <c r="Z3374" s="2" t="s">
        <v>46</v>
      </c>
      <c r="AA3374" s="2" t="s">
        <v>47</v>
      </c>
      <c r="AB3374" s="2" t="s">
        <v>48</v>
      </c>
      <c r="AE3374" s="2">
        <f t="shared" si="354"/>
        <v>0</v>
      </c>
      <c r="AF3374" s="2">
        <v>5.2972999999999999</v>
      </c>
      <c r="AG3374" s="2">
        <v>10.8</v>
      </c>
      <c r="AI3374" s="2">
        <f t="shared" si="355"/>
        <v>0</v>
      </c>
      <c r="AJ3374" s="2">
        <f t="shared" si="351"/>
        <v>-5.2972999999999999</v>
      </c>
      <c r="AK3374" s="5">
        <f>IF(S3374=0,IF(V3374&gt;0,-100%,0%),(S3374-V3374)/S3374)</f>
        <v>-1</v>
      </c>
    </row>
    <row r="3375" spans="1:37" x14ac:dyDescent="0.2">
      <c r="A3375" s="2">
        <v>2026</v>
      </c>
      <c r="B3375" s="2">
        <v>3</v>
      </c>
      <c r="C3375" s="2" t="s">
        <v>896</v>
      </c>
      <c r="D3375" s="2" t="s">
        <v>109</v>
      </c>
      <c r="E3375" s="2" t="s">
        <v>39</v>
      </c>
      <c r="F3375" s="2">
        <v>507216970</v>
      </c>
      <c r="G3375" s="2" t="s">
        <v>41</v>
      </c>
      <c r="H3375" s="2" t="s">
        <v>897</v>
      </c>
      <c r="I3375" s="2" t="s">
        <v>898</v>
      </c>
      <c r="K3375" s="2" t="s">
        <v>100</v>
      </c>
      <c r="L3375" s="2" t="s">
        <v>41</v>
      </c>
      <c r="N3375" s="2" t="s">
        <v>2701</v>
      </c>
      <c r="O3375" s="2" t="s">
        <v>43</v>
      </c>
      <c r="P3375" s="2" t="s">
        <v>215</v>
      </c>
      <c r="Q3375" s="2" t="s">
        <v>216</v>
      </c>
      <c r="R3375" s="2">
        <v>1</v>
      </c>
      <c r="S3375" s="2">
        <v>15</v>
      </c>
      <c r="T3375" s="2">
        <v>3.45</v>
      </c>
      <c r="U3375" s="2">
        <v>18.45</v>
      </c>
      <c r="W3375" s="5">
        <f t="shared" ref="W3375:W3406" si="360">(S3375-V3375)/S3375</f>
        <v>1</v>
      </c>
      <c r="Y3375" s="2" t="s">
        <v>3256</v>
      </c>
      <c r="Z3375" s="2" t="s">
        <v>46</v>
      </c>
      <c r="AA3375" s="2" t="s">
        <v>57</v>
      </c>
      <c r="AB3375" s="2" t="s">
        <v>58</v>
      </c>
      <c r="AE3375" s="2">
        <f t="shared" si="354"/>
        <v>0</v>
      </c>
      <c r="AI3375" s="2">
        <f t="shared" si="355"/>
        <v>0</v>
      </c>
      <c r="AJ3375" s="2">
        <f t="shared" si="351"/>
        <v>15</v>
      </c>
      <c r="AK3375" s="5">
        <f t="shared" ref="AK3375:AK3406" si="361">(S3375-V3375)/S3375</f>
        <v>1</v>
      </c>
    </row>
    <row r="3376" spans="1:37" x14ac:dyDescent="0.2">
      <c r="A3376" s="2">
        <v>2026</v>
      </c>
      <c r="B3376" s="2">
        <v>3</v>
      </c>
      <c r="C3376" s="2" t="s">
        <v>896</v>
      </c>
      <c r="D3376" s="2" t="s">
        <v>109</v>
      </c>
      <c r="E3376" s="2" t="s">
        <v>39</v>
      </c>
      <c r="F3376" s="2">
        <v>507216970</v>
      </c>
      <c r="G3376" s="2" t="s">
        <v>41</v>
      </c>
      <c r="H3376" s="2" t="s">
        <v>897</v>
      </c>
      <c r="I3376" s="2" t="s">
        <v>898</v>
      </c>
      <c r="K3376" s="2" t="s">
        <v>100</v>
      </c>
      <c r="L3376" s="2" t="s">
        <v>41</v>
      </c>
      <c r="N3376" s="2" t="s">
        <v>2701</v>
      </c>
      <c r="O3376" s="2" t="s">
        <v>43</v>
      </c>
      <c r="P3376" s="2" t="s">
        <v>217</v>
      </c>
      <c r="Q3376" s="2" t="s">
        <v>218</v>
      </c>
      <c r="R3376" s="2">
        <v>1</v>
      </c>
      <c r="S3376" s="2">
        <v>19.2</v>
      </c>
      <c r="T3376" s="2">
        <v>4.4160000000000004</v>
      </c>
      <c r="U3376" s="2">
        <v>23.616</v>
      </c>
      <c r="W3376" s="5">
        <f t="shared" si="360"/>
        <v>1</v>
      </c>
      <c r="Y3376" s="2" t="s">
        <v>3256</v>
      </c>
      <c r="Z3376" s="2" t="s">
        <v>46</v>
      </c>
      <c r="AA3376" s="2" t="s">
        <v>57</v>
      </c>
      <c r="AB3376" s="2" t="s">
        <v>58</v>
      </c>
      <c r="AE3376" s="2">
        <f t="shared" si="354"/>
        <v>0</v>
      </c>
      <c r="AI3376" s="2">
        <f t="shared" si="355"/>
        <v>0</v>
      </c>
      <c r="AJ3376" s="2">
        <f t="shared" si="351"/>
        <v>19.2</v>
      </c>
      <c r="AK3376" s="5">
        <f t="shared" si="361"/>
        <v>1</v>
      </c>
    </row>
    <row r="3377" spans="1:37" x14ac:dyDescent="0.2">
      <c r="A3377" s="2">
        <v>2026</v>
      </c>
      <c r="B3377" s="2">
        <v>3</v>
      </c>
      <c r="C3377" s="2" t="s">
        <v>988</v>
      </c>
      <c r="L3377" s="2" t="s">
        <v>41</v>
      </c>
      <c r="O3377" s="2" t="s">
        <v>43</v>
      </c>
      <c r="P3377" s="2" t="s">
        <v>221</v>
      </c>
      <c r="Q3377" s="2" t="s">
        <v>222</v>
      </c>
      <c r="R3377" s="2">
        <v>1</v>
      </c>
      <c r="S3377" s="2">
        <v>27.6</v>
      </c>
      <c r="T3377" s="2">
        <v>6.3480000000000008</v>
      </c>
      <c r="U3377" s="2">
        <v>33.948</v>
      </c>
      <c r="W3377" s="5">
        <f t="shared" si="360"/>
        <v>1</v>
      </c>
      <c r="Y3377" s="2" t="s">
        <v>3256</v>
      </c>
      <c r="Z3377" s="2" t="s">
        <v>46</v>
      </c>
      <c r="AA3377" s="2" t="s">
        <v>57</v>
      </c>
      <c r="AB3377" s="2" t="s">
        <v>58</v>
      </c>
      <c r="AE3377" s="2">
        <f t="shared" si="354"/>
        <v>0</v>
      </c>
      <c r="AI3377" s="2">
        <f t="shared" si="355"/>
        <v>0</v>
      </c>
      <c r="AJ3377" s="2">
        <f t="shared" si="351"/>
        <v>27.6</v>
      </c>
      <c r="AK3377" s="5">
        <f t="shared" si="361"/>
        <v>1</v>
      </c>
    </row>
    <row r="3378" spans="1:37" x14ac:dyDescent="0.2">
      <c r="A3378" s="2">
        <v>2026</v>
      </c>
      <c r="B3378" s="2">
        <v>3</v>
      </c>
      <c r="C3378" s="2" t="s">
        <v>988</v>
      </c>
      <c r="L3378" s="2" t="s">
        <v>41</v>
      </c>
      <c r="O3378" s="2" t="s">
        <v>43</v>
      </c>
      <c r="P3378" s="2" t="s">
        <v>223</v>
      </c>
      <c r="Q3378" s="2" t="s">
        <v>224</v>
      </c>
      <c r="R3378" s="2">
        <v>2</v>
      </c>
      <c r="S3378" s="2">
        <v>49.2</v>
      </c>
      <c r="T3378" s="2">
        <v>11.316000000000001</v>
      </c>
      <c r="U3378" s="2">
        <v>60.516000000000012</v>
      </c>
      <c r="W3378" s="5">
        <f t="shared" si="360"/>
        <v>1</v>
      </c>
      <c r="Y3378" s="2" t="s">
        <v>3256</v>
      </c>
      <c r="Z3378" s="2" t="s">
        <v>46</v>
      </c>
      <c r="AA3378" s="2" t="s">
        <v>57</v>
      </c>
      <c r="AB3378" s="2" t="s">
        <v>58</v>
      </c>
      <c r="AE3378" s="2">
        <f t="shared" si="354"/>
        <v>0</v>
      </c>
      <c r="AI3378" s="2">
        <f t="shared" si="355"/>
        <v>0</v>
      </c>
      <c r="AJ3378" s="2">
        <f t="shared" si="351"/>
        <v>49.2</v>
      </c>
      <c r="AK3378" s="5">
        <f t="shared" si="361"/>
        <v>1</v>
      </c>
    </row>
    <row r="3379" spans="1:37" x14ac:dyDescent="0.2">
      <c r="A3379" s="2">
        <v>2026</v>
      </c>
      <c r="B3379" s="2">
        <v>3</v>
      </c>
      <c r="C3379" s="2" t="s">
        <v>896</v>
      </c>
      <c r="D3379" s="2" t="s">
        <v>109</v>
      </c>
      <c r="E3379" s="2" t="s">
        <v>39</v>
      </c>
      <c r="F3379" s="2">
        <v>507216970</v>
      </c>
      <c r="G3379" s="2" t="s">
        <v>41</v>
      </c>
      <c r="H3379" s="2" t="s">
        <v>897</v>
      </c>
      <c r="I3379" s="2" t="s">
        <v>898</v>
      </c>
      <c r="K3379" s="2" t="s">
        <v>100</v>
      </c>
      <c r="L3379" s="2" t="s">
        <v>41</v>
      </c>
      <c r="N3379" s="2" t="s">
        <v>2701</v>
      </c>
      <c r="O3379" s="2" t="s">
        <v>43</v>
      </c>
      <c r="P3379" s="2" t="s">
        <v>223</v>
      </c>
      <c r="Q3379" s="2" t="s">
        <v>224</v>
      </c>
      <c r="R3379" s="2">
        <v>1</v>
      </c>
      <c r="S3379" s="2">
        <v>30</v>
      </c>
      <c r="T3379" s="2">
        <v>6.9</v>
      </c>
      <c r="U3379" s="2">
        <v>36.9</v>
      </c>
      <c r="W3379" s="5">
        <f t="shared" si="360"/>
        <v>1</v>
      </c>
      <c r="Y3379" s="2" t="s">
        <v>3256</v>
      </c>
      <c r="Z3379" s="2" t="s">
        <v>46</v>
      </c>
      <c r="AA3379" s="2" t="s">
        <v>57</v>
      </c>
      <c r="AB3379" s="2" t="s">
        <v>58</v>
      </c>
      <c r="AE3379" s="2">
        <f t="shared" si="354"/>
        <v>0</v>
      </c>
      <c r="AI3379" s="2">
        <f t="shared" si="355"/>
        <v>0</v>
      </c>
      <c r="AJ3379" s="2">
        <f t="shared" si="351"/>
        <v>30</v>
      </c>
      <c r="AK3379" s="5">
        <f t="shared" si="361"/>
        <v>1</v>
      </c>
    </row>
    <row r="3380" spans="1:37" x14ac:dyDescent="0.2">
      <c r="A3380" s="2">
        <v>2026</v>
      </c>
      <c r="B3380" s="2">
        <v>3</v>
      </c>
      <c r="C3380" s="2" t="s">
        <v>896</v>
      </c>
      <c r="D3380" s="2" t="s">
        <v>109</v>
      </c>
      <c r="E3380" s="2" t="s">
        <v>39</v>
      </c>
      <c r="F3380" s="2">
        <v>507216970</v>
      </c>
      <c r="G3380" s="2" t="s">
        <v>41</v>
      </c>
      <c r="H3380" s="2" t="s">
        <v>897</v>
      </c>
      <c r="I3380" s="2" t="s">
        <v>898</v>
      </c>
      <c r="K3380" s="2" t="s">
        <v>100</v>
      </c>
      <c r="L3380" s="2" t="s">
        <v>41</v>
      </c>
      <c r="N3380" s="2" t="s">
        <v>2701</v>
      </c>
      <c r="O3380" s="2" t="s">
        <v>43</v>
      </c>
      <c r="P3380" s="2" t="s">
        <v>231</v>
      </c>
      <c r="Q3380" s="2" t="s">
        <v>232</v>
      </c>
      <c r="R3380" s="2">
        <v>1</v>
      </c>
      <c r="S3380" s="2">
        <v>13.2</v>
      </c>
      <c r="T3380" s="2">
        <v>3.036</v>
      </c>
      <c r="U3380" s="2">
        <v>16.236000000000001</v>
      </c>
      <c r="W3380" s="5">
        <f t="shared" si="360"/>
        <v>1</v>
      </c>
      <c r="Y3380" s="2" t="s">
        <v>3256</v>
      </c>
      <c r="Z3380" s="2" t="s">
        <v>46</v>
      </c>
      <c r="AA3380" s="2" t="s">
        <v>57</v>
      </c>
      <c r="AB3380" s="2" t="s">
        <v>58</v>
      </c>
      <c r="AE3380" s="2">
        <f t="shared" si="354"/>
        <v>0</v>
      </c>
      <c r="AI3380" s="2">
        <f t="shared" si="355"/>
        <v>0</v>
      </c>
      <c r="AJ3380" s="2">
        <f t="shared" si="351"/>
        <v>13.2</v>
      </c>
      <c r="AK3380" s="5">
        <f t="shared" si="361"/>
        <v>1</v>
      </c>
    </row>
    <row r="3381" spans="1:37" x14ac:dyDescent="0.2">
      <c r="A3381" s="2">
        <v>2026</v>
      </c>
      <c r="B3381" s="2">
        <v>3</v>
      </c>
      <c r="C3381" s="2" t="s">
        <v>2538</v>
      </c>
      <c r="D3381" s="2" t="s">
        <v>758</v>
      </c>
      <c r="E3381" s="2" t="s">
        <v>39</v>
      </c>
      <c r="F3381" s="2">
        <v>515570354</v>
      </c>
      <c r="G3381" s="2" t="s">
        <v>110</v>
      </c>
      <c r="H3381" s="2" t="s">
        <v>2539</v>
      </c>
      <c r="I3381" s="2" t="s">
        <v>2540</v>
      </c>
      <c r="J3381" s="2">
        <v>967032538</v>
      </c>
      <c r="K3381" s="2" t="s">
        <v>400</v>
      </c>
      <c r="L3381" s="2" t="s">
        <v>110</v>
      </c>
      <c r="O3381" s="2" t="s">
        <v>43</v>
      </c>
      <c r="P3381" s="2" t="s">
        <v>233</v>
      </c>
      <c r="Q3381" s="2" t="s">
        <v>234</v>
      </c>
      <c r="R3381" s="2">
        <v>1</v>
      </c>
      <c r="S3381" s="2">
        <v>12.6</v>
      </c>
      <c r="T3381" s="2">
        <v>2.8980000000000001</v>
      </c>
      <c r="U3381" s="2">
        <v>15.497999999999999</v>
      </c>
      <c r="V3381" s="2">
        <v>5.9066999999999998</v>
      </c>
      <c r="W3381" s="5">
        <f t="shared" si="360"/>
        <v>0.53121428571428575</v>
      </c>
      <c r="Y3381" s="2" t="s">
        <v>3256</v>
      </c>
      <c r="Z3381" s="2" t="s">
        <v>46</v>
      </c>
      <c r="AA3381" s="2" t="s">
        <v>57</v>
      </c>
      <c r="AB3381" s="2" t="s">
        <v>58</v>
      </c>
      <c r="AE3381" s="2">
        <f t="shared" si="354"/>
        <v>0</v>
      </c>
      <c r="AF3381" s="2">
        <v>5.9066999999999998</v>
      </c>
      <c r="AG3381" s="2">
        <v>12.6</v>
      </c>
      <c r="AI3381" s="2">
        <f t="shared" si="355"/>
        <v>0</v>
      </c>
      <c r="AJ3381" s="2">
        <f t="shared" si="351"/>
        <v>6.6932999999999998</v>
      </c>
      <c r="AK3381" s="5">
        <f t="shared" si="361"/>
        <v>0.53121428571428575</v>
      </c>
    </row>
    <row r="3382" spans="1:37" x14ac:dyDescent="0.2">
      <c r="A3382" s="2">
        <v>2026</v>
      </c>
      <c r="B3382" s="2">
        <v>3</v>
      </c>
      <c r="C3382" s="2" t="s">
        <v>896</v>
      </c>
      <c r="D3382" s="2" t="s">
        <v>109</v>
      </c>
      <c r="E3382" s="2" t="s">
        <v>39</v>
      </c>
      <c r="F3382" s="2">
        <v>507216970</v>
      </c>
      <c r="G3382" s="2" t="s">
        <v>41</v>
      </c>
      <c r="H3382" s="2" t="s">
        <v>897</v>
      </c>
      <c r="I3382" s="2" t="s">
        <v>898</v>
      </c>
      <c r="K3382" s="2" t="s">
        <v>100</v>
      </c>
      <c r="L3382" s="2" t="s">
        <v>41</v>
      </c>
      <c r="N3382" s="2" t="s">
        <v>2701</v>
      </c>
      <c r="O3382" s="2" t="s">
        <v>43</v>
      </c>
      <c r="P3382" s="2" t="s">
        <v>233</v>
      </c>
      <c r="Q3382" s="2" t="s">
        <v>234</v>
      </c>
      <c r="R3382" s="2">
        <v>1</v>
      </c>
      <c r="S3382" s="2">
        <v>12.6</v>
      </c>
      <c r="T3382" s="2">
        <v>2.8980000000000001</v>
      </c>
      <c r="U3382" s="2">
        <v>15.497999999999999</v>
      </c>
      <c r="V3382" s="2">
        <v>5.9066999999999998</v>
      </c>
      <c r="W3382" s="5">
        <f t="shared" si="360"/>
        <v>0.53121428571428575</v>
      </c>
      <c r="Y3382" s="2" t="s">
        <v>3256</v>
      </c>
      <c r="Z3382" s="2" t="s">
        <v>46</v>
      </c>
      <c r="AA3382" s="2" t="s">
        <v>57</v>
      </c>
      <c r="AB3382" s="2" t="s">
        <v>58</v>
      </c>
      <c r="AE3382" s="2">
        <f t="shared" si="354"/>
        <v>0</v>
      </c>
      <c r="AF3382" s="2">
        <v>5.9066999999999998</v>
      </c>
      <c r="AG3382" s="2">
        <v>12.6</v>
      </c>
      <c r="AI3382" s="2">
        <f t="shared" si="355"/>
        <v>0</v>
      </c>
      <c r="AJ3382" s="2">
        <f t="shared" ref="AJ3382:AJ3445" si="362">S3382-V3382</f>
        <v>6.6932999999999998</v>
      </c>
      <c r="AK3382" s="5">
        <f t="shared" si="361"/>
        <v>0.53121428571428575</v>
      </c>
    </row>
    <row r="3383" spans="1:37" x14ac:dyDescent="0.2">
      <c r="A3383" s="2">
        <v>2026</v>
      </c>
      <c r="B3383" s="2">
        <v>3</v>
      </c>
      <c r="C3383" s="2" t="s">
        <v>1431</v>
      </c>
      <c r="D3383" s="2" t="s">
        <v>109</v>
      </c>
      <c r="E3383" s="2" t="s">
        <v>39</v>
      </c>
      <c r="F3383" s="2">
        <v>513795855</v>
      </c>
      <c r="G3383" s="2" t="s">
        <v>41</v>
      </c>
      <c r="H3383" s="2" t="s">
        <v>1282</v>
      </c>
      <c r="I3383" s="2" t="s">
        <v>2416</v>
      </c>
      <c r="K3383" s="2" t="s">
        <v>178</v>
      </c>
      <c r="L3383" s="2" t="s">
        <v>41</v>
      </c>
      <c r="O3383" s="2" t="s">
        <v>43</v>
      </c>
      <c r="P3383" s="2" t="s">
        <v>235</v>
      </c>
      <c r="Q3383" s="2" t="s">
        <v>236</v>
      </c>
      <c r="R3383" s="2">
        <v>2</v>
      </c>
      <c r="S3383" s="2">
        <v>28.8</v>
      </c>
      <c r="T3383" s="2">
        <v>6.6240000000000014</v>
      </c>
      <c r="U3383" s="2">
        <v>35.423999999999999</v>
      </c>
      <c r="V3383" s="2">
        <f>7.2217*R3383</f>
        <v>14.4434</v>
      </c>
      <c r="W3383" s="5">
        <f t="shared" si="360"/>
        <v>0.49849305555555556</v>
      </c>
      <c r="Y3383" s="2" t="s">
        <v>3256</v>
      </c>
      <c r="Z3383" s="2" t="s">
        <v>46</v>
      </c>
      <c r="AA3383" s="2" t="s">
        <v>57</v>
      </c>
      <c r="AB3383" s="2" t="s">
        <v>58</v>
      </c>
      <c r="AE3383" s="2">
        <f t="shared" si="354"/>
        <v>0</v>
      </c>
      <c r="AF3383" s="2">
        <v>7.2217000000000002</v>
      </c>
      <c r="AG3383" s="2">
        <v>14.4</v>
      </c>
      <c r="AI3383" s="2">
        <f t="shared" si="355"/>
        <v>0</v>
      </c>
      <c r="AJ3383" s="2">
        <f t="shared" si="362"/>
        <v>14.3566</v>
      </c>
      <c r="AK3383" s="5">
        <f t="shared" si="361"/>
        <v>0.49849305555555556</v>
      </c>
    </row>
    <row r="3384" spans="1:37" x14ac:dyDescent="0.2">
      <c r="A3384" s="2">
        <v>2026</v>
      </c>
      <c r="B3384" s="2">
        <v>3</v>
      </c>
      <c r="C3384" s="2" t="s">
        <v>896</v>
      </c>
      <c r="D3384" s="2" t="s">
        <v>109</v>
      </c>
      <c r="E3384" s="2" t="s">
        <v>39</v>
      </c>
      <c r="F3384" s="2">
        <v>507216970</v>
      </c>
      <c r="G3384" s="2" t="s">
        <v>41</v>
      </c>
      <c r="H3384" s="2" t="s">
        <v>897</v>
      </c>
      <c r="I3384" s="2" t="s">
        <v>898</v>
      </c>
      <c r="K3384" s="2" t="s">
        <v>100</v>
      </c>
      <c r="L3384" s="2" t="s">
        <v>41</v>
      </c>
      <c r="N3384" s="2" t="s">
        <v>2701</v>
      </c>
      <c r="O3384" s="2" t="s">
        <v>43</v>
      </c>
      <c r="P3384" s="2" t="s">
        <v>235</v>
      </c>
      <c r="Q3384" s="2" t="s">
        <v>236</v>
      </c>
      <c r="R3384" s="2">
        <v>1</v>
      </c>
      <c r="S3384" s="2">
        <v>14.4</v>
      </c>
      <c r="T3384" s="2">
        <v>3.3119999999999998</v>
      </c>
      <c r="U3384" s="2">
        <v>17.712</v>
      </c>
      <c r="V3384" s="2">
        <v>7.2217000000000002</v>
      </c>
      <c r="W3384" s="5">
        <f t="shared" si="360"/>
        <v>0.49849305555555556</v>
      </c>
      <c r="Y3384" s="2" t="s">
        <v>3256</v>
      </c>
      <c r="Z3384" s="2" t="s">
        <v>46</v>
      </c>
      <c r="AA3384" s="2" t="s">
        <v>57</v>
      </c>
      <c r="AB3384" s="2" t="s">
        <v>58</v>
      </c>
      <c r="AE3384" s="2">
        <f t="shared" si="354"/>
        <v>0</v>
      </c>
      <c r="AF3384" s="2">
        <v>7.2217000000000002</v>
      </c>
      <c r="AG3384" s="2">
        <v>14.4</v>
      </c>
      <c r="AI3384" s="2">
        <f t="shared" si="355"/>
        <v>0</v>
      </c>
      <c r="AJ3384" s="2">
        <f t="shared" si="362"/>
        <v>7.1783000000000001</v>
      </c>
      <c r="AK3384" s="5">
        <f t="shared" si="361"/>
        <v>0.49849305555555556</v>
      </c>
    </row>
    <row r="3385" spans="1:37" x14ac:dyDescent="0.2">
      <c r="A3385" s="2">
        <v>2026</v>
      </c>
      <c r="B3385" s="2">
        <v>3</v>
      </c>
      <c r="C3385" s="2" t="s">
        <v>2538</v>
      </c>
      <c r="D3385" s="2" t="s">
        <v>758</v>
      </c>
      <c r="E3385" s="2" t="s">
        <v>39</v>
      </c>
      <c r="F3385" s="2">
        <v>515570354</v>
      </c>
      <c r="G3385" s="2" t="s">
        <v>110</v>
      </c>
      <c r="H3385" s="2" t="s">
        <v>2539</v>
      </c>
      <c r="I3385" s="2" t="s">
        <v>2540</v>
      </c>
      <c r="J3385" s="2">
        <v>967032538</v>
      </c>
      <c r="K3385" s="2" t="s">
        <v>400</v>
      </c>
      <c r="L3385" s="2" t="s">
        <v>110</v>
      </c>
      <c r="O3385" s="2" t="s">
        <v>43</v>
      </c>
      <c r="P3385" s="2" t="s">
        <v>237</v>
      </c>
      <c r="Q3385" s="2" t="s">
        <v>238</v>
      </c>
      <c r="R3385" s="2">
        <v>1</v>
      </c>
      <c r="S3385" s="2">
        <v>17.399999999999999</v>
      </c>
      <c r="T3385" s="2">
        <v>4.0019999999999998</v>
      </c>
      <c r="U3385" s="2">
        <v>21.402000000000001</v>
      </c>
      <c r="W3385" s="5">
        <f t="shared" si="360"/>
        <v>1</v>
      </c>
      <c r="Y3385" s="2" t="s">
        <v>3256</v>
      </c>
      <c r="Z3385" s="2" t="s">
        <v>46</v>
      </c>
      <c r="AA3385" s="2" t="s">
        <v>57</v>
      </c>
      <c r="AB3385" s="2" t="s">
        <v>58</v>
      </c>
      <c r="AE3385" s="2">
        <f t="shared" si="354"/>
        <v>0</v>
      </c>
      <c r="AI3385" s="2">
        <f t="shared" si="355"/>
        <v>0</v>
      </c>
      <c r="AJ3385" s="2">
        <f t="shared" si="362"/>
        <v>17.399999999999999</v>
      </c>
      <c r="AK3385" s="5">
        <f t="shared" si="361"/>
        <v>1</v>
      </c>
    </row>
    <row r="3386" spans="1:37" x14ac:dyDescent="0.2">
      <c r="A3386" s="2">
        <v>2026</v>
      </c>
      <c r="B3386" s="2">
        <v>3</v>
      </c>
      <c r="C3386" s="2" t="s">
        <v>1431</v>
      </c>
      <c r="D3386" s="2" t="s">
        <v>109</v>
      </c>
      <c r="E3386" s="2" t="s">
        <v>39</v>
      </c>
      <c r="F3386" s="2">
        <v>513795855</v>
      </c>
      <c r="G3386" s="2" t="s">
        <v>41</v>
      </c>
      <c r="H3386" s="2" t="s">
        <v>1282</v>
      </c>
      <c r="I3386" s="2" t="s">
        <v>2416</v>
      </c>
      <c r="K3386" s="2" t="s">
        <v>178</v>
      </c>
      <c r="L3386" s="2" t="s">
        <v>41</v>
      </c>
      <c r="O3386" s="2" t="s">
        <v>43</v>
      </c>
      <c r="P3386" s="2" t="s">
        <v>237</v>
      </c>
      <c r="Q3386" s="2" t="s">
        <v>238</v>
      </c>
      <c r="R3386" s="2">
        <v>2</v>
      </c>
      <c r="S3386" s="2">
        <v>34.799999999999997</v>
      </c>
      <c r="T3386" s="2">
        <v>8.0039999999999996</v>
      </c>
      <c r="U3386" s="2">
        <v>42.803999999999988</v>
      </c>
      <c r="W3386" s="5">
        <f t="shared" si="360"/>
        <v>1</v>
      </c>
      <c r="Y3386" s="2" t="s">
        <v>3256</v>
      </c>
      <c r="Z3386" s="2" t="s">
        <v>46</v>
      </c>
      <c r="AA3386" s="2" t="s">
        <v>57</v>
      </c>
      <c r="AB3386" s="2" t="s">
        <v>58</v>
      </c>
      <c r="AE3386" s="2">
        <f t="shared" si="354"/>
        <v>0</v>
      </c>
      <c r="AI3386" s="2">
        <f t="shared" si="355"/>
        <v>0</v>
      </c>
      <c r="AJ3386" s="2">
        <f t="shared" si="362"/>
        <v>34.799999999999997</v>
      </c>
      <c r="AK3386" s="5">
        <f t="shared" si="361"/>
        <v>1</v>
      </c>
    </row>
    <row r="3387" spans="1:37" x14ac:dyDescent="0.2">
      <c r="A3387" s="2">
        <v>2026</v>
      </c>
      <c r="B3387" s="2">
        <v>3</v>
      </c>
      <c r="C3387" s="2" t="s">
        <v>896</v>
      </c>
      <c r="D3387" s="2" t="s">
        <v>109</v>
      </c>
      <c r="E3387" s="2" t="s">
        <v>39</v>
      </c>
      <c r="F3387" s="2">
        <v>507216970</v>
      </c>
      <c r="G3387" s="2" t="s">
        <v>41</v>
      </c>
      <c r="H3387" s="2" t="s">
        <v>897</v>
      </c>
      <c r="I3387" s="2" t="s">
        <v>898</v>
      </c>
      <c r="K3387" s="2" t="s">
        <v>100</v>
      </c>
      <c r="L3387" s="2" t="s">
        <v>41</v>
      </c>
      <c r="N3387" s="2" t="s">
        <v>2702</v>
      </c>
      <c r="O3387" s="2" t="s">
        <v>43</v>
      </c>
      <c r="P3387" s="2" t="s">
        <v>237</v>
      </c>
      <c r="Q3387" s="2" t="s">
        <v>238</v>
      </c>
      <c r="R3387" s="2">
        <v>1</v>
      </c>
      <c r="S3387" s="2">
        <v>17.399999999999999</v>
      </c>
      <c r="T3387" s="2">
        <v>4.0019999999999998</v>
      </c>
      <c r="U3387" s="2">
        <v>21.402000000000001</v>
      </c>
      <c r="W3387" s="5">
        <f t="shared" si="360"/>
        <v>1</v>
      </c>
      <c r="Y3387" s="2" t="s">
        <v>3256</v>
      </c>
      <c r="Z3387" s="2" t="s">
        <v>46</v>
      </c>
      <c r="AA3387" s="2" t="s">
        <v>57</v>
      </c>
      <c r="AB3387" s="2" t="s">
        <v>58</v>
      </c>
      <c r="AE3387" s="2">
        <f t="shared" si="354"/>
        <v>0</v>
      </c>
      <c r="AI3387" s="2">
        <f t="shared" si="355"/>
        <v>0</v>
      </c>
      <c r="AJ3387" s="2">
        <f t="shared" si="362"/>
        <v>17.399999999999999</v>
      </c>
      <c r="AK3387" s="5">
        <f t="shared" si="361"/>
        <v>1</v>
      </c>
    </row>
    <row r="3388" spans="1:37" x14ac:dyDescent="0.2">
      <c r="A3388" s="2">
        <v>2026</v>
      </c>
      <c r="B3388" s="2">
        <v>3</v>
      </c>
      <c r="C3388" s="2" t="s">
        <v>2538</v>
      </c>
      <c r="D3388" s="2" t="s">
        <v>758</v>
      </c>
      <c r="E3388" s="2" t="s">
        <v>39</v>
      </c>
      <c r="F3388" s="2">
        <v>515570354</v>
      </c>
      <c r="G3388" s="2" t="s">
        <v>110</v>
      </c>
      <c r="H3388" s="2" t="s">
        <v>2539</v>
      </c>
      <c r="I3388" s="2" t="s">
        <v>2540</v>
      </c>
      <c r="J3388" s="2">
        <v>967032538</v>
      </c>
      <c r="K3388" s="2" t="s">
        <v>400</v>
      </c>
      <c r="L3388" s="2" t="s">
        <v>110</v>
      </c>
      <c r="O3388" s="2" t="s">
        <v>43</v>
      </c>
      <c r="P3388" s="2" t="s">
        <v>239</v>
      </c>
      <c r="Q3388" s="2" t="s">
        <v>240</v>
      </c>
      <c r="R3388" s="2">
        <v>1</v>
      </c>
      <c r="S3388" s="2">
        <v>21</v>
      </c>
      <c r="T3388" s="2">
        <v>4.83</v>
      </c>
      <c r="U3388" s="2">
        <v>25.83</v>
      </c>
      <c r="W3388" s="5">
        <f t="shared" si="360"/>
        <v>1</v>
      </c>
      <c r="Y3388" s="2" t="s">
        <v>3256</v>
      </c>
      <c r="Z3388" s="2" t="s">
        <v>46</v>
      </c>
      <c r="AA3388" s="2" t="s">
        <v>57</v>
      </c>
      <c r="AB3388" s="2" t="s">
        <v>58</v>
      </c>
      <c r="AE3388" s="2">
        <f t="shared" si="354"/>
        <v>0</v>
      </c>
      <c r="AI3388" s="2">
        <f t="shared" si="355"/>
        <v>0</v>
      </c>
      <c r="AJ3388" s="2">
        <f t="shared" si="362"/>
        <v>21</v>
      </c>
      <c r="AK3388" s="5">
        <f t="shared" si="361"/>
        <v>1</v>
      </c>
    </row>
    <row r="3389" spans="1:37" x14ac:dyDescent="0.2">
      <c r="A3389" s="2">
        <v>2026</v>
      </c>
      <c r="B3389" s="2">
        <v>3</v>
      </c>
      <c r="C3389" s="2" t="s">
        <v>1431</v>
      </c>
      <c r="D3389" s="2" t="s">
        <v>109</v>
      </c>
      <c r="E3389" s="2" t="s">
        <v>39</v>
      </c>
      <c r="F3389" s="2">
        <v>513795855</v>
      </c>
      <c r="G3389" s="2" t="s">
        <v>41</v>
      </c>
      <c r="H3389" s="2" t="s">
        <v>1282</v>
      </c>
      <c r="I3389" s="2" t="s">
        <v>2416</v>
      </c>
      <c r="K3389" s="2" t="s">
        <v>178</v>
      </c>
      <c r="L3389" s="2" t="s">
        <v>41</v>
      </c>
      <c r="O3389" s="2" t="s">
        <v>43</v>
      </c>
      <c r="P3389" s="2" t="s">
        <v>239</v>
      </c>
      <c r="Q3389" s="2" t="s">
        <v>240</v>
      </c>
      <c r="R3389" s="2">
        <v>2</v>
      </c>
      <c r="S3389" s="2">
        <v>42</v>
      </c>
      <c r="T3389" s="2">
        <v>9.66</v>
      </c>
      <c r="U3389" s="2">
        <v>51.66</v>
      </c>
      <c r="W3389" s="5">
        <f t="shared" si="360"/>
        <v>1</v>
      </c>
      <c r="Y3389" s="2" t="s">
        <v>3256</v>
      </c>
      <c r="Z3389" s="2" t="s">
        <v>46</v>
      </c>
      <c r="AA3389" s="2" t="s">
        <v>57</v>
      </c>
      <c r="AB3389" s="2" t="s">
        <v>58</v>
      </c>
      <c r="AE3389" s="2">
        <f t="shared" si="354"/>
        <v>0</v>
      </c>
      <c r="AI3389" s="2">
        <f t="shared" si="355"/>
        <v>0</v>
      </c>
      <c r="AJ3389" s="2">
        <f t="shared" si="362"/>
        <v>42</v>
      </c>
      <c r="AK3389" s="5">
        <f t="shared" si="361"/>
        <v>1</v>
      </c>
    </row>
    <row r="3390" spans="1:37" x14ac:dyDescent="0.2">
      <c r="A3390" s="2">
        <v>2026</v>
      </c>
      <c r="B3390" s="2">
        <v>3</v>
      </c>
      <c r="C3390" s="2" t="s">
        <v>1431</v>
      </c>
      <c r="D3390" s="2" t="s">
        <v>109</v>
      </c>
      <c r="E3390" s="2" t="s">
        <v>39</v>
      </c>
      <c r="F3390" s="2">
        <v>513795855</v>
      </c>
      <c r="G3390" s="2" t="s">
        <v>41</v>
      </c>
      <c r="H3390" s="2" t="s">
        <v>1282</v>
      </c>
      <c r="I3390" s="2" t="s">
        <v>2416</v>
      </c>
      <c r="K3390" s="2" t="s">
        <v>178</v>
      </c>
      <c r="L3390" s="2" t="s">
        <v>41</v>
      </c>
      <c r="O3390" s="2" t="s">
        <v>43</v>
      </c>
      <c r="P3390" s="2" t="s">
        <v>241</v>
      </c>
      <c r="Q3390" s="2" t="s">
        <v>242</v>
      </c>
      <c r="R3390" s="2">
        <v>2</v>
      </c>
      <c r="S3390" s="2">
        <v>50.4</v>
      </c>
      <c r="T3390" s="2">
        <v>11.592000000000001</v>
      </c>
      <c r="U3390" s="2">
        <v>61.991999999999997</v>
      </c>
      <c r="W3390" s="5">
        <f t="shared" si="360"/>
        <v>1</v>
      </c>
      <c r="Y3390" s="2" t="s">
        <v>3256</v>
      </c>
      <c r="Z3390" s="2" t="s">
        <v>46</v>
      </c>
      <c r="AA3390" s="2" t="s">
        <v>57</v>
      </c>
      <c r="AB3390" s="2" t="s">
        <v>58</v>
      </c>
      <c r="AE3390" s="2">
        <f t="shared" si="354"/>
        <v>0</v>
      </c>
      <c r="AI3390" s="2">
        <f t="shared" si="355"/>
        <v>0</v>
      </c>
      <c r="AJ3390" s="2">
        <f t="shared" si="362"/>
        <v>50.4</v>
      </c>
      <c r="AK3390" s="5">
        <f t="shared" si="361"/>
        <v>1</v>
      </c>
    </row>
    <row r="3391" spans="1:37" x14ac:dyDescent="0.2">
      <c r="A3391" s="2">
        <v>2026</v>
      </c>
      <c r="B3391" s="2">
        <v>3</v>
      </c>
      <c r="C3391" s="2" t="s">
        <v>896</v>
      </c>
      <c r="D3391" s="2" t="s">
        <v>109</v>
      </c>
      <c r="E3391" s="2" t="s">
        <v>39</v>
      </c>
      <c r="F3391" s="2">
        <v>507216970</v>
      </c>
      <c r="G3391" s="2" t="s">
        <v>41</v>
      </c>
      <c r="H3391" s="2" t="s">
        <v>897</v>
      </c>
      <c r="I3391" s="2" t="s">
        <v>898</v>
      </c>
      <c r="K3391" s="2" t="s">
        <v>100</v>
      </c>
      <c r="L3391" s="2" t="s">
        <v>41</v>
      </c>
      <c r="N3391" s="2" t="s">
        <v>2702</v>
      </c>
      <c r="O3391" s="2" t="s">
        <v>43</v>
      </c>
      <c r="P3391" s="2" t="s">
        <v>241</v>
      </c>
      <c r="Q3391" s="2" t="s">
        <v>242</v>
      </c>
      <c r="R3391" s="2">
        <v>1</v>
      </c>
      <c r="S3391" s="2">
        <v>25.2</v>
      </c>
      <c r="T3391" s="2">
        <v>5.7960000000000003</v>
      </c>
      <c r="U3391" s="2">
        <v>30.995999999999999</v>
      </c>
      <c r="W3391" s="5">
        <f t="shared" si="360"/>
        <v>1</v>
      </c>
      <c r="Y3391" s="2" t="s">
        <v>3256</v>
      </c>
      <c r="Z3391" s="2" t="s">
        <v>46</v>
      </c>
      <c r="AA3391" s="2" t="s">
        <v>57</v>
      </c>
      <c r="AB3391" s="2" t="s">
        <v>58</v>
      </c>
      <c r="AE3391" s="2">
        <f t="shared" si="354"/>
        <v>0</v>
      </c>
      <c r="AI3391" s="2">
        <f t="shared" si="355"/>
        <v>0</v>
      </c>
      <c r="AJ3391" s="2">
        <f t="shared" si="362"/>
        <v>25.2</v>
      </c>
      <c r="AK3391" s="5">
        <f t="shared" si="361"/>
        <v>1</v>
      </c>
    </row>
    <row r="3392" spans="1:37" x14ac:dyDescent="0.2">
      <c r="A3392" s="2">
        <v>2026</v>
      </c>
      <c r="B3392" s="2">
        <v>3</v>
      </c>
      <c r="C3392" s="2" t="s">
        <v>1431</v>
      </c>
      <c r="D3392" s="2" t="s">
        <v>109</v>
      </c>
      <c r="E3392" s="2" t="s">
        <v>39</v>
      </c>
      <c r="F3392" s="2">
        <v>513795855</v>
      </c>
      <c r="G3392" s="2" t="s">
        <v>41</v>
      </c>
      <c r="H3392" s="2" t="s">
        <v>1282</v>
      </c>
      <c r="I3392" s="2" t="s">
        <v>2416</v>
      </c>
      <c r="K3392" s="2" t="s">
        <v>178</v>
      </c>
      <c r="L3392" s="2" t="s">
        <v>41</v>
      </c>
      <c r="O3392" s="2" t="s">
        <v>43</v>
      </c>
      <c r="P3392" s="2" t="s">
        <v>243</v>
      </c>
      <c r="Q3392" s="2" t="s">
        <v>244</v>
      </c>
      <c r="R3392" s="2">
        <v>2</v>
      </c>
      <c r="S3392" s="2">
        <v>60</v>
      </c>
      <c r="T3392" s="2">
        <v>13.8</v>
      </c>
      <c r="U3392" s="2">
        <v>73.8</v>
      </c>
      <c r="W3392" s="5">
        <f t="shared" si="360"/>
        <v>1</v>
      </c>
      <c r="Y3392" s="2" t="s">
        <v>3256</v>
      </c>
      <c r="Z3392" s="2" t="s">
        <v>46</v>
      </c>
      <c r="AA3392" s="2" t="s">
        <v>57</v>
      </c>
      <c r="AB3392" s="2" t="s">
        <v>58</v>
      </c>
      <c r="AE3392" s="2">
        <f t="shared" si="354"/>
        <v>0</v>
      </c>
      <c r="AI3392" s="2">
        <f t="shared" si="355"/>
        <v>0</v>
      </c>
      <c r="AJ3392" s="2">
        <f t="shared" si="362"/>
        <v>60</v>
      </c>
      <c r="AK3392" s="5">
        <f t="shared" si="361"/>
        <v>1</v>
      </c>
    </row>
    <row r="3393" spans="1:37" x14ac:dyDescent="0.2">
      <c r="A3393" s="2">
        <v>2026</v>
      </c>
      <c r="B3393" s="2">
        <v>3</v>
      </c>
      <c r="C3393" s="2" t="s">
        <v>896</v>
      </c>
      <c r="D3393" s="2" t="s">
        <v>109</v>
      </c>
      <c r="E3393" s="2" t="s">
        <v>39</v>
      </c>
      <c r="F3393" s="2">
        <v>507216970</v>
      </c>
      <c r="G3393" s="2" t="s">
        <v>41</v>
      </c>
      <c r="H3393" s="2" t="s">
        <v>897</v>
      </c>
      <c r="I3393" s="2" t="s">
        <v>898</v>
      </c>
      <c r="K3393" s="2" t="s">
        <v>100</v>
      </c>
      <c r="L3393" s="2" t="s">
        <v>41</v>
      </c>
      <c r="N3393" s="2" t="s">
        <v>2701</v>
      </c>
      <c r="O3393" s="2" t="s">
        <v>43</v>
      </c>
      <c r="P3393" s="2" t="s">
        <v>243</v>
      </c>
      <c r="Q3393" s="2" t="s">
        <v>244</v>
      </c>
      <c r="R3393" s="2">
        <v>1</v>
      </c>
      <c r="S3393" s="2">
        <v>30</v>
      </c>
      <c r="T3393" s="2">
        <v>6.9</v>
      </c>
      <c r="U3393" s="2">
        <v>36.9</v>
      </c>
      <c r="W3393" s="5">
        <f t="shared" si="360"/>
        <v>1</v>
      </c>
      <c r="Y3393" s="2" t="s">
        <v>3256</v>
      </c>
      <c r="Z3393" s="2" t="s">
        <v>46</v>
      </c>
      <c r="AA3393" s="2" t="s">
        <v>57</v>
      </c>
      <c r="AB3393" s="2" t="s">
        <v>58</v>
      </c>
      <c r="AE3393" s="2">
        <f t="shared" si="354"/>
        <v>0</v>
      </c>
      <c r="AI3393" s="2">
        <f t="shared" si="355"/>
        <v>0</v>
      </c>
      <c r="AJ3393" s="2">
        <f t="shared" si="362"/>
        <v>30</v>
      </c>
      <c r="AK3393" s="5">
        <f t="shared" si="361"/>
        <v>1</v>
      </c>
    </row>
    <row r="3394" spans="1:37" x14ac:dyDescent="0.2">
      <c r="A3394" s="2">
        <v>2026</v>
      </c>
      <c r="B3394" s="2">
        <v>3</v>
      </c>
      <c r="C3394" s="2" t="s">
        <v>513</v>
      </c>
      <c r="D3394" s="2" t="s">
        <v>38</v>
      </c>
      <c r="E3394" s="2" t="s">
        <v>39</v>
      </c>
      <c r="F3394" s="2">
        <v>513405020</v>
      </c>
      <c r="G3394" s="2" t="s">
        <v>40</v>
      </c>
      <c r="H3394" s="2" t="s">
        <v>157</v>
      </c>
      <c r="I3394" s="2" t="s">
        <v>514</v>
      </c>
      <c r="J3394" s="2">
        <v>919770433</v>
      </c>
      <c r="K3394" s="2" t="s">
        <v>100</v>
      </c>
      <c r="L3394" s="2" t="s">
        <v>81</v>
      </c>
      <c r="O3394" s="2" t="s">
        <v>43</v>
      </c>
      <c r="P3394" s="2" t="s">
        <v>245</v>
      </c>
      <c r="Q3394" s="2" t="s">
        <v>246</v>
      </c>
      <c r="R3394" s="2">
        <v>1</v>
      </c>
      <c r="S3394" s="2">
        <v>18</v>
      </c>
      <c r="T3394" s="2">
        <v>4.1400000000000006</v>
      </c>
      <c r="U3394" s="2">
        <v>22.14</v>
      </c>
      <c r="W3394" s="5">
        <f t="shared" si="360"/>
        <v>1</v>
      </c>
      <c r="Y3394" s="2" t="s">
        <v>3256</v>
      </c>
      <c r="Z3394" s="2" t="s">
        <v>46</v>
      </c>
      <c r="AA3394" s="2" t="s">
        <v>57</v>
      </c>
      <c r="AB3394" s="2" t="s">
        <v>58</v>
      </c>
      <c r="AE3394" s="2">
        <f t="shared" si="354"/>
        <v>0</v>
      </c>
      <c r="AI3394" s="2">
        <f t="shared" si="355"/>
        <v>0</v>
      </c>
      <c r="AJ3394" s="2">
        <f t="shared" si="362"/>
        <v>18</v>
      </c>
      <c r="AK3394" s="5">
        <f t="shared" si="361"/>
        <v>1</v>
      </c>
    </row>
    <row r="3395" spans="1:37" x14ac:dyDescent="0.2">
      <c r="A3395" s="2">
        <v>2026</v>
      </c>
      <c r="B3395" s="2">
        <v>3</v>
      </c>
      <c r="C3395" s="2" t="s">
        <v>1431</v>
      </c>
      <c r="D3395" s="2" t="s">
        <v>109</v>
      </c>
      <c r="E3395" s="2" t="s">
        <v>39</v>
      </c>
      <c r="F3395" s="2">
        <v>513795855</v>
      </c>
      <c r="G3395" s="2" t="s">
        <v>41</v>
      </c>
      <c r="H3395" s="2" t="s">
        <v>1282</v>
      </c>
      <c r="I3395" s="2" t="s">
        <v>2416</v>
      </c>
      <c r="K3395" s="2" t="s">
        <v>178</v>
      </c>
      <c r="L3395" s="2" t="s">
        <v>41</v>
      </c>
      <c r="O3395" s="2" t="s">
        <v>43</v>
      </c>
      <c r="P3395" s="2" t="s">
        <v>245</v>
      </c>
      <c r="Q3395" s="2" t="s">
        <v>246</v>
      </c>
      <c r="R3395" s="2">
        <v>2</v>
      </c>
      <c r="S3395" s="2">
        <v>36</v>
      </c>
      <c r="T3395" s="2">
        <v>8.2800000000000011</v>
      </c>
      <c r="U3395" s="2">
        <v>44.28</v>
      </c>
      <c r="W3395" s="5">
        <f t="shared" si="360"/>
        <v>1</v>
      </c>
      <c r="Y3395" s="2" t="s">
        <v>3256</v>
      </c>
      <c r="Z3395" s="2" t="s">
        <v>46</v>
      </c>
      <c r="AA3395" s="2" t="s">
        <v>57</v>
      </c>
      <c r="AB3395" s="2" t="s">
        <v>58</v>
      </c>
      <c r="AE3395" s="2">
        <f t="shared" ref="AE3395:AE3458" si="363">AI3395</f>
        <v>0</v>
      </c>
      <c r="AI3395" s="2">
        <f t="shared" ref="AI3395:AI3458" si="364">AH3395*S3395</f>
        <v>0</v>
      </c>
      <c r="AJ3395" s="2">
        <f t="shared" si="362"/>
        <v>36</v>
      </c>
      <c r="AK3395" s="5">
        <f t="shared" si="361"/>
        <v>1</v>
      </c>
    </row>
    <row r="3396" spans="1:37" x14ac:dyDescent="0.2">
      <c r="A3396" s="2">
        <v>2026</v>
      </c>
      <c r="B3396" s="2">
        <v>3</v>
      </c>
      <c r="C3396" s="2" t="s">
        <v>1431</v>
      </c>
      <c r="D3396" s="2" t="s">
        <v>109</v>
      </c>
      <c r="E3396" s="2" t="s">
        <v>39</v>
      </c>
      <c r="F3396" s="2">
        <v>513795855</v>
      </c>
      <c r="G3396" s="2" t="s">
        <v>41</v>
      </c>
      <c r="H3396" s="2" t="s">
        <v>1282</v>
      </c>
      <c r="I3396" s="2" t="s">
        <v>2416</v>
      </c>
      <c r="K3396" s="2" t="s">
        <v>178</v>
      </c>
      <c r="L3396" s="2" t="s">
        <v>41</v>
      </c>
      <c r="O3396" s="2" t="s">
        <v>43</v>
      </c>
      <c r="P3396" s="2" t="s">
        <v>247</v>
      </c>
      <c r="Q3396" s="2" t="s">
        <v>248</v>
      </c>
      <c r="R3396" s="2">
        <v>2</v>
      </c>
      <c r="S3396" s="2">
        <v>39.6</v>
      </c>
      <c r="T3396" s="2">
        <v>9.1080000000000005</v>
      </c>
      <c r="U3396" s="2">
        <v>48.707999999999998</v>
      </c>
      <c r="W3396" s="5">
        <f t="shared" si="360"/>
        <v>1</v>
      </c>
      <c r="Y3396" s="2" t="s">
        <v>3256</v>
      </c>
      <c r="Z3396" s="2" t="s">
        <v>46</v>
      </c>
      <c r="AA3396" s="2" t="s">
        <v>57</v>
      </c>
      <c r="AB3396" s="2" t="s">
        <v>58</v>
      </c>
      <c r="AE3396" s="2">
        <f t="shared" si="363"/>
        <v>0</v>
      </c>
      <c r="AI3396" s="2">
        <f t="shared" si="364"/>
        <v>0</v>
      </c>
      <c r="AJ3396" s="2">
        <f t="shared" si="362"/>
        <v>39.6</v>
      </c>
      <c r="AK3396" s="5">
        <f t="shared" si="361"/>
        <v>1</v>
      </c>
    </row>
    <row r="3397" spans="1:37" x14ac:dyDescent="0.2">
      <c r="A3397" s="2">
        <v>2026</v>
      </c>
      <c r="B3397" s="2">
        <v>3</v>
      </c>
      <c r="C3397" s="2" t="s">
        <v>1431</v>
      </c>
      <c r="D3397" s="2" t="s">
        <v>109</v>
      </c>
      <c r="E3397" s="2" t="s">
        <v>39</v>
      </c>
      <c r="F3397" s="2">
        <v>513795855</v>
      </c>
      <c r="G3397" s="2" t="s">
        <v>41</v>
      </c>
      <c r="H3397" s="2" t="s">
        <v>1282</v>
      </c>
      <c r="I3397" s="2" t="s">
        <v>2416</v>
      </c>
      <c r="K3397" s="2" t="s">
        <v>178</v>
      </c>
      <c r="L3397" s="2" t="s">
        <v>41</v>
      </c>
      <c r="O3397" s="2" t="s">
        <v>43</v>
      </c>
      <c r="P3397" s="2" t="s">
        <v>286</v>
      </c>
      <c r="Q3397" s="2" t="s">
        <v>287</v>
      </c>
      <c r="R3397" s="2">
        <v>2</v>
      </c>
      <c r="S3397" s="2">
        <v>45.6</v>
      </c>
      <c r="T3397" s="2">
        <v>10.488</v>
      </c>
      <c r="U3397" s="2">
        <v>56.088000000000001</v>
      </c>
      <c r="W3397" s="5">
        <f t="shared" si="360"/>
        <v>1</v>
      </c>
      <c r="Y3397" s="2" t="s">
        <v>3256</v>
      </c>
      <c r="Z3397" s="2" t="s">
        <v>46</v>
      </c>
      <c r="AA3397" s="2" t="s">
        <v>57</v>
      </c>
      <c r="AB3397" s="2" t="s">
        <v>58</v>
      </c>
      <c r="AE3397" s="2">
        <f t="shared" si="363"/>
        <v>0</v>
      </c>
      <c r="AI3397" s="2">
        <f t="shared" si="364"/>
        <v>0</v>
      </c>
      <c r="AJ3397" s="2">
        <f t="shared" si="362"/>
        <v>45.6</v>
      </c>
      <c r="AK3397" s="5">
        <f t="shared" si="361"/>
        <v>1</v>
      </c>
    </row>
    <row r="3398" spans="1:37" x14ac:dyDescent="0.2">
      <c r="A3398" s="2">
        <v>2026</v>
      </c>
      <c r="B3398" s="2">
        <v>3</v>
      </c>
      <c r="C3398" s="2" t="s">
        <v>1431</v>
      </c>
      <c r="D3398" s="2" t="s">
        <v>109</v>
      </c>
      <c r="E3398" s="2" t="s">
        <v>39</v>
      </c>
      <c r="F3398" s="2">
        <v>513795855</v>
      </c>
      <c r="G3398" s="2" t="s">
        <v>41</v>
      </c>
      <c r="H3398" s="2" t="s">
        <v>1282</v>
      </c>
      <c r="I3398" s="2" t="s">
        <v>2416</v>
      </c>
      <c r="K3398" s="2" t="s">
        <v>178</v>
      </c>
      <c r="L3398" s="2" t="s">
        <v>41</v>
      </c>
      <c r="O3398" s="2" t="s">
        <v>43</v>
      </c>
      <c r="P3398" s="2" t="s">
        <v>249</v>
      </c>
      <c r="Q3398" s="2" t="s">
        <v>250</v>
      </c>
      <c r="R3398" s="2">
        <v>2</v>
      </c>
      <c r="S3398" s="2">
        <v>48</v>
      </c>
      <c r="T3398" s="2">
        <v>11.04</v>
      </c>
      <c r="U3398" s="2">
        <v>59.04</v>
      </c>
      <c r="W3398" s="5">
        <f t="shared" si="360"/>
        <v>1</v>
      </c>
      <c r="Y3398" s="2" t="s">
        <v>3256</v>
      </c>
      <c r="Z3398" s="2" t="s">
        <v>46</v>
      </c>
      <c r="AA3398" s="2" t="s">
        <v>57</v>
      </c>
      <c r="AB3398" s="2" t="s">
        <v>58</v>
      </c>
      <c r="AE3398" s="2">
        <f t="shared" si="363"/>
        <v>0</v>
      </c>
      <c r="AI3398" s="2">
        <f t="shared" si="364"/>
        <v>0</v>
      </c>
      <c r="AJ3398" s="2">
        <f t="shared" si="362"/>
        <v>48</v>
      </c>
      <c r="AK3398" s="5">
        <f t="shared" si="361"/>
        <v>1</v>
      </c>
    </row>
    <row r="3399" spans="1:37" x14ac:dyDescent="0.2">
      <c r="A3399" s="2">
        <v>2026</v>
      </c>
      <c r="B3399" s="2">
        <v>3</v>
      </c>
      <c r="C3399" s="2" t="s">
        <v>37</v>
      </c>
      <c r="D3399" s="2" t="s">
        <v>38</v>
      </c>
      <c r="E3399" s="2" t="s">
        <v>39</v>
      </c>
      <c r="G3399" s="2" t="s">
        <v>40</v>
      </c>
      <c r="O3399" s="2" t="s">
        <v>43</v>
      </c>
      <c r="P3399" s="2" t="s">
        <v>55</v>
      </c>
      <c r="Q3399" s="2" t="s">
        <v>56</v>
      </c>
      <c r="R3399" s="2">
        <v>10</v>
      </c>
      <c r="S3399" s="2">
        <v>145</v>
      </c>
      <c r="T3399" s="2">
        <v>33.35</v>
      </c>
      <c r="U3399" s="2">
        <v>178.35</v>
      </c>
      <c r="V3399" s="2">
        <f t="shared" ref="V3399:V3404" si="365">10.6*R3399</f>
        <v>106</v>
      </c>
      <c r="W3399" s="5">
        <f t="shared" si="360"/>
        <v>0.26896551724137929</v>
      </c>
      <c r="Y3399" s="2" t="s">
        <v>3256</v>
      </c>
      <c r="Z3399" s="2" t="s">
        <v>46</v>
      </c>
      <c r="AA3399" s="2" t="s">
        <v>57</v>
      </c>
      <c r="AB3399" s="2" t="s">
        <v>58</v>
      </c>
      <c r="AE3399" s="2">
        <f t="shared" si="363"/>
        <v>0</v>
      </c>
      <c r="AF3399" s="2">
        <v>10.6</v>
      </c>
      <c r="AG3399" s="2">
        <v>18</v>
      </c>
      <c r="AI3399" s="2">
        <f t="shared" si="364"/>
        <v>0</v>
      </c>
      <c r="AJ3399" s="2">
        <f t="shared" si="362"/>
        <v>39</v>
      </c>
      <c r="AK3399" s="5">
        <f t="shared" si="361"/>
        <v>0.26896551724137929</v>
      </c>
    </row>
    <row r="3400" spans="1:37" x14ac:dyDescent="0.2">
      <c r="A3400" s="2">
        <v>2026</v>
      </c>
      <c r="B3400" s="2">
        <v>3</v>
      </c>
      <c r="C3400" s="2" t="s">
        <v>1154</v>
      </c>
      <c r="D3400" s="2" t="s">
        <v>109</v>
      </c>
      <c r="E3400" s="2" t="s">
        <v>39</v>
      </c>
      <c r="F3400" s="2">
        <v>518312798</v>
      </c>
      <c r="G3400" s="2" t="s">
        <v>41</v>
      </c>
      <c r="H3400" s="2" t="s">
        <v>1155</v>
      </c>
      <c r="I3400" s="2" t="s">
        <v>1156</v>
      </c>
      <c r="K3400" s="2" t="s">
        <v>134</v>
      </c>
      <c r="L3400" s="2" t="s">
        <v>41</v>
      </c>
      <c r="N3400" s="2" t="s">
        <v>2703</v>
      </c>
      <c r="O3400" s="2" t="s">
        <v>43</v>
      </c>
      <c r="P3400" s="2" t="s">
        <v>55</v>
      </c>
      <c r="Q3400" s="2" t="s">
        <v>56</v>
      </c>
      <c r="R3400" s="2">
        <v>12</v>
      </c>
      <c r="S3400" s="2">
        <v>180</v>
      </c>
      <c r="T3400" s="2">
        <v>41.4</v>
      </c>
      <c r="U3400" s="2">
        <v>221.4</v>
      </c>
      <c r="V3400" s="2">
        <f t="shared" si="365"/>
        <v>127.19999999999999</v>
      </c>
      <c r="W3400" s="5">
        <f t="shared" si="360"/>
        <v>0.29333333333333339</v>
      </c>
      <c r="Y3400" s="2" t="s">
        <v>3256</v>
      </c>
      <c r="Z3400" s="2" t="s">
        <v>46</v>
      </c>
      <c r="AA3400" s="2" t="s">
        <v>57</v>
      </c>
      <c r="AB3400" s="2" t="s">
        <v>58</v>
      </c>
      <c r="AE3400" s="2">
        <f t="shared" si="363"/>
        <v>0</v>
      </c>
      <c r="AF3400" s="2">
        <v>10.6</v>
      </c>
      <c r="AG3400" s="2">
        <v>18</v>
      </c>
      <c r="AI3400" s="2">
        <f t="shared" si="364"/>
        <v>0</v>
      </c>
      <c r="AJ3400" s="2">
        <f t="shared" si="362"/>
        <v>52.800000000000011</v>
      </c>
      <c r="AK3400" s="5">
        <f t="shared" si="361"/>
        <v>0.29333333333333339</v>
      </c>
    </row>
    <row r="3401" spans="1:37" x14ac:dyDescent="0.2">
      <c r="A3401" s="2">
        <v>2026</v>
      </c>
      <c r="B3401" s="2">
        <v>3</v>
      </c>
      <c r="C3401" s="2" t="s">
        <v>2704</v>
      </c>
      <c r="O3401" s="2" t="s">
        <v>43</v>
      </c>
      <c r="P3401" s="2" t="s">
        <v>55</v>
      </c>
      <c r="Q3401" s="2" t="s">
        <v>56</v>
      </c>
      <c r="R3401" s="2">
        <v>2</v>
      </c>
      <c r="S3401" s="2">
        <v>36</v>
      </c>
      <c r="T3401" s="2">
        <v>8.2800000000000011</v>
      </c>
      <c r="U3401" s="2">
        <v>44.28</v>
      </c>
      <c r="V3401" s="2">
        <f t="shared" si="365"/>
        <v>21.2</v>
      </c>
      <c r="W3401" s="5">
        <f t="shared" si="360"/>
        <v>0.41111111111111115</v>
      </c>
      <c r="Y3401" s="2" t="s">
        <v>3256</v>
      </c>
      <c r="Z3401" s="2" t="s">
        <v>46</v>
      </c>
      <c r="AA3401" s="2" t="s">
        <v>57</v>
      </c>
      <c r="AB3401" s="2" t="s">
        <v>58</v>
      </c>
      <c r="AE3401" s="2">
        <f t="shared" si="363"/>
        <v>0</v>
      </c>
      <c r="AF3401" s="2">
        <v>10.6</v>
      </c>
      <c r="AG3401" s="2">
        <v>18</v>
      </c>
      <c r="AI3401" s="2">
        <f t="shared" si="364"/>
        <v>0</v>
      </c>
      <c r="AJ3401" s="2">
        <f t="shared" si="362"/>
        <v>14.8</v>
      </c>
      <c r="AK3401" s="5">
        <f t="shared" si="361"/>
        <v>0.41111111111111115</v>
      </c>
    </row>
    <row r="3402" spans="1:37" x14ac:dyDescent="0.2">
      <c r="A3402" s="2">
        <v>2026</v>
      </c>
      <c r="B3402" s="2">
        <v>3</v>
      </c>
      <c r="C3402" s="2" t="s">
        <v>1017</v>
      </c>
      <c r="L3402" s="2" t="s">
        <v>41</v>
      </c>
      <c r="O3402" s="2" t="s">
        <v>43</v>
      </c>
      <c r="P3402" s="2" t="s">
        <v>55</v>
      </c>
      <c r="Q3402" s="2" t="s">
        <v>56</v>
      </c>
      <c r="R3402" s="2">
        <v>2</v>
      </c>
      <c r="S3402" s="2">
        <v>36</v>
      </c>
      <c r="T3402" s="2">
        <v>8.2800000000000011</v>
      </c>
      <c r="U3402" s="2">
        <v>44.28</v>
      </c>
      <c r="V3402" s="2">
        <f t="shared" si="365"/>
        <v>21.2</v>
      </c>
      <c r="W3402" s="5">
        <f t="shared" si="360"/>
        <v>0.41111111111111115</v>
      </c>
      <c r="Y3402" s="2" t="s">
        <v>3256</v>
      </c>
      <c r="Z3402" s="2" t="s">
        <v>46</v>
      </c>
      <c r="AA3402" s="2" t="s">
        <v>57</v>
      </c>
      <c r="AB3402" s="2" t="s">
        <v>58</v>
      </c>
      <c r="AE3402" s="2">
        <f t="shared" si="363"/>
        <v>0</v>
      </c>
      <c r="AF3402" s="2">
        <v>10.6</v>
      </c>
      <c r="AG3402" s="2">
        <v>18</v>
      </c>
      <c r="AI3402" s="2">
        <f t="shared" si="364"/>
        <v>0</v>
      </c>
      <c r="AJ3402" s="2">
        <f t="shared" si="362"/>
        <v>14.8</v>
      </c>
      <c r="AK3402" s="5">
        <f t="shared" si="361"/>
        <v>0.41111111111111115</v>
      </c>
    </row>
    <row r="3403" spans="1:37" x14ac:dyDescent="0.2">
      <c r="A3403" s="2">
        <v>2026</v>
      </c>
      <c r="B3403" s="2">
        <v>3</v>
      </c>
      <c r="C3403" s="2" t="s">
        <v>787</v>
      </c>
      <c r="D3403" s="2" t="s">
        <v>38</v>
      </c>
      <c r="E3403" s="2" t="s">
        <v>39</v>
      </c>
      <c r="F3403" s="2">
        <v>510219675</v>
      </c>
      <c r="G3403" s="2" t="s">
        <v>40</v>
      </c>
      <c r="H3403" s="2" t="s">
        <v>788</v>
      </c>
      <c r="I3403" s="2" t="s">
        <v>789</v>
      </c>
      <c r="J3403" s="2">
        <v>917341136</v>
      </c>
      <c r="K3403" s="2" t="s">
        <v>100</v>
      </c>
      <c r="L3403" s="2" t="s">
        <v>81</v>
      </c>
      <c r="O3403" s="2" t="s">
        <v>43</v>
      </c>
      <c r="P3403" s="2" t="s">
        <v>55</v>
      </c>
      <c r="Q3403" s="2" t="s">
        <v>56</v>
      </c>
      <c r="R3403" s="2">
        <v>1</v>
      </c>
      <c r="S3403" s="2">
        <v>18</v>
      </c>
      <c r="T3403" s="2">
        <v>4.1400000000000006</v>
      </c>
      <c r="U3403" s="2">
        <v>22.14</v>
      </c>
      <c r="V3403" s="2">
        <f t="shared" si="365"/>
        <v>10.6</v>
      </c>
      <c r="W3403" s="5">
        <f t="shared" si="360"/>
        <v>0.41111111111111115</v>
      </c>
      <c r="Y3403" s="2" t="s">
        <v>3256</v>
      </c>
      <c r="Z3403" s="2" t="s">
        <v>46</v>
      </c>
      <c r="AA3403" s="2" t="s">
        <v>57</v>
      </c>
      <c r="AB3403" s="2" t="s">
        <v>58</v>
      </c>
      <c r="AE3403" s="2">
        <f t="shared" si="363"/>
        <v>0</v>
      </c>
      <c r="AF3403" s="2">
        <v>10.6</v>
      </c>
      <c r="AG3403" s="2">
        <v>18</v>
      </c>
      <c r="AI3403" s="2">
        <f t="shared" si="364"/>
        <v>0</v>
      </c>
      <c r="AJ3403" s="2">
        <f t="shared" si="362"/>
        <v>7.4</v>
      </c>
      <c r="AK3403" s="5">
        <f t="shared" si="361"/>
        <v>0.41111111111111115</v>
      </c>
    </row>
    <row r="3404" spans="1:37" x14ac:dyDescent="0.2">
      <c r="A3404" s="2">
        <v>2026</v>
      </c>
      <c r="B3404" s="2">
        <v>3</v>
      </c>
      <c r="C3404" s="2" t="s">
        <v>850</v>
      </c>
      <c r="D3404" s="2" t="s">
        <v>38</v>
      </c>
      <c r="E3404" s="2" t="s">
        <v>39</v>
      </c>
      <c r="F3404" s="2">
        <v>161685080</v>
      </c>
      <c r="G3404" s="2" t="s">
        <v>41</v>
      </c>
      <c r="H3404" s="2" t="s">
        <v>422</v>
      </c>
      <c r="J3404" s="2" t="s">
        <v>851</v>
      </c>
      <c r="K3404" s="2" t="s">
        <v>422</v>
      </c>
      <c r="L3404" s="2" t="s">
        <v>41</v>
      </c>
      <c r="N3404" s="2" t="s">
        <v>2692</v>
      </c>
      <c r="O3404" s="2" t="s">
        <v>43</v>
      </c>
      <c r="P3404" s="2" t="s">
        <v>55</v>
      </c>
      <c r="Q3404" s="2" t="s">
        <v>56</v>
      </c>
      <c r="R3404" s="2">
        <v>2</v>
      </c>
      <c r="S3404" s="2">
        <v>36</v>
      </c>
      <c r="T3404" s="2">
        <v>8.2800000000000011</v>
      </c>
      <c r="U3404" s="2">
        <v>44.28</v>
      </c>
      <c r="V3404" s="2">
        <f t="shared" si="365"/>
        <v>21.2</v>
      </c>
      <c r="W3404" s="5">
        <f t="shared" si="360"/>
        <v>0.41111111111111115</v>
      </c>
      <c r="Y3404" s="2" t="s">
        <v>3256</v>
      </c>
      <c r="Z3404" s="2" t="s">
        <v>46</v>
      </c>
      <c r="AA3404" s="2" t="s">
        <v>57</v>
      </c>
      <c r="AB3404" s="2" t="s">
        <v>58</v>
      </c>
      <c r="AE3404" s="2">
        <f t="shared" si="363"/>
        <v>0</v>
      </c>
      <c r="AF3404" s="2">
        <v>10.6</v>
      </c>
      <c r="AG3404" s="2">
        <v>18</v>
      </c>
      <c r="AI3404" s="2">
        <f t="shared" si="364"/>
        <v>0</v>
      </c>
      <c r="AJ3404" s="2">
        <f t="shared" si="362"/>
        <v>14.8</v>
      </c>
      <c r="AK3404" s="5">
        <f t="shared" si="361"/>
        <v>0.41111111111111115</v>
      </c>
    </row>
    <row r="3405" spans="1:37" x14ac:dyDescent="0.2">
      <c r="A3405" s="2">
        <v>2026</v>
      </c>
      <c r="B3405" s="2">
        <v>4</v>
      </c>
      <c r="C3405" s="2" t="s">
        <v>695</v>
      </c>
      <c r="D3405" s="2" t="s">
        <v>109</v>
      </c>
      <c r="E3405" s="2" t="s">
        <v>39</v>
      </c>
      <c r="F3405" s="2">
        <v>503589950</v>
      </c>
      <c r="G3405" s="2" t="s">
        <v>41</v>
      </c>
      <c r="H3405" s="2" t="s">
        <v>615</v>
      </c>
      <c r="I3405" s="2" t="s">
        <v>696</v>
      </c>
      <c r="J3405" s="2">
        <v>913036545</v>
      </c>
      <c r="K3405" s="2" t="s">
        <v>178</v>
      </c>
      <c r="L3405" s="2" t="s">
        <v>41</v>
      </c>
      <c r="N3405" s="2" t="s">
        <v>2635</v>
      </c>
      <c r="O3405" s="2" t="s">
        <v>43</v>
      </c>
      <c r="P3405" s="2" t="s">
        <v>213</v>
      </c>
      <c r="Q3405" s="2" t="s">
        <v>214</v>
      </c>
      <c r="R3405" s="2">
        <v>1</v>
      </c>
      <c r="S3405" s="2">
        <v>48</v>
      </c>
      <c r="T3405" s="2">
        <v>11.04</v>
      </c>
      <c r="U3405" s="2">
        <v>59.04</v>
      </c>
      <c r="W3405" s="5">
        <f t="shared" si="360"/>
        <v>1</v>
      </c>
      <c r="Y3405" s="2" t="s">
        <v>3256</v>
      </c>
      <c r="Z3405" s="2" t="s">
        <v>46</v>
      </c>
      <c r="AA3405" s="2" t="s">
        <v>47</v>
      </c>
      <c r="AB3405" s="2" t="s">
        <v>48</v>
      </c>
      <c r="AE3405" s="2">
        <f t="shared" si="363"/>
        <v>0</v>
      </c>
      <c r="AI3405" s="2">
        <f t="shared" si="364"/>
        <v>0</v>
      </c>
      <c r="AJ3405" s="2">
        <f t="shared" si="362"/>
        <v>48</v>
      </c>
      <c r="AK3405" s="5">
        <f t="shared" si="361"/>
        <v>1</v>
      </c>
    </row>
    <row r="3406" spans="1:37" x14ac:dyDescent="0.2">
      <c r="A3406" s="2">
        <v>2026</v>
      </c>
      <c r="B3406" s="2">
        <v>3</v>
      </c>
      <c r="C3406" s="2" t="s">
        <v>1409</v>
      </c>
      <c r="D3406" s="2" t="s">
        <v>38</v>
      </c>
      <c r="E3406" s="2" t="s">
        <v>39</v>
      </c>
      <c r="F3406" s="2">
        <v>509014313</v>
      </c>
      <c r="G3406" s="2" t="s">
        <v>40</v>
      </c>
      <c r="H3406" s="2" t="s">
        <v>3246</v>
      </c>
      <c r="I3406" s="2" t="s">
        <v>3245</v>
      </c>
      <c r="J3406" s="2">
        <v>913814877</v>
      </c>
      <c r="K3406" s="2" t="s">
        <v>202</v>
      </c>
      <c r="L3406" s="2" t="s">
        <v>81</v>
      </c>
      <c r="N3406" s="2" t="s">
        <v>3243</v>
      </c>
      <c r="O3406" s="2" t="s">
        <v>43</v>
      </c>
      <c r="P3406" s="2" t="s">
        <v>55</v>
      </c>
      <c r="Q3406" s="2" t="s">
        <v>56</v>
      </c>
      <c r="R3406" s="2">
        <v>3</v>
      </c>
      <c r="S3406" s="2">
        <v>54</v>
      </c>
      <c r="T3406" s="2">
        <v>12.42</v>
      </c>
      <c r="U3406" s="2">
        <v>66.42</v>
      </c>
      <c r="V3406" s="2">
        <f t="shared" ref="V3406:V3412" si="366">10.6*R3406</f>
        <v>31.799999999999997</v>
      </c>
      <c r="W3406" s="5">
        <f t="shared" si="360"/>
        <v>0.41111111111111115</v>
      </c>
      <c r="Y3406" s="2" t="s">
        <v>3256</v>
      </c>
      <c r="Z3406" s="2" t="s">
        <v>46</v>
      </c>
      <c r="AA3406" s="2" t="s">
        <v>57</v>
      </c>
      <c r="AB3406" s="2" t="s">
        <v>58</v>
      </c>
      <c r="AE3406" s="2">
        <f t="shared" si="363"/>
        <v>0</v>
      </c>
      <c r="AF3406" s="2">
        <v>10.6</v>
      </c>
      <c r="AG3406" s="2">
        <v>18</v>
      </c>
      <c r="AI3406" s="2">
        <f t="shared" si="364"/>
        <v>0</v>
      </c>
      <c r="AJ3406" s="2">
        <f t="shared" si="362"/>
        <v>22.200000000000003</v>
      </c>
      <c r="AK3406" s="5">
        <f t="shared" si="361"/>
        <v>0.41111111111111115</v>
      </c>
    </row>
    <row r="3407" spans="1:37" x14ac:dyDescent="0.2">
      <c r="A3407" s="2">
        <v>2026</v>
      </c>
      <c r="B3407" s="2">
        <v>3</v>
      </c>
      <c r="C3407" s="2" t="s">
        <v>512</v>
      </c>
      <c r="O3407" s="2" t="s">
        <v>43</v>
      </c>
      <c r="P3407" s="2" t="s">
        <v>55</v>
      </c>
      <c r="Q3407" s="2" t="s">
        <v>56</v>
      </c>
      <c r="R3407" s="2">
        <v>4</v>
      </c>
      <c r="S3407" s="2">
        <v>64</v>
      </c>
      <c r="T3407" s="2">
        <v>14.72</v>
      </c>
      <c r="U3407" s="2">
        <v>78.72</v>
      </c>
      <c r="V3407" s="2">
        <f t="shared" si="366"/>
        <v>42.4</v>
      </c>
      <c r="W3407" s="5">
        <f t="shared" ref="W3407:W3425" si="367">(S3407-V3407)/S3407</f>
        <v>0.33750000000000002</v>
      </c>
      <c r="Y3407" s="2" t="s">
        <v>3256</v>
      </c>
      <c r="Z3407" s="2" t="s">
        <v>46</v>
      </c>
      <c r="AA3407" s="2" t="s">
        <v>57</v>
      </c>
      <c r="AB3407" s="2" t="s">
        <v>58</v>
      </c>
      <c r="AE3407" s="2">
        <f t="shared" si="363"/>
        <v>0</v>
      </c>
      <c r="AF3407" s="2">
        <v>10.6</v>
      </c>
      <c r="AG3407" s="2">
        <v>18</v>
      </c>
      <c r="AI3407" s="2">
        <f t="shared" si="364"/>
        <v>0</v>
      </c>
      <c r="AJ3407" s="2">
        <f t="shared" si="362"/>
        <v>21.6</v>
      </c>
      <c r="AK3407" s="5">
        <f t="shared" ref="AK3407:AK3425" si="368">(S3407-V3407)/S3407</f>
        <v>0.33750000000000002</v>
      </c>
    </row>
    <row r="3408" spans="1:37" x14ac:dyDescent="0.2">
      <c r="A3408" s="2">
        <v>2026</v>
      </c>
      <c r="B3408" s="2">
        <v>3</v>
      </c>
      <c r="C3408" s="2" t="s">
        <v>871</v>
      </c>
      <c r="D3408" s="2" t="s">
        <v>38</v>
      </c>
      <c r="F3408" s="2">
        <v>517724308</v>
      </c>
      <c r="H3408" s="2" t="s">
        <v>178</v>
      </c>
      <c r="K3408" s="2" t="s">
        <v>178</v>
      </c>
      <c r="L3408" s="2" t="s">
        <v>41</v>
      </c>
      <c r="N3408" s="2" t="s">
        <v>2693</v>
      </c>
      <c r="O3408" s="2" t="s">
        <v>43</v>
      </c>
      <c r="P3408" s="2" t="s">
        <v>55</v>
      </c>
      <c r="Q3408" s="2" t="s">
        <v>56</v>
      </c>
      <c r="R3408" s="2">
        <v>1</v>
      </c>
      <c r="S3408" s="2">
        <v>18</v>
      </c>
      <c r="T3408" s="2">
        <v>4.1400000000000006</v>
      </c>
      <c r="U3408" s="2">
        <v>22.14</v>
      </c>
      <c r="V3408" s="2">
        <f t="shared" si="366"/>
        <v>10.6</v>
      </c>
      <c r="W3408" s="5">
        <f t="shared" si="367"/>
        <v>0.41111111111111115</v>
      </c>
      <c r="Y3408" s="2" t="s">
        <v>3256</v>
      </c>
      <c r="Z3408" s="2" t="s">
        <v>46</v>
      </c>
      <c r="AA3408" s="2" t="s">
        <v>57</v>
      </c>
      <c r="AB3408" s="2" t="s">
        <v>58</v>
      </c>
      <c r="AE3408" s="2">
        <f t="shared" si="363"/>
        <v>0</v>
      </c>
      <c r="AF3408" s="2">
        <v>10.6</v>
      </c>
      <c r="AG3408" s="2">
        <v>18</v>
      </c>
      <c r="AI3408" s="2">
        <f t="shared" si="364"/>
        <v>0</v>
      </c>
      <c r="AJ3408" s="2">
        <f t="shared" si="362"/>
        <v>7.4</v>
      </c>
      <c r="AK3408" s="5">
        <f t="shared" si="368"/>
        <v>0.41111111111111115</v>
      </c>
    </row>
    <row r="3409" spans="1:37" x14ac:dyDescent="0.2">
      <c r="A3409" s="2">
        <v>2026</v>
      </c>
      <c r="B3409" s="2">
        <v>3</v>
      </c>
      <c r="C3409" s="2" t="s">
        <v>896</v>
      </c>
      <c r="D3409" s="2" t="s">
        <v>109</v>
      </c>
      <c r="E3409" s="2" t="s">
        <v>39</v>
      </c>
      <c r="F3409" s="2">
        <v>507216970</v>
      </c>
      <c r="G3409" s="2" t="s">
        <v>41</v>
      </c>
      <c r="H3409" s="2" t="s">
        <v>897</v>
      </c>
      <c r="I3409" s="2" t="s">
        <v>898</v>
      </c>
      <c r="K3409" s="2" t="s">
        <v>100</v>
      </c>
      <c r="L3409" s="2" t="s">
        <v>41</v>
      </c>
      <c r="N3409" s="2" t="s">
        <v>2705</v>
      </c>
      <c r="O3409" s="2" t="s">
        <v>43</v>
      </c>
      <c r="P3409" s="2" t="s">
        <v>55</v>
      </c>
      <c r="Q3409" s="2" t="s">
        <v>56</v>
      </c>
      <c r="R3409" s="2">
        <v>10</v>
      </c>
      <c r="S3409" s="2">
        <v>150</v>
      </c>
      <c r="T3409" s="2">
        <v>34.5</v>
      </c>
      <c r="U3409" s="2">
        <v>184.5</v>
      </c>
      <c r="V3409" s="2">
        <f t="shared" si="366"/>
        <v>106</v>
      </c>
      <c r="W3409" s="5">
        <f t="shared" si="367"/>
        <v>0.29333333333333333</v>
      </c>
      <c r="Y3409" s="2" t="s">
        <v>3256</v>
      </c>
      <c r="Z3409" s="2" t="s">
        <v>46</v>
      </c>
      <c r="AA3409" s="2" t="s">
        <v>57</v>
      </c>
      <c r="AB3409" s="2" t="s">
        <v>58</v>
      </c>
      <c r="AE3409" s="2">
        <f t="shared" si="363"/>
        <v>0</v>
      </c>
      <c r="AF3409" s="2">
        <v>10.6</v>
      </c>
      <c r="AG3409" s="2">
        <v>18</v>
      </c>
      <c r="AI3409" s="2">
        <f t="shared" si="364"/>
        <v>0</v>
      </c>
      <c r="AJ3409" s="2">
        <f t="shared" si="362"/>
        <v>44</v>
      </c>
      <c r="AK3409" s="5">
        <f t="shared" si="368"/>
        <v>0.29333333333333333</v>
      </c>
    </row>
    <row r="3410" spans="1:37" x14ac:dyDescent="0.2">
      <c r="A3410" s="2">
        <v>2026</v>
      </c>
      <c r="B3410" s="2">
        <v>3</v>
      </c>
      <c r="C3410" s="2" t="s">
        <v>611</v>
      </c>
      <c r="D3410" s="2" t="s">
        <v>109</v>
      </c>
      <c r="E3410" s="2" t="s">
        <v>39</v>
      </c>
      <c r="F3410" s="2">
        <v>504822187</v>
      </c>
      <c r="G3410" s="2" t="s">
        <v>110</v>
      </c>
      <c r="H3410" s="2" t="s">
        <v>612</v>
      </c>
      <c r="I3410" s="2" t="s">
        <v>613</v>
      </c>
      <c r="J3410" s="2">
        <v>966216853</v>
      </c>
      <c r="K3410" s="2" t="s">
        <v>465</v>
      </c>
      <c r="O3410" s="2" t="s">
        <v>43</v>
      </c>
      <c r="P3410" s="2" t="s">
        <v>55</v>
      </c>
      <c r="Q3410" s="2" t="s">
        <v>56</v>
      </c>
      <c r="R3410" s="2">
        <v>10</v>
      </c>
      <c r="S3410" s="2">
        <v>145</v>
      </c>
      <c r="T3410" s="2">
        <v>33.35</v>
      </c>
      <c r="U3410" s="2">
        <v>178.35</v>
      </c>
      <c r="V3410" s="2">
        <f t="shared" si="366"/>
        <v>106</v>
      </c>
      <c r="W3410" s="5">
        <f t="shared" si="367"/>
        <v>0.26896551724137929</v>
      </c>
      <c r="Y3410" s="2" t="s">
        <v>3256</v>
      </c>
      <c r="Z3410" s="2" t="s">
        <v>46</v>
      </c>
      <c r="AA3410" s="2" t="s">
        <v>57</v>
      </c>
      <c r="AB3410" s="2" t="s">
        <v>58</v>
      </c>
      <c r="AE3410" s="2">
        <f t="shared" si="363"/>
        <v>0</v>
      </c>
      <c r="AF3410" s="2">
        <v>10.6</v>
      </c>
      <c r="AG3410" s="2">
        <v>18</v>
      </c>
      <c r="AI3410" s="2">
        <f t="shared" si="364"/>
        <v>0</v>
      </c>
      <c r="AJ3410" s="2">
        <f t="shared" si="362"/>
        <v>39</v>
      </c>
      <c r="AK3410" s="5">
        <f t="shared" si="368"/>
        <v>0.26896551724137929</v>
      </c>
    </row>
    <row r="3411" spans="1:37" x14ac:dyDescent="0.2">
      <c r="A3411" s="2">
        <v>2026</v>
      </c>
      <c r="B3411" s="2">
        <v>3</v>
      </c>
      <c r="C3411" s="2" t="s">
        <v>924</v>
      </c>
      <c r="D3411" s="2" t="s">
        <v>758</v>
      </c>
      <c r="E3411" s="2" t="s">
        <v>925</v>
      </c>
      <c r="F3411" s="2">
        <v>505973960</v>
      </c>
      <c r="G3411" s="2" t="s">
        <v>40</v>
      </c>
      <c r="H3411" s="2" t="s">
        <v>157</v>
      </c>
      <c r="I3411" s="2" t="s">
        <v>926</v>
      </c>
      <c r="K3411" s="2" t="s">
        <v>100</v>
      </c>
      <c r="L3411" s="2" t="s">
        <v>81</v>
      </c>
      <c r="N3411" s="2" t="s">
        <v>2706</v>
      </c>
      <c r="O3411" s="2" t="s">
        <v>43</v>
      </c>
      <c r="P3411" s="2" t="s">
        <v>55</v>
      </c>
      <c r="Q3411" s="2" t="s">
        <v>56</v>
      </c>
      <c r="R3411" s="2">
        <v>1</v>
      </c>
      <c r="S3411" s="2">
        <v>18</v>
      </c>
      <c r="T3411" s="2">
        <v>4.1400000000000006</v>
      </c>
      <c r="U3411" s="2">
        <v>22.14</v>
      </c>
      <c r="V3411" s="2">
        <f t="shared" si="366"/>
        <v>10.6</v>
      </c>
      <c r="W3411" s="5">
        <f t="shared" si="367"/>
        <v>0.41111111111111115</v>
      </c>
      <c r="Y3411" s="2" t="s">
        <v>3256</v>
      </c>
      <c r="Z3411" s="2" t="s">
        <v>46</v>
      </c>
      <c r="AA3411" s="2" t="s">
        <v>57</v>
      </c>
      <c r="AB3411" s="2" t="s">
        <v>58</v>
      </c>
      <c r="AE3411" s="2">
        <f t="shared" si="363"/>
        <v>0</v>
      </c>
      <c r="AF3411" s="2">
        <v>10.6</v>
      </c>
      <c r="AG3411" s="2">
        <v>18</v>
      </c>
      <c r="AI3411" s="2">
        <f t="shared" si="364"/>
        <v>0</v>
      </c>
      <c r="AJ3411" s="2">
        <f t="shared" si="362"/>
        <v>7.4</v>
      </c>
      <c r="AK3411" s="5">
        <f t="shared" si="368"/>
        <v>0.41111111111111115</v>
      </c>
    </row>
    <row r="3412" spans="1:37" x14ac:dyDescent="0.2">
      <c r="A3412" s="2">
        <v>2026</v>
      </c>
      <c r="B3412" s="2">
        <v>3</v>
      </c>
      <c r="C3412" s="2" t="s">
        <v>1322</v>
      </c>
      <c r="D3412" s="2" t="s">
        <v>38</v>
      </c>
      <c r="E3412" s="2" t="s">
        <v>39</v>
      </c>
      <c r="F3412" s="2">
        <v>509512739</v>
      </c>
      <c r="G3412" s="2" t="s">
        <v>41</v>
      </c>
      <c r="H3412" s="2" t="s">
        <v>178</v>
      </c>
      <c r="I3412" s="2" t="s">
        <v>1323</v>
      </c>
      <c r="K3412" s="2" t="s">
        <v>178</v>
      </c>
      <c r="L3412" s="2" t="s">
        <v>41</v>
      </c>
      <c r="N3412" s="2" t="s">
        <v>2698</v>
      </c>
      <c r="O3412" s="2" t="s">
        <v>43</v>
      </c>
      <c r="P3412" s="2" t="s">
        <v>55</v>
      </c>
      <c r="Q3412" s="2" t="s">
        <v>56</v>
      </c>
      <c r="R3412" s="2">
        <v>2</v>
      </c>
      <c r="S3412" s="2">
        <v>36</v>
      </c>
      <c r="T3412" s="2">
        <v>8.2800000000000011</v>
      </c>
      <c r="U3412" s="2">
        <v>44.28</v>
      </c>
      <c r="V3412" s="2">
        <f t="shared" si="366"/>
        <v>21.2</v>
      </c>
      <c r="W3412" s="5">
        <f t="shared" si="367"/>
        <v>0.41111111111111115</v>
      </c>
      <c r="Y3412" s="2" t="s">
        <v>3256</v>
      </c>
      <c r="Z3412" s="2" t="s">
        <v>46</v>
      </c>
      <c r="AA3412" s="2" t="s">
        <v>57</v>
      </c>
      <c r="AB3412" s="2" t="s">
        <v>58</v>
      </c>
      <c r="AE3412" s="2">
        <f t="shared" si="363"/>
        <v>0</v>
      </c>
      <c r="AF3412" s="2">
        <v>10.6</v>
      </c>
      <c r="AG3412" s="2">
        <v>18</v>
      </c>
      <c r="AI3412" s="2">
        <f t="shared" si="364"/>
        <v>0</v>
      </c>
      <c r="AJ3412" s="2">
        <f t="shared" si="362"/>
        <v>14.8</v>
      </c>
      <c r="AK3412" s="5">
        <f t="shared" si="368"/>
        <v>0.41111111111111115</v>
      </c>
    </row>
    <row r="3413" spans="1:37" x14ac:dyDescent="0.2">
      <c r="A3413" s="2">
        <v>2026</v>
      </c>
      <c r="B3413" s="2">
        <v>3</v>
      </c>
      <c r="C3413" s="2" t="s">
        <v>871</v>
      </c>
      <c r="D3413" s="2" t="s">
        <v>38</v>
      </c>
      <c r="F3413" s="2">
        <v>517724308</v>
      </c>
      <c r="H3413" s="2" t="s">
        <v>178</v>
      </c>
      <c r="K3413" s="2" t="s">
        <v>178</v>
      </c>
      <c r="L3413" s="2" t="s">
        <v>41</v>
      </c>
      <c r="N3413" s="2" t="s">
        <v>2707</v>
      </c>
      <c r="O3413" s="2" t="s">
        <v>43</v>
      </c>
      <c r="P3413" s="2" t="s">
        <v>675</v>
      </c>
      <c r="Q3413" s="2" t="s">
        <v>676</v>
      </c>
      <c r="R3413" s="2">
        <v>1</v>
      </c>
      <c r="S3413" s="2">
        <v>60</v>
      </c>
      <c r="T3413" s="2">
        <v>13.8</v>
      </c>
      <c r="U3413" s="2">
        <v>73.8</v>
      </c>
      <c r="V3413" s="2">
        <v>29.27</v>
      </c>
      <c r="W3413" s="5">
        <f t="shared" si="367"/>
        <v>0.51216666666666666</v>
      </c>
      <c r="Y3413" s="2" t="s">
        <v>3256</v>
      </c>
      <c r="Z3413" s="2" t="s">
        <v>46</v>
      </c>
      <c r="AA3413" s="2" t="s">
        <v>57</v>
      </c>
      <c r="AB3413" s="2" t="s">
        <v>58</v>
      </c>
      <c r="AE3413" s="2">
        <f t="shared" si="363"/>
        <v>0</v>
      </c>
      <c r="AF3413" s="2">
        <v>29.27</v>
      </c>
      <c r="AG3413" s="2">
        <v>60</v>
      </c>
      <c r="AI3413" s="2">
        <f t="shared" si="364"/>
        <v>0</v>
      </c>
      <c r="AJ3413" s="2">
        <f t="shared" si="362"/>
        <v>30.73</v>
      </c>
      <c r="AK3413" s="5">
        <f t="shared" si="368"/>
        <v>0.51216666666666666</v>
      </c>
    </row>
    <row r="3414" spans="1:37" x14ac:dyDescent="0.2">
      <c r="A3414" s="2">
        <v>2026</v>
      </c>
      <c r="B3414" s="2">
        <v>3</v>
      </c>
      <c r="C3414" s="2" t="s">
        <v>1322</v>
      </c>
      <c r="D3414" s="2" t="s">
        <v>38</v>
      </c>
      <c r="E3414" s="2" t="s">
        <v>39</v>
      </c>
      <c r="F3414" s="2">
        <v>509512739</v>
      </c>
      <c r="G3414" s="2" t="s">
        <v>41</v>
      </c>
      <c r="H3414" s="2" t="s">
        <v>178</v>
      </c>
      <c r="I3414" s="2" t="s">
        <v>1323</v>
      </c>
      <c r="K3414" s="2" t="s">
        <v>178</v>
      </c>
      <c r="L3414" s="2" t="s">
        <v>41</v>
      </c>
      <c r="N3414" s="2" t="s">
        <v>2708</v>
      </c>
      <c r="O3414" s="2" t="s">
        <v>43</v>
      </c>
      <c r="P3414" s="2" t="s">
        <v>675</v>
      </c>
      <c r="Q3414" s="2" t="s">
        <v>676</v>
      </c>
      <c r="R3414" s="2">
        <v>1</v>
      </c>
      <c r="S3414" s="2">
        <v>60</v>
      </c>
      <c r="T3414" s="2">
        <v>13.8</v>
      </c>
      <c r="U3414" s="2">
        <v>73.8</v>
      </c>
      <c r="V3414" s="2">
        <v>29.27</v>
      </c>
      <c r="W3414" s="5">
        <f t="shared" si="367"/>
        <v>0.51216666666666666</v>
      </c>
      <c r="Y3414" s="2" t="s">
        <v>3256</v>
      </c>
      <c r="Z3414" s="2" t="s">
        <v>46</v>
      </c>
      <c r="AA3414" s="2" t="s">
        <v>57</v>
      </c>
      <c r="AB3414" s="2" t="s">
        <v>58</v>
      </c>
      <c r="AE3414" s="2">
        <f t="shared" si="363"/>
        <v>0</v>
      </c>
      <c r="AF3414" s="2">
        <v>29.27</v>
      </c>
      <c r="AG3414" s="2">
        <v>60</v>
      </c>
      <c r="AI3414" s="2">
        <f t="shared" si="364"/>
        <v>0</v>
      </c>
      <c r="AJ3414" s="2">
        <f t="shared" si="362"/>
        <v>30.73</v>
      </c>
      <c r="AK3414" s="5">
        <f t="shared" si="368"/>
        <v>0.51216666666666666</v>
      </c>
    </row>
    <row r="3415" spans="1:37" x14ac:dyDescent="0.2">
      <c r="A3415" s="2">
        <v>2026</v>
      </c>
      <c r="B3415" s="2">
        <v>3</v>
      </c>
      <c r="C3415" s="2" t="s">
        <v>333</v>
      </c>
      <c r="D3415" s="2" t="s">
        <v>109</v>
      </c>
      <c r="E3415" s="2" t="s">
        <v>39</v>
      </c>
      <c r="F3415" s="2">
        <v>513493557</v>
      </c>
      <c r="G3415" s="2" t="s">
        <v>41</v>
      </c>
      <c r="H3415" s="2" t="s">
        <v>280</v>
      </c>
      <c r="I3415" s="2" t="s">
        <v>334</v>
      </c>
      <c r="K3415" s="2" t="s">
        <v>178</v>
      </c>
      <c r="L3415" s="2" t="s">
        <v>41</v>
      </c>
      <c r="N3415" s="2" t="s">
        <v>2709</v>
      </c>
      <c r="O3415" s="2" t="s">
        <v>43</v>
      </c>
      <c r="P3415" s="2" t="s">
        <v>59</v>
      </c>
      <c r="Q3415" s="2" t="s">
        <v>60</v>
      </c>
      <c r="R3415" s="2">
        <v>500</v>
      </c>
      <c r="S3415" s="2">
        <v>65</v>
      </c>
      <c r="T3415" s="2">
        <v>14.95</v>
      </c>
      <c r="U3415" s="2">
        <v>79.95</v>
      </c>
      <c r="V3415" s="2">
        <f>0.0914*R3415</f>
        <v>45.699999999999996</v>
      </c>
      <c r="W3415" s="5">
        <f t="shared" si="367"/>
        <v>0.29692307692307701</v>
      </c>
      <c r="Y3415" s="2" t="s">
        <v>3256</v>
      </c>
      <c r="Z3415" s="2" t="s">
        <v>46</v>
      </c>
      <c r="AA3415" s="2" t="s">
        <v>61</v>
      </c>
      <c r="AB3415" s="2" t="s">
        <v>58</v>
      </c>
      <c r="AE3415" s="2">
        <f t="shared" si="363"/>
        <v>0</v>
      </c>
      <c r="AF3415" s="2">
        <v>9.14</v>
      </c>
      <c r="AG3415" s="2">
        <v>16</v>
      </c>
      <c r="AI3415" s="2">
        <f t="shared" si="364"/>
        <v>0</v>
      </c>
      <c r="AJ3415" s="2">
        <f t="shared" si="362"/>
        <v>19.300000000000004</v>
      </c>
      <c r="AK3415" s="5">
        <f t="shared" si="368"/>
        <v>0.29692307692307701</v>
      </c>
    </row>
    <row r="3416" spans="1:37" x14ac:dyDescent="0.2">
      <c r="A3416" s="2">
        <v>2026</v>
      </c>
      <c r="B3416" s="2">
        <v>3</v>
      </c>
      <c r="C3416" s="2" t="s">
        <v>2538</v>
      </c>
      <c r="D3416" s="2" t="s">
        <v>758</v>
      </c>
      <c r="E3416" s="2" t="s">
        <v>39</v>
      </c>
      <c r="F3416" s="2">
        <v>515570354</v>
      </c>
      <c r="G3416" s="2" t="s">
        <v>110</v>
      </c>
      <c r="H3416" s="2" t="s">
        <v>2539</v>
      </c>
      <c r="I3416" s="2" t="s">
        <v>2540</v>
      </c>
      <c r="J3416" s="2">
        <v>967032538</v>
      </c>
      <c r="K3416" s="2" t="s">
        <v>400</v>
      </c>
      <c r="L3416" s="2" t="s">
        <v>110</v>
      </c>
      <c r="N3416" s="2" t="s">
        <v>2661</v>
      </c>
      <c r="O3416" s="2" t="s">
        <v>43</v>
      </c>
      <c r="P3416" s="2" t="s">
        <v>59</v>
      </c>
      <c r="Q3416" s="2" t="s">
        <v>60</v>
      </c>
      <c r="R3416" s="2">
        <v>100</v>
      </c>
      <c r="S3416" s="2">
        <v>15</v>
      </c>
      <c r="T3416" s="2">
        <v>3.45</v>
      </c>
      <c r="U3416" s="2">
        <v>18.45</v>
      </c>
      <c r="V3416" s="2">
        <f>0.0914*R3416</f>
        <v>9.1399999999999988</v>
      </c>
      <c r="W3416" s="5">
        <f t="shared" si="367"/>
        <v>0.39066666666666677</v>
      </c>
      <c r="Y3416" s="2" t="s">
        <v>3256</v>
      </c>
      <c r="Z3416" s="2" t="s">
        <v>46</v>
      </c>
      <c r="AA3416" s="2" t="s">
        <v>61</v>
      </c>
      <c r="AB3416" s="2" t="s">
        <v>58</v>
      </c>
      <c r="AE3416" s="2">
        <f t="shared" si="363"/>
        <v>0</v>
      </c>
      <c r="AF3416" s="2">
        <v>9.14</v>
      </c>
      <c r="AG3416" s="2">
        <v>16</v>
      </c>
      <c r="AI3416" s="2">
        <f t="shared" si="364"/>
        <v>0</v>
      </c>
      <c r="AJ3416" s="2">
        <f t="shared" si="362"/>
        <v>5.8600000000000012</v>
      </c>
      <c r="AK3416" s="5">
        <f t="shared" si="368"/>
        <v>0.39066666666666677</v>
      </c>
    </row>
    <row r="3417" spans="1:37" x14ac:dyDescent="0.2">
      <c r="A3417" s="2">
        <v>2026</v>
      </c>
      <c r="B3417" s="2">
        <v>3</v>
      </c>
      <c r="C3417" s="2" t="s">
        <v>37</v>
      </c>
      <c r="D3417" s="2" t="s">
        <v>38</v>
      </c>
      <c r="E3417" s="2" t="s">
        <v>39</v>
      </c>
      <c r="G3417" s="2" t="s">
        <v>40</v>
      </c>
      <c r="O3417" s="2" t="s">
        <v>43</v>
      </c>
      <c r="P3417" s="2" t="s">
        <v>62</v>
      </c>
      <c r="Q3417" s="2" t="s">
        <v>63</v>
      </c>
      <c r="R3417" s="2">
        <v>2200</v>
      </c>
      <c r="S3417" s="2">
        <v>246</v>
      </c>
      <c r="T3417" s="2">
        <v>56.580000000000013</v>
      </c>
      <c r="U3417" s="2">
        <v>302.58</v>
      </c>
      <c r="V3417" s="2">
        <f>0.082*R3417</f>
        <v>180.4</v>
      </c>
      <c r="W3417" s="5">
        <f t="shared" si="367"/>
        <v>0.26666666666666666</v>
      </c>
      <c r="Y3417" s="2" t="s">
        <v>3256</v>
      </c>
      <c r="Z3417" s="2" t="s">
        <v>46</v>
      </c>
      <c r="AA3417" s="2" t="s">
        <v>61</v>
      </c>
      <c r="AB3417" s="2" t="s">
        <v>58</v>
      </c>
      <c r="AE3417" s="2">
        <f t="shared" si="363"/>
        <v>0</v>
      </c>
      <c r="AF3417" s="2">
        <v>8.1999999999999993</v>
      </c>
      <c r="AG3417" s="2">
        <v>13</v>
      </c>
      <c r="AI3417" s="2">
        <f t="shared" si="364"/>
        <v>0</v>
      </c>
      <c r="AJ3417" s="2">
        <f t="shared" si="362"/>
        <v>65.599999999999994</v>
      </c>
      <c r="AK3417" s="5">
        <f t="shared" si="368"/>
        <v>0.26666666666666666</v>
      </c>
    </row>
    <row r="3418" spans="1:37" x14ac:dyDescent="0.2">
      <c r="A3418" s="2">
        <v>2026</v>
      </c>
      <c r="B3418" s="2">
        <v>3</v>
      </c>
      <c r="C3418" s="2" t="s">
        <v>2704</v>
      </c>
      <c r="O3418" s="2" t="s">
        <v>43</v>
      </c>
      <c r="P3418" s="2" t="s">
        <v>62</v>
      </c>
      <c r="Q3418" s="2" t="s">
        <v>63</v>
      </c>
      <c r="R3418" s="2">
        <v>100</v>
      </c>
      <c r="S3418" s="2">
        <v>13</v>
      </c>
      <c r="T3418" s="2">
        <v>2.99</v>
      </c>
      <c r="U3418" s="2">
        <v>15.99</v>
      </c>
      <c r="V3418" s="2">
        <f>0.082*R3418</f>
        <v>8.2000000000000011</v>
      </c>
      <c r="W3418" s="5">
        <f t="shared" si="367"/>
        <v>0.36923076923076914</v>
      </c>
      <c r="Y3418" s="2" t="s">
        <v>3256</v>
      </c>
      <c r="Z3418" s="2" t="s">
        <v>46</v>
      </c>
      <c r="AA3418" s="2" t="s">
        <v>61</v>
      </c>
      <c r="AB3418" s="2" t="s">
        <v>58</v>
      </c>
      <c r="AE3418" s="2">
        <f t="shared" si="363"/>
        <v>0</v>
      </c>
      <c r="AF3418" s="2">
        <v>8.1999999999999993</v>
      </c>
      <c r="AG3418" s="2">
        <v>13</v>
      </c>
      <c r="AI3418" s="2">
        <f t="shared" si="364"/>
        <v>0</v>
      </c>
      <c r="AJ3418" s="2">
        <f t="shared" si="362"/>
        <v>4.7999999999999989</v>
      </c>
      <c r="AK3418" s="5">
        <f t="shared" si="368"/>
        <v>0.36923076923076914</v>
      </c>
    </row>
    <row r="3419" spans="1:37" x14ac:dyDescent="0.2">
      <c r="A3419" s="2">
        <v>2026</v>
      </c>
      <c r="B3419" s="2">
        <v>3</v>
      </c>
      <c r="C3419" s="2" t="s">
        <v>2538</v>
      </c>
      <c r="D3419" s="2" t="s">
        <v>758</v>
      </c>
      <c r="E3419" s="2" t="s">
        <v>39</v>
      </c>
      <c r="F3419" s="2">
        <v>515570354</v>
      </c>
      <c r="G3419" s="2" t="s">
        <v>110</v>
      </c>
      <c r="H3419" s="2" t="s">
        <v>2539</v>
      </c>
      <c r="I3419" s="2" t="s">
        <v>2540</v>
      </c>
      <c r="J3419" s="2">
        <v>967032538</v>
      </c>
      <c r="K3419" s="2" t="s">
        <v>400</v>
      </c>
      <c r="L3419" s="2" t="s">
        <v>110</v>
      </c>
      <c r="O3419" s="2" t="s">
        <v>43</v>
      </c>
      <c r="P3419" s="2" t="s">
        <v>62</v>
      </c>
      <c r="Q3419" s="2" t="s">
        <v>63</v>
      </c>
      <c r="R3419" s="2">
        <v>100</v>
      </c>
      <c r="S3419" s="2">
        <v>13</v>
      </c>
      <c r="T3419" s="2">
        <v>2.99</v>
      </c>
      <c r="U3419" s="2">
        <v>15.99</v>
      </c>
      <c r="V3419" s="2">
        <f>0.082*R3419</f>
        <v>8.2000000000000011</v>
      </c>
      <c r="W3419" s="5">
        <f t="shared" si="367"/>
        <v>0.36923076923076914</v>
      </c>
      <c r="Y3419" s="2" t="s">
        <v>3256</v>
      </c>
      <c r="Z3419" s="2" t="s">
        <v>46</v>
      </c>
      <c r="AA3419" s="2" t="s">
        <v>61</v>
      </c>
      <c r="AB3419" s="2" t="s">
        <v>58</v>
      </c>
      <c r="AE3419" s="2">
        <f t="shared" si="363"/>
        <v>0</v>
      </c>
      <c r="AF3419" s="2">
        <v>8.1999999999999993</v>
      </c>
      <c r="AG3419" s="2">
        <v>13</v>
      </c>
      <c r="AI3419" s="2">
        <f t="shared" si="364"/>
        <v>0</v>
      </c>
      <c r="AJ3419" s="2">
        <f t="shared" si="362"/>
        <v>4.7999999999999989</v>
      </c>
      <c r="AK3419" s="5">
        <f t="shared" si="368"/>
        <v>0.36923076923076914</v>
      </c>
    </row>
    <row r="3420" spans="1:37" x14ac:dyDescent="0.2">
      <c r="A3420" s="2">
        <v>2026</v>
      </c>
      <c r="B3420" s="2">
        <v>3</v>
      </c>
      <c r="C3420" s="2" t="s">
        <v>1017</v>
      </c>
      <c r="L3420" s="2" t="s">
        <v>41</v>
      </c>
      <c r="O3420" s="2" t="s">
        <v>43</v>
      </c>
      <c r="P3420" s="2" t="s">
        <v>62</v>
      </c>
      <c r="Q3420" s="2" t="s">
        <v>63</v>
      </c>
      <c r="R3420" s="2">
        <v>100</v>
      </c>
      <c r="S3420" s="2">
        <v>13</v>
      </c>
      <c r="T3420" s="2">
        <v>2.99</v>
      </c>
      <c r="U3420" s="2">
        <v>15.99</v>
      </c>
      <c r="V3420" s="2">
        <f>0.082*R3420</f>
        <v>8.2000000000000011</v>
      </c>
      <c r="W3420" s="5">
        <f t="shared" si="367"/>
        <v>0.36923076923076914</v>
      </c>
      <c r="Y3420" s="2" t="s">
        <v>3256</v>
      </c>
      <c r="Z3420" s="2" t="s">
        <v>46</v>
      </c>
      <c r="AA3420" s="2" t="s">
        <v>61</v>
      </c>
      <c r="AB3420" s="2" t="s">
        <v>58</v>
      </c>
      <c r="AE3420" s="2">
        <f t="shared" si="363"/>
        <v>0</v>
      </c>
      <c r="AF3420" s="2">
        <v>8.1999999999999993</v>
      </c>
      <c r="AG3420" s="2">
        <v>13</v>
      </c>
      <c r="AI3420" s="2">
        <f t="shared" si="364"/>
        <v>0</v>
      </c>
      <c r="AJ3420" s="2">
        <f t="shared" si="362"/>
        <v>4.7999999999999989</v>
      </c>
      <c r="AK3420" s="5">
        <f t="shared" si="368"/>
        <v>0.36923076923076914</v>
      </c>
    </row>
    <row r="3421" spans="1:37" x14ac:dyDescent="0.2">
      <c r="A3421" s="2">
        <v>2026</v>
      </c>
      <c r="B3421" s="2">
        <v>3</v>
      </c>
      <c r="C3421" s="2" t="s">
        <v>787</v>
      </c>
      <c r="D3421" s="2" t="s">
        <v>38</v>
      </c>
      <c r="E3421" s="2" t="s">
        <v>39</v>
      </c>
      <c r="F3421" s="2">
        <v>510219675</v>
      </c>
      <c r="G3421" s="2" t="s">
        <v>40</v>
      </c>
      <c r="H3421" s="2" t="s">
        <v>788</v>
      </c>
      <c r="I3421" s="2" t="s">
        <v>789</v>
      </c>
      <c r="J3421" s="2">
        <v>917341136</v>
      </c>
      <c r="K3421" s="2" t="s">
        <v>100</v>
      </c>
      <c r="L3421" s="2" t="s">
        <v>81</v>
      </c>
      <c r="O3421" s="2" t="s">
        <v>43</v>
      </c>
      <c r="P3421" s="2" t="s">
        <v>62</v>
      </c>
      <c r="Q3421" s="2" t="s">
        <v>63</v>
      </c>
      <c r="R3421" s="2">
        <v>100</v>
      </c>
      <c r="S3421" s="2">
        <v>13</v>
      </c>
      <c r="T3421" s="2">
        <v>2.99</v>
      </c>
      <c r="U3421" s="2">
        <v>15.99</v>
      </c>
      <c r="V3421" s="2">
        <f>0.082*R3421</f>
        <v>8.2000000000000011</v>
      </c>
      <c r="W3421" s="5">
        <f t="shared" si="367"/>
        <v>0.36923076923076914</v>
      </c>
      <c r="Y3421" s="2" t="s">
        <v>3256</v>
      </c>
      <c r="Z3421" s="2" t="s">
        <v>46</v>
      </c>
      <c r="AA3421" s="2" t="s">
        <v>61</v>
      </c>
      <c r="AB3421" s="2" t="s">
        <v>58</v>
      </c>
      <c r="AE3421" s="2">
        <f t="shared" si="363"/>
        <v>0</v>
      </c>
      <c r="AF3421" s="2">
        <v>8.1999999999999993</v>
      </c>
      <c r="AG3421" s="2">
        <v>13</v>
      </c>
      <c r="AI3421" s="2">
        <f t="shared" si="364"/>
        <v>0</v>
      </c>
      <c r="AJ3421" s="2">
        <f t="shared" si="362"/>
        <v>4.7999999999999989</v>
      </c>
      <c r="AK3421" s="5">
        <f t="shared" si="368"/>
        <v>0.36923076923076914</v>
      </c>
    </row>
    <row r="3422" spans="1:37" x14ac:dyDescent="0.2">
      <c r="A3422" s="2">
        <v>2026</v>
      </c>
      <c r="B3422" s="2">
        <v>4</v>
      </c>
      <c r="C3422" s="2" t="s">
        <v>695</v>
      </c>
      <c r="D3422" s="2" t="s">
        <v>109</v>
      </c>
      <c r="E3422" s="2" t="s">
        <v>39</v>
      </c>
      <c r="F3422" s="2">
        <v>503589950</v>
      </c>
      <c r="G3422" s="2" t="s">
        <v>41</v>
      </c>
      <c r="H3422" s="2" t="s">
        <v>615</v>
      </c>
      <c r="I3422" s="2" t="s">
        <v>696</v>
      </c>
      <c r="J3422" s="2">
        <v>913036545</v>
      </c>
      <c r="K3422" s="2" t="s">
        <v>178</v>
      </c>
      <c r="L3422" s="2" t="s">
        <v>41</v>
      </c>
      <c r="N3422" s="2" t="s">
        <v>2635</v>
      </c>
      <c r="O3422" s="2" t="s">
        <v>43</v>
      </c>
      <c r="P3422" s="2" t="s">
        <v>233</v>
      </c>
      <c r="Q3422" s="2" t="s">
        <v>234</v>
      </c>
      <c r="R3422" s="2">
        <v>2</v>
      </c>
      <c r="S3422" s="2">
        <v>25.2</v>
      </c>
      <c r="T3422" s="2">
        <v>5.7960000000000003</v>
      </c>
      <c r="U3422" s="2">
        <v>30.995999999999999</v>
      </c>
      <c r="V3422" s="2">
        <f>5.9067*R3422</f>
        <v>11.8134</v>
      </c>
      <c r="W3422" s="5">
        <f t="shared" si="367"/>
        <v>0.53121428571428575</v>
      </c>
      <c r="Y3422" s="2" t="s">
        <v>3256</v>
      </c>
      <c r="Z3422" s="2" t="s">
        <v>46</v>
      </c>
      <c r="AA3422" s="2" t="s">
        <v>57</v>
      </c>
      <c r="AB3422" s="2" t="s">
        <v>58</v>
      </c>
      <c r="AE3422" s="2">
        <f t="shared" si="363"/>
        <v>0</v>
      </c>
      <c r="AF3422" s="2">
        <v>5.9066999999999998</v>
      </c>
      <c r="AG3422" s="2">
        <v>12.6</v>
      </c>
      <c r="AI3422" s="2">
        <f t="shared" si="364"/>
        <v>0</v>
      </c>
      <c r="AJ3422" s="2">
        <f t="shared" si="362"/>
        <v>13.3866</v>
      </c>
      <c r="AK3422" s="5">
        <f t="shared" si="368"/>
        <v>0.53121428571428575</v>
      </c>
    </row>
    <row r="3423" spans="1:37" x14ac:dyDescent="0.2">
      <c r="A3423" s="2">
        <v>2026</v>
      </c>
      <c r="B3423" s="2">
        <v>3</v>
      </c>
      <c r="C3423" s="2" t="s">
        <v>512</v>
      </c>
      <c r="O3423" s="2" t="s">
        <v>43</v>
      </c>
      <c r="P3423" s="2" t="s">
        <v>62</v>
      </c>
      <c r="Q3423" s="2" t="s">
        <v>63</v>
      </c>
      <c r="R3423" s="2">
        <v>200</v>
      </c>
      <c r="S3423" s="2">
        <v>24</v>
      </c>
      <c r="T3423" s="2">
        <v>5.52</v>
      </c>
      <c r="U3423" s="2">
        <v>29.52</v>
      </c>
      <c r="V3423" s="2">
        <f>0.082*R3423</f>
        <v>16.400000000000002</v>
      </c>
      <c r="W3423" s="5">
        <f t="shared" si="367"/>
        <v>0.3166666666666666</v>
      </c>
      <c r="Y3423" s="2" t="s">
        <v>3256</v>
      </c>
      <c r="Z3423" s="2" t="s">
        <v>46</v>
      </c>
      <c r="AA3423" s="2" t="s">
        <v>61</v>
      </c>
      <c r="AB3423" s="2" t="s">
        <v>58</v>
      </c>
      <c r="AE3423" s="2">
        <f t="shared" si="363"/>
        <v>0</v>
      </c>
      <c r="AF3423" s="2">
        <v>8.1999999999999993</v>
      </c>
      <c r="AG3423" s="2">
        <v>13</v>
      </c>
      <c r="AI3423" s="2">
        <f t="shared" si="364"/>
        <v>0</v>
      </c>
      <c r="AJ3423" s="2">
        <f t="shared" si="362"/>
        <v>7.5999999999999979</v>
      </c>
      <c r="AK3423" s="5">
        <f t="shared" si="368"/>
        <v>0.3166666666666666</v>
      </c>
    </row>
    <row r="3424" spans="1:37" x14ac:dyDescent="0.2">
      <c r="A3424" s="2">
        <v>2026</v>
      </c>
      <c r="B3424" s="2">
        <v>3</v>
      </c>
      <c r="C3424" s="2" t="s">
        <v>513</v>
      </c>
      <c r="D3424" s="2" t="s">
        <v>38</v>
      </c>
      <c r="E3424" s="2" t="s">
        <v>39</v>
      </c>
      <c r="F3424" s="2">
        <v>513405020</v>
      </c>
      <c r="G3424" s="2" t="s">
        <v>40</v>
      </c>
      <c r="H3424" s="2" t="s">
        <v>157</v>
      </c>
      <c r="I3424" s="2" t="s">
        <v>514</v>
      </c>
      <c r="J3424" s="2">
        <v>919770433</v>
      </c>
      <c r="K3424" s="2" t="s">
        <v>100</v>
      </c>
      <c r="L3424" s="2" t="s">
        <v>81</v>
      </c>
      <c r="O3424" s="2" t="s">
        <v>43</v>
      </c>
      <c r="P3424" s="2" t="s">
        <v>62</v>
      </c>
      <c r="Q3424" s="2" t="s">
        <v>63</v>
      </c>
      <c r="R3424" s="2">
        <v>200</v>
      </c>
      <c r="S3424" s="2">
        <v>26</v>
      </c>
      <c r="T3424" s="2">
        <v>5.98</v>
      </c>
      <c r="U3424" s="2">
        <v>31.98</v>
      </c>
      <c r="V3424" s="2">
        <f>0.082*R3424</f>
        <v>16.400000000000002</v>
      </c>
      <c r="W3424" s="5">
        <f t="shared" si="367"/>
        <v>0.36923076923076914</v>
      </c>
      <c r="Y3424" s="2" t="s">
        <v>3256</v>
      </c>
      <c r="Z3424" s="2" t="s">
        <v>46</v>
      </c>
      <c r="AA3424" s="2" t="s">
        <v>61</v>
      </c>
      <c r="AB3424" s="2" t="s">
        <v>58</v>
      </c>
      <c r="AE3424" s="2">
        <f t="shared" si="363"/>
        <v>0</v>
      </c>
      <c r="AF3424" s="2">
        <v>8.1999999999999993</v>
      </c>
      <c r="AG3424" s="2">
        <v>13</v>
      </c>
      <c r="AI3424" s="2">
        <f t="shared" si="364"/>
        <v>0</v>
      </c>
      <c r="AJ3424" s="2">
        <f t="shared" si="362"/>
        <v>9.5999999999999979</v>
      </c>
      <c r="AK3424" s="5">
        <f t="shared" si="368"/>
        <v>0.36923076923076914</v>
      </c>
    </row>
    <row r="3425" spans="1:37" x14ac:dyDescent="0.2">
      <c r="A3425" s="2">
        <v>2026</v>
      </c>
      <c r="B3425" s="2">
        <v>3</v>
      </c>
      <c r="C3425" s="2" t="s">
        <v>586</v>
      </c>
      <c r="L3425" s="2" t="s">
        <v>41</v>
      </c>
      <c r="O3425" s="2" t="s">
        <v>43</v>
      </c>
      <c r="P3425" s="2" t="s">
        <v>62</v>
      </c>
      <c r="Q3425" s="2" t="s">
        <v>63</v>
      </c>
      <c r="R3425" s="2">
        <v>1000</v>
      </c>
      <c r="S3425" s="2">
        <v>110</v>
      </c>
      <c r="T3425" s="2">
        <v>25.3</v>
      </c>
      <c r="U3425" s="2">
        <v>135.30000000000001</v>
      </c>
      <c r="V3425" s="2">
        <f>0.082*R3425</f>
        <v>82</v>
      </c>
      <c r="W3425" s="5">
        <f t="shared" si="367"/>
        <v>0.25454545454545452</v>
      </c>
      <c r="Y3425" s="2" t="s">
        <v>3256</v>
      </c>
      <c r="Z3425" s="2" t="s">
        <v>46</v>
      </c>
      <c r="AA3425" s="2" t="s">
        <v>61</v>
      </c>
      <c r="AB3425" s="2" t="s">
        <v>58</v>
      </c>
      <c r="AE3425" s="2">
        <f t="shared" si="363"/>
        <v>0</v>
      </c>
      <c r="AF3425" s="2">
        <v>8.1999999999999993</v>
      </c>
      <c r="AG3425" s="2">
        <v>13</v>
      </c>
      <c r="AI3425" s="2">
        <f t="shared" si="364"/>
        <v>0</v>
      </c>
      <c r="AJ3425" s="2">
        <f t="shared" si="362"/>
        <v>28</v>
      </c>
      <c r="AK3425" s="5">
        <f t="shared" si="368"/>
        <v>0.25454545454545452</v>
      </c>
    </row>
    <row r="3426" spans="1:37" x14ac:dyDescent="0.2">
      <c r="A3426" s="2">
        <v>2026</v>
      </c>
      <c r="B3426" s="2">
        <v>3</v>
      </c>
      <c r="C3426" s="2" t="s">
        <v>602</v>
      </c>
      <c r="D3426" s="2" t="s">
        <v>38</v>
      </c>
      <c r="E3426" s="2" t="s">
        <v>39</v>
      </c>
      <c r="F3426" s="2">
        <v>509680364</v>
      </c>
      <c r="G3426" s="2" t="s">
        <v>41</v>
      </c>
      <c r="H3426" s="2" t="s">
        <v>603</v>
      </c>
      <c r="I3426" s="2" t="s">
        <v>604</v>
      </c>
      <c r="J3426" s="2">
        <v>919603867</v>
      </c>
      <c r="K3426" s="2" t="s">
        <v>605</v>
      </c>
      <c r="L3426" s="2" t="s">
        <v>41</v>
      </c>
      <c r="N3426" s="2" t="s">
        <v>2697</v>
      </c>
      <c r="O3426" s="2" t="s">
        <v>43</v>
      </c>
      <c r="P3426" s="2" t="s">
        <v>62</v>
      </c>
      <c r="Q3426" s="2" t="s">
        <v>63</v>
      </c>
      <c r="R3426" s="2">
        <v>200</v>
      </c>
      <c r="S3426" s="2">
        <v>0</v>
      </c>
      <c r="T3426" s="2">
        <v>0</v>
      </c>
      <c r="U3426" s="2">
        <v>0</v>
      </c>
      <c r="V3426" s="2">
        <f>0.082*R3426</f>
        <v>16.400000000000002</v>
      </c>
      <c r="W3426" s="5">
        <f>IF(S3426=0,IF(V3426&gt;0,-100%,0%),(S3426-V3426)/S3426)</f>
        <v>-1</v>
      </c>
      <c r="Y3426" s="2" t="s">
        <v>3256</v>
      </c>
      <c r="Z3426" s="2" t="s">
        <v>46</v>
      </c>
      <c r="AA3426" s="2" t="s">
        <v>61</v>
      </c>
      <c r="AB3426" s="2" t="s">
        <v>58</v>
      </c>
      <c r="AE3426" s="2">
        <f t="shared" si="363"/>
        <v>0</v>
      </c>
      <c r="AF3426" s="2">
        <v>8.1999999999999993</v>
      </c>
      <c r="AG3426" s="2">
        <v>13</v>
      </c>
      <c r="AI3426" s="2">
        <f t="shared" si="364"/>
        <v>0</v>
      </c>
      <c r="AJ3426" s="2">
        <f t="shared" si="362"/>
        <v>-16.400000000000002</v>
      </c>
      <c r="AK3426" s="5">
        <f>IF(S3426=0,IF(V3426&gt;0,-100%,0%),(S3426-V3426)/S3426)</f>
        <v>-1</v>
      </c>
    </row>
    <row r="3427" spans="1:37" x14ac:dyDescent="0.2">
      <c r="A3427" s="2">
        <v>2026</v>
      </c>
      <c r="B3427" s="2">
        <v>3</v>
      </c>
      <c r="C3427" s="2" t="s">
        <v>611</v>
      </c>
      <c r="D3427" s="2" t="s">
        <v>109</v>
      </c>
      <c r="E3427" s="2" t="s">
        <v>39</v>
      </c>
      <c r="F3427" s="2">
        <v>504822187</v>
      </c>
      <c r="G3427" s="2" t="s">
        <v>110</v>
      </c>
      <c r="H3427" s="2" t="s">
        <v>612</v>
      </c>
      <c r="I3427" s="2" t="s">
        <v>613</v>
      </c>
      <c r="J3427" s="2">
        <v>966216853</v>
      </c>
      <c r="K3427" s="2" t="s">
        <v>465</v>
      </c>
      <c r="O3427" s="2" t="s">
        <v>43</v>
      </c>
      <c r="P3427" s="2" t="s">
        <v>62</v>
      </c>
      <c r="Q3427" s="2" t="s">
        <v>63</v>
      </c>
      <c r="R3427" s="2">
        <v>1000</v>
      </c>
      <c r="S3427" s="2">
        <v>105</v>
      </c>
      <c r="T3427" s="2">
        <v>24.15</v>
      </c>
      <c r="U3427" s="2">
        <v>129.15</v>
      </c>
      <c r="V3427" s="2">
        <f>0.082*R3427</f>
        <v>82</v>
      </c>
      <c r="W3427" s="5">
        <f t="shared" ref="W3427:W3437" si="369">(S3427-V3427)/S3427</f>
        <v>0.21904761904761905</v>
      </c>
      <c r="Y3427" s="2" t="s">
        <v>3256</v>
      </c>
      <c r="Z3427" s="2" t="s">
        <v>46</v>
      </c>
      <c r="AA3427" s="2" t="s">
        <v>61</v>
      </c>
      <c r="AB3427" s="2" t="s">
        <v>58</v>
      </c>
      <c r="AE3427" s="2">
        <f t="shared" si="363"/>
        <v>0</v>
      </c>
      <c r="AF3427" s="2">
        <v>8.1999999999999993</v>
      </c>
      <c r="AG3427" s="2">
        <v>13</v>
      </c>
      <c r="AI3427" s="2">
        <f t="shared" si="364"/>
        <v>0</v>
      </c>
      <c r="AJ3427" s="2">
        <f t="shared" si="362"/>
        <v>23</v>
      </c>
      <c r="AK3427" s="5">
        <f t="shared" ref="AK3427:AK3437" si="370">(S3427-V3427)/S3427</f>
        <v>0.21904761904761905</v>
      </c>
    </row>
    <row r="3428" spans="1:37" x14ac:dyDescent="0.2">
      <c r="A3428" s="2">
        <v>2026</v>
      </c>
      <c r="B3428" s="2">
        <v>3</v>
      </c>
      <c r="C3428" s="2" t="s">
        <v>2704</v>
      </c>
      <c r="O3428" s="2" t="s">
        <v>43</v>
      </c>
      <c r="P3428" s="2" t="s">
        <v>255</v>
      </c>
      <c r="Q3428" s="2" t="s">
        <v>256</v>
      </c>
      <c r="R3428" s="2">
        <v>100</v>
      </c>
      <c r="S3428" s="2">
        <v>15</v>
      </c>
      <c r="T3428" s="2">
        <v>3.45</v>
      </c>
      <c r="U3428" s="2">
        <v>18.45</v>
      </c>
      <c r="W3428" s="5">
        <f t="shared" si="369"/>
        <v>1</v>
      </c>
      <c r="Y3428" s="2" t="s">
        <v>3256</v>
      </c>
      <c r="Z3428" s="2" t="s">
        <v>46</v>
      </c>
      <c r="AA3428" s="2" t="s">
        <v>61</v>
      </c>
      <c r="AB3428" s="2" t="s">
        <v>58</v>
      </c>
      <c r="AE3428" s="2">
        <f t="shared" si="363"/>
        <v>0</v>
      </c>
      <c r="AI3428" s="2">
        <f t="shared" si="364"/>
        <v>0</v>
      </c>
      <c r="AJ3428" s="2">
        <f t="shared" si="362"/>
        <v>15</v>
      </c>
      <c r="AK3428" s="5">
        <f t="shared" si="370"/>
        <v>1</v>
      </c>
    </row>
    <row r="3429" spans="1:37" x14ac:dyDescent="0.2">
      <c r="A3429" s="2">
        <v>2026</v>
      </c>
      <c r="B3429" s="2">
        <v>3</v>
      </c>
      <c r="C3429" s="2" t="s">
        <v>333</v>
      </c>
      <c r="D3429" s="2" t="s">
        <v>109</v>
      </c>
      <c r="E3429" s="2" t="s">
        <v>39</v>
      </c>
      <c r="F3429" s="2">
        <v>513493557</v>
      </c>
      <c r="G3429" s="2" t="s">
        <v>41</v>
      </c>
      <c r="H3429" s="2" t="s">
        <v>280</v>
      </c>
      <c r="I3429" s="2" t="s">
        <v>334</v>
      </c>
      <c r="K3429" s="2" t="s">
        <v>178</v>
      </c>
      <c r="L3429" s="2" t="s">
        <v>41</v>
      </c>
      <c r="O3429" s="2" t="s">
        <v>43</v>
      </c>
      <c r="P3429" s="2" t="s">
        <v>255</v>
      </c>
      <c r="Q3429" s="2" t="s">
        <v>256</v>
      </c>
      <c r="R3429" s="2">
        <v>500</v>
      </c>
      <c r="S3429" s="2">
        <v>65</v>
      </c>
      <c r="T3429" s="2">
        <v>14.95</v>
      </c>
      <c r="U3429" s="2">
        <v>79.95</v>
      </c>
      <c r="W3429" s="5">
        <f t="shared" si="369"/>
        <v>1</v>
      </c>
      <c r="Y3429" s="2" t="s">
        <v>3256</v>
      </c>
      <c r="Z3429" s="2" t="s">
        <v>46</v>
      </c>
      <c r="AA3429" s="2" t="s">
        <v>61</v>
      </c>
      <c r="AB3429" s="2" t="s">
        <v>58</v>
      </c>
      <c r="AE3429" s="2">
        <f t="shared" si="363"/>
        <v>0</v>
      </c>
      <c r="AI3429" s="2">
        <f t="shared" si="364"/>
        <v>0</v>
      </c>
      <c r="AJ3429" s="2">
        <f t="shared" si="362"/>
        <v>65</v>
      </c>
      <c r="AK3429" s="5">
        <f t="shared" si="370"/>
        <v>1</v>
      </c>
    </row>
    <row r="3430" spans="1:37" x14ac:dyDescent="0.2">
      <c r="A3430" s="2">
        <v>2026</v>
      </c>
      <c r="B3430" s="2">
        <v>3</v>
      </c>
      <c r="C3430" s="2" t="s">
        <v>988</v>
      </c>
      <c r="L3430" s="2" t="s">
        <v>41</v>
      </c>
      <c r="O3430" s="2" t="s">
        <v>43</v>
      </c>
      <c r="P3430" s="2" t="s">
        <v>255</v>
      </c>
      <c r="Q3430" s="2" t="s">
        <v>256</v>
      </c>
      <c r="R3430" s="2">
        <v>100</v>
      </c>
      <c r="S3430" s="2">
        <v>14</v>
      </c>
      <c r="T3430" s="2">
        <v>3.22</v>
      </c>
      <c r="U3430" s="2">
        <v>17.22</v>
      </c>
      <c r="W3430" s="5">
        <f t="shared" si="369"/>
        <v>1</v>
      </c>
      <c r="Y3430" s="2" t="s">
        <v>3256</v>
      </c>
      <c r="Z3430" s="2" t="s">
        <v>46</v>
      </c>
      <c r="AA3430" s="2" t="s">
        <v>61</v>
      </c>
      <c r="AB3430" s="2" t="s">
        <v>58</v>
      </c>
      <c r="AE3430" s="2">
        <f t="shared" si="363"/>
        <v>0</v>
      </c>
      <c r="AI3430" s="2">
        <f t="shared" si="364"/>
        <v>0</v>
      </c>
      <c r="AJ3430" s="2">
        <f t="shared" si="362"/>
        <v>14</v>
      </c>
      <c r="AK3430" s="5">
        <f t="shared" si="370"/>
        <v>1</v>
      </c>
    </row>
    <row r="3431" spans="1:37" x14ac:dyDescent="0.2">
      <c r="A3431" s="2">
        <v>2026</v>
      </c>
      <c r="B3431" s="2">
        <v>3</v>
      </c>
      <c r="C3431" s="2" t="s">
        <v>593</v>
      </c>
      <c r="D3431" s="2" t="s">
        <v>38</v>
      </c>
      <c r="E3431" s="2" t="s">
        <v>39</v>
      </c>
      <c r="F3431" s="2">
        <v>510339298</v>
      </c>
      <c r="G3431" s="2" t="s">
        <v>41</v>
      </c>
      <c r="H3431" s="2" t="s">
        <v>178</v>
      </c>
      <c r="I3431" s="2" t="s">
        <v>594</v>
      </c>
      <c r="K3431" s="2" t="s">
        <v>178</v>
      </c>
      <c r="L3431" s="2" t="s">
        <v>41</v>
      </c>
      <c r="O3431" s="2" t="s">
        <v>43</v>
      </c>
      <c r="P3431" s="2" t="s">
        <v>257</v>
      </c>
      <c r="Q3431" s="2" t="s">
        <v>258</v>
      </c>
      <c r="R3431" s="2">
        <v>2</v>
      </c>
      <c r="S3431" s="2">
        <v>6</v>
      </c>
      <c r="T3431" s="2">
        <v>1.38</v>
      </c>
      <c r="U3431" s="2">
        <v>7.38</v>
      </c>
      <c r="W3431" s="5">
        <f t="shared" si="369"/>
        <v>1</v>
      </c>
      <c r="Y3431" s="2" t="s">
        <v>3256</v>
      </c>
      <c r="Z3431" s="2" t="s">
        <v>46</v>
      </c>
      <c r="AA3431" s="2" t="s">
        <v>91</v>
      </c>
      <c r="AB3431" s="2" t="s">
        <v>58</v>
      </c>
      <c r="AE3431" s="2">
        <f t="shared" si="363"/>
        <v>0</v>
      </c>
      <c r="AI3431" s="2">
        <f t="shared" si="364"/>
        <v>0</v>
      </c>
      <c r="AJ3431" s="2">
        <f t="shared" si="362"/>
        <v>6</v>
      </c>
      <c r="AK3431" s="5">
        <f t="shared" si="370"/>
        <v>1</v>
      </c>
    </row>
    <row r="3432" spans="1:37" x14ac:dyDescent="0.2">
      <c r="A3432" s="2">
        <v>2026</v>
      </c>
      <c r="B3432" s="2">
        <v>3</v>
      </c>
      <c r="C3432" s="2" t="s">
        <v>511</v>
      </c>
      <c r="D3432" s="2" t="s">
        <v>38</v>
      </c>
      <c r="E3432" s="2" t="s">
        <v>39</v>
      </c>
      <c r="F3432" s="2">
        <v>514446170</v>
      </c>
      <c r="G3432" s="2" t="s">
        <v>41</v>
      </c>
      <c r="H3432" s="2" t="s">
        <v>178</v>
      </c>
      <c r="I3432" s="2" t="s">
        <v>3158</v>
      </c>
      <c r="K3432" s="2" t="s">
        <v>178</v>
      </c>
      <c r="L3432" s="2" t="s">
        <v>41</v>
      </c>
      <c r="N3432" s="2" t="s">
        <v>3166</v>
      </c>
      <c r="O3432" s="2" t="s">
        <v>43</v>
      </c>
      <c r="P3432" s="2" t="s">
        <v>163</v>
      </c>
      <c r="Q3432" s="2" t="s">
        <v>164</v>
      </c>
      <c r="R3432" s="2">
        <v>1</v>
      </c>
      <c r="S3432" s="2">
        <v>21</v>
      </c>
      <c r="T3432" s="2">
        <v>4.83</v>
      </c>
      <c r="U3432" s="2">
        <v>25.83</v>
      </c>
      <c r="W3432" s="5">
        <f t="shared" si="369"/>
        <v>1</v>
      </c>
      <c r="Y3432" s="2" t="s">
        <v>3256</v>
      </c>
      <c r="Z3432" s="2" t="s">
        <v>46</v>
      </c>
      <c r="AA3432" s="2" t="s">
        <v>47</v>
      </c>
      <c r="AB3432" s="2" t="s">
        <v>48</v>
      </c>
      <c r="AE3432" s="2">
        <f t="shared" si="363"/>
        <v>0</v>
      </c>
      <c r="AI3432" s="2">
        <f t="shared" si="364"/>
        <v>0</v>
      </c>
      <c r="AJ3432" s="2">
        <f t="shared" si="362"/>
        <v>21</v>
      </c>
      <c r="AK3432" s="5">
        <f t="shared" si="370"/>
        <v>1</v>
      </c>
    </row>
    <row r="3433" spans="1:37" x14ac:dyDescent="0.2">
      <c r="A3433" s="2">
        <v>2026</v>
      </c>
      <c r="B3433" s="2">
        <v>3</v>
      </c>
      <c r="C3433" s="2" t="s">
        <v>593</v>
      </c>
      <c r="D3433" s="2" t="s">
        <v>38</v>
      </c>
      <c r="E3433" s="2" t="s">
        <v>39</v>
      </c>
      <c r="F3433" s="2">
        <v>510339298</v>
      </c>
      <c r="G3433" s="2" t="s">
        <v>41</v>
      </c>
      <c r="H3433" s="2" t="s">
        <v>178</v>
      </c>
      <c r="I3433" s="2" t="s">
        <v>594</v>
      </c>
      <c r="K3433" s="2" t="s">
        <v>178</v>
      </c>
      <c r="L3433" s="2" t="s">
        <v>41</v>
      </c>
      <c r="O3433" s="2" t="s">
        <v>43</v>
      </c>
      <c r="P3433" s="2" t="s">
        <v>205</v>
      </c>
      <c r="Q3433" s="2" t="s">
        <v>206</v>
      </c>
      <c r="R3433" s="2">
        <v>2</v>
      </c>
      <c r="S3433" s="2">
        <v>4.8</v>
      </c>
      <c r="T3433" s="2">
        <v>1.1040000000000001</v>
      </c>
      <c r="U3433" s="2">
        <v>5.9039999999999999</v>
      </c>
      <c r="V3433" s="2">
        <f>1.832*R3433</f>
        <v>3.6640000000000001</v>
      </c>
      <c r="W3433" s="5">
        <f t="shared" si="369"/>
        <v>0.23666666666666661</v>
      </c>
      <c r="Y3433" s="2" t="s">
        <v>3256</v>
      </c>
      <c r="Z3433" s="2" t="s">
        <v>46</v>
      </c>
      <c r="AA3433" s="2" t="s">
        <v>61</v>
      </c>
      <c r="AB3433" s="2" t="s">
        <v>58</v>
      </c>
      <c r="AE3433" s="2">
        <f t="shared" si="363"/>
        <v>0</v>
      </c>
      <c r="AF3433" s="2">
        <v>1.8320000000000001</v>
      </c>
      <c r="AG3433" s="2">
        <v>2.4</v>
      </c>
      <c r="AI3433" s="2">
        <f t="shared" si="364"/>
        <v>0</v>
      </c>
      <c r="AJ3433" s="2">
        <f t="shared" si="362"/>
        <v>1.1359999999999997</v>
      </c>
      <c r="AK3433" s="5">
        <f t="shared" si="370"/>
        <v>0.23666666666666661</v>
      </c>
    </row>
    <row r="3434" spans="1:37" x14ac:dyDescent="0.2">
      <c r="A3434" s="2">
        <v>2026</v>
      </c>
      <c r="B3434" s="2">
        <v>3</v>
      </c>
      <c r="C3434" s="2" t="s">
        <v>579</v>
      </c>
      <c r="D3434" s="2" t="s">
        <v>38</v>
      </c>
      <c r="E3434" s="2" t="s">
        <v>39</v>
      </c>
      <c r="F3434" s="2">
        <v>504811029</v>
      </c>
      <c r="G3434" s="2" t="s">
        <v>41</v>
      </c>
      <c r="H3434" s="2" t="s">
        <v>178</v>
      </c>
      <c r="I3434" s="2" t="s">
        <v>580</v>
      </c>
      <c r="K3434" s="2" t="s">
        <v>178</v>
      </c>
      <c r="L3434" s="2" t="s">
        <v>41</v>
      </c>
      <c r="N3434" s="2" t="s">
        <v>2710</v>
      </c>
      <c r="O3434" s="2" t="s">
        <v>43</v>
      </c>
      <c r="P3434" s="2" t="s">
        <v>424</v>
      </c>
      <c r="Q3434" s="2" t="s">
        <v>425</v>
      </c>
      <c r="R3434" s="2">
        <v>20</v>
      </c>
      <c r="S3434" s="2">
        <v>144</v>
      </c>
      <c r="T3434" s="2">
        <v>33.119999999999997</v>
      </c>
      <c r="U3434" s="2">
        <v>177.12</v>
      </c>
      <c r="V3434" s="2">
        <f>3.7556*R3434</f>
        <v>75.111999999999995</v>
      </c>
      <c r="W3434" s="5">
        <f t="shared" si="369"/>
        <v>0.47838888888888892</v>
      </c>
      <c r="Y3434" s="2" t="s">
        <v>3256</v>
      </c>
      <c r="Z3434" s="2" t="s">
        <v>46</v>
      </c>
      <c r="AA3434" s="2" t="s">
        <v>61</v>
      </c>
      <c r="AB3434" s="2" t="s">
        <v>58</v>
      </c>
      <c r="AE3434" s="2">
        <f t="shared" si="363"/>
        <v>0</v>
      </c>
      <c r="AF3434" s="2">
        <v>3.7555999999999998</v>
      </c>
      <c r="AG3434" s="2">
        <v>7.2</v>
      </c>
      <c r="AI3434" s="2">
        <f t="shared" si="364"/>
        <v>0</v>
      </c>
      <c r="AJ3434" s="2">
        <f t="shared" si="362"/>
        <v>68.888000000000005</v>
      </c>
      <c r="AK3434" s="5">
        <f t="shared" si="370"/>
        <v>0.47838888888888892</v>
      </c>
    </row>
    <row r="3435" spans="1:37" x14ac:dyDescent="0.2">
      <c r="A3435" s="2">
        <v>2026</v>
      </c>
      <c r="B3435" s="2">
        <v>3</v>
      </c>
      <c r="C3435" s="2" t="s">
        <v>37</v>
      </c>
      <c r="D3435" s="2" t="s">
        <v>38</v>
      </c>
      <c r="E3435" s="2" t="s">
        <v>39</v>
      </c>
      <c r="G3435" s="2" t="s">
        <v>40</v>
      </c>
      <c r="O3435" s="2" t="s">
        <v>43</v>
      </c>
      <c r="P3435" s="2" t="s">
        <v>64</v>
      </c>
      <c r="Q3435" s="2" t="s">
        <v>65</v>
      </c>
      <c r="R3435" s="2">
        <v>20</v>
      </c>
      <c r="S3435" s="2">
        <v>36</v>
      </c>
      <c r="T3435" s="2">
        <v>8.2800000000000011</v>
      </c>
      <c r="U3435" s="2">
        <v>44.28</v>
      </c>
      <c r="V3435" s="2">
        <f>0.8561*R3435</f>
        <v>17.122</v>
      </c>
      <c r="W3435" s="5">
        <f t="shared" si="369"/>
        <v>0.5243888888888889</v>
      </c>
      <c r="Y3435" s="2" t="s">
        <v>3256</v>
      </c>
      <c r="Z3435" s="2" t="s">
        <v>46</v>
      </c>
      <c r="AA3435" s="2" t="s">
        <v>61</v>
      </c>
      <c r="AB3435" s="2" t="s">
        <v>58</v>
      </c>
      <c r="AE3435" s="2">
        <f t="shared" si="363"/>
        <v>0</v>
      </c>
      <c r="AF3435" s="2">
        <v>0.85609999999999997</v>
      </c>
      <c r="AG3435" s="2">
        <v>1.8</v>
      </c>
      <c r="AI3435" s="2">
        <f t="shared" si="364"/>
        <v>0</v>
      </c>
      <c r="AJ3435" s="2">
        <f t="shared" si="362"/>
        <v>18.878</v>
      </c>
      <c r="AK3435" s="5">
        <f t="shared" si="370"/>
        <v>0.5243888888888889</v>
      </c>
    </row>
    <row r="3436" spans="1:37" x14ac:dyDescent="0.2">
      <c r="A3436" s="2">
        <v>2026</v>
      </c>
      <c r="B3436" s="2">
        <v>3</v>
      </c>
      <c r="C3436" s="2" t="s">
        <v>579</v>
      </c>
      <c r="D3436" s="2" t="s">
        <v>38</v>
      </c>
      <c r="E3436" s="2" t="s">
        <v>39</v>
      </c>
      <c r="F3436" s="2">
        <v>504811029</v>
      </c>
      <c r="G3436" s="2" t="s">
        <v>41</v>
      </c>
      <c r="H3436" s="2" t="s">
        <v>178</v>
      </c>
      <c r="I3436" s="2" t="s">
        <v>580</v>
      </c>
      <c r="K3436" s="2" t="s">
        <v>178</v>
      </c>
      <c r="L3436" s="2" t="s">
        <v>41</v>
      </c>
      <c r="O3436" s="2" t="s">
        <v>43</v>
      </c>
      <c r="P3436" s="2" t="s">
        <v>335</v>
      </c>
      <c r="Q3436" s="2" t="s">
        <v>336</v>
      </c>
      <c r="R3436" s="2">
        <v>40</v>
      </c>
      <c r="S3436" s="2">
        <v>120</v>
      </c>
      <c r="T3436" s="2">
        <v>27.6</v>
      </c>
      <c r="U3436" s="2">
        <v>147.6</v>
      </c>
      <c r="V3436" s="2">
        <f>1.1122*R3436</f>
        <v>44.488</v>
      </c>
      <c r="W3436" s="5">
        <f t="shared" si="369"/>
        <v>0.62926666666666664</v>
      </c>
      <c r="Y3436" s="2" t="s">
        <v>3256</v>
      </c>
      <c r="Z3436" s="2" t="s">
        <v>46</v>
      </c>
      <c r="AA3436" s="2" t="s">
        <v>61</v>
      </c>
      <c r="AB3436" s="2" t="s">
        <v>58</v>
      </c>
      <c r="AE3436" s="2">
        <f t="shared" si="363"/>
        <v>0</v>
      </c>
      <c r="AF3436" s="2">
        <v>1.1122000000000001</v>
      </c>
      <c r="AG3436" s="2">
        <v>3</v>
      </c>
      <c r="AI3436" s="2">
        <f t="shared" si="364"/>
        <v>0</v>
      </c>
      <c r="AJ3436" s="2">
        <f t="shared" si="362"/>
        <v>75.512</v>
      </c>
      <c r="AK3436" s="5">
        <f t="shared" si="370"/>
        <v>0.62926666666666664</v>
      </c>
    </row>
    <row r="3437" spans="1:37" x14ac:dyDescent="0.2">
      <c r="A3437" s="2">
        <v>2026</v>
      </c>
      <c r="B3437" s="2">
        <v>3</v>
      </c>
      <c r="C3437" s="2" t="s">
        <v>699</v>
      </c>
      <c r="D3437" s="2" t="s">
        <v>38</v>
      </c>
      <c r="E3437" s="2" t="s">
        <v>39</v>
      </c>
      <c r="F3437" s="2">
        <v>508574358</v>
      </c>
      <c r="G3437" s="2" t="s">
        <v>41</v>
      </c>
      <c r="H3437" s="2" t="s">
        <v>328</v>
      </c>
      <c r="I3437" s="2" t="s">
        <v>701</v>
      </c>
      <c r="J3437" s="2">
        <v>917295518</v>
      </c>
      <c r="K3437" s="2" t="s">
        <v>178</v>
      </c>
      <c r="L3437" s="2" t="s">
        <v>41</v>
      </c>
      <c r="O3437" s="2" t="s">
        <v>43</v>
      </c>
      <c r="P3437" s="2" t="s">
        <v>584</v>
      </c>
      <c r="Q3437" s="2" t="s">
        <v>585</v>
      </c>
      <c r="R3437" s="2">
        <v>20</v>
      </c>
      <c r="S3437" s="2">
        <v>60</v>
      </c>
      <c r="T3437" s="2">
        <v>13.8</v>
      </c>
      <c r="U3437" s="2">
        <v>73.8</v>
      </c>
      <c r="V3437" s="2">
        <f>1.4114*R3437</f>
        <v>28.228000000000002</v>
      </c>
      <c r="W3437" s="5">
        <f t="shared" si="369"/>
        <v>0.5295333333333333</v>
      </c>
      <c r="Y3437" s="2" t="s">
        <v>3256</v>
      </c>
      <c r="Z3437" s="2" t="s">
        <v>46</v>
      </c>
      <c r="AA3437" s="2" t="s">
        <v>61</v>
      </c>
      <c r="AB3437" s="2" t="s">
        <v>58</v>
      </c>
      <c r="AE3437" s="2">
        <f t="shared" si="363"/>
        <v>0</v>
      </c>
      <c r="AF3437" s="2">
        <v>1.4114</v>
      </c>
      <c r="AG3437" s="2">
        <v>3</v>
      </c>
      <c r="AI3437" s="2">
        <f t="shared" si="364"/>
        <v>0</v>
      </c>
      <c r="AJ3437" s="2">
        <f t="shared" si="362"/>
        <v>31.771999999999998</v>
      </c>
      <c r="AK3437" s="5">
        <f t="shared" si="370"/>
        <v>0.5295333333333333</v>
      </c>
    </row>
    <row r="3438" spans="1:37" x14ac:dyDescent="0.2">
      <c r="A3438" s="2">
        <v>2026</v>
      </c>
      <c r="B3438" s="2">
        <v>3</v>
      </c>
      <c r="C3438" s="2" t="s">
        <v>602</v>
      </c>
      <c r="D3438" s="2" t="s">
        <v>38</v>
      </c>
      <c r="E3438" s="2" t="s">
        <v>39</v>
      </c>
      <c r="F3438" s="2">
        <v>509680364</v>
      </c>
      <c r="G3438" s="2" t="s">
        <v>41</v>
      </c>
      <c r="H3438" s="2" t="s">
        <v>603</v>
      </c>
      <c r="I3438" s="2" t="s">
        <v>604</v>
      </c>
      <c r="J3438" s="2">
        <v>919603867</v>
      </c>
      <c r="K3438" s="2" t="s">
        <v>605</v>
      </c>
      <c r="L3438" s="2" t="s">
        <v>41</v>
      </c>
      <c r="N3438" s="2" t="s">
        <v>2697</v>
      </c>
      <c r="O3438" s="2" t="s">
        <v>43</v>
      </c>
      <c r="P3438" s="2" t="s">
        <v>507</v>
      </c>
      <c r="Q3438" s="2" t="s">
        <v>508</v>
      </c>
      <c r="R3438" s="2">
        <v>12</v>
      </c>
      <c r="S3438" s="2">
        <v>0</v>
      </c>
      <c r="T3438" s="2">
        <v>0</v>
      </c>
      <c r="U3438" s="2">
        <v>0</v>
      </c>
      <c r="W3438" s="5">
        <f>IF(S3438=0,IF(V3438&gt;0,-100%,0%),(S3438-V3438)/S3438)</f>
        <v>0</v>
      </c>
      <c r="Y3438" s="2" t="s">
        <v>3256</v>
      </c>
      <c r="Z3438" s="2" t="s">
        <v>46</v>
      </c>
      <c r="AA3438" s="2" t="s">
        <v>61</v>
      </c>
      <c r="AB3438" s="2" t="s">
        <v>58</v>
      </c>
      <c r="AE3438" s="2">
        <f t="shared" si="363"/>
        <v>0</v>
      </c>
      <c r="AI3438" s="2">
        <f t="shared" si="364"/>
        <v>0</v>
      </c>
      <c r="AJ3438" s="2">
        <f t="shared" si="362"/>
        <v>0</v>
      </c>
      <c r="AK3438" s="5">
        <f>IF(S3438=0,IF(V3438&gt;0,-100%,0%),(S3438-V3438)/S3438)</f>
        <v>0</v>
      </c>
    </row>
    <row r="3439" spans="1:37" x14ac:dyDescent="0.2">
      <c r="A3439" s="2">
        <v>2026</v>
      </c>
      <c r="B3439" s="2">
        <v>3</v>
      </c>
      <c r="C3439" s="2" t="s">
        <v>771</v>
      </c>
      <c r="D3439" s="2" t="s">
        <v>38</v>
      </c>
      <c r="F3439" s="2">
        <v>513686231</v>
      </c>
      <c r="G3439" s="2" t="s">
        <v>291</v>
      </c>
      <c r="H3439" s="2" t="s">
        <v>772</v>
      </c>
      <c r="I3439" s="2" t="s">
        <v>773</v>
      </c>
      <c r="K3439" s="2" t="s">
        <v>484</v>
      </c>
      <c r="L3439" s="2" t="s">
        <v>81</v>
      </c>
      <c r="N3439" s="2" t="s">
        <v>2711</v>
      </c>
      <c r="O3439" s="2" t="s">
        <v>43</v>
      </c>
      <c r="P3439" s="2" t="s">
        <v>165</v>
      </c>
      <c r="Q3439" s="2" t="s">
        <v>166</v>
      </c>
      <c r="R3439" s="2">
        <v>8</v>
      </c>
      <c r="S3439" s="2">
        <v>116.4</v>
      </c>
      <c r="T3439" s="2">
        <v>26.771999999999998</v>
      </c>
      <c r="U3439" s="2">
        <v>143.172</v>
      </c>
      <c r="V3439" s="2">
        <f>7.9612*R3439</f>
        <v>63.689599999999999</v>
      </c>
      <c r="W3439" s="5">
        <f t="shared" ref="W3439:W3458" si="371">(S3439-V3439)/S3439</f>
        <v>0.45283848797250864</v>
      </c>
      <c r="Y3439" s="2" t="s">
        <v>3256</v>
      </c>
      <c r="Z3439" s="2" t="s">
        <v>46</v>
      </c>
      <c r="AA3439" s="2" t="s">
        <v>68</v>
      </c>
      <c r="AB3439" s="2" t="s">
        <v>58</v>
      </c>
      <c r="AE3439" s="2">
        <f t="shared" si="363"/>
        <v>0</v>
      </c>
      <c r="AF3439" s="2">
        <v>7.9611999999999998</v>
      </c>
      <c r="AG3439" s="2">
        <v>14.4</v>
      </c>
      <c r="AI3439" s="2">
        <f t="shared" si="364"/>
        <v>0</v>
      </c>
      <c r="AJ3439" s="2">
        <f t="shared" si="362"/>
        <v>52.710400000000007</v>
      </c>
      <c r="AK3439" s="5">
        <f t="shared" ref="AK3439:AK3502" si="372">(S3439-V3439)/S3439</f>
        <v>0.45283848797250864</v>
      </c>
    </row>
    <row r="3440" spans="1:37" x14ac:dyDescent="0.2">
      <c r="A3440" s="2">
        <v>2026</v>
      </c>
      <c r="B3440" s="2">
        <v>3</v>
      </c>
      <c r="C3440" s="2" t="s">
        <v>2538</v>
      </c>
      <c r="D3440" s="2" t="s">
        <v>758</v>
      </c>
      <c r="E3440" s="2" t="s">
        <v>39</v>
      </c>
      <c r="F3440" s="2">
        <v>515570354</v>
      </c>
      <c r="G3440" s="2" t="s">
        <v>110</v>
      </c>
      <c r="H3440" s="2" t="s">
        <v>2539</v>
      </c>
      <c r="I3440" s="2" t="s">
        <v>2540</v>
      </c>
      <c r="J3440" s="2">
        <v>967032538</v>
      </c>
      <c r="K3440" s="2" t="s">
        <v>400</v>
      </c>
      <c r="L3440" s="2" t="s">
        <v>110</v>
      </c>
      <c r="O3440" s="2" t="s">
        <v>43</v>
      </c>
      <c r="P3440" s="2" t="s">
        <v>66</v>
      </c>
      <c r="Q3440" s="2" t="s">
        <v>67</v>
      </c>
      <c r="R3440" s="2">
        <v>1</v>
      </c>
      <c r="S3440" s="2">
        <v>27.6</v>
      </c>
      <c r="T3440" s="2">
        <v>6.3480000000000008</v>
      </c>
      <c r="U3440" s="2">
        <v>33.948</v>
      </c>
      <c r="V3440" s="2">
        <f>15.0203*R3440</f>
        <v>15.020300000000001</v>
      </c>
      <c r="W3440" s="5">
        <f t="shared" si="371"/>
        <v>0.45578623188405798</v>
      </c>
      <c r="Y3440" s="2" t="s">
        <v>3256</v>
      </c>
      <c r="Z3440" s="2" t="s">
        <v>46</v>
      </c>
      <c r="AA3440" s="2" t="s">
        <v>68</v>
      </c>
      <c r="AB3440" s="2" t="s">
        <v>58</v>
      </c>
      <c r="AE3440" s="2">
        <f t="shared" si="363"/>
        <v>0</v>
      </c>
      <c r="AF3440" s="2">
        <v>15.020300000000001</v>
      </c>
      <c r="AG3440" s="2">
        <v>27.6</v>
      </c>
      <c r="AI3440" s="2">
        <f t="shared" si="364"/>
        <v>0</v>
      </c>
      <c r="AJ3440" s="2">
        <f t="shared" si="362"/>
        <v>12.579700000000001</v>
      </c>
      <c r="AK3440" s="5">
        <f t="shared" si="372"/>
        <v>0.45578623188405798</v>
      </c>
    </row>
    <row r="3441" spans="1:37" x14ac:dyDescent="0.2">
      <c r="A3441" s="2">
        <v>2026</v>
      </c>
      <c r="B3441" s="2">
        <v>3</v>
      </c>
      <c r="C3441" s="2" t="s">
        <v>1017</v>
      </c>
      <c r="L3441" s="2" t="s">
        <v>41</v>
      </c>
      <c r="O3441" s="2" t="s">
        <v>43</v>
      </c>
      <c r="P3441" s="2" t="s">
        <v>66</v>
      </c>
      <c r="Q3441" s="2" t="s">
        <v>67</v>
      </c>
      <c r="R3441" s="2">
        <v>1</v>
      </c>
      <c r="S3441" s="2">
        <v>23.5</v>
      </c>
      <c r="T3441" s="2">
        <v>5.4050000000000002</v>
      </c>
      <c r="U3441" s="2">
        <v>28.905000000000001</v>
      </c>
      <c r="V3441" s="2">
        <f>15.0203*R3441</f>
        <v>15.020300000000001</v>
      </c>
      <c r="W3441" s="5">
        <f t="shared" si="371"/>
        <v>0.3608382978723404</v>
      </c>
      <c r="Y3441" s="2" t="s">
        <v>3256</v>
      </c>
      <c r="Z3441" s="2" t="s">
        <v>46</v>
      </c>
      <c r="AA3441" s="2" t="s">
        <v>68</v>
      </c>
      <c r="AB3441" s="2" t="s">
        <v>58</v>
      </c>
      <c r="AE3441" s="2">
        <f t="shared" si="363"/>
        <v>0</v>
      </c>
      <c r="AF3441" s="2">
        <v>15.020300000000001</v>
      </c>
      <c r="AG3441" s="2">
        <v>27.6</v>
      </c>
      <c r="AI3441" s="2">
        <f t="shared" si="364"/>
        <v>0</v>
      </c>
      <c r="AJ3441" s="2">
        <f t="shared" si="362"/>
        <v>8.4796999999999993</v>
      </c>
      <c r="AK3441" s="5">
        <f t="shared" si="372"/>
        <v>0.3608382978723404</v>
      </c>
    </row>
    <row r="3442" spans="1:37" x14ac:dyDescent="0.2">
      <c r="A3442" s="2">
        <v>2026</v>
      </c>
      <c r="B3442" s="2">
        <v>3</v>
      </c>
      <c r="C3442" s="2" t="s">
        <v>819</v>
      </c>
      <c r="D3442" s="2" t="s">
        <v>38</v>
      </c>
      <c r="E3442" s="2" t="s">
        <v>39</v>
      </c>
      <c r="F3442" s="2" t="s">
        <v>820</v>
      </c>
      <c r="G3442" s="2" t="s">
        <v>41</v>
      </c>
      <c r="H3442" s="2" t="s">
        <v>632</v>
      </c>
      <c r="K3442" s="2" t="s">
        <v>632</v>
      </c>
      <c r="L3442" s="2" t="s">
        <v>41</v>
      </c>
      <c r="N3442" s="2" t="s">
        <v>2699</v>
      </c>
      <c r="O3442" s="2" t="s">
        <v>43</v>
      </c>
      <c r="P3442" s="2" t="s">
        <v>66</v>
      </c>
      <c r="Q3442" s="2" t="s">
        <v>67</v>
      </c>
      <c r="R3442" s="2">
        <v>1</v>
      </c>
      <c r="S3442" s="2">
        <v>23.5</v>
      </c>
      <c r="T3442" s="2">
        <v>5.4050000000000002</v>
      </c>
      <c r="U3442" s="2">
        <v>28.905000000000001</v>
      </c>
      <c r="V3442" s="2">
        <f>15.0203*R3442</f>
        <v>15.020300000000001</v>
      </c>
      <c r="W3442" s="5">
        <f t="shared" si="371"/>
        <v>0.3608382978723404</v>
      </c>
      <c r="Y3442" s="2" t="s">
        <v>3256</v>
      </c>
      <c r="Z3442" s="2" t="s">
        <v>46</v>
      </c>
      <c r="AA3442" s="2" t="s">
        <v>68</v>
      </c>
      <c r="AB3442" s="2" t="s">
        <v>58</v>
      </c>
      <c r="AE3442" s="2">
        <f t="shared" si="363"/>
        <v>0</v>
      </c>
      <c r="AF3442" s="2">
        <v>15.020300000000001</v>
      </c>
      <c r="AG3442" s="2">
        <v>27.6</v>
      </c>
      <c r="AI3442" s="2">
        <f t="shared" si="364"/>
        <v>0</v>
      </c>
      <c r="AJ3442" s="2">
        <f t="shared" si="362"/>
        <v>8.4796999999999993</v>
      </c>
      <c r="AK3442" s="5">
        <f t="shared" si="372"/>
        <v>0.3608382978723404</v>
      </c>
    </row>
    <row r="3443" spans="1:37" x14ac:dyDescent="0.2">
      <c r="A3443" s="2">
        <v>2026</v>
      </c>
      <c r="B3443" s="2">
        <v>3</v>
      </c>
      <c r="C3443" s="2" t="s">
        <v>489</v>
      </c>
      <c r="D3443" s="2" t="s">
        <v>109</v>
      </c>
      <c r="E3443" s="2" t="s">
        <v>39</v>
      </c>
      <c r="F3443" s="2">
        <v>506834689</v>
      </c>
      <c r="G3443" s="2" t="s">
        <v>41</v>
      </c>
      <c r="H3443" s="2" t="s">
        <v>490</v>
      </c>
      <c r="I3443" s="2" t="s">
        <v>491</v>
      </c>
      <c r="J3443" s="2">
        <v>919866237</v>
      </c>
      <c r="K3443" s="2" t="s">
        <v>465</v>
      </c>
      <c r="L3443" s="2" t="s">
        <v>41</v>
      </c>
      <c r="O3443" s="2" t="s">
        <v>43</v>
      </c>
      <c r="P3443" s="2" t="s">
        <v>66</v>
      </c>
      <c r="Q3443" s="2" t="s">
        <v>67</v>
      </c>
      <c r="R3443" s="2">
        <v>4</v>
      </c>
      <c r="S3443" s="2">
        <v>88</v>
      </c>
      <c r="T3443" s="2">
        <v>20.239999999999998</v>
      </c>
      <c r="U3443" s="2">
        <v>108.24</v>
      </c>
      <c r="V3443" s="2">
        <f>15.0203*R3443</f>
        <v>60.081200000000003</v>
      </c>
      <c r="W3443" s="5">
        <f t="shared" si="371"/>
        <v>0.31725909090909088</v>
      </c>
      <c r="Y3443" s="2" t="s">
        <v>3256</v>
      </c>
      <c r="Z3443" s="2" t="s">
        <v>46</v>
      </c>
      <c r="AA3443" s="2" t="s">
        <v>68</v>
      </c>
      <c r="AB3443" s="2" t="s">
        <v>58</v>
      </c>
      <c r="AE3443" s="2">
        <f t="shared" si="363"/>
        <v>0</v>
      </c>
      <c r="AF3443" s="2">
        <v>15.020300000000001</v>
      </c>
      <c r="AG3443" s="2">
        <v>27.6</v>
      </c>
      <c r="AI3443" s="2">
        <f t="shared" si="364"/>
        <v>0</v>
      </c>
      <c r="AJ3443" s="2">
        <f t="shared" si="362"/>
        <v>27.918799999999997</v>
      </c>
      <c r="AK3443" s="5">
        <f t="shared" si="372"/>
        <v>0.31725909090909088</v>
      </c>
    </row>
    <row r="3444" spans="1:37" x14ac:dyDescent="0.2">
      <c r="A3444" s="2">
        <v>2026</v>
      </c>
      <c r="B3444" s="2">
        <v>3</v>
      </c>
      <c r="C3444" s="2" t="s">
        <v>2712</v>
      </c>
      <c r="L3444" s="2" t="s">
        <v>40</v>
      </c>
      <c r="O3444" s="2" t="s">
        <v>2713</v>
      </c>
      <c r="P3444" s="2" t="s">
        <v>2714</v>
      </c>
      <c r="Q3444" s="2" t="s">
        <v>2715</v>
      </c>
      <c r="R3444" s="2">
        <v>10</v>
      </c>
      <c r="S3444" s="2">
        <v>4620</v>
      </c>
      <c r="T3444" s="2">
        <v>1062.5999999999999</v>
      </c>
      <c r="U3444" s="2">
        <v>5682.6</v>
      </c>
      <c r="W3444" s="5">
        <f t="shared" si="371"/>
        <v>1</v>
      </c>
      <c r="Y3444" s="2" t="s">
        <v>3256</v>
      </c>
      <c r="AE3444" s="2">
        <f t="shared" si="363"/>
        <v>0</v>
      </c>
      <c r="AI3444" s="2">
        <f t="shared" si="364"/>
        <v>0</v>
      </c>
      <c r="AJ3444" s="2">
        <f t="shared" si="362"/>
        <v>4620</v>
      </c>
      <c r="AK3444" s="5">
        <f t="shared" si="372"/>
        <v>1</v>
      </c>
    </row>
    <row r="3445" spans="1:37" x14ac:dyDescent="0.2">
      <c r="A3445" s="2">
        <v>2026</v>
      </c>
      <c r="B3445" s="2">
        <v>3</v>
      </c>
      <c r="C3445" s="2" t="s">
        <v>360</v>
      </c>
      <c r="D3445" s="2" t="s">
        <v>109</v>
      </c>
      <c r="E3445" s="2" t="s">
        <v>39</v>
      </c>
      <c r="F3445" s="2">
        <v>503413909</v>
      </c>
      <c r="G3445" s="2" t="s">
        <v>110</v>
      </c>
      <c r="H3445" s="2" t="s">
        <v>361</v>
      </c>
      <c r="I3445" s="2" t="s">
        <v>362</v>
      </c>
      <c r="K3445" s="2" t="s">
        <v>361</v>
      </c>
      <c r="L3445" s="2" t="s">
        <v>110</v>
      </c>
      <c r="N3445" s="2" t="s">
        <v>2716</v>
      </c>
      <c r="O3445" s="2" t="s">
        <v>3260</v>
      </c>
      <c r="P3445" s="2" t="s">
        <v>2717</v>
      </c>
      <c r="Q3445" s="2" t="s">
        <v>2718</v>
      </c>
      <c r="R3445" s="2">
        <v>1</v>
      </c>
      <c r="S3445" s="2">
        <v>1750</v>
      </c>
      <c r="T3445" s="2">
        <v>402.5</v>
      </c>
      <c r="U3445" s="2">
        <v>2152.5</v>
      </c>
      <c r="V3445" s="2">
        <v>893.93</v>
      </c>
      <c r="W3445" s="5">
        <f t="shared" si="371"/>
        <v>0.4891828571428572</v>
      </c>
      <c r="Y3445" s="2" t="s">
        <v>105</v>
      </c>
      <c r="Z3445" s="2" t="s">
        <v>2719</v>
      </c>
      <c r="AA3445" s="2" t="s">
        <v>2720</v>
      </c>
      <c r="AB3445" s="2" t="s">
        <v>3260</v>
      </c>
      <c r="AE3445" s="2">
        <f t="shared" si="363"/>
        <v>0</v>
      </c>
      <c r="AF3445" s="2">
        <v>893.93</v>
      </c>
      <c r="AI3445" s="2">
        <f t="shared" si="364"/>
        <v>0</v>
      </c>
      <c r="AJ3445" s="2">
        <f t="shared" si="362"/>
        <v>856.07</v>
      </c>
      <c r="AK3445" s="5">
        <f t="shared" si="372"/>
        <v>0.4891828571428572</v>
      </c>
    </row>
    <row r="3446" spans="1:37" x14ac:dyDescent="0.2">
      <c r="A3446" s="2">
        <v>2026</v>
      </c>
      <c r="B3446" s="2">
        <v>3</v>
      </c>
      <c r="C3446" s="2" t="s">
        <v>1903</v>
      </c>
      <c r="O3446" s="2" t="s">
        <v>3260</v>
      </c>
      <c r="P3446" s="2" t="s">
        <v>1805</v>
      </c>
      <c r="Q3446" s="2" t="s">
        <v>1806</v>
      </c>
      <c r="R3446" s="2">
        <v>1</v>
      </c>
      <c r="S3446" s="2">
        <v>2060</v>
      </c>
      <c r="T3446" s="2">
        <v>473.8</v>
      </c>
      <c r="U3446" s="2">
        <v>2533.8000000000002</v>
      </c>
      <c r="V3446" s="2">
        <v>1036.96</v>
      </c>
      <c r="W3446" s="5">
        <f t="shared" si="371"/>
        <v>0.49662135922330097</v>
      </c>
      <c r="Y3446" s="2" t="s">
        <v>105</v>
      </c>
      <c r="Z3446" s="2" t="s">
        <v>106</v>
      </c>
      <c r="AA3446" s="2" t="s">
        <v>107</v>
      </c>
      <c r="AB3446" s="2" t="s">
        <v>3260</v>
      </c>
      <c r="AE3446" s="2">
        <f t="shared" si="363"/>
        <v>0</v>
      </c>
      <c r="AI3446" s="2">
        <f t="shared" si="364"/>
        <v>0</v>
      </c>
      <c r="AJ3446" s="2">
        <f t="shared" ref="AJ3446:AJ3509" si="373">S3446-V3446</f>
        <v>1023.04</v>
      </c>
      <c r="AK3446" s="5">
        <f t="shared" si="372"/>
        <v>0.49662135922330097</v>
      </c>
    </row>
    <row r="3447" spans="1:37" x14ac:dyDescent="0.2">
      <c r="A3447" s="2">
        <v>2026</v>
      </c>
      <c r="B3447" s="2">
        <v>3</v>
      </c>
      <c r="C3447" s="2" t="s">
        <v>384</v>
      </c>
      <c r="D3447" s="2" t="s">
        <v>38</v>
      </c>
      <c r="E3447" s="2" t="s">
        <v>39</v>
      </c>
      <c r="F3447" s="2">
        <v>212196260</v>
      </c>
      <c r="G3447" s="2" t="s">
        <v>110</v>
      </c>
      <c r="H3447" s="2" t="s">
        <v>385</v>
      </c>
      <c r="I3447" s="2" t="s">
        <v>386</v>
      </c>
      <c r="J3447" s="2">
        <v>926769894</v>
      </c>
      <c r="K3447" s="2" t="s">
        <v>113</v>
      </c>
      <c r="L3447" s="2" t="s">
        <v>110</v>
      </c>
      <c r="N3447" s="2" t="s">
        <v>2721</v>
      </c>
      <c r="O3447" s="2" t="s">
        <v>3260</v>
      </c>
      <c r="P3447" s="2" t="s">
        <v>2722</v>
      </c>
      <c r="Q3447" s="2" t="s">
        <v>2723</v>
      </c>
      <c r="R3447" s="2">
        <v>1</v>
      </c>
      <c r="S3447" s="2">
        <v>3100</v>
      </c>
      <c r="T3447" s="2">
        <v>713</v>
      </c>
      <c r="U3447" s="2">
        <v>3813</v>
      </c>
      <c r="V3447" s="2">
        <v>1575.55</v>
      </c>
      <c r="W3447" s="5">
        <f t="shared" si="371"/>
        <v>0.49175806451612902</v>
      </c>
      <c r="Y3447" s="2" t="s">
        <v>105</v>
      </c>
      <c r="Z3447" s="2" t="s">
        <v>265</v>
      </c>
      <c r="AA3447" s="2" t="s">
        <v>1104</v>
      </c>
      <c r="AB3447" s="2" t="s">
        <v>3260</v>
      </c>
      <c r="AE3447" s="2">
        <f t="shared" si="363"/>
        <v>0</v>
      </c>
      <c r="AI3447" s="2">
        <f t="shared" si="364"/>
        <v>0</v>
      </c>
      <c r="AJ3447" s="2">
        <f t="shared" si="373"/>
        <v>1524.45</v>
      </c>
      <c r="AK3447" s="5">
        <f t="shared" si="372"/>
        <v>0.49175806451612902</v>
      </c>
    </row>
    <row r="3448" spans="1:37" x14ac:dyDescent="0.2">
      <c r="A3448" s="2">
        <v>2026</v>
      </c>
      <c r="B3448" s="2">
        <v>3</v>
      </c>
      <c r="C3448" s="2" t="s">
        <v>384</v>
      </c>
      <c r="D3448" s="2" t="s">
        <v>38</v>
      </c>
      <c r="E3448" s="2" t="s">
        <v>39</v>
      </c>
      <c r="F3448" s="2">
        <v>212196260</v>
      </c>
      <c r="G3448" s="2" t="s">
        <v>110</v>
      </c>
      <c r="H3448" s="2" t="s">
        <v>385</v>
      </c>
      <c r="I3448" s="2" t="s">
        <v>386</v>
      </c>
      <c r="J3448" s="2">
        <v>926769894</v>
      </c>
      <c r="K3448" s="2" t="s">
        <v>113</v>
      </c>
      <c r="L3448" s="2" t="s">
        <v>110</v>
      </c>
      <c r="N3448" s="2" t="s">
        <v>2721</v>
      </c>
      <c r="O3448" s="2" t="s">
        <v>3260</v>
      </c>
      <c r="P3448" s="2" t="s">
        <v>1964</v>
      </c>
      <c r="Q3448" s="2" t="s">
        <v>1965</v>
      </c>
      <c r="R3448" s="2">
        <v>1</v>
      </c>
      <c r="S3448" s="2">
        <v>9990</v>
      </c>
      <c r="T3448" s="2">
        <v>2297.6999999999998</v>
      </c>
      <c r="U3448" s="2">
        <v>12287.7</v>
      </c>
      <c r="V3448" s="2">
        <v>4152.3100000000004</v>
      </c>
      <c r="W3448" s="5">
        <f t="shared" si="371"/>
        <v>0.58435335335335337</v>
      </c>
      <c r="Y3448" s="2" t="s">
        <v>105</v>
      </c>
      <c r="Z3448" s="2" t="s">
        <v>265</v>
      </c>
      <c r="AA3448" s="2" t="s">
        <v>266</v>
      </c>
      <c r="AB3448" s="2" t="s">
        <v>3260</v>
      </c>
      <c r="AE3448" s="2">
        <f t="shared" si="363"/>
        <v>0</v>
      </c>
      <c r="AI3448" s="2">
        <f t="shared" si="364"/>
        <v>0</v>
      </c>
      <c r="AJ3448" s="2">
        <f t="shared" si="373"/>
        <v>5837.69</v>
      </c>
      <c r="AK3448" s="5">
        <f t="shared" si="372"/>
        <v>0.58435335335335337</v>
      </c>
    </row>
    <row r="3449" spans="1:37" x14ac:dyDescent="0.2">
      <c r="A3449" s="2">
        <v>2026</v>
      </c>
      <c r="B3449" s="2">
        <v>3</v>
      </c>
      <c r="C3449" s="2" t="s">
        <v>279</v>
      </c>
      <c r="O3449" s="2" t="s">
        <v>69</v>
      </c>
      <c r="P3449" s="2" t="s">
        <v>2724</v>
      </c>
      <c r="Q3449" s="2" t="s">
        <v>2725</v>
      </c>
      <c r="R3449" s="2">
        <v>1</v>
      </c>
      <c r="S3449" s="2">
        <v>60</v>
      </c>
      <c r="T3449" s="2">
        <v>13.8</v>
      </c>
      <c r="U3449" s="2">
        <v>73.8</v>
      </c>
      <c r="W3449" s="5">
        <f t="shared" si="371"/>
        <v>1</v>
      </c>
      <c r="Y3449" s="2" t="s">
        <v>3256</v>
      </c>
      <c r="AB3449" s="2" t="s">
        <v>3261</v>
      </c>
      <c r="AE3449" s="2">
        <f t="shared" si="363"/>
        <v>0</v>
      </c>
      <c r="AI3449" s="2">
        <f t="shared" si="364"/>
        <v>0</v>
      </c>
      <c r="AJ3449" s="2">
        <f t="shared" si="373"/>
        <v>60</v>
      </c>
      <c r="AK3449" s="5">
        <f t="shared" si="372"/>
        <v>1</v>
      </c>
    </row>
    <row r="3450" spans="1:37" x14ac:dyDescent="0.2">
      <c r="A3450" s="2">
        <v>2026</v>
      </c>
      <c r="B3450" s="2">
        <v>3</v>
      </c>
      <c r="C3450" s="2" t="s">
        <v>1974</v>
      </c>
      <c r="L3450" s="2" t="s">
        <v>40</v>
      </c>
      <c r="O3450" s="2" t="s">
        <v>69</v>
      </c>
      <c r="P3450" s="2" t="s">
        <v>2726</v>
      </c>
      <c r="Q3450" s="2" t="s">
        <v>2727</v>
      </c>
      <c r="R3450" s="2">
        <v>2</v>
      </c>
      <c r="S3450" s="2">
        <v>98</v>
      </c>
      <c r="T3450" s="2">
        <v>22.54</v>
      </c>
      <c r="U3450" s="2">
        <v>120.54</v>
      </c>
      <c r="W3450" s="5">
        <f t="shared" si="371"/>
        <v>1</v>
      </c>
      <c r="Y3450" s="2" t="s">
        <v>3256</v>
      </c>
      <c r="AB3450" s="2" t="s">
        <v>3261</v>
      </c>
      <c r="AE3450" s="2">
        <f t="shared" si="363"/>
        <v>0</v>
      </c>
      <c r="AI3450" s="2">
        <f t="shared" si="364"/>
        <v>0</v>
      </c>
      <c r="AJ3450" s="2">
        <f t="shared" si="373"/>
        <v>98</v>
      </c>
      <c r="AK3450" s="5">
        <f t="shared" si="372"/>
        <v>1</v>
      </c>
    </row>
    <row r="3451" spans="1:37" x14ac:dyDescent="0.2">
      <c r="A3451" s="2">
        <v>2026</v>
      </c>
      <c r="B3451" s="2">
        <v>3</v>
      </c>
      <c r="C3451" s="2" t="s">
        <v>1714</v>
      </c>
      <c r="O3451" s="2" t="s">
        <v>69</v>
      </c>
      <c r="P3451" s="2" t="s">
        <v>2728</v>
      </c>
      <c r="Q3451" s="2" t="s">
        <v>2729</v>
      </c>
      <c r="R3451" s="2">
        <v>1</v>
      </c>
      <c r="S3451" s="2">
        <v>300</v>
      </c>
      <c r="T3451" s="2">
        <v>69</v>
      </c>
      <c r="U3451" s="2">
        <v>369</v>
      </c>
      <c r="W3451" s="5">
        <f t="shared" si="371"/>
        <v>1</v>
      </c>
      <c r="Y3451" s="2" t="s">
        <v>3256</v>
      </c>
      <c r="AB3451" s="2" t="s">
        <v>3261</v>
      </c>
      <c r="AE3451" s="2">
        <f t="shared" si="363"/>
        <v>0</v>
      </c>
      <c r="AI3451" s="2">
        <f t="shared" si="364"/>
        <v>0</v>
      </c>
      <c r="AJ3451" s="2">
        <f t="shared" si="373"/>
        <v>300</v>
      </c>
      <c r="AK3451" s="5">
        <f t="shared" si="372"/>
        <v>1</v>
      </c>
    </row>
    <row r="3452" spans="1:37" x14ac:dyDescent="0.2">
      <c r="A3452" s="2">
        <v>2026</v>
      </c>
      <c r="B3452" s="2">
        <v>3</v>
      </c>
      <c r="C3452" s="2" t="s">
        <v>2654</v>
      </c>
      <c r="D3452" s="2" t="s">
        <v>38</v>
      </c>
      <c r="F3452" s="2">
        <v>508857562</v>
      </c>
      <c r="G3452" s="2" t="s">
        <v>110</v>
      </c>
      <c r="H3452" s="2" t="s">
        <v>2655</v>
      </c>
      <c r="I3452" s="2" t="s">
        <v>2656</v>
      </c>
      <c r="K3452" s="2" t="s">
        <v>465</v>
      </c>
      <c r="O3452" s="2" t="s">
        <v>69</v>
      </c>
      <c r="P3452" s="2" t="s">
        <v>1169</v>
      </c>
      <c r="Q3452" s="2" t="s">
        <v>1170</v>
      </c>
      <c r="R3452" s="2">
        <v>1</v>
      </c>
      <c r="S3452" s="2">
        <v>70</v>
      </c>
      <c r="T3452" s="2">
        <v>16.100000000000001</v>
      </c>
      <c r="U3452" s="2">
        <v>86.1</v>
      </c>
      <c r="V3452" s="2">
        <v>47.4</v>
      </c>
      <c r="W3452" s="5">
        <f t="shared" si="371"/>
        <v>0.3228571428571429</v>
      </c>
      <c r="Y3452" s="2" t="s">
        <v>3256</v>
      </c>
      <c r="Z3452" s="2" t="s">
        <v>72</v>
      </c>
      <c r="AA3452" s="2" t="s">
        <v>69</v>
      </c>
      <c r="AB3452" s="2" t="s">
        <v>3261</v>
      </c>
      <c r="AE3452" s="2">
        <f t="shared" si="363"/>
        <v>0</v>
      </c>
      <c r="AI3452" s="2">
        <f t="shared" si="364"/>
        <v>0</v>
      </c>
      <c r="AJ3452" s="2">
        <f t="shared" si="373"/>
        <v>22.6</v>
      </c>
      <c r="AK3452" s="5">
        <f t="shared" si="372"/>
        <v>0.3228571428571429</v>
      </c>
    </row>
    <row r="3453" spans="1:37" x14ac:dyDescent="0.2">
      <c r="A3453" s="2">
        <v>2026</v>
      </c>
      <c r="B3453" s="2">
        <v>3</v>
      </c>
      <c r="C3453" s="2" t="s">
        <v>1903</v>
      </c>
      <c r="O3453" s="2" t="s">
        <v>69</v>
      </c>
      <c r="P3453" s="2" t="s">
        <v>304</v>
      </c>
      <c r="Q3453" s="2" t="s">
        <v>305</v>
      </c>
      <c r="R3453" s="2">
        <v>1</v>
      </c>
      <c r="S3453" s="2">
        <v>1770</v>
      </c>
      <c r="T3453" s="2">
        <v>407.1</v>
      </c>
      <c r="U3453" s="2">
        <v>2177.1</v>
      </c>
      <c r="V3453" s="2">
        <v>1130.74</v>
      </c>
      <c r="W3453" s="5">
        <f t="shared" si="371"/>
        <v>0.36116384180790961</v>
      </c>
      <c r="Y3453" s="2" t="s">
        <v>105</v>
      </c>
      <c r="Z3453" s="2" t="s">
        <v>106</v>
      </c>
      <c r="AA3453" s="2" t="s">
        <v>107</v>
      </c>
      <c r="AB3453" s="2" t="s">
        <v>3261</v>
      </c>
      <c r="AE3453" s="2">
        <f t="shared" si="363"/>
        <v>0</v>
      </c>
      <c r="AF3453" s="2">
        <v>1130.74</v>
      </c>
      <c r="AI3453" s="2">
        <f t="shared" si="364"/>
        <v>0</v>
      </c>
      <c r="AJ3453" s="2">
        <f t="shared" si="373"/>
        <v>639.26</v>
      </c>
      <c r="AK3453" s="5">
        <f t="shared" si="372"/>
        <v>0.36116384180790961</v>
      </c>
    </row>
    <row r="3454" spans="1:37" x14ac:dyDescent="0.2">
      <c r="A3454" s="2">
        <v>2026</v>
      </c>
      <c r="B3454" s="2">
        <v>3</v>
      </c>
      <c r="C3454" s="2" t="s">
        <v>553</v>
      </c>
      <c r="D3454" s="2" t="s">
        <v>109</v>
      </c>
      <c r="E3454" s="2" t="s">
        <v>397</v>
      </c>
      <c r="F3454" s="2">
        <v>503641790</v>
      </c>
      <c r="G3454" s="2" t="s">
        <v>40</v>
      </c>
      <c r="H3454" s="2" t="s">
        <v>554</v>
      </c>
      <c r="I3454" s="2" t="s">
        <v>555</v>
      </c>
      <c r="J3454" s="2">
        <v>917753665</v>
      </c>
      <c r="K3454" s="2" t="s">
        <v>100</v>
      </c>
      <c r="L3454" s="2" t="s">
        <v>81</v>
      </c>
      <c r="N3454" s="2" t="s">
        <v>2730</v>
      </c>
      <c r="O3454" s="2" t="s">
        <v>73</v>
      </c>
      <c r="P3454" s="2" t="s">
        <v>74</v>
      </c>
      <c r="Q3454" s="2" t="s">
        <v>75</v>
      </c>
      <c r="R3454" s="2">
        <v>1</v>
      </c>
      <c r="S3454" s="2">
        <v>220</v>
      </c>
      <c r="T3454" s="2">
        <v>50.6</v>
      </c>
      <c r="U3454" s="2">
        <v>270.60000000000002</v>
      </c>
      <c r="V3454" s="2">
        <v>125.51600000000001</v>
      </c>
      <c r="W3454" s="5">
        <f t="shared" si="371"/>
        <v>0.42947272727272723</v>
      </c>
      <c r="Y3454" s="2" t="s">
        <v>3256</v>
      </c>
      <c r="Z3454" s="2" t="s">
        <v>76</v>
      </c>
      <c r="AA3454" s="2" t="s">
        <v>77</v>
      </c>
      <c r="AB3454" s="2" t="s">
        <v>78</v>
      </c>
      <c r="AE3454" s="2">
        <f t="shared" si="363"/>
        <v>0</v>
      </c>
      <c r="AF3454" s="2">
        <v>125.51600000000001</v>
      </c>
      <c r="AG3454" s="2">
        <v>220</v>
      </c>
      <c r="AI3454" s="2">
        <f t="shared" si="364"/>
        <v>0</v>
      </c>
      <c r="AJ3454" s="2">
        <f t="shared" si="373"/>
        <v>94.483999999999995</v>
      </c>
      <c r="AK3454" s="5">
        <f t="shared" si="372"/>
        <v>0.42947272727272723</v>
      </c>
    </row>
    <row r="3455" spans="1:37" x14ac:dyDescent="0.2">
      <c r="A3455" s="2">
        <v>2026</v>
      </c>
      <c r="B3455" s="2">
        <v>3</v>
      </c>
      <c r="C3455" s="2" t="s">
        <v>1005</v>
      </c>
      <c r="O3455" s="2" t="s">
        <v>73</v>
      </c>
      <c r="P3455" s="2" t="s">
        <v>347</v>
      </c>
      <c r="Q3455" s="2" t="s">
        <v>75</v>
      </c>
      <c r="R3455" s="2">
        <v>1</v>
      </c>
      <c r="S3455" s="2">
        <v>210</v>
      </c>
      <c r="T3455" s="2">
        <v>48.3</v>
      </c>
      <c r="U3455" s="2">
        <v>258.3</v>
      </c>
      <c r="V3455" s="2">
        <v>124.4</v>
      </c>
      <c r="W3455" s="5">
        <f t="shared" si="371"/>
        <v>0.4076190476190476</v>
      </c>
      <c r="Y3455" s="2" t="s">
        <v>3256</v>
      </c>
      <c r="Z3455" s="2" t="s">
        <v>76</v>
      </c>
      <c r="AA3455" s="2" t="s">
        <v>77</v>
      </c>
      <c r="AB3455" s="2" t="s">
        <v>78</v>
      </c>
      <c r="AE3455" s="2">
        <f t="shared" si="363"/>
        <v>0</v>
      </c>
      <c r="AF3455" s="2">
        <v>124.4</v>
      </c>
      <c r="AG3455" s="2">
        <v>200</v>
      </c>
      <c r="AI3455" s="2">
        <f t="shared" si="364"/>
        <v>0</v>
      </c>
      <c r="AJ3455" s="2">
        <f t="shared" si="373"/>
        <v>85.6</v>
      </c>
      <c r="AK3455" s="5">
        <f t="shared" si="372"/>
        <v>0.4076190476190476</v>
      </c>
    </row>
    <row r="3456" spans="1:37" x14ac:dyDescent="0.2">
      <c r="A3456" s="2">
        <v>2026</v>
      </c>
      <c r="B3456" s="2">
        <v>3</v>
      </c>
      <c r="C3456" s="2" t="s">
        <v>657</v>
      </c>
      <c r="D3456" s="2" t="s">
        <v>109</v>
      </c>
      <c r="E3456" s="2" t="s">
        <v>39</v>
      </c>
      <c r="F3456" s="2">
        <v>509838537</v>
      </c>
      <c r="G3456" s="2" t="s">
        <v>41</v>
      </c>
      <c r="H3456" s="2" t="s">
        <v>658</v>
      </c>
      <c r="I3456" s="2" t="s">
        <v>659</v>
      </c>
      <c r="K3456" s="2" t="s">
        <v>422</v>
      </c>
      <c r="L3456" s="2" t="s">
        <v>41</v>
      </c>
      <c r="N3456" s="2" t="s">
        <v>2731</v>
      </c>
      <c r="O3456" s="2" t="s">
        <v>73</v>
      </c>
      <c r="P3456" s="2" t="s">
        <v>838</v>
      </c>
      <c r="Q3456" s="2" t="s">
        <v>75</v>
      </c>
      <c r="R3456" s="2">
        <v>1</v>
      </c>
      <c r="S3456" s="2">
        <v>220</v>
      </c>
      <c r="T3456" s="2">
        <v>50.6</v>
      </c>
      <c r="U3456" s="2">
        <v>270.60000000000002</v>
      </c>
      <c r="V3456" s="2">
        <v>120.636</v>
      </c>
      <c r="W3456" s="5">
        <f t="shared" si="371"/>
        <v>0.45165454545454548</v>
      </c>
      <c r="Y3456" s="2" t="s">
        <v>3256</v>
      </c>
      <c r="Z3456" s="2" t="s">
        <v>76</v>
      </c>
      <c r="AA3456" s="2" t="s">
        <v>77</v>
      </c>
      <c r="AB3456" s="2" t="s">
        <v>78</v>
      </c>
      <c r="AE3456" s="2">
        <f t="shared" si="363"/>
        <v>0</v>
      </c>
      <c r="AF3456" s="2">
        <v>120.636</v>
      </c>
      <c r="AG3456" s="2">
        <v>220</v>
      </c>
      <c r="AI3456" s="2">
        <f t="shared" si="364"/>
        <v>0</v>
      </c>
      <c r="AJ3456" s="2">
        <f t="shared" si="373"/>
        <v>99.364000000000004</v>
      </c>
      <c r="AK3456" s="5">
        <f t="shared" si="372"/>
        <v>0.45165454545454548</v>
      </c>
    </row>
    <row r="3457" spans="1:37" x14ac:dyDescent="0.2">
      <c r="A3457" s="2">
        <v>2026</v>
      </c>
      <c r="B3457" s="2">
        <v>3</v>
      </c>
      <c r="C3457" s="2" t="s">
        <v>432</v>
      </c>
      <c r="D3457" s="2" t="s">
        <v>38</v>
      </c>
      <c r="F3457" s="2">
        <v>500820384</v>
      </c>
      <c r="G3457" s="2" t="s">
        <v>40</v>
      </c>
      <c r="H3457" s="2" t="s">
        <v>433</v>
      </c>
      <c r="I3457" s="2" t="s">
        <v>434</v>
      </c>
      <c r="K3457" s="2" t="s">
        <v>100</v>
      </c>
      <c r="L3457" s="2" t="s">
        <v>81</v>
      </c>
      <c r="N3457" s="2" t="s">
        <v>2732</v>
      </c>
      <c r="O3457" s="2" t="s">
        <v>73</v>
      </c>
      <c r="P3457" s="2" t="s">
        <v>560</v>
      </c>
      <c r="Q3457" s="2" t="s">
        <v>383</v>
      </c>
      <c r="R3457" s="2">
        <v>1</v>
      </c>
      <c r="S3457" s="2">
        <v>223.1</v>
      </c>
      <c r="T3457" s="2">
        <v>51.313000000000002</v>
      </c>
      <c r="U3457" s="2">
        <v>274.41300000000001</v>
      </c>
      <c r="V3457" s="2">
        <v>143.91999999999999</v>
      </c>
      <c r="W3457" s="5">
        <f t="shared" si="371"/>
        <v>0.3549081129538324</v>
      </c>
      <c r="Y3457" s="2" t="s">
        <v>3256</v>
      </c>
      <c r="Z3457" s="2" t="s">
        <v>76</v>
      </c>
      <c r="AA3457" s="2" t="s">
        <v>77</v>
      </c>
      <c r="AB3457" s="2" t="s">
        <v>78</v>
      </c>
      <c r="AE3457" s="2">
        <f t="shared" si="363"/>
        <v>0</v>
      </c>
      <c r="AF3457" s="2">
        <v>143.91999999999999</v>
      </c>
      <c r="AI3457" s="2">
        <f t="shared" si="364"/>
        <v>0</v>
      </c>
      <c r="AJ3457" s="2">
        <f t="shared" si="373"/>
        <v>79.180000000000007</v>
      </c>
      <c r="AK3457" s="5">
        <f t="shared" si="372"/>
        <v>0.3549081129538324</v>
      </c>
    </row>
    <row r="3458" spans="1:37" x14ac:dyDescent="0.2">
      <c r="A3458" s="2">
        <v>2026</v>
      </c>
      <c r="B3458" s="2">
        <v>3</v>
      </c>
      <c r="C3458" s="2" t="s">
        <v>1265</v>
      </c>
      <c r="D3458" s="2" t="s">
        <v>109</v>
      </c>
      <c r="E3458" s="2" t="s">
        <v>39</v>
      </c>
      <c r="F3458" s="2">
        <v>513777377</v>
      </c>
      <c r="G3458" s="2" t="s">
        <v>291</v>
      </c>
      <c r="H3458" s="2" t="s">
        <v>2733</v>
      </c>
      <c r="I3458" s="2" t="s">
        <v>2734</v>
      </c>
      <c r="J3458" s="2">
        <v>935047029</v>
      </c>
      <c r="K3458" s="2" t="s">
        <v>450</v>
      </c>
      <c r="L3458" s="2" t="s">
        <v>81</v>
      </c>
      <c r="N3458" s="2" t="s">
        <v>2735</v>
      </c>
      <c r="O3458" s="2" t="s">
        <v>73</v>
      </c>
      <c r="P3458" s="2" t="s">
        <v>560</v>
      </c>
      <c r="Q3458" s="2" t="s">
        <v>383</v>
      </c>
      <c r="R3458" s="2">
        <v>1</v>
      </c>
      <c r="S3458" s="2">
        <v>250</v>
      </c>
      <c r="T3458" s="2">
        <v>57.5</v>
      </c>
      <c r="U3458" s="2">
        <v>307.5</v>
      </c>
      <c r="V3458" s="2">
        <v>143.91999999999999</v>
      </c>
      <c r="W3458" s="5">
        <f t="shared" si="371"/>
        <v>0.42432000000000003</v>
      </c>
      <c r="Y3458" s="2" t="s">
        <v>3256</v>
      </c>
      <c r="Z3458" s="2" t="s">
        <v>76</v>
      </c>
      <c r="AA3458" s="2" t="s">
        <v>77</v>
      </c>
      <c r="AB3458" s="2" t="s">
        <v>78</v>
      </c>
      <c r="AE3458" s="2">
        <f t="shared" si="363"/>
        <v>0</v>
      </c>
      <c r="AF3458" s="2">
        <v>143.91999999999999</v>
      </c>
      <c r="AI3458" s="2">
        <f t="shared" si="364"/>
        <v>0</v>
      </c>
      <c r="AJ3458" s="2">
        <f t="shared" si="373"/>
        <v>106.08000000000001</v>
      </c>
      <c r="AK3458" s="5">
        <f t="shared" si="372"/>
        <v>0.42432000000000003</v>
      </c>
    </row>
    <row r="3459" spans="1:37" x14ac:dyDescent="0.2">
      <c r="A3459" s="2">
        <v>2026</v>
      </c>
      <c r="B3459" s="2">
        <v>3</v>
      </c>
      <c r="C3459" s="2" t="s">
        <v>1171</v>
      </c>
      <c r="D3459" s="2" t="s">
        <v>758</v>
      </c>
      <c r="F3459" s="2">
        <v>508199280</v>
      </c>
      <c r="G3459" s="2" t="s">
        <v>40</v>
      </c>
      <c r="H3459" s="2" t="s">
        <v>1172</v>
      </c>
      <c r="K3459" s="2" t="s">
        <v>294</v>
      </c>
      <c r="O3459" s="2" t="s">
        <v>73</v>
      </c>
      <c r="P3459" s="2" t="s">
        <v>1460</v>
      </c>
      <c r="Q3459" s="2" t="s">
        <v>383</v>
      </c>
      <c r="R3459" s="2">
        <v>-1</v>
      </c>
      <c r="S3459" s="2">
        <v>-234.63</v>
      </c>
      <c r="T3459" s="2">
        <v>-53.9649</v>
      </c>
      <c r="U3459" s="2">
        <v>-288.5949</v>
      </c>
      <c r="V3459" s="2">
        <v>133.916</v>
      </c>
      <c r="W3459" s="5">
        <f>SIGN(S3459)*((ABS(S3459)-V3459)/ABS(S3459))</f>
        <v>-0.42924604696756596</v>
      </c>
      <c r="Y3459" s="2" t="s">
        <v>3256</v>
      </c>
      <c r="Z3459" s="2" t="s">
        <v>76</v>
      </c>
      <c r="AA3459" s="2" t="s">
        <v>77</v>
      </c>
      <c r="AB3459" s="2" t="s">
        <v>78</v>
      </c>
      <c r="AE3459" s="2">
        <f t="shared" ref="AE3459:AE3522" si="374">AI3459</f>
        <v>0</v>
      </c>
      <c r="AI3459" s="2">
        <f t="shared" ref="AI3459:AI3522" si="375">AH3459*S3459</f>
        <v>0</v>
      </c>
      <c r="AJ3459" s="2">
        <f t="shared" si="373"/>
        <v>-368.54599999999999</v>
      </c>
      <c r="AK3459" s="5">
        <f t="shared" si="372"/>
        <v>1.5707539530324341</v>
      </c>
    </row>
    <row r="3460" spans="1:37" x14ac:dyDescent="0.2">
      <c r="A3460" s="2">
        <v>2026</v>
      </c>
      <c r="B3460" s="2">
        <v>3</v>
      </c>
      <c r="C3460" s="2" t="s">
        <v>489</v>
      </c>
      <c r="D3460" s="2" t="s">
        <v>109</v>
      </c>
      <c r="E3460" s="2" t="s">
        <v>39</v>
      </c>
      <c r="F3460" s="2">
        <v>506834689</v>
      </c>
      <c r="G3460" s="2" t="s">
        <v>41</v>
      </c>
      <c r="H3460" s="2" t="s">
        <v>490</v>
      </c>
      <c r="I3460" s="2" t="s">
        <v>491</v>
      </c>
      <c r="J3460" s="2">
        <v>919866237</v>
      </c>
      <c r="K3460" s="2" t="s">
        <v>465</v>
      </c>
      <c r="L3460" s="2" t="s">
        <v>41</v>
      </c>
      <c r="O3460" s="2" t="s">
        <v>73</v>
      </c>
      <c r="P3460" s="2" t="s">
        <v>382</v>
      </c>
      <c r="Q3460" s="2" t="s">
        <v>383</v>
      </c>
      <c r="R3460" s="2">
        <v>1</v>
      </c>
      <c r="S3460" s="2">
        <v>230</v>
      </c>
      <c r="T3460" s="2">
        <v>52.900000000000013</v>
      </c>
      <c r="U3460" s="2">
        <v>282.89999999999998</v>
      </c>
      <c r="V3460" s="2">
        <v>139.46</v>
      </c>
      <c r="W3460" s="5">
        <f t="shared" ref="W3460:W3491" si="376">(S3460-V3460)/S3460</f>
        <v>0.39365217391304347</v>
      </c>
      <c r="Y3460" s="2" t="s">
        <v>3256</v>
      </c>
      <c r="Z3460" s="2" t="s">
        <v>76</v>
      </c>
      <c r="AA3460" s="2" t="s">
        <v>77</v>
      </c>
      <c r="AB3460" s="2" t="s">
        <v>78</v>
      </c>
      <c r="AE3460" s="2">
        <f t="shared" si="374"/>
        <v>0</v>
      </c>
      <c r="AI3460" s="2">
        <f t="shared" si="375"/>
        <v>0</v>
      </c>
      <c r="AJ3460" s="2">
        <f t="shared" si="373"/>
        <v>90.539999999999992</v>
      </c>
      <c r="AK3460" s="5">
        <f t="shared" si="372"/>
        <v>0.39365217391304347</v>
      </c>
    </row>
    <row r="3461" spans="1:37" x14ac:dyDescent="0.2">
      <c r="A3461" s="2">
        <v>2026</v>
      </c>
      <c r="B3461" s="2">
        <v>3</v>
      </c>
      <c r="C3461" s="2" t="s">
        <v>2736</v>
      </c>
      <c r="D3461" s="2" t="s">
        <v>38</v>
      </c>
      <c r="E3461" s="2" t="s">
        <v>39</v>
      </c>
      <c r="F3461" s="2">
        <v>509370365</v>
      </c>
      <c r="G3461" s="2" t="s">
        <v>291</v>
      </c>
      <c r="H3461" s="2" t="s">
        <v>2737</v>
      </c>
      <c r="I3461" s="2" t="s">
        <v>2738</v>
      </c>
      <c r="J3461" s="2">
        <v>962576243</v>
      </c>
      <c r="K3461" s="2" t="s">
        <v>450</v>
      </c>
      <c r="L3461" s="2" t="s">
        <v>81</v>
      </c>
      <c r="N3461" s="2" t="s">
        <v>2739</v>
      </c>
      <c r="O3461" s="2" t="s">
        <v>73</v>
      </c>
      <c r="P3461" s="2" t="s">
        <v>488</v>
      </c>
      <c r="Q3461" s="2" t="s">
        <v>75</v>
      </c>
      <c r="R3461" s="2">
        <v>1</v>
      </c>
      <c r="S3461" s="2">
        <v>230</v>
      </c>
      <c r="T3461" s="2">
        <v>52.900000000000013</v>
      </c>
      <c r="U3461" s="2">
        <v>282.89999999999998</v>
      </c>
      <c r="V3461" s="2">
        <v>131.93</v>
      </c>
      <c r="W3461" s="5">
        <f t="shared" si="376"/>
        <v>0.42639130434782607</v>
      </c>
      <c r="Y3461" s="2" t="s">
        <v>3256</v>
      </c>
      <c r="Z3461" s="2" t="s">
        <v>76</v>
      </c>
      <c r="AA3461" s="2" t="s">
        <v>77</v>
      </c>
      <c r="AB3461" s="2" t="s">
        <v>78</v>
      </c>
      <c r="AE3461" s="2">
        <f t="shared" si="374"/>
        <v>0</v>
      </c>
      <c r="AF3461" s="2">
        <v>131.93</v>
      </c>
      <c r="AG3461" s="2">
        <v>220</v>
      </c>
      <c r="AI3461" s="2">
        <f t="shared" si="375"/>
        <v>0</v>
      </c>
      <c r="AJ3461" s="2">
        <f t="shared" si="373"/>
        <v>98.07</v>
      </c>
      <c r="AK3461" s="5">
        <f t="shared" si="372"/>
        <v>0.42639130434782607</v>
      </c>
    </row>
    <row r="3462" spans="1:37" x14ac:dyDescent="0.2">
      <c r="A3462" s="2">
        <v>2026</v>
      </c>
      <c r="B3462" s="2">
        <v>3</v>
      </c>
      <c r="C3462" s="2" t="s">
        <v>1430</v>
      </c>
      <c r="D3462" s="2" t="s">
        <v>109</v>
      </c>
      <c r="E3462" s="2" t="s">
        <v>39</v>
      </c>
      <c r="F3462" s="2">
        <v>502696338</v>
      </c>
      <c r="G3462" s="2" t="s">
        <v>40</v>
      </c>
      <c r="H3462" s="2" t="s">
        <v>2433</v>
      </c>
      <c r="I3462" s="2" t="s">
        <v>2434</v>
      </c>
      <c r="K3462" s="2" t="s">
        <v>202</v>
      </c>
      <c r="L3462" s="2" t="s">
        <v>81</v>
      </c>
      <c r="N3462" s="2" t="s">
        <v>2740</v>
      </c>
      <c r="O3462" s="2" t="s">
        <v>73</v>
      </c>
      <c r="P3462" s="2" t="s">
        <v>488</v>
      </c>
      <c r="Q3462" s="2" t="s">
        <v>75</v>
      </c>
      <c r="R3462" s="2">
        <v>1</v>
      </c>
      <c r="S3462" s="2">
        <v>218.5</v>
      </c>
      <c r="T3462" s="2">
        <v>50.255000000000003</v>
      </c>
      <c r="U3462" s="2">
        <v>268.755</v>
      </c>
      <c r="V3462" s="2">
        <v>131.93</v>
      </c>
      <c r="W3462" s="5">
        <f t="shared" si="376"/>
        <v>0.39620137299771163</v>
      </c>
      <c r="Y3462" s="2" t="s">
        <v>3256</v>
      </c>
      <c r="Z3462" s="2" t="s">
        <v>76</v>
      </c>
      <c r="AA3462" s="2" t="s">
        <v>77</v>
      </c>
      <c r="AB3462" s="2" t="s">
        <v>78</v>
      </c>
      <c r="AE3462" s="2">
        <f t="shared" si="374"/>
        <v>0</v>
      </c>
      <c r="AF3462" s="2">
        <v>131.93</v>
      </c>
      <c r="AG3462" s="2">
        <v>220</v>
      </c>
      <c r="AI3462" s="2">
        <f t="shared" si="375"/>
        <v>0</v>
      </c>
      <c r="AJ3462" s="2">
        <f t="shared" si="373"/>
        <v>86.57</v>
      </c>
      <c r="AK3462" s="5">
        <f t="shared" si="372"/>
        <v>0.39620137299771163</v>
      </c>
    </row>
    <row r="3463" spans="1:37" x14ac:dyDescent="0.2">
      <c r="A3463" s="2">
        <v>2026</v>
      </c>
      <c r="B3463" s="2">
        <v>3</v>
      </c>
      <c r="C3463" s="2" t="s">
        <v>37</v>
      </c>
      <c r="D3463" s="2" t="s">
        <v>38</v>
      </c>
      <c r="E3463" s="2" t="s">
        <v>39</v>
      </c>
      <c r="G3463" s="2" t="s">
        <v>40</v>
      </c>
      <c r="L3463" s="2" t="s">
        <v>81</v>
      </c>
      <c r="N3463" s="2" t="s">
        <v>2741</v>
      </c>
      <c r="O3463" s="2" t="s">
        <v>73</v>
      </c>
      <c r="P3463" s="2" t="s">
        <v>919</v>
      </c>
      <c r="Q3463" s="2" t="s">
        <v>75</v>
      </c>
      <c r="R3463" s="2">
        <v>1</v>
      </c>
      <c r="S3463" s="2">
        <v>283.07</v>
      </c>
      <c r="T3463" s="2">
        <v>65.106099999999998</v>
      </c>
      <c r="U3463" s="2">
        <v>348.17610000000002</v>
      </c>
      <c r="V3463" s="2">
        <v>121.07299999999999</v>
      </c>
      <c r="W3463" s="5">
        <f t="shared" si="376"/>
        <v>0.57228600699473631</v>
      </c>
      <c r="Y3463" s="2" t="s">
        <v>3256</v>
      </c>
      <c r="Z3463" s="2" t="s">
        <v>76</v>
      </c>
      <c r="AA3463" s="2" t="s">
        <v>77</v>
      </c>
      <c r="AB3463" s="2" t="s">
        <v>78</v>
      </c>
      <c r="AE3463" s="2">
        <f t="shared" si="374"/>
        <v>0</v>
      </c>
      <c r="AI3463" s="2">
        <f t="shared" si="375"/>
        <v>0</v>
      </c>
      <c r="AJ3463" s="2">
        <f t="shared" si="373"/>
        <v>161.99700000000001</v>
      </c>
      <c r="AK3463" s="5">
        <f t="shared" si="372"/>
        <v>0.57228600699473631</v>
      </c>
    </row>
    <row r="3464" spans="1:37" x14ac:dyDescent="0.2">
      <c r="A3464" s="2">
        <v>2026</v>
      </c>
      <c r="B3464" s="2">
        <v>3</v>
      </c>
      <c r="C3464" s="2" t="s">
        <v>780</v>
      </c>
      <c r="O3464" s="2" t="s">
        <v>73</v>
      </c>
      <c r="P3464" s="2" t="s">
        <v>919</v>
      </c>
      <c r="Q3464" s="2" t="s">
        <v>75</v>
      </c>
      <c r="R3464" s="2">
        <v>1</v>
      </c>
      <c r="S3464" s="2">
        <v>211.6</v>
      </c>
      <c r="T3464" s="2">
        <v>48.667999999999999</v>
      </c>
      <c r="U3464" s="2">
        <v>260.26799999999997</v>
      </c>
      <c r="V3464" s="2">
        <v>121.07299999999999</v>
      </c>
      <c r="W3464" s="5">
        <f t="shared" si="376"/>
        <v>0.42782136105860114</v>
      </c>
      <c r="Y3464" s="2" t="s">
        <v>3256</v>
      </c>
      <c r="Z3464" s="2" t="s">
        <v>76</v>
      </c>
      <c r="AA3464" s="2" t="s">
        <v>77</v>
      </c>
      <c r="AB3464" s="2" t="s">
        <v>78</v>
      </c>
      <c r="AE3464" s="2">
        <f t="shared" si="374"/>
        <v>0</v>
      </c>
      <c r="AI3464" s="2">
        <f t="shared" si="375"/>
        <v>0</v>
      </c>
      <c r="AJ3464" s="2">
        <f t="shared" si="373"/>
        <v>90.527000000000001</v>
      </c>
      <c r="AK3464" s="5">
        <f t="shared" si="372"/>
        <v>0.42782136105860114</v>
      </c>
    </row>
    <row r="3465" spans="1:37" x14ac:dyDescent="0.2">
      <c r="A3465" s="2">
        <v>2026</v>
      </c>
      <c r="B3465" s="2">
        <v>3</v>
      </c>
      <c r="C3465" s="2" t="s">
        <v>37</v>
      </c>
      <c r="D3465" s="2" t="s">
        <v>38</v>
      </c>
      <c r="E3465" s="2" t="s">
        <v>39</v>
      </c>
      <c r="G3465" s="2" t="s">
        <v>40</v>
      </c>
      <c r="L3465" s="2" t="s">
        <v>81</v>
      </c>
      <c r="N3465" s="2" t="s">
        <v>2742</v>
      </c>
      <c r="O3465" s="2" t="s">
        <v>73</v>
      </c>
      <c r="P3465" s="2" t="s">
        <v>2743</v>
      </c>
      <c r="Q3465" s="2" t="s">
        <v>383</v>
      </c>
      <c r="R3465" s="2">
        <v>1</v>
      </c>
      <c r="S3465" s="2">
        <v>260</v>
      </c>
      <c r="T3465" s="2">
        <v>59.8</v>
      </c>
      <c r="U3465" s="2">
        <v>319.8</v>
      </c>
      <c r="W3465" s="5">
        <f t="shared" si="376"/>
        <v>1</v>
      </c>
      <c r="Y3465" s="2" t="s">
        <v>3256</v>
      </c>
      <c r="Z3465" s="2" t="s">
        <v>76</v>
      </c>
      <c r="AA3465" s="2" t="s">
        <v>77</v>
      </c>
      <c r="AB3465" s="2" t="s">
        <v>78</v>
      </c>
      <c r="AE3465" s="2">
        <f t="shared" si="374"/>
        <v>0</v>
      </c>
      <c r="AI3465" s="2">
        <f t="shared" si="375"/>
        <v>0</v>
      </c>
      <c r="AJ3465" s="2">
        <f t="shared" si="373"/>
        <v>260</v>
      </c>
      <c r="AK3465" s="5">
        <f t="shared" si="372"/>
        <v>1</v>
      </c>
    </row>
    <row r="3466" spans="1:37" x14ac:dyDescent="0.2">
      <c r="A3466" s="2">
        <v>2026</v>
      </c>
      <c r="B3466" s="2">
        <v>3</v>
      </c>
      <c r="C3466" s="2" t="s">
        <v>1431</v>
      </c>
      <c r="D3466" s="2" t="s">
        <v>109</v>
      </c>
      <c r="E3466" s="2" t="s">
        <v>39</v>
      </c>
      <c r="F3466" s="2">
        <v>513795855</v>
      </c>
      <c r="G3466" s="2" t="s">
        <v>41</v>
      </c>
      <c r="H3466" s="2" t="s">
        <v>1282</v>
      </c>
      <c r="I3466" s="2" t="s">
        <v>2416</v>
      </c>
      <c r="K3466" s="2" t="s">
        <v>178</v>
      </c>
      <c r="L3466" s="2" t="s">
        <v>41</v>
      </c>
      <c r="O3466" s="2" t="s">
        <v>73</v>
      </c>
      <c r="P3466" s="2" t="s">
        <v>2743</v>
      </c>
      <c r="Q3466" s="2" t="s">
        <v>383</v>
      </c>
      <c r="R3466" s="2">
        <v>1</v>
      </c>
      <c r="S3466" s="2">
        <v>250</v>
      </c>
      <c r="T3466" s="2">
        <v>57.5</v>
      </c>
      <c r="U3466" s="2">
        <v>307.5</v>
      </c>
      <c r="W3466" s="5">
        <f t="shared" si="376"/>
        <v>1</v>
      </c>
      <c r="Y3466" s="2" t="s">
        <v>3256</v>
      </c>
      <c r="Z3466" s="2" t="s">
        <v>76</v>
      </c>
      <c r="AA3466" s="2" t="s">
        <v>77</v>
      </c>
      <c r="AB3466" s="2" t="s">
        <v>78</v>
      </c>
      <c r="AE3466" s="2">
        <f t="shared" si="374"/>
        <v>0</v>
      </c>
      <c r="AI3466" s="2">
        <f t="shared" si="375"/>
        <v>0</v>
      </c>
      <c r="AJ3466" s="2">
        <f t="shared" si="373"/>
        <v>250</v>
      </c>
      <c r="AK3466" s="5">
        <f t="shared" si="372"/>
        <v>1</v>
      </c>
    </row>
    <row r="3467" spans="1:37" x14ac:dyDescent="0.2">
      <c r="A3467" s="2">
        <v>2026</v>
      </c>
      <c r="B3467" s="2">
        <v>3</v>
      </c>
      <c r="C3467" s="2" t="s">
        <v>562</v>
      </c>
      <c r="D3467" s="2" t="s">
        <v>109</v>
      </c>
      <c r="E3467" s="2" t="s">
        <v>39</v>
      </c>
      <c r="F3467" s="2">
        <v>506517233</v>
      </c>
      <c r="G3467" s="2" t="s">
        <v>81</v>
      </c>
      <c r="H3467" s="2" t="s">
        <v>563</v>
      </c>
      <c r="I3467" s="2" t="s">
        <v>564</v>
      </c>
      <c r="K3467" s="2" t="s">
        <v>134</v>
      </c>
      <c r="L3467" s="2" t="s">
        <v>81</v>
      </c>
      <c r="O3467" s="2" t="s">
        <v>73</v>
      </c>
      <c r="P3467" s="2" t="s">
        <v>307</v>
      </c>
      <c r="Q3467" s="2" t="s">
        <v>308</v>
      </c>
      <c r="R3467" s="2">
        <v>1</v>
      </c>
      <c r="S3467" s="2">
        <v>136.6</v>
      </c>
      <c r="T3467" s="2">
        <v>31.417999999999999</v>
      </c>
      <c r="U3467" s="2">
        <v>168.018</v>
      </c>
      <c r="V3467" s="2">
        <v>119.33</v>
      </c>
      <c r="W3467" s="5">
        <f t="shared" si="376"/>
        <v>0.12642752562225473</v>
      </c>
      <c r="Y3467" s="2" t="s">
        <v>3256</v>
      </c>
      <c r="Z3467" s="2" t="s">
        <v>76</v>
      </c>
      <c r="AA3467" s="2" t="s">
        <v>77</v>
      </c>
      <c r="AB3467" s="2" t="s">
        <v>78</v>
      </c>
      <c r="AE3467" s="2">
        <f t="shared" si="374"/>
        <v>0</v>
      </c>
      <c r="AF3467" s="2">
        <v>119.33</v>
      </c>
      <c r="AG3467" s="2">
        <v>220</v>
      </c>
      <c r="AI3467" s="2">
        <f t="shared" si="375"/>
        <v>0</v>
      </c>
      <c r="AJ3467" s="2">
        <f t="shared" si="373"/>
        <v>17.269999999999996</v>
      </c>
      <c r="AK3467" s="5">
        <f t="shared" si="372"/>
        <v>0.12642752562225473</v>
      </c>
    </row>
    <row r="3468" spans="1:37" x14ac:dyDescent="0.2">
      <c r="A3468" s="2">
        <v>2026</v>
      </c>
      <c r="B3468" s="2">
        <v>3</v>
      </c>
      <c r="C3468" s="2" t="s">
        <v>1134</v>
      </c>
      <c r="D3468" s="2" t="s">
        <v>38</v>
      </c>
      <c r="E3468" s="2" t="s">
        <v>39</v>
      </c>
      <c r="F3468" s="2">
        <v>501551298</v>
      </c>
      <c r="G3468" s="2" t="s">
        <v>110</v>
      </c>
      <c r="H3468" s="2" t="s">
        <v>1135</v>
      </c>
      <c r="I3468" s="2" t="s">
        <v>1136</v>
      </c>
      <c r="K3468" s="2" t="s">
        <v>465</v>
      </c>
      <c r="L3468" s="2" t="s">
        <v>81</v>
      </c>
      <c r="N3468" s="2" t="s">
        <v>2744</v>
      </c>
      <c r="O3468" s="2" t="s">
        <v>73</v>
      </c>
      <c r="P3468" s="2" t="s">
        <v>307</v>
      </c>
      <c r="Q3468" s="2" t="s">
        <v>308</v>
      </c>
      <c r="R3468" s="2">
        <v>1</v>
      </c>
      <c r="S3468" s="2">
        <v>220</v>
      </c>
      <c r="T3468" s="2">
        <v>50.6</v>
      </c>
      <c r="U3468" s="2">
        <v>270.60000000000002</v>
      </c>
      <c r="V3468" s="2">
        <v>119.33</v>
      </c>
      <c r="W3468" s="5">
        <f t="shared" si="376"/>
        <v>0.4575909090909091</v>
      </c>
      <c r="Y3468" s="2" t="s">
        <v>3256</v>
      </c>
      <c r="Z3468" s="2" t="s">
        <v>76</v>
      </c>
      <c r="AA3468" s="2" t="s">
        <v>77</v>
      </c>
      <c r="AB3468" s="2" t="s">
        <v>78</v>
      </c>
      <c r="AE3468" s="2">
        <f t="shared" si="374"/>
        <v>0</v>
      </c>
      <c r="AF3468" s="2">
        <v>119.33</v>
      </c>
      <c r="AG3468" s="2">
        <v>220</v>
      </c>
      <c r="AI3468" s="2">
        <f t="shared" si="375"/>
        <v>0</v>
      </c>
      <c r="AJ3468" s="2">
        <f t="shared" si="373"/>
        <v>100.67</v>
      </c>
      <c r="AK3468" s="5">
        <f t="shared" si="372"/>
        <v>0.4575909090909091</v>
      </c>
    </row>
    <row r="3469" spans="1:37" x14ac:dyDescent="0.2">
      <c r="A3469" s="2">
        <v>2026</v>
      </c>
      <c r="B3469" s="2">
        <v>3</v>
      </c>
      <c r="C3469" s="2" t="s">
        <v>666</v>
      </c>
      <c r="D3469" s="2" t="s">
        <v>38</v>
      </c>
      <c r="E3469" s="2" t="s">
        <v>39</v>
      </c>
      <c r="F3469" s="2">
        <v>510651810</v>
      </c>
      <c r="G3469" s="2" t="s">
        <v>40</v>
      </c>
      <c r="H3469" s="2" t="s">
        <v>667</v>
      </c>
      <c r="I3469" s="2" t="s">
        <v>668</v>
      </c>
      <c r="K3469" s="2" t="s">
        <v>345</v>
      </c>
      <c r="L3469" s="2" t="s">
        <v>81</v>
      </c>
      <c r="O3469" s="2" t="s">
        <v>73</v>
      </c>
      <c r="P3469" s="2" t="s">
        <v>1044</v>
      </c>
      <c r="Q3469" s="2" t="s">
        <v>80</v>
      </c>
      <c r="R3469" s="2">
        <v>1</v>
      </c>
      <c r="S3469" s="2">
        <v>220</v>
      </c>
      <c r="T3469" s="2">
        <v>50.6</v>
      </c>
      <c r="U3469" s="2">
        <v>270.60000000000002</v>
      </c>
      <c r="V3469" s="2">
        <v>113.33</v>
      </c>
      <c r="W3469" s="5">
        <f t="shared" si="376"/>
        <v>0.48486363636363639</v>
      </c>
      <c r="Y3469" s="2" t="s">
        <v>3256</v>
      </c>
      <c r="Z3469" s="2" t="s">
        <v>76</v>
      </c>
      <c r="AA3469" s="2" t="s">
        <v>77</v>
      </c>
      <c r="AB3469" s="2" t="s">
        <v>78</v>
      </c>
      <c r="AE3469" s="2">
        <f t="shared" si="374"/>
        <v>0</v>
      </c>
      <c r="AF3469" s="2">
        <v>113.33</v>
      </c>
      <c r="AG3469" s="2">
        <v>220</v>
      </c>
      <c r="AI3469" s="2">
        <f t="shared" si="375"/>
        <v>0</v>
      </c>
      <c r="AJ3469" s="2">
        <f t="shared" si="373"/>
        <v>106.67</v>
      </c>
      <c r="AK3469" s="5">
        <f t="shared" si="372"/>
        <v>0.48486363636363639</v>
      </c>
    </row>
    <row r="3470" spans="1:37" x14ac:dyDescent="0.2">
      <c r="A3470" s="2">
        <v>2026</v>
      </c>
      <c r="B3470" s="2">
        <v>3</v>
      </c>
      <c r="C3470" s="2" t="s">
        <v>2745</v>
      </c>
      <c r="O3470" s="2" t="s">
        <v>73</v>
      </c>
      <c r="P3470" s="2" t="s">
        <v>561</v>
      </c>
      <c r="Q3470" s="2" t="s">
        <v>308</v>
      </c>
      <c r="R3470" s="2">
        <v>1</v>
      </c>
      <c r="S3470" s="2">
        <v>230</v>
      </c>
      <c r="T3470" s="2">
        <v>52.900000000000013</v>
      </c>
      <c r="U3470" s="2">
        <v>282.89999999999998</v>
      </c>
      <c r="V3470" s="2">
        <v>122.446</v>
      </c>
      <c r="W3470" s="5">
        <f t="shared" si="376"/>
        <v>0.46762608695652175</v>
      </c>
      <c r="Y3470" s="2" t="s">
        <v>3256</v>
      </c>
      <c r="Z3470" s="2" t="s">
        <v>76</v>
      </c>
      <c r="AA3470" s="2" t="s">
        <v>77</v>
      </c>
      <c r="AB3470" s="2" t="s">
        <v>78</v>
      </c>
      <c r="AE3470" s="2">
        <f t="shared" si="374"/>
        <v>0</v>
      </c>
      <c r="AF3470" s="2">
        <v>122.446</v>
      </c>
      <c r="AG3470" s="2">
        <v>230</v>
      </c>
      <c r="AI3470" s="2">
        <f t="shared" si="375"/>
        <v>0</v>
      </c>
      <c r="AJ3470" s="2">
        <f t="shared" si="373"/>
        <v>107.554</v>
      </c>
      <c r="AK3470" s="5">
        <f t="shared" si="372"/>
        <v>0.46762608695652175</v>
      </c>
    </row>
    <row r="3471" spans="1:37" x14ac:dyDescent="0.2">
      <c r="A3471" s="2">
        <v>2026</v>
      </c>
      <c r="B3471" s="2">
        <v>3</v>
      </c>
      <c r="C3471" s="2" t="s">
        <v>1062</v>
      </c>
      <c r="D3471" s="2" t="s">
        <v>184</v>
      </c>
      <c r="E3471" s="2" t="s">
        <v>1063</v>
      </c>
      <c r="F3471" s="2">
        <v>500199523</v>
      </c>
      <c r="G3471" s="2" t="s">
        <v>291</v>
      </c>
      <c r="H3471" s="2" t="s">
        <v>294</v>
      </c>
      <c r="I3471" s="2" t="s">
        <v>1064</v>
      </c>
      <c r="K3471" s="2" t="s">
        <v>294</v>
      </c>
      <c r="L3471" s="2" t="s">
        <v>81</v>
      </c>
      <c r="N3471" s="2" t="s">
        <v>2746</v>
      </c>
      <c r="O3471" s="2" t="s">
        <v>73</v>
      </c>
      <c r="P3471" s="2" t="s">
        <v>561</v>
      </c>
      <c r="Q3471" s="2" t="s">
        <v>308</v>
      </c>
      <c r="R3471" s="2">
        <v>2</v>
      </c>
      <c r="S3471" s="2">
        <v>460</v>
      </c>
      <c r="T3471" s="2">
        <v>105.8</v>
      </c>
      <c r="U3471" s="2">
        <v>565.79999999999995</v>
      </c>
      <c r="V3471" s="2">
        <v>244.892</v>
      </c>
      <c r="W3471" s="5">
        <f t="shared" si="376"/>
        <v>0.46762608695652175</v>
      </c>
      <c r="Y3471" s="2" t="s">
        <v>3256</v>
      </c>
      <c r="Z3471" s="2" t="s">
        <v>76</v>
      </c>
      <c r="AA3471" s="2" t="s">
        <v>77</v>
      </c>
      <c r="AB3471" s="2" t="s">
        <v>78</v>
      </c>
      <c r="AE3471" s="2">
        <f t="shared" si="374"/>
        <v>0</v>
      </c>
      <c r="AF3471" s="2">
        <v>122.446</v>
      </c>
      <c r="AG3471" s="2">
        <v>230</v>
      </c>
      <c r="AI3471" s="2">
        <f t="shared" si="375"/>
        <v>0</v>
      </c>
      <c r="AJ3471" s="2">
        <f t="shared" si="373"/>
        <v>215.108</v>
      </c>
      <c r="AK3471" s="5">
        <f t="shared" si="372"/>
        <v>0.46762608695652175</v>
      </c>
    </row>
    <row r="3472" spans="1:37" x14ac:dyDescent="0.2">
      <c r="A3472" s="2">
        <v>2026</v>
      </c>
      <c r="B3472" s="2">
        <v>3</v>
      </c>
      <c r="C3472" s="2" t="s">
        <v>2747</v>
      </c>
      <c r="O3472" s="2" t="s">
        <v>73</v>
      </c>
      <c r="P3472" s="2" t="s">
        <v>561</v>
      </c>
      <c r="Q3472" s="2" t="s">
        <v>308</v>
      </c>
      <c r="R3472" s="2">
        <v>1</v>
      </c>
      <c r="S3472" s="2">
        <v>230</v>
      </c>
      <c r="T3472" s="2">
        <v>52.900000000000013</v>
      </c>
      <c r="U3472" s="2">
        <v>282.89999999999998</v>
      </c>
      <c r="V3472" s="2">
        <v>122.446</v>
      </c>
      <c r="W3472" s="5">
        <f t="shared" si="376"/>
        <v>0.46762608695652175</v>
      </c>
      <c r="Y3472" s="2" t="s">
        <v>3256</v>
      </c>
      <c r="Z3472" s="2" t="s">
        <v>76</v>
      </c>
      <c r="AA3472" s="2" t="s">
        <v>77</v>
      </c>
      <c r="AB3472" s="2" t="s">
        <v>78</v>
      </c>
      <c r="AE3472" s="2">
        <f t="shared" si="374"/>
        <v>0</v>
      </c>
      <c r="AF3472" s="2">
        <v>122.446</v>
      </c>
      <c r="AG3472" s="2">
        <v>230</v>
      </c>
      <c r="AI3472" s="2">
        <f t="shared" si="375"/>
        <v>0</v>
      </c>
      <c r="AJ3472" s="2">
        <f t="shared" si="373"/>
        <v>107.554</v>
      </c>
      <c r="AK3472" s="5">
        <f t="shared" si="372"/>
        <v>0.46762608695652175</v>
      </c>
    </row>
    <row r="3473" spans="1:37" x14ac:dyDescent="0.2">
      <c r="A3473" s="2">
        <v>2026</v>
      </c>
      <c r="B3473" s="2">
        <v>3</v>
      </c>
      <c r="C3473" s="2" t="s">
        <v>2581</v>
      </c>
      <c r="L3473" s="2" t="s">
        <v>81</v>
      </c>
      <c r="O3473" s="2" t="s">
        <v>73</v>
      </c>
      <c r="P3473" s="2" t="s">
        <v>561</v>
      </c>
      <c r="Q3473" s="2" t="s">
        <v>308</v>
      </c>
      <c r="R3473" s="2">
        <v>1</v>
      </c>
      <c r="S3473" s="2">
        <v>230</v>
      </c>
      <c r="T3473" s="2">
        <v>52.900000000000013</v>
      </c>
      <c r="U3473" s="2">
        <v>282.89999999999998</v>
      </c>
      <c r="V3473" s="2">
        <v>122.446</v>
      </c>
      <c r="W3473" s="5">
        <f t="shared" si="376"/>
        <v>0.46762608695652175</v>
      </c>
      <c r="Y3473" s="2" t="s">
        <v>3256</v>
      </c>
      <c r="Z3473" s="2" t="s">
        <v>76</v>
      </c>
      <c r="AA3473" s="2" t="s">
        <v>77</v>
      </c>
      <c r="AB3473" s="2" t="s">
        <v>78</v>
      </c>
      <c r="AE3473" s="2">
        <f t="shared" si="374"/>
        <v>0</v>
      </c>
      <c r="AF3473" s="2">
        <v>122.446</v>
      </c>
      <c r="AG3473" s="2">
        <v>230</v>
      </c>
      <c r="AI3473" s="2">
        <f t="shared" si="375"/>
        <v>0</v>
      </c>
      <c r="AJ3473" s="2">
        <f t="shared" si="373"/>
        <v>107.554</v>
      </c>
      <c r="AK3473" s="5">
        <f t="shared" si="372"/>
        <v>0.46762608695652175</v>
      </c>
    </row>
    <row r="3474" spans="1:37" x14ac:dyDescent="0.2">
      <c r="A3474" s="2">
        <v>2026</v>
      </c>
      <c r="B3474" s="2">
        <v>3</v>
      </c>
      <c r="C3474" s="2" t="s">
        <v>315</v>
      </c>
      <c r="D3474" s="2" t="s">
        <v>109</v>
      </c>
      <c r="F3474" s="2">
        <v>503270520</v>
      </c>
      <c r="G3474" s="2" t="s">
        <v>40</v>
      </c>
      <c r="H3474" s="2" t="s">
        <v>316</v>
      </c>
      <c r="I3474" s="2" t="s">
        <v>317</v>
      </c>
      <c r="K3474" s="2" t="s">
        <v>100</v>
      </c>
      <c r="L3474" s="2" t="s">
        <v>81</v>
      </c>
      <c r="O3474" s="2" t="s">
        <v>73</v>
      </c>
      <c r="P3474" s="2" t="s">
        <v>1461</v>
      </c>
      <c r="Q3474" s="2" t="s">
        <v>308</v>
      </c>
      <c r="R3474" s="2">
        <v>1</v>
      </c>
      <c r="S3474" s="2">
        <v>230</v>
      </c>
      <c r="T3474" s="2">
        <v>52.900000000000013</v>
      </c>
      <c r="U3474" s="2">
        <v>282.89999999999998</v>
      </c>
      <c r="V3474" s="2">
        <v>122.446</v>
      </c>
      <c r="W3474" s="5">
        <f t="shared" si="376"/>
        <v>0.46762608695652175</v>
      </c>
      <c r="Y3474" s="2" t="s">
        <v>3256</v>
      </c>
      <c r="Z3474" s="2" t="s">
        <v>76</v>
      </c>
      <c r="AA3474" s="2" t="s">
        <v>77</v>
      </c>
      <c r="AB3474" s="2" t="s">
        <v>78</v>
      </c>
      <c r="AE3474" s="2">
        <f t="shared" si="374"/>
        <v>0</v>
      </c>
      <c r="AF3474" s="2">
        <v>122.446</v>
      </c>
      <c r="AG3474" s="2">
        <v>230</v>
      </c>
      <c r="AI3474" s="2">
        <f t="shared" si="375"/>
        <v>0</v>
      </c>
      <c r="AJ3474" s="2">
        <f t="shared" si="373"/>
        <v>107.554</v>
      </c>
      <c r="AK3474" s="5">
        <f t="shared" si="372"/>
        <v>0.46762608695652175</v>
      </c>
    </row>
    <row r="3475" spans="1:37" x14ac:dyDescent="0.2">
      <c r="A3475" s="2">
        <v>2026</v>
      </c>
      <c r="B3475" s="2">
        <v>3</v>
      </c>
      <c r="C3475" s="2" t="s">
        <v>1266</v>
      </c>
      <c r="O3475" s="2" t="s">
        <v>73</v>
      </c>
      <c r="P3475" s="2" t="s">
        <v>1461</v>
      </c>
      <c r="Q3475" s="2" t="s">
        <v>308</v>
      </c>
      <c r="R3475" s="2">
        <v>1</v>
      </c>
      <c r="S3475" s="2">
        <v>230</v>
      </c>
      <c r="T3475" s="2">
        <v>52.900000000000013</v>
      </c>
      <c r="U3475" s="2">
        <v>282.89999999999998</v>
      </c>
      <c r="V3475" s="2">
        <v>122.446</v>
      </c>
      <c r="W3475" s="5">
        <f t="shared" si="376"/>
        <v>0.46762608695652175</v>
      </c>
      <c r="Y3475" s="2" t="s">
        <v>3256</v>
      </c>
      <c r="Z3475" s="2" t="s">
        <v>76</v>
      </c>
      <c r="AA3475" s="2" t="s">
        <v>77</v>
      </c>
      <c r="AB3475" s="2" t="s">
        <v>78</v>
      </c>
      <c r="AE3475" s="2">
        <f t="shared" si="374"/>
        <v>0</v>
      </c>
      <c r="AF3475" s="2">
        <v>122.446</v>
      </c>
      <c r="AG3475" s="2">
        <v>230</v>
      </c>
      <c r="AI3475" s="2">
        <f t="shared" si="375"/>
        <v>0</v>
      </c>
      <c r="AJ3475" s="2">
        <f t="shared" si="373"/>
        <v>107.554</v>
      </c>
      <c r="AK3475" s="5">
        <f t="shared" si="372"/>
        <v>0.46762608695652175</v>
      </c>
    </row>
    <row r="3476" spans="1:37" x14ac:dyDescent="0.2">
      <c r="A3476" s="2">
        <v>2026</v>
      </c>
      <c r="B3476" s="2">
        <v>3</v>
      </c>
      <c r="C3476" s="2" t="s">
        <v>1062</v>
      </c>
      <c r="D3476" s="2" t="s">
        <v>184</v>
      </c>
      <c r="E3476" s="2" t="s">
        <v>1063</v>
      </c>
      <c r="F3476" s="2">
        <v>500199523</v>
      </c>
      <c r="G3476" s="2" t="s">
        <v>291</v>
      </c>
      <c r="H3476" s="2" t="s">
        <v>294</v>
      </c>
      <c r="I3476" s="2" t="s">
        <v>1064</v>
      </c>
      <c r="K3476" s="2" t="s">
        <v>294</v>
      </c>
      <c r="L3476" s="2" t="s">
        <v>81</v>
      </c>
      <c r="N3476" s="2" t="s">
        <v>2748</v>
      </c>
      <c r="O3476" s="2" t="s">
        <v>73</v>
      </c>
      <c r="P3476" s="2" t="s">
        <v>1461</v>
      </c>
      <c r="Q3476" s="2" t="s">
        <v>308</v>
      </c>
      <c r="R3476" s="2">
        <v>1</v>
      </c>
      <c r="S3476" s="2">
        <v>230</v>
      </c>
      <c r="T3476" s="2">
        <v>52.900000000000013</v>
      </c>
      <c r="U3476" s="2">
        <v>282.89999999999998</v>
      </c>
      <c r="V3476" s="2">
        <v>122.446</v>
      </c>
      <c r="W3476" s="5">
        <f t="shared" si="376"/>
        <v>0.46762608695652175</v>
      </c>
      <c r="Y3476" s="2" t="s">
        <v>3256</v>
      </c>
      <c r="Z3476" s="2" t="s">
        <v>76</v>
      </c>
      <c r="AA3476" s="2" t="s">
        <v>77</v>
      </c>
      <c r="AB3476" s="2" t="s">
        <v>78</v>
      </c>
      <c r="AE3476" s="2">
        <f t="shared" si="374"/>
        <v>0</v>
      </c>
      <c r="AF3476" s="2">
        <v>122.446</v>
      </c>
      <c r="AG3476" s="2">
        <v>230</v>
      </c>
      <c r="AI3476" s="2">
        <f t="shared" si="375"/>
        <v>0</v>
      </c>
      <c r="AJ3476" s="2">
        <f t="shared" si="373"/>
        <v>107.554</v>
      </c>
      <c r="AK3476" s="5">
        <f t="shared" si="372"/>
        <v>0.46762608695652175</v>
      </c>
    </row>
    <row r="3477" spans="1:37" x14ac:dyDescent="0.2">
      <c r="A3477" s="2">
        <v>2026</v>
      </c>
      <c r="B3477" s="2">
        <v>3</v>
      </c>
      <c r="C3477" s="2" t="s">
        <v>2749</v>
      </c>
      <c r="O3477" s="2" t="s">
        <v>73</v>
      </c>
      <c r="P3477" s="2" t="s">
        <v>326</v>
      </c>
      <c r="Q3477" s="2" t="s">
        <v>80</v>
      </c>
      <c r="R3477" s="2">
        <v>1</v>
      </c>
      <c r="S3477" s="2">
        <v>200</v>
      </c>
      <c r="T3477" s="2">
        <v>46</v>
      </c>
      <c r="U3477" s="2">
        <v>246</v>
      </c>
      <c r="V3477" s="2">
        <f>110.68*R3477</f>
        <v>110.68</v>
      </c>
      <c r="W3477" s="5">
        <f t="shared" si="376"/>
        <v>0.44659999999999994</v>
      </c>
      <c r="Y3477" s="2" t="s">
        <v>3256</v>
      </c>
      <c r="Z3477" s="2" t="s">
        <v>76</v>
      </c>
      <c r="AA3477" s="2" t="s">
        <v>77</v>
      </c>
      <c r="AB3477" s="2" t="s">
        <v>78</v>
      </c>
      <c r="AE3477" s="2">
        <f t="shared" si="374"/>
        <v>0</v>
      </c>
      <c r="AF3477" s="2">
        <v>110.68</v>
      </c>
      <c r="AG3477" s="2">
        <v>210</v>
      </c>
      <c r="AI3477" s="2">
        <f t="shared" si="375"/>
        <v>0</v>
      </c>
      <c r="AJ3477" s="2">
        <f t="shared" si="373"/>
        <v>89.32</v>
      </c>
      <c r="AK3477" s="5">
        <f t="shared" si="372"/>
        <v>0.44659999999999994</v>
      </c>
    </row>
    <row r="3478" spans="1:37" x14ac:dyDescent="0.2">
      <c r="A3478" s="2">
        <v>2026</v>
      </c>
      <c r="B3478" s="2">
        <v>3</v>
      </c>
      <c r="C3478" s="2" t="s">
        <v>1265</v>
      </c>
      <c r="L3478" s="2" t="s">
        <v>81</v>
      </c>
      <c r="O3478" s="2" t="s">
        <v>73</v>
      </c>
      <c r="P3478" s="2" t="s">
        <v>326</v>
      </c>
      <c r="Q3478" s="2" t="s">
        <v>80</v>
      </c>
      <c r="R3478" s="2">
        <v>1</v>
      </c>
      <c r="S3478" s="2">
        <v>200</v>
      </c>
      <c r="T3478" s="2">
        <v>46</v>
      </c>
      <c r="U3478" s="2">
        <v>246</v>
      </c>
      <c r="V3478" s="2">
        <f>110.68*R3478</f>
        <v>110.68</v>
      </c>
      <c r="W3478" s="5">
        <f t="shared" si="376"/>
        <v>0.44659999999999994</v>
      </c>
      <c r="Y3478" s="2" t="s">
        <v>3256</v>
      </c>
      <c r="Z3478" s="2" t="s">
        <v>76</v>
      </c>
      <c r="AA3478" s="2" t="s">
        <v>77</v>
      </c>
      <c r="AB3478" s="2" t="s">
        <v>78</v>
      </c>
      <c r="AE3478" s="2">
        <f t="shared" si="374"/>
        <v>0</v>
      </c>
      <c r="AF3478" s="2">
        <v>110.68</v>
      </c>
      <c r="AG3478" s="2">
        <v>210</v>
      </c>
      <c r="AI3478" s="2">
        <f t="shared" si="375"/>
        <v>0</v>
      </c>
      <c r="AJ3478" s="2">
        <f t="shared" si="373"/>
        <v>89.32</v>
      </c>
      <c r="AK3478" s="5">
        <f t="shared" si="372"/>
        <v>0.44659999999999994</v>
      </c>
    </row>
    <row r="3479" spans="1:37" x14ac:dyDescent="0.2">
      <c r="A3479" s="2">
        <v>2026</v>
      </c>
      <c r="B3479" s="2">
        <v>3</v>
      </c>
      <c r="C3479" s="2" t="s">
        <v>37</v>
      </c>
      <c r="D3479" s="2" t="s">
        <v>38</v>
      </c>
      <c r="E3479" s="2" t="s">
        <v>39</v>
      </c>
      <c r="F3479" s="2">
        <v>161205976</v>
      </c>
      <c r="G3479" s="2" t="s">
        <v>40</v>
      </c>
      <c r="H3479" s="2" t="s">
        <v>157</v>
      </c>
      <c r="K3479" s="2" t="s">
        <v>100</v>
      </c>
      <c r="L3479" s="2" t="s">
        <v>81</v>
      </c>
      <c r="N3479" s="2" t="s">
        <v>2750</v>
      </c>
      <c r="O3479" s="2" t="s">
        <v>73</v>
      </c>
      <c r="P3479" s="2" t="s">
        <v>537</v>
      </c>
      <c r="Q3479" s="2" t="s">
        <v>538</v>
      </c>
      <c r="R3479" s="2">
        <v>1</v>
      </c>
      <c r="S3479" s="2">
        <v>194.75</v>
      </c>
      <c r="T3479" s="2">
        <v>44.792499999999997</v>
      </c>
      <c r="U3479" s="2">
        <v>239.54249999999999</v>
      </c>
      <c r="V3479" s="2">
        <f>110.125+11.77</f>
        <v>121.895</v>
      </c>
      <c r="W3479" s="5">
        <f t="shared" si="376"/>
        <v>0.37409499358151477</v>
      </c>
      <c r="Y3479" s="2" t="s">
        <v>3256</v>
      </c>
      <c r="Z3479" s="2" t="s">
        <v>76</v>
      </c>
      <c r="AA3479" s="2" t="s">
        <v>77</v>
      </c>
      <c r="AB3479" s="2" t="s">
        <v>78</v>
      </c>
      <c r="AE3479" s="2">
        <f t="shared" si="374"/>
        <v>0</v>
      </c>
      <c r="AF3479" s="2">
        <f>110.125+11.77</f>
        <v>121.895</v>
      </c>
      <c r="AI3479" s="2">
        <f t="shared" si="375"/>
        <v>0</v>
      </c>
      <c r="AJ3479" s="2">
        <f t="shared" si="373"/>
        <v>72.855000000000004</v>
      </c>
      <c r="AK3479" s="5">
        <f t="shared" si="372"/>
        <v>0.37409499358151477</v>
      </c>
    </row>
    <row r="3480" spans="1:37" x14ac:dyDescent="0.2">
      <c r="A3480" s="2">
        <v>2026</v>
      </c>
      <c r="B3480" s="2">
        <v>3</v>
      </c>
      <c r="C3480" s="2" t="s">
        <v>2751</v>
      </c>
      <c r="O3480" s="2" t="s">
        <v>73</v>
      </c>
      <c r="P3480" s="2" t="s">
        <v>2752</v>
      </c>
      <c r="Q3480" s="2" t="s">
        <v>80</v>
      </c>
      <c r="R3480" s="2">
        <v>1</v>
      </c>
      <c r="S3480" s="2">
        <v>220</v>
      </c>
      <c r="T3480" s="2">
        <v>50.6</v>
      </c>
      <c r="U3480" s="2">
        <v>270.60000000000002</v>
      </c>
      <c r="W3480" s="5">
        <f t="shared" si="376"/>
        <v>1</v>
      </c>
      <c r="Y3480" s="2" t="s">
        <v>3256</v>
      </c>
      <c r="Z3480" s="2" t="s">
        <v>76</v>
      </c>
      <c r="AA3480" s="2" t="s">
        <v>77</v>
      </c>
      <c r="AB3480" s="2" t="s">
        <v>78</v>
      </c>
      <c r="AE3480" s="2">
        <f t="shared" si="374"/>
        <v>0</v>
      </c>
      <c r="AI3480" s="2">
        <f t="shared" si="375"/>
        <v>0</v>
      </c>
      <c r="AJ3480" s="2">
        <f t="shared" si="373"/>
        <v>220</v>
      </c>
      <c r="AK3480" s="5">
        <f t="shared" si="372"/>
        <v>1</v>
      </c>
    </row>
    <row r="3481" spans="1:37" x14ac:dyDescent="0.2">
      <c r="A3481" s="2">
        <v>2026</v>
      </c>
      <c r="B3481" s="2">
        <v>3</v>
      </c>
      <c r="C3481" s="2" t="s">
        <v>755</v>
      </c>
      <c r="D3481" s="2" t="s">
        <v>109</v>
      </c>
      <c r="E3481" s="2" t="s">
        <v>39</v>
      </c>
      <c r="F3481" s="2">
        <v>510039537</v>
      </c>
      <c r="G3481" s="2" t="s">
        <v>40</v>
      </c>
      <c r="H3481" s="2" t="s">
        <v>576</v>
      </c>
      <c r="I3481" s="2" t="s">
        <v>756</v>
      </c>
      <c r="J3481" s="2">
        <v>969042927</v>
      </c>
      <c r="K3481" s="2" t="s">
        <v>576</v>
      </c>
      <c r="L3481" s="2" t="s">
        <v>81</v>
      </c>
      <c r="O3481" s="2" t="s">
        <v>73</v>
      </c>
      <c r="P3481" s="2" t="s">
        <v>1201</v>
      </c>
      <c r="Q3481" s="2" t="s">
        <v>198</v>
      </c>
      <c r="R3481" s="2">
        <v>1</v>
      </c>
      <c r="S3481" s="2">
        <v>270</v>
      </c>
      <c r="T3481" s="2">
        <v>62.1</v>
      </c>
      <c r="U3481" s="2">
        <v>332.1</v>
      </c>
      <c r="W3481" s="5">
        <f t="shared" si="376"/>
        <v>1</v>
      </c>
      <c r="Y3481" s="2" t="s">
        <v>3256</v>
      </c>
      <c r="Z3481" s="2" t="s">
        <v>76</v>
      </c>
      <c r="AA3481" s="2" t="s">
        <v>77</v>
      </c>
      <c r="AB3481" s="2" t="s">
        <v>78</v>
      </c>
      <c r="AE3481" s="2">
        <f t="shared" si="374"/>
        <v>0</v>
      </c>
      <c r="AI3481" s="2">
        <f t="shared" si="375"/>
        <v>0</v>
      </c>
      <c r="AJ3481" s="2">
        <f t="shared" si="373"/>
        <v>270</v>
      </c>
      <c r="AK3481" s="5">
        <f t="shared" si="372"/>
        <v>1</v>
      </c>
    </row>
    <row r="3482" spans="1:37" x14ac:dyDescent="0.2">
      <c r="A3482" s="2">
        <v>2026</v>
      </c>
      <c r="B3482" s="2">
        <v>3</v>
      </c>
      <c r="C3482" s="2" t="s">
        <v>511</v>
      </c>
      <c r="D3482" s="2" t="s">
        <v>38</v>
      </c>
      <c r="E3482" s="2" t="s">
        <v>39</v>
      </c>
      <c r="F3482" s="2">
        <v>514446170</v>
      </c>
      <c r="G3482" s="2" t="s">
        <v>41</v>
      </c>
      <c r="H3482" s="2" t="s">
        <v>178</v>
      </c>
      <c r="I3482" s="2" t="s">
        <v>3158</v>
      </c>
      <c r="K3482" s="2" t="s">
        <v>178</v>
      </c>
      <c r="L3482" s="2" t="s">
        <v>41</v>
      </c>
      <c r="N3482" s="2" t="s">
        <v>2753</v>
      </c>
      <c r="O3482" s="2" t="s">
        <v>73</v>
      </c>
      <c r="P3482" s="2" t="s">
        <v>1084</v>
      </c>
      <c r="Q3482" s="2" t="s">
        <v>84</v>
      </c>
      <c r="R3482" s="2">
        <v>1</v>
      </c>
      <c r="S3482" s="2">
        <v>240</v>
      </c>
      <c r="T3482" s="2">
        <v>55.2</v>
      </c>
      <c r="U3482" s="2">
        <v>295.2</v>
      </c>
      <c r="V3482" s="2">
        <v>159.54</v>
      </c>
      <c r="W3482" s="5">
        <f t="shared" si="376"/>
        <v>0.33525000000000005</v>
      </c>
      <c r="Y3482" s="2" t="s">
        <v>3256</v>
      </c>
      <c r="Z3482" s="2" t="s">
        <v>76</v>
      </c>
      <c r="AA3482" s="2" t="s">
        <v>77</v>
      </c>
      <c r="AB3482" s="2" t="s">
        <v>78</v>
      </c>
      <c r="AE3482" s="2">
        <f t="shared" si="374"/>
        <v>0</v>
      </c>
      <c r="AF3482" s="2">
        <f>144.14+15.4</f>
        <v>159.54</v>
      </c>
      <c r="AG3482" s="2">
        <v>280</v>
      </c>
      <c r="AI3482" s="2">
        <f t="shared" si="375"/>
        <v>0</v>
      </c>
      <c r="AJ3482" s="2">
        <f t="shared" si="373"/>
        <v>80.460000000000008</v>
      </c>
      <c r="AK3482" s="5">
        <f t="shared" si="372"/>
        <v>0.33525000000000005</v>
      </c>
    </row>
    <row r="3483" spans="1:37" x14ac:dyDescent="0.2">
      <c r="A3483" s="2">
        <v>2026</v>
      </c>
      <c r="B3483" s="2">
        <v>3</v>
      </c>
      <c r="C3483" s="2" t="s">
        <v>2581</v>
      </c>
      <c r="L3483" s="2" t="s">
        <v>81</v>
      </c>
      <c r="N3483" s="2" t="s">
        <v>2754</v>
      </c>
      <c r="O3483" s="2" t="s">
        <v>73</v>
      </c>
      <c r="P3483" s="2" t="s">
        <v>1084</v>
      </c>
      <c r="Q3483" s="2" t="s">
        <v>84</v>
      </c>
      <c r="R3483" s="2">
        <v>1</v>
      </c>
      <c r="S3483" s="2">
        <v>280</v>
      </c>
      <c r="T3483" s="2">
        <v>64.400000000000006</v>
      </c>
      <c r="U3483" s="2">
        <v>344.4</v>
      </c>
      <c r="V3483" s="2">
        <v>159.54</v>
      </c>
      <c r="W3483" s="5">
        <f t="shared" si="376"/>
        <v>0.43021428571428572</v>
      </c>
      <c r="Y3483" s="2" t="s">
        <v>3256</v>
      </c>
      <c r="Z3483" s="2" t="s">
        <v>76</v>
      </c>
      <c r="AA3483" s="2" t="s">
        <v>77</v>
      </c>
      <c r="AB3483" s="2" t="s">
        <v>78</v>
      </c>
      <c r="AE3483" s="2">
        <f t="shared" si="374"/>
        <v>0</v>
      </c>
      <c r="AF3483" s="2">
        <f>144.14+15.4</f>
        <v>159.54</v>
      </c>
      <c r="AG3483" s="2">
        <v>280</v>
      </c>
      <c r="AI3483" s="2">
        <f t="shared" si="375"/>
        <v>0</v>
      </c>
      <c r="AJ3483" s="2">
        <f t="shared" si="373"/>
        <v>120.46000000000001</v>
      </c>
      <c r="AK3483" s="5">
        <f t="shared" si="372"/>
        <v>0.43021428571428572</v>
      </c>
    </row>
    <row r="3484" spans="1:37" x14ac:dyDescent="0.2">
      <c r="A3484" s="2">
        <v>2026</v>
      </c>
      <c r="B3484" s="2">
        <v>3</v>
      </c>
      <c r="C3484" s="2" t="s">
        <v>37</v>
      </c>
      <c r="D3484" s="2" t="s">
        <v>38</v>
      </c>
      <c r="E3484" s="2" t="s">
        <v>39</v>
      </c>
      <c r="G3484" s="2" t="s">
        <v>40</v>
      </c>
      <c r="L3484" s="2" t="s">
        <v>81</v>
      </c>
      <c r="N3484" s="2" t="s">
        <v>2755</v>
      </c>
      <c r="O3484" s="2" t="s">
        <v>73</v>
      </c>
      <c r="P3484" s="2" t="s">
        <v>203</v>
      </c>
      <c r="Q3484" s="2" t="s">
        <v>198</v>
      </c>
      <c r="R3484" s="8">
        <v>1</v>
      </c>
      <c r="S3484" s="2">
        <v>315.58999999999997</v>
      </c>
      <c r="T3484" s="2">
        <v>72.585700000000003</v>
      </c>
      <c r="U3484" s="2">
        <v>388.17570000000001</v>
      </c>
      <c r="V3484" s="2">
        <v>152.85</v>
      </c>
      <c r="W3484" s="5">
        <f t="shared" si="376"/>
        <v>0.51566906429227799</v>
      </c>
      <c r="Y3484" s="2" t="s">
        <v>3256</v>
      </c>
      <c r="Z3484" s="2" t="s">
        <v>76</v>
      </c>
      <c r="AA3484" s="2" t="s">
        <v>77</v>
      </c>
      <c r="AB3484" s="2" t="s">
        <v>78</v>
      </c>
      <c r="AE3484" s="2">
        <f t="shared" si="374"/>
        <v>0</v>
      </c>
      <c r="AF3484" s="2">
        <v>152.85</v>
      </c>
      <c r="AG3484" s="2">
        <v>260</v>
      </c>
      <c r="AI3484" s="2">
        <f t="shared" si="375"/>
        <v>0</v>
      </c>
      <c r="AJ3484" s="2">
        <f t="shared" si="373"/>
        <v>162.73999999999998</v>
      </c>
      <c r="AK3484" s="5">
        <f t="shared" si="372"/>
        <v>0.51566906429227799</v>
      </c>
    </row>
    <row r="3485" spans="1:37" x14ac:dyDescent="0.2">
      <c r="A3485" s="2">
        <v>2026</v>
      </c>
      <c r="B3485" s="2">
        <v>3</v>
      </c>
      <c r="C3485" s="2" t="s">
        <v>1159</v>
      </c>
      <c r="D3485" s="2" t="s">
        <v>109</v>
      </c>
      <c r="E3485" s="2" t="s">
        <v>39</v>
      </c>
      <c r="F3485" s="2">
        <v>504039733</v>
      </c>
      <c r="G3485" s="2" t="s">
        <v>110</v>
      </c>
      <c r="H3485" s="2" t="s">
        <v>2500</v>
      </c>
      <c r="I3485" s="2" t="s">
        <v>1485</v>
      </c>
      <c r="J3485" s="2">
        <v>938183284</v>
      </c>
      <c r="K3485" s="2" t="s">
        <v>134</v>
      </c>
      <c r="L3485" s="2" t="s">
        <v>110</v>
      </c>
      <c r="N3485" s="2" t="s">
        <v>2756</v>
      </c>
      <c r="O3485" s="2" t="s">
        <v>73</v>
      </c>
      <c r="P3485" s="2" t="s">
        <v>203</v>
      </c>
      <c r="Q3485" s="2" t="s">
        <v>198</v>
      </c>
      <c r="R3485" s="8">
        <v>1</v>
      </c>
      <c r="S3485" s="2">
        <v>247</v>
      </c>
      <c r="T3485" s="2">
        <v>56.81</v>
      </c>
      <c r="U3485" s="2">
        <v>303.81</v>
      </c>
      <c r="V3485" s="2">
        <v>152.85</v>
      </c>
      <c r="W3485" s="5">
        <f t="shared" si="376"/>
        <v>0.38117408906882594</v>
      </c>
      <c r="Y3485" s="2" t="s">
        <v>3256</v>
      </c>
      <c r="Z3485" s="2" t="s">
        <v>76</v>
      </c>
      <c r="AA3485" s="2" t="s">
        <v>77</v>
      </c>
      <c r="AB3485" s="2" t="s">
        <v>78</v>
      </c>
      <c r="AE3485" s="2">
        <f t="shared" si="374"/>
        <v>0</v>
      </c>
      <c r="AF3485" s="2">
        <v>152.85</v>
      </c>
      <c r="AG3485" s="2">
        <v>260</v>
      </c>
      <c r="AI3485" s="2">
        <f t="shared" si="375"/>
        <v>0</v>
      </c>
      <c r="AJ3485" s="2">
        <f t="shared" si="373"/>
        <v>94.15</v>
      </c>
      <c r="AK3485" s="5">
        <f t="shared" si="372"/>
        <v>0.38117408906882594</v>
      </c>
    </row>
    <row r="3486" spans="1:37" x14ac:dyDescent="0.2">
      <c r="A3486" s="2">
        <v>2026</v>
      </c>
      <c r="B3486" s="2">
        <v>3</v>
      </c>
      <c r="C3486" s="2" t="s">
        <v>587</v>
      </c>
      <c r="D3486" s="2" t="s">
        <v>109</v>
      </c>
      <c r="F3486" s="2">
        <v>503850276</v>
      </c>
      <c r="G3486" s="2" t="s">
        <v>40</v>
      </c>
      <c r="H3486" s="2" t="s">
        <v>588</v>
      </c>
      <c r="I3486" s="2" t="s">
        <v>589</v>
      </c>
      <c r="K3486" s="2" t="s">
        <v>202</v>
      </c>
      <c r="L3486" s="2" t="s">
        <v>81</v>
      </c>
      <c r="O3486" s="2" t="s">
        <v>73</v>
      </c>
      <c r="P3486" s="2" t="s">
        <v>2757</v>
      </c>
      <c r="Q3486" s="2" t="s">
        <v>970</v>
      </c>
      <c r="R3486" s="2">
        <v>1</v>
      </c>
      <c r="S3486" s="2">
        <v>349.6</v>
      </c>
      <c r="T3486" s="2">
        <v>80.408000000000015</v>
      </c>
      <c r="U3486" s="2">
        <v>430.00799999999998</v>
      </c>
      <c r="W3486" s="5">
        <f t="shared" si="376"/>
        <v>1</v>
      </c>
      <c r="Y3486" s="2" t="s">
        <v>3256</v>
      </c>
      <c r="Z3486" s="2" t="s">
        <v>76</v>
      </c>
      <c r="AA3486" s="2" t="s">
        <v>77</v>
      </c>
      <c r="AB3486" s="2" t="s">
        <v>78</v>
      </c>
      <c r="AE3486" s="2">
        <f t="shared" si="374"/>
        <v>0</v>
      </c>
      <c r="AI3486" s="2">
        <f t="shared" si="375"/>
        <v>0</v>
      </c>
      <c r="AJ3486" s="2">
        <f t="shared" si="373"/>
        <v>349.6</v>
      </c>
      <c r="AK3486" s="5">
        <f t="shared" si="372"/>
        <v>1</v>
      </c>
    </row>
    <row r="3487" spans="1:37" x14ac:dyDescent="0.2">
      <c r="A3487" s="2">
        <v>2026</v>
      </c>
      <c r="B3487" s="2">
        <v>3</v>
      </c>
      <c r="C3487" s="2" t="s">
        <v>562</v>
      </c>
      <c r="D3487" s="2" t="s">
        <v>109</v>
      </c>
      <c r="E3487" s="2" t="s">
        <v>39</v>
      </c>
      <c r="F3487" s="2">
        <v>506517233</v>
      </c>
      <c r="G3487" s="2" t="s">
        <v>81</v>
      </c>
      <c r="H3487" s="2" t="s">
        <v>563</v>
      </c>
      <c r="I3487" s="2" t="s">
        <v>564</v>
      </c>
      <c r="K3487" s="2" t="s">
        <v>134</v>
      </c>
      <c r="L3487" s="2" t="s">
        <v>81</v>
      </c>
      <c r="O3487" s="2" t="s">
        <v>73</v>
      </c>
      <c r="P3487" s="2" t="s">
        <v>207</v>
      </c>
      <c r="Q3487" s="2" t="s">
        <v>208</v>
      </c>
      <c r="R3487" s="2">
        <v>1</v>
      </c>
      <c r="S3487" s="2">
        <v>327.23</v>
      </c>
      <c r="T3487" s="2">
        <v>75.262900000000002</v>
      </c>
      <c r="U3487" s="2">
        <v>402.49290000000002</v>
      </c>
      <c r="V3487" s="2">
        <f>291.59*R3487</f>
        <v>291.58999999999997</v>
      </c>
      <c r="W3487" s="5">
        <f t="shared" si="376"/>
        <v>0.1089142193564161</v>
      </c>
      <c r="Y3487" s="2" t="s">
        <v>3256</v>
      </c>
      <c r="Z3487" s="2" t="s">
        <v>76</v>
      </c>
      <c r="AA3487" s="2" t="s">
        <v>77</v>
      </c>
      <c r="AB3487" s="2" t="s">
        <v>78</v>
      </c>
      <c r="AE3487" s="2">
        <f t="shared" si="374"/>
        <v>0</v>
      </c>
      <c r="AF3487" s="2">
        <v>291.58999999999997</v>
      </c>
      <c r="AG3487" s="2">
        <v>450</v>
      </c>
      <c r="AI3487" s="2">
        <f t="shared" si="375"/>
        <v>0</v>
      </c>
      <c r="AJ3487" s="2">
        <f t="shared" si="373"/>
        <v>35.640000000000043</v>
      </c>
      <c r="AK3487" s="5">
        <f t="shared" si="372"/>
        <v>0.1089142193564161</v>
      </c>
    </row>
    <row r="3488" spans="1:37" x14ac:dyDescent="0.2">
      <c r="A3488" s="2">
        <v>2026</v>
      </c>
      <c r="B3488" s="2">
        <v>3</v>
      </c>
      <c r="C3488" s="2" t="s">
        <v>2165</v>
      </c>
      <c r="H3488" s="2" t="s">
        <v>316</v>
      </c>
      <c r="K3488" s="2" t="s">
        <v>100</v>
      </c>
      <c r="L3488" s="2" t="s">
        <v>81</v>
      </c>
      <c r="O3488" s="2" t="s">
        <v>73</v>
      </c>
      <c r="P3488" s="2" t="s">
        <v>2758</v>
      </c>
      <c r="Q3488" s="2" t="s">
        <v>208</v>
      </c>
      <c r="R3488" s="2">
        <v>1</v>
      </c>
      <c r="S3488" s="2">
        <v>530</v>
      </c>
      <c r="T3488" s="2">
        <v>121.9</v>
      </c>
      <c r="U3488" s="2">
        <v>651.9</v>
      </c>
      <c r="V3488" s="2">
        <v>278.5</v>
      </c>
      <c r="W3488" s="5">
        <f t="shared" si="376"/>
        <v>0.47452830188679246</v>
      </c>
      <c r="Y3488" s="2" t="s">
        <v>3256</v>
      </c>
      <c r="Z3488" s="2" t="s">
        <v>76</v>
      </c>
      <c r="AA3488" s="2" t="s">
        <v>77</v>
      </c>
      <c r="AB3488" s="2" t="s">
        <v>78</v>
      </c>
      <c r="AE3488" s="2">
        <f t="shared" si="374"/>
        <v>0</v>
      </c>
      <c r="AI3488" s="2">
        <f t="shared" si="375"/>
        <v>0</v>
      </c>
      <c r="AJ3488" s="2">
        <f t="shared" si="373"/>
        <v>251.5</v>
      </c>
      <c r="AK3488" s="5">
        <f t="shared" si="372"/>
        <v>0.47452830188679246</v>
      </c>
    </row>
    <row r="3489" spans="1:37" x14ac:dyDescent="0.2">
      <c r="A3489" s="2">
        <v>2026</v>
      </c>
      <c r="B3489" s="2">
        <v>3</v>
      </c>
      <c r="C3489" s="2" t="s">
        <v>37</v>
      </c>
      <c r="D3489" s="2" t="s">
        <v>38</v>
      </c>
      <c r="E3489" s="2" t="s">
        <v>39</v>
      </c>
      <c r="G3489" s="2" t="s">
        <v>40</v>
      </c>
      <c r="O3489" s="2" t="s">
        <v>1047</v>
      </c>
      <c r="P3489" s="2" t="s">
        <v>2759</v>
      </c>
      <c r="Q3489" s="2" t="s">
        <v>2760</v>
      </c>
      <c r="R3489" s="2">
        <v>1</v>
      </c>
      <c r="S3489" s="2">
        <v>450</v>
      </c>
      <c r="T3489" s="2">
        <v>103.5</v>
      </c>
      <c r="U3489" s="2">
        <v>553.5</v>
      </c>
      <c r="V3489" s="2">
        <v>286.83999999999997</v>
      </c>
      <c r="W3489" s="5">
        <f t="shared" si="376"/>
        <v>0.36257777777777783</v>
      </c>
      <c r="Y3489" s="2" t="s">
        <v>3256</v>
      </c>
      <c r="Z3489" s="2" t="s">
        <v>76</v>
      </c>
      <c r="AA3489" s="2" t="s">
        <v>77</v>
      </c>
      <c r="AB3489" s="2" t="s">
        <v>1047</v>
      </c>
      <c r="AE3489" s="2">
        <f t="shared" si="374"/>
        <v>0</v>
      </c>
      <c r="AI3489" s="2">
        <f t="shared" si="375"/>
        <v>0</v>
      </c>
      <c r="AJ3489" s="2">
        <f t="shared" si="373"/>
        <v>163.16000000000003</v>
      </c>
      <c r="AK3489" s="5">
        <f t="shared" si="372"/>
        <v>0.36257777777777783</v>
      </c>
    </row>
    <row r="3490" spans="1:37" x14ac:dyDescent="0.2">
      <c r="A3490" s="2">
        <v>2026</v>
      </c>
      <c r="B3490" s="2">
        <v>3</v>
      </c>
      <c r="C3490" s="2" t="s">
        <v>37</v>
      </c>
      <c r="D3490" s="2" t="s">
        <v>38</v>
      </c>
      <c r="E3490" s="2" t="s">
        <v>39</v>
      </c>
      <c r="F3490" s="2">
        <v>119493381</v>
      </c>
      <c r="G3490" s="2" t="s">
        <v>40</v>
      </c>
      <c r="H3490" s="2" t="s">
        <v>3179</v>
      </c>
      <c r="K3490" s="2" t="s">
        <v>100</v>
      </c>
      <c r="L3490" s="2" t="s">
        <v>81</v>
      </c>
      <c r="N3490" s="2" t="s">
        <v>3178</v>
      </c>
      <c r="O3490" s="2" t="s">
        <v>1047</v>
      </c>
      <c r="P3490" s="2" t="s">
        <v>1852</v>
      </c>
      <c r="Q3490" s="2" t="s">
        <v>1853</v>
      </c>
      <c r="R3490" s="2">
        <v>1</v>
      </c>
      <c r="S3490" s="2">
        <v>364.37</v>
      </c>
      <c r="T3490" s="2">
        <v>83.80510000000001</v>
      </c>
      <c r="U3490" s="2">
        <v>448.17509999999999</v>
      </c>
      <c r="V3490" s="2">
        <v>157.85</v>
      </c>
      <c r="W3490" s="5">
        <f t="shared" si="376"/>
        <v>0.56678650821966681</v>
      </c>
      <c r="Y3490" s="2" t="s">
        <v>3256</v>
      </c>
      <c r="Z3490" s="2" t="s">
        <v>76</v>
      </c>
      <c r="AA3490" s="2" t="s">
        <v>77</v>
      </c>
      <c r="AB3490" s="2" t="s">
        <v>1047</v>
      </c>
      <c r="AE3490" s="2">
        <f t="shared" si="374"/>
        <v>0</v>
      </c>
      <c r="AF3490" s="2">
        <v>157.85</v>
      </c>
      <c r="AI3490" s="2">
        <f t="shared" si="375"/>
        <v>0</v>
      </c>
      <c r="AJ3490" s="2">
        <f t="shared" si="373"/>
        <v>206.52</v>
      </c>
      <c r="AK3490" s="5">
        <f t="shared" si="372"/>
        <v>0.56678650821966681</v>
      </c>
    </row>
    <row r="3491" spans="1:37" x14ac:dyDescent="0.2">
      <c r="A3491" s="2">
        <v>2026</v>
      </c>
      <c r="B3491" s="2">
        <v>3</v>
      </c>
      <c r="C3491" s="2" t="s">
        <v>1569</v>
      </c>
      <c r="D3491" s="2" t="s">
        <v>109</v>
      </c>
      <c r="E3491" s="2" t="s">
        <v>723</v>
      </c>
      <c r="F3491" s="2">
        <v>500975914</v>
      </c>
      <c r="G3491" s="2" t="s">
        <v>41</v>
      </c>
      <c r="H3491" s="2" t="s">
        <v>1570</v>
      </c>
      <c r="I3491" s="2" t="s">
        <v>1571</v>
      </c>
      <c r="K3491" s="2" t="s">
        <v>100</v>
      </c>
      <c r="L3491" s="2" t="s">
        <v>41</v>
      </c>
      <c r="O3491" s="2" t="s">
        <v>1047</v>
      </c>
      <c r="P3491" s="2" t="s">
        <v>2761</v>
      </c>
      <c r="Q3491" s="2" t="s">
        <v>2762</v>
      </c>
      <c r="R3491" s="2">
        <v>1</v>
      </c>
      <c r="S3491" s="2">
        <v>290</v>
      </c>
      <c r="T3491" s="2">
        <v>66.7</v>
      </c>
      <c r="U3491" s="2">
        <v>356.7</v>
      </c>
      <c r="W3491" s="5">
        <f t="shared" si="376"/>
        <v>1</v>
      </c>
      <c r="Y3491" s="2" t="s">
        <v>3256</v>
      </c>
      <c r="Z3491" s="2" t="s">
        <v>76</v>
      </c>
      <c r="AA3491" s="2" t="s">
        <v>77</v>
      </c>
      <c r="AB3491" s="2" t="s">
        <v>1047</v>
      </c>
      <c r="AE3491" s="2">
        <f t="shared" si="374"/>
        <v>0</v>
      </c>
      <c r="AI3491" s="2">
        <f t="shared" si="375"/>
        <v>0</v>
      </c>
      <c r="AJ3491" s="2">
        <f t="shared" si="373"/>
        <v>290</v>
      </c>
      <c r="AK3491" s="5">
        <f t="shared" si="372"/>
        <v>1</v>
      </c>
    </row>
    <row r="3492" spans="1:37" x14ac:dyDescent="0.2">
      <c r="A3492" s="2">
        <v>2026</v>
      </c>
      <c r="B3492" s="2">
        <v>3</v>
      </c>
      <c r="C3492" s="2" t="s">
        <v>943</v>
      </c>
      <c r="D3492" s="2" t="s">
        <v>38</v>
      </c>
      <c r="E3492" s="2" t="s">
        <v>39</v>
      </c>
      <c r="F3492" s="2">
        <v>508868726</v>
      </c>
      <c r="G3492" s="2" t="s">
        <v>291</v>
      </c>
      <c r="H3492" s="2" t="s">
        <v>944</v>
      </c>
      <c r="I3492" s="2" t="s">
        <v>945</v>
      </c>
      <c r="J3492" s="2">
        <v>964771057</v>
      </c>
      <c r="K3492" s="2" t="s">
        <v>340</v>
      </c>
      <c r="L3492" s="2" t="s">
        <v>81</v>
      </c>
      <c r="N3492" s="2" t="s">
        <v>2763</v>
      </c>
      <c r="O3492" s="2" t="s">
        <v>1047</v>
      </c>
      <c r="P3492" s="2" t="s">
        <v>1873</v>
      </c>
      <c r="Q3492" s="2" t="s">
        <v>1874</v>
      </c>
      <c r="R3492" s="2">
        <v>1</v>
      </c>
      <c r="S3492" s="2">
        <v>430</v>
      </c>
      <c r="T3492" s="2">
        <v>98.9</v>
      </c>
      <c r="U3492" s="2">
        <v>528.9</v>
      </c>
      <c r="V3492" s="2">
        <v>232.26</v>
      </c>
      <c r="W3492" s="5">
        <f t="shared" ref="W3492:W3523" si="377">(S3492-V3492)/S3492</f>
        <v>0.45986046511627909</v>
      </c>
      <c r="Y3492" s="2" t="s">
        <v>3256</v>
      </c>
      <c r="Z3492" s="2" t="s">
        <v>76</v>
      </c>
      <c r="AA3492" s="2" t="s">
        <v>77</v>
      </c>
      <c r="AB3492" s="2" t="s">
        <v>1047</v>
      </c>
      <c r="AE3492" s="2">
        <f t="shared" si="374"/>
        <v>0</v>
      </c>
      <c r="AF3492" s="2">
        <v>232.26</v>
      </c>
      <c r="AI3492" s="2">
        <f t="shared" si="375"/>
        <v>0</v>
      </c>
      <c r="AJ3492" s="2">
        <f t="shared" si="373"/>
        <v>197.74</v>
      </c>
      <c r="AK3492" s="5">
        <f t="shared" si="372"/>
        <v>0.45986046511627909</v>
      </c>
    </row>
    <row r="3493" spans="1:37" x14ac:dyDescent="0.2">
      <c r="A3493" s="2">
        <v>2026</v>
      </c>
      <c r="B3493" s="2">
        <v>3</v>
      </c>
      <c r="C3493" s="2" t="s">
        <v>2579</v>
      </c>
      <c r="L3493" s="2" t="s">
        <v>81</v>
      </c>
      <c r="N3493" s="2" t="s">
        <v>3186</v>
      </c>
      <c r="O3493" s="2" t="s">
        <v>1047</v>
      </c>
      <c r="P3493" s="2" t="s">
        <v>2764</v>
      </c>
      <c r="Q3493" s="2" t="s">
        <v>2765</v>
      </c>
      <c r="R3493" s="2">
        <v>1</v>
      </c>
      <c r="S3493" s="2">
        <v>400</v>
      </c>
      <c r="T3493" s="2">
        <v>92</v>
      </c>
      <c r="U3493" s="2">
        <v>492</v>
      </c>
      <c r="V3493" s="2">
        <v>270.60000000000002</v>
      </c>
      <c r="W3493" s="5">
        <f t="shared" si="377"/>
        <v>0.32349999999999995</v>
      </c>
      <c r="Y3493" s="2" t="s">
        <v>3256</v>
      </c>
      <c r="Z3493" s="2" t="s">
        <v>76</v>
      </c>
      <c r="AA3493" s="2" t="s">
        <v>77</v>
      </c>
      <c r="AB3493" s="2" t="s">
        <v>1047</v>
      </c>
      <c r="AE3493" s="2">
        <f t="shared" si="374"/>
        <v>0</v>
      </c>
      <c r="AF3493" s="2">
        <v>270.60000000000002</v>
      </c>
      <c r="AI3493" s="2">
        <f t="shared" si="375"/>
        <v>0</v>
      </c>
      <c r="AJ3493" s="2">
        <f t="shared" si="373"/>
        <v>129.39999999999998</v>
      </c>
      <c r="AK3493" s="5">
        <f t="shared" si="372"/>
        <v>0.32349999999999995</v>
      </c>
    </row>
    <row r="3494" spans="1:37" x14ac:dyDescent="0.2">
      <c r="A3494" s="2">
        <v>2026</v>
      </c>
      <c r="B3494" s="2">
        <v>3</v>
      </c>
      <c r="C3494" s="2" t="s">
        <v>2538</v>
      </c>
      <c r="D3494" s="2" t="s">
        <v>758</v>
      </c>
      <c r="E3494" s="2" t="s">
        <v>39</v>
      </c>
      <c r="F3494" s="2">
        <v>515570354</v>
      </c>
      <c r="G3494" s="2" t="s">
        <v>110</v>
      </c>
      <c r="H3494" s="2" t="s">
        <v>2539</v>
      </c>
      <c r="I3494" s="2" t="s">
        <v>2540</v>
      </c>
      <c r="J3494" s="2">
        <v>967032538</v>
      </c>
      <c r="K3494" s="2" t="s">
        <v>400</v>
      </c>
      <c r="L3494" s="2" t="s">
        <v>110</v>
      </c>
      <c r="O3494" s="2" t="s">
        <v>85</v>
      </c>
      <c r="P3494" s="2" t="s">
        <v>269</v>
      </c>
      <c r="Q3494" s="2" t="s">
        <v>270</v>
      </c>
      <c r="R3494" s="2">
        <v>1</v>
      </c>
      <c r="S3494" s="2">
        <v>7</v>
      </c>
      <c r="T3494" s="2">
        <v>1.61</v>
      </c>
      <c r="U3494" s="2">
        <v>8.61</v>
      </c>
      <c r="V3494" s="2">
        <v>2.4154</v>
      </c>
      <c r="W3494" s="5">
        <f t="shared" si="377"/>
        <v>0.65494285714285716</v>
      </c>
      <c r="Y3494" s="2" t="s">
        <v>3256</v>
      </c>
      <c r="Z3494" s="2" t="s">
        <v>88</v>
      </c>
      <c r="AA3494" s="2" t="s">
        <v>91</v>
      </c>
      <c r="AB3494" s="2" t="s">
        <v>85</v>
      </c>
      <c r="AE3494" s="2">
        <f t="shared" si="374"/>
        <v>0</v>
      </c>
      <c r="AI3494" s="2">
        <f t="shared" si="375"/>
        <v>0</v>
      </c>
      <c r="AJ3494" s="2">
        <f t="shared" si="373"/>
        <v>4.5846</v>
      </c>
      <c r="AK3494" s="5">
        <f t="shared" si="372"/>
        <v>0.65494285714285716</v>
      </c>
    </row>
    <row r="3495" spans="1:37" x14ac:dyDescent="0.2">
      <c r="A3495" s="2">
        <v>2026</v>
      </c>
      <c r="B3495" s="2">
        <v>3</v>
      </c>
      <c r="C3495" s="2" t="s">
        <v>602</v>
      </c>
      <c r="D3495" s="2" t="s">
        <v>38</v>
      </c>
      <c r="E3495" s="2" t="s">
        <v>39</v>
      </c>
      <c r="F3495" s="2">
        <v>509680364</v>
      </c>
      <c r="G3495" s="2" t="s">
        <v>41</v>
      </c>
      <c r="H3495" s="2" t="s">
        <v>603</v>
      </c>
      <c r="I3495" s="2" t="s">
        <v>604</v>
      </c>
      <c r="J3495" s="2">
        <v>919603867</v>
      </c>
      <c r="K3495" s="2" t="s">
        <v>605</v>
      </c>
      <c r="L3495" s="2" t="s">
        <v>41</v>
      </c>
      <c r="N3495" s="2" t="s">
        <v>2697</v>
      </c>
      <c r="O3495" s="2" t="s">
        <v>85</v>
      </c>
      <c r="P3495" s="2" t="s">
        <v>628</v>
      </c>
      <c r="Q3495" s="2" t="s">
        <v>629</v>
      </c>
      <c r="R3495" s="2">
        <v>12</v>
      </c>
      <c r="S3495" s="2">
        <v>0</v>
      </c>
      <c r="T3495" s="2">
        <v>0</v>
      </c>
      <c r="U3495" s="2">
        <v>0</v>
      </c>
      <c r="W3495" s="5" t="e">
        <f t="shared" si="377"/>
        <v>#DIV/0!</v>
      </c>
      <c r="Y3495" s="2" t="s">
        <v>3256</v>
      </c>
      <c r="Z3495" s="2" t="s">
        <v>88</v>
      </c>
      <c r="AA3495" s="2" t="s">
        <v>61</v>
      </c>
      <c r="AB3495" s="2" t="s">
        <v>85</v>
      </c>
      <c r="AE3495" s="2">
        <f t="shared" si="374"/>
        <v>0</v>
      </c>
      <c r="AI3495" s="2">
        <f t="shared" si="375"/>
        <v>0</v>
      </c>
      <c r="AJ3495" s="2">
        <f t="shared" si="373"/>
        <v>0</v>
      </c>
      <c r="AK3495" s="5" t="e">
        <f t="shared" si="372"/>
        <v>#DIV/0!</v>
      </c>
    </row>
    <row r="3496" spans="1:37" x14ac:dyDescent="0.2">
      <c r="A3496" s="2">
        <v>2026</v>
      </c>
      <c r="B3496" s="2">
        <v>3</v>
      </c>
      <c r="C3496" s="2" t="s">
        <v>2538</v>
      </c>
      <c r="D3496" s="2" t="s">
        <v>758</v>
      </c>
      <c r="E3496" s="2" t="s">
        <v>39</v>
      </c>
      <c r="F3496" s="2">
        <v>515570354</v>
      </c>
      <c r="G3496" s="2" t="s">
        <v>110</v>
      </c>
      <c r="H3496" s="2" t="s">
        <v>2539</v>
      </c>
      <c r="I3496" s="2" t="s">
        <v>2540</v>
      </c>
      <c r="J3496" s="2">
        <v>967032538</v>
      </c>
      <c r="K3496" s="2" t="s">
        <v>400</v>
      </c>
      <c r="L3496" s="2" t="s">
        <v>110</v>
      </c>
      <c r="O3496" s="2" t="s">
        <v>85</v>
      </c>
      <c r="P3496" s="2" t="s">
        <v>275</v>
      </c>
      <c r="Q3496" s="2" t="s">
        <v>276</v>
      </c>
      <c r="R3496" s="2">
        <v>1</v>
      </c>
      <c r="S3496" s="2">
        <v>7</v>
      </c>
      <c r="T3496" s="2">
        <v>1.61</v>
      </c>
      <c r="U3496" s="2">
        <v>8.61</v>
      </c>
      <c r="V3496" s="2">
        <v>2.94</v>
      </c>
      <c r="W3496" s="5">
        <f t="shared" si="377"/>
        <v>0.58000000000000007</v>
      </c>
      <c r="Y3496" s="2" t="s">
        <v>3256</v>
      </c>
      <c r="Z3496" s="2" t="s">
        <v>88</v>
      </c>
      <c r="AA3496" s="2" t="s">
        <v>91</v>
      </c>
      <c r="AB3496" s="2" t="s">
        <v>85</v>
      </c>
      <c r="AE3496" s="2">
        <f t="shared" si="374"/>
        <v>0</v>
      </c>
      <c r="AI3496" s="2">
        <f t="shared" si="375"/>
        <v>0</v>
      </c>
      <c r="AJ3496" s="2">
        <f t="shared" si="373"/>
        <v>4.0600000000000005</v>
      </c>
      <c r="AK3496" s="5">
        <f t="shared" si="372"/>
        <v>0.58000000000000007</v>
      </c>
    </row>
    <row r="3497" spans="1:37" x14ac:dyDescent="0.2">
      <c r="A3497" s="2">
        <v>2026</v>
      </c>
      <c r="B3497" s="2">
        <v>3</v>
      </c>
      <c r="C3497" s="2" t="s">
        <v>37</v>
      </c>
      <c r="D3497" s="2" t="s">
        <v>38</v>
      </c>
      <c r="E3497" s="2" t="s">
        <v>39</v>
      </c>
      <c r="G3497" s="2" t="s">
        <v>40</v>
      </c>
      <c r="O3497" s="2" t="s">
        <v>85</v>
      </c>
      <c r="P3497" s="2" t="s">
        <v>92</v>
      </c>
      <c r="Q3497" s="2" t="s">
        <v>93</v>
      </c>
      <c r="R3497" s="2">
        <v>2</v>
      </c>
      <c r="S3497" s="2">
        <v>8.4</v>
      </c>
      <c r="T3497" s="2">
        <v>1.9319999999999999</v>
      </c>
      <c r="U3497" s="2">
        <v>10.332000000000001</v>
      </c>
      <c r="W3497" s="5">
        <f t="shared" si="377"/>
        <v>1</v>
      </c>
      <c r="Y3497" s="2" t="s">
        <v>3256</v>
      </c>
      <c r="Z3497" s="2" t="s">
        <v>88</v>
      </c>
      <c r="AA3497" s="2" t="s">
        <v>91</v>
      </c>
      <c r="AB3497" s="2" t="s">
        <v>85</v>
      </c>
      <c r="AE3497" s="2">
        <f t="shared" si="374"/>
        <v>0</v>
      </c>
      <c r="AI3497" s="2">
        <f t="shared" si="375"/>
        <v>0</v>
      </c>
      <c r="AJ3497" s="2">
        <f t="shared" si="373"/>
        <v>8.4</v>
      </c>
      <c r="AK3497" s="5">
        <f t="shared" si="372"/>
        <v>1</v>
      </c>
    </row>
    <row r="3498" spans="1:37" x14ac:dyDescent="0.2">
      <c r="A3498" s="2">
        <v>2026</v>
      </c>
      <c r="B3498" s="2">
        <v>3</v>
      </c>
      <c r="C3498" s="2" t="s">
        <v>593</v>
      </c>
      <c r="D3498" s="2" t="s">
        <v>38</v>
      </c>
      <c r="E3498" s="2" t="s">
        <v>39</v>
      </c>
      <c r="F3498" s="2">
        <v>510339298</v>
      </c>
      <c r="G3498" s="2" t="s">
        <v>41</v>
      </c>
      <c r="H3498" s="2" t="s">
        <v>178</v>
      </c>
      <c r="I3498" s="2" t="s">
        <v>594</v>
      </c>
      <c r="K3498" s="2" t="s">
        <v>178</v>
      </c>
      <c r="L3498" s="2" t="s">
        <v>41</v>
      </c>
      <c r="O3498" s="2" t="s">
        <v>85</v>
      </c>
      <c r="P3498" s="2" t="s">
        <v>277</v>
      </c>
      <c r="Q3498" s="2" t="s">
        <v>278</v>
      </c>
      <c r="R3498" s="2">
        <v>1</v>
      </c>
      <c r="S3498" s="2">
        <v>8.4</v>
      </c>
      <c r="T3498" s="2">
        <v>1.9319999999999999</v>
      </c>
      <c r="U3498" s="2">
        <v>10.332000000000001</v>
      </c>
      <c r="W3498" s="5">
        <f t="shared" si="377"/>
        <v>1</v>
      </c>
      <c r="Y3498" s="2" t="s">
        <v>3256</v>
      </c>
      <c r="Z3498" s="2" t="s">
        <v>88</v>
      </c>
      <c r="AA3498" s="2" t="s">
        <v>91</v>
      </c>
      <c r="AB3498" s="2" t="s">
        <v>85</v>
      </c>
      <c r="AE3498" s="2">
        <f t="shared" si="374"/>
        <v>0</v>
      </c>
      <c r="AI3498" s="2">
        <f t="shared" si="375"/>
        <v>0</v>
      </c>
      <c r="AJ3498" s="2">
        <f t="shared" si="373"/>
        <v>8.4</v>
      </c>
      <c r="AK3498" s="5">
        <f t="shared" si="372"/>
        <v>1</v>
      </c>
    </row>
    <row r="3499" spans="1:37" x14ac:dyDescent="0.2">
      <c r="A3499" s="2">
        <v>2026</v>
      </c>
      <c r="B3499" s="2">
        <v>3</v>
      </c>
      <c r="C3499" s="2" t="s">
        <v>360</v>
      </c>
      <c r="D3499" s="2" t="s">
        <v>109</v>
      </c>
      <c r="E3499" s="2" t="s">
        <v>39</v>
      </c>
      <c r="F3499" s="2">
        <v>503413909</v>
      </c>
      <c r="G3499" s="2" t="s">
        <v>110</v>
      </c>
      <c r="H3499" s="2" t="s">
        <v>361</v>
      </c>
      <c r="I3499" s="2" t="s">
        <v>362</v>
      </c>
      <c r="K3499" s="2" t="s">
        <v>361</v>
      </c>
      <c r="L3499" s="2" t="s">
        <v>110</v>
      </c>
      <c r="N3499" s="2" t="s">
        <v>2716</v>
      </c>
      <c r="O3499" s="2" t="s">
        <v>85</v>
      </c>
      <c r="P3499" s="2" t="s">
        <v>2766</v>
      </c>
      <c r="Q3499" s="2" t="s">
        <v>2767</v>
      </c>
      <c r="R3499" s="2">
        <v>1</v>
      </c>
      <c r="S3499" s="2">
        <v>1790</v>
      </c>
      <c r="T3499" s="2">
        <v>411.7</v>
      </c>
      <c r="U3499" s="2">
        <v>2201.6999999999998</v>
      </c>
      <c r="V3499" s="2">
        <v>1506.07</v>
      </c>
      <c r="W3499" s="5">
        <f t="shared" si="377"/>
        <v>0.15862011173184362</v>
      </c>
      <c r="Y3499" s="2" t="s">
        <v>3256</v>
      </c>
      <c r="Z3499" s="2" t="s">
        <v>88</v>
      </c>
      <c r="AB3499" s="2" t="s">
        <v>85</v>
      </c>
      <c r="AE3499" s="2">
        <f t="shared" si="374"/>
        <v>0</v>
      </c>
      <c r="AF3499" s="2">
        <v>1506.07</v>
      </c>
      <c r="AI3499" s="2">
        <f t="shared" si="375"/>
        <v>0</v>
      </c>
      <c r="AJ3499" s="2">
        <f t="shared" si="373"/>
        <v>283.93000000000006</v>
      </c>
      <c r="AK3499" s="5">
        <f t="shared" si="372"/>
        <v>0.15862011173184362</v>
      </c>
    </row>
    <row r="3500" spans="1:37" x14ac:dyDescent="0.2">
      <c r="A3500" s="2">
        <v>2026</v>
      </c>
      <c r="B3500" s="2">
        <v>3</v>
      </c>
      <c r="C3500" s="2" t="s">
        <v>384</v>
      </c>
      <c r="D3500" s="2" t="s">
        <v>38</v>
      </c>
      <c r="E3500" s="2" t="s">
        <v>39</v>
      </c>
      <c r="F3500" s="2">
        <v>212196260</v>
      </c>
      <c r="G3500" s="2" t="s">
        <v>110</v>
      </c>
      <c r="H3500" s="2" t="s">
        <v>385</v>
      </c>
      <c r="I3500" s="2" t="s">
        <v>386</v>
      </c>
      <c r="J3500" s="2">
        <v>926769894</v>
      </c>
      <c r="K3500" s="2" t="s">
        <v>113</v>
      </c>
      <c r="L3500" s="2" t="s">
        <v>110</v>
      </c>
      <c r="N3500" s="2" t="s">
        <v>2721</v>
      </c>
      <c r="O3500" s="2" t="s">
        <v>1203</v>
      </c>
      <c r="P3500" s="2" t="s">
        <v>1730</v>
      </c>
      <c r="Q3500" s="2" t="s">
        <v>1731</v>
      </c>
      <c r="R3500" s="2">
        <v>1</v>
      </c>
      <c r="S3500" s="2">
        <v>2490</v>
      </c>
      <c r="T3500" s="2">
        <v>572.70000000000005</v>
      </c>
      <c r="U3500" s="2">
        <v>3062.7</v>
      </c>
      <c r="V3500" s="2">
        <v>1797.06</v>
      </c>
      <c r="W3500" s="5">
        <f t="shared" si="377"/>
        <v>0.27828915662650605</v>
      </c>
      <c r="Y3500" s="2" t="s">
        <v>105</v>
      </c>
      <c r="Z3500" s="2" t="s">
        <v>2768</v>
      </c>
      <c r="AA3500" s="2" t="s">
        <v>2769</v>
      </c>
      <c r="AB3500" s="2" t="s">
        <v>1203</v>
      </c>
      <c r="AE3500" s="2">
        <f t="shared" si="374"/>
        <v>0</v>
      </c>
      <c r="AF3500" s="2">
        <f>1477+320.06</f>
        <v>1797.06</v>
      </c>
      <c r="AI3500" s="2">
        <f t="shared" si="375"/>
        <v>0</v>
      </c>
      <c r="AJ3500" s="2">
        <f t="shared" si="373"/>
        <v>692.94</v>
      </c>
      <c r="AK3500" s="5">
        <f t="shared" si="372"/>
        <v>0.27828915662650605</v>
      </c>
    </row>
    <row r="3501" spans="1:37" x14ac:dyDescent="0.2">
      <c r="A3501" s="2">
        <v>2026</v>
      </c>
      <c r="B3501" s="2">
        <v>3</v>
      </c>
      <c r="C3501" s="2" t="s">
        <v>384</v>
      </c>
      <c r="D3501" s="2" t="s">
        <v>38</v>
      </c>
      <c r="E3501" s="2" t="s">
        <v>39</v>
      </c>
      <c r="F3501" s="2">
        <v>212196260</v>
      </c>
      <c r="G3501" s="2" t="s">
        <v>110</v>
      </c>
      <c r="H3501" s="2" t="s">
        <v>385</v>
      </c>
      <c r="I3501" s="2" t="s">
        <v>386</v>
      </c>
      <c r="J3501" s="2">
        <v>926769894</v>
      </c>
      <c r="K3501" s="2" t="s">
        <v>113</v>
      </c>
      <c r="L3501" s="2" t="s">
        <v>110</v>
      </c>
      <c r="N3501" s="2" t="s">
        <v>2721</v>
      </c>
      <c r="O3501" s="2" t="s">
        <v>1203</v>
      </c>
      <c r="P3501" s="2" t="s">
        <v>1206</v>
      </c>
      <c r="Q3501" s="2" t="s">
        <v>1207</v>
      </c>
      <c r="R3501" s="2">
        <v>2</v>
      </c>
      <c r="S3501" s="2">
        <v>900</v>
      </c>
      <c r="T3501" s="2">
        <v>207</v>
      </c>
      <c r="U3501" s="2">
        <v>1107</v>
      </c>
      <c r="V3501" s="2">
        <f>285.93*2</f>
        <v>571.86</v>
      </c>
      <c r="W3501" s="5">
        <f t="shared" si="377"/>
        <v>0.36459999999999998</v>
      </c>
      <c r="Y3501" s="2" t="s">
        <v>105</v>
      </c>
      <c r="Z3501" s="2" t="s">
        <v>1208</v>
      </c>
      <c r="AA3501" s="2" t="s">
        <v>120</v>
      </c>
      <c r="AB3501" s="2" t="s">
        <v>1203</v>
      </c>
      <c r="AE3501" s="2">
        <f t="shared" si="374"/>
        <v>0</v>
      </c>
      <c r="AF3501" s="2">
        <f>235+50.93</f>
        <v>285.93</v>
      </c>
      <c r="AI3501" s="2">
        <f t="shared" si="375"/>
        <v>0</v>
      </c>
      <c r="AJ3501" s="2">
        <f t="shared" si="373"/>
        <v>328.14</v>
      </c>
      <c r="AK3501" s="5">
        <f t="shared" si="372"/>
        <v>0.36459999999999998</v>
      </c>
    </row>
    <row r="3502" spans="1:37" x14ac:dyDescent="0.2">
      <c r="A3502" s="2">
        <v>2026</v>
      </c>
      <c r="B3502" s="2">
        <v>3</v>
      </c>
      <c r="C3502" s="2" t="s">
        <v>2770</v>
      </c>
      <c r="L3502" s="2" t="s">
        <v>41</v>
      </c>
      <c r="O3502" s="2" t="s">
        <v>1047</v>
      </c>
      <c r="P3502" s="2" t="s">
        <v>2771</v>
      </c>
      <c r="Q3502" s="2" t="s">
        <v>2772</v>
      </c>
      <c r="R3502" s="2">
        <v>5</v>
      </c>
      <c r="S3502" s="2">
        <v>934.96</v>
      </c>
      <c r="T3502" s="2">
        <v>215.04079999999999</v>
      </c>
      <c r="U3502" s="2">
        <v>1150.0008</v>
      </c>
      <c r="V3502" s="2">
        <v>599.70000000000005</v>
      </c>
      <c r="W3502" s="5">
        <f t="shared" si="377"/>
        <v>0.35858218533413194</v>
      </c>
      <c r="Y3502" s="2" t="s">
        <v>3256</v>
      </c>
      <c r="Z3502" s="2" t="s">
        <v>1050</v>
      </c>
      <c r="AA3502" s="2" t="s">
        <v>2773</v>
      </c>
      <c r="AB3502" s="2" t="s">
        <v>1047</v>
      </c>
      <c r="AE3502" s="2">
        <f t="shared" si="374"/>
        <v>0</v>
      </c>
      <c r="AI3502" s="2">
        <f t="shared" si="375"/>
        <v>0</v>
      </c>
      <c r="AJ3502" s="2">
        <f t="shared" si="373"/>
        <v>335.26</v>
      </c>
      <c r="AK3502" s="5">
        <f t="shared" si="372"/>
        <v>0.35858218533413194</v>
      </c>
    </row>
    <row r="3503" spans="1:37" x14ac:dyDescent="0.2">
      <c r="A3503" s="2">
        <v>2026</v>
      </c>
      <c r="B3503" s="2">
        <v>3</v>
      </c>
      <c r="C3503" s="2" t="s">
        <v>2774</v>
      </c>
      <c r="D3503" s="2" t="s">
        <v>38</v>
      </c>
      <c r="E3503" s="2" t="s">
        <v>39</v>
      </c>
      <c r="F3503" s="2">
        <v>501938311</v>
      </c>
      <c r="G3503" s="2" t="s">
        <v>110</v>
      </c>
      <c r="H3503" s="2" t="s">
        <v>2775</v>
      </c>
      <c r="I3503" s="2" t="s">
        <v>2776</v>
      </c>
      <c r="J3503" s="2">
        <v>962332957</v>
      </c>
      <c r="K3503" s="2" t="s">
        <v>113</v>
      </c>
      <c r="L3503" s="2" t="s">
        <v>110</v>
      </c>
      <c r="N3503" s="2" t="s">
        <v>2777</v>
      </c>
      <c r="O3503" s="2" t="s">
        <v>40</v>
      </c>
      <c r="P3503" s="2" t="s">
        <v>2778</v>
      </c>
      <c r="Q3503" s="2" t="s">
        <v>2779</v>
      </c>
      <c r="R3503" s="2">
        <v>1</v>
      </c>
      <c r="S3503" s="2">
        <v>3252.03</v>
      </c>
      <c r="T3503" s="2">
        <v>747.96690000000012</v>
      </c>
      <c r="U3503" s="2">
        <v>3999.9969000000001</v>
      </c>
      <c r="W3503" s="5">
        <f t="shared" si="377"/>
        <v>1</v>
      </c>
      <c r="Y3503" s="2" t="s">
        <v>105</v>
      </c>
      <c r="Z3503" s="2" t="s">
        <v>418</v>
      </c>
      <c r="AA3503" s="2" t="s">
        <v>479</v>
      </c>
      <c r="AB3503" s="2" t="s">
        <v>115</v>
      </c>
      <c r="AE3503" s="2">
        <f t="shared" si="374"/>
        <v>0</v>
      </c>
      <c r="AI3503" s="2">
        <f t="shared" si="375"/>
        <v>0</v>
      </c>
      <c r="AJ3503" s="2">
        <f t="shared" si="373"/>
        <v>3252.03</v>
      </c>
      <c r="AK3503" s="5">
        <f t="shared" ref="AK3503:AK3566" si="378">(S3503-V3503)/S3503</f>
        <v>1</v>
      </c>
    </row>
    <row r="3504" spans="1:37" x14ac:dyDescent="0.2">
      <c r="A3504" s="2">
        <v>2026</v>
      </c>
      <c r="B3504" s="2">
        <v>3</v>
      </c>
      <c r="C3504" s="2" t="s">
        <v>384</v>
      </c>
      <c r="D3504" s="2" t="s">
        <v>38</v>
      </c>
      <c r="E3504" s="2" t="s">
        <v>39</v>
      </c>
      <c r="F3504" s="2">
        <v>212196260</v>
      </c>
      <c r="G3504" s="2" t="s">
        <v>110</v>
      </c>
      <c r="H3504" s="2" t="s">
        <v>385</v>
      </c>
      <c r="I3504" s="2" t="s">
        <v>386</v>
      </c>
      <c r="J3504" s="2">
        <v>926769894</v>
      </c>
      <c r="K3504" s="2" t="s">
        <v>113</v>
      </c>
      <c r="L3504" s="2" t="s">
        <v>110</v>
      </c>
      <c r="N3504" s="2" t="s">
        <v>2721</v>
      </c>
      <c r="O3504" s="2" t="s">
        <v>40</v>
      </c>
      <c r="P3504" s="2" t="s">
        <v>2139</v>
      </c>
      <c r="Q3504" s="2" t="s">
        <v>2140</v>
      </c>
      <c r="R3504" s="2">
        <v>1</v>
      </c>
      <c r="S3504" s="2">
        <v>1000</v>
      </c>
      <c r="T3504" s="2">
        <v>230</v>
      </c>
      <c r="U3504" s="2">
        <v>1230</v>
      </c>
      <c r="W3504" s="5">
        <f t="shared" si="377"/>
        <v>1</v>
      </c>
      <c r="Y3504" s="2" t="s">
        <v>105</v>
      </c>
      <c r="Z3504" s="2" t="s">
        <v>120</v>
      </c>
      <c r="AA3504" s="2" t="s">
        <v>479</v>
      </c>
      <c r="AE3504" s="2">
        <f t="shared" si="374"/>
        <v>0</v>
      </c>
      <c r="AI3504" s="2">
        <f t="shared" si="375"/>
        <v>0</v>
      </c>
      <c r="AJ3504" s="2">
        <f t="shared" si="373"/>
        <v>1000</v>
      </c>
      <c r="AK3504" s="5">
        <f t="shared" si="378"/>
        <v>1</v>
      </c>
    </row>
    <row r="3505" spans="1:37" x14ac:dyDescent="0.2">
      <c r="A3505" s="2">
        <v>2026</v>
      </c>
      <c r="B3505" s="2">
        <v>3</v>
      </c>
      <c r="C3505" s="2" t="s">
        <v>384</v>
      </c>
      <c r="D3505" s="2" t="s">
        <v>38</v>
      </c>
      <c r="E3505" s="2" t="s">
        <v>39</v>
      </c>
      <c r="F3505" s="2">
        <v>212196260</v>
      </c>
      <c r="G3505" s="2" t="s">
        <v>110</v>
      </c>
      <c r="H3505" s="2" t="s">
        <v>385</v>
      </c>
      <c r="I3505" s="2" t="s">
        <v>386</v>
      </c>
      <c r="J3505" s="2">
        <v>926769894</v>
      </c>
      <c r="K3505" s="2" t="s">
        <v>113</v>
      </c>
      <c r="L3505" s="2" t="s">
        <v>110</v>
      </c>
      <c r="N3505" s="2" t="s">
        <v>2721</v>
      </c>
      <c r="O3505" s="2" t="s">
        <v>40</v>
      </c>
      <c r="P3505" s="2" t="s">
        <v>2780</v>
      </c>
      <c r="Q3505" s="2" t="s">
        <v>2781</v>
      </c>
      <c r="R3505" s="2">
        <v>1</v>
      </c>
      <c r="S3505" s="2">
        <v>1500</v>
      </c>
      <c r="T3505" s="2">
        <v>345</v>
      </c>
      <c r="U3505" s="2">
        <v>1845</v>
      </c>
      <c r="W3505" s="5">
        <f t="shared" si="377"/>
        <v>1</v>
      </c>
      <c r="Y3505" s="2" t="s">
        <v>105</v>
      </c>
      <c r="Z3505" s="2" t="s">
        <v>151</v>
      </c>
      <c r="AA3505" s="2" t="s">
        <v>479</v>
      </c>
      <c r="AB3505" s="2" t="s">
        <v>115</v>
      </c>
      <c r="AE3505" s="2">
        <f t="shared" si="374"/>
        <v>0</v>
      </c>
      <c r="AI3505" s="2">
        <f t="shared" si="375"/>
        <v>0</v>
      </c>
      <c r="AJ3505" s="2">
        <f t="shared" si="373"/>
        <v>1500</v>
      </c>
      <c r="AK3505" s="5">
        <f t="shared" si="378"/>
        <v>1</v>
      </c>
    </row>
    <row r="3506" spans="1:37" x14ac:dyDescent="0.2">
      <c r="A3506" s="2">
        <v>2026</v>
      </c>
      <c r="B3506" s="2">
        <v>3</v>
      </c>
      <c r="C3506" s="2" t="s">
        <v>384</v>
      </c>
      <c r="D3506" s="2" t="s">
        <v>38</v>
      </c>
      <c r="E3506" s="2" t="s">
        <v>39</v>
      </c>
      <c r="F3506" s="2">
        <v>212196260</v>
      </c>
      <c r="G3506" s="2" t="s">
        <v>110</v>
      </c>
      <c r="H3506" s="2" t="s">
        <v>385</v>
      </c>
      <c r="I3506" s="2" t="s">
        <v>386</v>
      </c>
      <c r="J3506" s="2">
        <v>926769894</v>
      </c>
      <c r="K3506" s="2" t="s">
        <v>113</v>
      </c>
      <c r="L3506" s="2" t="s">
        <v>110</v>
      </c>
      <c r="N3506" s="2" t="s">
        <v>2721</v>
      </c>
      <c r="O3506" s="2" t="s">
        <v>40</v>
      </c>
      <c r="P3506" s="2" t="s">
        <v>826</v>
      </c>
      <c r="Q3506" s="2" t="s">
        <v>827</v>
      </c>
      <c r="R3506" s="2">
        <v>1</v>
      </c>
      <c r="S3506" s="2">
        <v>2000</v>
      </c>
      <c r="T3506" s="2">
        <v>460</v>
      </c>
      <c r="U3506" s="2">
        <v>2460</v>
      </c>
      <c r="W3506" s="5">
        <f t="shared" si="377"/>
        <v>1</v>
      </c>
      <c r="Y3506" s="2" t="s">
        <v>105</v>
      </c>
      <c r="Z3506" s="2" t="s">
        <v>621</v>
      </c>
      <c r="AA3506" s="2" t="s">
        <v>479</v>
      </c>
      <c r="AE3506" s="2">
        <f t="shared" si="374"/>
        <v>0</v>
      </c>
      <c r="AI3506" s="2">
        <f t="shared" si="375"/>
        <v>0</v>
      </c>
      <c r="AJ3506" s="2">
        <f t="shared" si="373"/>
        <v>2000</v>
      </c>
      <c r="AK3506" s="5">
        <f t="shared" si="378"/>
        <v>1</v>
      </c>
    </row>
    <row r="3507" spans="1:37" x14ac:dyDescent="0.2">
      <c r="A3507" s="2">
        <v>2026</v>
      </c>
      <c r="B3507" s="2">
        <v>3</v>
      </c>
      <c r="C3507" s="2" t="s">
        <v>1926</v>
      </c>
      <c r="O3507" s="2" t="s">
        <v>40</v>
      </c>
      <c r="P3507" s="2" t="s">
        <v>2782</v>
      </c>
      <c r="Q3507" s="2" t="s">
        <v>2783</v>
      </c>
      <c r="R3507" s="2">
        <v>1</v>
      </c>
      <c r="S3507" s="2">
        <v>2000</v>
      </c>
      <c r="T3507" s="2">
        <v>460</v>
      </c>
      <c r="U3507" s="2">
        <v>2460</v>
      </c>
      <c r="W3507" s="5">
        <f t="shared" si="377"/>
        <v>1</v>
      </c>
      <c r="Y3507" s="2" t="s">
        <v>105</v>
      </c>
      <c r="Z3507" s="2" t="s">
        <v>621</v>
      </c>
      <c r="AA3507" s="2" t="s">
        <v>479</v>
      </c>
      <c r="AB3507" s="2" t="s">
        <v>115</v>
      </c>
      <c r="AE3507" s="2">
        <f t="shared" si="374"/>
        <v>0</v>
      </c>
      <c r="AI3507" s="2">
        <f t="shared" si="375"/>
        <v>0</v>
      </c>
      <c r="AJ3507" s="2">
        <f t="shared" si="373"/>
        <v>2000</v>
      </c>
      <c r="AK3507" s="5">
        <f t="shared" si="378"/>
        <v>1</v>
      </c>
    </row>
    <row r="3508" spans="1:37" x14ac:dyDescent="0.2">
      <c r="A3508" s="2">
        <v>2026</v>
      </c>
      <c r="B3508" s="2">
        <v>3</v>
      </c>
      <c r="C3508" s="2" t="s">
        <v>492</v>
      </c>
      <c r="D3508" s="2" t="s">
        <v>38</v>
      </c>
      <c r="E3508" s="2" t="s">
        <v>39</v>
      </c>
      <c r="F3508" s="2">
        <v>507380312</v>
      </c>
      <c r="G3508" s="2" t="s">
        <v>40</v>
      </c>
      <c r="H3508" s="2" t="s">
        <v>493</v>
      </c>
      <c r="I3508" s="2" t="s">
        <v>494</v>
      </c>
      <c r="J3508" s="2">
        <v>912293443</v>
      </c>
      <c r="K3508" s="2" t="s">
        <v>100</v>
      </c>
      <c r="L3508" s="2" t="s">
        <v>40</v>
      </c>
      <c r="N3508" s="2" t="s">
        <v>2784</v>
      </c>
      <c r="O3508" s="2" t="s">
        <v>40</v>
      </c>
      <c r="P3508" s="2" t="s">
        <v>495</v>
      </c>
      <c r="Q3508" s="2" t="s">
        <v>496</v>
      </c>
      <c r="R3508" s="2">
        <v>1</v>
      </c>
      <c r="S3508" s="2">
        <v>678.91</v>
      </c>
      <c r="T3508" s="2">
        <v>156.14930000000001</v>
      </c>
      <c r="U3508" s="2">
        <v>835.05930000000001</v>
      </c>
      <c r="W3508" s="5">
        <f t="shared" si="377"/>
        <v>1</v>
      </c>
      <c r="Y3508" s="2" t="s">
        <v>120</v>
      </c>
      <c r="AE3508" s="2">
        <f t="shared" si="374"/>
        <v>0</v>
      </c>
      <c r="AI3508" s="2">
        <f t="shared" si="375"/>
        <v>0</v>
      </c>
      <c r="AJ3508" s="2">
        <f t="shared" si="373"/>
        <v>678.91</v>
      </c>
      <c r="AK3508" s="5">
        <f t="shared" si="378"/>
        <v>1</v>
      </c>
    </row>
    <row r="3509" spans="1:37" x14ac:dyDescent="0.2">
      <c r="A3509" s="2">
        <v>2026</v>
      </c>
      <c r="B3509" s="2">
        <v>4</v>
      </c>
      <c r="C3509" s="2" t="s">
        <v>828</v>
      </c>
      <c r="L3509" s="2" t="s">
        <v>40</v>
      </c>
      <c r="O3509" s="2" t="s">
        <v>188</v>
      </c>
      <c r="P3509" s="2" t="s">
        <v>192</v>
      </c>
      <c r="Q3509" s="2" t="s">
        <v>191</v>
      </c>
      <c r="R3509" s="2">
        <v>0.5</v>
      </c>
      <c r="S3509" s="2">
        <v>27.5</v>
      </c>
      <c r="T3509" s="2">
        <v>6.3250000000000002</v>
      </c>
      <c r="U3509" s="2">
        <v>33.825000000000003</v>
      </c>
      <c r="V3509" s="2">
        <f>S3509*50%</f>
        <v>13.75</v>
      </c>
      <c r="W3509" s="5">
        <f t="shared" si="377"/>
        <v>0.5</v>
      </c>
      <c r="Y3509" s="2" t="s">
        <v>118</v>
      </c>
      <c r="Z3509" s="2" t="s">
        <v>191</v>
      </c>
      <c r="AE3509" s="2">
        <f t="shared" si="374"/>
        <v>0</v>
      </c>
      <c r="AF3509" s="2">
        <f t="shared" ref="AF3509:AF3519" si="379">V3509</f>
        <v>13.75</v>
      </c>
      <c r="AI3509" s="2">
        <f t="shared" si="375"/>
        <v>0</v>
      </c>
      <c r="AJ3509" s="2">
        <f t="shared" si="373"/>
        <v>13.75</v>
      </c>
      <c r="AK3509" s="5">
        <f t="shared" si="378"/>
        <v>0.5</v>
      </c>
    </row>
    <row r="3510" spans="1:37" x14ac:dyDescent="0.2">
      <c r="A3510" s="2">
        <v>2026</v>
      </c>
      <c r="B3510" s="2">
        <v>2</v>
      </c>
      <c r="C3510" s="2" t="s">
        <v>2785</v>
      </c>
      <c r="L3510" s="2" t="s">
        <v>40</v>
      </c>
      <c r="O3510" s="2" t="s">
        <v>188</v>
      </c>
      <c r="P3510" s="2" t="s">
        <v>189</v>
      </c>
      <c r="Q3510" s="2" t="s">
        <v>190</v>
      </c>
      <c r="R3510" s="2">
        <v>1</v>
      </c>
      <c r="S3510" s="2">
        <v>129</v>
      </c>
      <c r="T3510" s="2">
        <v>29.67</v>
      </c>
      <c r="U3510" s="2">
        <v>158.66999999999999</v>
      </c>
      <c r="V3510" s="2">
        <f>S3510*40%</f>
        <v>51.6</v>
      </c>
      <c r="W3510" s="5">
        <f t="shared" si="377"/>
        <v>0.60000000000000009</v>
      </c>
      <c r="Y3510" s="2" t="s">
        <v>118</v>
      </c>
      <c r="Z3510" s="2" t="s">
        <v>191</v>
      </c>
      <c r="AE3510" s="2">
        <f t="shared" si="374"/>
        <v>0</v>
      </c>
      <c r="AF3510" s="2">
        <f t="shared" si="379"/>
        <v>51.6</v>
      </c>
      <c r="AI3510" s="2">
        <f t="shared" si="375"/>
        <v>0</v>
      </c>
      <c r="AJ3510" s="2">
        <f t="shared" ref="AJ3510:AJ3573" si="380">S3510-V3510</f>
        <v>77.400000000000006</v>
      </c>
      <c r="AK3510" s="5">
        <f t="shared" si="378"/>
        <v>0.60000000000000009</v>
      </c>
    </row>
    <row r="3511" spans="1:37" x14ac:dyDescent="0.2">
      <c r="A3511" s="2">
        <v>2026</v>
      </c>
      <c r="B3511" s="2">
        <v>2</v>
      </c>
      <c r="C3511" s="2" t="s">
        <v>2785</v>
      </c>
      <c r="L3511" s="2" t="s">
        <v>40</v>
      </c>
      <c r="O3511" s="2" t="s">
        <v>188</v>
      </c>
      <c r="P3511" s="2" t="s">
        <v>192</v>
      </c>
      <c r="Q3511" s="2" t="s">
        <v>191</v>
      </c>
      <c r="R3511" s="2">
        <v>1</v>
      </c>
      <c r="S3511" s="2">
        <v>55</v>
      </c>
      <c r="T3511" s="2">
        <v>12.65</v>
      </c>
      <c r="U3511" s="2">
        <v>67.650000000000006</v>
      </c>
      <c r="V3511" s="2">
        <f>S3511*50%</f>
        <v>27.5</v>
      </c>
      <c r="W3511" s="5">
        <f t="shared" si="377"/>
        <v>0.5</v>
      </c>
      <c r="Y3511" s="2" t="s">
        <v>118</v>
      </c>
      <c r="Z3511" s="2" t="s">
        <v>191</v>
      </c>
      <c r="AE3511" s="2">
        <f t="shared" si="374"/>
        <v>0</v>
      </c>
      <c r="AF3511" s="2">
        <f t="shared" si="379"/>
        <v>27.5</v>
      </c>
      <c r="AI3511" s="2">
        <f t="shared" si="375"/>
        <v>0</v>
      </c>
      <c r="AJ3511" s="2">
        <f t="shared" si="380"/>
        <v>27.5</v>
      </c>
      <c r="AK3511" s="5">
        <f t="shared" si="378"/>
        <v>0.5</v>
      </c>
    </row>
    <row r="3512" spans="1:37" x14ac:dyDescent="0.2">
      <c r="A3512" s="2">
        <v>2026</v>
      </c>
      <c r="B3512" s="2">
        <v>1</v>
      </c>
      <c r="C3512" s="2" t="s">
        <v>2786</v>
      </c>
      <c r="L3512" s="2" t="s">
        <v>40</v>
      </c>
      <c r="O3512" s="2" t="s">
        <v>188</v>
      </c>
      <c r="P3512" s="2" t="s">
        <v>189</v>
      </c>
      <c r="Q3512" s="2" t="s">
        <v>190</v>
      </c>
      <c r="R3512" s="2">
        <v>1</v>
      </c>
      <c r="S3512" s="2">
        <v>267</v>
      </c>
      <c r="T3512" s="2">
        <v>61.41</v>
      </c>
      <c r="U3512" s="2">
        <v>328.41</v>
      </c>
      <c r="V3512" s="2">
        <f>S3512*40%</f>
        <v>106.80000000000001</v>
      </c>
      <c r="W3512" s="5">
        <f t="shared" si="377"/>
        <v>0.6</v>
      </c>
      <c r="Y3512" s="2" t="s">
        <v>118</v>
      </c>
      <c r="Z3512" s="2" t="s">
        <v>191</v>
      </c>
      <c r="AE3512" s="2">
        <f t="shared" si="374"/>
        <v>0</v>
      </c>
      <c r="AF3512" s="2">
        <f t="shared" si="379"/>
        <v>106.80000000000001</v>
      </c>
      <c r="AI3512" s="2">
        <f t="shared" si="375"/>
        <v>0</v>
      </c>
      <c r="AJ3512" s="2">
        <f t="shared" si="380"/>
        <v>160.19999999999999</v>
      </c>
      <c r="AK3512" s="5">
        <f t="shared" si="378"/>
        <v>0.6</v>
      </c>
    </row>
    <row r="3513" spans="1:37" x14ac:dyDescent="0.2">
      <c r="A3513" s="2">
        <v>2026</v>
      </c>
      <c r="B3513" s="2">
        <v>1</v>
      </c>
      <c r="C3513" s="2" t="s">
        <v>2786</v>
      </c>
      <c r="L3513" s="2" t="s">
        <v>40</v>
      </c>
      <c r="O3513" s="2" t="s">
        <v>188</v>
      </c>
      <c r="P3513" s="2" t="s">
        <v>192</v>
      </c>
      <c r="Q3513" s="2" t="s">
        <v>191</v>
      </c>
      <c r="R3513" s="2">
        <v>1.5</v>
      </c>
      <c r="S3513" s="2">
        <v>75</v>
      </c>
      <c r="T3513" s="2">
        <v>17.25</v>
      </c>
      <c r="U3513" s="2">
        <v>92.25</v>
      </c>
      <c r="V3513" s="2">
        <f>S3513*50%</f>
        <v>37.5</v>
      </c>
      <c r="W3513" s="5">
        <f t="shared" si="377"/>
        <v>0.5</v>
      </c>
      <c r="Y3513" s="2" t="s">
        <v>118</v>
      </c>
      <c r="Z3513" s="2" t="s">
        <v>191</v>
      </c>
      <c r="AE3513" s="2">
        <f t="shared" si="374"/>
        <v>0</v>
      </c>
      <c r="AF3513" s="2">
        <f t="shared" si="379"/>
        <v>37.5</v>
      </c>
      <c r="AI3513" s="2">
        <f t="shared" si="375"/>
        <v>0</v>
      </c>
      <c r="AJ3513" s="2">
        <f t="shared" si="380"/>
        <v>37.5</v>
      </c>
      <c r="AK3513" s="5">
        <f t="shared" si="378"/>
        <v>0.5</v>
      </c>
    </row>
    <row r="3514" spans="1:37" x14ac:dyDescent="0.2">
      <c r="A3514" s="2">
        <v>2026</v>
      </c>
      <c r="B3514" s="2">
        <v>4</v>
      </c>
      <c r="C3514" s="2" t="s">
        <v>2787</v>
      </c>
      <c r="L3514" s="2" t="s">
        <v>40</v>
      </c>
      <c r="O3514" s="2" t="s">
        <v>188</v>
      </c>
      <c r="P3514" s="2" t="s">
        <v>189</v>
      </c>
      <c r="Q3514" s="2" t="s">
        <v>190</v>
      </c>
      <c r="R3514" s="2">
        <v>1</v>
      </c>
      <c r="S3514" s="2">
        <v>180</v>
      </c>
      <c r="T3514" s="2">
        <v>41.4</v>
      </c>
      <c r="U3514" s="2">
        <v>221.4</v>
      </c>
      <c r="V3514" s="2">
        <f>S3514*40%</f>
        <v>72</v>
      </c>
      <c r="W3514" s="5">
        <f t="shared" si="377"/>
        <v>0.6</v>
      </c>
      <c r="Y3514" s="2" t="s">
        <v>118</v>
      </c>
      <c r="Z3514" s="2" t="s">
        <v>191</v>
      </c>
      <c r="AE3514" s="2">
        <f t="shared" si="374"/>
        <v>0</v>
      </c>
      <c r="AF3514" s="2">
        <f t="shared" si="379"/>
        <v>72</v>
      </c>
      <c r="AI3514" s="2">
        <f t="shared" si="375"/>
        <v>0</v>
      </c>
      <c r="AJ3514" s="2">
        <f t="shared" si="380"/>
        <v>108</v>
      </c>
      <c r="AK3514" s="5">
        <f t="shared" si="378"/>
        <v>0.6</v>
      </c>
    </row>
    <row r="3515" spans="1:37" x14ac:dyDescent="0.2">
      <c r="A3515" s="2">
        <v>2026</v>
      </c>
      <c r="B3515" s="2">
        <v>4</v>
      </c>
      <c r="C3515" s="2" t="s">
        <v>2787</v>
      </c>
      <c r="L3515" s="2" t="s">
        <v>40</v>
      </c>
      <c r="O3515" s="2" t="s">
        <v>188</v>
      </c>
      <c r="P3515" s="2" t="s">
        <v>192</v>
      </c>
      <c r="Q3515" s="2" t="s">
        <v>191</v>
      </c>
      <c r="R3515" s="2">
        <v>0.75</v>
      </c>
      <c r="S3515" s="2">
        <v>41.25</v>
      </c>
      <c r="T3515" s="2">
        <v>9.4875000000000007</v>
      </c>
      <c r="U3515" s="2">
        <v>50.737499999999997</v>
      </c>
      <c r="V3515" s="2">
        <f>S3515*50%</f>
        <v>20.625</v>
      </c>
      <c r="W3515" s="5">
        <f t="shared" si="377"/>
        <v>0.5</v>
      </c>
      <c r="Y3515" s="2" t="s">
        <v>118</v>
      </c>
      <c r="Z3515" s="2" t="s">
        <v>191</v>
      </c>
      <c r="AE3515" s="2">
        <f t="shared" si="374"/>
        <v>0</v>
      </c>
      <c r="AF3515" s="2">
        <f t="shared" si="379"/>
        <v>20.625</v>
      </c>
      <c r="AI3515" s="2">
        <f t="shared" si="375"/>
        <v>0</v>
      </c>
      <c r="AJ3515" s="2">
        <f t="shared" si="380"/>
        <v>20.625</v>
      </c>
      <c r="AK3515" s="5">
        <f t="shared" si="378"/>
        <v>0.5</v>
      </c>
    </row>
    <row r="3516" spans="1:37" x14ac:dyDescent="0.2">
      <c r="A3516" s="2">
        <v>2026</v>
      </c>
      <c r="B3516" s="2">
        <v>4</v>
      </c>
      <c r="C3516" s="2" t="s">
        <v>2788</v>
      </c>
      <c r="L3516" s="2" t="s">
        <v>40</v>
      </c>
      <c r="O3516" s="2" t="s">
        <v>188</v>
      </c>
      <c r="P3516" s="2" t="s">
        <v>189</v>
      </c>
      <c r="Q3516" s="2" t="s">
        <v>190</v>
      </c>
      <c r="R3516" s="2">
        <v>1</v>
      </c>
      <c r="S3516" s="2">
        <v>120</v>
      </c>
      <c r="T3516" s="2">
        <v>27.6</v>
      </c>
      <c r="U3516" s="2">
        <v>147.6</v>
      </c>
      <c r="V3516" s="2">
        <f>S3516*40%</f>
        <v>48</v>
      </c>
      <c r="W3516" s="5">
        <f t="shared" si="377"/>
        <v>0.6</v>
      </c>
      <c r="Y3516" s="2" t="s">
        <v>118</v>
      </c>
      <c r="Z3516" s="2" t="s">
        <v>191</v>
      </c>
      <c r="AE3516" s="2">
        <f t="shared" si="374"/>
        <v>0</v>
      </c>
      <c r="AF3516" s="2">
        <f t="shared" si="379"/>
        <v>48</v>
      </c>
      <c r="AI3516" s="2">
        <f t="shared" si="375"/>
        <v>0</v>
      </c>
      <c r="AJ3516" s="2">
        <f t="shared" si="380"/>
        <v>72</v>
      </c>
      <c r="AK3516" s="5">
        <f t="shared" si="378"/>
        <v>0.6</v>
      </c>
    </row>
    <row r="3517" spans="1:37" x14ac:dyDescent="0.2">
      <c r="A3517" s="2">
        <v>2026</v>
      </c>
      <c r="B3517" s="2">
        <v>4</v>
      </c>
      <c r="C3517" s="2" t="s">
        <v>2788</v>
      </c>
      <c r="L3517" s="2" t="s">
        <v>40</v>
      </c>
      <c r="O3517" s="2" t="s">
        <v>188</v>
      </c>
      <c r="P3517" s="2" t="s">
        <v>192</v>
      </c>
      <c r="Q3517" s="2" t="s">
        <v>191</v>
      </c>
      <c r="R3517" s="2">
        <v>1</v>
      </c>
      <c r="S3517" s="2">
        <v>55</v>
      </c>
      <c r="T3517" s="2">
        <v>12.65</v>
      </c>
      <c r="U3517" s="2">
        <v>67.650000000000006</v>
      </c>
      <c r="V3517" s="2">
        <f>S3517*50%</f>
        <v>27.5</v>
      </c>
      <c r="W3517" s="5">
        <f t="shared" si="377"/>
        <v>0.5</v>
      </c>
      <c r="Y3517" s="2" t="s">
        <v>118</v>
      </c>
      <c r="Z3517" s="2" t="s">
        <v>191</v>
      </c>
      <c r="AE3517" s="2">
        <f t="shared" si="374"/>
        <v>0</v>
      </c>
      <c r="AF3517" s="2">
        <f t="shared" si="379"/>
        <v>27.5</v>
      </c>
      <c r="AI3517" s="2">
        <f t="shared" si="375"/>
        <v>0</v>
      </c>
      <c r="AJ3517" s="2">
        <f t="shared" si="380"/>
        <v>27.5</v>
      </c>
      <c r="AK3517" s="5">
        <f t="shared" si="378"/>
        <v>0.5</v>
      </c>
    </row>
    <row r="3518" spans="1:37" x14ac:dyDescent="0.2">
      <c r="A3518" s="2">
        <v>2026</v>
      </c>
      <c r="B3518" s="2">
        <v>1</v>
      </c>
      <c r="C3518" s="2" t="s">
        <v>1409</v>
      </c>
      <c r="D3518" s="2" t="s">
        <v>38</v>
      </c>
      <c r="E3518" s="2" t="s">
        <v>39</v>
      </c>
      <c r="F3518" s="2">
        <v>509014313</v>
      </c>
      <c r="G3518" s="2" t="s">
        <v>40</v>
      </c>
      <c r="H3518" s="2" t="s">
        <v>3246</v>
      </c>
      <c r="I3518" s="2" t="s">
        <v>3245</v>
      </c>
      <c r="J3518" s="2">
        <v>913814877</v>
      </c>
      <c r="K3518" s="2" t="s">
        <v>202</v>
      </c>
      <c r="L3518" s="2" t="s">
        <v>40</v>
      </c>
      <c r="N3518" s="2" t="s">
        <v>3241</v>
      </c>
      <c r="O3518" s="2" t="s">
        <v>188</v>
      </c>
      <c r="P3518" s="2" t="s">
        <v>189</v>
      </c>
      <c r="Q3518" s="2" t="s">
        <v>190</v>
      </c>
      <c r="R3518" s="2">
        <v>1</v>
      </c>
      <c r="S3518" s="2">
        <v>55</v>
      </c>
      <c r="T3518" s="2">
        <v>12.65</v>
      </c>
      <c r="U3518" s="2">
        <v>67.650000000000006</v>
      </c>
      <c r="V3518" s="2">
        <f>S3518*40%</f>
        <v>22</v>
      </c>
      <c r="W3518" s="5">
        <f t="shared" si="377"/>
        <v>0.6</v>
      </c>
      <c r="Y3518" s="2" t="s">
        <v>118</v>
      </c>
      <c r="Z3518" s="2" t="s">
        <v>191</v>
      </c>
      <c r="AE3518" s="2">
        <f t="shared" si="374"/>
        <v>0</v>
      </c>
      <c r="AF3518" s="2">
        <f t="shared" si="379"/>
        <v>22</v>
      </c>
      <c r="AI3518" s="2">
        <f t="shared" si="375"/>
        <v>0</v>
      </c>
      <c r="AJ3518" s="2">
        <f t="shared" si="380"/>
        <v>33</v>
      </c>
      <c r="AK3518" s="5">
        <f t="shared" si="378"/>
        <v>0.6</v>
      </c>
    </row>
    <row r="3519" spans="1:37" x14ac:dyDescent="0.2">
      <c r="A3519" s="2">
        <v>2026</v>
      </c>
      <c r="B3519" s="2">
        <v>1</v>
      </c>
      <c r="C3519" s="2" t="s">
        <v>1409</v>
      </c>
      <c r="D3519" s="2" t="s">
        <v>38</v>
      </c>
      <c r="E3519" s="2" t="s">
        <v>39</v>
      </c>
      <c r="F3519" s="2">
        <v>509014313</v>
      </c>
      <c r="G3519" s="2" t="s">
        <v>40</v>
      </c>
      <c r="H3519" s="2" t="s">
        <v>3246</v>
      </c>
      <c r="I3519" s="2" t="s">
        <v>3245</v>
      </c>
      <c r="J3519" s="2">
        <v>913814877</v>
      </c>
      <c r="K3519" s="2" t="s">
        <v>202</v>
      </c>
      <c r="L3519" s="2" t="s">
        <v>40</v>
      </c>
      <c r="N3519" s="2" t="s">
        <v>3241</v>
      </c>
      <c r="O3519" s="2" t="s">
        <v>188</v>
      </c>
      <c r="P3519" s="2" t="s">
        <v>192</v>
      </c>
      <c r="Q3519" s="2" t="s">
        <v>191</v>
      </c>
      <c r="R3519" s="2">
        <v>1</v>
      </c>
      <c r="S3519" s="2">
        <v>50</v>
      </c>
      <c r="T3519" s="2">
        <v>11.5</v>
      </c>
      <c r="U3519" s="2">
        <v>61.5</v>
      </c>
      <c r="V3519" s="2">
        <f>S3519*50%</f>
        <v>25</v>
      </c>
      <c r="W3519" s="5">
        <f t="shared" si="377"/>
        <v>0.5</v>
      </c>
      <c r="Y3519" s="2" t="s">
        <v>118</v>
      </c>
      <c r="Z3519" s="2" t="s">
        <v>191</v>
      </c>
      <c r="AE3519" s="2">
        <f>AI3519</f>
        <v>0</v>
      </c>
      <c r="AF3519" s="2">
        <f t="shared" si="379"/>
        <v>25</v>
      </c>
      <c r="AI3519" s="2">
        <f>AH3519*S3519</f>
        <v>0</v>
      </c>
      <c r="AJ3519" s="2">
        <f>S3519-V3519</f>
        <v>25</v>
      </c>
      <c r="AK3519" s="5">
        <f>(S3519-V3519)/S3519</f>
        <v>0.5</v>
      </c>
    </row>
    <row r="3520" spans="1:37" x14ac:dyDescent="0.2">
      <c r="A3520" s="2">
        <v>2026</v>
      </c>
      <c r="B3520" s="2">
        <v>3</v>
      </c>
      <c r="C3520" s="2" t="s">
        <v>2789</v>
      </c>
      <c r="D3520" s="2" t="s">
        <v>38</v>
      </c>
      <c r="E3520" s="2" t="s">
        <v>39</v>
      </c>
      <c r="F3520" s="2">
        <v>500041946</v>
      </c>
      <c r="G3520" s="2" t="s">
        <v>110</v>
      </c>
      <c r="H3520" s="2" t="s">
        <v>134</v>
      </c>
      <c r="I3520" s="2" t="s">
        <v>2790</v>
      </c>
      <c r="K3520" s="2" t="s">
        <v>134</v>
      </c>
      <c r="L3520" s="2" t="s">
        <v>81</v>
      </c>
      <c r="N3520" s="2" t="s">
        <v>2791</v>
      </c>
      <c r="O3520" s="2" t="s">
        <v>1047</v>
      </c>
      <c r="P3520" s="2" t="s">
        <v>1278</v>
      </c>
      <c r="Q3520" s="2" t="s">
        <v>1279</v>
      </c>
      <c r="R3520" s="2">
        <v>4</v>
      </c>
      <c r="S3520" s="2">
        <v>684</v>
      </c>
      <c r="T3520" s="2">
        <v>157.32</v>
      </c>
      <c r="U3520" s="2">
        <v>841.31999999999994</v>
      </c>
      <c r="V3520" s="2">
        <v>408.16</v>
      </c>
      <c r="W3520" s="5">
        <f t="shared" si="377"/>
        <v>0.40327485380116956</v>
      </c>
      <c r="Y3520" s="2" t="s">
        <v>3256</v>
      </c>
      <c r="Z3520" s="2" t="s">
        <v>1050</v>
      </c>
      <c r="AA3520" s="2" t="s">
        <v>1280</v>
      </c>
      <c r="AB3520" s="2" t="s">
        <v>1047</v>
      </c>
      <c r="AE3520" s="2">
        <f t="shared" si="374"/>
        <v>0</v>
      </c>
      <c r="AI3520" s="2">
        <f t="shared" si="375"/>
        <v>0</v>
      </c>
      <c r="AJ3520" s="2">
        <f t="shared" si="380"/>
        <v>275.83999999999997</v>
      </c>
      <c r="AK3520" s="5">
        <f t="shared" si="378"/>
        <v>0.40327485380116956</v>
      </c>
    </row>
    <row r="3521" spans="1:37" x14ac:dyDescent="0.2">
      <c r="A3521" s="2">
        <v>2026</v>
      </c>
      <c r="B3521" s="2">
        <v>4</v>
      </c>
      <c r="C3521" s="2" t="s">
        <v>1058</v>
      </c>
      <c r="D3521" s="2" t="s">
        <v>109</v>
      </c>
      <c r="E3521" s="2" t="s">
        <v>535</v>
      </c>
      <c r="F3521" s="2">
        <v>504586351</v>
      </c>
      <c r="G3521" s="2" t="s">
        <v>291</v>
      </c>
      <c r="H3521" s="2" t="s">
        <v>1059</v>
      </c>
      <c r="I3521" s="2" t="s">
        <v>1060</v>
      </c>
      <c r="K3521" s="2" t="s">
        <v>340</v>
      </c>
      <c r="L3521" s="2" t="s">
        <v>40</v>
      </c>
      <c r="N3521" s="2" t="s">
        <v>2792</v>
      </c>
      <c r="O3521" s="2" t="s">
        <v>188</v>
      </c>
      <c r="P3521" s="2" t="s">
        <v>189</v>
      </c>
      <c r="Q3521" s="2" t="s">
        <v>190</v>
      </c>
      <c r="R3521" s="2">
        <v>1</v>
      </c>
      <c r="S3521" s="2">
        <v>60</v>
      </c>
      <c r="T3521" s="2">
        <v>13.8</v>
      </c>
      <c r="U3521" s="2">
        <v>73.8</v>
      </c>
      <c r="V3521" s="2">
        <f>S3521*40%</f>
        <v>24</v>
      </c>
      <c r="W3521" s="5">
        <f t="shared" si="377"/>
        <v>0.6</v>
      </c>
      <c r="Y3521" s="2" t="s">
        <v>118</v>
      </c>
      <c r="Z3521" s="2" t="s">
        <v>191</v>
      </c>
      <c r="AE3521" s="2">
        <f t="shared" si="374"/>
        <v>0</v>
      </c>
      <c r="AF3521" s="2">
        <f t="shared" ref="AF3521:AF3532" si="381">V3521</f>
        <v>24</v>
      </c>
      <c r="AI3521" s="2">
        <f t="shared" si="375"/>
        <v>0</v>
      </c>
      <c r="AJ3521" s="2">
        <f t="shared" si="380"/>
        <v>36</v>
      </c>
      <c r="AK3521" s="5">
        <f t="shared" si="378"/>
        <v>0.6</v>
      </c>
    </row>
    <row r="3522" spans="1:37" x14ac:dyDescent="0.2">
      <c r="A3522" s="2">
        <v>2026</v>
      </c>
      <c r="B3522" s="2">
        <v>4</v>
      </c>
      <c r="C3522" s="2" t="s">
        <v>1058</v>
      </c>
      <c r="D3522" s="2" t="s">
        <v>109</v>
      </c>
      <c r="E3522" s="2" t="s">
        <v>535</v>
      </c>
      <c r="F3522" s="2">
        <v>504586351</v>
      </c>
      <c r="G3522" s="2" t="s">
        <v>291</v>
      </c>
      <c r="H3522" s="2" t="s">
        <v>1059</v>
      </c>
      <c r="I3522" s="2" t="s">
        <v>1060</v>
      </c>
      <c r="K3522" s="2" t="s">
        <v>340</v>
      </c>
      <c r="L3522" s="2" t="s">
        <v>40</v>
      </c>
      <c r="N3522" s="2" t="s">
        <v>2792</v>
      </c>
      <c r="O3522" s="2" t="s">
        <v>188</v>
      </c>
      <c r="P3522" s="2" t="s">
        <v>192</v>
      </c>
      <c r="Q3522" s="2" t="s">
        <v>191</v>
      </c>
      <c r="R3522" s="2">
        <v>2</v>
      </c>
      <c r="S3522" s="2">
        <v>110</v>
      </c>
      <c r="T3522" s="2">
        <v>25.3</v>
      </c>
      <c r="U3522" s="2">
        <v>135.30000000000001</v>
      </c>
      <c r="V3522" s="2">
        <f>S3522*50%</f>
        <v>55</v>
      </c>
      <c r="W3522" s="5">
        <f t="shared" si="377"/>
        <v>0.5</v>
      </c>
      <c r="Y3522" s="2" t="s">
        <v>118</v>
      </c>
      <c r="Z3522" s="2" t="s">
        <v>191</v>
      </c>
      <c r="AE3522" s="2">
        <f t="shared" si="374"/>
        <v>0</v>
      </c>
      <c r="AF3522" s="2">
        <f t="shared" si="381"/>
        <v>55</v>
      </c>
      <c r="AI3522" s="2">
        <f t="shared" si="375"/>
        <v>0</v>
      </c>
      <c r="AJ3522" s="2">
        <f t="shared" si="380"/>
        <v>55</v>
      </c>
      <c r="AK3522" s="5">
        <f t="shared" si="378"/>
        <v>0.5</v>
      </c>
    </row>
    <row r="3523" spans="1:37" x14ac:dyDescent="0.2">
      <c r="A3523" s="2">
        <v>2026</v>
      </c>
      <c r="B3523" s="2">
        <v>3</v>
      </c>
      <c r="C3523" s="2" t="s">
        <v>2172</v>
      </c>
      <c r="L3523" s="2" t="s">
        <v>40</v>
      </c>
      <c r="O3523" s="2" t="s">
        <v>188</v>
      </c>
      <c r="P3523" s="2" t="s">
        <v>192</v>
      </c>
      <c r="Q3523" s="2" t="s">
        <v>191</v>
      </c>
      <c r="R3523" s="2">
        <v>1</v>
      </c>
      <c r="S3523" s="2">
        <v>50</v>
      </c>
      <c r="T3523" s="2">
        <v>11.5</v>
      </c>
      <c r="U3523" s="2">
        <v>61.5</v>
      </c>
      <c r="V3523" s="2">
        <f>S3523*50%</f>
        <v>25</v>
      </c>
      <c r="W3523" s="5">
        <f t="shared" si="377"/>
        <v>0.5</v>
      </c>
      <c r="Y3523" s="2" t="s">
        <v>118</v>
      </c>
      <c r="Z3523" s="2" t="s">
        <v>191</v>
      </c>
      <c r="AE3523" s="2">
        <f t="shared" ref="AE3523:AE3586" si="382">AI3523</f>
        <v>0</v>
      </c>
      <c r="AF3523" s="2">
        <f t="shared" si="381"/>
        <v>25</v>
      </c>
      <c r="AI3523" s="2">
        <f t="shared" ref="AI3523:AI3586" si="383">AH3523*S3523</f>
        <v>0</v>
      </c>
      <c r="AJ3523" s="2">
        <f t="shared" si="380"/>
        <v>25</v>
      </c>
      <c r="AK3523" s="5">
        <f t="shared" si="378"/>
        <v>0.5</v>
      </c>
    </row>
    <row r="3524" spans="1:37" x14ac:dyDescent="0.2">
      <c r="A3524" s="2">
        <v>2026</v>
      </c>
      <c r="B3524" s="2">
        <v>4</v>
      </c>
      <c r="C3524" s="2" t="s">
        <v>2793</v>
      </c>
      <c r="L3524" s="2" t="s">
        <v>40</v>
      </c>
      <c r="O3524" s="2" t="s">
        <v>188</v>
      </c>
      <c r="P3524" s="2" t="s">
        <v>189</v>
      </c>
      <c r="Q3524" s="2" t="s">
        <v>190</v>
      </c>
      <c r="R3524" s="2">
        <v>2</v>
      </c>
      <c r="S3524" s="2">
        <v>374</v>
      </c>
      <c r="T3524" s="2">
        <v>86.02000000000001</v>
      </c>
      <c r="U3524" s="2">
        <v>460.02</v>
      </c>
      <c r="V3524" s="2">
        <f>S3524*40%</f>
        <v>149.6</v>
      </c>
      <c r="W3524" s="5">
        <f t="shared" ref="W3524:W3538" si="384">(S3524-V3524)/S3524</f>
        <v>0.6</v>
      </c>
      <c r="Y3524" s="2" t="s">
        <v>118</v>
      </c>
      <c r="Z3524" s="2" t="s">
        <v>191</v>
      </c>
      <c r="AE3524" s="2">
        <f t="shared" si="382"/>
        <v>0</v>
      </c>
      <c r="AF3524" s="2">
        <f t="shared" si="381"/>
        <v>149.6</v>
      </c>
      <c r="AI3524" s="2">
        <f t="shared" si="383"/>
        <v>0</v>
      </c>
      <c r="AJ3524" s="2">
        <f t="shared" si="380"/>
        <v>224.4</v>
      </c>
      <c r="AK3524" s="5">
        <f t="shared" si="378"/>
        <v>0.6</v>
      </c>
    </row>
    <row r="3525" spans="1:37" x14ac:dyDescent="0.2">
      <c r="A3525" s="2">
        <v>2026</v>
      </c>
      <c r="B3525" s="2">
        <v>4</v>
      </c>
      <c r="C3525" s="2" t="s">
        <v>2793</v>
      </c>
      <c r="L3525" s="2" t="s">
        <v>40</v>
      </c>
      <c r="O3525" s="2" t="s">
        <v>188</v>
      </c>
      <c r="P3525" s="2" t="s">
        <v>192</v>
      </c>
      <c r="Q3525" s="2" t="s">
        <v>191</v>
      </c>
      <c r="R3525" s="2">
        <v>4</v>
      </c>
      <c r="S3525" s="2">
        <v>220</v>
      </c>
      <c r="T3525" s="2">
        <v>50.6</v>
      </c>
      <c r="U3525" s="2">
        <v>270.60000000000002</v>
      </c>
      <c r="V3525" s="2">
        <f>S3525*50%</f>
        <v>110</v>
      </c>
      <c r="W3525" s="5">
        <f t="shared" si="384"/>
        <v>0.5</v>
      </c>
      <c r="Y3525" s="2" t="s">
        <v>118</v>
      </c>
      <c r="Z3525" s="2" t="s">
        <v>191</v>
      </c>
      <c r="AE3525" s="2">
        <f t="shared" si="382"/>
        <v>0</v>
      </c>
      <c r="AF3525" s="2">
        <f t="shared" si="381"/>
        <v>110</v>
      </c>
      <c r="AI3525" s="2">
        <f t="shared" si="383"/>
        <v>0</v>
      </c>
      <c r="AJ3525" s="2">
        <f t="shared" si="380"/>
        <v>110</v>
      </c>
      <c r="AK3525" s="5">
        <f t="shared" si="378"/>
        <v>0.5</v>
      </c>
    </row>
    <row r="3526" spans="1:37" x14ac:dyDescent="0.2">
      <c r="A3526" s="2">
        <v>2026</v>
      </c>
      <c r="B3526" s="2">
        <v>1</v>
      </c>
      <c r="C3526" s="2" t="s">
        <v>1598</v>
      </c>
      <c r="L3526" s="2" t="s">
        <v>40</v>
      </c>
      <c r="O3526" s="2" t="s">
        <v>188</v>
      </c>
      <c r="P3526" s="2" t="s">
        <v>189</v>
      </c>
      <c r="Q3526" s="2" t="s">
        <v>190</v>
      </c>
      <c r="R3526" s="2">
        <v>1</v>
      </c>
      <c r="S3526" s="2">
        <v>50</v>
      </c>
      <c r="T3526" s="2">
        <v>11.5</v>
      </c>
      <c r="U3526" s="2">
        <v>61.5</v>
      </c>
      <c r="V3526" s="2">
        <f>S3526*40%</f>
        <v>20</v>
      </c>
      <c r="W3526" s="5">
        <f t="shared" si="384"/>
        <v>0.6</v>
      </c>
      <c r="Y3526" s="2" t="s">
        <v>118</v>
      </c>
      <c r="Z3526" s="2" t="s">
        <v>191</v>
      </c>
      <c r="AE3526" s="2">
        <f t="shared" si="382"/>
        <v>0</v>
      </c>
      <c r="AF3526" s="2">
        <f t="shared" si="381"/>
        <v>20</v>
      </c>
      <c r="AI3526" s="2">
        <f t="shared" si="383"/>
        <v>0</v>
      </c>
      <c r="AJ3526" s="2">
        <f t="shared" si="380"/>
        <v>30</v>
      </c>
      <c r="AK3526" s="5">
        <f t="shared" si="378"/>
        <v>0.6</v>
      </c>
    </row>
    <row r="3527" spans="1:37" x14ac:dyDescent="0.2">
      <c r="A3527" s="2">
        <v>2026</v>
      </c>
      <c r="B3527" s="2">
        <v>1</v>
      </c>
      <c r="C3527" s="2" t="s">
        <v>1598</v>
      </c>
      <c r="L3527" s="2" t="s">
        <v>40</v>
      </c>
      <c r="O3527" s="2" t="s">
        <v>188</v>
      </c>
      <c r="P3527" s="2" t="s">
        <v>192</v>
      </c>
      <c r="Q3527" s="2" t="s">
        <v>191</v>
      </c>
      <c r="R3527" s="2">
        <v>1.25</v>
      </c>
      <c r="S3527" s="2">
        <v>62.5</v>
      </c>
      <c r="T3527" s="2">
        <v>14.375</v>
      </c>
      <c r="U3527" s="2">
        <v>76.875</v>
      </c>
      <c r="V3527" s="2">
        <f>S3527*50%</f>
        <v>31.25</v>
      </c>
      <c r="W3527" s="5">
        <f t="shared" si="384"/>
        <v>0.5</v>
      </c>
      <c r="Y3527" s="2" t="s">
        <v>118</v>
      </c>
      <c r="Z3527" s="2" t="s">
        <v>191</v>
      </c>
      <c r="AE3527" s="2">
        <f t="shared" si="382"/>
        <v>0</v>
      </c>
      <c r="AF3527" s="2">
        <f t="shared" si="381"/>
        <v>31.25</v>
      </c>
      <c r="AI3527" s="2">
        <f t="shared" si="383"/>
        <v>0</v>
      </c>
      <c r="AJ3527" s="2">
        <f t="shared" si="380"/>
        <v>31.25</v>
      </c>
      <c r="AK3527" s="5">
        <f t="shared" si="378"/>
        <v>0.5</v>
      </c>
    </row>
    <row r="3528" spans="1:37" x14ac:dyDescent="0.2">
      <c r="A3528" s="2">
        <v>2026</v>
      </c>
      <c r="B3528" s="2">
        <v>1</v>
      </c>
      <c r="C3528" s="2" t="s">
        <v>504</v>
      </c>
      <c r="D3528" s="2" t="s">
        <v>38</v>
      </c>
      <c r="E3528" s="2" t="s">
        <v>39</v>
      </c>
      <c r="F3528" s="2">
        <v>513244468</v>
      </c>
      <c r="G3528" s="2" t="s">
        <v>41</v>
      </c>
      <c r="H3528" s="2" t="s">
        <v>505</v>
      </c>
      <c r="I3528" s="2" t="s">
        <v>506</v>
      </c>
      <c r="J3528" s="2">
        <v>918010109</v>
      </c>
      <c r="K3528" s="2" t="s">
        <v>100</v>
      </c>
      <c r="L3528" s="2" t="s">
        <v>40</v>
      </c>
      <c r="O3528" s="2" t="s">
        <v>188</v>
      </c>
      <c r="P3528" s="2" t="s">
        <v>189</v>
      </c>
      <c r="Q3528" s="2" t="s">
        <v>190</v>
      </c>
      <c r="R3528" s="2">
        <v>1</v>
      </c>
      <c r="S3528" s="2">
        <v>50</v>
      </c>
      <c r="T3528" s="2">
        <v>11.5</v>
      </c>
      <c r="U3528" s="2">
        <v>61.5</v>
      </c>
      <c r="V3528" s="2">
        <f>S3528*40%</f>
        <v>20</v>
      </c>
      <c r="W3528" s="5">
        <f t="shared" si="384"/>
        <v>0.6</v>
      </c>
      <c r="Y3528" s="2" t="s">
        <v>118</v>
      </c>
      <c r="Z3528" s="2" t="s">
        <v>191</v>
      </c>
      <c r="AE3528" s="2">
        <f t="shared" si="382"/>
        <v>0</v>
      </c>
      <c r="AF3528" s="2">
        <f t="shared" si="381"/>
        <v>20</v>
      </c>
      <c r="AI3528" s="2">
        <f t="shared" si="383"/>
        <v>0</v>
      </c>
      <c r="AJ3528" s="2">
        <f t="shared" si="380"/>
        <v>30</v>
      </c>
      <c r="AK3528" s="5">
        <f t="shared" si="378"/>
        <v>0.6</v>
      </c>
    </row>
    <row r="3529" spans="1:37" x14ac:dyDescent="0.2">
      <c r="A3529" s="2">
        <v>2026</v>
      </c>
      <c r="B3529" s="2">
        <v>1</v>
      </c>
      <c r="C3529" s="2" t="s">
        <v>504</v>
      </c>
      <c r="D3529" s="2" t="s">
        <v>38</v>
      </c>
      <c r="E3529" s="2" t="s">
        <v>39</v>
      </c>
      <c r="F3529" s="2">
        <v>513244468</v>
      </c>
      <c r="G3529" s="2" t="s">
        <v>41</v>
      </c>
      <c r="H3529" s="2" t="s">
        <v>505</v>
      </c>
      <c r="I3529" s="2" t="s">
        <v>506</v>
      </c>
      <c r="J3529" s="2">
        <v>918010109</v>
      </c>
      <c r="K3529" s="2" t="s">
        <v>100</v>
      </c>
      <c r="L3529" s="2" t="s">
        <v>40</v>
      </c>
      <c r="O3529" s="2" t="s">
        <v>188</v>
      </c>
      <c r="P3529" s="2" t="s">
        <v>192</v>
      </c>
      <c r="Q3529" s="2" t="s">
        <v>191</v>
      </c>
      <c r="R3529" s="2">
        <v>3</v>
      </c>
      <c r="S3529" s="2">
        <v>150</v>
      </c>
      <c r="T3529" s="2">
        <v>34.5</v>
      </c>
      <c r="U3529" s="2">
        <v>184.5</v>
      </c>
      <c r="V3529" s="2">
        <f>S3529*50%</f>
        <v>75</v>
      </c>
      <c r="W3529" s="5">
        <f t="shared" si="384"/>
        <v>0.5</v>
      </c>
      <c r="Y3529" s="2" t="s">
        <v>118</v>
      </c>
      <c r="Z3529" s="2" t="s">
        <v>191</v>
      </c>
      <c r="AE3529" s="2">
        <f t="shared" si="382"/>
        <v>0</v>
      </c>
      <c r="AF3529" s="2">
        <f t="shared" si="381"/>
        <v>75</v>
      </c>
      <c r="AI3529" s="2">
        <f t="shared" si="383"/>
        <v>0</v>
      </c>
      <c r="AJ3529" s="2">
        <f t="shared" si="380"/>
        <v>75</v>
      </c>
      <c r="AK3529" s="5">
        <f t="shared" si="378"/>
        <v>0.5</v>
      </c>
    </row>
    <row r="3530" spans="1:37" x14ac:dyDescent="0.2">
      <c r="A3530" s="2">
        <v>2026</v>
      </c>
      <c r="B3530" s="2">
        <v>2</v>
      </c>
      <c r="C3530" s="2" t="s">
        <v>2175</v>
      </c>
      <c r="L3530" s="2" t="s">
        <v>40</v>
      </c>
      <c r="O3530" s="2" t="s">
        <v>188</v>
      </c>
      <c r="P3530" s="2" t="s">
        <v>189</v>
      </c>
      <c r="Q3530" s="2" t="s">
        <v>190</v>
      </c>
      <c r="R3530" s="2">
        <v>1</v>
      </c>
      <c r="S3530" s="2">
        <v>240</v>
      </c>
      <c r="T3530" s="2">
        <v>55.2</v>
      </c>
      <c r="U3530" s="2">
        <v>295.2</v>
      </c>
      <c r="V3530" s="2">
        <f>S3530*40%</f>
        <v>96</v>
      </c>
      <c r="W3530" s="5">
        <f t="shared" si="384"/>
        <v>0.6</v>
      </c>
      <c r="Y3530" s="2" t="s">
        <v>118</v>
      </c>
      <c r="Z3530" s="2" t="s">
        <v>191</v>
      </c>
      <c r="AE3530" s="2">
        <f t="shared" si="382"/>
        <v>0</v>
      </c>
      <c r="AF3530" s="2">
        <f t="shared" si="381"/>
        <v>96</v>
      </c>
      <c r="AI3530" s="2">
        <f t="shared" si="383"/>
        <v>0</v>
      </c>
      <c r="AJ3530" s="2">
        <f t="shared" si="380"/>
        <v>144</v>
      </c>
      <c r="AK3530" s="5">
        <f t="shared" si="378"/>
        <v>0.6</v>
      </c>
    </row>
    <row r="3531" spans="1:37" x14ac:dyDescent="0.2">
      <c r="A3531" s="2">
        <v>2026</v>
      </c>
      <c r="B3531" s="2">
        <v>2</v>
      </c>
      <c r="C3531" s="2" t="s">
        <v>2175</v>
      </c>
      <c r="L3531" s="2" t="s">
        <v>40</v>
      </c>
      <c r="O3531" s="2" t="s">
        <v>188</v>
      </c>
      <c r="P3531" s="2" t="s">
        <v>192</v>
      </c>
      <c r="Q3531" s="2" t="s">
        <v>191</v>
      </c>
      <c r="R3531" s="2">
        <v>8</v>
      </c>
      <c r="S3531" s="2">
        <v>400</v>
      </c>
      <c r="T3531" s="2">
        <v>92</v>
      </c>
      <c r="U3531" s="2">
        <v>492</v>
      </c>
      <c r="V3531" s="2">
        <f>S3531*50%</f>
        <v>200</v>
      </c>
      <c r="W3531" s="5">
        <f t="shared" si="384"/>
        <v>0.5</v>
      </c>
      <c r="Y3531" s="2" t="s">
        <v>118</v>
      </c>
      <c r="Z3531" s="2" t="s">
        <v>191</v>
      </c>
      <c r="AE3531" s="2">
        <f t="shared" si="382"/>
        <v>0</v>
      </c>
      <c r="AF3531" s="2">
        <f t="shared" si="381"/>
        <v>200</v>
      </c>
      <c r="AI3531" s="2">
        <f t="shared" si="383"/>
        <v>0</v>
      </c>
      <c r="AJ3531" s="2">
        <f t="shared" si="380"/>
        <v>200</v>
      </c>
      <c r="AK3531" s="5">
        <f t="shared" si="378"/>
        <v>0.5</v>
      </c>
    </row>
    <row r="3532" spans="1:37" x14ac:dyDescent="0.2">
      <c r="A3532" s="2">
        <v>2026</v>
      </c>
      <c r="B3532" s="2">
        <v>1</v>
      </c>
      <c r="C3532" s="2" t="s">
        <v>513</v>
      </c>
      <c r="D3532" s="2" t="s">
        <v>38</v>
      </c>
      <c r="E3532" s="2" t="s">
        <v>39</v>
      </c>
      <c r="F3532" s="2">
        <v>513405020</v>
      </c>
      <c r="G3532" s="2" t="s">
        <v>40</v>
      </c>
      <c r="H3532" s="2" t="s">
        <v>157</v>
      </c>
      <c r="I3532" s="2" t="s">
        <v>514</v>
      </c>
      <c r="J3532" s="2">
        <v>919770433</v>
      </c>
      <c r="K3532" s="2" t="s">
        <v>100</v>
      </c>
      <c r="L3532" s="2" t="s">
        <v>40</v>
      </c>
      <c r="O3532" s="2" t="s">
        <v>188</v>
      </c>
      <c r="P3532" s="2" t="s">
        <v>189</v>
      </c>
      <c r="Q3532" s="2" t="s">
        <v>190</v>
      </c>
      <c r="R3532" s="2">
        <v>2</v>
      </c>
      <c r="S3532" s="2">
        <v>110</v>
      </c>
      <c r="T3532" s="2">
        <v>25.3</v>
      </c>
      <c r="U3532" s="2">
        <v>135.30000000000001</v>
      </c>
      <c r="V3532" s="2">
        <f>S3532*40%</f>
        <v>44</v>
      </c>
      <c r="W3532" s="5">
        <f t="shared" si="384"/>
        <v>0.6</v>
      </c>
      <c r="Y3532" s="2" t="s">
        <v>118</v>
      </c>
      <c r="Z3532" s="2" t="s">
        <v>191</v>
      </c>
      <c r="AE3532" s="2">
        <f t="shared" si="382"/>
        <v>0</v>
      </c>
      <c r="AF3532" s="2">
        <f t="shared" si="381"/>
        <v>44</v>
      </c>
      <c r="AI3532" s="2">
        <f t="shared" si="383"/>
        <v>0</v>
      </c>
      <c r="AJ3532" s="2">
        <f t="shared" si="380"/>
        <v>66</v>
      </c>
      <c r="AK3532" s="5">
        <f t="shared" si="378"/>
        <v>0.6</v>
      </c>
    </row>
    <row r="3533" spans="1:37" x14ac:dyDescent="0.2">
      <c r="A3533" s="2">
        <v>2026</v>
      </c>
      <c r="B3533" s="2">
        <v>3</v>
      </c>
      <c r="C3533" s="2" t="s">
        <v>37</v>
      </c>
      <c r="D3533" s="2" t="s">
        <v>38</v>
      </c>
      <c r="E3533" s="2" t="s">
        <v>39</v>
      </c>
      <c r="G3533" s="2" t="s">
        <v>40</v>
      </c>
      <c r="O3533" s="2" t="s">
        <v>170</v>
      </c>
      <c r="P3533" s="2" t="s">
        <v>171</v>
      </c>
      <c r="Q3533" s="2" t="s">
        <v>171</v>
      </c>
      <c r="R3533" s="2">
        <v>2</v>
      </c>
      <c r="S3533" s="2">
        <v>39.39</v>
      </c>
      <c r="T3533" s="2">
        <v>9.0597000000000012</v>
      </c>
      <c r="U3533" s="2">
        <v>48.4497</v>
      </c>
      <c r="W3533" s="5">
        <f t="shared" si="384"/>
        <v>1</v>
      </c>
      <c r="Y3533" s="2" t="s">
        <v>170</v>
      </c>
      <c r="Z3533" s="2" t="s">
        <v>170</v>
      </c>
      <c r="AE3533" s="2">
        <f t="shared" si="382"/>
        <v>0</v>
      </c>
      <c r="AI3533" s="2">
        <f t="shared" si="383"/>
        <v>0</v>
      </c>
      <c r="AJ3533" s="2">
        <f t="shared" si="380"/>
        <v>39.39</v>
      </c>
      <c r="AK3533" s="5">
        <f t="shared" si="378"/>
        <v>1</v>
      </c>
    </row>
    <row r="3534" spans="1:37" x14ac:dyDescent="0.2">
      <c r="A3534" s="2">
        <v>2026</v>
      </c>
      <c r="B3534" s="2">
        <v>3</v>
      </c>
      <c r="C3534" s="2" t="s">
        <v>943</v>
      </c>
      <c r="D3534" s="2" t="s">
        <v>38</v>
      </c>
      <c r="E3534" s="2" t="s">
        <v>39</v>
      </c>
      <c r="F3534" s="2">
        <v>508868726</v>
      </c>
      <c r="G3534" s="2" t="s">
        <v>291</v>
      </c>
      <c r="H3534" s="2" t="s">
        <v>944</v>
      </c>
      <c r="I3534" s="2" t="s">
        <v>945</v>
      </c>
      <c r="J3534" s="2">
        <v>964771057</v>
      </c>
      <c r="K3534" s="2" t="s">
        <v>340</v>
      </c>
      <c r="L3534" s="2" t="s">
        <v>81</v>
      </c>
      <c r="N3534" s="2" t="s">
        <v>2763</v>
      </c>
      <c r="O3534" s="2" t="s">
        <v>170</v>
      </c>
      <c r="P3534" s="2" t="s">
        <v>171</v>
      </c>
      <c r="Q3534" s="2" t="s">
        <v>171</v>
      </c>
      <c r="R3534" s="2">
        <v>1</v>
      </c>
      <c r="S3534" s="2">
        <v>30</v>
      </c>
      <c r="T3534" s="2">
        <v>6.9</v>
      </c>
      <c r="U3534" s="2">
        <v>36.9</v>
      </c>
      <c r="V3534" s="2">
        <v>23</v>
      </c>
      <c r="W3534" s="5">
        <f t="shared" si="384"/>
        <v>0.23333333333333334</v>
      </c>
      <c r="Y3534" s="2" t="s">
        <v>170</v>
      </c>
      <c r="Z3534" s="2" t="s">
        <v>170</v>
      </c>
      <c r="AE3534" s="2">
        <f t="shared" si="382"/>
        <v>0</v>
      </c>
      <c r="AF3534" s="2">
        <v>23</v>
      </c>
      <c r="AI3534" s="2">
        <f t="shared" si="383"/>
        <v>0</v>
      </c>
      <c r="AJ3534" s="2">
        <f t="shared" si="380"/>
        <v>7</v>
      </c>
      <c r="AK3534" s="5">
        <f t="shared" si="378"/>
        <v>0.23333333333333334</v>
      </c>
    </row>
    <row r="3535" spans="1:37" x14ac:dyDescent="0.2">
      <c r="A3535" s="2">
        <v>2026</v>
      </c>
      <c r="B3535" s="2">
        <v>3</v>
      </c>
      <c r="C3535" s="2" t="s">
        <v>2579</v>
      </c>
      <c r="O3535" s="2" t="s">
        <v>170</v>
      </c>
      <c r="P3535" s="2" t="s">
        <v>171</v>
      </c>
      <c r="Q3535" s="2" t="s">
        <v>171</v>
      </c>
      <c r="R3535" s="2">
        <v>1</v>
      </c>
      <c r="S3535" s="2">
        <v>15</v>
      </c>
      <c r="T3535" s="2">
        <v>3.45</v>
      </c>
      <c r="U3535" s="2">
        <v>18.45</v>
      </c>
      <c r="W3535" s="5">
        <f t="shared" si="384"/>
        <v>1</v>
      </c>
      <c r="Y3535" s="2" t="s">
        <v>170</v>
      </c>
      <c r="Z3535" s="2" t="s">
        <v>170</v>
      </c>
      <c r="AE3535" s="2">
        <f t="shared" si="382"/>
        <v>0</v>
      </c>
      <c r="AI3535" s="2">
        <f t="shared" si="383"/>
        <v>0</v>
      </c>
      <c r="AJ3535" s="2">
        <f t="shared" si="380"/>
        <v>15</v>
      </c>
      <c r="AK3535" s="5">
        <f t="shared" si="378"/>
        <v>1</v>
      </c>
    </row>
    <row r="3536" spans="1:37" x14ac:dyDescent="0.2">
      <c r="A3536" s="2">
        <v>2026</v>
      </c>
      <c r="B3536" s="2">
        <v>3</v>
      </c>
      <c r="C3536" s="2" t="s">
        <v>850</v>
      </c>
      <c r="D3536" s="2" t="s">
        <v>38</v>
      </c>
      <c r="E3536" s="2" t="s">
        <v>39</v>
      </c>
      <c r="F3536" s="2">
        <v>161685080</v>
      </c>
      <c r="G3536" s="2" t="s">
        <v>41</v>
      </c>
      <c r="H3536" s="2" t="s">
        <v>422</v>
      </c>
      <c r="J3536" s="2" t="s">
        <v>851</v>
      </c>
      <c r="K3536" s="2" t="s">
        <v>422</v>
      </c>
      <c r="L3536" s="2" t="s">
        <v>41</v>
      </c>
      <c r="N3536" s="2" t="s">
        <v>2692</v>
      </c>
      <c r="O3536" s="2" t="s">
        <v>170</v>
      </c>
      <c r="P3536" s="2" t="s">
        <v>171</v>
      </c>
      <c r="Q3536" s="2" t="s">
        <v>171</v>
      </c>
      <c r="R3536" s="2">
        <v>1</v>
      </c>
      <c r="S3536" s="2">
        <v>5</v>
      </c>
      <c r="T3536" s="2">
        <v>1.1499999999999999</v>
      </c>
      <c r="U3536" s="2">
        <v>6.15</v>
      </c>
      <c r="W3536" s="5">
        <f t="shared" si="384"/>
        <v>1</v>
      </c>
      <c r="Y3536" s="2" t="s">
        <v>170</v>
      </c>
      <c r="Z3536" s="2" t="s">
        <v>170</v>
      </c>
      <c r="AE3536" s="2">
        <f t="shared" si="382"/>
        <v>0</v>
      </c>
      <c r="AI3536" s="2">
        <f t="shared" si="383"/>
        <v>0</v>
      </c>
      <c r="AJ3536" s="2">
        <f t="shared" si="380"/>
        <v>5</v>
      </c>
      <c r="AK3536" s="5">
        <f t="shared" si="378"/>
        <v>1</v>
      </c>
    </row>
    <row r="3537" spans="1:37" x14ac:dyDescent="0.2">
      <c r="A3537" s="2">
        <v>2026</v>
      </c>
      <c r="B3537" s="2">
        <v>4</v>
      </c>
      <c r="C3537" s="2" t="s">
        <v>695</v>
      </c>
      <c r="D3537" s="2" t="s">
        <v>109</v>
      </c>
      <c r="E3537" s="2" t="s">
        <v>39</v>
      </c>
      <c r="F3537" s="2">
        <v>503589950</v>
      </c>
      <c r="G3537" s="2" t="s">
        <v>41</v>
      </c>
      <c r="H3537" s="2" t="s">
        <v>615</v>
      </c>
      <c r="I3537" s="2" t="s">
        <v>696</v>
      </c>
      <c r="J3537" s="2">
        <v>913036545</v>
      </c>
      <c r="K3537" s="2" t="s">
        <v>178</v>
      </c>
      <c r="L3537" s="2" t="s">
        <v>41</v>
      </c>
      <c r="N3537" s="2" t="s">
        <v>2635</v>
      </c>
      <c r="O3537" s="2" t="s">
        <v>85</v>
      </c>
      <c r="P3537" s="2" t="s">
        <v>1220</v>
      </c>
      <c r="Q3537" s="2" t="s">
        <v>1221</v>
      </c>
      <c r="R3537" s="2">
        <v>1</v>
      </c>
      <c r="S3537" s="2">
        <v>15.4</v>
      </c>
      <c r="T3537" s="2">
        <v>3.5419999999999998</v>
      </c>
      <c r="U3537" s="2">
        <v>18.942</v>
      </c>
      <c r="W3537" s="5">
        <f t="shared" si="384"/>
        <v>1</v>
      </c>
      <c r="Y3537" s="2" t="s">
        <v>3256</v>
      </c>
      <c r="Z3537" s="2" t="s">
        <v>88</v>
      </c>
      <c r="AA3537" s="2" t="s">
        <v>91</v>
      </c>
      <c r="AB3537" s="2" t="s">
        <v>85</v>
      </c>
      <c r="AE3537" s="2">
        <f t="shared" si="382"/>
        <v>0</v>
      </c>
      <c r="AI3537" s="2">
        <f t="shared" si="383"/>
        <v>0</v>
      </c>
      <c r="AJ3537" s="2">
        <f t="shared" si="380"/>
        <v>15.4</v>
      </c>
      <c r="AK3537" s="5">
        <f t="shared" si="378"/>
        <v>1</v>
      </c>
    </row>
    <row r="3538" spans="1:37" x14ac:dyDescent="0.2">
      <c r="A3538" s="2">
        <v>2026</v>
      </c>
      <c r="B3538" s="2">
        <v>3</v>
      </c>
      <c r="C3538" s="2" t="s">
        <v>529</v>
      </c>
      <c r="D3538" s="2" t="s">
        <v>109</v>
      </c>
      <c r="E3538" s="2" t="s">
        <v>39</v>
      </c>
      <c r="F3538" s="2">
        <v>509391583</v>
      </c>
      <c r="G3538" s="2" t="s">
        <v>40</v>
      </c>
      <c r="H3538" s="2" t="s">
        <v>530</v>
      </c>
      <c r="I3538" s="2" t="s">
        <v>531</v>
      </c>
      <c r="K3538" s="2" t="s">
        <v>345</v>
      </c>
      <c r="O3538" s="2" t="s">
        <v>170</v>
      </c>
      <c r="P3538" s="2" t="s">
        <v>171</v>
      </c>
      <c r="Q3538" s="2" t="s">
        <v>171</v>
      </c>
      <c r="R3538" s="2">
        <v>1</v>
      </c>
      <c r="S3538" s="2">
        <v>5</v>
      </c>
      <c r="T3538" s="2">
        <v>1.1499999999999999</v>
      </c>
      <c r="U3538" s="2">
        <v>6.15</v>
      </c>
      <c r="W3538" s="5">
        <f t="shared" si="384"/>
        <v>1</v>
      </c>
      <c r="Y3538" s="2" t="s">
        <v>170</v>
      </c>
      <c r="Z3538" s="2" t="s">
        <v>170</v>
      </c>
      <c r="AE3538" s="2">
        <f t="shared" si="382"/>
        <v>0</v>
      </c>
      <c r="AI3538" s="2">
        <f t="shared" si="383"/>
        <v>0</v>
      </c>
      <c r="AJ3538" s="2">
        <f t="shared" si="380"/>
        <v>5</v>
      </c>
      <c r="AK3538" s="5">
        <f t="shared" si="378"/>
        <v>1</v>
      </c>
    </row>
    <row r="3539" spans="1:37" x14ac:dyDescent="0.2">
      <c r="A3539" s="2">
        <v>2026</v>
      </c>
      <c r="B3539" s="2">
        <v>3</v>
      </c>
      <c r="C3539" s="2" t="s">
        <v>534</v>
      </c>
      <c r="D3539" s="2" t="s">
        <v>109</v>
      </c>
      <c r="E3539" s="2" t="s">
        <v>535</v>
      </c>
      <c r="F3539" s="2">
        <v>502139552</v>
      </c>
      <c r="G3539" s="2" t="s">
        <v>40</v>
      </c>
      <c r="H3539" s="2" t="s">
        <v>340</v>
      </c>
      <c r="I3539" s="2" t="s">
        <v>536</v>
      </c>
      <c r="K3539" s="2" t="s">
        <v>340</v>
      </c>
      <c r="L3539" s="2" t="s">
        <v>40</v>
      </c>
      <c r="O3539" s="2" t="s">
        <v>40</v>
      </c>
      <c r="P3539" s="2" t="s">
        <v>141</v>
      </c>
      <c r="Q3539" s="2" t="s">
        <v>142</v>
      </c>
      <c r="R3539" s="2">
        <v>-1</v>
      </c>
      <c r="S3539" s="2">
        <v>-5.15</v>
      </c>
      <c r="T3539" s="2">
        <v>-1.1845000000000001</v>
      </c>
      <c r="U3539" s="2">
        <v>-6.3345000000000002</v>
      </c>
      <c r="W3539" s="5">
        <f>SIGN(S3539)*((ABS(S3539)-V3539)/ABS(S3539))</f>
        <v>-1</v>
      </c>
      <c r="Y3539" s="2" t="s">
        <v>120</v>
      </c>
      <c r="Z3539" s="2" t="s">
        <v>143</v>
      </c>
      <c r="AE3539" s="2">
        <f t="shared" si="382"/>
        <v>0</v>
      </c>
      <c r="AI3539" s="2">
        <f t="shared" si="383"/>
        <v>0</v>
      </c>
      <c r="AJ3539" s="2">
        <f t="shared" si="380"/>
        <v>-5.15</v>
      </c>
      <c r="AK3539" s="5">
        <f t="shared" si="378"/>
        <v>1</v>
      </c>
    </row>
    <row r="3540" spans="1:37" x14ac:dyDescent="0.2">
      <c r="A3540" s="2">
        <v>2026</v>
      </c>
      <c r="B3540" s="2">
        <v>3</v>
      </c>
      <c r="C3540" s="2" t="s">
        <v>1677</v>
      </c>
      <c r="L3540" s="2" t="s">
        <v>40</v>
      </c>
      <c r="O3540" s="2" t="s">
        <v>40</v>
      </c>
      <c r="P3540" s="2" t="s">
        <v>141</v>
      </c>
      <c r="Q3540" s="2" t="s">
        <v>142</v>
      </c>
      <c r="R3540" s="2">
        <v>-1</v>
      </c>
      <c r="S3540" s="2">
        <v>-458.06</v>
      </c>
      <c r="T3540" s="2">
        <v>-105.35380000000001</v>
      </c>
      <c r="U3540" s="2">
        <v>-563.41380000000004</v>
      </c>
      <c r="W3540" s="5">
        <f>SIGN(S3540)*((ABS(S3540)-V3540)/ABS(S3540))</f>
        <v>-1</v>
      </c>
      <c r="Y3540" s="2" t="s">
        <v>120</v>
      </c>
      <c r="Z3540" s="2" t="s">
        <v>143</v>
      </c>
      <c r="AE3540" s="2">
        <f t="shared" si="382"/>
        <v>0</v>
      </c>
      <c r="AI3540" s="2">
        <f t="shared" si="383"/>
        <v>0</v>
      </c>
      <c r="AJ3540" s="2">
        <f t="shared" si="380"/>
        <v>-458.06</v>
      </c>
      <c r="AK3540" s="5">
        <f t="shared" si="378"/>
        <v>1</v>
      </c>
    </row>
    <row r="3541" spans="1:37" x14ac:dyDescent="0.2">
      <c r="A3541" s="2">
        <v>2026</v>
      </c>
      <c r="B3541" s="2">
        <v>3</v>
      </c>
      <c r="C3541" s="2" t="s">
        <v>1365</v>
      </c>
      <c r="D3541" s="2" t="s">
        <v>758</v>
      </c>
      <c r="E3541" s="2" t="s">
        <v>39</v>
      </c>
      <c r="F3541" s="2">
        <v>518238334</v>
      </c>
      <c r="G3541" s="2" t="s">
        <v>41</v>
      </c>
      <c r="H3541" s="2" t="s">
        <v>768</v>
      </c>
      <c r="I3541" s="2" t="s">
        <v>1366</v>
      </c>
      <c r="K3541" s="2" t="s">
        <v>422</v>
      </c>
      <c r="L3541" s="2" t="s">
        <v>40</v>
      </c>
      <c r="O3541" s="2" t="s">
        <v>188</v>
      </c>
      <c r="P3541" s="2" t="s">
        <v>1318</v>
      </c>
      <c r="Q3541" s="2" t="s">
        <v>1319</v>
      </c>
      <c r="R3541" s="2">
        <v>1</v>
      </c>
      <c r="S3541" s="2">
        <v>111</v>
      </c>
      <c r="T3541" s="2">
        <v>25.53</v>
      </c>
      <c r="U3541" s="2">
        <v>136.53</v>
      </c>
      <c r="W3541" s="5">
        <f t="shared" ref="W3541:W3546" si="385">(S3541-V3541)/S3541</f>
        <v>1</v>
      </c>
      <c r="Y3541" s="2" t="s">
        <v>118</v>
      </c>
      <c r="Z3541" s="2" t="s">
        <v>1320</v>
      </c>
      <c r="AE3541" s="2">
        <f t="shared" si="382"/>
        <v>0</v>
      </c>
      <c r="AI3541" s="2">
        <f t="shared" si="383"/>
        <v>0</v>
      </c>
      <c r="AJ3541" s="2">
        <f t="shared" si="380"/>
        <v>111</v>
      </c>
      <c r="AK3541" s="5">
        <f t="shared" si="378"/>
        <v>1</v>
      </c>
    </row>
    <row r="3542" spans="1:37" x14ac:dyDescent="0.2">
      <c r="A3542" s="2">
        <v>2026</v>
      </c>
      <c r="B3542" s="2">
        <v>3</v>
      </c>
      <c r="C3542" s="2" t="s">
        <v>37</v>
      </c>
      <c r="D3542" s="2" t="s">
        <v>38</v>
      </c>
      <c r="E3542" s="2" t="s">
        <v>39</v>
      </c>
      <c r="G3542" s="2" t="s">
        <v>40</v>
      </c>
      <c r="L3542" s="2" t="s">
        <v>81</v>
      </c>
      <c r="N3542" s="2" t="s">
        <v>2794</v>
      </c>
      <c r="O3542" s="2" t="s">
        <v>94</v>
      </c>
      <c r="P3542" s="2" t="s">
        <v>95</v>
      </c>
      <c r="Q3542" s="2" t="s">
        <v>96</v>
      </c>
      <c r="R3542" s="2">
        <v>6</v>
      </c>
      <c r="S3542" s="2">
        <v>8.8800000000000008</v>
      </c>
      <c r="T3542" s="2">
        <v>2.0424000000000002</v>
      </c>
      <c r="U3542" s="2">
        <v>10.9224</v>
      </c>
      <c r="V3542" s="2">
        <v>8.879999999999999</v>
      </c>
      <c r="W3542" s="5">
        <f t="shared" si="385"/>
        <v>2.000401846171453E-16</v>
      </c>
      <c r="Y3542" s="2" t="s">
        <v>3256</v>
      </c>
      <c r="Z3542" s="2" t="s">
        <v>97</v>
      </c>
      <c r="AA3542" s="2" t="s">
        <v>77</v>
      </c>
      <c r="AB3542" s="2" t="s">
        <v>94</v>
      </c>
      <c r="AE3542" s="2">
        <f t="shared" si="382"/>
        <v>0</v>
      </c>
      <c r="AI3542" s="2">
        <f t="shared" si="383"/>
        <v>0</v>
      </c>
      <c r="AJ3542" s="2">
        <f t="shared" si="380"/>
        <v>0</v>
      </c>
      <c r="AK3542" s="5">
        <f t="shared" si="378"/>
        <v>2.000401846171453E-16</v>
      </c>
    </row>
    <row r="3543" spans="1:37" x14ac:dyDescent="0.2">
      <c r="A3543" s="2">
        <v>2026</v>
      </c>
      <c r="B3543" s="2">
        <v>3</v>
      </c>
      <c r="C3543" s="2" t="s">
        <v>2749</v>
      </c>
      <c r="O3543" s="2" t="s">
        <v>94</v>
      </c>
      <c r="P3543" s="2" t="s">
        <v>95</v>
      </c>
      <c r="Q3543" s="2" t="s">
        <v>96</v>
      </c>
      <c r="R3543" s="2">
        <v>1</v>
      </c>
      <c r="S3543" s="2">
        <v>1.48</v>
      </c>
      <c r="T3543" s="2">
        <v>0.34039999999999998</v>
      </c>
      <c r="U3543" s="2">
        <v>1.8204</v>
      </c>
      <c r="V3543" s="2">
        <v>1.48</v>
      </c>
      <c r="W3543" s="5">
        <f t="shared" si="385"/>
        <v>0</v>
      </c>
      <c r="Y3543" s="2" t="s">
        <v>3256</v>
      </c>
      <c r="Z3543" s="2" t="s">
        <v>97</v>
      </c>
      <c r="AA3543" s="2" t="s">
        <v>77</v>
      </c>
      <c r="AB3543" s="2" t="s">
        <v>94</v>
      </c>
      <c r="AE3543" s="2">
        <f t="shared" si="382"/>
        <v>0</v>
      </c>
      <c r="AI3543" s="2">
        <f t="shared" si="383"/>
        <v>0</v>
      </c>
      <c r="AJ3543" s="2">
        <f t="shared" si="380"/>
        <v>0</v>
      </c>
      <c r="AK3543" s="5">
        <f t="shared" si="378"/>
        <v>0</v>
      </c>
    </row>
    <row r="3544" spans="1:37" x14ac:dyDescent="0.2">
      <c r="A3544" s="2">
        <v>2026</v>
      </c>
      <c r="B3544" s="2">
        <v>3</v>
      </c>
      <c r="C3544" s="2" t="s">
        <v>943</v>
      </c>
      <c r="D3544" s="2" t="s">
        <v>38</v>
      </c>
      <c r="E3544" s="2" t="s">
        <v>39</v>
      </c>
      <c r="F3544" s="2">
        <v>508868726</v>
      </c>
      <c r="G3544" s="2" t="s">
        <v>291</v>
      </c>
      <c r="H3544" s="2" t="s">
        <v>944</v>
      </c>
      <c r="I3544" s="2" t="s">
        <v>945</v>
      </c>
      <c r="J3544" s="2">
        <v>964771057</v>
      </c>
      <c r="K3544" s="2" t="s">
        <v>340</v>
      </c>
      <c r="L3544" s="2" t="s">
        <v>81</v>
      </c>
      <c r="N3544" s="2" t="s">
        <v>2763</v>
      </c>
      <c r="O3544" s="2" t="s">
        <v>94</v>
      </c>
      <c r="P3544" s="2" t="s">
        <v>95</v>
      </c>
      <c r="Q3544" s="2" t="s">
        <v>96</v>
      </c>
      <c r="R3544" s="2">
        <v>1</v>
      </c>
      <c r="S3544" s="2">
        <v>1.48</v>
      </c>
      <c r="T3544" s="2">
        <v>0.34039999999999998</v>
      </c>
      <c r="U3544" s="2">
        <v>1.8204</v>
      </c>
      <c r="V3544" s="2">
        <v>1.48</v>
      </c>
      <c r="W3544" s="5">
        <f t="shared" si="385"/>
        <v>0</v>
      </c>
      <c r="Y3544" s="2" t="s">
        <v>3256</v>
      </c>
      <c r="Z3544" s="2" t="s">
        <v>97</v>
      </c>
      <c r="AA3544" s="2" t="s">
        <v>77</v>
      </c>
      <c r="AB3544" s="2" t="s">
        <v>94</v>
      </c>
      <c r="AE3544" s="2">
        <f t="shared" si="382"/>
        <v>0</v>
      </c>
      <c r="AF3544" s="2">
        <v>1.48</v>
      </c>
      <c r="AG3544" s="2">
        <v>1.48</v>
      </c>
      <c r="AI3544" s="2">
        <f t="shared" si="383"/>
        <v>0</v>
      </c>
      <c r="AJ3544" s="2">
        <f t="shared" si="380"/>
        <v>0</v>
      </c>
      <c r="AK3544" s="5">
        <f t="shared" si="378"/>
        <v>0</v>
      </c>
    </row>
    <row r="3545" spans="1:37" x14ac:dyDescent="0.2">
      <c r="A3545" s="2">
        <v>2026</v>
      </c>
      <c r="B3545" s="2">
        <v>3</v>
      </c>
      <c r="C3545" s="2" t="s">
        <v>2745</v>
      </c>
      <c r="O3545" s="2" t="s">
        <v>94</v>
      </c>
      <c r="P3545" s="2" t="s">
        <v>95</v>
      </c>
      <c r="Q3545" s="2" t="s">
        <v>96</v>
      </c>
      <c r="R3545" s="2">
        <v>1</v>
      </c>
      <c r="S3545" s="2">
        <v>1.48</v>
      </c>
      <c r="T3545" s="2">
        <v>0.34039999999999998</v>
      </c>
      <c r="U3545" s="2">
        <v>1.8204</v>
      </c>
      <c r="V3545" s="2">
        <v>1.48</v>
      </c>
      <c r="W3545" s="5">
        <f t="shared" si="385"/>
        <v>0</v>
      </c>
      <c r="Y3545" s="2" t="s">
        <v>3256</v>
      </c>
      <c r="Z3545" s="2" t="s">
        <v>97</v>
      </c>
      <c r="AA3545" s="2" t="s">
        <v>77</v>
      </c>
      <c r="AB3545" s="2" t="s">
        <v>94</v>
      </c>
      <c r="AE3545" s="2">
        <f t="shared" si="382"/>
        <v>0</v>
      </c>
      <c r="AI3545" s="2">
        <f t="shared" si="383"/>
        <v>0</v>
      </c>
      <c r="AJ3545" s="2">
        <f t="shared" si="380"/>
        <v>0</v>
      </c>
      <c r="AK3545" s="5">
        <f t="shared" si="378"/>
        <v>0</v>
      </c>
    </row>
    <row r="3546" spans="1:37" x14ac:dyDescent="0.2">
      <c r="A3546" s="2">
        <v>2026</v>
      </c>
      <c r="B3546" s="2">
        <v>3</v>
      </c>
      <c r="C3546" s="2" t="s">
        <v>1159</v>
      </c>
      <c r="D3546" s="2" t="s">
        <v>109</v>
      </c>
      <c r="E3546" s="2" t="s">
        <v>39</v>
      </c>
      <c r="F3546" s="2">
        <v>504039733</v>
      </c>
      <c r="G3546" s="2" t="s">
        <v>110</v>
      </c>
      <c r="H3546" s="2" t="s">
        <v>2500</v>
      </c>
      <c r="I3546" s="2" t="s">
        <v>1485</v>
      </c>
      <c r="J3546" s="2">
        <v>938183284</v>
      </c>
      <c r="K3546" s="2" t="s">
        <v>134</v>
      </c>
      <c r="L3546" s="2" t="s">
        <v>110</v>
      </c>
      <c r="N3546" s="2" t="s">
        <v>2756</v>
      </c>
      <c r="O3546" s="2" t="s">
        <v>94</v>
      </c>
      <c r="P3546" s="2" t="s">
        <v>95</v>
      </c>
      <c r="Q3546" s="2" t="s">
        <v>96</v>
      </c>
      <c r="R3546" s="2">
        <v>1</v>
      </c>
      <c r="S3546" s="2">
        <v>1.48</v>
      </c>
      <c r="T3546" s="2">
        <v>0.34039999999999998</v>
      </c>
      <c r="U3546" s="2">
        <v>1.8204</v>
      </c>
      <c r="V3546" s="2">
        <v>1.48</v>
      </c>
      <c r="W3546" s="5">
        <f t="shared" si="385"/>
        <v>0</v>
      </c>
      <c r="Y3546" s="2" t="s">
        <v>3256</v>
      </c>
      <c r="Z3546" s="2" t="s">
        <v>97</v>
      </c>
      <c r="AA3546" s="2" t="s">
        <v>77</v>
      </c>
      <c r="AB3546" s="2" t="s">
        <v>94</v>
      </c>
      <c r="AE3546" s="2">
        <f t="shared" si="382"/>
        <v>0</v>
      </c>
      <c r="AI3546" s="2">
        <f t="shared" si="383"/>
        <v>0</v>
      </c>
      <c r="AJ3546" s="2">
        <f t="shared" si="380"/>
        <v>0</v>
      </c>
      <c r="AK3546" s="5">
        <f t="shared" si="378"/>
        <v>0</v>
      </c>
    </row>
    <row r="3547" spans="1:37" x14ac:dyDescent="0.2">
      <c r="A3547" s="2">
        <v>2026</v>
      </c>
      <c r="B3547" s="2">
        <v>3</v>
      </c>
      <c r="C3547" s="2" t="s">
        <v>1171</v>
      </c>
      <c r="D3547" s="2" t="s">
        <v>758</v>
      </c>
      <c r="F3547" s="2">
        <v>508199280</v>
      </c>
      <c r="G3547" s="2" t="s">
        <v>40</v>
      </c>
      <c r="H3547" s="2" t="s">
        <v>1172</v>
      </c>
      <c r="K3547" s="2" t="s">
        <v>294</v>
      </c>
      <c r="O3547" s="2" t="s">
        <v>94</v>
      </c>
      <c r="P3547" s="2" t="s">
        <v>95</v>
      </c>
      <c r="Q3547" s="2" t="s">
        <v>96</v>
      </c>
      <c r="R3547" s="2">
        <v>-1</v>
      </c>
      <c r="S3547" s="2">
        <v>1.48</v>
      </c>
      <c r="T3547" s="2">
        <v>0.34039999999999998</v>
      </c>
      <c r="U3547" s="2">
        <v>1.8204</v>
      </c>
      <c r="V3547" s="2">
        <v>1.48</v>
      </c>
      <c r="W3547" s="5">
        <f>SIGN(S3547)*((ABS(S3547)-V3547)/ABS(S3547))</f>
        <v>0</v>
      </c>
      <c r="Y3547" s="2" t="s">
        <v>3256</v>
      </c>
      <c r="Z3547" s="2" t="s">
        <v>97</v>
      </c>
      <c r="AA3547" s="2" t="s">
        <v>77</v>
      </c>
      <c r="AB3547" s="2" t="s">
        <v>94</v>
      </c>
      <c r="AE3547" s="2">
        <f t="shared" si="382"/>
        <v>0</v>
      </c>
      <c r="AI3547" s="2">
        <f t="shared" si="383"/>
        <v>0</v>
      </c>
      <c r="AJ3547" s="2">
        <f t="shared" si="380"/>
        <v>0</v>
      </c>
      <c r="AK3547" s="5">
        <f t="shared" si="378"/>
        <v>0</v>
      </c>
    </row>
    <row r="3548" spans="1:37" x14ac:dyDescent="0.2">
      <c r="A3548" s="2">
        <v>2026</v>
      </c>
      <c r="B3548" s="2">
        <v>3</v>
      </c>
      <c r="C3548" s="2" t="s">
        <v>315</v>
      </c>
      <c r="D3548" s="2" t="s">
        <v>109</v>
      </c>
      <c r="F3548" s="2">
        <v>503270520</v>
      </c>
      <c r="G3548" s="2" t="s">
        <v>40</v>
      </c>
      <c r="H3548" s="2" t="s">
        <v>316</v>
      </c>
      <c r="I3548" s="2" t="s">
        <v>317</v>
      </c>
      <c r="K3548" s="2" t="s">
        <v>100</v>
      </c>
      <c r="L3548" s="2" t="s">
        <v>81</v>
      </c>
      <c r="O3548" s="2" t="s">
        <v>94</v>
      </c>
      <c r="P3548" s="2" t="s">
        <v>95</v>
      </c>
      <c r="Q3548" s="2" t="s">
        <v>96</v>
      </c>
      <c r="R3548" s="2">
        <v>1</v>
      </c>
      <c r="S3548" s="2">
        <v>1.48</v>
      </c>
      <c r="T3548" s="2">
        <v>0.34039999999999998</v>
      </c>
      <c r="U3548" s="2">
        <v>1.8204</v>
      </c>
      <c r="V3548" s="2">
        <v>1.48</v>
      </c>
      <c r="W3548" s="5">
        <f t="shared" ref="W3548:W3579" si="386">(S3548-V3548)/S3548</f>
        <v>0</v>
      </c>
      <c r="Y3548" s="2" t="s">
        <v>3256</v>
      </c>
      <c r="Z3548" s="2" t="s">
        <v>97</v>
      </c>
      <c r="AA3548" s="2" t="s">
        <v>77</v>
      </c>
      <c r="AB3548" s="2" t="s">
        <v>94</v>
      </c>
      <c r="AE3548" s="2">
        <f t="shared" si="382"/>
        <v>0</v>
      </c>
      <c r="AI3548" s="2">
        <f t="shared" si="383"/>
        <v>0</v>
      </c>
      <c r="AJ3548" s="2">
        <f t="shared" si="380"/>
        <v>0</v>
      </c>
      <c r="AK3548" s="5">
        <f t="shared" si="378"/>
        <v>0</v>
      </c>
    </row>
    <row r="3549" spans="1:37" x14ac:dyDescent="0.2">
      <c r="A3549" s="2">
        <v>2026</v>
      </c>
      <c r="B3549" s="2">
        <v>3</v>
      </c>
      <c r="C3549" s="2" t="s">
        <v>2751</v>
      </c>
      <c r="O3549" s="2" t="s">
        <v>94</v>
      </c>
      <c r="P3549" s="2" t="s">
        <v>95</v>
      </c>
      <c r="Q3549" s="2" t="s">
        <v>96</v>
      </c>
      <c r="R3549" s="2">
        <v>1</v>
      </c>
      <c r="S3549" s="2">
        <v>1.48</v>
      </c>
      <c r="T3549" s="2">
        <v>0.34039999999999998</v>
      </c>
      <c r="U3549" s="2">
        <v>1.8204</v>
      </c>
      <c r="V3549" s="2">
        <v>1.48</v>
      </c>
      <c r="W3549" s="5">
        <f t="shared" si="386"/>
        <v>0</v>
      </c>
      <c r="Y3549" s="2" t="s">
        <v>3256</v>
      </c>
      <c r="Z3549" s="2" t="s">
        <v>97</v>
      </c>
      <c r="AA3549" s="2" t="s">
        <v>77</v>
      </c>
      <c r="AB3549" s="2" t="s">
        <v>94</v>
      </c>
      <c r="AE3549" s="2">
        <f t="shared" si="382"/>
        <v>0</v>
      </c>
      <c r="AI3549" s="2">
        <f t="shared" si="383"/>
        <v>0</v>
      </c>
      <c r="AJ3549" s="2">
        <f t="shared" si="380"/>
        <v>0</v>
      </c>
      <c r="AK3549" s="5">
        <f t="shared" si="378"/>
        <v>0</v>
      </c>
    </row>
    <row r="3550" spans="1:37" x14ac:dyDescent="0.2">
      <c r="A3550" s="2">
        <v>2026</v>
      </c>
      <c r="B3550" s="2">
        <v>3</v>
      </c>
      <c r="C3550" s="2" t="s">
        <v>2579</v>
      </c>
      <c r="O3550" s="2" t="s">
        <v>94</v>
      </c>
      <c r="P3550" s="2" t="s">
        <v>95</v>
      </c>
      <c r="Q3550" s="2" t="s">
        <v>96</v>
      </c>
      <c r="R3550" s="2">
        <v>1</v>
      </c>
      <c r="S3550" s="2">
        <v>1.48</v>
      </c>
      <c r="T3550" s="2">
        <v>0.34039999999999998</v>
      </c>
      <c r="U3550" s="2">
        <v>1.8204</v>
      </c>
      <c r="V3550" s="2">
        <v>1.48</v>
      </c>
      <c r="W3550" s="5">
        <f t="shared" si="386"/>
        <v>0</v>
      </c>
      <c r="Y3550" s="2" t="s">
        <v>3256</v>
      </c>
      <c r="Z3550" s="2" t="s">
        <v>97</v>
      </c>
      <c r="AA3550" s="2" t="s">
        <v>77</v>
      </c>
      <c r="AB3550" s="2" t="s">
        <v>94</v>
      </c>
      <c r="AE3550" s="2">
        <f t="shared" si="382"/>
        <v>0</v>
      </c>
      <c r="AI3550" s="2">
        <f t="shared" si="383"/>
        <v>0</v>
      </c>
      <c r="AJ3550" s="2">
        <f t="shared" si="380"/>
        <v>0</v>
      </c>
      <c r="AK3550" s="5">
        <f t="shared" si="378"/>
        <v>0</v>
      </c>
    </row>
    <row r="3551" spans="1:37" x14ac:dyDescent="0.2">
      <c r="A3551" s="2">
        <v>2026</v>
      </c>
      <c r="B3551" s="2">
        <v>3</v>
      </c>
      <c r="C3551" s="2" t="s">
        <v>755</v>
      </c>
      <c r="D3551" s="2" t="s">
        <v>109</v>
      </c>
      <c r="E3551" s="2" t="s">
        <v>39</v>
      </c>
      <c r="F3551" s="2">
        <v>510039537</v>
      </c>
      <c r="G3551" s="2" t="s">
        <v>40</v>
      </c>
      <c r="H3551" s="2" t="s">
        <v>576</v>
      </c>
      <c r="I3551" s="2" t="s">
        <v>756</v>
      </c>
      <c r="J3551" s="2">
        <v>969042927</v>
      </c>
      <c r="K3551" s="2" t="s">
        <v>576</v>
      </c>
      <c r="L3551" s="2" t="s">
        <v>81</v>
      </c>
      <c r="O3551" s="2" t="s">
        <v>94</v>
      </c>
      <c r="P3551" s="2" t="s">
        <v>95</v>
      </c>
      <c r="Q3551" s="2" t="s">
        <v>96</v>
      </c>
      <c r="R3551" s="2">
        <v>1</v>
      </c>
      <c r="S3551" s="2">
        <v>1.48</v>
      </c>
      <c r="T3551" s="2">
        <v>0.34039999999999998</v>
      </c>
      <c r="U3551" s="2">
        <v>1.8204</v>
      </c>
      <c r="V3551" s="2">
        <v>1.48</v>
      </c>
      <c r="W3551" s="5">
        <f t="shared" si="386"/>
        <v>0</v>
      </c>
      <c r="Y3551" s="2" t="s">
        <v>3256</v>
      </c>
      <c r="Z3551" s="2" t="s">
        <v>97</v>
      </c>
      <c r="AA3551" s="2" t="s">
        <v>77</v>
      </c>
      <c r="AB3551" s="2" t="s">
        <v>94</v>
      </c>
      <c r="AE3551" s="2">
        <f t="shared" si="382"/>
        <v>0</v>
      </c>
      <c r="AI3551" s="2">
        <f t="shared" si="383"/>
        <v>0</v>
      </c>
      <c r="AJ3551" s="2">
        <f t="shared" si="380"/>
        <v>0</v>
      </c>
      <c r="AK3551" s="5">
        <f t="shared" si="378"/>
        <v>0</v>
      </c>
    </row>
    <row r="3552" spans="1:37" x14ac:dyDescent="0.2">
      <c r="A3552" s="2">
        <v>2026</v>
      </c>
      <c r="B3552" s="2">
        <v>3</v>
      </c>
      <c r="C3552" s="2" t="s">
        <v>1005</v>
      </c>
      <c r="O3552" s="2" t="s">
        <v>94</v>
      </c>
      <c r="P3552" s="2" t="s">
        <v>95</v>
      </c>
      <c r="Q3552" s="2" t="s">
        <v>96</v>
      </c>
      <c r="R3552" s="2">
        <v>1</v>
      </c>
      <c r="S3552" s="2">
        <v>1.48</v>
      </c>
      <c r="T3552" s="2">
        <v>0.34039999999999998</v>
      </c>
      <c r="U3552" s="2">
        <v>1.8204</v>
      </c>
      <c r="V3552" s="2">
        <v>1.48</v>
      </c>
      <c r="W3552" s="5">
        <f t="shared" si="386"/>
        <v>0</v>
      </c>
      <c r="Y3552" s="2" t="s">
        <v>3256</v>
      </c>
      <c r="Z3552" s="2" t="s">
        <v>97</v>
      </c>
      <c r="AA3552" s="2" t="s">
        <v>77</v>
      </c>
      <c r="AB3552" s="2" t="s">
        <v>94</v>
      </c>
      <c r="AE3552" s="2">
        <f t="shared" si="382"/>
        <v>0</v>
      </c>
      <c r="AI3552" s="2">
        <f t="shared" si="383"/>
        <v>0</v>
      </c>
      <c r="AJ3552" s="2">
        <f t="shared" si="380"/>
        <v>0</v>
      </c>
      <c r="AK3552" s="5">
        <f t="shared" si="378"/>
        <v>0</v>
      </c>
    </row>
    <row r="3553" spans="1:37" x14ac:dyDescent="0.2">
      <c r="A3553" s="2">
        <v>2026</v>
      </c>
      <c r="B3553" s="2">
        <v>3</v>
      </c>
      <c r="C3553" s="2" t="s">
        <v>780</v>
      </c>
      <c r="O3553" s="2" t="s">
        <v>94</v>
      </c>
      <c r="P3553" s="2" t="s">
        <v>95</v>
      </c>
      <c r="Q3553" s="2" t="s">
        <v>96</v>
      </c>
      <c r="R3553" s="2">
        <v>1</v>
      </c>
      <c r="S3553" s="2">
        <v>1.48</v>
      </c>
      <c r="T3553" s="2">
        <v>0.34039999999999998</v>
      </c>
      <c r="U3553" s="2">
        <v>1.8204</v>
      </c>
      <c r="V3553" s="2">
        <v>1.48</v>
      </c>
      <c r="W3553" s="5">
        <f t="shared" si="386"/>
        <v>0</v>
      </c>
      <c r="Y3553" s="2" t="s">
        <v>3256</v>
      </c>
      <c r="Z3553" s="2" t="s">
        <v>97</v>
      </c>
      <c r="AA3553" s="2" t="s">
        <v>77</v>
      </c>
      <c r="AB3553" s="2" t="s">
        <v>94</v>
      </c>
      <c r="AE3553" s="2">
        <f t="shared" si="382"/>
        <v>0</v>
      </c>
      <c r="AI3553" s="2">
        <f t="shared" si="383"/>
        <v>0</v>
      </c>
      <c r="AJ3553" s="2">
        <f t="shared" si="380"/>
        <v>0</v>
      </c>
      <c r="AK3553" s="5">
        <f t="shared" si="378"/>
        <v>0</v>
      </c>
    </row>
    <row r="3554" spans="1:37" x14ac:dyDescent="0.2">
      <c r="A3554" s="2">
        <v>2026</v>
      </c>
      <c r="B3554" s="2">
        <v>3</v>
      </c>
      <c r="C3554" s="2" t="s">
        <v>432</v>
      </c>
      <c r="D3554" s="2" t="s">
        <v>38</v>
      </c>
      <c r="F3554" s="2">
        <v>500820384</v>
      </c>
      <c r="G3554" s="2" t="s">
        <v>40</v>
      </c>
      <c r="H3554" s="2" t="s">
        <v>433</v>
      </c>
      <c r="I3554" s="2" t="s">
        <v>434</v>
      </c>
      <c r="K3554" s="2" t="s">
        <v>100</v>
      </c>
      <c r="L3554" s="2" t="s">
        <v>81</v>
      </c>
      <c r="N3554" s="2" t="s">
        <v>2732</v>
      </c>
      <c r="O3554" s="2" t="s">
        <v>94</v>
      </c>
      <c r="P3554" s="2" t="s">
        <v>95</v>
      </c>
      <c r="Q3554" s="2" t="s">
        <v>96</v>
      </c>
      <c r="R3554" s="2">
        <v>1</v>
      </c>
      <c r="S3554" s="2">
        <v>1.48</v>
      </c>
      <c r="T3554" s="2">
        <v>0.34039999999999998</v>
      </c>
      <c r="U3554" s="2">
        <v>1.8204</v>
      </c>
      <c r="V3554" s="2">
        <v>1.48</v>
      </c>
      <c r="W3554" s="5">
        <f t="shared" si="386"/>
        <v>0</v>
      </c>
      <c r="Y3554" s="2" t="s">
        <v>3256</v>
      </c>
      <c r="Z3554" s="2" t="s">
        <v>97</v>
      </c>
      <c r="AA3554" s="2" t="s">
        <v>77</v>
      </c>
      <c r="AB3554" s="2" t="s">
        <v>94</v>
      </c>
      <c r="AE3554" s="2">
        <f t="shared" si="382"/>
        <v>0</v>
      </c>
      <c r="AI3554" s="2">
        <f t="shared" si="383"/>
        <v>0</v>
      </c>
      <c r="AJ3554" s="2">
        <f t="shared" si="380"/>
        <v>0</v>
      </c>
      <c r="AK3554" s="5">
        <f t="shared" si="378"/>
        <v>0</v>
      </c>
    </row>
    <row r="3555" spans="1:37" x14ac:dyDescent="0.2">
      <c r="A3555" s="2">
        <v>2026</v>
      </c>
      <c r="B3555" s="2">
        <v>3</v>
      </c>
      <c r="C3555" s="2" t="s">
        <v>1569</v>
      </c>
      <c r="D3555" s="2" t="s">
        <v>109</v>
      </c>
      <c r="E3555" s="2" t="s">
        <v>723</v>
      </c>
      <c r="F3555" s="2">
        <v>500975914</v>
      </c>
      <c r="G3555" s="2" t="s">
        <v>41</v>
      </c>
      <c r="H3555" s="2" t="s">
        <v>1570</v>
      </c>
      <c r="I3555" s="2" t="s">
        <v>1571</v>
      </c>
      <c r="K3555" s="2" t="s">
        <v>100</v>
      </c>
      <c r="L3555" s="2" t="s">
        <v>41</v>
      </c>
      <c r="O3555" s="2" t="s">
        <v>94</v>
      </c>
      <c r="P3555" s="2" t="s">
        <v>95</v>
      </c>
      <c r="Q3555" s="2" t="s">
        <v>96</v>
      </c>
      <c r="R3555" s="2">
        <v>1</v>
      </c>
      <c r="S3555" s="2">
        <v>1.48</v>
      </c>
      <c r="T3555" s="2">
        <v>0.34039999999999998</v>
      </c>
      <c r="U3555" s="2">
        <v>1.8204</v>
      </c>
      <c r="V3555" s="2">
        <v>1.48</v>
      </c>
      <c r="W3555" s="5">
        <f t="shared" si="386"/>
        <v>0</v>
      </c>
      <c r="Y3555" s="2" t="s">
        <v>3256</v>
      </c>
      <c r="Z3555" s="2" t="s">
        <v>97</v>
      </c>
      <c r="AA3555" s="2" t="s">
        <v>77</v>
      </c>
      <c r="AB3555" s="2" t="s">
        <v>94</v>
      </c>
      <c r="AE3555" s="2">
        <f t="shared" si="382"/>
        <v>0</v>
      </c>
      <c r="AI3555" s="2">
        <f t="shared" si="383"/>
        <v>0</v>
      </c>
      <c r="AJ3555" s="2">
        <f t="shared" si="380"/>
        <v>0</v>
      </c>
      <c r="AK3555" s="5">
        <f t="shared" si="378"/>
        <v>0</v>
      </c>
    </row>
    <row r="3556" spans="1:37" x14ac:dyDescent="0.2">
      <c r="A3556" s="2">
        <v>2026</v>
      </c>
      <c r="B3556" s="2">
        <v>3</v>
      </c>
      <c r="C3556" s="2" t="s">
        <v>2736</v>
      </c>
      <c r="L3556" s="2" t="s">
        <v>81</v>
      </c>
      <c r="O3556" s="2" t="s">
        <v>94</v>
      </c>
      <c r="P3556" s="2" t="s">
        <v>95</v>
      </c>
      <c r="Q3556" s="2" t="s">
        <v>96</v>
      </c>
      <c r="R3556" s="2">
        <v>1</v>
      </c>
      <c r="S3556" s="2">
        <v>1.48</v>
      </c>
      <c r="T3556" s="2">
        <v>0.34039999999999998</v>
      </c>
      <c r="U3556" s="2">
        <v>1.8204</v>
      </c>
      <c r="V3556" s="2">
        <v>1.48</v>
      </c>
      <c r="W3556" s="5">
        <f t="shared" si="386"/>
        <v>0</v>
      </c>
      <c r="Y3556" s="2" t="s">
        <v>3256</v>
      </c>
      <c r="Z3556" s="2" t="s">
        <v>97</v>
      </c>
      <c r="AA3556" s="2" t="s">
        <v>77</v>
      </c>
      <c r="AB3556" s="2" t="s">
        <v>94</v>
      </c>
      <c r="AE3556" s="2">
        <f t="shared" si="382"/>
        <v>0</v>
      </c>
      <c r="AI3556" s="2">
        <f t="shared" si="383"/>
        <v>0</v>
      </c>
      <c r="AJ3556" s="2">
        <f t="shared" si="380"/>
        <v>0</v>
      </c>
      <c r="AK3556" s="5">
        <f t="shared" si="378"/>
        <v>0</v>
      </c>
    </row>
    <row r="3557" spans="1:37" x14ac:dyDescent="0.2">
      <c r="A3557" s="2">
        <v>2026</v>
      </c>
      <c r="B3557" s="2">
        <v>3</v>
      </c>
      <c r="C3557" s="2" t="s">
        <v>2165</v>
      </c>
      <c r="H3557" s="2" t="s">
        <v>316</v>
      </c>
      <c r="K3557" s="2" t="s">
        <v>100</v>
      </c>
      <c r="L3557" s="2" t="s">
        <v>81</v>
      </c>
      <c r="O3557" s="2" t="s">
        <v>94</v>
      </c>
      <c r="P3557" s="2" t="s">
        <v>95</v>
      </c>
      <c r="Q3557" s="2" t="s">
        <v>96</v>
      </c>
      <c r="R3557" s="2">
        <v>1</v>
      </c>
      <c r="S3557" s="2">
        <v>1.48</v>
      </c>
      <c r="T3557" s="2">
        <v>0.34039999999999998</v>
      </c>
      <c r="U3557" s="2">
        <v>1.8204</v>
      </c>
      <c r="V3557" s="2">
        <v>1.48</v>
      </c>
      <c r="W3557" s="5">
        <f t="shared" si="386"/>
        <v>0</v>
      </c>
      <c r="Y3557" s="2" t="s">
        <v>3256</v>
      </c>
      <c r="Z3557" s="2" t="s">
        <v>97</v>
      </c>
      <c r="AA3557" s="2" t="s">
        <v>77</v>
      </c>
      <c r="AB3557" s="2" t="s">
        <v>94</v>
      </c>
      <c r="AE3557" s="2">
        <f t="shared" si="382"/>
        <v>0</v>
      </c>
      <c r="AI3557" s="2">
        <f t="shared" si="383"/>
        <v>0</v>
      </c>
      <c r="AJ3557" s="2">
        <f t="shared" si="380"/>
        <v>0</v>
      </c>
      <c r="AK3557" s="5">
        <f t="shared" si="378"/>
        <v>0</v>
      </c>
    </row>
    <row r="3558" spans="1:37" x14ac:dyDescent="0.2">
      <c r="A3558" s="2">
        <v>2026</v>
      </c>
      <c r="B3558" s="2">
        <v>3</v>
      </c>
      <c r="C3558" s="2" t="s">
        <v>489</v>
      </c>
      <c r="D3558" s="2" t="s">
        <v>109</v>
      </c>
      <c r="E3558" s="2" t="s">
        <v>39</v>
      </c>
      <c r="F3558" s="2">
        <v>506834689</v>
      </c>
      <c r="G3558" s="2" t="s">
        <v>41</v>
      </c>
      <c r="H3558" s="2" t="s">
        <v>490</v>
      </c>
      <c r="I3558" s="2" t="s">
        <v>491</v>
      </c>
      <c r="J3558" s="2">
        <v>919866237</v>
      </c>
      <c r="K3558" s="2" t="s">
        <v>465</v>
      </c>
      <c r="L3558" s="2" t="s">
        <v>41</v>
      </c>
      <c r="O3558" s="2" t="s">
        <v>94</v>
      </c>
      <c r="P3558" s="2" t="s">
        <v>95</v>
      </c>
      <c r="Q3558" s="2" t="s">
        <v>96</v>
      </c>
      <c r="R3558" s="2">
        <v>1</v>
      </c>
      <c r="S3558" s="2">
        <v>1.48</v>
      </c>
      <c r="T3558" s="2">
        <v>0.34039999999999998</v>
      </c>
      <c r="U3558" s="2">
        <v>1.8204</v>
      </c>
      <c r="V3558" s="2">
        <v>1.48</v>
      </c>
      <c r="W3558" s="5">
        <f t="shared" si="386"/>
        <v>0</v>
      </c>
      <c r="Y3558" s="2" t="s">
        <v>3256</v>
      </c>
      <c r="Z3558" s="2" t="s">
        <v>97</v>
      </c>
      <c r="AA3558" s="2" t="s">
        <v>77</v>
      </c>
      <c r="AB3558" s="2" t="s">
        <v>94</v>
      </c>
      <c r="AE3558" s="2">
        <f t="shared" si="382"/>
        <v>0</v>
      </c>
      <c r="AI3558" s="2">
        <f t="shared" si="383"/>
        <v>0</v>
      </c>
      <c r="AJ3558" s="2">
        <f t="shared" si="380"/>
        <v>0</v>
      </c>
      <c r="AK3558" s="5">
        <f t="shared" si="378"/>
        <v>0</v>
      </c>
    </row>
    <row r="3559" spans="1:37" x14ac:dyDescent="0.2">
      <c r="A3559" s="2">
        <v>2026</v>
      </c>
      <c r="B3559" s="2">
        <v>3</v>
      </c>
      <c r="C3559" s="2" t="s">
        <v>1265</v>
      </c>
      <c r="L3559" s="2" t="s">
        <v>81</v>
      </c>
      <c r="O3559" s="2" t="s">
        <v>94</v>
      </c>
      <c r="P3559" s="2" t="s">
        <v>95</v>
      </c>
      <c r="Q3559" s="2" t="s">
        <v>96</v>
      </c>
      <c r="R3559" s="2">
        <v>2</v>
      </c>
      <c r="S3559" s="2">
        <v>2.96</v>
      </c>
      <c r="T3559" s="2">
        <v>0.68080000000000007</v>
      </c>
      <c r="U3559" s="2">
        <v>3.6408</v>
      </c>
      <c r="V3559" s="2">
        <v>2.96</v>
      </c>
      <c r="W3559" s="5">
        <f t="shared" si="386"/>
        <v>0</v>
      </c>
      <c r="Y3559" s="2" t="s">
        <v>3256</v>
      </c>
      <c r="Z3559" s="2" t="s">
        <v>97</v>
      </c>
      <c r="AA3559" s="2" t="s">
        <v>77</v>
      </c>
      <c r="AB3559" s="2" t="s">
        <v>94</v>
      </c>
      <c r="AE3559" s="2">
        <f t="shared" si="382"/>
        <v>0</v>
      </c>
      <c r="AI3559" s="2">
        <f t="shared" si="383"/>
        <v>0</v>
      </c>
      <c r="AJ3559" s="2">
        <f t="shared" si="380"/>
        <v>0</v>
      </c>
      <c r="AK3559" s="5">
        <f t="shared" si="378"/>
        <v>0</v>
      </c>
    </row>
    <row r="3560" spans="1:37" x14ac:dyDescent="0.2">
      <c r="A3560" s="2">
        <v>2026</v>
      </c>
      <c r="B3560" s="2">
        <v>3</v>
      </c>
      <c r="C3560" s="2" t="s">
        <v>1266</v>
      </c>
      <c r="O3560" s="2" t="s">
        <v>94</v>
      </c>
      <c r="P3560" s="2" t="s">
        <v>95</v>
      </c>
      <c r="Q3560" s="2" t="s">
        <v>96</v>
      </c>
      <c r="R3560" s="2">
        <v>1</v>
      </c>
      <c r="S3560" s="2">
        <v>1.48</v>
      </c>
      <c r="T3560" s="2">
        <v>0.34039999999999998</v>
      </c>
      <c r="U3560" s="2">
        <v>1.8204</v>
      </c>
      <c r="V3560" s="2">
        <v>1.48</v>
      </c>
      <c r="W3560" s="5">
        <f t="shared" si="386"/>
        <v>0</v>
      </c>
      <c r="Y3560" s="2" t="s">
        <v>3256</v>
      </c>
      <c r="Z3560" s="2" t="s">
        <v>97</v>
      </c>
      <c r="AA3560" s="2" t="s">
        <v>77</v>
      </c>
      <c r="AB3560" s="2" t="s">
        <v>94</v>
      </c>
      <c r="AE3560" s="2">
        <f t="shared" si="382"/>
        <v>0</v>
      </c>
      <c r="AI3560" s="2">
        <f t="shared" si="383"/>
        <v>0</v>
      </c>
      <c r="AJ3560" s="2">
        <f t="shared" si="380"/>
        <v>0</v>
      </c>
      <c r="AK3560" s="5">
        <f t="shared" si="378"/>
        <v>0</v>
      </c>
    </row>
    <row r="3561" spans="1:37" x14ac:dyDescent="0.2">
      <c r="A3561" s="2">
        <v>2026</v>
      </c>
      <c r="B3561" s="2">
        <v>3</v>
      </c>
      <c r="C3561" s="2" t="s">
        <v>1062</v>
      </c>
      <c r="D3561" s="2" t="s">
        <v>184</v>
      </c>
      <c r="E3561" s="2" t="s">
        <v>1063</v>
      </c>
      <c r="F3561" s="2">
        <v>500199523</v>
      </c>
      <c r="G3561" s="2" t="s">
        <v>291</v>
      </c>
      <c r="H3561" s="2" t="s">
        <v>294</v>
      </c>
      <c r="I3561" s="2" t="s">
        <v>1064</v>
      </c>
      <c r="K3561" s="2" t="s">
        <v>294</v>
      </c>
      <c r="L3561" s="2" t="s">
        <v>81</v>
      </c>
      <c r="N3561" s="2" t="s">
        <v>2795</v>
      </c>
      <c r="O3561" s="2" t="s">
        <v>94</v>
      </c>
      <c r="P3561" s="2" t="s">
        <v>95</v>
      </c>
      <c r="Q3561" s="2" t="s">
        <v>96</v>
      </c>
      <c r="R3561" s="2">
        <v>3</v>
      </c>
      <c r="S3561" s="2">
        <v>4.4400000000000004</v>
      </c>
      <c r="T3561" s="2">
        <v>1.0212000000000001</v>
      </c>
      <c r="U3561" s="2">
        <v>5.4612000000000007</v>
      </c>
      <c r="V3561" s="2">
        <v>4.4400000000000004</v>
      </c>
      <c r="W3561" s="5">
        <f t="shared" si="386"/>
        <v>0</v>
      </c>
      <c r="Y3561" s="2" t="s">
        <v>3256</v>
      </c>
      <c r="Z3561" s="2" t="s">
        <v>97</v>
      </c>
      <c r="AA3561" s="2" t="s">
        <v>77</v>
      </c>
      <c r="AB3561" s="2" t="s">
        <v>94</v>
      </c>
      <c r="AE3561" s="2">
        <f t="shared" si="382"/>
        <v>0</v>
      </c>
      <c r="AI3561" s="2">
        <f t="shared" si="383"/>
        <v>0</v>
      </c>
      <c r="AJ3561" s="2">
        <f t="shared" si="380"/>
        <v>0</v>
      </c>
      <c r="AK3561" s="5">
        <f t="shared" si="378"/>
        <v>0</v>
      </c>
    </row>
    <row r="3562" spans="1:37" x14ac:dyDescent="0.2">
      <c r="A3562" s="2">
        <v>2026</v>
      </c>
      <c r="B3562" s="2">
        <v>3</v>
      </c>
      <c r="C3562" s="2" t="s">
        <v>511</v>
      </c>
      <c r="D3562" s="2" t="s">
        <v>38</v>
      </c>
      <c r="E3562" s="2" t="s">
        <v>39</v>
      </c>
      <c r="F3562" s="2">
        <v>514446170</v>
      </c>
      <c r="G3562" s="2" t="s">
        <v>41</v>
      </c>
      <c r="H3562" s="2" t="s">
        <v>178</v>
      </c>
      <c r="I3562" s="2" t="s">
        <v>3158</v>
      </c>
      <c r="K3562" s="2" t="s">
        <v>178</v>
      </c>
      <c r="L3562" s="2" t="s">
        <v>41</v>
      </c>
      <c r="N3562" s="2" t="s">
        <v>2753</v>
      </c>
      <c r="O3562" s="2" t="s">
        <v>94</v>
      </c>
      <c r="P3562" s="2" t="s">
        <v>95</v>
      </c>
      <c r="Q3562" s="2" t="s">
        <v>96</v>
      </c>
      <c r="R3562" s="2">
        <v>1</v>
      </c>
      <c r="S3562" s="2">
        <v>1.48</v>
      </c>
      <c r="T3562" s="2">
        <v>0.34039999999999998</v>
      </c>
      <c r="U3562" s="2">
        <v>1.8204</v>
      </c>
      <c r="V3562" s="2">
        <v>1.48</v>
      </c>
      <c r="W3562" s="5">
        <f t="shared" si="386"/>
        <v>0</v>
      </c>
      <c r="Y3562" s="2" t="s">
        <v>3256</v>
      </c>
      <c r="Z3562" s="2" t="s">
        <v>97</v>
      </c>
      <c r="AA3562" s="2" t="s">
        <v>77</v>
      </c>
      <c r="AB3562" s="2" t="s">
        <v>94</v>
      </c>
      <c r="AE3562" s="2">
        <f t="shared" si="382"/>
        <v>0</v>
      </c>
      <c r="AI3562" s="2">
        <f t="shared" si="383"/>
        <v>0</v>
      </c>
      <c r="AJ3562" s="2">
        <f t="shared" si="380"/>
        <v>0</v>
      </c>
      <c r="AK3562" s="5">
        <f t="shared" si="378"/>
        <v>0</v>
      </c>
    </row>
    <row r="3563" spans="1:37" x14ac:dyDescent="0.2">
      <c r="A3563" s="2">
        <v>2026</v>
      </c>
      <c r="B3563" s="2">
        <v>3</v>
      </c>
      <c r="C3563" s="2" t="s">
        <v>2747</v>
      </c>
      <c r="O3563" s="2" t="s">
        <v>94</v>
      </c>
      <c r="P3563" s="2" t="s">
        <v>95</v>
      </c>
      <c r="Q3563" s="2" t="s">
        <v>96</v>
      </c>
      <c r="R3563" s="2">
        <v>1</v>
      </c>
      <c r="S3563" s="2">
        <v>1.48</v>
      </c>
      <c r="T3563" s="2">
        <v>0.34039999999999998</v>
      </c>
      <c r="U3563" s="2">
        <v>1.8204</v>
      </c>
      <c r="V3563" s="2">
        <v>1.48</v>
      </c>
      <c r="W3563" s="5">
        <f t="shared" si="386"/>
        <v>0</v>
      </c>
      <c r="Y3563" s="2" t="s">
        <v>3256</v>
      </c>
      <c r="Z3563" s="2" t="s">
        <v>97</v>
      </c>
      <c r="AA3563" s="2" t="s">
        <v>77</v>
      </c>
      <c r="AB3563" s="2" t="s">
        <v>94</v>
      </c>
      <c r="AE3563" s="2">
        <f t="shared" si="382"/>
        <v>0</v>
      </c>
      <c r="AI3563" s="2">
        <f t="shared" si="383"/>
        <v>0</v>
      </c>
      <c r="AJ3563" s="2">
        <f t="shared" si="380"/>
        <v>0</v>
      </c>
      <c r="AK3563" s="5">
        <f t="shared" si="378"/>
        <v>0</v>
      </c>
    </row>
    <row r="3564" spans="1:37" x14ac:dyDescent="0.2">
      <c r="A3564" s="2">
        <v>2026</v>
      </c>
      <c r="B3564" s="2">
        <v>3</v>
      </c>
      <c r="C3564" s="2" t="s">
        <v>1430</v>
      </c>
      <c r="D3564" s="2" t="s">
        <v>109</v>
      </c>
      <c r="E3564" s="2" t="s">
        <v>39</v>
      </c>
      <c r="F3564" s="2">
        <v>502696338</v>
      </c>
      <c r="G3564" s="2" t="s">
        <v>40</v>
      </c>
      <c r="H3564" s="2" t="s">
        <v>2433</v>
      </c>
      <c r="I3564" s="2" t="s">
        <v>2434</v>
      </c>
      <c r="K3564" s="2" t="s">
        <v>202</v>
      </c>
      <c r="L3564" s="2" t="s">
        <v>81</v>
      </c>
      <c r="N3564" s="2" t="s">
        <v>2740</v>
      </c>
      <c r="O3564" s="2" t="s">
        <v>94</v>
      </c>
      <c r="P3564" s="2" t="s">
        <v>95</v>
      </c>
      <c r="Q3564" s="2" t="s">
        <v>96</v>
      </c>
      <c r="R3564" s="2">
        <v>1</v>
      </c>
      <c r="S3564" s="2">
        <v>1.48</v>
      </c>
      <c r="T3564" s="2">
        <v>0.34039999999999998</v>
      </c>
      <c r="U3564" s="2">
        <v>1.8204</v>
      </c>
      <c r="V3564" s="2">
        <v>1.48</v>
      </c>
      <c r="W3564" s="5">
        <f t="shared" si="386"/>
        <v>0</v>
      </c>
      <c r="Y3564" s="2" t="s">
        <v>3256</v>
      </c>
      <c r="Z3564" s="2" t="s">
        <v>97</v>
      </c>
      <c r="AA3564" s="2" t="s">
        <v>77</v>
      </c>
      <c r="AB3564" s="2" t="s">
        <v>94</v>
      </c>
      <c r="AE3564" s="2">
        <f t="shared" si="382"/>
        <v>0</v>
      </c>
      <c r="AI3564" s="2">
        <f t="shared" si="383"/>
        <v>0</v>
      </c>
      <c r="AJ3564" s="2">
        <f t="shared" si="380"/>
        <v>0</v>
      </c>
      <c r="AK3564" s="5">
        <f t="shared" si="378"/>
        <v>0</v>
      </c>
    </row>
    <row r="3565" spans="1:37" x14ac:dyDescent="0.2">
      <c r="A3565" s="2">
        <v>2026</v>
      </c>
      <c r="B3565" s="2">
        <v>3</v>
      </c>
      <c r="C3565" s="2" t="s">
        <v>1431</v>
      </c>
      <c r="D3565" s="2" t="s">
        <v>109</v>
      </c>
      <c r="E3565" s="2" t="s">
        <v>39</v>
      </c>
      <c r="F3565" s="2">
        <v>513795855</v>
      </c>
      <c r="G3565" s="2" t="s">
        <v>41</v>
      </c>
      <c r="H3565" s="2" t="s">
        <v>1282</v>
      </c>
      <c r="I3565" s="2" t="s">
        <v>2416</v>
      </c>
      <c r="K3565" s="2" t="s">
        <v>178</v>
      </c>
      <c r="L3565" s="2" t="s">
        <v>41</v>
      </c>
      <c r="O3565" s="2" t="s">
        <v>94</v>
      </c>
      <c r="P3565" s="2" t="s">
        <v>95</v>
      </c>
      <c r="Q3565" s="2" t="s">
        <v>96</v>
      </c>
      <c r="R3565" s="2">
        <v>1</v>
      </c>
      <c r="S3565" s="2">
        <v>1.48</v>
      </c>
      <c r="T3565" s="2">
        <v>0.34039999999999998</v>
      </c>
      <c r="U3565" s="2">
        <v>1.8204</v>
      </c>
      <c r="V3565" s="2">
        <v>1.48</v>
      </c>
      <c r="W3565" s="5">
        <f t="shared" si="386"/>
        <v>0</v>
      </c>
      <c r="Y3565" s="2" t="s">
        <v>3256</v>
      </c>
      <c r="Z3565" s="2" t="s">
        <v>97</v>
      </c>
      <c r="AA3565" s="2" t="s">
        <v>77</v>
      </c>
      <c r="AB3565" s="2" t="s">
        <v>94</v>
      </c>
      <c r="AE3565" s="2">
        <f t="shared" si="382"/>
        <v>0</v>
      </c>
      <c r="AI3565" s="2">
        <f t="shared" si="383"/>
        <v>0</v>
      </c>
      <c r="AJ3565" s="2">
        <f t="shared" si="380"/>
        <v>0</v>
      </c>
      <c r="AK3565" s="5">
        <f t="shared" si="378"/>
        <v>0</v>
      </c>
    </row>
    <row r="3566" spans="1:37" x14ac:dyDescent="0.2">
      <c r="A3566" s="2">
        <v>2026</v>
      </c>
      <c r="B3566" s="2">
        <v>3</v>
      </c>
      <c r="C3566" s="2" t="s">
        <v>553</v>
      </c>
      <c r="D3566" s="2" t="s">
        <v>109</v>
      </c>
      <c r="E3566" s="2" t="s">
        <v>397</v>
      </c>
      <c r="F3566" s="2">
        <v>503641790</v>
      </c>
      <c r="G3566" s="2" t="s">
        <v>40</v>
      </c>
      <c r="H3566" s="2" t="s">
        <v>554</v>
      </c>
      <c r="I3566" s="2" t="s">
        <v>555</v>
      </c>
      <c r="J3566" s="2">
        <v>917753665</v>
      </c>
      <c r="K3566" s="2" t="s">
        <v>100</v>
      </c>
      <c r="L3566" s="2" t="s">
        <v>81</v>
      </c>
      <c r="N3566" s="2" t="s">
        <v>2730</v>
      </c>
      <c r="O3566" s="2" t="s">
        <v>94</v>
      </c>
      <c r="P3566" s="2" t="s">
        <v>95</v>
      </c>
      <c r="Q3566" s="2" t="s">
        <v>96</v>
      </c>
      <c r="R3566" s="2">
        <v>1</v>
      </c>
      <c r="S3566" s="2">
        <v>1.48</v>
      </c>
      <c r="T3566" s="2">
        <v>0.34039999999999998</v>
      </c>
      <c r="U3566" s="2">
        <v>1.8204</v>
      </c>
      <c r="V3566" s="2">
        <v>1.48</v>
      </c>
      <c r="W3566" s="5">
        <f t="shared" si="386"/>
        <v>0</v>
      </c>
      <c r="Y3566" s="2" t="s">
        <v>3256</v>
      </c>
      <c r="Z3566" s="2" t="s">
        <v>97</v>
      </c>
      <c r="AA3566" s="2" t="s">
        <v>77</v>
      </c>
      <c r="AB3566" s="2" t="s">
        <v>94</v>
      </c>
      <c r="AE3566" s="2">
        <f t="shared" si="382"/>
        <v>0</v>
      </c>
      <c r="AF3566" s="2">
        <v>1.48</v>
      </c>
      <c r="AG3566" s="2">
        <v>1.48</v>
      </c>
      <c r="AI3566" s="2">
        <f t="shared" si="383"/>
        <v>0</v>
      </c>
      <c r="AJ3566" s="2">
        <f t="shared" si="380"/>
        <v>0</v>
      </c>
      <c r="AK3566" s="5">
        <f t="shared" si="378"/>
        <v>0</v>
      </c>
    </row>
    <row r="3567" spans="1:37" x14ac:dyDescent="0.2">
      <c r="A3567" s="2">
        <v>2026</v>
      </c>
      <c r="B3567" s="2">
        <v>3</v>
      </c>
      <c r="C3567" s="2" t="s">
        <v>562</v>
      </c>
      <c r="D3567" s="2" t="s">
        <v>109</v>
      </c>
      <c r="E3567" s="2" t="s">
        <v>39</v>
      </c>
      <c r="F3567" s="2">
        <v>506517233</v>
      </c>
      <c r="G3567" s="2" t="s">
        <v>81</v>
      </c>
      <c r="H3567" s="2" t="s">
        <v>563</v>
      </c>
      <c r="I3567" s="2" t="s">
        <v>564</v>
      </c>
      <c r="K3567" s="2" t="s">
        <v>134</v>
      </c>
      <c r="L3567" s="2" t="s">
        <v>81</v>
      </c>
      <c r="O3567" s="2" t="s">
        <v>94</v>
      </c>
      <c r="P3567" s="2" t="s">
        <v>95</v>
      </c>
      <c r="Q3567" s="2" t="s">
        <v>96</v>
      </c>
      <c r="R3567" s="2">
        <v>2</v>
      </c>
      <c r="S3567" s="2">
        <v>2.96</v>
      </c>
      <c r="T3567" s="2">
        <v>0.68080000000000007</v>
      </c>
      <c r="U3567" s="2">
        <v>3.6408</v>
      </c>
      <c r="V3567" s="2">
        <v>2.96</v>
      </c>
      <c r="W3567" s="5">
        <f t="shared" si="386"/>
        <v>0</v>
      </c>
      <c r="Y3567" s="2" t="s">
        <v>3256</v>
      </c>
      <c r="Z3567" s="2" t="s">
        <v>97</v>
      </c>
      <c r="AA3567" s="2" t="s">
        <v>77</v>
      </c>
      <c r="AB3567" s="2" t="s">
        <v>94</v>
      </c>
      <c r="AE3567" s="2">
        <f t="shared" si="382"/>
        <v>0</v>
      </c>
      <c r="AI3567" s="2">
        <f t="shared" si="383"/>
        <v>0</v>
      </c>
      <c r="AJ3567" s="2">
        <f t="shared" si="380"/>
        <v>0</v>
      </c>
      <c r="AK3567" s="5">
        <f t="shared" ref="AK3567:AK3630" si="387">(S3567-V3567)/S3567</f>
        <v>0</v>
      </c>
    </row>
    <row r="3568" spans="1:37" x14ac:dyDescent="0.2">
      <c r="A3568" s="2">
        <v>2026</v>
      </c>
      <c r="B3568" s="2">
        <v>3</v>
      </c>
      <c r="C3568" s="2" t="s">
        <v>2581</v>
      </c>
      <c r="L3568" s="2" t="s">
        <v>81</v>
      </c>
      <c r="O3568" s="2" t="s">
        <v>94</v>
      </c>
      <c r="P3568" s="2" t="s">
        <v>95</v>
      </c>
      <c r="Q3568" s="2" t="s">
        <v>96</v>
      </c>
      <c r="R3568" s="2">
        <v>2</v>
      </c>
      <c r="S3568" s="2">
        <v>2.96</v>
      </c>
      <c r="T3568" s="2">
        <v>0.68080000000000007</v>
      </c>
      <c r="U3568" s="2">
        <v>3.6408</v>
      </c>
      <c r="V3568" s="2">
        <v>2.96</v>
      </c>
      <c r="W3568" s="5">
        <f t="shared" si="386"/>
        <v>0</v>
      </c>
      <c r="Y3568" s="2" t="s">
        <v>3256</v>
      </c>
      <c r="Z3568" s="2" t="s">
        <v>97</v>
      </c>
      <c r="AA3568" s="2" t="s">
        <v>77</v>
      </c>
      <c r="AB3568" s="2" t="s">
        <v>94</v>
      </c>
      <c r="AE3568" s="2">
        <f t="shared" si="382"/>
        <v>0</v>
      </c>
      <c r="AI3568" s="2">
        <f t="shared" si="383"/>
        <v>0</v>
      </c>
      <c r="AJ3568" s="2">
        <f t="shared" si="380"/>
        <v>0</v>
      </c>
      <c r="AK3568" s="5">
        <f t="shared" si="387"/>
        <v>0</v>
      </c>
    </row>
    <row r="3569" spans="1:37" x14ac:dyDescent="0.2">
      <c r="A3569" s="2">
        <v>2026</v>
      </c>
      <c r="B3569" s="2">
        <v>3</v>
      </c>
      <c r="C3569" s="2" t="s">
        <v>587</v>
      </c>
      <c r="D3569" s="2" t="s">
        <v>109</v>
      </c>
      <c r="F3569" s="2">
        <v>503850276</v>
      </c>
      <c r="G3569" s="2" t="s">
        <v>40</v>
      </c>
      <c r="H3569" s="2" t="s">
        <v>588</v>
      </c>
      <c r="I3569" s="2" t="s">
        <v>589</v>
      </c>
      <c r="K3569" s="2" t="s">
        <v>202</v>
      </c>
      <c r="L3569" s="2" t="s">
        <v>81</v>
      </c>
      <c r="O3569" s="2" t="s">
        <v>94</v>
      </c>
      <c r="P3569" s="2" t="s">
        <v>95</v>
      </c>
      <c r="Q3569" s="2" t="s">
        <v>96</v>
      </c>
      <c r="R3569" s="2">
        <v>1</v>
      </c>
      <c r="S3569" s="2">
        <v>1.48</v>
      </c>
      <c r="T3569" s="2">
        <v>0.34039999999999998</v>
      </c>
      <c r="U3569" s="2">
        <v>1.8204</v>
      </c>
      <c r="V3569" s="2">
        <v>1.48</v>
      </c>
      <c r="W3569" s="5">
        <f t="shared" si="386"/>
        <v>0</v>
      </c>
      <c r="Y3569" s="2" t="s">
        <v>3256</v>
      </c>
      <c r="Z3569" s="2" t="s">
        <v>97</v>
      </c>
      <c r="AA3569" s="2" t="s">
        <v>77</v>
      </c>
      <c r="AB3569" s="2" t="s">
        <v>94</v>
      </c>
      <c r="AE3569" s="2">
        <f t="shared" si="382"/>
        <v>0</v>
      </c>
      <c r="AI3569" s="2">
        <f t="shared" si="383"/>
        <v>0</v>
      </c>
      <c r="AJ3569" s="2">
        <f t="shared" si="380"/>
        <v>0</v>
      </c>
      <c r="AK3569" s="5">
        <f t="shared" si="387"/>
        <v>0</v>
      </c>
    </row>
    <row r="3570" spans="1:37" x14ac:dyDescent="0.2">
      <c r="A3570" s="2">
        <v>2026</v>
      </c>
      <c r="B3570" s="2">
        <v>3</v>
      </c>
      <c r="C3570" s="2" t="s">
        <v>657</v>
      </c>
      <c r="D3570" s="2" t="s">
        <v>109</v>
      </c>
      <c r="E3570" s="2" t="s">
        <v>39</v>
      </c>
      <c r="F3570" s="2">
        <v>509838537</v>
      </c>
      <c r="G3570" s="2" t="s">
        <v>41</v>
      </c>
      <c r="H3570" s="2" t="s">
        <v>658</v>
      </c>
      <c r="I3570" s="2" t="s">
        <v>659</v>
      </c>
      <c r="K3570" s="2" t="s">
        <v>422</v>
      </c>
      <c r="L3570" s="2" t="s">
        <v>41</v>
      </c>
      <c r="N3570" s="2" t="s">
        <v>2731</v>
      </c>
      <c r="O3570" s="2" t="s">
        <v>94</v>
      </c>
      <c r="P3570" s="2" t="s">
        <v>95</v>
      </c>
      <c r="Q3570" s="2" t="s">
        <v>96</v>
      </c>
      <c r="R3570" s="2">
        <v>1</v>
      </c>
      <c r="S3570" s="2">
        <v>1.48</v>
      </c>
      <c r="T3570" s="2">
        <v>0.34039999999999998</v>
      </c>
      <c r="U3570" s="2">
        <v>1.8204</v>
      </c>
      <c r="V3570" s="2">
        <v>1.48</v>
      </c>
      <c r="W3570" s="5">
        <f t="shared" si="386"/>
        <v>0</v>
      </c>
      <c r="Y3570" s="2" t="s">
        <v>3256</v>
      </c>
      <c r="Z3570" s="2" t="s">
        <v>97</v>
      </c>
      <c r="AA3570" s="2" t="s">
        <v>77</v>
      </c>
      <c r="AB3570" s="2" t="s">
        <v>94</v>
      </c>
      <c r="AE3570" s="2">
        <f t="shared" si="382"/>
        <v>0</v>
      </c>
      <c r="AF3570" s="2">
        <v>1.48</v>
      </c>
      <c r="AG3570" s="2">
        <v>1.48</v>
      </c>
      <c r="AI3570" s="2">
        <f t="shared" si="383"/>
        <v>0</v>
      </c>
      <c r="AJ3570" s="2">
        <f t="shared" si="380"/>
        <v>0</v>
      </c>
      <c r="AK3570" s="5">
        <f t="shared" si="387"/>
        <v>0</v>
      </c>
    </row>
    <row r="3571" spans="1:37" x14ac:dyDescent="0.2">
      <c r="A3571" s="2">
        <v>2026</v>
      </c>
      <c r="B3571" s="2">
        <v>3</v>
      </c>
      <c r="C3571" s="2" t="s">
        <v>666</v>
      </c>
      <c r="D3571" s="2" t="s">
        <v>38</v>
      </c>
      <c r="E3571" s="2" t="s">
        <v>39</v>
      </c>
      <c r="F3571" s="2">
        <v>510651810</v>
      </c>
      <c r="G3571" s="2" t="s">
        <v>40</v>
      </c>
      <c r="H3571" s="2" t="s">
        <v>667</v>
      </c>
      <c r="I3571" s="2" t="s">
        <v>668</v>
      </c>
      <c r="K3571" s="2" t="s">
        <v>345</v>
      </c>
      <c r="L3571" s="2" t="s">
        <v>81</v>
      </c>
      <c r="O3571" s="2" t="s">
        <v>94</v>
      </c>
      <c r="P3571" s="2" t="s">
        <v>95</v>
      </c>
      <c r="Q3571" s="2" t="s">
        <v>96</v>
      </c>
      <c r="R3571" s="2">
        <v>1</v>
      </c>
      <c r="S3571" s="2">
        <v>1.48</v>
      </c>
      <c r="T3571" s="2">
        <v>0.34039999999999998</v>
      </c>
      <c r="U3571" s="2">
        <v>1.8204</v>
      </c>
      <c r="V3571" s="2">
        <v>1.48</v>
      </c>
      <c r="W3571" s="5">
        <f t="shared" si="386"/>
        <v>0</v>
      </c>
      <c r="Y3571" s="2" t="s">
        <v>3256</v>
      </c>
      <c r="Z3571" s="2" t="s">
        <v>97</v>
      </c>
      <c r="AA3571" s="2" t="s">
        <v>77</v>
      </c>
      <c r="AB3571" s="2" t="s">
        <v>94</v>
      </c>
      <c r="AE3571" s="2">
        <f t="shared" si="382"/>
        <v>0</v>
      </c>
      <c r="AI3571" s="2">
        <f t="shared" si="383"/>
        <v>0</v>
      </c>
      <c r="AJ3571" s="2">
        <f t="shared" si="380"/>
        <v>0</v>
      </c>
      <c r="AK3571" s="5">
        <f t="shared" si="387"/>
        <v>0</v>
      </c>
    </row>
    <row r="3572" spans="1:37" x14ac:dyDescent="0.2">
      <c r="A3572" s="2">
        <v>2026</v>
      </c>
      <c r="B3572" s="2">
        <v>3</v>
      </c>
      <c r="C3572" s="2" t="s">
        <v>1134</v>
      </c>
      <c r="D3572" s="2" t="s">
        <v>38</v>
      </c>
      <c r="E3572" s="2" t="s">
        <v>39</v>
      </c>
      <c r="F3572" s="2">
        <v>501551298</v>
      </c>
      <c r="G3572" s="2" t="s">
        <v>110</v>
      </c>
      <c r="H3572" s="2" t="s">
        <v>1135</v>
      </c>
      <c r="I3572" s="2" t="s">
        <v>1136</v>
      </c>
      <c r="K3572" s="2" t="s">
        <v>465</v>
      </c>
      <c r="L3572" s="2" t="s">
        <v>81</v>
      </c>
      <c r="N3572" s="2" t="s">
        <v>2744</v>
      </c>
      <c r="O3572" s="2" t="s">
        <v>94</v>
      </c>
      <c r="P3572" s="2" t="s">
        <v>95</v>
      </c>
      <c r="Q3572" s="2" t="s">
        <v>96</v>
      </c>
      <c r="R3572" s="2">
        <v>1</v>
      </c>
      <c r="S3572" s="2">
        <v>1.48</v>
      </c>
      <c r="T3572" s="2">
        <v>0.34039999999999998</v>
      </c>
      <c r="U3572" s="2">
        <v>1.8204</v>
      </c>
      <c r="V3572" s="2">
        <v>1.48</v>
      </c>
      <c r="W3572" s="5">
        <f t="shared" si="386"/>
        <v>0</v>
      </c>
      <c r="Y3572" s="2" t="s">
        <v>3256</v>
      </c>
      <c r="Z3572" s="2" t="s">
        <v>97</v>
      </c>
      <c r="AA3572" s="2" t="s">
        <v>77</v>
      </c>
      <c r="AB3572" s="2" t="s">
        <v>94</v>
      </c>
      <c r="AE3572" s="2">
        <f t="shared" si="382"/>
        <v>0</v>
      </c>
      <c r="AI3572" s="2">
        <f t="shared" si="383"/>
        <v>0</v>
      </c>
      <c r="AJ3572" s="2">
        <f t="shared" si="380"/>
        <v>0</v>
      </c>
      <c r="AK3572" s="5">
        <f t="shared" si="387"/>
        <v>0</v>
      </c>
    </row>
    <row r="3573" spans="1:37" x14ac:dyDescent="0.2">
      <c r="A3573" s="2">
        <v>2026</v>
      </c>
      <c r="B3573" s="2">
        <v>3</v>
      </c>
      <c r="C3573" s="2" t="s">
        <v>98</v>
      </c>
      <c r="D3573" s="2" t="s">
        <v>99</v>
      </c>
      <c r="E3573" s="2" t="s">
        <v>39</v>
      </c>
      <c r="F3573" s="2">
        <v>517450925</v>
      </c>
      <c r="G3573" s="2" t="s">
        <v>40</v>
      </c>
      <c r="H3573" s="2" t="s">
        <v>100</v>
      </c>
      <c r="I3573" s="2" t="s">
        <v>101</v>
      </c>
      <c r="K3573" s="2" t="s">
        <v>100</v>
      </c>
      <c r="L3573" s="2" t="s">
        <v>40</v>
      </c>
      <c r="O3573" s="2" t="s">
        <v>40</v>
      </c>
      <c r="P3573" s="2" t="s">
        <v>364</v>
      </c>
      <c r="Q3573" s="2" t="s">
        <v>365</v>
      </c>
      <c r="R3573" s="2">
        <v>4</v>
      </c>
      <c r="S3573" s="2">
        <v>576</v>
      </c>
      <c r="T3573" s="2">
        <v>132.47999999999999</v>
      </c>
      <c r="U3573" s="2">
        <v>708.48</v>
      </c>
      <c r="W3573" s="5">
        <f t="shared" si="386"/>
        <v>1</v>
      </c>
      <c r="Y3573" s="2" t="s">
        <v>120</v>
      </c>
      <c r="AE3573" s="2">
        <f t="shared" si="382"/>
        <v>0</v>
      </c>
      <c r="AI3573" s="2">
        <f t="shared" si="383"/>
        <v>0</v>
      </c>
      <c r="AJ3573" s="2">
        <f t="shared" si="380"/>
        <v>576</v>
      </c>
      <c r="AK3573" s="5">
        <f t="shared" si="387"/>
        <v>1</v>
      </c>
    </row>
    <row r="3574" spans="1:37" x14ac:dyDescent="0.2">
      <c r="A3574" s="2">
        <v>2026</v>
      </c>
      <c r="B3574" s="2">
        <v>3</v>
      </c>
      <c r="C3574" s="2" t="s">
        <v>384</v>
      </c>
      <c r="D3574" s="2" t="s">
        <v>38</v>
      </c>
      <c r="E3574" s="2" t="s">
        <v>39</v>
      </c>
      <c r="F3574" s="2">
        <v>212196260</v>
      </c>
      <c r="G3574" s="2" t="s">
        <v>110</v>
      </c>
      <c r="H3574" s="2" t="s">
        <v>385</v>
      </c>
      <c r="I3574" s="2" t="s">
        <v>386</v>
      </c>
      <c r="J3574" s="2">
        <v>926769894</v>
      </c>
      <c r="K3574" s="2" t="s">
        <v>113</v>
      </c>
      <c r="L3574" s="2" t="s">
        <v>110</v>
      </c>
      <c r="N3574" s="2" t="s">
        <v>2721</v>
      </c>
      <c r="O3574" s="2" t="s">
        <v>40</v>
      </c>
      <c r="P3574" s="2" t="s">
        <v>364</v>
      </c>
      <c r="Q3574" s="2" t="s">
        <v>365</v>
      </c>
      <c r="R3574" s="2">
        <v>1</v>
      </c>
      <c r="S3574" s="2">
        <v>200</v>
      </c>
      <c r="T3574" s="2">
        <v>46</v>
      </c>
      <c r="U3574" s="2">
        <v>246</v>
      </c>
      <c r="W3574" s="5">
        <f t="shared" si="386"/>
        <v>1</v>
      </c>
      <c r="Y3574" s="2" t="s">
        <v>120</v>
      </c>
      <c r="AE3574" s="2">
        <f t="shared" si="382"/>
        <v>0</v>
      </c>
      <c r="AI3574" s="2">
        <f t="shared" si="383"/>
        <v>0</v>
      </c>
      <c r="AJ3574" s="2">
        <f t="shared" ref="AJ3574:AJ3637" si="388">S3574-V3574</f>
        <v>200</v>
      </c>
      <c r="AK3574" s="5">
        <f t="shared" si="387"/>
        <v>1</v>
      </c>
    </row>
    <row r="3575" spans="1:37" x14ac:dyDescent="0.2">
      <c r="A3575" s="2">
        <v>2026</v>
      </c>
      <c r="B3575" s="2">
        <v>3</v>
      </c>
      <c r="C3575" s="2" t="s">
        <v>2796</v>
      </c>
      <c r="O3575" s="2" t="s">
        <v>40</v>
      </c>
      <c r="P3575" s="2" t="s">
        <v>364</v>
      </c>
      <c r="Q3575" s="2" t="s">
        <v>365</v>
      </c>
      <c r="R3575" s="2">
        <v>1</v>
      </c>
      <c r="S3575" s="2">
        <v>180</v>
      </c>
      <c r="T3575" s="2">
        <v>41.4</v>
      </c>
      <c r="U3575" s="2">
        <v>221.4</v>
      </c>
      <c r="W3575" s="5">
        <f t="shared" si="386"/>
        <v>1</v>
      </c>
      <c r="Y3575" s="2" t="s">
        <v>120</v>
      </c>
      <c r="AE3575" s="2">
        <f t="shared" si="382"/>
        <v>0</v>
      </c>
      <c r="AI3575" s="2">
        <f t="shared" si="383"/>
        <v>0</v>
      </c>
      <c r="AJ3575" s="2">
        <f t="shared" si="388"/>
        <v>180</v>
      </c>
      <c r="AK3575" s="5">
        <f t="shared" si="387"/>
        <v>1</v>
      </c>
    </row>
    <row r="3576" spans="1:37" x14ac:dyDescent="0.2">
      <c r="A3576" s="2">
        <v>2026</v>
      </c>
      <c r="B3576" s="2">
        <v>3</v>
      </c>
      <c r="C3576" s="2" t="s">
        <v>462</v>
      </c>
      <c r="D3576" s="2" t="s">
        <v>109</v>
      </c>
      <c r="E3576" s="2" t="s">
        <v>39</v>
      </c>
      <c r="F3576" s="2">
        <v>507016173</v>
      </c>
      <c r="G3576" s="2" t="s">
        <v>110</v>
      </c>
      <c r="H3576" s="2" t="s">
        <v>463</v>
      </c>
      <c r="I3576" s="2" t="s">
        <v>464</v>
      </c>
      <c r="K3576" s="2" t="s">
        <v>465</v>
      </c>
      <c r="O3576" s="2" t="s">
        <v>40</v>
      </c>
      <c r="P3576" s="2" t="s">
        <v>364</v>
      </c>
      <c r="Q3576" s="2" t="s">
        <v>365</v>
      </c>
      <c r="R3576" s="2">
        <v>1</v>
      </c>
      <c r="S3576" s="2">
        <v>180</v>
      </c>
      <c r="T3576" s="2">
        <v>41.4</v>
      </c>
      <c r="U3576" s="2">
        <v>221.4</v>
      </c>
      <c r="W3576" s="5">
        <f t="shared" si="386"/>
        <v>1</v>
      </c>
      <c r="Y3576" s="2" t="s">
        <v>120</v>
      </c>
      <c r="AE3576" s="2">
        <f t="shared" si="382"/>
        <v>0</v>
      </c>
      <c r="AI3576" s="2">
        <f t="shared" si="383"/>
        <v>0</v>
      </c>
      <c r="AJ3576" s="2">
        <f t="shared" si="388"/>
        <v>180</v>
      </c>
      <c r="AK3576" s="5">
        <f t="shared" si="387"/>
        <v>1</v>
      </c>
    </row>
    <row r="3577" spans="1:37" x14ac:dyDescent="0.2">
      <c r="A3577" s="2">
        <v>2026</v>
      </c>
      <c r="B3577" s="2">
        <v>3</v>
      </c>
      <c r="C3577" s="2" t="s">
        <v>2069</v>
      </c>
      <c r="O3577" s="2" t="s">
        <v>40</v>
      </c>
      <c r="P3577" s="2" t="s">
        <v>364</v>
      </c>
      <c r="Q3577" s="2" t="s">
        <v>365</v>
      </c>
      <c r="R3577" s="2">
        <v>1</v>
      </c>
      <c r="S3577" s="2">
        <v>67.2</v>
      </c>
      <c r="T3577" s="2">
        <v>15.456</v>
      </c>
      <c r="U3577" s="2">
        <v>82.656000000000006</v>
      </c>
      <c r="W3577" s="5">
        <f t="shared" si="386"/>
        <v>1</v>
      </c>
      <c r="Y3577" s="2" t="s">
        <v>120</v>
      </c>
      <c r="AE3577" s="2">
        <f t="shared" si="382"/>
        <v>0</v>
      </c>
      <c r="AI3577" s="2">
        <f t="shared" si="383"/>
        <v>0</v>
      </c>
      <c r="AJ3577" s="2">
        <f t="shared" si="388"/>
        <v>67.2</v>
      </c>
      <c r="AK3577" s="5">
        <f t="shared" si="387"/>
        <v>1</v>
      </c>
    </row>
    <row r="3578" spans="1:37" x14ac:dyDescent="0.2">
      <c r="A3578" s="2">
        <v>2026</v>
      </c>
      <c r="B3578" s="2">
        <v>3</v>
      </c>
      <c r="C3578" s="2" t="s">
        <v>630</v>
      </c>
      <c r="D3578" s="2" t="s">
        <v>38</v>
      </c>
      <c r="E3578" s="2" t="s">
        <v>39</v>
      </c>
      <c r="F3578" s="2" t="s">
        <v>631</v>
      </c>
      <c r="G3578" s="2" t="s">
        <v>40</v>
      </c>
      <c r="H3578" s="2" t="s">
        <v>632</v>
      </c>
      <c r="I3578" s="2" t="s">
        <v>633</v>
      </c>
      <c r="K3578" s="2" t="s">
        <v>632</v>
      </c>
      <c r="L3578" s="2" t="s">
        <v>40</v>
      </c>
      <c r="N3578" s="2" t="s">
        <v>2797</v>
      </c>
      <c r="O3578" s="2" t="s">
        <v>115</v>
      </c>
      <c r="P3578" s="2" t="s">
        <v>2798</v>
      </c>
      <c r="Q3578" s="2" t="s">
        <v>856</v>
      </c>
      <c r="R3578" s="2">
        <v>1</v>
      </c>
      <c r="S3578" s="2">
        <v>18.989999999999998</v>
      </c>
      <c r="T3578" s="2">
        <v>4.3677000000000001</v>
      </c>
      <c r="U3578" s="2">
        <v>23.357700000000001</v>
      </c>
      <c r="V3578" s="2">
        <v>6.55</v>
      </c>
      <c r="W3578" s="5">
        <f t="shared" si="386"/>
        <v>0.6550816219062664</v>
      </c>
      <c r="Y3578" s="2" t="s">
        <v>118</v>
      </c>
      <c r="Z3578" s="2" t="s">
        <v>119</v>
      </c>
      <c r="AA3578" s="2" t="s">
        <v>120</v>
      </c>
      <c r="AB3578" s="2" t="s">
        <v>115</v>
      </c>
      <c r="AE3578" s="2">
        <f t="shared" si="382"/>
        <v>0</v>
      </c>
      <c r="AF3578" s="2">
        <v>6.55</v>
      </c>
      <c r="AI3578" s="2">
        <f t="shared" si="383"/>
        <v>0</v>
      </c>
      <c r="AJ3578" s="2">
        <f t="shared" si="388"/>
        <v>12.439999999999998</v>
      </c>
      <c r="AK3578" s="5">
        <f t="shared" si="387"/>
        <v>0.6550816219062664</v>
      </c>
    </row>
    <row r="3579" spans="1:37" x14ac:dyDescent="0.2">
      <c r="A3579" s="2">
        <v>2026</v>
      </c>
      <c r="B3579" s="2">
        <v>3</v>
      </c>
      <c r="C3579" s="2" t="s">
        <v>384</v>
      </c>
      <c r="D3579" s="2" t="s">
        <v>38</v>
      </c>
      <c r="E3579" s="2" t="s">
        <v>39</v>
      </c>
      <c r="F3579" s="2">
        <v>212196260</v>
      </c>
      <c r="G3579" s="2" t="s">
        <v>110</v>
      </c>
      <c r="H3579" s="2" t="s">
        <v>385</v>
      </c>
      <c r="I3579" s="2" t="s">
        <v>386</v>
      </c>
      <c r="J3579" s="2">
        <v>926769894</v>
      </c>
      <c r="K3579" s="2" t="s">
        <v>113</v>
      </c>
      <c r="L3579" s="2" t="s">
        <v>110</v>
      </c>
      <c r="N3579" s="2" t="s">
        <v>2799</v>
      </c>
      <c r="O3579" s="2" t="s">
        <v>115</v>
      </c>
      <c r="P3579" s="2" t="s">
        <v>962</v>
      </c>
      <c r="Q3579" s="2" t="s">
        <v>716</v>
      </c>
      <c r="R3579" s="2">
        <v>1</v>
      </c>
      <c r="S3579" s="2">
        <v>1690</v>
      </c>
      <c r="T3579" s="2">
        <v>388.7</v>
      </c>
      <c r="U3579" s="2">
        <v>2078.6999999999998</v>
      </c>
      <c r="V3579" s="2">
        <v>1244.2444</v>
      </c>
      <c r="W3579" s="5">
        <f t="shared" si="386"/>
        <v>0.26376071005917157</v>
      </c>
      <c r="Y3579" s="2" t="s">
        <v>105</v>
      </c>
      <c r="Z3579" s="2" t="s">
        <v>583</v>
      </c>
      <c r="AA3579" s="2" t="s">
        <v>707</v>
      </c>
      <c r="AB3579" s="2" t="s">
        <v>115</v>
      </c>
      <c r="AE3579" s="2">
        <f t="shared" si="382"/>
        <v>0</v>
      </c>
      <c r="AF3579" s="2">
        <v>1244.2444</v>
      </c>
      <c r="AI3579" s="2">
        <f t="shared" si="383"/>
        <v>0</v>
      </c>
      <c r="AJ3579" s="2">
        <f t="shared" si="388"/>
        <v>445.75559999999996</v>
      </c>
      <c r="AK3579" s="5">
        <f t="shared" si="387"/>
        <v>0.26376071005917157</v>
      </c>
    </row>
    <row r="3580" spans="1:37" x14ac:dyDescent="0.2">
      <c r="A3580" s="2">
        <v>2026</v>
      </c>
      <c r="B3580" s="2">
        <v>4</v>
      </c>
      <c r="C3580" s="2" t="s">
        <v>553</v>
      </c>
      <c r="D3580" s="2" t="s">
        <v>109</v>
      </c>
      <c r="E3580" s="2" t="s">
        <v>397</v>
      </c>
      <c r="F3580" s="2">
        <v>503641790</v>
      </c>
      <c r="G3580" s="2" t="s">
        <v>40</v>
      </c>
      <c r="H3580" s="2" t="s">
        <v>554</v>
      </c>
      <c r="I3580" s="2" t="s">
        <v>555</v>
      </c>
      <c r="J3580" s="2">
        <v>917753665</v>
      </c>
      <c r="K3580" s="2" t="s">
        <v>100</v>
      </c>
      <c r="L3580" s="2" t="s">
        <v>40</v>
      </c>
      <c r="N3580" s="2" t="s">
        <v>2800</v>
      </c>
      <c r="O3580" s="2" t="s">
        <v>115</v>
      </c>
      <c r="P3580" s="2" t="s">
        <v>2319</v>
      </c>
      <c r="Q3580" s="2" t="s">
        <v>2320</v>
      </c>
      <c r="R3580" s="2">
        <v>1</v>
      </c>
      <c r="S3580" s="2">
        <v>253.9</v>
      </c>
      <c r="T3580" s="2">
        <v>58.397000000000013</v>
      </c>
      <c r="U3580" s="2">
        <v>312.29700000000003</v>
      </c>
      <c r="V3580" s="2">
        <v>136.38999999999999</v>
      </c>
      <c r="W3580" s="5">
        <f t="shared" ref="W3580:W3611" si="389">(S3580-V3580)/S3580</f>
        <v>0.46282000787711702</v>
      </c>
      <c r="Y3580" s="2" t="s">
        <v>118</v>
      </c>
      <c r="Z3580" s="2" t="s">
        <v>119</v>
      </c>
      <c r="AA3580" s="2" t="s">
        <v>120</v>
      </c>
      <c r="AB3580" s="2" t="s">
        <v>115</v>
      </c>
      <c r="AE3580" s="2">
        <f t="shared" si="382"/>
        <v>0</v>
      </c>
      <c r="AF3580" s="2">
        <v>136.38999999999999</v>
      </c>
      <c r="AG3580" s="2">
        <v>282.11399999999998</v>
      </c>
      <c r="AI3580" s="2">
        <f t="shared" si="383"/>
        <v>0</v>
      </c>
      <c r="AJ3580" s="2">
        <f t="shared" si="388"/>
        <v>117.51000000000002</v>
      </c>
      <c r="AK3580" s="5">
        <f t="shared" si="387"/>
        <v>0.46282000787711702</v>
      </c>
    </row>
    <row r="3581" spans="1:37" x14ac:dyDescent="0.2">
      <c r="A3581" s="2">
        <v>2026</v>
      </c>
      <c r="B3581" s="2">
        <v>3</v>
      </c>
      <c r="C3581" s="2" t="s">
        <v>2069</v>
      </c>
      <c r="F3581" s="2">
        <v>514960337</v>
      </c>
      <c r="G3581" s="2" t="s">
        <v>291</v>
      </c>
      <c r="H3581" s="2" t="s">
        <v>2801</v>
      </c>
      <c r="L3581" s="2" t="s">
        <v>40</v>
      </c>
      <c r="N3581" s="2" t="s">
        <v>2802</v>
      </c>
      <c r="O3581" s="2" t="s">
        <v>115</v>
      </c>
      <c r="P3581" s="2" t="s">
        <v>2022</v>
      </c>
      <c r="Q3581" s="2" t="s">
        <v>2023</v>
      </c>
      <c r="R3581" s="2">
        <v>4</v>
      </c>
      <c r="S3581" s="2">
        <v>37.04</v>
      </c>
      <c r="T3581" s="2">
        <v>8.5191999999999997</v>
      </c>
      <c r="U3581" s="2">
        <v>45.559199999999997</v>
      </c>
      <c r="V3581" s="2">
        <f>7.9025*R3581</f>
        <v>31.61</v>
      </c>
      <c r="W3581" s="5">
        <f t="shared" si="389"/>
        <v>0.14659827213822893</v>
      </c>
      <c r="Y3581" s="2" t="s">
        <v>118</v>
      </c>
      <c r="Z3581" s="2" t="s">
        <v>119</v>
      </c>
      <c r="AA3581" s="2" t="s">
        <v>120</v>
      </c>
      <c r="AB3581" s="2" t="s">
        <v>115</v>
      </c>
      <c r="AE3581" s="2">
        <f t="shared" si="382"/>
        <v>0</v>
      </c>
      <c r="AF3581" s="2">
        <v>7.9024999999999999</v>
      </c>
      <c r="AI3581" s="2">
        <f t="shared" si="383"/>
        <v>0</v>
      </c>
      <c r="AJ3581" s="2">
        <f t="shared" si="388"/>
        <v>5.43</v>
      </c>
      <c r="AK3581" s="5">
        <f t="shared" si="387"/>
        <v>0.14659827213822893</v>
      </c>
    </row>
    <row r="3582" spans="1:37" x14ac:dyDescent="0.2">
      <c r="A3582" s="2">
        <v>2026</v>
      </c>
      <c r="B3582" s="2">
        <v>3</v>
      </c>
      <c r="C3582" s="2" t="s">
        <v>1018</v>
      </c>
      <c r="D3582" s="2" t="s">
        <v>109</v>
      </c>
      <c r="E3582" s="2" t="s">
        <v>39</v>
      </c>
      <c r="F3582" s="2">
        <v>507063481</v>
      </c>
      <c r="G3582" s="2" t="s">
        <v>291</v>
      </c>
      <c r="H3582" s="2" t="s">
        <v>1019</v>
      </c>
      <c r="I3582" s="2" t="s">
        <v>1020</v>
      </c>
      <c r="K3582" s="2" t="s">
        <v>294</v>
      </c>
      <c r="O3582" s="2" t="s">
        <v>115</v>
      </c>
      <c r="P3582" s="2" t="s">
        <v>1529</v>
      </c>
      <c r="Q3582" s="2" t="s">
        <v>1530</v>
      </c>
      <c r="R3582" s="2">
        <v>1</v>
      </c>
      <c r="S3582" s="2">
        <v>20.39</v>
      </c>
      <c r="T3582" s="2">
        <v>4.6897000000000002</v>
      </c>
      <c r="U3582" s="2">
        <v>25.079699999999999</v>
      </c>
      <c r="V3582" s="2">
        <v>11.246700000000001</v>
      </c>
      <c r="W3582" s="5">
        <f t="shared" si="389"/>
        <v>0.44842079450711131</v>
      </c>
      <c r="Y3582" s="2" t="s">
        <v>118</v>
      </c>
      <c r="Z3582" s="2" t="s">
        <v>119</v>
      </c>
      <c r="AA3582" s="2" t="s">
        <v>120</v>
      </c>
      <c r="AB3582" s="2" t="s">
        <v>115</v>
      </c>
      <c r="AE3582" s="2">
        <f t="shared" si="382"/>
        <v>0</v>
      </c>
      <c r="AF3582" s="2">
        <v>11.246700000000001</v>
      </c>
      <c r="AI3582" s="2">
        <f t="shared" si="383"/>
        <v>0</v>
      </c>
      <c r="AJ3582" s="2">
        <f t="shared" si="388"/>
        <v>9.1433</v>
      </c>
      <c r="AK3582" s="5">
        <f t="shared" si="387"/>
        <v>0.44842079450711131</v>
      </c>
    </row>
    <row r="3583" spans="1:37" x14ac:dyDescent="0.2">
      <c r="A3583" s="2">
        <v>2026</v>
      </c>
      <c r="B3583" s="2">
        <v>4</v>
      </c>
      <c r="C3583" s="2" t="s">
        <v>2803</v>
      </c>
      <c r="F3583" s="2">
        <v>219031614</v>
      </c>
      <c r="H3583" s="2" t="s">
        <v>2221</v>
      </c>
      <c r="L3583" s="2" t="s">
        <v>40</v>
      </c>
      <c r="N3583" s="2" t="s">
        <v>2804</v>
      </c>
      <c r="O3583" s="2" t="s">
        <v>115</v>
      </c>
      <c r="P3583" s="2" t="s">
        <v>785</v>
      </c>
      <c r="Q3583" s="2" t="s">
        <v>786</v>
      </c>
      <c r="R3583" s="2">
        <v>2</v>
      </c>
      <c r="S3583" s="2">
        <v>157.18</v>
      </c>
      <c r="T3583" s="2">
        <v>36.151400000000002</v>
      </c>
      <c r="U3583" s="2">
        <v>193.3314</v>
      </c>
      <c r="V3583" s="2">
        <f>35.9317*R3583</f>
        <v>71.863399999999999</v>
      </c>
      <c r="W3583" s="5">
        <f t="shared" si="389"/>
        <v>0.54279552105865891</v>
      </c>
      <c r="Y3583" s="2" t="s">
        <v>118</v>
      </c>
      <c r="Z3583" s="2" t="s">
        <v>119</v>
      </c>
      <c r="AA3583" s="2" t="s">
        <v>120</v>
      </c>
      <c r="AB3583" s="2" t="s">
        <v>115</v>
      </c>
      <c r="AE3583" s="2">
        <f t="shared" si="382"/>
        <v>0</v>
      </c>
      <c r="AF3583" s="2">
        <v>35.931699999999999</v>
      </c>
      <c r="AI3583" s="2">
        <f t="shared" si="383"/>
        <v>0</v>
      </c>
      <c r="AJ3583" s="2">
        <f t="shared" si="388"/>
        <v>85.316600000000008</v>
      </c>
      <c r="AK3583" s="5">
        <f t="shared" si="387"/>
        <v>0.54279552105865891</v>
      </c>
    </row>
    <row r="3584" spans="1:37" x14ac:dyDescent="0.2">
      <c r="A3584" s="2">
        <v>2026</v>
      </c>
      <c r="B3584" s="2">
        <v>3</v>
      </c>
      <c r="C3584" s="2" t="s">
        <v>393</v>
      </c>
      <c r="D3584" s="2" t="s">
        <v>38</v>
      </c>
      <c r="E3584" s="2" t="s">
        <v>39</v>
      </c>
      <c r="F3584" s="2">
        <v>206206143</v>
      </c>
      <c r="G3584" s="2" t="s">
        <v>41</v>
      </c>
      <c r="H3584" s="2" t="s">
        <v>394</v>
      </c>
      <c r="I3584" s="2" t="s">
        <v>395</v>
      </c>
      <c r="K3584" s="2" t="s">
        <v>100</v>
      </c>
      <c r="L3584" s="2" t="s">
        <v>40</v>
      </c>
      <c r="N3584" s="2" t="s">
        <v>2805</v>
      </c>
      <c r="O3584" s="2" t="s">
        <v>115</v>
      </c>
      <c r="P3584" s="2" t="s">
        <v>565</v>
      </c>
      <c r="Q3584" s="2" t="s">
        <v>566</v>
      </c>
      <c r="R3584" s="2">
        <v>2</v>
      </c>
      <c r="S3584" s="2">
        <v>28.57</v>
      </c>
      <c r="T3584" s="2">
        <v>6.5711000000000004</v>
      </c>
      <c r="U3584" s="2">
        <v>35.141100000000002</v>
      </c>
      <c r="V3584" s="2">
        <f>5.33*R3584</f>
        <v>10.66</v>
      </c>
      <c r="W3584" s="5">
        <f t="shared" si="389"/>
        <v>0.62688134406720331</v>
      </c>
      <c r="Y3584" s="2" t="s">
        <v>118</v>
      </c>
      <c r="Z3584" s="2" t="s">
        <v>119</v>
      </c>
      <c r="AA3584" s="2" t="s">
        <v>120</v>
      </c>
      <c r="AB3584" s="2" t="s">
        <v>115</v>
      </c>
      <c r="AE3584" s="2">
        <f t="shared" si="382"/>
        <v>0</v>
      </c>
      <c r="AF3584" s="2">
        <v>5.33</v>
      </c>
      <c r="AI3584" s="2">
        <f t="shared" si="383"/>
        <v>0</v>
      </c>
      <c r="AJ3584" s="2">
        <f t="shared" si="388"/>
        <v>17.91</v>
      </c>
      <c r="AK3584" s="5">
        <f t="shared" si="387"/>
        <v>0.62688134406720331</v>
      </c>
    </row>
    <row r="3585" spans="1:37" x14ac:dyDescent="0.2">
      <c r="A3585" s="2">
        <v>2026</v>
      </c>
      <c r="B3585" s="2">
        <v>3</v>
      </c>
      <c r="C3585" s="2" t="s">
        <v>579</v>
      </c>
      <c r="D3585" s="2" t="s">
        <v>38</v>
      </c>
      <c r="E3585" s="2" t="s">
        <v>39</v>
      </c>
      <c r="F3585" s="2">
        <v>504811029</v>
      </c>
      <c r="G3585" s="2" t="s">
        <v>41</v>
      </c>
      <c r="H3585" s="2" t="s">
        <v>178</v>
      </c>
      <c r="I3585" s="2" t="s">
        <v>580</v>
      </c>
      <c r="K3585" s="2" t="s">
        <v>178</v>
      </c>
      <c r="L3585" s="2" t="s">
        <v>40</v>
      </c>
      <c r="N3585" s="2" t="s">
        <v>2806</v>
      </c>
      <c r="O3585" s="2" t="s">
        <v>115</v>
      </c>
      <c r="P3585" s="2" t="s">
        <v>2807</v>
      </c>
      <c r="Q3585" s="2" t="s">
        <v>2808</v>
      </c>
      <c r="R3585" s="2">
        <v>1</v>
      </c>
      <c r="S3585" s="2">
        <v>43.01</v>
      </c>
      <c r="T3585" s="2">
        <v>9.8923000000000005</v>
      </c>
      <c r="U3585" s="2">
        <v>52.902299999999997</v>
      </c>
      <c r="V3585" s="2">
        <v>20.81</v>
      </c>
      <c r="W3585" s="5">
        <f t="shared" si="389"/>
        <v>0.51615903278307373</v>
      </c>
      <c r="Y3585" s="2" t="s">
        <v>118</v>
      </c>
      <c r="Z3585" s="2" t="s">
        <v>119</v>
      </c>
      <c r="AA3585" s="2" t="s">
        <v>120</v>
      </c>
      <c r="AB3585" s="2" t="s">
        <v>115</v>
      </c>
      <c r="AE3585" s="2">
        <f t="shared" si="382"/>
        <v>0</v>
      </c>
      <c r="AF3585" s="2">
        <f>20.48+0.33</f>
        <v>20.81</v>
      </c>
      <c r="AI3585" s="2">
        <f t="shared" si="383"/>
        <v>0</v>
      </c>
      <c r="AJ3585" s="2">
        <f t="shared" si="388"/>
        <v>22.2</v>
      </c>
      <c r="AK3585" s="5">
        <f t="shared" si="387"/>
        <v>0.51615903278307373</v>
      </c>
    </row>
    <row r="3586" spans="1:37" x14ac:dyDescent="0.2">
      <c r="A3586" s="2">
        <v>2026</v>
      </c>
      <c r="B3586" s="2">
        <v>3</v>
      </c>
      <c r="C3586" s="2" t="s">
        <v>579</v>
      </c>
      <c r="D3586" s="2" t="s">
        <v>38</v>
      </c>
      <c r="E3586" s="2" t="s">
        <v>39</v>
      </c>
      <c r="F3586" s="2">
        <v>504811029</v>
      </c>
      <c r="G3586" s="2" t="s">
        <v>41</v>
      </c>
      <c r="H3586" s="2" t="s">
        <v>178</v>
      </c>
      <c r="I3586" s="2" t="s">
        <v>580</v>
      </c>
      <c r="K3586" s="2" t="s">
        <v>178</v>
      </c>
      <c r="L3586" s="2" t="s">
        <v>40</v>
      </c>
      <c r="N3586" s="2" t="s">
        <v>2806</v>
      </c>
      <c r="O3586" s="2" t="s">
        <v>115</v>
      </c>
      <c r="P3586" s="2" t="s">
        <v>2809</v>
      </c>
      <c r="Q3586" s="2" t="s">
        <v>2509</v>
      </c>
      <c r="R3586" s="2">
        <v>1</v>
      </c>
      <c r="S3586" s="2">
        <v>134.16999999999999</v>
      </c>
      <c r="T3586" s="2">
        <v>30.859100000000002</v>
      </c>
      <c r="U3586" s="2">
        <v>165.0291</v>
      </c>
      <c r="V3586" s="2">
        <v>64.91</v>
      </c>
      <c r="W3586" s="5">
        <f t="shared" si="389"/>
        <v>0.51621077737199073</v>
      </c>
      <c r="Y3586" s="2" t="s">
        <v>118</v>
      </c>
      <c r="Z3586" s="2" t="s">
        <v>119</v>
      </c>
      <c r="AA3586" s="2" t="s">
        <v>120</v>
      </c>
      <c r="AB3586" s="2" t="s">
        <v>115</v>
      </c>
      <c r="AE3586" s="2">
        <f t="shared" si="382"/>
        <v>0</v>
      </c>
      <c r="AF3586" s="2">
        <f>63.89+1.02</f>
        <v>64.91</v>
      </c>
      <c r="AI3586" s="2">
        <f t="shared" si="383"/>
        <v>0</v>
      </c>
      <c r="AJ3586" s="2">
        <f t="shared" si="388"/>
        <v>69.259999999999991</v>
      </c>
      <c r="AK3586" s="5">
        <f t="shared" si="387"/>
        <v>0.51621077737199073</v>
      </c>
    </row>
    <row r="3587" spans="1:37" x14ac:dyDescent="0.2">
      <c r="A3587" s="2">
        <v>2026</v>
      </c>
      <c r="B3587" s="2">
        <v>1</v>
      </c>
      <c r="C3587" s="2" t="s">
        <v>513</v>
      </c>
      <c r="D3587" s="2" t="s">
        <v>38</v>
      </c>
      <c r="E3587" s="2" t="s">
        <v>39</v>
      </c>
      <c r="F3587" s="2">
        <v>513405020</v>
      </c>
      <c r="G3587" s="2" t="s">
        <v>40</v>
      </c>
      <c r="H3587" s="2" t="s">
        <v>157</v>
      </c>
      <c r="I3587" s="2" t="s">
        <v>514</v>
      </c>
      <c r="J3587" s="2">
        <v>919770433</v>
      </c>
      <c r="K3587" s="2" t="s">
        <v>100</v>
      </c>
      <c r="L3587" s="2" t="s">
        <v>40</v>
      </c>
      <c r="O3587" s="2" t="s">
        <v>188</v>
      </c>
      <c r="P3587" s="2" t="s">
        <v>192</v>
      </c>
      <c r="Q3587" s="2" t="s">
        <v>191</v>
      </c>
      <c r="R3587" s="2">
        <v>4</v>
      </c>
      <c r="S3587" s="2">
        <v>200</v>
      </c>
      <c r="T3587" s="2">
        <v>46</v>
      </c>
      <c r="U3587" s="2">
        <v>246</v>
      </c>
      <c r="V3587" s="2">
        <f>S3587*50%</f>
        <v>100</v>
      </c>
      <c r="W3587" s="5">
        <f t="shared" si="389"/>
        <v>0.5</v>
      </c>
      <c r="Y3587" s="2" t="s">
        <v>118</v>
      </c>
      <c r="Z3587" s="2" t="s">
        <v>191</v>
      </c>
      <c r="AE3587" s="2">
        <f t="shared" ref="AE3587:AE3650" si="390">AI3587</f>
        <v>0</v>
      </c>
      <c r="AF3587" s="2">
        <f>V3587</f>
        <v>100</v>
      </c>
      <c r="AI3587" s="2">
        <f t="shared" ref="AI3587:AI3650" si="391">AH3587*S3587</f>
        <v>0</v>
      </c>
      <c r="AJ3587" s="2">
        <f t="shared" si="388"/>
        <v>100</v>
      </c>
      <c r="AK3587" s="5">
        <f t="shared" si="387"/>
        <v>0.5</v>
      </c>
    </row>
    <row r="3588" spans="1:37" x14ac:dyDescent="0.2">
      <c r="A3588" s="2">
        <v>2026</v>
      </c>
      <c r="B3588" s="2">
        <v>3</v>
      </c>
      <c r="C3588" s="2" t="s">
        <v>406</v>
      </c>
      <c r="D3588" s="2" t="s">
        <v>38</v>
      </c>
      <c r="E3588" s="2" t="s">
        <v>39</v>
      </c>
      <c r="F3588" s="2">
        <v>109095197</v>
      </c>
      <c r="G3588" s="2" t="s">
        <v>40</v>
      </c>
      <c r="H3588" s="2" t="s">
        <v>2498</v>
      </c>
      <c r="I3588" s="2" t="s">
        <v>3147</v>
      </c>
      <c r="J3588" s="2">
        <v>965864665</v>
      </c>
      <c r="K3588" s="2" t="s">
        <v>345</v>
      </c>
      <c r="L3588" s="2" t="s">
        <v>40</v>
      </c>
      <c r="N3588" s="2" t="s">
        <v>2810</v>
      </c>
      <c r="O3588" s="2" t="s">
        <v>115</v>
      </c>
      <c r="P3588" s="2" t="s">
        <v>1260</v>
      </c>
      <c r="Q3588" s="2" t="s">
        <v>1261</v>
      </c>
      <c r="R3588" s="2">
        <v>1</v>
      </c>
      <c r="S3588" s="2">
        <v>334.53</v>
      </c>
      <c r="T3588" s="2">
        <v>76.941900000000004</v>
      </c>
      <c r="U3588" s="2">
        <v>411.47190000000001</v>
      </c>
      <c r="V3588" s="2">
        <v>183.26</v>
      </c>
      <c r="W3588" s="5">
        <f t="shared" si="389"/>
        <v>0.45218664992676288</v>
      </c>
      <c r="Y3588" s="2" t="s">
        <v>118</v>
      </c>
      <c r="Z3588" s="2" t="s">
        <v>119</v>
      </c>
      <c r="AA3588" s="2" t="s">
        <v>120</v>
      </c>
      <c r="AB3588" s="2" t="s">
        <v>115</v>
      </c>
      <c r="AE3588" s="2">
        <f t="shared" si="390"/>
        <v>0</v>
      </c>
      <c r="AF3588" s="2">
        <v>183.26</v>
      </c>
      <c r="AI3588" s="2">
        <f t="shared" si="391"/>
        <v>0</v>
      </c>
      <c r="AJ3588" s="2">
        <f t="shared" si="388"/>
        <v>151.26999999999998</v>
      </c>
      <c r="AK3588" s="5">
        <f t="shared" si="387"/>
        <v>0.45218664992676288</v>
      </c>
    </row>
    <row r="3589" spans="1:37" x14ac:dyDescent="0.2">
      <c r="A3589" s="2">
        <v>2026</v>
      </c>
      <c r="B3589" s="2">
        <v>3</v>
      </c>
      <c r="C3589" s="2" t="s">
        <v>712</v>
      </c>
      <c r="D3589" s="2" t="s">
        <v>184</v>
      </c>
      <c r="F3589" s="2">
        <v>500038996</v>
      </c>
      <c r="G3589" s="2" t="s">
        <v>110</v>
      </c>
      <c r="H3589" s="2" t="s">
        <v>713</v>
      </c>
      <c r="I3589" s="2" t="s">
        <v>714</v>
      </c>
      <c r="J3589" s="2">
        <v>913640179</v>
      </c>
      <c r="K3589" s="2" t="s">
        <v>134</v>
      </c>
      <c r="L3589" s="2" t="s">
        <v>40</v>
      </c>
      <c r="N3589" s="2" t="s">
        <v>2811</v>
      </c>
      <c r="O3589" s="2" t="s">
        <v>115</v>
      </c>
      <c r="P3589" s="2" t="s">
        <v>375</v>
      </c>
      <c r="Q3589" s="2" t="s">
        <v>376</v>
      </c>
      <c r="R3589" s="2">
        <v>2</v>
      </c>
      <c r="S3589" s="2">
        <v>97.9</v>
      </c>
      <c r="T3589" s="2">
        <v>22.516999999999999</v>
      </c>
      <c r="U3589" s="2">
        <v>120.417</v>
      </c>
      <c r="V3589" s="2">
        <f>22.2*R3589</f>
        <v>44.4</v>
      </c>
      <c r="W3589" s="5">
        <f t="shared" si="389"/>
        <v>0.54647599591419815</v>
      </c>
      <c r="Y3589" s="2" t="s">
        <v>118</v>
      </c>
      <c r="Z3589" s="2" t="s">
        <v>119</v>
      </c>
      <c r="AA3589" s="2" t="s">
        <v>120</v>
      </c>
      <c r="AB3589" s="2" t="s">
        <v>115</v>
      </c>
      <c r="AE3589" s="2">
        <f t="shared" si="390"/>
        <v>0</v>
      </c>
      <c r="AF3589" s="2">
        <v>22.2</v>
      </c>
      <c r="AI3589" s="2">
        <f t="shared" si="391"/>
        <v>0</v>
      </c>
      <c r="AJ3589" s="2">
        <f t="shared" si="388"/>
        <v>53.500000000000007</v>
      </c>
      <c r="AK3589" s="5">
        <f t="shared" si="387"/>
        <v>0.54647599591419815</v>
      </c>
    </row>
    <row r="3590" spans="1:37" x14ac:dyDescent="0.2">
      <c r="A3590" s="2">
        <v>2026</v>
      </c>
      <c r="B3590" s="2">
        <v>3</v>
      </c>
      <c r="C3590" s="2" t="s">
        <v>593</v>
      </c>
      <c r="D3590" s="2" t="s">
        <v>38</v>
      </c>
      <c r="E3590" s="2" t="s">
        <v>39</v>
      </c>
      <c r="F3590" s="2">
        <v>510339298</v>
      </c>
      <c r="G3590" s="2" t="s">
        <v>41</v>
      </c>
      <c r="H3590" s="2" t="s">
        <v>178</v>
      </c>
      <c r="I3590" s="2" t="s">
        <v>594</v>
      </c>
      <c r="K3590" s="2" t="s">
        <v>178</v>
      </c>
      <c r="L3590" s="2" t="s">
        <v>40</v>
      </c>
      <c r="N3590" s="2" t="s">
        <v>2812</v>
      </c>
      <c r="O3590" s="2" t="s">
        <v>115</v>
      </c>
      <c r="P3590" s="2" t="s">
        <v>375</v>
      </c>
      <c r="Q3590" s="2" t="s">
        <v>376</v>
      </c>
      <c r="R3590" s="2">
        <v>1</v>
      </c>
      <c r="S3590" s="2">
        <v>48.95</v>
      </c>
      <c r="T3590" s="2">
        <v>11.2585</v>
      </c>
      <c r="U3590" s="2">
        <v>60.208500000000001</v>
      </c>
      <c r="V3590" s="2">
        <f>22.2*R3590</f>
        <v>22.2</v>
      </c>
      <c r="W3590" s="5">
        <f t="shared" si="389"/>
        <v>0.54647599591419815</v>
      </c>
      <c r="Y3590" s="2" t="s">
        <v>118</v>
      </c>
      <c r="Z3590" s="2" t="s">
        <v>119</v>
      </c>
      <c r="AA3590" s="2" t="s">
        <v>120</v>
      </c>
      <c r="AB3590" s="2" t="s">
        <v>115</v>
      </c>
      <c r="AE3590" s="2">
        <f t="shared" si="390"/>
        <v>0</v>
      </c>
      <c r="AF3590" s="2">
        <v>22.2</v>
      </c>
      <c r="AI3590" s="2">
        <f t="shared" si="391"/>
        <v>0</v>
      </c>
      <c r="AJ3590" s="2">
        <f t="shared" si="388"/>
        <v>26.750000000000004</v>
      </c>
      <c r="AK3590" s="5">
        <f t="shared" si="387"/>
        <v>0.54647599591419815</v>
      </c>
    </row>
    <row r="3591" spans="1:37" x14ac:dyDescent="0.2">
      <c r="A3591" s="2">
        <v>2026</v>
      </c>
      <c r="B3591" s="2">
        <v>3</v>
      </c>
      <c r="C3591" s="2" t="s">
        <v>579</v>
      </c>
      <c r="D3591" s="2" t="s">
        <v>38</v>
      </c>
      <c r="E3591" s="2" t="s">
        <v>39</v>
      </c>
      <c r="F3591" s="2">
        <v>504811029</v>
      </c>
      <c r="G3591" s="2" t="s">
        <v>41</v>
      </c>
      <c r="H3591" s="2" t="s">
        <v>178</v>
      </c>
      <c r="I3591" s="2" t="s">
        <v>580</v>
      </c>
      <c r="K3591" s="2" t="s">
        <v>178</v>
      </c>
      <c r="L3591" s="2" t="s">
        <v>40</v>
      </c>
      <c r="O3591" s="2" t="s">
        <v>115</v>
      </c>
      <c r="P3591" s="2" t="s">
        <v>2813</v>
      </c>
      <c r="Q3591" s="2" t="s">
        <v>2814</v>
      </c>
      <c r="R3591" s="2">
        <v>1</v>
      </c>
      <c r="S3591" s="2">
        <v>524.66</v>
      </c>
      <c r="T3591" s="2">
        <v>120.6718</v>
      </c>
      <c r="U3591" s="2">
        <v>645.33179999999993</v>
      </c>
      <c r="V3591" s="2">
        <v>253.84</v>
      </c>
      <c r="W3591" s="5">
        <f t="shared" si="389"/>
        <v>0.51618190828345967</v>
      </c>
      <c r="Y3591" s="2" t="s">
        <v>118</v>
      </c>
      <c r="Z3591" s="2" t="s">
        <v>119</v>
      </c>
      <c r="AA3591" s="2" t="s">
        <v>120</v>
      </c>
      <c r="AB3591" s="2" t="s">
        <v>115</v>
      </c>
      <c r="AE3591" s="2">
        <f t="shared" si="390"/>
        <v>0</v>
      </c>
      <c r="AF3591" s="2">
        <f>249.84+4</f>
        <v>253.84</v>
      </c>
      <c r="AI3591" s="2">
        <f t="shared" si="391"/>
        <v>0</v>
      </c>
      <c r="AJ3591" s="2">
        <f t="shared" si="388"/>
        <v>270.81999999999994</v>
      </c>
      <c r="AK3591" s="5">
        <f t="shared" si="387"/>
        <v>0.51618190828345967</v>
      </c>
    </row>
    <row r="3592" spans="1:37" x14ac:dyDescent="0.2">
      <c r="A3592" s="2">
        <v>2026</v>
      </c>
      <c r="B3592" s="2">
        <v>4</v>
      </c>
      <c r="C3592" s="2" t="s">
        <v>2341</v>
      </c>
      <c r="L3592" s="2" t="s">
        <v>40</v>
      </c>
      <c r="N3592" s="2" t="s">
        <v>2815</v>
      </c>
      <c r="O3592" s="2" t="s">
        <v>115</v>
      </c>
      <c r="P3592" s="2" t="s">
        <v>652</v>
      </c>
      <c r="Q3592" s="2" t="s">
        <v>653</v>
      </c>
      <c r="R3592" s="2">
        <v>1</v>
      </c>
      <c r="S3592" s="2">
        <v>63.46</v>
      </c>
      <c r="T3592" s="2">
        <v>14.595800000000001</v>
      </c>
      <c r="U3592" s="2">
        <v>78.055800000000005</v>
      </c>
      <c r="V3592" s="2">
        <v>30.22</v>
      </c>
      <c r="W3592" s="5">
        <f t="shared" si="389"/>
        <v>0.52379451623069651</v>
      </c>
      <c r="Y3592" s="2" t="s">
        <v>118</v>
      </c>
      <c r="Z3592" s="2" t="s">
        <v>119</v>
      </c>
      <c r="AA3592" s="2" t="s">
        <v>120</v>
      </c>
      <c r="AB3592" s="2" t="s">
        <v>115</v>
      </c>
      <c r="AE3592" s="2">
        <f t="shared" si="390"/>
        <v>0</v>
      </c>
      <c r="AF3592" s="2">
        <v>30.22</v>
      </c>
      <c r="AI3592" s="2">
        <f t="shared" si="391"/>
        <v>0</v>
      </c>
      <c r="AJ3592" s="2">
        <f t="shared" si="388"/>
        <v>33.24</v>
      </c>
      <c r="AK3592" s="5">
        <f t="shared" si="387"/>
        <v>0.52379451623069651</v>
      </c>
    </row>
    <row r="3593" spans="1:37" x14ac:dyDescent="0.2">
      <c r="A3593" s="2">
        <v>2026</v>
      </c>
      <c r="B3593" s="2">
        <v>3</v>
      </c>
      <c r="C3593" s="2" t="s">
        <v>2788</v>
      </c>
      <c r="L3593" s="2" t="s">
        <v>40</v>
      </c>
      <c r="N3593" s="2" t="s">
        <v>2816</v>
      </c>
      <c r="O3593" s="2" t="s">
        <v>115</v>
      </c>
      <c r="P3593" s="2" t="s">
        <v>911</v>
      </c>
      <c r="Q3593" s="2" t="s">
        <v>912</v>
      </c>
      <c r="R3593" s="2">
        <v>1</v>
      </c>
      <c r="S3593" s="2">
        <v>699.3</v>
      </c>
      <c r="T3593" s="2">
        <v>160.839</v>
      </c>
      <c r="U3593" s="2">
        <v>860.1389999999999</v>
      </c>
      <c r="V3593" s="2">
        <v>342.22</v>
      </c>
      <c r="W3593" s="5">
        <f t="shared" si="389"/>
        <v>0.51062491062491056</v>
      </c>
      <c r="Y3593" s="2" t="s">
        <v>118</v>
      </c>
      <c r="Z3593" s="2" t="s">
        <v>182</v>
      </c>
      <c r="AE3593" s="2">
        <f t="shared" si="390"/>
        <v>0</v>
      </c>
      <c r="AF3593" s="2">
        <v>342.22</v>
      </c>
      <c r="AI3593" s="2">
        <f t="shared" si="391"/>
        <v>0</v>
      </c>
      <c r="AJ3593" s="2">
        <f t="shared" si="388"/>
        <v>357.07999999999993</v>
      </c>
      <c r="AK3593" s="5">
        <f t="shared" si="387"/>
        <v>0.51062491062491056</v>
      </c>
    </row>
    <row r="3594" spans="1:37" x14ac:dyDescent="0.2">
      <c r="A3594" s="2">
        <v>2026</v>
      </c>
      <c r="B3594" s="2">
        <v>4</v>
      </c>
      <c r="C3594" s="2" t="s">
        <v>2817</v>
      </c>
      <c r="L3594" s="2" t="s">
        <v>40</v>
      </c>
      <c r="N3594" s="2" t="s">
        <v>2818</v>
      </c>
      <c r="O3594" s="2" t="s">
        <v>115</v>
      </c>
      <c r="P3594" s="2" t="s">
        <v>911</v>
      </c>
      <c r="Q3594" s="2" t="s">
        <v>912</v>
      </c>
      <c r="R3594" s="2">
        <v>1</v>
      </c>
      <c r="S3594" s="2">
        <v>699.3</v>
      </c>
      <c r="T3594" s="2">
        <v>160.839</v>
      </c>
      <c r="U3594" s="2">
        <v>860.1389999999999</v>
      </c>
      <c r="V3594" s="2">
        <v>342.22</v>
      </c>
      <c r="W3594" s="5">
        <f t="shared" si="389"/>
        <v>0.51062491062491056</v>
      </c>
      <c r="Y3594" s="2" t="s">
        <v>118</v>
      </c>
      <c r="Z3594" s="2" t="s">
        <v>182</v>
      </c>
      <c r="AE3594" s="2">
        <f t="shared" si="390"/>
        <v>0</v>
      </c>
      <c r="AF3594" s="2">
        <v>342.22</v>
      </c>
      <c r="AI3594" s="2">
        <f t="shared" si="391"/>
        <v>0</v>
      </c>
      <c r="AJ3594" s="2">
        <f t="shared" si="388"/>
        <v>357.07999999999993</v>
      </c>
      <c r="AK3594" s="5">
        <f t="shared" si="387"/>
        <v>0.51062491062491056</v>
      </c>
    </row>
    <row r="3595" spans="1:37" x14ac:dyDescent="0.2">
      <c r="A3595" s="2">
        <v>2026</v>
      </c>
      <c r="B3595" s="2">
        <v>4</v>
      </c>
      <c r="C3595" s="2" t="s">
        <v>2819</v>
      </c>
      <c r="D3595" s="2" t="s">
        <v>109</v>
      </c>
      <c r="E3595" s="2" t="s">
        <v>39</v>
      </c>
      <c r="F3595" s="2">
        <v>505556995</v>
      </c>
      <c r="G3595" s="2" t="s">
        <v>40</v>
      </c>
      <c r="H3595" s="2" t="s">
        <v>2820</v>
      </c>
      <c r="I3595" s="2" t="s">
        <v>2821</v>
      </c>
      <c r="K3595" s="2" t="s">
        <v>202</v>
      </c>
      <c r="L3595" s="2" t="s">
        <v>40</v>
      </c>
      <c r="N3595" s="2" t="s">
        <v>2822</v>
      </c>
      <c r="O3595" s="2" t="s">
        <v>115</v>
      </c>
      <c r="P3595" s="2" t="s">
        <v>911</v>
      </c>
      <c r="Q3595" s="2" t="s">
        <v>912</v>
      </c>
      <c r="R3595" s="2">
        <v>1</v>
      </c>
      <c r="S3595" s="2">
        <v>699.3</v>
      </c>
      <c r="T3595" s="2">
        <v>160.839</v>
      </c>
      <c r="U3595" s="2">
        <v>860.1389999999999</v>
      </c>
      <c r="V3595" s="2">
        <v>342.22</v>
      </c>
      <c r="W3595" s="5">
        <f t="shared" si="389"/>
        <v>0.51062491062491056</v>
      </c>
      <c r="Y3595" s="2" t="s">
        <v>118</v>
      </c>
      <c r="Z3595" s="2" t="s">
        <v>182</v>
      </c>
      <c r="AE3595" s="2">
        <f t="shared" si="390"/>
        <v>0</v>
      </c>
      <c r="AF3595" s="2">
        <v>342.22</v>
      </c>
      <c r="AI3595" s="2">
        <f t="shared" si="391"/>
        <v>0</v>
      </c>
      <c r="AJ3595" s="2">
        <f t="shared" si="388"/>
        <v>357.07999999999993</v>
      </c>
      <c r="AK3595" s="5">
        <f t="shared" si="387"/>
        <v>0.51062491062491056</v>
      </c>
    </row>
    <row r="3596" spans="1:37" x14ac:dyDescent="0.2">
      <c r="A3596" s="2">
        <v>2026</v>
      </c>
      <c r="B3596" s="2">
        <v>4</v>
      </c>
      <c r="C3596" s="2" t="s">
        <v>693</v>
      </c>
      <c r="D3596" s="2" t="s">
        <v>38</v>
      </c>
      <c r="E3596" s="2" t="s">
        <v>39</v>
      </c>
      <c r="F3596" s="2">
        <v>501726519</v>
      </c>
      <c r="G3596" s="2" t="s">
        <v>291</v>
      </c>
      <c r="H3596" s="2" t="s">
        <v>441</v>
      </c>
      <c r="I3596" s="2" t="s">
        <v>694</v>
      </c>
      <c r="K3596" s="2" t="s">
        <v>340</v>
      </c>
      <c r="L3596" s="2" t="s">
        <v>40</v>
      </c>
      <c r="N3596" s="2" t="s">
        <v>2823</v>
      </c>
      <c r="O3596" s="2" t="s">
        <v>115</v>
      </c>
      <c r="P3596" s="2" t="s">
        <v>180</v>
      </c>
      <c r="Q3596" s="2" t="s">
        <v>181</v>
      </c>
      <c r="R3596" s="2">
        <v>1</v>
      </c>
      <c r="S3596" s="2">
        <v>699.3</v>
      </c>
      <c r="T3596" s="2">
        <v>160.839</v>
      </c>
      <c r="U3596" s="2">
        <v>860.1389999999999</v>
      </c>
      <c r="V3596" s="2">
        <v>346.57</v>
      </c>
      <c r="W3596" s="5">
        <f t="shared" si="389"/>
        <v>0.50440440440440437</v>
      </c>
      <c r="Y3596" s="2" t="s">
        <v>118</v>
      </c>
      <c r="Z3596" s="2" t="s">
        <v>182</v>
      </c>
      <c r="AE3596" s="2">
        <f t="shared" si="390"/>
        <v>0</v>
      </c>
      <c r="AI3596" s="2">
        <f t="shared" si="391"/>
        <v>0</v>
      </c>
      <c r="AJ3596" s="2">
        <f t="shared" si="388"/>
        <v>352.72999999999996</v>
      </c>
      <c r="AK3596" s="5">
        <f t="shared" si="387"/>
        <v>0.50440440440440437</v>
      </c>
    </row>
    <row r="3597" spans="1:37" x14ac:dyDescent="0.2">
      <c r="A3597" s="2">
        <v>2026</v>
      </c>
      <c r="B3597" s="2">
        <v>4</v>
      </c>
      <c r="C3597" s="2" t="s">
        <v>2626</v>
      </c>
      <c r="D3597" s="2" t="s">
        <v>109</v>
      </c>
      <c r="E3597" s="2" t="s">
        <v>39</v>
      </c>
      <c r="F3597" s="2">
        <v>5056222351</v>
      </c>
      <c r="G3597" s="2" t="s">
        <v>110</v>
      </c>
      <c r="H3597" s="2" t="s">
        <v>113</v>
      </c>
      <c r="I3597" s="2" t="s">
        <v>2627</v>
      </c>
      <c r="J3597" s="2">
        <v>935402550</v>
      </c>
      <c r="K3597" s="2" t="s">
        <v>113</v>
      </c>
      <c r="L3597" s="2" t="s">
        <v>40</v>
      </c>
      <c r="N3597" s="2" t="s">
        <v>2628</v>
      </c>
      <c r="O3597" s="2" t="s">
        <v>115</v>
      </c>
      <c r="P3597" s="2" t="s">
        <v>180</v>
      </c>
      <c r="Q3597" s="2" t="s">
        <v>181</v>
      </c>
      <c r="R3597" s="2">
        <v>1</v>
      </c>
      <c r="S3597" s="2">
        <v>699.3</v>
      </c>
      <c r="T3597" s="2">
        <v>160.839</v>
      </c>
      <c r="U3597" s="2">
        <v>860.1389999999999</v>
      </c>
      <c r="V3597" s="2">
        <v>346.57</v>
      </c>
      <c r="W3597" s="5">
        <f t="shared" si="389"/>
        <v>0.50440440440440437</v>
      </c>
      <c r="Y3597" s="2" t="s">
        <v>118</v>
      </c>
      <c r="Z3597" s="2" t="s">
        <v>182</v>
      </c>
      <c r="AE3597" s="2">
        <f t="shared" si="390"/>
        <v>0</v>
      </c>
      <c r="AF3597" s="2">
        <v>346.57</v>
      </c>
      <c r="AI3597" s="2">
        <f t="shared" si="391"/>
        <v>0</v>
      </c>
      <c r="AJ3597" s="2">
        <f t="shared" si="388"/>
        <v>352.72999999999996</v>
      </c>
      <c r="AK3597" s="5">
        <f t="shared" si="387"/>
        <v>0.50440440440440437</v>
      </c>
    </row>
    <row r="3598" spans="1:37" x14ac:dyDescent="0.2">
      <c r="A3598" s="2">
        <v>2026</v>
      </c>
      <c r="B3598" s="2">
        <v>4</v>
      </c>
      <c r="C3598" s="2" t="s">
        <v>2629</v>
      </c>
      <c r="D3598" s="2" t="s">
        <v>38</v>
      </c>
      <c r="E3598" s="2" t="s">
        <v>39</v>
      </c>
      <c r="F3598" s="2">
        <v>225260913</v>
      </c>
      <c r="G3598" s="2" t="s">
        <v>40</v>
      </c>
      <c r="H3598" s="2" t="s">
        <v>2630</v>
      </c>
      <c r="I3598" s="2" t="s">
        <v>2631</v>
      </c>
      <c r="J3598" s="2">
        <v>912183782</v>
      </c>
      <c r="K3598" s="2" t="s">
        <v>202</v>
      </c>
      <c r="L3598" s="2" t="s">
        <v>40</v>
      </c>
      <c r="N3598" s="2" t="s">
        <v>2632</v>
      </c>
      <c r="O3598" s="2" t="s">
        <v>115</v>
      </c>
      <c r="P3598" s="2" t="s">
        <v>180</v>
      </c>
      <c r="Q3598" s="2" t="s">
        <v>181</v>
      </c>
      <c r="R3598" s="2">
        <v>1</v>
      </c>
      <c r="S3598" s="2">
        <v>699.3</v>
      </c>
      <c r="T3598" s="2">
        <v>160.839</v>
      </c>
      <c r="U3598" s="2">
        <v>860.1389999999999</v>
      </c>
      <c r="V3598" s="2">
        <v>346.57</v>
      </c>
      <c r="W3598" s="5">
        <f t="shared" si="389"/>
        <v>0.50440440440440437</v>
      </c>
      <c r="Y3598" s="2" t="s">
        <v>118</v>
      </c>
      <c r="Z3598" s="2" t="s">
        <v>182</v>
      </c>
      <c r="AE3598" s="2">
        <f t="shared" si="390"/>
        <v>0</v>
      </c>
      <c r="AF3598" s="2">
        <v>346.57</v>
      </c>
      <c r="AI3598" s="2">
        <f t="shared" si="391"/>
        <v>0</v>
      </c>
      <c r="AJ3598" s="2">
        <f t="shared" si="388"/>
        <v>352.72999999999996</v>
      </c>
      <c r="AK3598" s="5">
        <f t="shared" si="387"/>
        <v>0.50440440440440437</v>
      </c>
    </row>
    <row r="3599" spans="1:37" x14ac:dyDescent="0.2">
      <c r="A3599" s="2">
        <v>2026</v>
      </c>
      <c r="B3599" s="2">
        <v>4</v>
      </c>
      <c r="C3599" s="2" t="s">
        <v>2636</v>
      </c>
      <c r="L3599" s="2" t="s">
        <v>40</v>
      </c>
      <c r="N3599" s="2" t="s">
        <v>2824</v>
      </c>
      <c r="O3599" s="2" t="s">
        <v>115</v>
      </c>
      <c r="P3599" s="2" t="s">
        <v>180</v>
      </c>
      <c r="Q3599" s="2" t="s">
        <v>181</v>
      </c>
      <c r="R3599" s="2">
        <v>1</v>
      </c>
      <c r="S3599" s="2">
        <v>699.3</v>
      </c>
      <c r="T3599" s="2">
        <v>160.839</v>
      </c>
      <c r="U3599" s="2">
        <v>860.1389999999999</v>
      </c>
      <c r="V3599" s="2">
        <v>346.57</v>
      </c>
      <c r="W3599" s="5">
        <f t="shared" si="389"/>
        <v>0.50440440440440437</v>
      </c>
      <c r="Y3599" s="2" t="s">
        <v>118</v>
      </c>
      <c r="Z3599" s="2" t="s">
        <v>182</v>
      </c>
      <c r="AE3599" s="2">
        <f t="shared" si="390"/>
        <v>0</v>
      </c>
      <c r="AI3599" s="2">
        <f t="shared" si="391"/>
        <v>0</v>
      </c>
      <c r="AJ3599" s="2">
        <f t="shared" si="388"/>
        <v>352.72999999999996</v>
      </c>
      <c r="AK3599" s="5">
        <f t="shared" si="387"/>
        <v>0.50440440440440437</v>
      </c>
    </row>
    <row r="3600" spans="1:37" x14ac:dyDescent="0.2">
      <c r="A3600" s="2">
        <v>2026</v>
      </c>
      <c r="B3600" s="2">
        <v>4</v>
      </c>
      <c r="C3600" s="2" t="s">
        <v>630</v>
      </c>
      <c r="D3600" s="2" t="s">
        <v>38</v>
      </c>
      <c r="E3600" s="2" t="s">
        <v>39</v>
      </c>
      <c r="F3600" s="2" t="s">
        <v>631</v>
      </c>
      <c r="G3600" s="2" t="s">
        <v>40</v>
      </c>
      <c r="H3600" s="2" t="s">
        <v>632</v>
      </c>
      <c r="I3600" s="2" t="s">
        <v>633</v>
      </c>
      <c r="K3600" s="2" t="s">
        <v>632</v>
      </c>
      <c r="L3600" s="2" t="s">
        <v>40</v>
      </c>
      <c r="N3600" s="2" t="s">
        <v>2797</v>
      </c>
      <c r="O3600" s="2" t="s">
        <v>115</v>
      </c>
      <c r="P3600" s="2" t="s">
        <v>180</v>
      </c>
      <c r="Q3600" s="2" t="s">
        <v>181</v>
      </c>
      <c r="R3600" s="2">
        <v>1</v>
      </c>
      <c r="S3600" s="2">
        <v>575.95000000000005</v>
      </c>
      <c r="T3600" s="2">
        <v>132.46850000000001</v>
      </c>
      <c r="U3600" s="2">
        <v>708.41849999999999</v>
      </c>
      <c r="V3600" s="2">
        <v>346.57</v>
      </c>
      <c r="W3600" s="5">
        <f t="shared" si="389"/>
        <v>0.39826373817171634</v>
      </c>
      <c r="Y3600" s="2" t="s">
        <v>118</v>
      </c>
      <c r="Z3600" s="2" t="s">
        <v>182</v>
      </c>
      <c r="AE3600" s="2">
        <f t="shared" si="390"/>
        <v>0</v>
      </c>
      <c r="AI3600" s="2">
        <f t="shared" si="391"/>
        <v>0</v>
      </c>
      <c r="AJ3600" s="2">
        <f t="shared" si="388"/>
        <v>229.38000000000005</v>
      </c>
      <c r="AK3600" s="5">
        <f t="shared" si="387"/>
        <v>0.39826373817171634</v>
      </c>
    </row>
    <row r="3601" spans="1:37" x14ac:dyDescent="0.2">
      <c r="A3601" s="2">
        <v>2026</v>
      </c>
      <c r="B3601" s="2">
        <v>4</v>
      </c>
      <c r="C3601" s="2" t="s">
        <v>1615</v>
      </c>
      <c r="L3601" s="2" t="s">
        <v>40</v>
      </c>
      <c r="N3601" s="2" t="s">
        <v>2825</v>
      </c>
      <c r="O3601" s="2" t="s">
        <v>115</v>
      </c>
      <c r="P3601" s="2" t="s">
        <v>1209</v>
      </c>
      <c r="Q3601" s="2" t="s">
        <v>1210</v>
      </c>
      <c r="R3601" s="2">
        <v>1</v>
      </c>
      <c r="S3601" s="2">
        <v>356.81</v>
      </c>
      <c r="T3601" s="2">
        <v>82.066299999999998</v>
      </c>
      <c r="U3601" s="2">
        <v>438.87630000000001</v>
      </c>
      <c r="V3601" s="2">
        <v>167.92</v>
      </c>
      <c r="W3601" s="5">
        <f t="shared" si="389"/>
        <v>0.5293853871808526</v>
      </c>
      <c r="Y3601" s="2" t="s">
        <v>118</v>
      </c>
      <c r="Z3601" s="2" t="s">
        <v>119</v>
      </c>
      <c r="AA3601" s="2" t="s">
        <v>120</v>
      </c>
      <c r="AB3601" s="2" t="s">
        <v>120</v>
      </c>
      <c r="AE3601" s="2">
        <f t="shared" si="390"/>
        <v>0</v>
      </c>
      <c r="AF3601" s="2">
        <f>167.92</f>
        <v>167.92</v>
      </c>
      <c r="AI3601" s="2">
        <f t="shared" si="391"/>
        <v>0</v>
      </c>
      <c r="AJ3601" s="2">
        <f t="shared" si="388"/>
        <v>188.89000000000001</v>
      </c>
      <c r="AK3601" s="5">
        <f t="shared" si="387"/>
        <v>0.5293853871808526</v>
      </c>
    </row>
    <row r="3602" spans="1:37" x14ac:dyDescent="0.2">
      <c r="A3602" s="2">
        <v>2026</v>
      </c>
      <c r="B3602" s="2">
        <v>4</v>
      </c>
      <c r="C3602" s="2" t="s">
        <v>2817</v>
      </c>
      <c r="L3602" s="2" t="s">
        <v>40</v>
      </c>
      <c r="O3602" s="2" t="s">
        <v>188</v>
      </c>
      <c r="P3602" s="2" t="s">
        <v>189</v>
      </c>
      <c r="Q3602" s="2" t="s">
        <v>190</v>
      </c>
      <c r="R3602" s="2">
        <v>1</v>
      </c>
      <c r="S3602" s="2">
        <v>92</v>
      </c>
      <c r="T3602" s="2">
        <v>21.16</v>
      </c>
      <c r="U3602" s="2">
        <v>113.16</v>
      </c>
      <c r="V3602" s="2">
        <f>S3602*40%</f>
        <v>36.800000000000004</v>
      </c>
      <c r="W3602" s="5">
        <f t="shared" si="389"/>
        <v>0.6</v>
      </c>
      <c r="Y3602" s="2" t="s">
        <v>118</v>
      </c>
      <c r="Z3602" s="2" t="s">
        <v>191</v>
      </c>
      <c r="AE3602" s="2">
        <f t="shared" si="390"/>
        <v>0</v>
      </c>
      <c r="AF3602" s="2">
        <f>V3602</f>
        <v>36.800000000000004</v>
      </c>
      <c r="AI3602" s="2">
        <f t="shared" si="391"/>
        <v>0</v>
      </c>
      <c r="AJ3602" s="2">
        <f t="shared" si="388"/>
        <v>55.199999999999996</v>
      </c>
      <c r="AK3602" s="5">
        <f t="shared" si="387"/>
        <v>0.6</v>
      </c>
    </row>
    <row r="3603" spans="1:37" x14ac:dyDescent="0.2">
      <c r="A3603" s="2">
        <v>2026</v>
      </c>
      <c r="B3603" s="2">
        <v>4</v>
      </c>
      <c r="C3603" s="2" t="s">
        <v>2305</v>
      </c>
      <c r="L3603" s="2" t="s">
        <v>40</v>
      </c>
      <c r="N3603" s="2" t="s">
        <v>2826</v>
      </c>
      <c r="O3603" s="2" t="s">
        <v>115</v>
      </c>
      <c r="P3603" s="2" t="s">
        <v>471</v>
      </c>
      <c r="Q3603" s="2" t="s">
        <v>472</v>
      </c>
      <c r="R3603" s="2">
        <v>1</v>
      </c>
      <c r="S3603" s="2">
        <v>488.82</v>
      </c>
      <c r="T3603" s="2">
        <v>112.4286</v>
      </c>
      <c r="U3603" s="2">
        <v>601.24860000000001</v>
      </c>
      <c r="V3603" s="2">
        <v>232.74</v>
      </c>
      <c r="W3603" s="5">
        <f t="shared" si="389"/>
        <v>0.52387381858352766</v>
      </c>
      <c r="Y3603" s="2" t="s">
        <v>118</v>
      </c>
      <c r="Z3603" s="2" t="s">
        <v>119</v>
      </c>
      <c r="AA3603" s="2" t="s">
        <v>120</v>
      </c>
      <c r="AB3603" s="2" t="s">
        <v>115</v>
      </c>
      <c r="AE3603" s="2">
        <f t="shared" si="390"/>
        <v>0</v>
      </c>
      <c r="AF3603" s="2">
        <f>231.78+0.96</f>
        <v>232.74</v>
      </c>
      <c r="AI3603" s="2">
        <f t="shared" si="391"/>
        <v>0</v>
      </c>
      <c r="AJ3603" s="2">
        <f t="shared" si="388"/>
        <v>256.08</v>
      </c>
      <c r="AK3603" s="5">
        <f t="shared" si="387"/>
        <v>0.52387381858352766</v>
      </c>
    </row>
    <row r="3604" spans="1:37" x14ac:dyDescent="0.2">
      <c r="A3604" s="2">
        <v>2026</v>
      </c>
      <c r="B3604" s="2">
        <v>4</v>
      </c>
      <c r="C3604" s="2" t="s">
        <v>1009</v>
      </c>
      <c r="D3604" s="2" t="s">
        <v>38</v>
      </c>
      <c r="E3604" s="2" t="s">
        <v>39</v>
      </c>
      <c r="F3604" s="2">
        <v>510743854</v>
      </c>
      <c r="G3604" s="2" t="s">
        <v>40</v>
      </c>
      <c r="H3604" s="2" t="s">
        <v>1010</v>
      </c>
      <c r="I3604" s="2" t="s">
        <v>1011</v>
      </c>
      <c r="J3604" s="2">
        <v>917233128</v>
      </c>
      <c r="K3604" s="2" t="s">
        <v>100</v>
      </c>
      <c r="L3604" s="2" t="s">
        <v>40</v>
      </c>
      <c r="N3604" s="2" t="s">
        <v>2625</v>
      </c>
      <c r="O3604" s="2" t="s">
        <v>115</v>
      </c>
      <c r="P3604" s="2" t="s">
        <v>1672</v>
      </c>
      <c r="Q3604" s="2" t="s">
        <v>1673</v>
      </c>
      <c r="R3604" s="2">
        <v>1</v>
      </c>
      <c r="S3604" s="2">
        <v>1844.9</v>
      </c>
      <c r="T3604" s="2">
        <v>424.32700000000011</v>
      </c>
      <c r="U3604" s="2">
        <v>2269.2269999999999</v>
      </c>
      <c r="V3604" s="2">
        <v>565.75549999999998</v>
      </c>
      <c r="W3604" s="5">
        <f t="shared" si="389"/>
        <v>0.69334083148138115</v>
      </c>
      <c r="Y3604" s="2" t="s">
        <v>118</v>
      </c>
      <c r="Z3604" s="2" t="s">
        <v>119</v>
      </c>
      <c r="AA3604" s="2" t="s">
        <v>120</v>
      </c>
      <c r="AB3604" s="2" t="s">
        <v>115</v>
      </c>
      <c r="AE3604" s="2">
        <f t="shared" si="390"/>
        <v>0</v>
      </c>
      <c r="AF3604" s="2">
        <v>565.755</v>
      </c>
      <c r="AI3604" s="2">
        <f t="shared" si="391"/>
        <v>0</v>
      </c>
      <c r="AJ3604" s="2">
        <f t="shared" si="388"/>
        <v>1279.1445000000001</v>
      </c>
      <c r="AK3604" s="5">
        <f t="shared" si="387"/>
        <v>0.69334083148138115</v>
      </c>
    </row>
    <row r="3605" spans="1:37" x14ac:dyDescent="0.2">
      <c r="A3605" s="2">
        <v>2026</v>
      </c>
      <c r="B3605" s="2">
        <v>4</v>
      </c>
      <c r="C3605" s="2" t="s">
        <v>948</v>
      </c>
      <c r="L3605" s="2" t="s">
        <v>40</v>
      </c>
      <c r="N3605" s="2" t="s">
        <v>2827</v>
      </c>
      <c r="O3605" s="2" t="s">
        <v>115</v>
      </c>
      <c r="P3605" s="2" t="s">
        <v>799</v>
      </c>
      <c r="Q3605" s="2" t="s">
        <v>800</v>
      </c>
      <c r="R3605" s="2">
        <v>1</v>
      </c>
      <c r="S3605" s="2">
        <v>770.24</v>
      </c>
      <c r="T3605" s="2">
        <v>177.15520000000001</v>
      </c>
      <c r="U3605" s="2">
        <v>947.39520000000005</v>
      </c>
      <c r="V3605" s="2">
        <v>255.65</v>
      </c>
      <c r="W3605" s="5">
        <f t="shared" si="389"/>
        <v>0.66809046530951399</v>
      </c>
      <c r="Y3605" s="2" t="s">
        <v>118</v>
      </c>
      <c r="AE3605" s="2">
        <f t="shared" si="390"/>
        <v>0</v>
      </c>
      <c r="AF3605" s="2">
        <v>255.65</v>
      </c>
      <c r="AI3605" s="2">
        <f t="shared" si="391"/>
        <v>0</v>
      </c>
      <c r="AJ3605" s="2">
        <f t="shared" si="388"/>
        <v>514.59</v>
      </c>
      <c r="AK3605" s="5">
        <f t="shared" si="387"/>
        <v>0.66809046530951399</v>
      </c>
    </row>
    <row r="3606" spans="1:37" x14ac:dyDescent="0.2">
      <c r="A3606" s="2">
        <v>2026</v>
      </c>
      <c r="B3606" s="2">
        <v>4</v>
      </c>
      <c r="C3606" s="2" t="s">
        <v>562</v>
      </c>
      <c r="D3606" s="2" t="s">
        <v>109</v>
      </c>
      <c r="E3606" s="2" t="s">
        <v>39</v>
      </c>
      <c r="F3606" s="2">
        <v>506517233</v>
      </c>
      <c r="G3606" s="2" t="s">
        <v>81</v>
      </c>
      <c r="H3606" s="2" t="s">
        <v>563</v>
      </c>
      <c r="I3606" s="2" t="s">
        <v>564</v>
      </c>
      <c r="K3606" s="2" t="s">
        <v>134</v>
      </c>
      <c r="L3606" s="2" t="s">
        <v>40</v>
      </c>
      <c r="N3606" s="2" t="s">
        <v>2828</v>
      </c>
      <c r="O3606" s="2" t="s">
        <v>115</v>
      </c>
      <c r="P3606" s="2" t="s">
        <v>2508</v>
      </c>
      <c r="Q3606" s="2" t="s">
        <v>2509</v>
      </c>
      <c r="R3606" s="2">
        <v>1</v>
      </c>
      <c r="S3606" s="2">
        <v>214.96</v>
      </c>
      <c r="T3606" s="2">
        <v>49.440800000000003</v>
      </c>
      <c r="U3606" s="2">
        <v>264.4008</v>
      </c>
      <c r="V3606" s="2">
        <v>102.88500000000001</v>
      </c>
      <c r="W3606" s="5">
        <f t="shared" si="389"/>
        <v>0.52137606996650543</v>
      </c>
      <c r="Y3606" s="2" t="s">
        <v>118</v>
      </c>
      <c r="Z3606" s="2" t="s">
        <v>119</v>
      </c>
      <c r="AA3606" s="2" t="s">
        <v>120</v>
      </c>
      <c r="AB3606" s="2" t="s">
        <v>115</v>
      </c>
      <c r="AE3606" s="2">
        <f t="shared" si="390"/>
        <v>0</v>
      </c>
      <c r="AF3606" s="2">
        <v>102.88249999999999</v>
      </c>
      <c r="AI3606" s="2">
        <f t="shared" si="391"/>
        <v>0</v>
      </c>
      <c r="AJ3606" s="2">
        <f t="shared" si="388"/>
        <v>112.075</v>
      </c>
      <c r="AK3606" s="5">
        <f t="shared" si="387"/>
        <v>0.52137606996650543</v>
      </c>
    </row>
    <row r="3607" spans="1:37" x14ac:dyDescent="0.2">
      <c r="A3607" s="2">
        <v>2026</v>
      </c>
      <c r="B3607" s="2">
        <v>4</v>
      </c>
      <c r="C3607" s="2" t="s">
        <v>1615</v>
      </c>
      <c r="L3607" s="2" t="s">
        <v>40</v>
      </c>
      <c r="N3607" s="2" t="s">
        <v>2825</v>
      </c>
      <c r="O3607" s="2" t="s">
        <v>115</v>
      </c>
      <c r="P3607" s="2" t="s">
        <v>2829</v>
      </c>
      <c r="Q3607" s="2" t="s">
        <v>2830</v>
      </c>
      <c r="R3607" s="2">
        <v>1</v>
      </c>
      <c r="S3607" s="2">
        <v>89.04</v>
      </c>
      <c r="T3607" s="2">
        <v>20.479199999999999</v>
      </c>
      <c r="U3607" s="2">
        <v>109.5192</v>
      </c>
      <c r="V3607" s="2">
        <v>42.436799999999998</v>
      </c>
      <c r="W3607" s="5">
        <f t="shared" si="389"/>
        <v>0.52339622641509442</v>
      </c>
      <c r="Y3607" s="2" t="s">
        <v>118</v>
      </c>
      <c r="Z3607" s="2" t="s">
        <v>119</v>
      </c>
      <c r="AA3607" s="2" t="s">
        <v>120</v>
      </c>
      <c r="AB3607" s="2" t="s">
        <v>115</v>
      </c>
      <c r="AE3607" s="2">
        <f t="shared" si="390"/>
        <v>0</v>
      </c>
      <c r="AF3607" s="2">
        <v>42.436799999999998</v>
      </c>
      <c r="AI3607" s="2">
        <f t="shared" si="391"/>
        <v>0</v>
      </c>
      <c r="AJ3607" s="2">
        <f t="shared" si="388"/>
        <v>46.603200000000008</v>
      </c>
      <c r="AK3607" s="5">
        <f t="shared" si="387"/>
        <v>0.52339622641509442</v>
      </c>
    </row>
    <row r="3608" spans="1:37" x14ac:dyDescent="0.2">
      <c r="A3608" s="2">
        <v>2026</v>
      </c>
      <c r="B3608" s="2">
        <v>4</v>
      </c>
      <c r="C3608" s="2" t="s">
        <v>579</v>
      </c>
      <c r="D3608" s="2" t="s">
        <v>38</v>
      </c>
      <c r="E3608" s="2" t="s">
        <v>39</v>
      </c>
      <c r="F3608" s="2">
        <v>504811029</v>
      </c>
      <c r="G3608" s="2" t="s">
        <v>41</v>
      </c>
      <c r="H3608" s="2" t="s">
        <v>178</v>
      </c>
      <c r="I3608" s="2" t="s">
        <v>580</v>
      </c>
      <c r="K3608" s="2" t="s">
        <v>178</v>
      </c>
      <c r="L3608" s="2" t="s">
        <v>40</v>
      </c>
      <c r="N3608" s="2" t="s">
        <v>461</v>
      </c>
      <c r="O3608" s="2" t="s">
        <v>115</v>
      </c>
      <c r="P3608" s="2" t="s">
        <v>2831</v>
      </c>
      <c r="Q3608" s="2" t="s">
        <v>2832</v>
      </c>
      <c r="R3608" s="2">
        <v>1</v>
      </c>
      <c r="S3608" s="2">
        <v>54.05</v>
      </c>
      <c r="T3608" s="2">
        <v>12.4315</v>
      </c>
      <c r="U3608" s="2">
        <v>66.481499999999997</v>
      </c>
      <c r="V3608" s="2">
        <v>42.436799999999998</v>
      </c>
      <c r="W3608" s="5">
        <f t="shared" si="389"/>
        <v>0.21486031452358925</v>
      </c>
      <c r="Y3608" s="2" t="s">
        <v>118</v>
      </c>
      <c r="Z3608" s="2" t="s">
        <v>119</v>
      </c>
      <c r="AA3608" s="2" t="s">
        <v>120</v>
      </c>
      <c r="AB3608" s="2" t="s">
        <v>115</v>
      </c>
      <c r="AE3608" s="2">
        <f t="shared" si="390"/>
        <v>0</v>
      </c>
      <c r="AF3608" s="2">
        <v>42.436799999999998</v>
      </c>
      <c r="AI3608" s="2">
        <f t="shared" si="391"/>
        <v>0</v>
      </c>
      <c r="AJ3608" s="2">
        <f t="shared" si="388"/>
        <v>11.613199999999999</v>
      </c>
      <c r="AK3608" s="5">
        <f t="shared" si="387"/>
        <v>0.21486031452358925</v>
      </c>
    </row>
    <row r="3609" spans="1:37" x14ac:dyDescent="0.2">
      <c r="A3609" s="2">
        <v>2026</v>
      </c>
      <c r="B3609" s="2">
        <v>4</v>
      </c>
      <c r="C3609" s="2" t="s">
        <v>579</v>
      </c>
      <c r="D3609" s="2" t="s">
        <v>38</v>
      </c>
      <c r="E3609" s="2" t="s">
        <v>39</v>
      </c>
      <c r="F3609" s="2">
        <v>504811029</v>
      </c>
      <c r="G3609" s="2" t="s">
        <v>41</v>
      </c>
      <c r="H3609" s="2" t="s">
        <v>178</v>
      </c>
      <c r="I3609" s="2" t="s">
        <v>580</v>
      </c>
      <c r="K3609" s="2" t="s">
        <v>178</v>
      </c>
      <c r="L3609" s="2" t="s">
        <v>40</v>
      </c>
      <c r="N3609" s="2" t="s">
        <v>2806</v>
      </c>
      <c r="O3609" s="2" t="s">
        <v>115</v>
      </c>
      <c r="P3609" s="2" t="s">
        <v>2833</v>
      </c>
      <c r="Q3609" s="2" t="s">
        <v>2834</v>
      </c>
      <c r="R3609" s="2">
        <v>1</v>
      </c>
      <c r="S3609" s="2">
        <v>32.53</v>
      </c>
      <c r="T3609" s="2">
        <v>7.4819000000000004</v>
      </c>
      <c r="U3609" s="2">
        <v>40.011899999999997</v>
      </c>
      <c r="V3609" s="2">
        <v>15.74</v>
      </c>
      <c r="W3609" s="5">
        <f t="shared" si="389"/>
        <v>0.51613894866277277</v>
      </c>
      <c r="Y3609" s="2" t="s">
        <v>118</v>
      </c>
      <c r="Z3609" s="2" t="s">
        <v>119</v>
      </c>
      <c r="AA3609" s="2" t="s">
        <v>120</v>
      </c>
      <c r="AB3609" s="2" t="s">
        <v>115</v>
      </c>
      <c r="AE3609" s="2">
        <f t="shared" si="390"/>
        <v>0</v>
      </c>
      <c r="AF3609" s="2">
        <f>15.49+0.25</f>
        <v>15.74</v>
      </c>
      <c r="AI3609" s="2">
        <f t="shared" si="391"/>
        <v>0</v>
      </c>
      <c r="AJ3609" s="2">
        <f t="shared" si="388"/>
        <v>16.79</v>
      </c>
      <c r="AK3609" s="5">
        <f t="shared" si="387"/>
        <v>0.51613894866277277</v>
      </c>
    </row>
    <row r="3610" spans="1:37" x14ac:dyDescent="0.2">
      <c r="A3610" s="2">
        <v>2026</v>
      </c>
      <c r="B3610" s="2">
        <v>4</v>
      </c>
      <c r="C3610" s="2" t="s">
        <v>1606</v>
      </c>
      <c r="L3610" s="2" t="s">
        <v>40</v>
      </c>
      <c r="N3610" s="2" t="s">
        <v>2835</v>
      </c>
      <c r="O3610" s="2" t="s">
        <v>115</v>
      </c>
      <c r="P3610" s="2" t="s">
        <v>1607</v>
      </c>
      <c r="Q3610" s="2" t="s">
        <v>1608</v>
      </c>
      <c r="R3610" s="2">
        <v>1</v>
      </c>
      <c r="S3610" s="2">
        <v>46.59</v>
      </c>
      <c r="T3610" s="2">
        <v>10.7157</v>
      </c>
      <c r="U3610" s="2">
        <v>57.305700000000002</v>
      </c>
      <c r="V3610" s="2">
        <v>21.32</v>
      </c>
      <c r="W3610" s="5">
        <f t="shared" si="389"/>
        <v>0.54239107104528872</v>
      </c>
      <c r="Y3610" s="2" t="s">
        <v>118</v>
      </c>
      <c r="Z3610" s="2" t="s">
        <v>119</v>
      </c>
      <c r="AA3610" s="2" t="s">
        <v>120</v>
      </c>
      <c r="AB3610" s="2" t="s">
        <v>115</v>
      </c>
      <c r="AE3610" s="2">
        <f t="shared" si="390"/>
        <v>0</v>
      </c>
      <c r="AF3610" s="2">
        <v>21.32</v>
      </c>
      <c r="AI3610" s="2">
        <f t="shared" si="391"/>
        <v>0</v>
      </c>
      <c r="AJ3610" s="2">
        <f t="shared" si="388"/>
        <v>25.270000000000003</v>
      </c>
      <c r="AK3610" s="5">
        <f t="shared" si="387"/>
        <v>0.54239107104528872</v>
      </c>
    </row>
    <row r="3611" spans="1:37" x14ac:dyDescent="0.2">
      <c r="A3611" s="2">
        <v>2026</v>
      </c>
      <c r="B3611" s="2">
        <v>4</v>
      </c>
      <c r="C3611" s="2" t="s">
        <v>913</v>
      </c>
      <c r="L3611" s="2" t="s">
        <v>40</v>
      </c>
      <c r="N3611" s="2" t="s">
        <v>2836</v>
      </c>
      <c r="O3611" s="2" t="s">
        <v>115</v>
      </c>
      <c r="P3611" s="2" t="s">
        <v>2837</v>
      </c>
      <c r="Q3611" s="2" t="s">
        <v>2838</v>
      </c>
      <c r="R3611" s="2">
        <v>1</v>
      </c>
      <c r="S3611" s="2">
        <v>41.34</v>
      </c>
      <c r="T3611" s="2">
        <v>9.5082000000000004</v>
      </c>
      <c r="U3611" s="2">
        <v>50.848200000000013</v>
      </c>
      <c r="V3611" s="2">
        <v>19.5167</v>
      </c>
      <c r="W3611" s="5">
        <f t="shared" si="389"/>
        <v>0.52789791969037259</v>
      </c>
      <c r="Y3611" s="2" t="s">
        <v>118</v>
      </c>
      <c r="Z3611" s="2" t="s">
        <v>119</v>
      </c>
      <c r="AA3611" s="2" t="s">
        <v>120</v>
      </c>
      <c r="AB3611" s="2" t="s">
        <v>115</v>
      </c>
      <c r="AE3611" s="2">
        <f t="shared" si="390"/>
        <v>0</v>
      </c>
      <c r="AF3611" s="2">
        <v>19.5167</v>
      </c>
      <c r="AI3611" s="2">
        <f t="shared" si="391"/>
        <v>0</v>
      </c>
      <c r="AJ3611" s="2">
        <f t="shared" si="388"/>
        <v>21.823300000000003</v>
      </c>
      <c r="AK3611" s="5">
        <f t="shared" si="387"/>
        <v>0.52789791969037259</v>
      </c>
    </row>
    <row r="3612" spans="1:37" x14ac:dyDescent="0.2">
      <c r="A3612" s="2">
        <v>2026</v>
      </c>
      <c r="B3612" s="2">
        <v>4</v>
      </c>
      <c r="C3612" s="2" t="s">
        <v>649</v>
      </c>
      <c r="D3612" s="2" t="s">
        <v>38</v>
      </c>
      <c r="E3612" s="2" t="s">
        <v>39</v>
      </c>
      <c r="F3612" s="2">
        <v>509056946</v>
      </c>
      <c r="G3612" s="2" t="s">
        <v>110</v>
      </c>
      <c r="H3612" s="2" t="s">
        <v>650</v>
      </c>
      <c r="I3612" s="2" t="s">
        <v>651</v>
      </c>
      <c r="J3612" s="2">
        <v>964495536</v>
      </c>
      <c r="K3612" s="2" t="s">
        <v>113</v>
      </c>
      <c r="L3612" s="2" t="s">
        <v>40</v>
      </c>
      <c r="N3612" s="2" t="s">
        <v>2839</v>
      </c>
      <c r="O3612" s="2" t="s">
        <v>115</v>
      </c>
      <c r="P3612" s="2" t="s">
        <v>986</v>
      </c>
      <c r="Q3612" s="2" t="s">
        <v>987</v>
      </c>
      <c r="R3612" s="2">
        <v>-1</v>
      </c>
      <c r="S3612" s="2">
        <v>-83.46</v>
      </c>
      <c r="T3612" s="2">
        <v>-19.195799999999998</v>
      </c>
      <c r="U3612" s="2">
        <v>-102.6558</v>
      </c>
      <c r="W3612" s="5">
        <f>SIGN(S3612)*((ABS(S3612)-V3612)/ABS(S3612))</f>
        <v>-1</v>
      </c>
      <c r="Y3612" s="2" t="s">
        <v>118</v>
      </c>
      <c r="Z3612" s="2" t="s">
        <v>119</v>
      </c>
      <c r="AE3612" s="2">
        <f t="shared" si="390"/>
        <v>0</v>
      </c>
      <c r="AI3612" s="2">
        <f t="shared" si="391"/>
        <v>0</v>
      </c>
      <c r="AJ3612" s="2">
        <f t="shared" si="388"/>
        <v>-83.46</v>
      </c>
      <c r="AK3612" s="5">
        <f t="shared" si="387"/>
        <v>1</v>
      </c>
    </row>
    <row r="3613" spans="1:37" x14ac:dyDescent="0.2">
      <c r="A3613" s="2">
        <v>2026</v>
      </c>
      <c r="B3613" s="2">
        <v>4</v>
      </c>
      <c r="C3613" s="2" t="s">
        <v>712</v>
      </c>
      <c r="D3613" s="2" t="s">
        <v>184</v>
      </c>
      <c r="F3613" s="2">
        <v>500038996</v>
      </c>
      <c r="G3613" s="2" t="s">
        <v>110</v>
      </c>
      <c r="H3613" s="2" t="s">
        <v>713</v>
      </c>
      <c r="I3613" s="2" t="s">
        <v>714</v>
      </c>
      <c r="J3613" s="2">
        <v>913640179</v>
      </c>
      <c r="K3613" s="2" t="s">
        <v>134</v>
      </c>
      <c r="L3613" s="2" t="s">
        <v>110</v>
      </c>
      <c r="O3613" s="2" t="s">
        <v>115</v>
      </c>
      <c r="P3613" s="2" t="s">
        <v>1342</v>
      </c>
      <c r="Q3613" s="2" t="s">
        <v>1343</v>
      </c>
      <c r="R3613" s="2">
        <v>2</v>
      </c>
      <c r="S3613" s="2">
        <v>140.24</v>
      </c>
      <c r="T3613" s="2">
        <v>32.255200000000002</v>
      </c>
      <c r="U3613" s="2">
        <v>172.49520000000001</v>
      </c>
      <c r="W3613" s="5">
        <f t="shared" ref="W3613:W3635" si="392">(S3613-V3613)/S3613</f>
        <v>1</v>
      </c>
      <c r="Y3613" s="2" t="s">
        <v>118</v>
      </c>
      <c r="AE3613" s="2">
        <f t="shared" si="390"/>
        <v>0</v>
      </c>
      <c r="AI3613" s="2">
        <f t="shared" si="391"/>
        <v>0</v>
      </c>
      <c r="AJ3613" s="2">
        <f t="shared" si="388"/>
        <v>140.24</v>
      </c>
      <c r="AK3613" s="5">
        <f t="shared" si="387"/>
        <v>1</v>
      </c>
    </row>
    <row r="3614" spans="1:37" x14ac:dyDescent="0.2">
      <c r="A3614" s="2">
        <v>2026</v>
      </c>
      <c r="B3614" s="2">
        <v>4</v>
      </c>
      <c r="C3614" s="2" t="s">
        <v>1450</v>
      </c>
      <c r="O3614" s="2" t="s">
        <v>115</v>
      </c>
      <c r="P3614" s="2" t="s">
        <v>1921</v>
      </c>
      <c r="Q3614" s="2" t="s">
        <v>1922</v>
      </c>
      <c r="R3614" s="2">
        <v>1</v>
      </c>
      <c r="S3614" s="2">
        <v>1031.94</v>
      </c>
      <c r="T3614" s="2">
        <v>237.34620000000001</v>
      </c>
      <c r="U3614" s="2">
        <v>1269.2862</v>
      </c>
      <c r="W3614" s="5">
        <f t="shared" si="392"/>
        <v>1</v>
      </c>
      <c r="Y3614" s="2" t="s">
        <v>118</v>
      </c>
      <c r="AE3614" s="2">
        <f t="shared" si="390"/>
        <v>0</v>
      </c>
      <c r="AI3614" s="2">
        <f t="shared" si="391"/>
        <v>0</v>
      </c>
      <c r="AJ3614" s="2">
        <f t="shared" si="388"/>
        <v>1031.94</v>
      </c>
      <c r="AK3614" s="5">
        <f t="shared" si="387"/>
        <v>1</v>
      </c>
    </row>
    <row r="3615" spans="1:37" x14ac:dyDescent="0.2">
      <c r="A3615" s="2">
        <v>2026</v>
      </c>
      <c r="B3615" s="2">
        <v>4</v>
      </c>
      <c r="C3615" s="2" t="s">
        <v>455</v>
      </c>
      <c r="D3615" s="2" t="s">
        <v>109</v>
      </c>
      <c r="E3615" s="2" t="s">
        <v>39</v>
      </c>
      <c r="F3615" s="2">
        <v>506085686</v>
      </c>
      <c r="G3615" s="2" t="s">
        <v>40</v>
      </c>
      <c r="H3615" s="2" t="s">
        <v>456</v>
      </c>
      <c r="I3615" s="2" t="s">
        <v>457</v>
      </c>
      <c r="J3615" s="2">
        <v>917241919</v>
      </c>
      <c r="K3615" s="2" t="s">
        <v>400</v>
      </c>
      <c r="O3615" s="2" t="s">
        <v>115</v>
      </c>
      <c r="P3615" s="2" t="s">
        <v>2524</v>
      </c>
      <c r="Q3615" s="2" t="s">
        <v>2525</v>
      </c>
      <c r="R3615" s="2">
        <v>1</v>
      </c>
      <c r="S3615" s="2">
        <v>1594.72</v>
      </c>
      <c r="T3615" s="2">
        <v>366.78559999999999</v>
      </c>
      <c r="U3615" s="2">
        <v>1961.5056</v>
      </c>
      <c r="W3615" s="5">
        <f t="shared" si="392"/>
        <v>1</v>
      </c>
      <c r="Y3615" s="2" t="s">
        <v>118</v>
      </c>
      <c r="AE3615" s="2">
        <f t="shared" si="390"/>
        <v>0</v>
      </c>
      <c r="AI3615" s="2">
        <f t="shared" si="391"/>
        <v>0</v>
      </c>
      <c r="AJ3615" s="2">
        <f t="shared" si="388"/>
        <v>1594.72</v>
      </c>
      <c r="AK3615" s="5">
        <f t="shared" si="387"/>
        <v>1</v>
      </c>
    </row>
    <row r="3616" spans="1:37" x14ac:dyDescent="0.2">
      <c r="A3616" s="2">
        <v>2026</v>
      </c>
      <c r="B3616" s="2">
        <v>4</v>
      </c>
      <c r="C3616" s="2" t="s">
        <v>1171</v>
      </c>
      <c r="D3616" s="2" t="s">
        <v>758</v>
      </c>
      <c r="F3616" s="2">
        <v>508199280</v>
      </c>
      <c r="G3616" s="2" t="s">
        <v>40</v>
      </c>
      <c r="H3616" s="2" t="s">
        <v>1172</v>
      </c>
      <c r="K3616" s="2" t="s">
        <v>294</v>
      </c>
      <c r="O3616" s="2" t="s">
        <v>115</v>
      </c>
      <c r="P3616" s="2" t="s">
        <v>416</v>
      </c>
      <c r="Q3616" s="2" t="s">
        <v>417</v>
      </c>
      <c r="R3616" s="2">
        <v>1</v>
      </c>
      <c r="S3616" s="2">
        <v>15990</v>
      </c>
      <c r="T3616" s="2">
        <v>3677.7</v>
      </c>
      <c r="U3616" s="2">
        <v>19667.7</v>
      </c>
      <c r="V3616" s="2">
        <v>10669.4</v>
      </c>
      <c r="W3616" s="5">
        <f t="shared" si="392"/>
        <v>0.33274546591619764</v>
      </c>
      <c r="Y3616" s="2" t="s">
        <v>105</v>
      </c>
      <c r="Z3616" s="2" t="s">
        <v>418</v>
      </c>
      <c r="AA3616" s="2" t="s">
        <v>152</v>
      </c>
      <c r="AB3616" s="2" t="s">
        <v>115</v>
      </c>
      <c r="AE3616" s="2">
        <f t="shared" si="390"/>
        <v>0</v>
      </c>
      <c r="AI3616" s="2">
        <f t="shared" si="391"/>
        <v>0</v>
      </c>
      <c r="AJ3616" s="2">
        <f t="shared" si="388"/>
        <v>5320.6</v>
      </c>
      <c r="AK3616" s="5">
        <f t="shared" si="387"/>
        <v>0.33274546591619764</v>
      </c>
    </row>
    <row r="3617" spans="1:37" x14ac:dyDescent="0.2">
      <c r="A3617" s="2">
        <v>2026</v>
      </c>
      <c r="B3617" s="2">
        <v>4</v>
      </c>
      <c r="C3617" s="2" t="s">
        <v>3289</v>
      </c>
      <c r="D3617" s="2" t="s">
        <v>38</v>
      </c>
      <c r="F3617" s="2">
        <v>500844321</v>
      </c>
      <c r="G3617" s="2" t="s">
        <v>40</v>
      </c>
      <c r="H3617" s="2" t="s">
        <v>340</v>
      </c>
      <c r="I3617" s="2" t="s">
        <v>2668</v>
      </c>
      <c r="K3617" s="2" t="s">
        <v>400</v>
      </c>
      <c r="L3617" s="2" t="s">
        <v>40</v>
      </c>
      <c r="N3617" s="2" t="s">
        <v>3290</v>
      </c>
      <c r="O3617" s="2" t="s">
        <v>115</v>
      </c>
      <c r="P3617" s="2" t="s">
        <v>416</v>
      </c>
      <c r="Q3617" s="2" t="s">
        <v>417</v>
      </c>
      <c r="R3617" s="2">
        <v>1</v>
      </c>
      <c r="S3617" s="2">
        <v>14990</v>
      </c>
      <c r="T3617" s="2">
        <f>S3617*23%</f>
        <v>3447.7000000000003</v>
      </c>
      <c r="U3617" s="2">
        <f>S3617+T3617</f>
        <v>18437.7</v>
      </c>
      <c r="V3617" s="2">
        <f>10699.41+285.74</f>
        <v>10985.15</v>
      </c>
      <c r="W3617" s="5">
        <f t="shared" si="392"/>
        <v>0.26716811207471652</v>
      </c>
      <c r="Y3617" s="2" t="s">
        <v>105</v>
      </c>
      <c r="Z3617" s="2" t="s">
        <v>418</v>
      </c>
      <c r="AA3617" s="2" t="s">
        <v>152</v>
      </c>
      <c r="AB3617" s="2" t="s">
        <v>115</v>
      </c>
      <c r="AE3617" s="2">
        <f t="shared" si="390"/>
        <v>0</v>
      </c>
      <c r="AI3617" s="2">
        <f t="shared" si="391"/>
        <v>0</v>
      </c>
      <c r="AJ3617" s="2">
        <f t="shared" si="388"/>
        <v>4004.8500000000004</v>
      </c>
      <c r="AK3617" s="5">
        <f t="shared" si="387"/>
        <v>0.26716811207471652</v>
      </c>
    </row>
    <row r="3618" spans="1:37" x14ac:dyDescent="0.2">
      <c r="A3618" s="2">
        <v>2026</v>
      </c>
      <c r="B3618" s="2">
        <v>4</v>
      </c>
      <c r="C3618" s="2" t="s">
        <v>1171</v>
      </c>
      <c r="D3618" s="2" t="s">
        <v>758</v>
      </c>
      <c r="F3618" s="2">
        <v>508199280</v>
      </c>
      <c r="G3618" s="2" t="s">
        <v>40</v>
      </c>
      <c r="H3618" s="2" t="s">
        <v>1172</v>
      </c>
      <c r="K3618" s="2" t="s">
        <v>294</v>
      </c>
      <c r="O3618" s="2" t="s">
        <v>115</v>
      </c>
      <c r="P3618" s="2" t="s">
        <v>963</v>
      </c>
      <c r="Q3618" s="2" t="s">
        <v>964</v>
      </c>
      <c r="R3618" s="2">
        <v>1</v>
      </c>
      <c r="S3618" s="2">
        <v>8930</v>
      </c>
      <c r="T3618" s="2">
        <v>2053.9</v>
      </c>
      <c r="U3618" s="2">
        <v>10983.9</v>
      </c>
      <c r="V3618" s="2">
        <v>6468.73</v>
      </c>
      <c r="W3618" s="5">
        <f t="shared" si="392"/>
        <v>0.27561814109742444</v>
      </c>
      <c r="Y3618" s="2" t="s">
        <v>105</v>
      </c>
      <c r="Z3618" s="2" t="s">
        <v>621</v>
      </c>
      <c r="AA3618" s="2" t="s">
        <v>965</v>
      </c>
      <c r="AB3618" s="2" t="s">
        <v>115</v>
      </c>
      <c r="AE3618" s="2">
        <f t="shared" si="390"/>
        <v>0</v>
      </c>
      <c r="AF3618" s="2">
        <f>6193.4+275.33</f>
        <v>6468.73</v>
      </c>
      <c r="AI3618" s="2">
        <f t="shared" si="391"/>
        <v>0</v>
      </c>
      <c r="AJ3618" s="2">
        <f t="shared" si="388"/>
        <v>2461.2700000000004</v>
      </c>
      <c r="AK3618" s="5">
        <f t="shared" si="387"/>
        <v>0.27561814109742444</v>
      </c>
    </row>
    <row r="3619" spans="1:37" x14ac:dyDescent="0.2">
      <c r="A3619" s="2">
        <v>2026</v>
      </c>
      <c r="B3619" s="2">
        <v>4</v>
      </c>
      <c r="C3619" s="2" t="s">
        <v>473</v>
      </c>
      <c r="D3619" s="2" t="s">
        <v>38</v>
      </c>
      <c r="E3619" s="2" t="s">
        <v>474</v>
      </c>
      <c r="F3619" s="2">
        <v>513626930</v>
      </c>
      <c r="G3619" s="2" t="s">
        <v>40</v>
      </c>
      <c r="H3619" s="2" t="s">
        <v>340</v>
      </c>
      <c r="I3619" s="2" t="s">
        <v>475</v>
      </c>
      <c r="K3619" s="2" t="s">
        <v>340</v>
      </c>
      <c r="L3619" s="2" t="s">
        <v>40</v>
      </c>
      <c r="N3619" s="2" t="s">
        <v>2840</v>
      </c>
      <c r="O3619" s="2" t="s">
        <v>115</v>
      </c>
      <c r="P3619" s="2" t="s">
        <v>963</v>
      </c>
      <c r="Q3619" s="2" t="s">
        <v>964</v>
      </c>
      <c r="R3619" s="2">
        <v>1</v>
      </c>
      <c r="S3619" s="2">
        <v>8930</v>
      </c>
      <c r="T3619" s="2">
        <v>2053.9</v>
      </c>
      <c r="U3619" s="2">
        <v>10983.9</v>
      </c>
      <c r="V3619" s="2">
        <v>6468.73</v>
      </c>
      <c r="W3619" s="5">
        <f t="shared" si="392"/>
        <v>0.27561814109742444</v>
      </c>
      <c r="Y3619" s="2" t="s">
        <v>105</v>
      </c>
      <c r="Z3619" s="2" t="s">
        <v>621</v>
      </c>
      <c r="AA3619" s="2" t="s">
        <v>965</v>
      </c>
      <c r="AB3619" s="2" t="s">
        <v>115</v>
      </c>
      <c r="AE3619" s="2">
        <f t="shared" si="390"/>
        <v>0</v>
      </c>
      <c r="AF3619" s="2">
        <v>6468.73</v>
      </c>
      <c r="AI3619" s="2">
        <f t="shared" si="391"/>
        <v>0</v>
      </c>
      <c r="AJ3619" s="2">
        <f t="shared" si="388"/>
        <v>2461.2700000000004</v>
      </c>
      <c r="AK3619" s="5">
        <f t="shared" si="387"/>
        <v>0.27561814109742444</v>
      </c>
    </row>
    <row r="3620" spans="1:37" x14ac:dyDescent="0.2">
      <c r="A3620" s="2">
        <v>2026</v>
      </c>
      <c r="B3620" s="2">
        <v>4</v>
      </c>
      <c r="C3620" s="2" t="s">
        <v>1171</v>
      </c>
      <c r="D3620" s="2" t="s">
        <v>758</v>
      </c>
      <c r="F3620" s="2">
        <v>508199280</v>
      </c>
      <c r="G3620" s="2" t="s">
        <v>40</v>
      </c>
      <c r="H3620" s="2" t="s">
        <v>1172</v>
      </c>
      <c r="K3620" s="2" t="s">
        <v>294</v>
      </c>
      <c r="O3620" s="2" t="s">
        <v>115</v>
      </c>
      <c r="P3620" s="2" t="s">
        <v>1594</v>
      </c>
      <c r="Q3620" s="2" t="s">
        <v>1595</v>
      </c>
      <c r="R3620" s="2">
        <v>1</v>
      </c>
      <c r="S3620" s="2">
        <v>7340</v>
      </c>
      <c r="T3620" s="2">
        <v>1688.2</v>
      </c>
      <c r="U3620" s="2">
        <v>9028.2000000000007</v>
      </c>
      <c r="V3620" s="2">
        <v>5064.2299999999996</v>
      </c>
      <c r="W3620" s="5">
        <f t="shared" si="392"/>
        <v>0.31005040871934608</v>
      </c>
      <c r="Y3620" s="2" t="s">
        <v>105</v>
      </c>
      <c r="Z3620" s="2" t="s">
        <v>151</v>
      </c>
      <c r="AA3620" s="2" t="s">
        <v>152</v>
      </c>
      <c r="AB3620" s="2" t="s">
        <v>115</v>
      </c>
      <c r="AE3620" s="2">
        <f t="shared" si="390"/>
        <v>0</v>
      </c>
      <c r="AF3620" s="2">
        <f>4893.23+171</f>
        <v>5064.2299999999996</v>
      </c>
      <c r="AI3620" s="2">
        <f t="shared" si="391"/>
        <v>0</v>
      </c>
      <c r="AJ3620" s="2">
        <f t="shared" si="388"/>
        <v>2275.7700000000004</v>
      </c>
      <c r="AK3620" s="5">
        <f t="shared" si="387"/>
        <v>0.31005040871934608</v>
      </c>
    </row>
    <row r="3621" spans="1:37" x14ac:dyDescent="0.2">
      <c r="A3621" s="2">
        <v>2026</v>
      </c>
      <c r="B3621" s="2">
        <v>4</v>
      </c>
      <c r="C3621" s="2" t="s">
        <v>466</v>
      </c>
      <c r="D3621" s="2" t="s">
        <v>109</v>
      </c>
      <c r="E3621" s="2" t="s">
        <v>39</v>
      </c>
      <c r="F3621" s="2">
        <v>506531031</v>
      </c>
      <c r="G3621" s="2" t="s">
        <v>110</v>
      </c>
      <c r="H3621" s="2" t="s">
        <v>467</v>
      </c>
      <c r="I3621" s="2" t="s">
        <v>468</v>
      </c>
      <c r="K3621" s="2" t="s">
        <v>113</v>
      </c>
      <c r="N3621" s="2" t="s">
        <v>2841</v>
      </c>
      <c r="O3621" s="2" t="s">
        <v>115</v>
      </c>
      <c r="P3621" s="2" t="s">
        <v>1594</v>
      </c>
      <c r="Q3621" s="2" t="s">
        <v>1595</v>
      </c>
      <c r="R3621" s="2">
        <v>1</v>
      </c>
      <c r="S3621" s="2">
        <v>6990</v>
      </c>
      <c r="T3621" s="2">
        <v>1607.7</v>
      </c>
      <c r="U3621" s="2">
        <v>8597.7000000000007</v>
      </c>
      <c r="V3621" s="2">
        <v>5064.2299999999996</v>
      </c>
      <c r="W3621" s="5">
        <f t="shared" si="392"/>
        <v>0.27550357653791135</v>
      </c>
      <c r="Y3621" s="2" t="s">
        <v>105</v>
      </c>
      <c r="Z3621" s="2" t="s">
        <v>151</v>
      </c>
      <c r="AA3621" s="2" t="s">
        <v>152</v>
      </c>
      <c r="AB3621" s="2" t="s">
        <v>115</v>
      </c>
      <c r="AE3621" s="2">
        <f t="shared" si="390"/>
        <v>0</v>
      </c>
      <c r="AF3621" s="2">
        <f>4893.23+171</f>
        <v>5064.2299999999996</v>
      </c>
      <c r="AI3621" s="2">
        <f t="shared" si="391"/>
        <v>0</v>
      </c>
      <c r="AJ3621" s="2">
        <f t="shared" si="388"/>
        <v>1925.7700000000004</v>
      </c>
      <c r="AK3621" s="5">
        <f t="shared" si="387"/>
        <v>0.27550357653791135</v>
      </c>
    </row>
    <row r="3622" spans="1:37" x14ac:dyDescent="0.2">
      <c r="A3622" s="2">
        <v>2026</v>
      </c>
      <c r="B3622" s="2">
        <v>4</v>
      </c>
      <c r="C3622" s="2" t="s">
        <v>2069</v>
      </c>
      <c r="D3622" s="2" t="s">
        <v>109</v>
      </c>
      <c r="E3622" s="2" t="s">
        <v>39</v>
      </c>
      <c r="F3622" s="2">
        <v>514960337</v>
      </c>
      <c r="G3622" s="2" t="s">
        <v>291</v>
      </c>
      <c r="H3622" s="2" t="s">
        <v>2801</v>
      </c>
      <c r="I3622" s="2" t="s">
        <v>2842</v>
      </c>
      <c r="J3622" s="2">
        <v>914732950</v>
      </c>
      <c r="K3622" s="2" t="s">
        <v>484</v>
      </c>
      <c r="L3622" s="2" t="s">
        <v>40</v>
      </c>
      <c r="N3622" s="2" t="s">
        <v>2843</v>
      </c>
      <c r="O3622" s="2" t="s">
        <v>1620</v>
      </c>
      <c r="P3622" s="2" t="s">
        <v>1618</v>
      </c>
      <c r="Q3622" s="2" t="s">
        <v>1619</v>
      </c>
      <c r="R3622" s="2">
        <v>1</v>
      </c>
      <c r="S3622" s="2">
        <v>68.86</v>
      </c>
      <c r="T3622" s="2">
        <v>15.8378</v>
      </c>
      <c r="U3622" s="2">
        <v>84.697800000000001</v>
      </c>
      <c r="V3622" s="2">
        <v>10.15</v>
      </c>
      <c r="W3622" s="5">
        <f t="shared" si="392"/>
        <v>0.8525994772001162</v>
      </c>
      <c r="Y3622" s="2" t="s">
        <v>118</v>
      </c>
      <c r="Z3622" s="2" t="s">
        <v>119</v>
      </c>
      <c r="AA3622" s="2" t="s">
        <v>120</v>
      </c>
      <c r="AB3622" s="2" t="s">
        <v>1620</v>
      </c>
      <c r="AE3622" s="2">
        <f t="shared" si="390"/>
        <v>0</v>
      </c>
      <c r="AF3622" s="2">
        <v>10.15</v>
      </c>
      <c r="AI3622" s="2">
        <f t="shared" si="391"/>
        <v>0</v>
      </c>
      <c r="AJ3622" s="2">
        <f t="shared" si="388"/>
        <v>58.71</v>
      </c>
      <c r="AK3622" s="5">
        <f t="shared" si="387"/>
        <v>0.8525994772001162</v>
      </c>
    </row>
    <row r="3623" spans="1:37" x14ac:dyDescent="0.2">
      <c r="A3623" s="2">
        <v>2026</v>
      </c>
      <c r="B3623" s="2">
        <v>4</v>
      </c>
      <c r="C3623" s="2" t="s">
        <v>455</v>
      </c>
      <c r="D3623" s="2" t="s">
        <v>109</v>
      </c>
      <c r="E3623" s="2" t="s">
        <v>39</v>
      </c>
      <c r="F3623" s="2">
        <v>506085686</v>
      </c>
      <c r="G3623" s="2" t="s">
        <v>40</v>
      </c>
      <c r="H3623" s="2" t="s">
        <v>456</v>
      </c>
      <c r="I3623" s="2" t="s">
        <v>457</v>
      </c>
      <c r="J3623" s="2">
        <v>917241919</v>
      </c>
      <c r="K3623" s="2" t="s">
        <v>400</v>
      </c>
      <c r="O3623" s="2" t="s">
        <v>1624</v>
      </c>
      <c r="P3623" s="2" t="s">
        <v>2844</v>
      </c>
      <c r="Q3623" s="2" t="s">
        <v>2845</v>
      </c>
      <c r="R3623" s="2">
        <v>2</v>
      </c>
      <c r="S3623" s="2">
        <v>9215</v>
      </c>
      <c r="T3623" s="2">
        <v>2119.4499999999998</v>
      </c>
      <c r="U3623" s="2">
        <v>11334.45</v>
      </c>
      <c r="W3623" s="5">
        <f t="shared" si="392"/>
        <v>1</v>
      </c>
      <c r="Y3623" s="2" t="s">
        <v>105</v>
      </c>
      <c r="Z3623" s="2" t="s">
        <v>265</v>
      </c>
      <c r="AA3623" s="2" t="s">
        <v>1104</v>
      </c>
      <c r="AB3623" s="2" t="s">
        <v>1624</v>
      </c>
      <c r="AE3623" s="2">
        <f t="shared" si="390"/>
        <v>0</v>
      </c>
      <c r="AI3623" s="2">
        <f t="shared" si="391"/>
        <v>0</v>
      </c>
      <c r="AJ3623" s="2">
        <f t="shared" si="388"/>
        <v>9215</v>
      </c>
      <c r="AK3623" s="5">
        <f t="shared" si="387"/>
        <v>1</v>
      </c>
    </row>
    <row r="3624" spans="1:37" x14ac:dyDescent="0.2">
      <c r="A3624" s="2">
        <v>2026</v>
      </c>
      <c r="B3624" s="2">
        <v>4</v>
      </c>
      <c r="C3624" s="2" t="s">
        <v>1637</v>
      </c>
      <c r="D3624" s="2" t="s">
        <v>109</v>
      </c>
      <c r="E3624" s="2" t="s">
        <v>39</v>
      </c>
      <c r="F3624" s="2">
        <v>505915774</v>
      </c>
      <c r="G3624" s="2" t="s">
        <v>110</v>
      </c>
      <c r="H3624" s="2" t="s">
        <v>2846</v>
      </c>
      <c r="I3624" s="2" t="s">
        <v>2847</v>
      </c>
      <c r="K3624" s="2" t="s">
        <v>113</v>
      </c>
      <c r="L3624" s="2" t="s">
        <v>110</v>
      </c>
      <c r="N3624" s="2" t="s">
        <v>2848</v>
      </c>
      <c r="O3624" s="2" t="s">
        <v>283</v>
      </c>
      <c r="P3624" s="2" t="s">
        <v>1214</v>
      </c>
      <c r="Q3624" s="2" t="s">
        <v>1215</v>
      </c>
      <c r="R3624" s="2">
        <v>2</v>
      </c>
      <c r="S3624" s="2">
        <v>57.8</v>
      </c>
      <c r="T3624" s="2">
        <v>13.294</v>
      </c>
      <c r="U3624" s="2">
        <v>71.093999999999994</v>
      </c>
      <c r="V3624" s="2">
        <f>14.34*R3624</f>
        <v>28.68</v>
      </c>
      <c r="W3624" s="5">
        <f t="shared" si="392"/>
        <v>0.50380622837370237</v>
      </c>
      <c r="Y3624" s="2" t="s">
        <v>3256</v>
      </c>
      <c r="Z3624" s="2" t="s">
        <v>72</v>
      </c>
      <c r="AA3624" s="2" t="s">
        <v>120</v>
      </c>
      <c r="AB3624" s="2" t="s">
        <v>120</v>
      </c>
      <c r="AE3624" s="2">
        <f t="shared" si="390"/>
        <v>0</v>
      </c>
      <c r="AF3624" s="2">
        <v>14.34</v>
      </c>
      <c r="AI3624" s="2">
        <f t="shared" si="391"/>
        <v>0</v>
      </c>
      <c r="AJ3624" s="2">
        <f t="shared" si="388"/>
        <v>29.119999999999997</v>
      </c>
      <c r="AK3624" s="5">
        <f t="shared" si="387"/>
        <v>0.50380622837370237</v>
      </c>
    </row>
    <row r="3625" spans="1:37" x14ac:dyDescent="0.2">
      <c r="A3625" s="2">
        <v>2026</v>
      </c>
      <c r="B3625" s="2">
        <v>4</v>
      </c>
      <c r="C3625" s="2" t="s">
        <v>787</v>
      </c>
      <c r="D3625" s="2" t="s">
        <v>38</v>
      </c>
      <c r="E3625" s="2" t="s">
        <v>39</v>
      </c>
      <c r="F3625" s="2">
        <v>510219675</v>
      </c>
      <c r="G3625" s="2" t="s">
        <v>40</v>
      </c>
      <c r="H3625" s="2" t="s">
        <v>788</v>
      </c>
      <c r="I3625" s="2" t="s">
        <v>789</v>
      </c>
      <c r="J3625" s="2">
        <v>917341136</v>
      </c>
      <c r="K3625" s="2" t="s">
        <v>100</v>
      </c>
      <c r="O3625" s="2" t="s">
        <v>283</v>
      </c>
      <c r="P3625" s="2" t="s">
        <v>2849</v>
      </c>
      <c r="Q3625" s="2" t="s">
        <v>2850</v>
      </c>
      <c r="R3625" s="2">
        <v>1</v>
      </c>
      <c r="S3625" s="2">
        <v>11.2</v>
      </c>
      <c r="T3625" s="2">
        <v>2.5760000000000001</v>
      </c>
      <c r="U3625" s="2">
        <v>13.776</v>
      </c>
      <c r="W3625" s="5">
        <f t="shared" si="392"/>
        <v>1</v>
      </c>
      <c r="Y3625" s="2" t="s">
        <v>3256</v>
      </c>
      <c r="Z3625" s="2" t="s">
        <v>583</v>
      </c>
      <c r="AA3625" s="2" t="s">
        <v>120</v>
      </c>
      <c r="AB3625" s="2" t="s">
        <v>1337</v>
      </c>
      <c r="AE3625" s="2">
        <f t="shared" si="390"/>
        <v>0</v>
      </c>
      <c r="AI3625" s="2">
        <f t="shared" si="391"/>
        <v>0</v>
      </c>
      <c r="AJ3625" s="2">
        <f t="shared" si="388"/>
        <v>11.2</v>
      </c>
      <c r="AK3625" s="5">
        <f t="shared" si="387"/>
        <v>1</v>
      </c>
    </row>
    <row r="3626" spans="1:37" x14ac:dyDescent="0.2">
      <c r="A3626" s="2">
        <v>2026</v>
      </c>
      <c r="B3626" s="2">
        <v>4</v>
      </c>
      <c r="C3626" s="2" t="s">
        <v>787</v>
      </c>
      <c r="D3626" s="2" t="s">
        <v>38</v>
      </c>
      <c r="E3626" s="2" t="s">
        <v>39</v>
      </c>
      <c r="F3626" s="2">
        <v>510219675</v>
      </c>
      <c r="G3626" s="2" t="s">
        <v>40</v>
      </c>
      <c r="H3626" s="2" t="s">
        <v>788</v>
      </c>
      <c r="I3626" s="2" t="s">
        <v>789</v>
      </c>
      <c r="J3626" s="2">
        <v>917341136</v>
      </c>
      <c r="K3626" s="2" t="s">
        <v>100</v>
      </c>
      <c r="O3626" s="2" t="s">
        <v>283</v>
      </c>
      <c r="P3626" s="2" t="s">
        <v>2851</v>
      </c>
      <c r="Q3626" s="2" t="s">
        <v>2852</v>
      </c>
      <c r="R3626" s="2">
        <v>1</v>
      </c>
      <c r="S3626" s="2">
        <v>88.8</v>
      </c>
      <c r="T3626" s="2">
        <v>20.423999999999999</v>
      </c>
      <c r="U3626" s="2">
        <v>109.224</v>
      </c>
      <c r="W3626" s="5">
        <f t="shared" si="392"/>
        <v>1</v>
      </c>
      <c r="Y3626" s="2" t="s">
        <v>3256</v>
      </c>
      <c r="Z3626" s="2" t="s">
        <v>583</v>
      </c>
      <c r="AA3626" s="2" t="s">
        <v>120</v>
      </c>
      <c r="AB3626" s="2" t="s">
        <v>1337</v>
      </c>
      <c r="AE3626" s="2">
        <f t="shared" si="390"/>
        <v>0</v>
      </c>
      <c r="AI3626" s="2">
        <f t="shared" si="391"/>
        <v>0</v>
      </c>
      <c r="AJ3626" s="2">
        <f t="shared" si="388"/>
        <v>88.8</v>
      </c>
      <c r="AK3626" s="5">
        <f t="shared" si="387"/>
        <v>1</v>
      </c>
    </row>
    <row r="3627" spans="1:37" x14ac:dyDescent="0.2">
      <c r="A3627" s="2">
        <v>2026</v>
      </c>
      <c r="B3627" s="2">
        <v>4</v>
      </c>
      <c r="C3627" s="2" t="s">
        <v>175</v>
      </c>
      <c r="D3627" s="2" t="s">
        <v>38</v>
      </c>
      <c r="F3627" s="2">
        <v>507685261</v>
      </c>
      <c r="G3627" s="2" t="s">
        <v>41</v>
      </c>
      <c r="H3627" s="2" t="s">
        <v>176</v>
      </c>
      <c r="I3627" s="2" t="s">
        <v>177</v>
      </c>
      <c r="J3627" s="2">
        <v>932748418</v>
      </c>
      <c r="K3627" s="2" t="s">
        <v>178</v>
      </c>
      <c r="L3627" s="2" t="s">
        <v>41</v>
      </c>
      <c r="N3627" s="2" t="s">
        <v>2853</v>
      </c>
      <c r="O3627" s="2" t="s">
        <v>283</v>
      </c>
      <c r="P3627" s="2" t="s">
        <v>1798</v>
      </c>
      <c r="Q3627" s="2" t="s">
        <v>1799</v>
      </c>
      <c r="R3627" s="2">
        <v>1</v>
      </c>
      <c r="S3627" s="2">
        <v>1990</v>
      </c>
      <c r="T3627" s="2">
        <v>457.7</v>
      </c>
      <c r="U3627" s="2">
        <v>2447.6999999999998</v>
      </c>
      <c r="V3627" s="2">
        <v>1458</v>
      </c>
      <c r="W3627" s="5">
        <f t="shared" si="392"/>
        <v>0.26733668341708544</v>
      </c>
      <c r="Y3627" s="2" t="s">
        <v>105</v>
      </c>
      <c r="Z3627" s="2" t="s">
        <v>389</v>
      </c>
      <c r="AA3627" s="2" t="s">
        <v>1340</v>
      </c>
      <c r="AB3627" s="2" t="s">
        <v>1337</v>
      </c>
      <c r="AE3627" s="2">
        <f t="shared" si="390"/>
        <v>0</v>
      </c>
      <c r="AF3627" s="2">
        <v>1458</v>
      </c>
      <c r="AI3627" s="2">
        <f t="shared" si="391"/>
        <v>0</v>
      </c>
      <c r="AJ3627" s="2">
        <f t="shared" si="388"/>
        <v>532</v>
      </c>
      <c r="AK3627" s="5">
        <f t="shared" si="387"/>
        <v>0.26733668341708544</v>
      </c>
    </row>
    <row r="3628" spans="1:37" x14ac:dyDescent="0.2">
      <c r="A3628" s="2">
        <v>2026</v>
      </c>
      <c r="B3628" s="2">
        <v>4</v>
      </c>
      <c r="C3628" s="2" t="s">
        <v>2854</v>
      </c>
      <c r="O3628" s="2" t="s">
        <v>283</v>
      </c>
      <c r="P3628" s="2" t="s">
        <v>1798</v>
      </c>
      <c r="Q3628" s="2" t="s">
        <v>1799</v>
      </c>
      <c r="R3628" s="2">
        <v>1</v>
      </c>
      <c r="S3628" s="2">
        <v>1990</v>
      </c>
      <c r="T3628" s="2">
        <v>457.7</v>
      </c>
      <c r="U3628" s="2">
        <v>2447.6999999999998</v>
      </c>
      <c r="W3628" s="5">
        <f t="shared" si="392"/>
        <v>1</v>
      </c>
      <c r="Y3628" s="2" t="s">
        <v>105</v>
      </c>
      <c r="AE3628" s="2">
        <f t="shared" si="390"/>
        <v>0</v>
      </c>
      <c r="AI3628" s="2">
        <f t="shared" si="391"/>
        <v>0</v>
      </c>
      <c r="AJ3628" s="2">
        <f t="shared" si="388"/>
        <v>1990</v>
      </c>
      <c r="AK3628" s="5">
        <f t="shared" si="387"/>
        <v>1</v>
      </c>
    </row>
    <row r="3629" spans="1:37" x14ac:dyDescent="0.2">
      <c r="A3629" s="2">
        <v>2026</v>
      </c>
      <c r="B3629" s="2">
        <v>4</v>
      </c>
      <c r="C3629" s="2" t="s">
        <v>787</v>
      </c>
      <c r="D3629" s="2" t="s">
        <v>38</v>
      </c>
      <c r="E3629" s="2" t="s">
        <v>39</v>
      </c>
      <c r="F3629" s="2">
        <v>510219675</v>
      </c>
      <c r="G3629" s="2" t="s">
        <v>40</v>
      </c>
      <c r="H3629" s="2" t="s">
        <v>788</v>
      </c>
      <c r="I3629" s="2" t="s">
        <v>789</v>
      </c>
      <c r="J3629" s="2">
        <v>917341136</v>
      </c>
      <c r="K3629" s="2" t="s">
        <v>100</v>
      </c>
      <c r="O3629" s="2" t="s">
        <v>283</v>
      </c>
      <c r="P3629" s="2" t="s">
        <v>1798</v>
      </c>
      <c r="Q3629" s="2" t="s">
        <v>1799</v>
      </c>
      <c r="R3629" s="2">
        <v>1</v>
      </c>
      <c r="S3629" s="2">
        <v>1791</v>
      </c>
      <c r="T3629" s="2">
        <v>411.93</v>
      </c>
      <c r="U3629" s="2">
        <v>2202.9299999999998</v>
      </c>
      <c r="W3629" s="5">
        <f t="shared" si="392"/>
        <v>1</v>
      </c>
      <c r="Y3629" s="2" t="s">
        <v>105</v>
      </c>
      <c r="AE3629" s="2">
        <f t="shared" si="390"/>
        <v>0</v>
      </c>
      <c r="AI3629" s="2">
        <f t="shared" si="391"/>
        <v>0</v>
      </c>
      <c r="AJ3629" s="2">
        <f t="shared" si="388"/>
        <v>1791</v>
      </c>
      <c r="AK3629" s="5">
        <f t="shared" si="387"/>
        <v>1</v>
      </c>
    </row>
    <row r="3630" spans="1:37" x14ac:dyDescent="0.2">
      <c r="A3630" s="2">
        <v>2026</v>
      </c>
      <c r="B3630" s="2">
        <v>4</v>
      </c>
      <c r="C3630" s="2" t="s">
        <v>2774</v>
      </c>
      <c r="D3630" s="2" t="s">
        <v>38</v>
      </c>
      <c r="E3630" s="2" t="s">
        <v>39</v>
      </c>
      <c r="F3630" s="2">
        <v>501938311</v>
      </c>
      <c r="G3630" s="2" t="s">
        <v>110</v>
      </c>
      <c r="H3630" s="2" t="s">
        <v>2775</v>
      </c>
      <c r="I3630" s="2" t="s">
        <v>2776</v>
      </c>
      <c r="J3630" s="2">
        <v>962332957</v>
      </c>
      <c r="K3630" s="2" t="s">
        <v>113</v>
      </c>
      <c r="L3630" s="2" t="s">
        <v>110</v>
      </c>
      <c r="N3630" s="2" t="s">
        <v>2855</v>
      </c>
      <c r="O3630" s="2" t="s">
        <v>283</v>
      </c>
      <c r="P3630" s="2" t="s">
        <v>1798</v>
      </c>
      <c r="Q3630" s="2" t="s">
        <v>1799</v>
      </c>
      <c r="R3630" s="2">
        <v>1</v>
      </c>
      <c r="S3630" s="2">
        <v>1990</v>
      </c>
      <c r="T3630" s="2">
        <v>457.7</v>
      </c>
      <c r="U3630" s="2">
        <v>2447.6999999999998</v>
      </c>
      <c r="V3630" s="2">
        <v>1458</v>
      </c>
      <c r="W3630" s="5">
        <f t="shared" si="392"/>
        <v>0.26733668341708544</v>
      </c>
      <c r="Y3630" s="2" t="s">
        <v>105</v>
      </c>
      <c r="Z3630" s="2" t="s">
        <v>389</v>
      </c>
      <c r="AA3630" s="2" t="s">
        <v>1340</v>
      </c>
      <c r="AB3630" s="2" t="s">
        <v>1337</v>
      </c>
      <c r="AE3630" s="2">
        <f t="shared" si="390"/>
        <v>0</v>
      </c>
      <c r="AF3630" s="2">
        <v>1458</v>
      </c>
      <c r="AI3630" s="2">
        <f t="shared" si="391"/>
        <v>0</v>
      </c>
      <c r="AJ3630" s="2">
        <f t="shared" si="388"/>
        <v>532</v>
      </c>
      <c r="AK3630" s="5">
        <f t="shared" si="387"/>
        <v>0.26733668341708544</v>
      </c>
    </row>
    <row r="3631" spans="1:37" x14ac:dyDescent="0.2">
      <c r="A3631" s="2">
        <v>2026</v>
      </c>
      <c r="B3631" s="2">
        <v>4</v>
      </c>
      <c r="C3631" s="2" t="s">
        <v>175</v>
      </c>
      <c r="D3631" s="2" t="s">
        <v>38</v>
      </c>
      <c r="F3631" s="2">
        <v>507685261</v>
      </c>
      <c r="G3631" s="2" t="s">
        <v>41</v>
      </c>
      <c r="H3631" s="2" t="s">
        <v>176</v>
      </c>
      <c r="I3631" s="2" t="s">
        <v>177</v>
      </c>
      <c r="J3631" s="2">
        <v>932748418</v>
      </c>
      <c r="K3631" s="2" t="s">
        <v>178</v>
      </c>
      <c r="L3631" s="2" t="s">
        <v>41</v>
      </c>
      <c r="N3631" s="2" t="s">
        <v>2853</v>
      </c>
      <c r="O3631" s="2" t="s">
        <v>283</v>
      </c>
      <c r="P3631" s="2" t="s">
        <v>1338</v>
      </c>
      <c r="Q3631" s="2" t="s">
        <v>1339</v>
      </c>
      <c r="R3631" s="2">
        <v>1</v>
      </c>
      <c r="S3631" s="2">
        <v>1990</v>
      </c>
      <c r="T3631" s="2">
        <v>457.7</v>
      </c>
      <c r="U3631" s="2">
        <v>2447.6999999999998</v>
      </c>
      <c r="V3631" s="2">
        <v>1578</v>
      </c>
      <c r="W3631" s="5">
        <f t="shared" si="392"/>
        <v>0.20703517587939699</v>
      </c>
      <c r="Y3631" s="2" t="s">
        <v>105</v>
      </c>
      <c r="Z3631" s="2" t="s">
        <v>389</v>
      </c>
      <c r="AA3631" s="2" t="s">
        <v>1340</v>
      </c>
      <c r="AB3631" s="2" t="s">
        <v>1337</v>
      </c>
      <c r="AE3631" s="2">
        <f t="shared" si="390"/>
        <v>0</v>
      </c>
      <c r="AF3631" s="2">
        <v>1578</v>
      </c>
      <c r="AI3631" s="2">
        <f t="shared" si="391"/>
        <v>0</v>
      </c>
      <c r="AJ3631" s="2">
        <f t="shared" si="388"/>
        <v>412</v>
      </c>
      <c r="AK3631" s="5">
        <f t="shared" ref="AK3631:AK3699" si="393">(S3631-V3631)/S3631</f>
        <v>0.20703517587939699</v>
      </c>
    </row>
    <row r="3632" spans="1:37" x14ac:dyDescent="0.2">
      <c r="A3632" s="2">
        <v>2026</v>
      </c>
      <c r="B3632" s="2">
        <v>4</v>
      </c>
      <c r="C3632" s="2" t="s">
        <v>787</v>
      </c>
      <c r="D3632" s="2" t="s">
        <v>38</v>
      </c>
      <c r="E3632" s="2" t="s">
        <v>39</v>
      </c>
      <c r="F3632" s="2">
        <v>510219675</v>
      </c>
      <c r="G3632" s="2" t="s">
        <v>40</v>
      </c>
      <c r="H3632" s="2" t="s">
        <v>788</v>
      </c>
      <c r="I3632" s="2" t="s">
        <v>789</v>
      </c>
      <c r="J3632" s="2">
        <v>917341136</v>
      </c>
      <c r="K3632" s="2" t="s">
        <v>100</v>
      </c>
      <c r="O3632" s="2" t="s">
        <v>283</v>
      </c>
      <c r="P3632" s="2" t="s">
        <v>1338</v>
      </c>
      <c r="Q3632" s="2" t="s">
        <v>1339</v>
      </c>
      <c r="R3632" s="2">
        <v>1</v>
      </c>
      <c r="S3632" s="2">
        <v>1935</v>
      </c>
      <c r="T3632" s="2">
        <v>445.05</v>
      </c>
      <c r="U3632" s="2">
        <v>2380.0500000000002</v>
      </c>
      <c r="W3632" s="5">
        <f t="shared" si="392"/>
        <v>1</v>
      </c>
      <c r="Y3632" s="2" t="s">
        <v>105</v>
      </c>
      <c r="AE3632" s="2">
        <f t="shared" si="390"/>
        <v>0</v>
      </c>
      <c r="AI3632" s="2">
        <f t="shared" si="391"/>
        <v>0</v>
      </c>
      <c r="AJ3632" s="2">
        <f t="shared" si="388"/>
        <v>1935</v>
      </c>
      <c r="AK3632" s="5">
        <f t="shared" si="393"/>
        <v>1</v>
      </c>
    </row>
    <row r="3633" spans="1:37" x14ac:dyDescent="0.2">
      <c r="A3633" s="2">
        <v>2026</v>
      </c>
      <c r="B3633" s="2">
        <v>4</v>
      </c>
      <c r="C3633" s="2" t="s">
        <v>1589</v>
      </c>
      <c r="O3633" s="2" t="s">
        <v>283</v>
      </c>
      <c r="P3633" s="2" t="s">
        <v>1294</v>
      </c>
      <c r="Q3633" s="2" t="s">
        <v>1295</v>
      </c>
      <c r="R3633" s="2">
        <v>1</v>
      </c>
      <c r="S3633" s="2">
        <v>250</v>
      </c>
      <c r="T3633" s="2">
        <v>57.5</v>
      </c>
      <c r="U3633" s="2">
        <v>307.5</v>
      </c>
      <c r="W3633" s="5">
        <f t="shared" si="392"/>
        <v>1</v>
      </c>
      <c r="Y3633" s="2" t="s">
        <v>105</v>
      </c>
      <c r="AE3633" s="2">
        <f t="shared" si="390"/>
        <v>0</v>
      </c>
      <c r="AI3633" s="2">
        <f t="shared" si="391"/>
        <v>0</v>
      </c>
      <c r="AJ3633" s="2">
        <f t="shared" si="388"/>
        <v>250</v>
      </c>
      <c r="AK3633" s="5">
        <f t="shared" si="393"/>
        <v>1</v>
      </c>
    </row>
    <row r="3634" spans="1:37" x14ac:dyDescent="0.2">
      <c r="A3634" s="2">
        <v>2026</v>
      </c>
      <c r="B3634" s="2">
        <v>4</v>
      </c>
      <c r="C3634" s="2" t="s">
        <v>2856</v>
      </c>
      <c r="D3634" s="2" t="s">
        <v>109</v>
      </c>
      <c r="E3634" s="2" t="s">
        <v>39</v>
      </c>
      <c r="F3634" s="2">
        <v>500412243</v>
      </c>
      <c r="G3634" s="2" t="s">
        <v>41</v>
      </c>
      <c r="H3634" s="2" t="s">
        <v>2857</v>
      </c>
      <c r="I3634" s="2" t="s">
        <v>2858</v>
      </c>
      <c r="J3634" s="2">
        <v>918896903</v>
      </c>
      <c r="K3634" s="2" t="s">
        <v>100</v>
      </c>
      <c r="L3634" s="2" t="s">
        <v>41</v>
      </c>
      <c r="N3634" s="2" t="s">
        <v>2859</v>
      </c>
      <c r="O3634" s="2" t="s">
        <v>283</v>
      </c>
      <c r="P3634" s="2" t="s">
        <v>532</v>
      </c>
      <c r="Q3634" s="2" t="s">
        <v>533</v>
      </c>
      <c r="R3634" s="2">
        <v>1</v>
      </c>
      <c r="S3634" s="2">
        <v>387.03</v>
      </c>
      <c r="T3634" s="2">
        <v>89.016899999999993</v>
      </c>
      <c r="U3634" s="2">
        <v>476.04689999999988</v>
      </c>
      <c r="V3634" s="2">
        <v>299.25</v>
      </c>
      <c r="W3634" s="5">
        <f t="shared" si="392"/>
        <v>0.22680412371134015</v>
      </c>
      <c r="Y3634" s="2" t="s">
        <v>3256</v>
      </c>
      <c r="Z3634" s="2" t="s">
        <v>72</v>
      </c>
      <c r="AA3634" s="2" t="s">
        <v>120</v>
      </c>
      <c r="AB3634" s="2" t="s">
        <v>120</v>
      </c>
      <c r="AE3634" s="2">
        <f t="shared" si="390"/>
        <v>0</v>
      </c>
      <c r="AF3634" s="2">
        <v>299.25</v>
      </c>
      <c r="AI3634" s="2">
        <f t="shared" si="391"/>
        <v>0</v>
      </c>
      <c r="AJ3634" s="2">
        <f t="shared" si="388"/>
        <v>87.779999999999973</v>
      </c>
      <c r="AK3634" s="5">
        <f t="shared" si="393"/>
        <v>0.22680412371134015</v>
      </c>
    </row>
    <row r="3635" spans="1:37" x14ac:dyDescent="0.2">
      <c r="A3635" s="2">
        <v>2026</v>
      </c>
      <c r="B3635" s="2">
        <v>4</v>
      </c>
      <c r="C3635" s="2" t="s">
        <v>2856</v>
      </c>
      <c r="D3635" s="2" t="s">
        <v>109</v>
      </c>
      <c r="E3635" s="2" t="s">
        <v>39</v>
      </c>
      <c r="F3635" s="2">
        <v>500412243</v>
      </c>
      <c r="G3635" s="2" t="s">
        <v>41</v>
      </c>
      <c r="H3635" s="2" t="s">
        <v>2857</v>
      </c>
      <c r="I3635" s="2" t="s">
        <v>2858</v>
      </c>
      <c r="J3635" s="2">
        <v>918896903</v>
      </c>
      <c r="K3635" s="2" t="s">
        <v>100</v>
      </c>
      <c r="L3635" s="2" t="s">
        <v>41</v>
      </c>
      <c r="N3635" s="2" t="s">
        <v>2859</v>
      </c>
      <c r="O3635" s="2" t="s">
        <v>283</v>
      </c>
      <c r="P3635" s="2" t="s">
        <v>1006</v>
      </c>
      <c r="Q3635" s="2" t="s">
        <v>1007</v>
      </c>
      <c r="R3635" s="2">
        <v>1</v>
      </c>
      <c r="S3635" s="2">
        <v>125.13</v>
      </c>
      <c r="T3635" s="2">
        <v>28.779900000000001</v>
      </c>
      <c r="U3635" s="2">
        <v>153.90989999999999</v>
      </c>
      <c r="V3635" s="2">
        <v>77.400000000000006</v>
      </c>
      <c r="W3635" s="5">
        <f t="shared" si="392"/>
        <v>0.38144329896907209</v>
      </c>
      <c r="Y3635" s="2" t="s">
        <v>3256</v>
      </c>
      <c r="Z3635" s="2" t="s">
        <v>72</v>
      </c>
      <c r="AA3635" s="2" t="s">
        <v>120</v>
      </c>
      <c r="AB3635" s="2" t="s">
        <v>120</v>
      </c>
      <c r="AE3635" s="2">
        <f t="shared" si="390"/>
        <v>0</v>
      </c>
      <c r="AF3635" s="2">
        <v>77.400000000000006</v>
      </c>
      <c r="AI3635" s="2">
        <f t="shared" si="391"/>
        <v>0</v>
      </c>
      <c r="AJ3635" s="2">
        <f t="shared" si="388"/>
        <v>47.72999999999999</v>
      </c>
      <c r="AK3635" s="5">
        <f t="shared" si="393"/>
        <v>0.38144329896907209</v>
      </c>
    </row>
    <row r="3636" spans="1:37" x14ac:dyDescent="0.2">
      <c r="A3636" s="2">
        <v>2026</v>
      </c>
      <c r="B3636" s="2">
        <v>4</v>
      </c>
      <c r="C3636" s="2" t="s">
        <v>2543</v>
      </c>
      <c r="L3636" s="2" t="s">
        <v>110</v>
      </c>
      <c r="O3636" s="2" t="s">
        <v>283</v>
      </c>
      <c r="P3636" s="2" t="s">
        <v>401</v>
      </c>
      <c r="Q3636" s="2" t="s">
        <v>402</v>
      </c>
      <c r="R3636" s="2">
        <v>-10</v>
      </c>
      <c r="S3636" s="2">
        <v>-200</v>
      </c>
      <c r="T3636" s="2">
        <v>-46</v>
      </c>
      <c r="U3636" s="2">
        <v>-246</v>
      </c>
      <c r="V3636" s="2">
        <v>145</v>
      </c>
      <c r="W3636" s="5">
        <f>SIGN(S3636)*((ABS(S3636)-V3636)/ABS(S3636))</f>
        <v>-0.27500000000000002</v>
      </c>
      <c r="Y3636" s="2" t="s">
        <v>3256</v>
      </c>
      <c r="Z3636" s="2" t="s">
        <v>46</v>
      </c>
      <c r="AA3636" s="2" t="s">
        <v>61</v>
      </c>
      <c r="AB3636" s="2" t="s">
        <v>403</v>
      </c>
      <c r="AE3636" s="2">
        <f t="shared" si="390"/>
        <v>0</v>
      </c>
      <c r="AI3636" s="2">
        <f t="shared" si="391"/>
        <v>0</v>
      </c>
      <c r="AJ3636" s="2">
        <f t="shared" si="388"/>
        <v>-345</v>
      </c>
      <c r="AK3636" s="5">
        <f t="shared" si="393"/>
        <v>1.7250000000000001</v>
      </c>
    </row>
    <row r="3637" spans="1:37" x14ac:dyDescent="0.2">
      <c r="A3637" s="2">
        <v>2026</v>
      </c>
      <c r="B3637" s="2">
        <v>4</v>
      </c>
      <c r="C3637" s="2" t="s">
        <v>1569</v>
      </c>
      <c r="D3637" s="2" t="s">
        <v>109</v>
      </c>
      <c r="E3637" s="2" t="s">
        <v>723</v>
      </c>
      <c r="F3637" s="2">
        <v>500975914</v>
      </c>
      <c r="G3637" s="2" t="s">
        <v>41</v>
      </c>
      <c r="H3637" s="2" t="s">
        <v>1570</v>
      </c>
      <c r="I3637" s="2" t="s">
        <v>1571</v>
      </c>
      <c r="K3637" s="2" t="s">
        <v>100</v>
      </c>
      <c r="L3637" s="2" t="s">
        <v>41</v>
      </c>
      <c r="O3637" s="2" t="s">
        <v>283</v>
      </c>
      <c r="P3637" s="2" t="s">
        <v>404</v>
      </c>
      <c r="Q3637" s="2" t="s">
        <v>405</v>
      </c>
      <c r="R3637" s="2">
        <v>20</v>
      </c>
      <c r="S3637" s="2">
        <v>400</v>
      </c>
      <c r="T3637" s="2">
        <v>92</v>
      </c>
      <c r="U3637" s="2">
        <v>492</v>
      </c>
      <c r="V3637" s="2">
        <v>290</v>
      </c>
      <c r="W3637" s="5">
        <f>SIGN(S3637)*((ABS(S3637)-V3637)/ABS(S3637))</f>
        <v>0.27500000000000002</v>
      </c>
      <c r="Y3637" s="2" t="s">
        <v>3256</v>
      </c>
      <c r="Z3637" s="2" t="s">
        <v>46</v>
      </c>
      <c r="AA3637" s="2" t="s">
        <v>61</v>
      </c>
      <c r="AB3637" s="2" t="s">
        <v>403</v>
      </c>
      <c r="AE3637" s="2">
        <f t="shared" si="390"/>
        <v>0</v>
      </c>
      <c r="AI3637" s="2">
        <f t="shared" si="391"/>
        <v>0</v>
      </c>
      <c r="AJ3637" s="2">
        <f t="shared" si="388"/>
        <v>110</v>
      </c>
      <c r="AK3637" s="5">
        <f t="shared" si="393"/>
        <v>0.27500000000000002</v>
      </c>
    </row>
    <row r="3638" spans="1:37" x14ac:dyDescent="0.2">
      <c r="A3638" s="2">
        <v>2026</v>
      </c>
      <c r="B3638" s="2">
        <v>4</v>
      </c>
      <c r="C3638" s="2" t="s">
        <v>2543</v>
      </c>
      <c r="L3638" s="2" t="s">
        <v>110</v>
      </c>
      <c r="O3638" s="2" t="s">
        <v>283</v>
      </c>
      <c r="P3638" s="2" t="s">
        <v>404</v>
      </c>
      <c r="Q3638" s="2" t="s">
        <v>405</v>
      </c>
      <c r="R3638" s="2">
        <v>-10</v>
      </c>
      <c r="S3638" s="2">
        <v>-200</v>
      </c>
      <c r="T3638" s="2">
        <v>-46</v>
      </c>
      <c r="U3638" s="2">
        <v>-246</v>
      </c>
      <c r="V3638" s="2">
        <v>145</v>
      </c>
      <c r="W3638" s="5">
        <f>SIGN(S3638)*((ABS(S3638)-V3638)/ABS(S3638))</f>
        <v>-0.27500000000000002</v>
      </c>
      <c r="Y3638" s="2" t="s">
        <v>3256</v>
      </c>
      <c r="Z3638" s="2" t="s">
        <v>46</v>
      </c>
      <c r="AA3638" s="2" t="s">
        <v>61</v>
      </c>
      <c r="AB3638" s="2" t="s">
        <v>403</v>
      </c>
      <c r="AE3638" s="2">
        <f t="shared" si="390"/>
        <v>0</v>
      </c>
      <c r="AI3638" s="2">
        <f t="shared" si="391"/>
        <v>0</v>
      </c>
      <c r="AJ3638" s="2">
        <f t="shared" ref="AJ3638:AJ3701" si="394">S3638-V3638</f>
        <v>-345</v>
      </c>
      <c r="AK3638" s="5">
        <f t="shared" si="393"/>
        <v>1.7250000000000001</v>
      </c>
    </row>
    <row r="3639" spans="1:37" x14ac:dyDescent="0.2">
      <c r="A3639" s="2">
        <v>2026</v>
      </c>
      <c r="B3639" s="2">
        <v>4</v>
      </c>
      <c r="C3639" s="2" t="s">
        <v>2860</v>
      </c>
      <c r="D3639" s="2" t="s">
        <v>38</v>
      </c>
      <c r="F3639" s="2">
        <v>184822033</v>
      </c>
      <c r="H3639" s="2" t="s">
        <v>2861</v>
      </c>
      <c r="K3639" s="2" t="s">
        <v>465</v>
      </c>
      <c r="L3639" s="2" t="s">
        <v>110</v>
      </c>
      <c r="N3639" s="2" t="s">
        <v>2862</v>
      </c>
      <c r="O3639" s="2" t="s">
        <v>43</v>
      </c>
      <c r="P3639" s="2" t="s">
        <v>44</v>
      </c>
      <c r="Q3639" s="2" t="s">
        <v>45</v>
      </c>
      <c r="R3639" s="2">
        <v>1</v>
      </c>
      <c r="S3639" s="2">
        <v>25.2</v>
      </c>
      <c r="T3639" s="2">
        <v>5.7960000000000003</v>
      </c>
      <c r="U3639" s="2">
        <v>30.995999999999999</v>
      </c>
      <c r="V3639" s="2">
        <v>14.535</v>
      </c>
      <c r="W3639" s="5">
        <f t="shared" ref="W3639:W3670" si="395">(S3639-V3639)/S3639</f>
        <v>0.42321428571428571</v>
      </c>
      <c r="Y3639" s="2" t="s">
        <v>3256</v>
      </c>
      <c r="Z3639" s="2" t="s">
        <v>46</v>
      </c>
      <c r="AA3639" s="2" t="s">
        <v>47</v>
      </c>
      <c r="AB3639" s="2" t="s">
        <v>48</v>
      </c>
      <c r="AE3639" s="2">
        <f t="shared" si="390"/>
        <v>0</v>
      </c>
      <c r="AF3639" s="2">
        <v>14.535</v>
      </c>
      <c r="AG3639" s="2">
        <v>25.2</v>
      </c>
      <c r="AI3639" s="2">
        <f t="shared" si="391"/>
        <v>0</v>
      </c>
      <c r="AJ3639" s="2">
        <f t="shared" si="394"/>
        <v>10.664999999999999</v>
      </c>
      <c r="AK3639" s="5">
        <f t="shared" si="393"/>
        <v>0.42321428571428571</v>
      </c>
    </row>
    <row r="3640" spans="1:37" x14ac:dyDescent="0.2">
      <c r="A3640" s="2">
        <v>2026</v>
      </c>
      <c r="B3640" s="2">
        <v>4</v>
      </c>
      <c r="C3640" s="2" t="s">
        <v>426</v>
      </c>
      <c r="D3640" s="2" t="s">
        <v>99</v>
      </c>
      <c r="E3640" s="2" t="s">
        <v>39</v>
      </c>
      <c r="F3640" s="2">
        <v>503523470</v>
      </c>
      <c r="G3640" s="2" t="s">
        <v>40</v>
      </c>
      <c r="H3640" s="2" t="s">
        <v>427</v>
      </c>
      <c r="I3640" s="2" t="s">
        <v>428</v>
      </c>
      <c r="K3640" s="2" t="s">
        <v>202</v>
      </c>
      <c r="L3640" s="2" t="s">
        <v>81</v>
      </c>
      <c r="N3640" s="2" t="s">
        <v>2863</v>
      </c>
      <c r="O3640" s="2" t="s">
        <v>43</v>
      </c>
      <c r="P3640" s="2" t="s">
        <v>1113</v>
      </c>
      <c r="Q3640" s="2" t="s">
        <v>1114</v>
      </c>
      <c r="R3640" s="2">
        <v>1</v>
      </c>
      <c r="S3640" s="2">
        <v>21</v>
      </c>
      <c r="T3640" s="2">
        <v>4.83</v>
      </c>
      <c r="U3640" s="2">
        <v>25.83</v>
      </c>
      <c r="V3640" s="2">
        <v>10</v>
      </c>
      <c r="W3640" s="5">
        <f t="shared" si="395"/>
        <v>0.52380952380952384</v>
      </c>
      <c r="Y3640" s="2" t="s">
        <v>3256</v>
      </c>
      <c r="Z3640" s="2" t="s">
        <v>46</v>
      </c>
      <c r="AA3640" s="2" t="s">
        <v>47</v>
      </c>
      <c r="AB3640" s="2" t="s">
        <v>48</v>
      </c>
      <c r="AE3640" s="2">
        <f t="shared" si="390"/>
        <v>0</v>
      </c>
      <c r="AF3640" s="2">
        <v>10</v>
      </c>
      <c r="AG3640" s="2">
        <v>21</v>
      </c>
      <c r="AI3640" s="2">
        <f t="shared" si="391"/>
        <v>0</v>
      </c>
      <c r="AJ3640" s="2">
        <f t="shared" si="394"/>
        <v>11</v>
      </c>
      <c r="AK3640" s="5">
        <f t="shared" si="393"/>
        <v>0.52380952380952384</v>
      </c>
    </row>
    <row r="3641" spans="1:37" x14ac:dyDescent="0.2">
      <c r="A3641" s="2">
        <v>2026</v>
      </c>
      <c r="B3641" s="2">
        <v>4</v>
      </c>
      <c r="C3641" s="2" t="s">
        <v>2860</v>
      </c>
      <c r="D3641" s="2" t="s">
        <v>38</v>
      </c>
      <c r="F3641" s="2">
        <v>184822033</v>
      </c>
      <c r="H3641" s="2" t="s">
        <v>2864</v>
      </c>
      <c r="K3641" s="2" t="s">
        <v>465</v>
      </c>
      <c r="L3641" s="2" t="s">
        <v>110</v>
      </c>
      <c r="N3641" s="2" t="s">
        <v>2865</v>
      </c>
      <c r="O3641" s="2" t="s">
        <v>43</v>
      </c>
      <c r="P3641" s="2" t="s">
        <v>352</v>
      </c>
      <c r="Q3641" s="2" t="s">
        <v>353</v>
      </c>
      <c r="R3641" s="2">
        <v>1</v>
      </c>
      <c r="S3641" s="2">
        <v>21</v>
      </c>
      <c r="T3641" s="2">
        <v>4.83</v>
      </c>
      <c r="U3641" s="2">
        <v>25.83</v>
      </c>
      <c r="V3641" s="2">
        <v>10.67</v>
      </c>
      <c r="W3641" s="5">
        <f t="shared" si="395"/>
        <v>0.4919047619047619</v>
      </c>
      <c r="Y3641" s="2" t="s">
        <v>3256</v>
      </c>
      <c r="Z3641" s="2" t="s">
        <v>46</v>
      </c>
      <c r="AA3641" s="2" t="s">
        <v>47</v>
      </c>
      <c r="AB3641" s="2" t="s">
        <v>48</v>
      </c>
      <c r="AE3641" s="2">
        <f t="shared" si="390"/>
        <v>0</v>
      </c>
      <c r="AF3641" s="2">
        <v>10.67</v>
      </c>
      <c r="AG3641" s="2">
        <v>21</v>
      </c>
      <c r="AI3641" s="2">
        <f t="shared" si="391"/>
        <v>0</v>
      </c>
      <c r="AJ3641" s="2">
        <f t="shared" si="394"/>
        <v>10.33</v>
      </c>
      <c r="AK3641" s="5">
        <f t="shared" si="393"/>
        <v>0.4919047619047619</v>
      </c>
    </row>
    <row r="3642" spans="1:37" x14ac:dyDescent="0.2">
      <c r="A3642" s="2">
        <v>2026</v>
      </c>
      <c r="B3642" s="2">
        <v>1</v>
      </c>
      <c r="C3642" s="2" t="s">
        <v>323</v>
      </c>
      <c r="D3642" s="2" t="s">
        <v>184</v>
      </c>
      <c r="F3642" s="2">
        <v>500048894</v>
      </c>
      <c r="G3642" s="2" t="s">
        <v>40</v>
      </c>
      <c r="H3642" s="2" t="s">
        <v>100</v>
      </c>
      <c r="I3642" s="2" t="s">
        <v>324</v>
      </c>
      <c r="K3642" s="2" t="s">
        <v>100</v>
      </c>
      <c r="L3642" s="2" t="s">
        <v>81</v>
      </c>
      <c r="N3642" s="2" t="s">
        <v>2866</v>
      </c>
      <c r="O3642" s="2" t="s">
        <v>73</v>
      </c>
      <c r="P3642" s="2" t="s">
        <v>561</v>
      </c>
      <c r="Q3642" s="2" t="s">
        <v>308</v>
      </c>
      <c r="R3642" s="2">
        <v>1</v>
      </c>
      <c r="S3642" s="2">
        <v>230</v>
      </c>
      <c r="T3642" s="2">
        <v>52.900000000000013</v>
      </c>
      <c r="U3642" s="2">
        <v>282.89999999999998</v>
      </c>
      <c r="V3642" s="2">
        <v>122.446</v>
      </c>
      <c r="W3642" s="5">
        <f t="shared" si="395"/>
        <v>0.46762608695652175</v>
      </c>
      <c r="Y3642" s="2" t="s">
        <v>3256</v>
      </c>
      <c r="Z3642" s="2" t="s">
        <v>76</v>
      </c>
      <c r="AA3642" s="2" t="s">
        <v>77</v>
      </c>
      <c r="AB3642" s="2" t="s">
        <v>78</v>
      </c>
      <c r="AE3642" s="2">
        <f t="shared" si="390"/>
        <v>0</v>
      </c>
      <c r="AF3642" s="2">
        <v>122.446</v>
      </c>
      <c r="AG3642" s="2">
        <v>230</v>
      </c>
      <c r="AI3642" s="2">
        <f t="shared" si="391"/>
        <v>0</v>
      </c>
      <c r="AJ3642" s="2">
        <f t="shared" si="394"/>
        <v>107.554</v>
      </c>
      <c r="AK3642" s="5">
        <f t="shared" si="393"/>
        <v>0.46762608695652175</v>
      </c>
    </row>
    <row r="3643" spans="1:37" x14ac:dyDescent="0.2">
      <c r="A3643" s="2">
        <v>2026</v>
      </c>
      <c r="B3643" s="2">
        <v>1</v>
      </c>
      <c r="C3643" s="2" t="s">
        <v>323</v>
      </c>
      <c r="D3643" s="2" t="s">
        <v>184</v>
      </c>
      <c r="F3643" s="2">
        <v>500048894</v>
      </c>
      <c r="G3643" s="2" t="s">
        <v>40</v>
      </c>
      <c r="H3643" s="2" t="s">
        <v>100</v>
      </c>
      <c r="I3643" s="2" t="s">
        <v>324</v>
      </c>
      <c r="K3643" s="2" t="s">
        <v>100</v>
      </c>
      <c r="L3643" s="2" t="s">
        <v>81</v>
      </c>
      <c r="N3643" s="2" t="s">
        <v>2866</v>
      </c>
      <c r="O3643" s="2" t="s">
        <v>94</v>
      </c>
      <c r="P3643" s="2" t="s">
        <v>95</v>
      </c>
      <c r="Q3643" s="2" t="s">
        <v>96</v>
      </c>
      <c r="R3643" s="2">
        <v>1</v>
      </c>
      <c r="S3643" s="2">
        <v>1.48</v>
      </c>
      <c r="T3643" s="2">
        <v>0.34039999999999998</v>
      </c>
      <c r="U3643" s="2">
        <v>1.8204</v>
      </c>
      <c r="V3643" s="2">
        <v>1.48</v>
      </c>
      <c r="W3643" s="5">
        <f t="shared" si="395"/>
        <v>0</v>
      </c>
      <c r="Y3643" s="2" t="s">
        <v>3256</v>
      </c>
      <c r="Z3643" s="2" t="s">
        <v>97</v>
      </c>
      <c r="AA3643" s="2" t="s">
        <v>77</v>
      </c>
      <c r="AB3643" s="2" t="s">
        <v>94</v>
      </c>
      <c r="AE3643" s="2">
        <f t="shared" si="390"/>
        <v>0</v>
      </c>
      <c r="AF3643" s="2">
        <v>1.48</v>
      </c>
      <c r="AG3643" s="2">
        <v>1.48</v>
      </c>
      <c r="AI3643" s="2">
        <f t="shared" si="391"/>
        <v>0</v>
      </c>
      <c r="AJ3643" s="2">
        <f t="shared" si="394"/>
        <v>0</v>
      </c>
      <c r="AK3643" s="5">
        <f t="shared" si="393"/>
        <v>0</v>
      </c>
    </row>
    <row r="3644" spans="1:37" x14ac:dyDescent="0.2">
      <c r="A3644" s="2">
        <v>2026</v>
      </c>
      <c r="B3644" s="2">
        <v>4</v>
      </c>
      <c r="C3644" s="2" t="s">
        <v>988</v>
      </c>
      <c r="L3644" s="2" t="s">
        <v>41</v>
      </c>
      <c r="O3644" s="2" t="s">
        <v>43</v>
      </c>
      <c r="P3644" s="2" t="s">
        <v>49</v>
      </c>
      <c r="Q3644" s="2" t="s">
        <v>50</v>
      </c>
      <c r="R3644" s="2">
        <v>1</v>
      </c>
      <c r="S3644" s="2">
        <v>13</v>
      </c>
      <c r="T3644" s="2">
        <v>2.99</v>
      </c>
      <c r="U3644" s="2">
        <v>15.99</v>
      </c>
      <c r="V3644" s="2">
        <f t="shared" ref="V3644:V3649" si="396">6.6267*R3644</f>
        <v>6.6266999999999996</v>
      </c>
      <c r="W3644" s="5">
        <f t="shared" si="395"/>
        <v>0.49025384615384621</v>
      </c>
      <c r="Y3644" s="2" t="s">
        <v>3256</v>
      </c>
      <c r="Z3644" s="2" t="s">
        <v>46</v>
      </c>
      <c r="AA3644" s="2" t="s">
        <v>47</v>
      </c>
      <c r="AB3644" s="2" t="s">
        <v>48</v>
      </c>
      <c r="AE3644" s="2">
        <f t="shared" si="390"/>
        <v>0</v>
      </c>
      <c r="AF3644" s="2">
        <v>6.6266999999999996</v>
      </c>
      <c r="AG3644" s="2">
        <v>12</v>
      </c>
      <c r="AI3644" s="2">
        <f t="shared" si="391"/>
        <v>0</v>
      </c>
      <c r="AJ3644" s="2">
        <f t="shared" si="394"/>
        <v>6.3733000000000004</v>
      </c>
      <c r="AK3644" s="5">
        <f t="shared" si="393"/>
        <v>0.49025384615384621</v>
      </c>
    </row>
    <row r="3645" spans="1:37" x14ac:dyDescent="0.2">
      <c r="A3645" s="2">
        <v>2026</v>
      </c>
      <c r="B3645" s="2">
        <v>4</v>
      </c>
      <c r="C3645" s="2" t="s">
        <v>790</v>
      </c>
      <c r="O3645" s="2" t="s">
        <v>43</v>
      </c>
      <c r="P3645" s="2" t="s">
        <v>49</v>
      </c>
      <c r="Q3645" s="2" t="s">
        <v>50</v>
      </c>
      <c r="R3645" s="2">
        <v>3</v>
      </c>
      <c r="S3645" s="2">
        <v>39</v>
      </c>
      <c r="T3645" s="2">
        <v>8.9700000000000006</v>
      </c>
      <c r="U3645" s="2">
        <v>47.97</v>
      </c>
      <c r="V3645" s="2">
        <f t="shared" si="396"/>
        <v>19.880099999999999</v>
      </c>
      <c r="W3645" s="5">
        <f t="shared" si="395"/>
        <v>0.49025384615384621</v>
      </c>
      <c r="Y3645" s="2" t="s">
        <v>3256</v>
      </c>
      <c r="Z3645" s="2" t="s">
        <v>46</v>
      </c>
      <c r="AA3645" s="2" t="s">
        <v>47</v>
      </c>
      <c r="AB3645" s="2" t="s">
        <v>48</v>
      </c>
      <c r="AE3645" s="2">
        <f t="shared" si="390"/>
        <v>0</v>
      </c>
      <c r="AF3645" s="2">
        <v>6.6266999999999996</v>
      </c>
      <c r="AG3645" s="2">
        <v>12</v>
      </c>
      <c r="AI3645" s="2">
        <f t="shared" si="391"/>
        <v>0</v>
      </c>
      <c r="AJ3645" s="2">
        <f t="shared" si="394"/>
        <v>19.119900000000001</v>
      </c>
      <c r="AK3645" s="5">
        <f t="shared" si="393"/>
        <v>0.49025384615384621</v>
      </c>
    </row>
    <row r="3646" spans="1:37" x14ac:dyDescent="0.2">
      <c r="A3646" s="2">
        <v>2026</v>
      </c>
      <c r="B3646" s="2">
        <v>4</v>
      </c>
      <c r="C3646" s="2" t="s">
        <v>1024</v>
      </c>
      <c r="D3646" s="2" t="s">
        <v>109</v>
      </c>
      <c r="E3646" s="2" t="s">
        <v>481</v>
      </c>
      <c r="F3646" s="2">
        <v>503815284</v>
      </c>
      <c r="G3646" s="2" t="s">
        <v>40</v>
      </c>
      <c r="H3646" s="2" t="s">
        <v>157</v>
      </c>
      <c r="I3646" s="2" t="s">
        <v>2560</v>
      </c>
      <c r="K3646" s="2" t="s">
        <v>100</v>
      </c>
      <c r="L3646" s="2" t="s">
        <v>81</v>
      </c>
      <c r="N3646" s="2" t="s">
        <v>2867</v>
      </c>
      <c r="O3646" s="2" t="s">
        <v>43</v>
      </c>
      <c r="P3646" s="2" t="s">
        <v>49</v>
      </c>
      <c r="Q3646" s="2" t="s">
        <v>50</v>
      </c>
      <c r="R3646" s="2">
        <v>1</v>
      </c>
      <c r="S3646" s="2">
        <v>19.2</v>
      </c>
      <c r="T3646" s="2">
        <v>4.4160000000000004</v>
      </c>
      <c r="U3646" s="2">
        <v>23.616</v>
      </c>
      <c r="V3646" s="2">
        <f t="shared" si="396"/>
        <v>6.6266999999999996</v>
      </c>
      <c r="W3646" s="5">
        <f t="shared" si="395"/>
        <v>0.65485937500000002</v>
      </c>
      <c r="Y3646" s="2" t="s">
        <v>3256</v>
      </c>
      <c r="Z3646" s="2" t="s">
        <v>46</v>
      </c>
      <c r="AA3646" s="2" t="s">
        <v>47</v>
      </c>
      <c r="AB3646" s="2" t="s">
        <v>48</v>
      </c>
      <c r="AE3646" s="2">
        <f t="shared" si="390"/>
        <v>0</v>
      </c>
      <c r="AF3646" s="2">
        <v>6.6266999999999996</v>
      </c>
      <c r="AG3646" s="2">
        <v>12</v>
      </c>
      <c r="AI3646" s="2">
        <f t="shared" si="391"/>
        <v>0</v>
      </c>
      <c r="AJ3646" s="2">
        <f t="shared" si="394"/>
        <v>12.5733</v>
      </c>
      <c r="AK3646" s="5">
        <f t="shared" si="393"/>
        <v>0.65485937500000002</v>
      </c>
    </row>
    <row r="3647" spans="1:37" x14ac:dyDescent="0.2">
      <c r="A3647" s="2">
        <v>2026</v>
      </c>
      <c r="B3647" s="2">
        <v>4</v>
      </c>
      <c r="C3647" s="2" t="s">
        <v>2868</v>
      </c>
      <c r="L3647" s="2" t="s">
        <v>81</v>
      </c>
      <c r="O3647" s="2" t="s">
        <v>43</v>
      </c>
      <c r="P3647" s="2" t="s">
        <v>49</v>
      </c>
      <c r="Q3647" s="2" t="s">
        <v>50</v>
      </c>
      <c r="R3647" s="2">
        <v>1</v>
      </c>
      <c r="S3647" s="2">
        <v>12</v>
      </c>
      <c r="T3647" s="2">
        <v>2.76</v>
      </c>
      <c r="U3647" s="2">
        <v>14.76</v>
      </c>
      <c r="V3647" s="2">
        <f t="shared" si="396"/>
        <v>6.6266999999999996</v>
      </c>
      <c r="W3647" s="5">
        <f t="shared" si="395"/>
        <v>0.44777500000000003</v>
      </c>
      <c r="Y3647" s="2" t="s">
        <v>3256</v>
      </c>
      <c r="Z3647" s="2" t="s">
        <v>46</v>
      </c>
      <c r="AA3647" s="2" t="s">
        <v>47</v>
      </c>
      <c r="AB3647" s="2" t="s">
        <v>48</v>
      </c>
      <c r="AE3647" s="2">
        <f t="shared" si="390"/>
        <v>0</v>
      </c>
      <c r="AF3647" s="2">
        <v>6.6266999999999996</v>
      </c>
      <c r="AG3647" s="2">
        <v>12</v>
      </c>
      <c r="AI3647" s="2">
        <f t="shared" si="391"/>
        <v>0</v>
      </c>
      <c r="AJ3647" s="2">
        <f t="shared" si="394"/>
        <v>5.3733000000000004</v>
      </c>
      <c r="AK3647" s="5">
        <f t="shared" si="393"/>
        <v>0.44777500000000003</v>
      </c>
    </row>
    <row r="3648" spans="1:37" x14ac:dyDescent="0.2">
      <c r="A3648" s="2">
        <v>2026</v>
      </c>
      <c r="B3648" s="2">
        <v>4</v>
      </c>
      <c r="C3648" s="2" t="s">
        <v>593</v>
      </c>
      <c r="D3648" s="2" t="s">
        <v>38</v>
      </c>
      <c r="E3648" s="2" t="s">
        <v>39</v>
      </c>
      <c r="F3648" s="2">
        <v>510339298</v>
      </c>
      <c r="G3648" s="2" t="s">
        <v>41</v>
      </c>
      <c r="H3648" s="2" t="s">
        <v>178</v>
      </c>
      <c r="I3648" s="2" t="s">
        <v>594</v>
      </c>
      <c r="K3648" s="2" t="s">
        <v>178</v>
      </c>
      <c r="L3648" s="2" t="s">
        <v>41</v>
      </c>
      <c r="O3648" s="2" t="s">
        <v>43</v>
      </c>
      <c r="P3648" s="2" t="s">
        <v>49</v>
      </c>
      <c r="Q3648" s="2" t="s">
        <v>50</v>
      </c>
      <c r="R3648" s="2">
        <v>2</v>
      </c>
      <c r="S3648" s="2">
        <v>24</v>
      </c>
      <c r="T3648" s="2">
        <v>5.52</v>
      </c>
      <c r="U3648" s="2">
        <v>29.52</v>
      </c>
      <c r="V3648" s="2">
        <f t="shared" si="396"/>
        <v>13.253399999999999</v>
      </c>
      <c r="W3648" s="5">
        <f t="shared" si="395"/>
        <v>0.44777500000000003</v>
      </c>
      <c r="Y3648" s="2" t="s">
        <v>3256</v>
      </c>
      <c r="Z3648" s="2" t="s">
        <v>46</v>
      </c>
      <c r="AA3648" s="2" t="s">
        <v>47</v>
      </c>
      <c r="AB3648" s="2" t="s">
        <v>48</v>
      </c>
      <c r="AE3648" s="2">
        <f t="shared" si="390"/>
        <v>0</v>
      </c>
      <c r="AF3648" s="2">
        <v>6.6266999999999996</v>
      </c>
      <c r="AG3648" s="2">
        <v>12</v>
      </c>
      <c r="AI3648" s="2">
        <f t="shared" si="391"/>
        <v>0</v>
      </c>
      <c r="AJ3648" s="2">
        <f t="shared" si="394"/>
        <v>10.746600000000001</v>
      </c>
      <c r="AK3648" s="5">
        <f t="shared" si="393"/>
        <v>0.44777500000000003</v>
      </c>
    </row>
    <row r="3649" spans="1:37" x14ac:dyDescent="0.2">
      <c r="A3649" s="2">
        <v>2026</v>
      </c>
      <c r="B3649" s="2">
        <v>4</v>
      </c>
      <c r="C3649" s="2" t="s">
        <v>649</v>
      </c>
      <c r="D3649" s="2" t="s">
        <v>38</v>
      </c>
      <c r="E3649" s="2" t="s">
        <v>39</v>
      </c>
      <c r="F3649" s="2">
        <v>509056946</v>
      </c>
      <c r="G3649" s="2" t="s">
        <v>110</v>
      </c>
      <c r="H3649" s="2" t="s">
        <v>650</v>
      </c>
      <c r="I3649" s="2" t="s">
        <v>651</v>
      </c>
      <c r="J3649" s="2">
        <v>964495536</v>
      </c>
      <c r="K3649" s="2" t="s">
        <v>113</v>
      </c>
      <c r="L3649" s="2" t="s">
        <v>110</v>
      </c>
      <c r="N3649" s="2" t="s">
        <v>2869</v>
      </c>
      <c r="O3649" s="2" t="s">
        <v>43</v>
      </c>
      <c r="P3649" s="2" t="s">
        <v>49</v>
      </c>
      <c r="Q3649" s="2" t="s">
        <v>50</v>
      </c>
      <c r="R3649" s="2">
        <v>2</v>
      </c>
      <c r="S3649" s="2">
        <v>24</v>
      </c>
      <c r="T3649" s="2">
        <v>5.52</v>
      </c>
      <c r="U3649" s="2">
        <v>29.52</v>
      </c>
      <c r="V3649" s="2">
        <f t="shared" si="396"/>
        <v>13.253399999999999</v>
      </c>
      <c r="W3649" s="5">
        <f t="shared" si="395"/>
        <v>0.44777500000000003</v>
      </c>
      <c r="Y3649" s="2" t="s">
        <v>3256</v>
      </c>
      <c r="Z3649" s="2" t="s">
        <v>46</v>
      </c>
      <c r="AA3649" s="2" t="s">
        <v>47</v>
      </c>
      <c r="AB3649" s="2" t="s">
        <v>48</v>
      </c>
      <c r="AE3649" s="2">
        <f t="shared" si="390"/>
        <v>0</v>
      </c>
      <c r="AF3649" s="2">
        <v>6.6266999999999996</v>
      </c>
      <c r="AG3649" s="2">
        <v>12</v>
      </c>
      <c r="AI3649" s="2">
        <f t="shared" si="391"/>
        <v>0</v>
      </c>
      <c r="AJ3649" s="2">
        <f t="shared" si="394"/>
        <v>10.746600000000001</v>
      </c>
      <c r="AK3649" s="5">
        <f t="shared" si="393"/>
        <v>0.44777500000000003</v>
      </c>
    </row>
    <row r="3650" spans="1:37" x14ac:dyDescent="0.2">
      <c r="A3650" s="2">
        <v>2026</v>
      </c>
      <c r="B3650" s="2">
        <v>4</v>
      </c>
      <c r="C3650" s="2" t="s">
        <v>623</v>
      </c>
      <c r="D3650" s="2" t="s">
        <v>38</v>
      </c>
      <c r="E3650" s="2" t="s">
        <v>39</v>
      </c>
      <c r="F3650" s="2">
        <v>513759654</v>
      </c>
      <c r="G3650" s="2" t="s">
        <v>41</v>
      </c>
      <c r="H3650" s="2" t="s">
        <v>624</v>
      </c>
      <c r="I3650" s="2" t="s">
        <v>625</v>
      </c>
      <c r="K3650" s="2" t="s">
        <v>422</v>
      </c>
      <c r="L3650" s="2" t="s">
        <v>41</v>
      </c>
      <c r="O3650" s="2" t="s">
        <v>43</v>
      </c>
      <c r="P3650" s="2" t="s">
        <v>1373</v>
      </c>
      <c r="Q3650" s="2" t="s">
        <v>1374</v>
      </c>
      <c r="R3650" s="2">
        <v>2</v>
      </c>
      <c r="S3650" s="2">
        <v>68.400000000000006</v>
      </c>
      <c r="T3650" s="2">
        <v>15.731999999999999</v>
      </c>
      <c r="U3650" s="2">
        <v>84.132000000000005</v>
      </c>
      <c r="W3650" s="5">
        <f t="shared" si="395"/>
        <v>1</v>
      </c>
      <c r="Y3650" s="2" t="s">
        <v>3256</v>
      </c>
      <c r="Z3650" s="2" t="s">
        <v>46</v>
      </c>
      <c r="AA3650" s="2" t="s">
        <v>47</v>
      </c>
      <c r="AB3650" s="2" t="s">
        <v>48</v>
      </c>
      <c r="AE3650" s="2">
        <f t="shared" si="390"/>
        <v>0</v>
      </c>
      <c r="AI3650" s="2">
        <f t="shared" si="391"/>
        <v>0</v>
      </c>
      <c r="AJ3650" s="2">
        <f t="shared" si="394"/>
        <v>68.400000000000006</v>
      </c>
      <c r="AK3650" s="5">
        <f t="shared" si="393"/>
        <v>1</v>
      </c>
    </row>
    <row r="3651" spans="1:37" x14ac:dyDescent="0.2">
      <c r="A3651" s="2">
        <v>2026</v>
      </c>
      <c r="B3651" s="2">
        <v>4</v>
      </c>
      <c r="C3651" s="2" t="s">
        <v>333</v>
      </c>
      <c r="D3651" s="2" t="s">
        <v>109</v>
      </c>
      <c r="E3651" s="2" t="s">
        <v>39</v>
      </c>
      <c r="F3651" s="2">
        <v>513493557</v>
      </c>
      <c r="G3651" s="2" t="s">
        <v>41</v>
      </c>
      <c r="H3651" s="2" t="s">
        <v>280</v>
      </c>
      <c r="I3651" s="2" t="s">
        <v>334</v>
      </c>
      <c r="K3651" s="2" t="s">
        <v>178</v>
      </c>
      <c r="L3651" s="2" t="s">
        <v>41</v>
      </c>
      <c r="O3651" s="2" t="s">
        <v>43</v>
      </c>
      <c r="P3651" s="2" t="s">
        <v>597</v>
      </c>
      <c r="Q3651" s="2" t="s">
        <v>598</v>
      </c>
      <c r="R3651" s="2">
        <v>1</v>
      </c>
      <c r="S3651" s="2">
        <v>36</v>
      </c>
      <c r="T3651" s="2">
        <v>8.2800000000000011</v>
      </c>
      <c r="U3651" s="2">
        <v>44.28</v>
      </c>
      <c r="W3651" s="5">
        <f t="shared" si="395"/>
        <v>1</v>
      </c>
      <c r="Y3651" s="2" t="s">
        <v>3256</v>
      </c>
      <c r="Z3651" s="2" t="s">
        <v>46</v>
      </c>
      <c r="AA3651" s="2" t="s">
        <v>47</v>
      </c>
      <c r="AB3651" s="2" t="s">
        <v>48</v>
      </c>
      <c r="AE3651" s="2">
        <f t="shared" ref="AE3651:AE3714" si="397">AI3651</f>
        <v>0</v>
      </c>
      <c r="AI3651" s="2">
        <f t="shared" ref="AI3651:AI3714" si="398">AH3651*S3651</f>
        <v>0</v>
      </c>
      <c r="AJ3651" s="2">
        <f t="shared" si="394"/>
        <v>36</v>
      </c>
      <c r="AK3651" s="5">
        <f t="shared" si="393"/>
        <v>1</v>
      </c>
    </row>
    <row r="3652" spans="1:37" x14ac:dyDescent="0.2">
      <c r="A3652" s="2">
        <v>2026</v>
      </c>
      <c r="B3652" s="2">
        <v>4</v>
      </c>
      <c r="C3652" s="2" t="s">
        <v>623</v>
      </c>
      <c r="D3652" s="2" t="s">
        <v>38</v>
      </c>
      <c r="E3652" s="2" t="s">
        <v>39</v>
      </c>
      <c r="F3652" s="2">
        <v>513759654</v>
      </c>
      <c r="G3652" s="2" t="s">
        <v>41</v>
      </c>
      <c r="H3652" s="2" t="s">
        <v>624</v>
      </c>
      <c r="I3652" s="2" t="s">
        <v>625</v>
      </c>
      <c r="K3652" s="2" t="s">
        <v>422</v>
      </c>
      <c r="L3652" s="2" t="s">
        <v>41</v>
      </c>
      <c r="O3652" s="2" t="s">
        <v>43</v>
      </c>
      <c r="P3652" s="2" t="s">
        <v>597</v>
      </c>
      <c r="Q3652" s="2" t="s">
        <v>598</v>
      </c>
      <c r="R3652" s="2">
        <v>2</v>
      </c>
      <c r="S3652" s="2">
        <v>72</v>
      </c>
      <c r="T3652" s="2">
        <v>16.559999999999999</v>
      </c>
      <c r="U3652" s="2">
        <v>88.56</v>
      </c>
      <c r="W3652" s="5">
        <f t="shared" si="395"/>
        <v>1</v>
      </c>
      <c r="Y3652" s="2" t="s">
        <v>3256</v>
      </c>
      <c r="Z3652" s="2" t="s">
        <v>46</v>
      </c>
      <c r="AA3652" s="2" t="s">
        <v>47</v>
      </c>
      <c r="AB3652" s="2" t="s">
        <v>48</v>
      </c>
      <c r="AE3652" s="2">
        <f t="shared" si="397"/>
        <v>0</v>
      </c>
      <c r="AI3652" s="2">
        <f t="shared" si="398"/>
        <v>0</v>
      </c>
      <c r="AJ3652" s="2">
        <f t="shared" si="394"/>
        <v>72</v>
      </c>
      <c r="AK3652" s="5">
        <f t="shared" si="393"/>
        <v>1</v>
      </c>
    </row>
    <row r="3653" spans="1:37" x14ac:dyDescent="0.2">
      <c r="A3653" s="2">
        <v>2026</v>
      </c>
      <c r="B3653" s="2">
        <v>2</v>
      </c>
      <c r="C3653" s="2" t="s">
        <v>323</v>
      </c>
      <c r="D3653" s="2" t="s">
        <v>184</v>
      </c>
      <c r="F3653" s="2">
        <v>500048894</v>
      </c>
      <c r="G3653" s="2" t="s">
        <v>40</v>
      </c>
      <c r="H3653" s="2" t="s">
        <v>100</v>
      </c>
      <c r="I3653" s="2" t="s">
        <v>324</v>
      </c>
      <c r="K3653" s="2" t="s">
        <v>100</v>
      </c>
      <c r="L3653" s="2" t="s">
        <v>81</v>
      </c>
      <c r="N3653" s="2" t="s">
        <v>2870</v>
      </c>
      <c r="O3653" s="2" t="s">
        <v>73</v>
      </c>
      <c r="P3653" s="2" t="s">
        <v>561</v>
      </c>
      <c r="Q3653" s="2" t="s">
        <v>308</v>
      </c>
      <c r="R3653" s="2">
        <v>1</v>
      </c>
      <c r="S3653" s="2">
        <v>230</v>
      </c>
      <c r="T3653" s="2">
        <v>52.900000000000013</v>
      </c>
      <c r="U3653" s="2">
        <v>282.89999999999998</v>
      </c>
      <c r="V3653" s="2">
        <v>122.446</v>
      </c>
      <c r="W3653" s="5">
        <f t="shared" si="395"/>
        <v>0.46762608695652175</v>
      </c>
      <c r="Y3653" s="2" t="s">
        <v>3256</v>
      </c>
      <c r="Z3653" s="2" t="s">
        <v>76</v>
      </c>
      <c r="AA3653" s="2" t="s">
        <v>77</v>
      </c>
      <c r="AB3653" s="2" t="s">
        <v>78</v>
      </c>
      <c r="AE3653" s="2">
        <f t="shared" si="397"/>
        <v>0</v>
      </c>
      <c r="AF3653" s="2">
        <v>122.446</v>
      </c>
      <c r="AG3653" s="2">
        <v>230</v>
      </c>
      <c r="AI3653" s="2">
        <f t="shared" si="398"/>
        <v>0</v>
      </c>
      <c r="AJ3653" s="2">
        <f t="shared" si="394"/>
        <v>107.554</v>
      </c>
      <c r="AK3653" s="5">
        <f t="shared" si="393"/>
        <v>0.46762608695652175</v>
      </c>
    </row>
    <row r="3654" spans="1:37" x14ac:dyDescent="0.2">
      <c r="A3654" s="2">
        <v>2026</v>
      </c>
      <c r="B3654" s="2">
        <v>4</v>
      </c>
      <c r="C3654" s="2" t="s">
        <v>298</v>
      </c>
      <c r="D3654" s="2" t="s">
        <v>38</v>
      </c>
      <c r="E3654" s="2" t="s">
        <v>39</v>
      </c>
      <c r="F3654" s="2">
        <v>510939570</v>
      </c>
      <c r="G3654" s="2" t="s">
        <v>41</v>
      </c>
      <c r="H3654" s="2" t="s">
        <v>299</v>
      </c>
      <c r="I3654" s="2" t="s">
        <v>300</v>
      </c>
      <c r="J3654" s="2">
        <v>962678129</v>
      </c>
      <c r="K3654" s="2" t="s">
        <v>178</v>
      </c>
      <c r="L3654" s="2" t="s">
        <v>41</v>
      </c>
      <c r="N3654" s="2" t="s">
        <v>2871</v>
      </c>
      <c r="O3654" s="2" t="s">
        <v>43</v>
      </c>
      <c r="P3654" s="2" t="s">
        <v>51</v>
      </c>
      <c r="Q3654" s="2" t="s">
        <v>52</v>
      </c>
      <c r="R3654" s="2">
        <v>1</v>
      </c>
      <c r="S3654" s="2">
        <v>21</v>
      </c>
      <c r="T3654" s="2">
        <v>4.83</v>
      </c>
      <c r="U3654" s="2">
        <v>25.83</v>
      </c>
      <c r="V3654" s="2">
        <f>14.4*R3654</f>
        <v>14.4</v>
      </c>
      <c r="W3654" s="5">
        <f t="shared" si="395"/>
        <v>0.31428571428571428</v>
      </c>
      <c r="Y3654" s="2" t="s">
        <v>3256</v>
      </c>
      <c r="Z3654" s="2" t="s">
        <v>46</v>
      </c>
      <c r="AA3654" s="2" t="s">
        <v>47</v>
      </c>
      <c r="AB3654" s="2" t="s">
        <v>48</v>
      </c>
      <c r="AE3654" s="2">
        <f t="shared" si="397"/>
        <v>0</v>
      </c>
      <c r="AF3654" s="2">
        <v>14.4</v>
      </c>
      <c r="AG3654" s="2">
        <v>21</v>
      </c>
      <c r="AI3654" s="2">
        <f t="shared" si="398"/>
        <v>0</v>
      </c>
      <c r="AJ3654" s="2">
        <f t="shared" si="394"/>
        <v>6.6</v>
      </c>
      <c r="AK3654" s="5">
        <f t="shared" si="393"/>
        <v>0.31428571428571428</v>
      </c>
    </row>
    <row r="3655" spans="1:37" x14ac:dyDescent="0.2">
      <c r="A3655" s="2">
        <v>2026</v>
      </c>
      <c r="B3655" s="2">
        <v>2</v>
      </c>
      <c r="C3655" s="2" t="s">
        <v>323</v>
      </c>
      <c r="D3655" s="2" t="s">
        <v>184</v>
      </c>
      <c r="F3655" s="2">
        <v>500048894</v>
      </c>
      <c r="G3655" s="2" t="s">
        <v>40</v>
      </c>
      <c r="H3655" s="2" t="s">
        <v>100</v>
      </c>
      <c r="I3655" s="2" t="s">
        <v>324</v>
      </c>
      <c r="K3655" s="2" t="s">
        <v>100</v>
      </c>
      <c r="L3655" s="2" t="s">
        <v>81</v>
      </c>
      <c r="N3655" s="2" t="s">
        <v>2870</v>
      </c>
      <c r="O3655" s="2" t="s">
        <v>94</v>
      </c>
      <c r="P3655" s="2" t="s">
        <v>95</v>
      </c>
      <c r="Q3655" s="2" t="s">
        <v>96</v>
      </c>
      <c r="R3655" s="2">
        <v>1</v>
      </c>
      <c r="S3655" s="2">
        <v>1.48</v>
      </c>
      <c r="T3655" s="2">
        <v>0.34039999999999998</v>
      </c>
      <c r="U3655" s="2">
        <v>1.8204</v>
      </c>
      <c r="V3655" s="2">
        <v>1.48</v>
      </c>
      <c r="W3655" s="5">
        <f t="shared" si="395"/>
        <v>0</v>
      </c>
      <c r="Y3655" s="2" t="s">
        <v>3256</v>
      </c>
      <c r="Z3655" s="2" t="s">
        <v>97</v>
      </c>
      <c r="AA3655" s="2" t="s">
        <v>77</v>
      </c>
      <c r="AB3655" s="2" t="s">
        <v>94</v>
      </c>
      <c r="AE3655" s="2">
        <f t="shared" si="397"/>
        <v>0</v>
      </c>
      <c r="AF3655" s="2">
        <v>1.48</v>
      </c>
      <c r="AG3655" s="2">
        <v>1.48</v>
      </c>
      <c r="AI3655" s="2">
        <f t="shared" si="398"/>
        <v>0</v>
      </c>
      <c r="AJ3655" s="2">
        <f t="shared" si="394"/>
        <v>0</v>
      </c>
      <c r="AK3655" s="5">
        <f t="shared" si="393"/>
        <v>0</v>
      </c>
    </row>
    <row r="3656" spans="1:37" x14ac:dyDescent="0.2">
      <c r="A3656" s="2">
        <v>2026</v>
      </c>
      <c r="B3656" s="2">
        <v>4</v>
      </c>
      <c r="C3656" s="2" t="s">
        <v>988</v>
      </c>
      <c r="L3656" s="2" t="s">
        <v>41</v>
      </c>
      <c r="O3656" s="2" t="s">
        <v>43</v>
      </c>
      <c r="P3656" s="2" t="s">
        <v>161</v>
      </c>
      <c r="Q3656" s="2" t="s">
        <v>162</v>
      </c>
      <c r="R3656" s="2">
        <v>1</v>
      </c>
      <c r="S3656" s="2">
        <v>9</v>
      </c>
      <c r="T3656" s="2">
        <v>2.0699999999999998</v>
      </c>
      <c r="U3656" s="2">
        <v>11.07</v>
      </c>
      <c r="V3656" s="2">
        <f>3.7358*R3656</f>
        <v>3.7357999999999998</v>
      </c>
      <c r="W3656" s="5">
        <f t="shared" si="395"/>
        <v>0.58491111111111116</v>
      </c>
      <c r="Y3656" s="2" t="s">
        <v>3256</v>
      </c>
      <c r="Z3656" s="2" t="s">
        <v>46</v>
      </c>
      <c r="AA3656" s="2" t="s">
        <v>47</v>
      </c>
      <c r="AB3656" s="2" t="s">
        <v>48</v>
      </c>
      <c r="AE3656" s="2">
        <f t="shared" si="397"/>
        <v>0</v>
      </c>
      <c r="AF3656" s="2">
        <v>3.7357999999999998</v>
      </c>
      <c r="AG3656" s="2">
        <v>9</v>
      </c>
      <c r="AI3656" s="2">
        <f t="shared" si="398"/>
        <v>0</v>
      </c>
      <c r="AJ3656" s="2">
        <f t="shared" si="394"/>
        <v>5.2642000000000007</v>
      </c>
      <c r="AK3656" s="5">
        <f t="shared" si="393"/>
        <v>0.58491111111111116</v>
      </c>
    </row>
    <row r="3657" spans="1:37" x14ac:dyDescent="0.2">
      <c r="A3657" s="2">
        <v>2026</v>
      </c>
      <c r="B3657" s="2">
        <v>4</v>
      </c>
      <c r="C3657" s="2" t="s">
        <v>2868</v>
      </c>
      <c r="L3657" s="2" t="s">
        <v>81</v>
      </c>
      <c r="O3657" s="2" t="s">
        <v>43</v>
      </c>
      <c r="P3657" s="2" t="s">
        <v>161</v>
      </c>
      <c r="Q3657" s="2" t="s">
        <v>162</v>
      </c>
      <c r="R3657" s="2">
        <v>1</v>
      </c>
      <c r="S3657" s="2">
        <v>9</v>
      </c>
      <c r="T3657" s="2">
        <v>2.0699999999999998</v>
      </c>
      <c r="U3657" s="2">
        <v>11.07</v>
      </c>
      <c r="V3657" s="2">
        <f>3.7358*R3657</f>
        <v>3.7357999999999998</v>
      </c>
      <c r="W3657" s="5">
        <f t="shared" si="395"/>
        <v>0.58491111111111116</v>
      </c>
      <c r="Y3657" s="2" t="s">
        <v>3256</v>
      </c>
      <c r="Z3657" s="2" t="s">
        <v>46</v>
      </c>
      <c r="AA3657" s="2" t="s">
        <v>47</v>
      </c>
      <c r="AB3657" s="2" t="s">
        <v>48</v>
      </c>
      <c r="AE3657" s="2">
        <f t="shared" si="397"/>
        <v>0</v>
      </c>
      <c r="AF3657" s="2">
        <v>3.7357999999999998</v>
      </c>
      <c r="AG3657" s="2">
        <v>9</v>
      </c>
      <c r="AI3657" s="2">
        <f t="shared" si="398"/>
        <v>0</v>
      </c>
      <c r="AJ3657" s="2">
        <f t="shared" si="394"/>
        <v>5.2642000000000007</v>
      </c>
      <c r="AK3657" s="5">
        <f t="shared" si="393"/>
        <v>0.58491111111111116</v>
      </c>
    </row>
    <row r="3658" spans="1:37" x14ac:dyDescent="0.2">
      <c r="A3658" s="2">
        <v>2026</v>
      </c>
      <c r="B3658" s="2">
        <v>4</v>
      </c>
      <c r="C3658" s="2" t="s">
        <v>2860</v>
      </c>
      <c r="D3658" s="2" t="s">
        <v>38</v>
      </c>
      <c r="F3658" s="2">
        <v>184822033</v>
      </c>
      <c r="H3658" s="2" t="s">
        <v>2864</v>
      </c>
      <c r="K3658" s="2" t="s">
        <v>465</v>
      </c>
      <c r="L3658" s="2" t="s">
        <v>110</v>
      </c>
      <c r="N3658" s="2" t="s">
        <v>2862</v>
      </c>
      <c r="O3658" s="2" t="s">
        <v>43</v>
      </c>
      <c r="P3658" s="2" t="s">
        <v>53</v>
      </c>
      <c r="Q3658" s="2" t="s">
        <v>54</v>
      </c>
      <c r="R3658" s="2">
        <v>1</v>
      </c>
      <c r="S3658" s="2">
        <v>10.8</v>
      </c>
      <c r="T3658" s="2">
        <v>2.484</v>
      </c>
      <c r="U3658" s="2">
        <v>13.284000000000001</v>
      </c>
      <c r="V3658" s="2">
        <f>5.2973*R3658</f>
        <v>5.2972999999999999</v>
      </c>
      <c r="W3658" s="5">
        <f t="shared" si="395"/>
        <v>0.50950925925925927</v>
      </c>
      <c r="Y3658" s="2" t="s">
        <v>3256</v>
      </c>
      <c r="Z3658" s="2" t="s">
        <v>46</v>
      </c>
      <c r="AA3658" s="2" t="s">
        <v>47</v>
      </c>
      <c r="AB3658" s="2" t="s">
        <v>48</v>
      </c>
      <c r="AE3658" s="2">
        <f t="shared" si="397"/>
        <v>0</v>
      </c>
      <c r="AF3658" s="2">
        <v>5.2972999999999999</v>
      </c>
      <c r="AG3658" s="2">
        <v>10.8</v>
      </c>
      <c r="AI3658" s="2">
        <f t="shared" si="398"/>
        <v>0</v>
      </c>
      <c r="AJ3658" s="2">
        <f t="shared" si="394"/>
        <v>5.5027000000000008</v>
      </c>
      <c r="AK3658" s="5">
        <f t="shared" si="393"/>
        <v>0.50950925925925927</v>
      </c>
    </row>
    <row r="3659" spans="1:37" x14ac:dyDescent="0.2">
      <c r="A3659" s="2">
        <v>2026</v>
      </c>
      <c r="B3659" s="2">
        <v>4</v>
      </c>
      <c r="C3659" s="2" t="s">
        <v>426</v>
      </c>
      <c r="D3659" s="2" t="s">
        <v>99</v>
      </c>
      <c r="E3659" s="2" t="s">
        <v>39</v>
      </c>
      <c r="F3659" s="2">
        <v>503523470</v>
      </c>
      <c r="G3659" s="2" t="s">
        <v>40</v>
      </c>
      <c r="H3659" s="2" t="s">
        <v>427</v>
      </c>
      <c r="I3659" s="2" t="s">
        <v>428</v>
      </c>
      <c r="K3659" s="2" t="s">
        <v>202</v>
      </c>
      <c r="L3659" s="2" t="s">
        <v>81</v>
      </c>
      <c r="N3659" s="2" t="s">
        <v>2863</v>
      </c>
      <c r="O3659" s="2" t="s">
        <v>43</v>
      </c>
      <c r="P3659" s="2" t="s">
        <v>2872</v>
      </c>
      <c r="Q3659" s="2" t="s">
        <v>2873</v>
      </c>
      <c r="R3659" s="2">
        <v>1</v>
      </c>
      <c r="S3659" s="2">
        <v>30</v>
      </c>
      <c r="T3659" s="2">
        <v>6.9</v>
      </c>
      <c r="U3659" s="2">
        <v>36.9</v>
      </c>
      <c r="V3659" s="2">
        <v>12.73</v>
      </c>
      <c r="W3659" s="5">
        <f t="shared" si="395"/>
        <v>0.57566666666666666</v>
      </c>
      <c r="Y3659" s="2" t="s">
        <v>3256</v>
      </c>
      <c r="Z3659" s="2" t="s">
        <v>46</v>
      </c>
      <c r="AA3659" s="2" t="s">
        <v>47</v>
      </c>
      <c r="AB3659" s="2" t="s">
        <v>48</v>
      </c>
      <c r="AE3659" s="2">
        <f t="shared" si="397"/>
        <v>0</v>
      </c>
      <c r="AF3659" s="2">
        <v>12.73</v>
      </c>
      <c r="AG3659" s="2">
        <v>30</v>
      </c>
      <c r="AI3659" s="2">
        <f t="shared" si="398"/>
        <v>0</v>
      </c>
      <c r="AJ3659" s="2">
        <f t="shared" si="394"/>
        <v>17.27</v>
      </c>
      <c r="AK3659" s="5">
        <f t="shared" si="393"/>
        <v>0.57566666666666666</v>
      </c>
    </row>
    <row r="3660" spans="1:37" x14ac:dyDescent="0.2">
      <c r="A3660" s="2">
        <v>2026</v>
      </c>
      <c r="B3660" s="2">
        <v>4</v>
      </c>
      <c r="C3660" s="2" t="s">
        <v>1906</v>
      </c>
      <c r="O3660" s="2" t="s">
        <v>43</v>
      </c>
      <c r="P3660" s="2" t="s">
        <v>215</v>
      </c>
      <c r="Q3660" s="2" t="s">
        <v>216</v>
      </c>
      <c r="R3660" s="2">
        <v>2</v>
      </c>
      <c r="S3660" s="2">
        <v>30</v>
      </c>
      <c r="T3660" s="2">
        <v>6.9</v>
      </c>
      <c r="U3660" s="2">
        <v>36.9</v>
      </c>
      <c r="W3660" s="5">
        <f t="shared" si="395"/>
        <v>1</v>
      </c>
      <c r="Y3660" s="2" t="s">
        <v>3256</v>
      </c>
      <c r="Z3660" s="2" t="s">
        <v>46</v>
      </c>
      <c r="AA3660" s="2" t="s">
        <v>57</v>
      </c>
      <c r="AB3660" s="2" t="s">
        <v>58</v>
      </c>
      <c r="AE3660" s="2">
        <f t="shared" si="397"/>
        <v>0</v>
      </c>
      <c r="AI3660" s="2">
        <f t="shared" si="398"/>
        <v>0</v>
      </c>
      <c r="AJ3660" s="2">
        <f t="shared" si="394"/>
        <v>30</v>
      </c>
      <c r="AK3660" s="5">
        <f t="shared" si="393"/>
        <v>1</v>
      </c>
    </row>
    <row r="3661" spans="1:37" x14ac:dyDescent="0.2">
      <c r="A3661" s="2">
        <v>2026</v>
      </c>
      <c r="B3661" s="2">
        <v>4</v>
      </c>
      <c r="C3661" s="2" t="s">
        <v>2538</v>
      </c>
      <c r="D3661" s="2" t="s">
        <v>758</v>
      </c>
      <c r="E3661" s="2" t="s">
        <v>39</v>
      </c>
      <c r="F3661" s="2">
        <v>515570354</v>
      </c>
      <c r="G3661" s="2" t="s">
        <v>110</v>
      </c>
      <c r="H3661" s="2" t="s">
        <v>2539</v>
      </c>
      <c r="I3661" s="2" t="s">
        <v>2540</v>
      </c>
      <c r="J3661" s="2">
        <v>967032538</v>
      </c>
      <c r="K3661" s="2" t="s">
        <v>400</v>
      </c>
      <c r="L3661" s="2" t="s">
        <v>110</v>
      </c>
      <c r="O3661" s="2" t="s">
        <v>43</v>
      </c>
      <c r="P3661" s="2" t="s">
        <v>217</v>
      </c>
      <c r="Q3661" s="2" t="s">
        <v>218</v>
      </c>
      <c r="R3661" s="2">
        <v>1</v>
      </c>
      <c r="S3661" s="2">
        <v>19.2</v>
      </c>
      <c r="T3661" s="2">
        <v>4.4160000000000004</v>
      </c>
      <c r="U3661" s="2">
        <v>23.616</v>
      </c>
      <c r="W3661" s="5">
        <f t="shared" si="395"/>
        <v>1</v>
      </c>
      <c r="Y3661" s="2" t="s">
        <v>3256</v>
      </c>
      <c r="Z3661" s="2" t="s">
        <v>46</v>
      </c>
      <c r="AA3661" s="2" t="s">
        <v>57</v>
      </c>
      <c r="AB3661" s="2" t="s">
        <v>58</v>
      </c>
      <c r="AE3661" s="2">
        <f t="shared" si="397"/>
        <v>0</v>
      </c>
      <c r="AI3661" s="2">
        <f t="shared" si="398"/>
        <v>0</v>
      </c>
      <c r="AJ3661" s="2">
        <f t="shared" si="394"/>
        <v>19.2</v>
      </c>
      <c r="AK3661" s="5">
        <f t="shared" si="393"/>
        <v>1</v>
      </c>
    </row>
    <row r="3662" spans="1:37" x14ac:dyDescent="0.2">
      <c r="A3662" s="2">
        <v>2026</v>
      </c>
      <c r="B3662" s="2">
        <v>4</v>
      </c>
      <c r="C3662" s="2" t="s">
        <v>2538</v>
      </c>
      <c r="D3662" s="2" t="s">
        <v>758</v>
      </c>
      <c r="E3662" s="2" t="s">
        <v>39</v>
      </c>
      <c r="F3662" s="2">
        <v>515570354</v>
      </c>
      <c r="G3662" s="2" t="s">
        <v>110</v>
      </c>
      <c r="H3662" s="2" t="s">
        <v>2539</v>
      </c>
      <c r="I3662" s="2" t="s">
        <v>2540</v>
      </c>
      <c r="J3662" s="2">
        <v>967032538</v>
      </c>
      <c r="K3662" s="2" t="s">
        <v>400</v>
      </c>
      <c r="L3662" s="2" t="s">
        <v>110</v>
      </c>
      <c r="O3662" s="2" t="s">
        <v>43</v>
      </c>
      <c r="P3662" s="2" t="s">
        <v>219</v>
      </c>
      <c r="Q3662" s="2" t="s">
        <v>220</v>
      </c>
      <c r="R3662" s="2">
        <v>1</v>
      </c>
      <c r="S3662" s="2">
        <v>23.4</v>
      </c>
      <c r="T3662" s="2">
        <v>5.3819999999999997</v>
      </c>
      <c r="U3662" s="2">
        <v>28.782</v>
      </c>
      <c r="W3662" s="5">
        <f t="shared" si="395"/>
        <v>1</v>
      </c>
      <c r="Y3662" s="2" t="s">
        <v>3256</v>
      </c>
      <c r="Z3662" s="2" t="s">
        <v>46</v>
      </c>
      <c r="AA3662" s="2" t="s">
        <v>57</v>
      </c>
      <c r="AB3662" s="2" t="s">
        <v>58</v>
      </c>
      <c r="AE3662" s="2">
        <f t="shared" si="397"/>
        <v>0</v>
      </c>
      <c r="AI3662" s="2">
        <f t="shared" si="398"/>
        <v>0</v>
      </c>
      <c r="AJ3662" s="2">
        <f t="shared" si="394"/>
        <v>23.4</v>
      </c>
      <c r="AK3662" s="5">
        <f t="shared" si="393"/>
        <v>1</v>
      </c>
    </row>
    <row r="3663" spans="1:37" x14ac:dyDescent="0.2">
      <c r="A3663" s="2">
        <v>2026</v>
      </c>
      <c r="B3663" s="2">
        <v>3</v>
      </c>
      <c r="C3663" s="2" t="s">
        <v>2874</v>
      </c>
      <c r="L3663" s="2" t="s">
        <v>81</v>
      </c>
      <c r="O3663" s="2" t="s">
        <v>43</v>
      </c>
      <c r="P3663" s="2" t="s">
        <v>49</v>
      </c>
      <c r="Q3663" s="2" t="s">
        <v>50</v>
      </c>
      <c r="R3663" s="2">
        <v>1</v>
      </c>
      <c r="S3663" s="2">
        <v>12</v>
      </c>
      <c r="T3663" s="2">
        <v>2.76</v>
      </c>
      <c r="U3663" s="2">
        <v>14.76</v>
      </c>
      <c r="V3663" s="2">
        <f>6.6267*R3663</f>
        <v>6.6266999999999996</v>
      </c>
      <c r="W3663" s="5">
        <f t="shared" si="395"/>
        <v>0.44777500000000003</v>
      </c>
      <c r="Y3663" s="2" t="s">
        <v>3256</v>
      </c>
      <c r="Z3663" s="2" t="s">
        <v>46</v>
      </c>
      <c r="AA3663" s="2" t="s">
        <v>47</v>
      </c>
      <c r="AB3663" s="2" t="s">
        <v>48</v>
      </c>
      <c r="AE3663" s="2">
        <f t="shared" si="397"/>
        <v>0</v>
      </c>
      <c r="AF3663" s="2">
        <v>6.6266999999999996</v>
      </c>
      <c r="AG3663" s="2">
        <v>12</v>
      </c>
      <c r="AI3663" s="2">
        <f t="shared" si="398"/>
        <v>0</v>
      </c>
      <c r="AJ3663" s="2">
        <f t="shared" si="394"/>
        <v>5.3733000000000004</v>
      </c>
      <c r="AK3663" s="5">
        <f t="shared" si="393"/>
        <v>0.44777500000000003</v>
      </c>
    </row>
    <row r="3664" spans="1:37" x14ac:dyDescent="0.2">
      <c r="A3664" s="2">
        <v>2026</v>
      </c>
      <c r="B3664" s="2">
        <v>4</v>
      </c>
      <c r="C3664" s="2" t="s">
        <v>426</v>
      </c>
      <c r="D3664" s="2" t="s">
        <v>99</v>
      </c>
      <c r="E3664" s="2" t="s">
        <v>39</v>
      </c>
      <c r="F3664" s="2">
        <v>503523470</v>
      </c>
      <c r="G3664" s="2" t="s">
        <v>40</v>
      </c>
      <c r="H3664" s="2" t="s">
        <v>427</v>
      </c>
      <c r="I3664" s="2" t="s">
        <v>428</v>
      </c>
      <c r="K3664" s="2" t="s">
        <v>202</v>
      </c>
      <c r="L3664" s="2" t="s">
        <v>81</v>
      </c>
      <c r="O3664" s="2" t="s">
        <v>43</v>
      </c>
      <c r="P3664" s="2" t="s">
        <v>235</v>
      </c>
      <c r="Q3664" s="2" t="s">
        <v>236</v>
      </c>
      <c r="R3664" s="2">
        <v>1</v>
      </c>
      <c r="S3664" s="2">
        <v>14.4</v>
      </c>
      <c r="T3664" s="2">
        <v>3.3119999999999998</v>
      </c>
      <c r="U3664" s="2">
        <v>17.712</v>
      </c>
      <c r="V3664" s="2">
        <v>7.2217000000000002</v>
      </c>
      <c r="W3664" s="5">
        <f t="shared" si="395"/>
        <v>0.49849305555555556</v>
      </c>
      <c r="Y3664" s="2" t="s">
        <v>3256</v>
      </c>
      <c r="Z3664" s="2" t="s">
        <v>46</v>
      </c>
      <c r="AA3664" s="2" t="s">
        <v>57</v>
      </c>
      <c r="AB3664" s="2" t="s">
        <v>58</v>
      </c>
      <c r="AE3664" s="2">
        <f t="shared" si="397"/>
        <v>0</v>
      </c>
      <c r="AF3664" s="2">
        <v>7.2217000000000002</v>
      </c>
      <c r="AG3664" s="2">
        <v>14.4</v>
      </c>
      <c r="AI3664" s="2">
        <f t="shared" si="398"/>
        <v>0</v>
      </c>
      <c r="AJ3664" s="2">
        <f t="shared" si="394"/>
        <v>7.1783000000000001</v>
      </c>
      <c r="AK3664" s="5">
        <f t="shared" si="393"/>
        <v>0.49849305555555556</v>
      </c>
    </row>
    <row r="3665" spans="1:37" x14ac:dyDescent="0.2">
      <c r="A3665" s="2">
        <v>2026</v>
      </c>
      <c r="B3665" s="2">
        <v>4</v>
      </c>
      <c r="C3665" s="2" t="s">
        <v>905</v>
      </c>
      <c r="D3665" s="2" t="s">
        <v>109</v>
      </c>
      <c r="E3665" s="2" t="s">
        <v>39</v>
      </c>
      <c r="G3665" s="2" t="s">
        <v>40</v>
      </c>
      <c r="H3665" s="2" t="s">
        <v>157</v>
      </c>
      <c r="I3665" s="2" t="s">
        <v>906</v>
      </c>
      <c r="J3665" s="2">
        <v>912047019</v>
      </c>
      <c r="K3665" s="2" t="s">
        <v>100</v>
      </c>
      <c r="L3665" s="2" t="s">
        <v>81</v>
      </c>
      <c r="N3665" s="2" t="s">
        <v>2875</v>
      </c>
      <c r="O3665" s="2" t="s">
        <v>43</v>
      </c>
      <c r="P3665" s="2" t="s">
        <v>235</v>
      </c>
      <c r="Q3665" s="2" t="s">
        <v>236</v>
      </c>
      <c r="R3665" s="2">
        <v>1</v>
      </c>
      <c r="S3665" s="2">
        <v>14.4</v>
      </c>
      <c r="T3665" s="2">
        <v>3.3119999999999998</v>
      </c>
      <c r="U3665" s="2">
        <v>17.712</v>
      </c>
      <c r="V3665" s="2">
        <v>7.2217000000000002</v>
      </c>
      <c r="W3665" s="5">
        <f t="shared" si="395"/>
        <v>0.49849305555555556</v>
      </c>
      <c r="Y3665" s="2" t="s">
        <v>3256</v>
      </c>
      <c r="Z3665" s="2" t="s">
        <v>46</v>
      </c>
      <c r="AA3665" s="2" t="s">
        <v>57</v>
      </c>
      <c r="AB3665" s="2" t="s">
        <v>58</v>
      </c>
      <c r="AE3665" s="2">
        <f t="shared" si="397"/>
        <v>0</v>
      </c>
      <c r="AF3665" s="2">
        <v>7.2217000000000002</v>
      </c>
      <c r="AG3665" s="2">
        <v>14.4</v>
      </c>
      <c r="AI3665" s="2">
        <f t="shared" si="398"/>
        <v>0</v>
      </c>
      <c r="AJ3665" s="2">
        <f t="shared" si="394"/>
        <v>7.1783000000000001</v>
      </c>
      <c r="AK3665" s="5">
        <f t="shared" si="393"/>
        <v>0.49849305555555556</v>
      </c>
    </row>
    <row r="3666" spans="1:37" x14ac:dyDescent="0.2">
      <c r="A3666" s="2">
        <v>2026</v>
      </c>
      <c r="B3666" s="2">
        <v>4</v>
      </c>
      <c r="C3666" s="2" t="s">
        <v>426</v>
      </c>
      <c r="D3666" s="2" t="s">
        <v>99</v>
      </c>
      <c r="E3666" s="2" t="s">
        <v>39</v>
      </c>
      <c r="F3666" s="2">
        <v>503523470</v>
      </c>
      <c r="G3666" s="2" t="s">
        <v>40</v>
      </c>
      <c r="H3666" s="2" t="s">
        <v>427</v>
      </c>
      <c r="I3666" s="2" t="s">
        <v>428</v>
      </c>
      <c r="K3666" s="2" t="s">
        <v>202</v>
      </c>
      <c r="L3666" s="2" t="s">
        <v>81</v>
      </c>
      <c r="O3666" s="2" t="s">
        <v>43</v>
      </c>
      <c r="P3666" s="2" t="s">
        <v>237</v>
      </c>
      <c r="Q3666" s="2" t="s">
        <v>238</v>
      </c>
      <c r="R3666" s="2">
        <v>1</v>
      </c>
      <c r="S3666" s="2">
        <v>17.399999999999999</v>
      </c>
      <c r="T3666" s="2">
        <v>4.0019999999999998</v>
      </c>
      <c r="U3666" s="2">
        <v>21.402000000000001</v>
      </c>
      <c r="W3666" s="5">
        <f t="shared" si="395"/>
        <v>1</v>
      </c>
      <c r="Y3666" s="2" t="s">
        <v>3256</v>
      </c>
      <c r="Z3666" s="2" t="s">
        <v>46</v>
      </c>
      <c r="AA3666" s="2" t="s">
        <v>57</v>
      </c>
      <c r="AB3666" s="2" t="s">
        <v>58</v>
      </c>
      <c r="AE3666" s="2">
        <f t="shared" si="397"/>
        <v>0</v>
      </c>
      <c r="AI3666" s="2">
        <f t="shared" si="398"/>
        <v>0</v>
      </c>
      <c r="AJ3666" s="2">
        <f t="shared" si="394"/>
        <v>17.399999999999999</v>
      </c>
      <c r="AK3666" s="5">
        <f t="shared" si="393"/>
        <v>1</v>
      </c>
    </row>
    <row r="3667" spans="1:37" x14ac:dyDescent="0.2">
      <c r="A3667" s="2">
        <v>2026</v>
      </c>
      <c r="B3667" s="2">
        <v>4</v>
      </c>
      <c r="C3667" s="2" t="s">
        <v>905</v>
      </c>
      <c r="D3667" s="2" t="s">
        <v>109</v>
      </c>
      <c r="E3667" s="2" t="s">
        <v>39</v>
      </c>
      <c r="G3667" s="2" t="s">
        <v>40</v>
      </c>
      <c r="H3667" s="2" t="s">
        <v>157</v>
      </c>
      <c r="I3667" s="2" t="s">
        <v>906</v>
      </c>
      <c r="J3667" s="2">
        <v>912047019</v>
      </c>
      <c r="K3667" s="2" t="s">
        <v>100</v>
      </c>
      <c r="L3667" s="2" t="s">
        <v>81</v>
      </c>
      <c r="N3667" s="2" t="s">
        <v>2875</v>
      </c>
      <c r="O3667" s="2" t="s">
        <v>43</v>
      </c>
      <c r="P3667" s="2" t="s">
        <v>237</v>
      </c>
      <c r="Q3667" s="2" t="s">
        <v>238</v>
      </c>
      <c r="R3667" s="2">
        <v>1</v>
      </c>
      <c r="S3667" s="2">
        <v>17.399999999999999</v>
      </c>
      <c r="T3667" s="2">
        <v>4.0019999999999998</v>
      </c>
      <c r="U3667" s="2">
        <v>21.402000000000001</v>
      </c>
      <c r="W3667" s="5">
        <f t="shared" si="395"/>
        <v>1</v>
      </c>
      <c r="Y3667" s="2" t="s">
        <v>3256</v>
      </c>
      <c r="Z3667" s="2" t="s">
        <v>46</v>
      </c>
      <c r="AA3667" s="2" t="s">
        <v>57</v>
      </c>
      <c r="AB3667" s="2" t="s">
        <v>58</v>
      </c>
      <c r="AE3667" s="2">
        <f t="shared" si="397"/>
        <v>0</v>
      </c>
      <c r="AI3667" s="2">
        <f t="shared" si="398"/>
        <v>0</v>
      </c>
      <c r="AJ3667" s="2">
        <f t="shared" si="394"/>
        <v>17.399999999999999</v>
      </c>
      <c r="AK3667" s="5">
        <f t="shared" si="393"/>
        <v>1</v>
      </c>
    </row>
    <row r="3668" spans="1:37" x14ac:dyDescent="0.2">
      <c r="A3668" s="2">
        <v>2026</v>
      </c>
      <c r="B3668" s="2">
        <v>4</v>
      </c>
      <c r="C3668" s="2" t="s">
        <v>426</v>
      </c>
      <c r="D3668" s="2" t="s">
        <v>99</v>
      </c>
      <c r="E3668" s="2" t="s">
        <v>39</v>
      </c>
      <c r="F3668" s="2">
        <v>503523470</v>
      </c>
      <c r="G3668" s="2" t="s">
        <v>40</v>
      </c>
      <c r="H3668" s="2" t="s">
        <v>427</v>
      </c>
      <c r="I3668" s="2" t="s">
        <v>428</v>
      </c>
      <c r="K3668" s="2" t="s">
        <v>202</v>
      </c>
      <c r="L3668" s="2" t="s">
        <v>81</v>
      </c>
      <c r="O3668" s="2" t="s">
        <v>43</v>
      </c>
      <c r="P3668" s="2" t="s">
        <v>239</v>
      </c>
      <c r="Q3668" s="2" t="s">
        <v>240</v>
      </c>
      <c r="R3668" s="2">
        <v>1</v>
      </c>
      <c r="S3668" s="2">
        <v>21</v>
      </c>
      <c r="T3668" s="2">
        <v>4.83</v>
      </c>
      <c r="U3668" s="2">
        <v>25.83</v>
      </c>
      <c r="W3668" s="5">
        <f t="shared" si="395"/>
        <v>1</v>
      </c>
      <c r="Y3668" s="2" t="s">
        <v>3256</v>
      </c>
      <c r="Z3668" s="2" t="s">
        <v>46</v>
      </c>
      <c r="AA3668" s="2" t="s">
        <v>57</v>
      </c>
      <c r="AB3668" s="2" t="s">
        <v>58</v>
      </c>
      <c r="AE3668" s="2">
        <f t="shared" si="397"/>
        <v>0</v>
      </c>
      <c r="AI3668" s="2">
        <f t="shared" si="398"/>
        <v>0</v>
      </c>
      <c r="AJ3668" s="2">
        <f t="shared" si="394"/>
        <v>21</v>
      </c>
      <c r="AK3668" s="5">
        <f t="shared" si="393"/>
        <v>1</v>
      </c>
    </row>
    <row r="3669" spans="1:37" x14ac:dyDescent="0.2">
      <c r="A3669" s="2">
        <v>2026</v>
      </c>
      <c r="B3669" s="2">
        <v>4</v>
      </c>
      <c r="C3669" s="2" t="s">
        <v>905</v>
      </c>
      <c r="D3669" s="2" t="s">
        <v>109</v>
      </c>
      <c r="E3669" s="2" t="s">
        <v>39</v>
      </c>
      <c r="G3669" s="2" t="s">
        <v>40</v>
      </c>
      <c r="H3669" s="2" t="s">
        <v>157</v>
      </c>
      <c r="I3669" s="2" t="s">
        <v>906</v>
      </c>
      <c r="J3669" s="2">
        <v>912047019</v>
      </c>
      <c r="K3669" s="2" t="s">
        <v>100</v>
      </c>
      <c r="L3669" s="2" t="s">
        <v>81</v>
      </c>
      <c r="N3669" s="2" t="s">
        <v>2875</v>
      </c>
      <c r="O3669" s="2" t="s">
        <v>43</v>
      </c>
      <c r="P3669" s="2" t="s">
        <v>239</v>
      </c>
      <c r="Q3669" s="2" t="s">
        <v>240</v>
      </c>
      <c r="R3669" s="2">
        <v>1</v>
      </c>
      <c r="S3669" s="2">
        <v>21</v>
      </c>
      <c r="T3669" s="2">
        <v>4.83</v>
      </c>
      <c r="U3669" s="2">
        <v>25.83</v>
      </c>
      <c r="W3669" s="5">
        <f t="shared" si="395"/>
        <v>1</v>
      </c>
      <c r="Y3669" s="2" t="s">
        <v>3256</v>
      </c>
      <c r="Z3669" s="2" t="s">
        <v>46</v>
      </c>
      <c r="AA3669" s="2" t="s">
        <v>57</v>
      </c>
      <c r="AB3669" s="2" t="s">
        <v>58</v>
      </c>
      <c r="AE3669" s="2">
        <f t="shared" si="397"/>
        <v>0</v>
      </c>
      <c r="AI3669" s="2">
        <f t="shared" si="398"/>
        <v>0</v>
      </c>
      <c r="AJ3669" s="2">
        <f t="shared" si="394"/>
        <v>21</v>
      </c>
      <c r="AK3669" s="5">
        <f t="shared" si="393"/>
        <v>1</v>
      </c>
    </row>
    <row r="3670" spans="1:37" x14ac:dyDescent="0.2">
      <c r="A3670" s="2">
        <v>2026</v>
      </c>
      <c r="B3670" s="2">
        <v>4</v>
      </c>
      <c r="C3670" s="2" t="s">
        <v>1187</v>
      </c>
      <c r="D3670" s="2" t="s">
        <v>38</v>
      </c>
      <c r="E3670" s="2" t="s">
        <v>39</v>
      </c>
      <c r="F3670" s="2">
        <v>502089075</v>
      </c>
      <c r="G3670" s="2" t="s">
        <v>41</v>
      </c>
      <c r="H3670" s="2" t="s">
        <v>1188</v>
      </c>
      <c r="I3670" s="2" t="s">
        <v>1189</v>
      </c>
      <c r="K3670" s="2" t="s">
        <v>465</v>
      </c>
      <c r="L3670" s="2" t="s">
        <v>41</v>
      </c>
      <c r="N3670" s="2" t="s">
        <v>2876</v>
      </c>
      <c r="O3670" s="2" t="s">
        <v>43</v>
      </c>
      <c r="P3670" s="2" t="s">
        <v>241</v>
      </c>
      <c r="Q3670" s="2" t="s">
        <v>242</v>
      </c>
      <c r="R3670" s="2">
        <v>2</v>
      </c>
      <c r="S3670" s="2">
        <v>50.4</v>
      </c>
      <c r="T3670" s="2">
        <v>11.592000000000001</v>
      </c>
      <c r="U3670" s="2">
        <v>61.991999999999997</v>
      </c>
      <c r="W3670" s="5">
        <f t="shared" si="395"/>
        <v>1</v>
      </c>
      <c r="Y3670" s="2" t="s">
        <v>3256</v>
      </c>
      <c r="Z3670" s="2" t="s">
        <v>46</v>
      </c>
      <c r="AA3670" s="2" t="s">
        <v>57</v>
      </c>
      <c r="AB3670" s="2" t="s">
        <v>58</v>
      </c>
      <c r="AE3670" s="2">
        <f t="shared" si="397"/>
        <v>0</v>
      </c>
      <c r="AI3670" s="2">
        <f t="shared" si="398"/>
        <v>0</v>
      </c>
      <c r="AJ3670" s="2">
        <f t="shared" si="394"/>
        <v>50.4</v>
      </c>
      <c r="AK3670" s="5">
        <f t="shared" si="393"/>
        <v>1</v>
      </c>
    </row>
    <row r="3671" spans="1:37" x14ac:dyDescent="0.2">
      <c r="A3671" s="2">
        <v>2026</v>
      </c>
      <c r="B3671" s="2">
        <v>4</v>
      </c>
      <c r="C3671" s="2" t="s">
        <v>905</v>
      </c>
      <c r="D3671" s="2" t="s">
        <v>109</v>
      </c>
      <c r="E3671" s="2" t="s">
        <v>39</v>
      </c>
      <c r="G3671" s="2" t="s">
        <v>40</v>
      </c>
      <c r="H3671" s="2" t="s">
        <v>157</v>
      </c>
      <c r="I3671" s="2" t="s">
        <v>906</v>
      </c>
      <c r="J3671" s="2">
        <v>912047019</v>
      </c>
      <c r="K3671" s="2" t="s">
        <v>100</v>
      </c>
      <c r="L3671" s="2" t="s">
        <v>81</v>
      </c>
      <c r="N3671" s="2" t="s">
        <v>2875</v>
      </c>
      <c r="O3671" s="2" t="s">
        <v>43</v>
      </c>
      <c r="P3671" s="2" t="s">
        <v>241</v>
      </c>
      <c r="Q3671" s="2" t="s">
        <v>242</v>
      </c>
      <c r="R3671" s="2">
        <v>1</v>
      </c>
      <c r="S3671" s="2">
        <v>25.2</v>
      </c>
      <c r="T3671" s="2">
        <v>5.7960000000000003</v>
      </c>
      <c r="U3671" s="2">
        <v>30.995999999999999</v>
      </c>
      <c r="W3671" s="5">
        <f t="shared" ref="W3671:W3699" si="399">(S3671-V3671)/S3671</f>
        <v>1</v>
      </c>
      <c r="Y3671" s="2" t="s">
        <v>3256</v>
      </c>
      <c r="Z3671" s="2" t="s">
        <v>46</v>
      </c>
      <c r="AA3671" s="2" t="s">
        <v>57</v>
      </c>
      <c r="AB3671" s="2" t="s">
        <v>58</v>
      </c>
      <c r="AE3671" s="2">
        <f t="shared" si="397"/>
        <v>0</v>
      </c>
      <c r="AI3671" s="2">
        <f t="shared" si="398"/>
        <v>0</v>
      </c>
      <c r="AJ3671" s="2">
        <f t="shared" si="394"/>
        <v>25.2</v>
      </c>
      <c r="AK3671" s="5">
        <f t="shared" si="393"/>
        <v>1</v>
      </c>
    </row>
    <row r="3672" spans="1:37" x14ac:dyDescent="0.2">
      <c r="A3672" s="2">
        <v>2026</v>
      </c>
      <c r="B3672" s="2">
        <v>4</v>
      </c>
      <c r="C3672" s="2" t="s">
        <v>1187</v>
      </c>
      <c r="D3672" s="2" t="s">
        <v>38</v>
      </c>
      <c r="E3672" s="2" t="s">
        <v>39</v>
      </c>
      <c r="F3672" s="2">
        <v>502089075</v>
      </c>
      <c r="G3672" s="2" t="s">
        <v>41</v>
      </c>
      <c r="H3672" s="2" t="s">
        <v>1188</v>
      </c>
      <c r="I3672" s="2" t="s">
        <v>1189</v>
      </c>
      <c r="K3672" s="2" t="s">
        <v>465</v>
      </c>
      <c r="L3672" s="2" t="s">
        <v>41</v>
      </c>
      <c r="N3672" s="2" t="s">
        <v>2876</v>
      </c>
      <c r="O3672" s="2" t="s">
        <v>43</v>
      </c>
      <c r="P3672" s="2" t="s">
        <v>243</v>
      </c>
      <c r="Q3672" s="2" t="s">
        <v>244</v>
      </c>
      <c r="R3672" s="2">
        <v>2</v>
      </c>
      <c r="S3672" s="2">
        <v>60</v>
      </c>
      <c r="T3672" s="2">
        <v>13.8</v>
      </c>
      <c r="U3672" s="2">
        <v>73.8</v>
      </c>
      <c r="W3672" s="5">
        <f t="shared" si="399"/>
        <v>1</v>
      </c>
      <c r="Y3672" s="2" t="s">
        <v>3256</v>
      </c>
      <c r="Z3672" s="2" t="s">
        <v>46</v>
      </c>
      <c r="AA3672" s="2" t="s">
        <v>57</v>
      </c>
      <c r="AB3672" s="2" t="s">
        <v>58</v>
      </c>
      <c r="AE3672" s="2">
        <f t="shared" si="397"/>
        <v>0</v>
      </c>
      <c r="AI3672" s="2">
        <f t="shared" si="398"/>
        <v>0</v>
      </c>
      <c r="AJ3672" s="2">
        <f t="shared" si="394"/>
        <v>60</v>
      </c>
      <c r="AK3672" s="5">
        <f t="shared" si="393"/>
        <v>1</v>
      </c>
    </row>
    <row r="3673" spans="1:37" x14ac:dyDescent="0.2">
      <c r="A3673" s="2">
        <v>2026</v>
      </c>
      <c r="B3673" s="2">
        <v>4</v>
      </c>
      <c r="C3673" s="2" t="s">
        <v>905</v>
      </c>
      <c r="D3673" s="2" t="s">
        <v>109</v>
      </c>
      <c r="E3673" s="2" t="s">
        <v>39</v>
      </c>
      <c r="G3673" s="2" t="s">
        <v>40</v>
      </c>
      <c r="H3673" s="2" t="s">
        <v>157</v>
      </c>
      <c r="I3673" s="2" t="s">
        <v>906</v>
      </c>
      <c r="J3673" s="2">
        <v>912047019</v>
      </c>
      <c r="K3673" s="2" t="s">
        <v>100</v>
      </c>
      <c r="L3673" s="2" t="s">
        <v>81</v>
      </c>
      <c r="N3673" s="2" t="s">
        <v>2875</v>
      </c>
      <c r="O3673" s="2" t="s">
        <v>43</v>
      </c>
      <c r="P3673" s="2" t="s">
        <v>243</v>
      </c>
      <c r="Q3673" s="2" t="s">
        <v>244</v>
      </c>
      <c r="R3673" s="2">
        <v>1</v>
      </c>
      <c r="S3673" s="2">
        <v>30</v>
      </c>
      <c r="T3673" s="2">
        <v>6.9</v>
      </c>
      <c r="U3673" s="2">
        <v>36.9</v>
      </c>
      <c r="W3673" s="5">
        <f t="shared" si="399"/>
        <v>1</v>
      </c>
      <c r="Y3673" s="2" t="s">
        <v>3256</v>
      </c>
      <c r="Z3673" s="2" t="s">
        <v>46</v>
      </c>
      <c r="AA3673" s="2" t="s">
        <v>57</v>
      </c>
      <c r="AB3673" s="2" t="s">
        <v>58</v>
      </c>
      <c r="AE3673" s="2">
        <f t="shared" si="397"/>
        <v>0</v>
      </c>
      <c r="AI3673" s="2">
        <f t="shared" si="398"/>
        <v>0</v>
      </c>
      <c r="AJ3673" s="2">
        <f t="shared" si="394"/>
        <v>30</v>
      </c>
      <c r="AK3673" s="5">
        <f t="shared" si="393"/>
        <v>1</v>
      </c>
    </row>
    <row r="3674" spans="1:37" x14ac:dyDescent="0.2">
      <c r="A3674" s="2">
        <v>2026</v>
      </c>
      <c r="B3674" s="2">
        <v>4</v>
      </c>
      <c r="C3674" s="2" t="s">
        <v>1187</v>
      </c>
      <c r="D3674" s="2" t="s">
        <v>38</v>
      </c>
      <c r="E3674" s="2" t="s">
        <v>39</v>
      </c>
      <c r="F3674" s="2">
        <v>502089075</v>
      </c>
      <c r="G3674" s="2" t="s">
        <v>41</v>
      </c>
      <c r="H3674" s="2" t="s">
        <v>1188</v>
      </c>
      <c r="I3674" s="2" t="s">
        <v>1189</v>
      </c>
      <c r="K3674" s="2" t="s">
        <v>465</v>
      </c>
      <c r="L3674" s="2" t="s">
        <v>41</v>
      </c>
      <c r="N3674" s="2" t="s">
        <v>2876</v>
      </c>
      <c r="O3674" s="2" t="s">
        <v>43</v>
      </c>
      <c r="P3674" s="2" t="s">
        <v>245</v>
      </c>
      <c r="Q3674" s="2" t="s">
        <v>246</v>
      </c>
      <c r="R3674" s="2">
        <v>2</v>
      </c>
      <c r="S3674" s="2">
        <v>36</v>
      </c>
      <c r="T3674" s="2">
        <v>8.2800000000000011</v>
      </c>
      <c r="U3674" s="2">
        <v>44.28</v>
      </c>
      <c r="W3674" s="5">
        <f t="shared" si="399"/>
        <v>1</v>
      </c>
      <c r="Y3674" s="2" t="s">
        <v>3256</v>
      </c>
      <c r="Z3674" s="2" t="s">
        <v>46</v>
      </c>
      <c r="AA3674" s="2" t="s">
        <v>57</v>
      </c>
      <c r="AB3674" s="2" t="s">
        <v>58</v>
      </c>
      <c r="AE3674" s="2">
        <f t="shared" si="397"/>
        <v>0</v>
      </c>
      <c r="AI3674" s="2">
        <f t="shared" si="398"/>
        <v>0</v>
      </c>
      <c r="AJ3674" s="2">
        <f t="shared" si="394"/>
        <v>36</v>
      </c>
      <c r="AK3674" s="5">
        <f t="shared" si="393"/>
        <v>1</v>
      </c>
    </row>
    <row r="3675" spans="1:37" x14ac:dyDescent="0.2">
      <c r="A3675" s="2">
        <v>2026</v>
      </c>
      <c r="B3675" s="2">
        <v>4</v>
      </c>
      <c r="C3675" s="2" t="s">
        <v>905</v>
      </c>
      <c r="D3675" s="2" t="s">
        <v>109</v>
      </c>
      <c r="E3675" s="2" t="s">
        <v>39</v>
      </c>
      <c r="G3675" s="2" t="s">
        <v>40</v>
      </c>
      <c r="H3675" s="2" t="s">
        <v>157</v>
      </c>
      <c r="I3675" s="2" t="s">
        <v>906</v>
      </c>
      <c r="J3675" s="2">
        <v>912047019</v>
      </c>
      <c r="K3675" s="2" t="s">
        <v>100</v>
      </c>
      <c r="L3675" s="2" t="s">
        <v>81</v>
      </c>
      <c r="N3675" s="2" t="s">
        <v>2875</v>
      </c>
      <c r="O3675" s="2" t="s">
        <v>43</v>
      </c>
      <c r="P3675" s="2" t="s">
        <v>245</v>
      </c>
      <c r="Q3675" s="2" t="s">
        <v>246</v>
      </c>
      <c r="R3675" s="2">
        <v>1</v>
      </c>
      <c r="S3675" s="2">
        <v>18</v>
      </c>
      <c r="T3675" s="2">
        <v>4.1400000000000006</v>
      </c>
      <c r="U3675" s="2">
        <v>22.14</v>
      </c>
      <c r="W3675" s="5">
        <f t="shared" si="399"/>
        <v>1</v>
      </c>
      <c r="Y3675" s="2" t="s">
        <v>3256</v>
      </c>
      <c r="Z3675" s="2" t="s">
        <v>46</v>
      </c>
      <c r="AA3675" s="2" t="s">
        <v>57</v>
      </c>
      <c r="AB3675" s="2" t="s">
        <v>58</v>
      </c>
      <c r="AE3675" s="2">
        <f t="shared" si="397"/>
        <v>0</v>
      </c>
      <c r="AI3675" s="2">
        <f t="shared" si="398"/>
        <v>0</v>
      </c>
      <c r="AJ3675" s="2">
        <f t="shared" si="394"/>
        <v>18</v>
      </c>
      <c r="AK3675" s="5">
        <f t="shared" si="393"/>
        <v>1</v>
      </c>
    </row>
    <row r="3676" spans="1:37" x14ac:dyDescent="0.2">
      <c r="A3676" s="2">
        <v>2026</v>
      </c>
      <c r="B3676" s="2">
        <v>4</v>
      </c>
      <c r="C3676" s="2" t="s">
        <v>37</v>
      </c>
      <c r="D3676" s="2" t="s">
        <v>38</v>
      </c>
      <c r="E3676" s="2" t="s">
        <v>39</v>
      </c>
      <c r="G3676" s="2" t="s">
        <v>40</v>
      </c>
      <c r="O3676" s="2" t="s">
        <v>43</v>
      </c>
      <c r="P3676" s="2" t="s">
        <v>55</v>
      </c>
      <c r="Q3676" s="2" t="s">
        <v>56</v>
      </c>
      <c r="R3676" s="2">
        <v>3</v>
      </c>
      <c r="S3676" s="2">
        <v>54</v>
      </c>
      <c r="T3676" s="2">
        <v>12.42</v>
      </c>
      <c r="U3676" s="2">
        <v>66.42</v>
      </c>
      <c r="V3676" s="2">
        <f t="shared" ref="V3676:V3681" si="400">10.6*R3676</f>
        <v>31.799999999999997</v>
      </c>
      <c r="W3676" s="5">
        <f t="shared" si="399"/>
        <v>0.41111111111111115</v>
      </c>
      <c r="Y3676" s="2" t="s">
        <v>3256</v>
      </c>
      <c r="Z3676" s="2" t="s">
        <v>46</v>
      </c>
      <c r="AA3676" s="2" t="s">
        <v>57</v>
      </c>
      <c r="AB3676" s="2" t="s">
        <v>58</v>
      </c>
      <c r="AE3676" s="2">
        <f t="shared" si="397"/>
        <v>0</v>
      </c>
      <c r="AF3676" s="2">
        <v>10.6</v>
      </c>
      <c r="AG3676" s="2">
        <v>18</v>
      </c>
      <c r="AI3676" s="2">
        <f t="shared" si="398"/>
        <v>0</v>
      </c>
      <c r="AJ3676" s="2">
        <f t="shared" si="394"/>
        <v>22.200000000000003</v>
      </c>
      <c r="AK3676" s="5">
        <f t="shared" si="393"/>
        <v>0.41111111111111115</v>
      </c>
    </row>
    <row r="3677" spans="1:37" x14ac:dyDescent="0.2">
      <c r="A3677" s="2">
        <v>2026</v>
      </c>
      <c r="B3677" s="2">
        <v>4</v>
      </c>
      <c r="C3677" s="2" t="s">
        <v>948</v>
      </c>
      <c r="L3677" s="2" t="s">
        <v>41</v>
      </c>
      <c r="O3677" s="2" t="s">
        <v>43</v>
      </c>
      <c r="P3677" s="2" t="s">
        <v>55</v>
      </c>
      <c r="Q3677" s="2" t="s">
        <v>56</v>
      </c>
      <c r="R3677" s="2">
        <v>2</v>
      </c>
      <c r="S3677" s="2">
        <v>36</v>
      </c>
      <c r="T3677" s="2">
        <v>8.2800000000000011</v>
      </c>
      <c r="U3677" s="2">
        <v>44.28</v>
      </c>
      <c r="V3677" s="2">
        <f t="shared" si="400"/>
        <v>21.2</v>
      </c>
      <c r="W3677" s="5">
        <f t="shared" si="399"/>
        <v>0.41111111111111115</v>
      </c>
      <c r="Y3677" s="2" t="s">
        <v>3256</v>
      </c>
      <c r="Z3677" s="2" t="s">
        <v>46</v>
      </c>
      <c r="AA3677" s="2" t="s">
        <v>57</v>
      </c>
      <c r="AB3677" s="2" t="s">
        <v>58</v>
      </c>
      <c r="AE3677" s="2">
        <f t="shared" si="397"/>
        <v>0</v>
      </c>
      <c r="AF3677" s="2">
        <v>10.6</v>
      </c>
      <c r="AG3677" s="2">
        <v>18</v>
      </c>
      <c r="AI3677" s="2">
        <f t="shared" si="398"/>
        <v>0</v>
      </c>
      <c r="AJ3677" s="2">
        <f t="shared" si="394"/>
        <v>14.8</v>
      </c>
      <c r="AK3677" s="5">
        <f t="shared" si="393"/>
        <v>0.41111111111111115</v>
      </c>
    </row>
    <row r="3678" spans="1:37" x14ac:dyDescent="0.2">
      <c r="A3678" s="2">
        <v>2026</v>
      </c>
      <c r="B3678" s="2">
        <v>4</v>
      </c>
      <c r="C3678" s="2" t="s">
        <v>426</v>
      </c>
      <c r="D3678" s="2" t="s">
        <v>99</v>
      </c>
      <c r="E3678" s="2" t="s">
        <v>39</v>
      </c>
      <c r="F3678" s="2">
        <v>503523470</v>
      </c>
      <c r="G3678" s="2" t="s">
        <v>40</v>
      </c>
      <c r="H3678" s="2" t="s">
        <v>427</v>
      </c>
      <c r="I3678" s="2" t="s">
        <v>428</v>
      </c>
      <c r="K3678" s="2" t="s">
        <v>202</v>
      </c>
      <c r="L3678" s="2" t="s">
        <v>81</v>
      </c>
      <c r="O3678" s="2" t="s">
        <v>43</v>
      </c>
      <c r="P3678" s="2" t="s">
        <v>55</v>
      </c>
      <c r="Q3678" s="2" t="s">
        <v>56</v>
      </c>
      <c r="R3678" s="2">
        <v>1</v>
      </c>
      <c r="S3678" s="2">
        <v>18</v>
      </c>
      <c r="T3678" s="2">
        <v>4.1400000000000006</v>
      </c>
      <c r="U3678" s="2">
        <v>22.14</v>
      </c>
      <c r="V3678" s="2">
        <f t="shared" si="400"/>
        <v>10.6</v>
      </c>
      <c r="W3678" s="5">
        <f t="shared" si="399"/>
        <v>0.41111111111111115</v>
      </c>
      <c r="Y3678" s="2" t="s">
        <v>3256</v>
      </c>
      <c r="Z3678" s="2" t="s">
        <v>46</v>
      </c>
      <c r="AA3678" s="2" t="s">
        <v>57</v>
      </c>
      <c r="AB3678" s="2" t="s">
        <v>58</v>
      </c>
      <c r="AE3678" s="2">
        <f t="shared" si="397"/>
        <v>0</v>
      </c>
      <c r="AF3678" s="2">
        <v>10.6</v>
      </c>
      <c r="AG3678" s="2">
        <v>18</v>
      </c>
      <c r="AI3678" s="2">
        <f t="shared" si="398"/>
        <v>0</v>
      </c>
      <c r="AJ3678" s="2">
        <f t="shared" si="394"/>
        <v>7.4</v>
      </c>
      <c r="AK3678" s="5">
        <f t="shared" si="393"/>
        <v>0.41111111111111115</v>
      </c>
    </row>
    <row r="3679" spans="1:37" x14ac:dyDescent="0.2">
      <c r="A3679" s="2">
        <v>2026</v>
      </c>
      <c r="B3679" s="2">
        <v>4</v>
      </c>
      <c r="C3679" s="2" t="s">
        <v>579</v>
      </c>
      <c r="D3679" s="2" t="s">
        <v>38</v>
      </c>
      <c r="E3679" s="2" t="s">
        <v>39</v>
      </c>
      <c r="F3679" s="2">
        <v>504811029</v>
      </c>
      <c r="G3679" s="2" t="s">
        <v>41</v>
      </c>
      <c r="H3679" s="2" t="s">
        <v>178</v>
      </c>
      <c r="I3679" s="2" t="s">
        <v>580</v>
      </c>
      <c r="K3679" s="2" t="s">
        <v>178</v>
      </c>
      <c r="L3679" s="2" t="s">
        <v>41</v>
      </c>
      <c r="O3679" s="2" t="s">
        <v>43</v>
      </c>
      <c r="P3679" s="2" t="s">
        <v>55</v>
      </c>
      <c r="Q3679" s="2" t="s">
        <v>56</v>
      </c>
      <c r="R3679" s="2">
        <v>10</v>
      </c>
      <c r="S3679" s="2">
        <v>150</v>
      </c>
      <c r="T3679" s="2">
        <v>34.5</v>
      </c>
      <c r="U3679" s="2">
        <v>184.5</v>
      </c>
      <c r="V3679" s="2">
        <f t="shared" si="400"/>
        <v>106</v>
      </c>
      <c r="W3679" s="5">
        <f t="shared" si="399"/>
        <v>0.29333333333333333</v>
      </c>
      <c r="Y3679" s="2" t="s">
        <v>3256</v>
      </c>
      <c r="Z3679" s="2" t="s">
        <v>46</v>
      </c>
      <c r="AA3679" s="2" t="s">
        <v>57</v>
      </c>
      <c r="AB3679" s="2" t="s">
        <v>58</v>
      </c>
      <c r="AE3679" s="2">
        <f t="shared" si="397"/>
        <v>0</v>
      </c>
      <c r="AF3679" s="2">
        <v>10.6</v>
      </c>
      <c r="AG3679" s="2">
        <v>18</v>
      </c>
      <c r="AI3679" s="2">
        <f t="shared" si="398"/>
        <v>0</v>
      </c>
      <c r="AJ3679" s="2">
        <f t="shared" si="394"/>
        <v>44</v>
      </c>
      <c r="AK3679" s="5">
        <f t="shared" si="393"/>
        <v>0.29333333333333333</v>
      </c>
    </row>
    <row r="3680" spans="1:37" x14ac:dyDescent="0.2">
      <c r="A3680" s="2">
        <v>2026</v>
      </c>
      <c r="B3680" s="2">
        <v>4</v>
      </c>
      <c r="C3680" s="2" t="s">
        <v>593</v>
      </c>
      <c r="D3680" s="2" t="s">
        <v>38</v>
      </c>
      <c r="E3680" s="2" t="s">
        <v>39</v>
      </c>
      <c r="F3680" s="2">
        <v>510339298</v>
      </c>
      <c r="G3680" s="2" t="s">
        <v>41</v>
      </c>
      <c r="H3680" s="2" t="s">
        <v>178</v>
      </c>
      <c r="I3680" s="2" t="s">
        <v>594</v>
      </c>
      <c r="K3680" s="2" t="s">
        <v>178</v>
      </c>
      <c r="L3680" s="2" t="s">
        <v>41</v>
      </c>
      <c r="O3680" s="2" t="s">
        <v>43</v>
      </c>
      <c r="P3680" s="2" t="s">
        <v>55</v>
      </c>
      <c r="Q3680" s="2" t="s">
        <v>56</v>
      </c>
      <c r="R3680" s="2">
        <v>10</v>
      </c>
      <c r="S3680" s="2">
        <v>150</v>
      </c>
      <c r="T3680" s="2">
        <v>34.5</v>
      </c>
      <c r="U3680" s="2">
        <v>184.5</v>
      </c>
      <c r="V3680" s="2">
        <f t="shared" si="400"/>
        <v>106</v>
      </c>
      <c r="W3680" s="5">
        <f t="shared" si="399"/>
        <v>0.29333333333333333</v>
      </c>
      <c r="Y3680" s="2" t="s">
        <v>3256</v>
      </c>
      <c r="Z3680" s="2" t="s">
        <v>46</v>
      </c>
      <c r="AA3680" s="2" t="s">
        <v>57</v>
      </c>
      <c r="AB3680" s="2" t="s">
        <v>58</v>
      </c>
      <c r="AE3680" s="2">
        <f t="shared" si="397"/>
        <v>0</v>
      </c>
      <c r="AF3680" s="2">
        <v>10.6</v>
      </c>
      <c r="AG3680" s="2">
        <v>18</v>
      </c>
      <c r="AI3680" s="2">
        <f t="shared" si="398"/>
        <v>0</v>
      </c>
      <c r="AJ3680" s="2">
        <f t="shared" si="394"/>
        <v>44</v>
      </c>
      <c r="AK3680" s="5">
        <f t="shared" si="393"/>
        <v>0.29333333333333333</v>
      </c>
    </row>
    <row r="3681" spans="1:37" x14ac:dyDescent="0.2">
      <c r="A3681" s="2">
        <v>2026</v>
      </c>
      <c r="B3681" s="2">
        <v>4</v>
      </c>
      <c r="C3681" s="2" t="s">
        <v>1322</v>
      </c>
      <c r="D3681" s="2" t="s">
        <v>38</v>
      </c>
      <c r="E3681" s="2" t="s">
        <v>39</v>
      </c>
      <c r="F3681" s="2">
        <v>509512739</v>
      </c>
      <c r="G3681" s="2" t="s">
        <v>41</v>
      </c>
      <c r="H3681" s="2" t="s">
        <v>178</v>
      </c>
      <c r="I3681" s="2" t="s">
        <v>1323</v>
      </c>
      <c r="K3681" s="2" t="s">
        <v>178</v>
      </c>
      <c r="L3681" s="2" t="s">
        <v>41</v>
      </c>
      <c r="N3681" s="2" t="s">
        <v>2877</v>
      </c>
      <c r="O3681" s="2" t="s">
        <v>43</v>
      </c>
      <c r="P3681" s="2" t="s">
        <v>55</v>
      </c>
      <c r="Q3681" s="2" t="s">
        <v>56</v>
      </c>
      <c r="R3681" s="2">
        <v>1</v>
      </c>
      <c r="S3681" s="2">
        <v>18</v>
      </c>
      <c r="T3681" s="2">
        <v>4.1400000000000006</v>
      </c>
      <c r="U3681" s="2">
        <v>22.14</v>
      </c>
      <c r="V3681" s="2">
        <f t="shared" si="400"/>
        <v>10.6</v>
      </c>
      <c r="W3681" s="5">
        <f t="shared" si="399"/>
        <v>0.41111111111111115</v>
      </c>
      <c r="Y3681" s="2" t="s">
        <v>3256</v>
      </c>
      <c r="Z3681" s="2" t="s">
        <v>46</v>
      </c>
      <c r="AA3681" s="2" t="s">
        <v>57</v>
      </c>
      <c r="AB3681" s="2" t="s">
        <v>58</v>
      </c>
      <c r="AE3681" s="2">
        <f t="shared" si="397"/>
        <v>0</v>
      </c>
      <c r="AF3681" s="2">
        <v>10.6</v>
      </c>
      <c r="AG3681" s="2">
        <v>18</v>
      </c>
      <c r="AI3681" s="2">
        <f t="shared" si="398"/>
        <v>0</v>
      </c>
      <c r="AJ3681" s="2">
        <f t="shared" si="394"/>
        <v>7.4</v>
      </c>
      <c r="AK3681" s="5">
        <f t="shared" si="393"/>
        <v>0.41111111111111115</v>
      </c>
    </row>
    <row r="3682" spans="1:37" x14ac:dyDescent="0.2">
      <c r="A3682" s="2">
        <v>2026</v>
      </c>
      <c r="B3682" s="2">
        <v>4</v>
      </c>
      <c r="C3682" s="2" t="s">
        <v>905</v>
      </c>
      <c r="D3682" s="2" t="s">
        <v>109</v>
      </c>
      <c r="E3682" s="2" t="s">
        <v>39</v>
      </c>
      <c r="G3682" s="2" t="s">
        <v>40</v>
      </c>
      <c r="H3682" s="2" t="s">
        <v>157</v>
      </c>
      <c r="I3682" s="2" t="s">
        <v>906</v>
      </c>
      <c r="J3682" s="2">
        <v>912047019</v>
      </c>
      <c r="K3682" s="2" t="s">
        <v>100</v>
      </c>
      <c r="L3682" s="2" t="s">
        <v>40</v>
      </c>
      <c r="N3682" s="2" t="s">
        <v>2878</v>
      </c>
      <c r="O3682" s="2" t="s">
        <v>43</v>
      </c>
      <c r="P3682" s="2" t="s">
        <v>2879</v>
      </c>
      <c r="Q3682" s="2" t="s">
        <v>2880</v>
      </c>
      <c r="R3682" s="2">
        <v>4</v>
      </c>
      <c r="S3682" s="2">
        <v>9.6</v>
      </c>
      <c r="T3682" s="2">
        <v>2.2080000000000002</v>
      </c>
      <c r="U3682" s="2">
        <v>11.808</v>
      </c>
      <c r="W3682" s="5">
        <f t="shared" si="399"/>
        <v>1</v>
      </c>
      <c r="Y3682" s="2" t="s">
        <v>3256</v>
      </c>
      <c r="Z3682" s="2" t="s">
        <v>46</v>
      </c>
      <c r="AA3682" s="2" t="s">
        <v>91</v>
      </c>
      <c r="AB3682" s="2" t="s">
        <v>58</v>
      </c>
      <c r="AE3682" s="2">
        <f t="shared" si="397"/>
        <v>0</v>
      </c>
      <c r="AI3682" s="2">
        <f t="shared" si="398"/>
        <v>0</v>
      </c>
      <c r="AJ3682" s="2">
        <f t="shared" si="394"/>
        <v>9.6</v>
      </c>
      <c r="AK3682" s="5">
        <f t="shared" si="393"/>
        <v>1</v>
      </c>
    </row>
    <row r="3683" spans="1:37" x14ac:dyDescent="0.2">
      <c r="A3683" s="2">
        <v>2026</v>
      </c>
      <c r="B3683" s="2">
        <v>4</v>
      </c>
      <c r="C3683" s="2" t="s">
        <v>905</v>
      </c>
      <c r="D3683" s="2" t="s">
        <v>109</v>
      </c>
      <c r="E3683" s="2" t="s">
        <v>39</v>
      </c>
      <c r="G3683" s="2" t="s">
        <v>40</v>
      </c>
      <c r="H3683" s="2" t="s">
        <v>157</v>
      </c>
      <c r="I3683" s="2" t="s">
        <v>906</v>
      </c>
      <c r="J3683" s="2">
        <v>912047019</v>
      </c>
      <c r="K3683" s="2" t="s">
        <v>100</v>
      </c>
      <c r="L3683" s="2" t="s">
        <v>40</v>
      </c>
      <c r="N3683" s="2" t="s">
        <v>2881</v>
      </c>
      <c r="O3683" s="2" t="s">
        <v>43</v>
      </c>
      <c r="P3683" s="2" t="s">
        <v>251</v>
      </c>
      <c r="Q3683" s="2" t="s">
        <v>252</v>
      </c>
      <c r="R3683" s="2">
        <v>2</v>
      </c>
      <c r="S3683" s="2">
        <v>100</v>
      </c>
      <c r="T3683" s="2">
        <v>23</v>
      </c>
      <c r="U3683" s="2">
        <v>123</v>
      </c>
      <c r="V3683" s="2">
        <v>50.191600000000001</v>
      </c>
      <c r="W3683" s="5">
        <f t="shared" si="399"/>
        <v>0.49808399999999997</v>
      </c>
      <c r="Y3683" s="2" t="s">
        <v>3256</v>
      </c>
      <c r="Z3683" s="2" t="s">
        <v>46</v>
      </c>
      <c r="AA3683" s="2" t="s">
        <v>91</v>
      </c>
      <c r="AB3683" s="2" t="s">
        <v>58</v>
      </c>
      <c r="AE3683" s="2">
        <f t="shared" si="397"/>
        <v>0</v>
      </c>
      <c r="AI3683" s="2">
        <f t="shared" si="398"/>
        <v>0</v>
      </c>
      <c r="AJ3683" s="2">
        <f t="shared" si="394"/>
        <v>49.808399999999999</v>
      </c>
      <c r="AK3683" s="5">
        <f t="shared" si="393"/>
        <v>0.49808399999999997</v>
      </c>
    </row>
    <row r="3684" spans="1:37" x14ac:dyDescent="0.2">
      <c r="A3684" s="2">
        <v>2026</v>
      </c>
      <c r="B3684" s="2">
        <v>4</v>
      </c>
      <c r="C3684" s="2" t="s">
        <v>988</v>
      </c>
      <c r="L3684" s="2" t="s">
        <v>41</v>
      </c>
      <c r="N3684" s="2" t="s">
        <v>2882</v>
      </c>
      <c r="O3684" s="2" t="s">
        <v>43</v>
      </c>
      <c r="P3684" s="2" t="s">
        <v>59</v>
      </c>
      <c r="Q3684" s="2" t="s">
        <v>60</v>
      </c>
      <c r="R3684" s="2">
        <v>100</v>
      </c>
      <c r="S3684" s="2">
        <v>13</v>
      </c>
      <c r="T3684" s="2">
        <v>2.99</v>
      </c>
      <c r="U3684" s="2">
        <v>15.99</v>
      </c>
      <c r="V3684" s="2">
        <f>0.0914*R3684</f>
        <v>9.1399999999999988</v>
      </c>
      <c r="W3684" s="5">
        <f t="shared" si="399"/>
        <v>0.29692307692307701</v>
      </c>
      <c r="Y3684" s="2" t="s">
        <v>3256</v>
      </c>
      <c r="Z3684" s="2" t="s">
        <v>46</v>
      </c>
      <c r="AA3684" s="2" t="s">
        <v>61</v>
      </c>
      <c r="AB3684" s="2" t="s">
        <v>58</v>
      </c>
      <c r="AE3684" s="2">
        <f t="shared" si="397"/>
        <v>0</v>
      </c>
      <c r="AF3684" s="2">
        <v>9.14</v>
      </c>
      <c r="AG3684" s="2">
        <v>16</v>
      </c>
      <c r="AI3684" s="2">
        <f t="shared" si="398"/>
        <v>0</v>
      </c>
      <c r="AJ3684" s="2">
        <f t="shared" si="394"/>
        <v>3.8600000000000012</v>
      </c>
      <c r="AK3684" s="5">
        <f t="shared" si="393"/>
        <v>0.29692307692307701</v>
      </c>
    </row>
    <row r="3685" spans="1:37" x14ac:dyDescent="0.2">
      <c r="A3685" s="2">
        <v>2026</v>
      </c>
      <c r="B3685" s="2">
        <v>4</v>
      </c>
      <c r="C3685" s="2" t="s">
        <v>462</v>
      </c>
      <c r="D3685" s="2" t="s">
        <v>109</v>
      </c>
      <c r="E3685" s="2" t="s">
        <v>39</v>
      </c>
      <c r="F3685" s="2">
        <v>507016173</v>
      </c>
      <c r="G3685" s="2" t="s">
        <v>110</v>
      </c>
      <c r="H3685" s="2" t="s">
        <v>463</v>
      </c>
      <c r="I3685" s="2" t="s">
        <v>464</v>
      </c>
      <c r="K3685" s="2" t="s">
        <v>465</v>
      </c>
      <c r="L3685" s="2" t="s">
        <v>41</v>
      </c>
      <c r="N3685" s="2" t="s">
        <v>2883</v>
      </c>
      <c r="O3685" s="2" t="s">
        <v>43</v>
      </c>
      <c r="P3685" s="2" t="s">
        <v>59</v>
      </c>
      <c r="Q3685" s="2" t="s">
        <v>60</v>
      </c>
      <c r="R3685" s="2">
        <v>200</v>
      </c>
      <c r="S3685" s="2">
        <v>26</v>
      </c>
      <c r="T3685" s="2">
        <v>5.98</v>
      </c>
      <c r="U3685" s="2">
        <v>31.98</v>
      </c>
      <c r="V3685" s="2">
        <f>0.0914*R3685</f>
        <v>18.279999999999998</v>
      </c>
      <c r="W3685" s="5">
        <f t="shared" si="399"/>
        <v>0.29692307692307701</v>
      </c>
      <c r="Y3685" s="2" t="s">
        <v>3256</v>
      </c>
      <c r="Z3685" s="2" t="s">
        <v>46</v>
      </c>
      <c r="AA3685" s="2" t="s">
        <v>61</v>
      </c>
      <c r="AB3685" s="2" t="s">
        <v>58</v>
      </c>
      <c r="AE3685" s="2">
        <f t="shared" si="397"/>
        <v>0</v>
      </c>
      <c r="AF3685" s="2">
        <v>9.14</v>
      </c>
      <c r="AG3685" s="2">
        <v>16</v>
      </c>
      <c r="AI3685" s="2">
        <f t="shared" si="398"/>
        <v>0</v>
      </c>
      <c r="AJ3685" s="2">
        <f t="shared" si="394"/>
        <v>7.7200000000000024</v>
      </c>
      <c r="AK3685" s="5">
        <f t="shared" si="393"/>
        <v>0.29692307692307701</v>
      </c>
    </row>
    <row r="3686" spans="1:37" x14ac:dyDescent="0.2">
      <c r="A3686" s="2">
        <v>2026</v>
      </c>
      <c r="B3686" s="2">
        <v>4</v>
      </c>
      <c r="C3686" s="2" t="s">
        <v>37</v>
      </c>
      <c r="D3686" s="2" t="s">
        <v>38</v>
      </c>
      <c r="E3686" s="2" t="s">
        <v>39</v>
      </c>
      <c r="G3686" s="2" t="s">
        <v>40</v>
      </c>
      <c r="O3686" s="2" t="s">
        <v>43</v>
      </c>
      <c r="P3686" s="2" t="s">
        <v>62</v>
      </c>
      <c r="Q3686" s="2" t="s">
        <v>63</v>
      </c>
      <c r="R3686" s="2">
        <v>1000</v>
      </c>
      <c r="S3686" s="2">
        <v>110</v>
      </c>
      <c r="T3686" s="2">
        <v>25.3</v>
      </c>
      <c r="U3686" s="2">
        <v>135.30000000000001</v>
      </c>
      <c r="V3686" s="2">
        <f t="shared" ref="V3686:V3692" si="401">0.082*R3686</f>
        <v>82</v>
      </c>
      <c r="W3686" s="5">
        <f t="shared" si="399"/>
        <v>0.25454545454545452</v>
      </c>
      <c r="Y3686" s="2" t="s">
        <v>3256</v>
      </c>
      <c r="Z3686" s="2" t="s">
        <v>46</v>
      </c>
      <c r="AA3686" s="2" t="s">
        <v>61</v>
      </c>
      <c r="AB3686" s="2" t="s">
        <v>58</v>
      </c>
      <c r="AE3686" s="2">
        <f t="shared" si="397"/>
        <v>0</v>
      </c>
      <c r="AF3686" s="2">
        <v>8.1999999999999993</v>
      </c>
      <c r="AG3686" s="2">
        <v>13</v>
      </c>
      <c r="AI3686" s="2">
        <f t="shared" si="398"/>
        <v>0</v>
      </c>
      <c r="AJ3686" s="2">
        <f t="shared" si="394"/>
        <v>28</v>
      </c>
      <c r="AK3686" s="5">
        <f t="shared" si="393"/>
        <v>0.25454545454545452</v>
      </c>
    </row>
    <row r="3687" spans="1:37" x14ac:dyDescent="0.2">
      <c r="A3687" s="2">
        <v>2026</v>
      </c>
      <c r="B3687" s="2">
        <v>4</v>
      </c>
      <c r="C3687" s="2" t="s">
        <v>298</v>
      </c>
      <c r="D3687" s="2" t="s">
        <v>38</v>
      </c>
      <c r="E3687" s="2" t="s">
        <v>39</v>
      </c>
      <c r="F3687" s="2">
        <v>510939570</v>
      </c>
      <c r="G3687" s="2" t="s">
        <v>41</v>
      </c>
      <c r="H3687" s="2" t="s">
        <v>299</v>
      </c>
      <c r="I3687" s="2" t="s">
        <v>300</v>
      </c>
      <c r="J3687" s="2">
        <v>962678129</v>
      </c>
      <c r="K3687" s="2" t="s">
        <v>178</v>
      </c>
      <c r="L3687" s="2" t="s">
        <v>41</v>
      </c>
      <c r="N3687" s="2" t="s">
        <v>2884</v>
      </c>
      <c r="O3687" s="2" t="s">
        <v>43</v>
      </c>
      <c r="P3687" s="2" t="s">
        <v>62</v>
      </c>
      <c r="Q3687" s="2" t="s">
        <v>63</v>
      </c>
      <c r="R3687" s="2">
        <v>1000</v>
      </c>
      <c r="S3687" s="2">
        <v>110</v>
      </c>
      <c r="T3687" s="2">
        <v>25.3</v>
      </c>
      <c r="U3687" s="2">
        <v>135.30000000000001</v>
      </c>
      <c r="V3687" s="2">
        <f t="shared" si="401"/>
        <v>82</v>
      </c>
      <c r="W3687" s="5">
        <f t="shared" si="399"/>
        <v>0.25454545454545452</v>
      </c>
      <c r="Y3687" s="2" t="s">
        <v>3256</v>
      </c>
      <c r="Z3687" s="2" t="s">
        <v>46</v>
      </c>
      <c r="AA3687" s="2" t="s">
        <v>61</v>
      </c>
      <c r="AB3687" s="2" t="s">
        <v>58</v>
      </c>
      <c r="AE3687" s="2">
        <f t="shared" si="397"/>
        <v>0</v>
      </c>
      <c r="AF3687" s="2">
        <v>8.1999999999999993</v>
      </c>
      <c r="AG3687" s="2">
        <v>13</v>
      </c>
      <c r="AI3687" s="2">
        <f t="shared" si="398"/>
        <v>0</v>
      </c>
      <c r="AJ3687" s="2">
        <f t="shared" si="394"/>
        <v>28</v>
      </c>
      <c r="AK3687" s="5">
        <f t="shared" si="393"/>
        <v>0.25454545454545452</v>
      </c>
    </row>
    <row r="3688" spans="1:37" x14ac:dyDescent="0.2">
      <c r="A3688" s="2">
        <v>2026</v>
      </c>
      <c r="B3688" s="2">
        <v>4</v>
      </c>
      <c r="C3688" s="2" t="s">
        <v>1906</v>
      </c>
      <c r="O3688" s="2" t="s">
        <v>43</v>
      </c>
      <c r="P3688" s="2" t="s">
        <v>62</v>
      </c>
      <c r="Q3688" s="2" t="s">
        <v>63</v>
      </c>
      <c r="R3688" s="2">
        <v>500</v>
      </c>
      <c r="S3688" s="2">
        <v>65</v>
      </c>
      <c r="T3688" s="2">
        <v>14.95</v>
      </c>
      <c r="U3688" s="2">
        <v>79.95</v>
      </c>
      <c r="V3688" s="2">
        <f t="shared" si="401"/>
        <v>41</v>
      </c>
      <c r="W3688" s="5">
        <f t="shared" si="399"/>
        <v>0.36923076923076925</v>
      </c>
      <c r="Y3688" s="2" t="s">
        <v>3256</v>
      </c>
      <c r="Z3688" s="2" t="s">
        <v>46</v>
      </c>
      <c r="AA3688" s="2" t="s">
        <v>61</v>
      </c>
      <c r="AB3688" s="2" t="s">
        <v>58</v>
      </c>
      <c r="AE3688" s="2">
        <f t="shared" si="397"/>
        <v>0</v>
      </c>
      <c r="AF3688" s="2">
        <v>8.1999999999999993</v>
      </c>
      <c r="AG3688" s="2">
        <v>13</v>
      </c>
      <c r="AI3688" s="2">
        <f t="shared" si="398"/>
        <v>0</v>
      </c>
      <c r="AJ3688" s="2">
        <f t="shared" si="394"/>
        <v>24</v>
      </c>
      <c r="AK3688" s="5">
        <f t="shared" si="393"/>
        <v>0.36923076923076925</v>
      </c>
    </row>
    <row r="3689" spans="1:37" x14ac:dyDescent="0.2">
      <c r="A3689" s="2">
        <v>2026</v>
      </c>
      <c r="B3689" s="2">
        <v>4</v>
      </c>
      <c r="C3689" s="2" t="s">
        <v>419</v>
      </c>
      <c r="D3689" s="2" t="s">
        <v>38</v>
      </c>
      <c r="E3689" s="2" t="s">
        <v>39</v>
      </c>
      <c r="F3689" s="2">
        <v>219908800</v>
      </c>
      <c r="G3689" s="2" t="s">
        <v>41</v>
      </c>
      <c r="H3689" s="2" t="s">
        <v>420</v>
      </c>
      <c r="I3689" s="2" t="s">
        <v>421</v>
      </c>
      <c r="K3689" s="2" t="s">
        <v>422</v>
      </c>
      <c r="L3689" s="2" t="s">
        <v>41</v>
      </c>
      <c r="O3689" s="2" t="s">
        <v>43</v>
      </c>
      <c r="P3689" s="2" t="s">
        <v>62</v>
      </c>
      <c r="Q3689" s="2" t="s">
        <v>63</v>
      </c>
      <c r="R3689" s="2">
        <v>400</v>
      </c>
      <c r="S3689" s="2">
        <v>52</v>
      </c>
      <c r="T3689" s="2">
        <v>11.96</v>
      </c>
      <c r="U3689" s="2">
        <v>63.96</v>
      </c>
      <c r="V3689" s="2">
        <f t="shared" si="401"/>
        <v>32.800000000000004</v>
      </c>
      <c r="W3689" s="5">
        <f t="shared" si="399"/>
        <v>0.36923076923076914</v>
      </c>
      <c r="Y3689" s="2" t="s">
        <v>3256</v>
      </c>
      <c r="Z3689" s="2" t="s">
        <v>46</v>
      </c>
      <c r="AA3689" s="2" t="s">
        <v>61</v>
      </c>
      <c r="AB3689" s="2" t="s">
        <v>58</v>
      </c>
      <c r="AE3689" s="2">
        <f t="shared" si="397"/>
        <v>0</v>
      </c>
      <c r="AF3689" s="2">
        <v>8.1999999999999993</v>
      </c>
      <c r="AG3689" s="2">
        <v>13</v>
      </c>
      <c r="AI3689" s="2">
        <f t="shared" si="398"/>
        <v>0</v>
      </c>
      <c r="AJ3689" s="2">
        <f t="shared" si="394"/>
        <v>19.199999999999996</v>
      </c>
      <c r="AK3689" s="5">
        <f t="shared" si="393"/>
        <v>0.36923076923076914</v>
      </c>
    </row>
    <row r="3690" spans="1:37" x14ac:dyDescent="0.2">
      <c r="A3690" s="2">
        <v>2026</v>
      </c>
      <c r="B3690" s="2">
        <v>4</v>
      </c>
      <c r="C3690" s="2" t="s">
        <v>462</v>
      </c>
      <c r="D3690" s="2" t="s">
        <v>109</v>
      </c>
      <c r="E3690" s="2" t="s">
        <v>39</v>
      </c>
      <c r="F3690" s="2">
        <v>507016173</v>
      </c>
      <c r="G3690" s="2" t="s">
        <v>110</v>
      </c>
      <c r="H3690" s="2" t="s">
        <v>463</v>
      </c>
      <c r="I3690" s="2" t="s">
        <v>464</v>
      </c>
      <c r="K3690" s="2" t="s">
        <v>465</v>
      </c>
      <c r="O3690" s="2" t="s">
        <v>43</v>
      </c>
      <c r="P3690" s="2" t="s">
        <v>62</v>
      </c>
      <c r="Q3690" s="2" t="s">
        <v>63</v>
      </c>
      <c r="R3690" s="2">
        <v>1000</v>
      </c>
      <c r="S3690" s="2">
        <v>110</v>
      </c>
      <c r="T3690" s="2">
        <v>25.3</v>
      </c>
      <c r="U3690" s="2">
        <v>135.30000000000001</v>
      </c>
      <c r="V3690" s="2">
        <f t="shared" si="401"/>
        <v>82</v>
      </c>
      <c r="W3690" s="5">
        <f t="shared" si="399"/>
        <v>0.25454545454545452</v>
      </c>
      <c r="Y3690" s="2" t="s">
        <v>3256</v>
      </c>
      <c r="Z3690" s="2" t="s">
        <v>46</v>
      </c>
      <c r="AA3690" s="2" t="s">
        <v>61</v>
      </c>
      <c r="AB3690" s="2" t="s">
        <v>58</v>
      </c>
      <c r="AE3690" s="2">
        <f t="shared" si="397"/>
        <v>0</v>
      </c>
      <c r="AF3690" s="2">
        <v>8.1999999999999993</v>
      </c>
      <c r="AG3690" s="2">
        <v>13</v>
      </c>
      <c r="AI3690" s="2">
        <f t="shared" si="398"/>
        <v>0</v>
      </c>
      <c r="AJ3690" s="2">
        <f t="shared" si="394"/>
        <v>28</v>
      </c>
      <c r="AK3690" s="5">
        <f t="shared" si="393"/>
        <v>0.25454545454545452</v>
      </c>
    </row>
    <row r="3691" spans="1:37" x14ac:dyDescent="0.2">
      <c r="A3691" s="2">
        <v>2026</v>
      </c>
      <c r="B3691" s="2">
        <v>4</v>
      </c>
      <c r="C3691" s="2" t="s">
        <v>611</v>
      </c>
      <c r="D3691" s="2" t="s">
        <v>109</v>
      </c>
      <c r="E3691" s="2" t="s">
        <v>39</v>
      </c>
      <c r="F3691" s="2">
        <v>504822187</v>
      </c>
      <c r="G3691" s="2" t="s">
        <v>110</v>
      </c>
      <c r="H3691" s="2" t="s">
        <v>612</v>
      </c>
      <c r="I3691" s="2" t="s">
        <v>613</v>
      </c>
      <c r="J3691" s="2">
        <v>966216853</v>
      </c>
      <c r="K3691" s="2" t="s">
        <v>465</v>
      </c>
      <c r="O3691" s="2" t="s">
        <v>43</v>
      </c>
      <c r="P3691" s="2" t="s">
        <v>62</v>
      </c>
      <c r="Q3691" s="2" t="s">
        <v>63</v>
      </c>
      <c r="R3691" s="2">
        <v>1000</v>
      </c>
      <c r="S3691" s="2">
        <v>110</v>
      </c>
      <c r="T3691" s="2">
        <v>25.3</v>
      </c>
      <c r="U3691" s="2">
        <v>135.30000000000001</v>
      </c>
      <c r="V3691" s="2">
        <f t="shared" si="401"/>
        <v>82</v>
      </c>
      <c r="W3691" s="5">
        <f t="shared" si="399"/>
        <v>0.25454545454545452</v>
      </c>
      <c r="Y3691" s="2" t="s">
        <v>3256</v>
      </c>
      <c r="Z3691" s="2" t="s">
        <v>46</v>
      </c>
      <c r="AA3691" s="2" t="s">
        <v>61</v>
      </c>
      <c r="AB3691" s="2" t="s">
        <v>58</v>
      </c>
      <c r="AE3691" s="2">
        <f t="shared" si="397"/>
        <v>0</v>
      </c>
      <c r="AF3691" s="2">
        <v>8.1999999999999993</v>
      </c>
      <c r="AG3691" s="2">
        <v>13</v>
      </c>
      <c r="AI3691" s="2">
        <f t="shared" si="398"/>
        <v>0</v>
      </c>
      <c r="AJ3691" s="2">
        <f t="shared" si="394"/>
        <v>28</v>
      </c>
      <c r="AK3691" s="5">
        <f t="shared" si="393"/>
        <v>0.25454545454545452</v>
      </c>
    </row>
    <row r="3692" spans="1:37" x14ac:dyDescent="0.2">
      <c r="A3692" s="2">
        <v>2026</v>
      </c>
      <c r="B3692" s="2">
        <v>4</v>
      </c>
      <c r="C3692" s="2" t="s">
        <v>1322</v>
      </c>
      <c r="D3692" s="2" t="s">
        <v>38</v>
      </c>
      <c r="E3692" s="2" t="s">
        <v>39</v>
      </c>
      <c r="F3692" s="2">
        <v>509512739</v>
      </c>
      <c r="G3692" s="2" t="s">
        <v>41</v>
      </c>
      <c r="H3692" s="2" t="s">
        <v>178</v>
      </c>
      <c r="I3692" s="2" t="s">
        <v>1323</v>
      </c>
      <c r="K3692" s="2" t="s">
        <v>178</v>
      </c>
      <c r="L3692" s="2" t="s">
        <v>41</v>
      </c>
      <c r="N3692" s="2" t="s">
        <v>2877</v>
      </c>
      <c r="O3692" s="2" t="s">
        <v>43</v>
      </c>
      <c r="P3692" s="2" t="s">
        <v>62</v>
      </c>
      <c r="Q3692" s="2" t="s">
        <v>63</v>
      </c>
      <c r="R3692" s="2">
        <v>200</v>
      </c>
      <c r="S3692" s="2">
        <v>26</v>
      </c>
      <c r="T3692" s="2">
        <v>5.98</v>
      </c>
      <c r="U3692" s="2">
        <v>31.98</v>
      </c>
      <c r="V3692" s="2">
        <f t="shared" si="401"/>
        <v>16.400000000000002</v>
      </c>
      <c r="W3692" s="5">
        <f t="shared" si="399"/>
        <v>0.36923076923076914</v>
      </c>
      <c r="Y3692" s="2" t="s">
        <v>3256</v>
      </c>
      <c r="Z3692" s="2" t="s">
        <v>46</v>
      </c>
      <c r="AA3692" s="2" t="s">
        <v>61</v>
      </c>
      <c r="AB3692" s="2" t="s">
        <v>58</v>
      </c>
      <c r="AE3692" s="2">
        <f t="shared" si="397"/>
        <v>0</v>
      </c>
      <c r="AF3692" s="2">
        <v>8.1999999999999993</v>
      </c>
      <c r="AG3692" s="2">
        <v>13</v>
      </c>
      <c r="AI3692" s="2">
        <f t="shared" si="398"/>
        <v>0</v>
      </c>
      <c r="AJ3692" s="2">
        <f t="shared" si="394"/>
        <v>9.5999999999999979</v>
      </c>
      <c r="AK3692" s="5">
        <f t="shared" si="393"/>
        <v>0.36923076923076914</v>
      </c>
    </row>
    <row r="3693" spans="1:37" x14ac:dyDescent="0.2">
      <c r="A3693" s="2">
        <v>2026</v>
      </c>
      <c r="B3693" s="2">
        <v>4</v>
      </c>
      <c r="C3693" s="2" t="s">
        <v>298</v>
      </c>
      <c r="D3693" s="2" t="s">
        <v>38</v>
      </c>
      <c r="E3693" s="2" t="s">
        <v>39</v>
      </c>
      <c r="F3693" s="2">
        <v>510939570</v>
      </c>
      <c r="G3693" s="2" t="s">
        <v>41</v>
      </c>
      <c r="H3693" s="2" t="s">
        <v>299</v>
      </c>
      <c r="I3693" s="2" t="s">
        <v>300</v>
      </c>
      <c r="J3693" s="2">
        <v>962678129</v>
      </c>
      <c r="K3693" s="2" t="s">
        <v>178</v>
      </c>
      <c r="L3693" s="2" t="s">
        <v>41</v>
      </c>
      <c r="N3693" s="2" t="s">
        <v>2871</v>
      </c>
      <c r="O3693" s="2" t="s">
        <v>43</v>
      </c>
      <c r="P3693" s="2" t="s">
        <v>255</v>
      </c>
      <c r="Q3693" s="2" t="s">
        <v>256</v>
      </c>
      <c r="R3693" s="2">
        <v>500</v>
      </c>
      <c r="S3693" s="2">
        <v>70</v>
      </c>
      <c r="T3693" s="2">
        <v>16.100000000000001</v>
      </c>
      <c r="U3693" s="2">
        <v>86.1</v>
      </c>
      <c r="W3693" s="5">
        <f t="shared" si="399"/>
        <v>1</v>
      </c>
      <c r="Y3693" s="2" t="s">
        <v>3256</v>
      </c>
      <c r="Z3693" s="2" t="s">
        <v>46</v>
      </c>
      <c r="AA3693" s="2" t="s">
        <v>61</v>
      </c>
      <c r="AB3693" s="2" t="s">
        <v>58</v>
      </c>
      <c r="AE3693" s="2">
        <f t="shared" si="397"/>
        <v>0</v>
      </c>
      <c r="AI3693" s="2">
        <f t="shared" si="398"/>
        <v>0</v>
      </c>
      <c r="AJ3693" s="2">
        <f t="shared" si="394"/>
        <v>70</v>
      </c>
      <c r="AK3693" s="5">
        <f t="shared" si="393"/>
        <v>1</v>
      </c>
    </row>
    <row r="3694" spans="1:37" x14ac:dyDescent="0.2">
      <c r="A3694" s="2">
        <v>2026</v>
      </c>
      <c r="B3694" s="2">
        <v>4</v>
      </c>
      <c r="C3694" s="2" t="s">
        <v>1030</v>
      </c>
      <c r="D3694" s="2" t="s">
        <v>38</v>
      </c>
      <c r="E3694" s="2" t="s">
        <v>39</v>
      </c>
      <c r="F3694" s="2">
        <v>504493612</v>
      </c>
      <c r="G3694" s="2" t="s">
        <v>41</v>
      </c>
      <c r="H3694" s="2" t="s">
        <v>1570</v>
      </c>
      <c r="I3694" s="2" t="s">
        <v>2547</v>
      </c>
      <c r="K3694" s="2" t="s">
        <v>178</v>
      </c>
      <c r="O3694" s="2" t="s">
        <v>43</v>
      </c>
      <c r="P3694" s="2" t="s">
        <v>255</v>
      </c>
      <c r="Q3694" s="2" t="s">
        <v>256</v>
      </c>
      <c r="R3694" s="2">
        <v>100</v>
      </c>
      <c r="S3694" s="2">
        <v>14</v>
      </c>
      <c r="T3694" s="2">
        <v>3.22</v>
      </c>
      <c r="U3694" s="2">
        <v>17.22</v>
      </c>
      <c r="W3694" s="5">
        <f t="shared" si="399"/>
        <v>1</v>
      </c>
      <c r="Y3694" s="2" t="s">
        <v>3256</v>
      </c>
      <c r="Z3694" s="2" t="s">
        <v>46</v>
      </c>
      <c r="AA3694" s="2" t="s">
        <v>61</v>
      </c>
      <c r="AB3694" s="2" t="s">
        <v>58</v>
      </c>
      <c r="AE3694" s="2">
        <f t="shared" si="397"/>
        <v>0</v>
      </c>
      <c r="AI3694" s="2">
        <f t="shared" si="398"/>
        <v>0</v>
      </c>
      <c r="AJ3694" s="2">
        <f t="shared" si="394"/>
        <v>14</v>
      </c>
      <c r="AK3694" s="5">
        <f t="shared" si="393"/>
        <v>1</v>
      </c>
    </row>
    <row r="3695" spans="1:37" x14ac:dyDescent="0.2">
      <c r="A3695" s="2">
        <v>2026</v>
      </c>
      <c r="B3695" s="2">
        <v>4</v>
      </c>
      <c r="C3695" s="2" t="s">
        <v>37</v>
      </c>
      <c r="D3695" s="2" t="s">
        <v>38</v>
      </c>
      <c r="E3695" s="2" t="s">
        <v>39</v>
      </c>
      <c r="G3695" s="2" t="s">
        <v>40</v>
      </c>
      <c r="O3695" s="2" t="s">
        <v>43</v>
      </c>
      <c r="P3695" s="2" t="s">
        <v>257</v>
      </c>
      <c r="Q3695" s="2" t="s">
        <v>258</v>
      </c>
      <c r="R3695" s="2">
        <v>6</v>
      </c>
      <c r="S3695" s="2">
        <v>18</v>
      </c>
      <c r="T3695" s="2">
        <v>4.1400000000000006</v>
      </c>
      <c r="U3695" s="2">
        <v>22.14</v>
      </c>
      <c r="W3695" s="5">
        <f t="shared" si="399"/>
        <v>1</v>
      </c>
      <c r="Y3695" s="2" t="s">
        <v>3256</v>
      </c>
      <c r="Z3695" s="2" t="s">
        <v>46</v>
      </c>
      <c r="AA3695" s="2" t="s">
        <v>91</v>
      </c>
      <c r="AB3695" s="2" t="s">
        <v>58</v>
      </c>
      <c r="AE3695" s="2">
        <f t="shared" si="397"/>
        <v>0</v>
      </c>
      <c r="AI3695" s="2">
        <f t="shared" si="398"/>
        <v>0</v>
      </c>
      <c r="AJ3695" s="2">
        <f t="shared" si="394"/>
        <v>18</v>
      </c>
      <c r="AK3695" s="5">
        <f t="shared" si="393"/>
        <v>1</v>
      </c>
    </row>
    <row r="3696" spans="1:37" x14ac:dyDescent="0.2">
      <c r="A3696" s="2">
        <v>2026</v>
      </c>
      <c r="B3696" s="2">
        <v>4</v>
      </c>
      <c r="C3696" s="2" t="s">
        <v>298</v>
      </c>
      <c r="D3696" s="2" t="s">
        <v>38</v>
      </c>
      <c r="E3696" s="2" t="s">
        <v>39</v>
      </c>
      <c r="F3696" s="2">
        <v>510939570</v>
      </c>
      <c r="G3696" s="2" t="s">
        <v>41</v>
      </c>
      <c r="H3696" s="2" t="s">
        <v>299</v>
      </c>
      <c r="I3696" s="2" t="s">
        <v>300</v>
      </c>
      <c r="J3696" s="2">
        <v>962678129</v>
      </c>
      <c r="K3696" s="2" t="s">
        <v>178</v>
      </c>
      <c r="L3696" s="2" t="s">
        <v>41</v>
      </c>
      <c r="N3696" s="2" t="s">
        <v>2871</v>
      </c>
      <c r="O3696" s="2" t="s">
        <v>43</v>
      </c>
      <c r="P3696" s="2" t="s">
        <v>163</v>
      </c>
      <c r="Q3696" s="2" t="s">
        <v>164</v>
      </c>
      <c r="R3696" s="2">
        <v>2</v>
      </c>
      <c r="S3696" s="2">
        <v>42</v>
      </c>
      <c r="T3696" s="2">
        <v>9.66</v>
      </c>
      <c r="U3696" s="2">
        <v>51.66</v>
      </c>
      <c r="W3696" s="5">
        <f t="shared" si="399"/>
        <v>1</v>
      </c>
      <c r="Y3696" s="2" t="s">
        <v>3256</v>
      </c>
      <c r="Z3696" s="2" t="s">
        <v>46</v>
      </c>
      <c r="AA3696" s="2" t="s">
        <v>47</v>
      </c>
      <c r="AB3696" s="2" t="s">
        <v>48</v>
      </c>
      <c r="AE3696" s="2">
        <f t="shared" si="397"/>
        <v>0</v>
      </c>
      <c r="AI3696" s="2">
        <f t="shared" si="398"/>
        <v>0</v>
      </c>
      <c r="AJ3696" s="2">
        <f t="shared" si="394"/>
        <v>42</v>
      </c>
      <c r="AK3696" s="5">
        <f t="shared" si="393"/>
        <v>1</v>
      </c>
    </row>
    <row r="3697" spans="1:37" x14ac:dyDescent="0.2">
      <c r="A3697" s="2">
        <v>2026</v>
      </c>
      <c r="B3697" s="2">
        <v>4</v>
      </c>
      <c r="C3697" s="2" t="s">
        <v>298</v>
      </c>
      <c r="D3697" s="2" t="s">
        <v>38</v>
      </c>
      <c r="E3697" s="2" t="s">
        <v>39</v>
      </c>
      <c r="F3697" s="2">
        <v>510939570</v>
      </c>
      <c r="G3697" s="2" t="s">
        <v>41</v>
      </c>
      <c r="H3697" s="2" t="s">
        <v>299</v>
      </c>
      <c r="I3697" s="2" t="s">
        <v>300</v>
      </c>
      <c r="J3697" s="2">
        <v>962678129</v>
      </c>
      <c r="K3697" s="2" t="s">
        <v>178</v>
      </c>
      <c r="L3697" s="2" t="s">
        <v>41</v>
      </c>
      <c r="N3697" s="2" t="s">
        <v>2871</v>
      </c>
      <c r="O3697" s="2" t="s">
        <v>43</v>
      </c>
      <c r="P3697" s="2" t="s">
        <v>259</v>
      </c>
      <c r="Q3697" s="2" t="s">
        <v>260</v>
      </c>
      <c r="R3697" s="2">
        <v>2</v>
      </c>
      <c r="S3697" s="2">
        <v>48</v>
      </c>
      <c r="T3697" s="2">
        <v>11.04</v>
      </c>
      <c r="U3697" s="2">
        <v>59.04</v>
      </c>
      <c r="W3697" s="5">
        <f t="shared" si="399"/>
        <v>1</v>
      </c>
      <c r="Y3697" s="2" t="s">
        <v>3256</v>
      </c>
      <c r="Z3697" s="2" t="s">
        <v>46</v>
      </c>
      <c r="AA3697" s="2" t="s">
        <v>47</v>
      </c>
      <c r="AB3697" s="2" t="s">
        <v>48</v>
      </c>
      <c r="AE3697" s="2">
        <f t="shared" si="397"/>
        <v>0</v>
      </c>
      <c r="AI3697" s="2">
        <f t="shared" si="398"/>
        <v>0</v>
      </c>
      <c r="AJ3697" s="2">
        <f t="shared" si="394"/>
        <v>48</v>
      </c>
      <c r="AK3697" s="5">
        <f t="shared" si="393"/>
        <v>1</v>
      </c>
    </row>
    <row r="3698" spans="1:37" x14ac:dyDescent="0.2">
      <c r="A3698" s="2">
        <v>2026</v>
      </c>
      <c r="B3698" s="2">
        <v>4</v>
      </c>
      <c r="C3698" s="2" t="s">
        <v>1030</v>
      </c>
      <c r="D3698" s="2" t="s">
        <v>38</v>
      </c>
      <c r="E3698" s="2" t="s">
        <v>39</v>
      </c>
      <c r="F3698" s="2">
        <v>504493612</v>
      </c>
      <c r="G3698" s="2" t="s">
        <v>41</v>
      </c>
      <c r="H3698" s="2" t="s">
        <v>1570</v>
      </c>
      <c r="I3698" s="2" t="s">
        <v>2547</v>
      </c>
      <c r="K3698" s="2" t="s">
        <v>178</v>
      </c>
      <c r="O3698" s="2" t="s">
        <v>43</v>
      </c>
      <c r="P3698" s="2" t="s">
        <v>335</v>
      </c>
      <c r="Q3698" s="2" t="s">
        <v>336</v>
      </c>
      <c r="R3698" s="2">
        <v>8</v>
      </c>
      <c r="S3698" s="2">
        <v>24</v>
      </c>
      <c r="T3698" s="2">
        <v>5.52</v>
      </c>
      <c r="U3698" s="2">
        <v>29.52</v>
      </c>
      <c r="V3698" s="2">
        <f>1.1122*R3698</f>
        <v>8.8976000000000006</v>
      </c>
      <c r="W3698" s="5">
        <f t="shared" si="399"/>
        <v>0.62926666666666664</v>
      </c>
      <c r="Y3698" s="2" t="s">
        <v>3256</v>
      </c>
      <c r="Z3698" s="2" t="s">
        <v>46</v>
      </c>
      <c r="AA3698" s="2" t="s">
        <v>61</v>
      </c>
      <c r="AB3698" s="2" t="s">
        <v>58</v>
      </c>
      <c r="AE3698" s="2">
        <f t="shared" si="397"/>
        <v>0</v>
      </c>
      <c r="AF3698" s="2">
        <v>1.1122000000000001</v>
      </c>
      <c r="AG3698" s="2">
        <v>3</v>
      </c>
      <c r="AI3698" s="2">
        <f t="shared" si="398"/>
        <v>0</v>
      </c>
      <c r="AJ3698" s="2">
        <f t="shared" si="394"/>
        <v>15.102399999999999</v>
      </c>
      <c r="AK3698" s="5">
        <f t="shared" si="393"/>
        <v>0.62926666666666664</v>
      </c>
    </row>
    <row r="3699" spans="1:37" x14ac:dyDescent="0.2">
      <c r="A3699" s="2">
        <v>2026</v>
      </c>
      <c r="B3699" s="2">
        <v>4</v>
      </c>
      <c r="C3699" s="2" t="s">
        <v>579</v>
      </c>
      <c r="D3699" s="2" t="s">
        <v>38</v>
      </c>
      <c r="E3699" s="2" t="s">
        <v>39</v>
      </c>
      <c r="F3699" s="2">
        <v>504811029</v>
      </c>
      <c r="G3699" s="2" t="s">
        <v>41</v>
      </c>
      <c r="H3699" s="2" t="s">
        <v>178</v>
      </c>
      <c r="I3699" s="2" t="s">
        <v>580</v>
      </c>
      <c r="K3699" s="2" t="s">
        <v>178</v>
      </c>
      <c r="L3699" s="2" t="s">
        <v>41</v>
      </c>
      <c r="O3699" s="2" t="s">
        <v>43</v>
      </c>
      <c r="P3699" s="2" t="s">
        <v>584</v>
      </c>
      <c r="Q3699" s="2" t="s">
        <v>585</v>
      </c>
      <c r="R3699" s="2">
        <v>40</v>
      </c>
      <c r="S3699" s="2">
        <v>120</v>
      </c>
      <c r="T3699" s="2">
        <v>27.6</v>
      </c>
      <c r="U3699" s="2">
        <v>147.6</v>
      </c>
      <c r="V3699" s="2">
        <f>1.4114*R3699</f>
        <v>56.456000000000003</v>
      </c>
      <c r="W3699" s="5">
        <f t="shared" si="399"/>
        <v>0.5295333333333333</v>
      </c>
      <c r="Y3699" s="2" t="s">
        <v>3256</v>
      </c>
      <c r="Z3699" s="2" t="s">
        <v>46</v>
      </c>
      <c r="AA3699" s="2" t="s">
        <v>61</v>
      </c>
      <c r="AB3699" s="2" t="s">
        <v>58</v>
      </c>
      <c r="AE3699" s="2">
        <f t="shared" si="397"/>
        <v>0</v>
      </c>
      <c r="AF3699" s="2">
        <v>1.4114</v>
      </c>
      <c r="AG3699" s="2">
        <v>3</v>
      </c>
      <c r="AI3699" s="2">
        <f t="shared" si="398"/>
        <v>0</v>
      </c>
      <c r="AJ3699" s="2">
        <f t="shared" si="394"/>
        <v>63.543999999999997</v>
      </c>
      <c r="AK3699" s="5">
        <f t="shared" si="393"/>
        <v>0.5295333333333333</v>
      </c>
    </row>
    <row r="3700" spans="1:37" x14ac:dyDescent="0.2">
      <c r="A3700" s="2">
        <v>2026</v>
      </c>
      <c r="B3700" s="2">
        <v>4</v>
      </c>
      <c r="C3700" s="2" t="s">
        <v>2543</v>
      </c>
      <c r="O3700" s="2" t="s">
        <v>43</v>
      </c>
      <c r="P3700" s="2" t="s">
        <v>2400</v>
      </c>
      <c r="Q3700" s="2" t="s">
        <v>2401</v>
      </c>
      <c r="R3700" s="2">
        <v>-1</v>
      </c>
      <c r="S3700" s="2">
        <v>-60</v>
      </c>
      <c r="T3700" s="2">
        <v>-13.8</v>
      </c>
      <c r="U3700" s="2">
        <v>-73.8</v>
      </c>
      <c r="W3700" s="5">
        <f>SIGN(S3700)*((ABS(S3700)-V3700)/ABS(S3700))</f>
        <v>-1</v>
      </c>
      <c r="Y3700" s="2" t="s">
        <v>3256</v>
      </c>
      <c r="Z3700" s="2" t="s">
        <v>46</v>
      </c>
      <c r="AA3700" s="2" t="s">
        <v>91</v>
      </c>
      <c r="AB3700" s="2" t="s">
        <v>58</v>
      </c>
      <c r="AE3700" s="2">
        <f t="shared" si="397"/>
        <v>0</v>
      </c>
      <c r="AI3700" s="2">
        <f t="shared" si="398"/>
        <v>0</v>
      </c>
      <c r="AJ3700" s="2">
        <f t="shared" si="394"/>
        <v>-60</v>
      </c>
      <c r="AK3700" s="5">
        <f>SIGN(S3700)*((ABS(S3700)-V3700)/ABS(S3700))</f>
        <v>-1</v>
      </c>
    </row>
    <row r="3701" spans="1:37" x14ac:dyDescent="0.2">
      <c r="A3701" s="2">
        <v>2026</v>
      </c>
      <c r="B3701" s="2">
        <v>4</v>
      </c>
      <c r="C3701" s="2" t="s">
        <v>37</v>
      </c>
      <c r="D3701" s="2" t="s">
        <v>38</v>
      </c>
      <c r="E3701" s="2" t="s">
        <v>39</v>
      </c>
      <c r="G3701" s="2" t="s">
        <v>40</v>
      </c>
      <c r="L3701" s="2" t="s">
        <v>41</v>
      </c>
      <c r="N3701" s="2" t="s">
        <v>2885</v>
      </c>
      <c r="O3701" s="2" t="s">
        <v>43</v>
      </c>
      <c r="P3701" s="2" t="s">
        <v>2886</v>
      </c>
      <c r="Q3701" s="2" t="s">
        <v>2887</v>
      </c>
      <c r="R3701" s="2">
        <v>2</v>
      </c>
      <c r="S3701" s="2">
        <v>45</v>
      </c>
      <c r="T3701" s="2">
        <v>10.35</v>
      </c>
      <c r="U3701" s="2">
        <v>55.35</v>
      </c>
      <c r="V3701" s="2">
        <f>16.6925*2</f>
        <v>33.384999999999998</v>
      </c>
      <c r="W3701" s="5">
        <f t="shared" ref="W3701:W3742" si="402">(S3701-V3701)/S3701</f>
        <v>0.25811111111111118</v>
      </c>
      <c r="Y3701" s="2" t="s">
        <v>3256</v>
      </c>
      <c r="Z3701" s="2" t="s">
        <v>46</v>
      </c>
      <c r="AA3701" s="2" t="s">
        <v>68</v>
      </c>
      <c r="AB3701" s="2" t="s">
        <v>58</v>
      </c>
      <c r="AE3701" s="2">
        <f t="shared" si="397"/>
        <v>0</v>
      </c>
      <c r="AF3701" s="2">
        <v>16.692499999999999</v>
      </c>
      <c r="AG3701" s="2">
        <v>27.6</v>
      </c>
      <c r="AI3701" s="2">
        <f t="shared" si="398"/>
        <v>0</v>
      </c>
      <c r="AJ3701" s="2">
        <f t="shared" si="394"/>
        <v>11.615000000000002</v>
      </c>
      <c r="AK3701" s="5">
        <f t="shared" ref="AK3701:AK3732" si="403">(S3701-V3701)/S3701</f>
        <v>0.25811111111111118</v>
      </c>
    </row>
    <row r="3702" spans="1:37" x14ac:dyDescent="0.2">
      <c r="A3702" s="2">
        <v>2026</v>
      </c>
      <c r="B3702" s="2">
        <v>4</v>
      </c>
      <c r="C3702" s="2" t="s">
        <v>298</v>
      </c>
      <c r="D3702" s="2" t="s">
        <v>38</v>
      </c>
      <c r="E3702" s="2" t="s">
        <v>39</v>
      </c>
      <c r="F3702" s="2">
        <v>510939570</v>
      </c>
      <c r="G3702" s="2" t="s">
        <v>41</v>
      </c>
      <c r="H3702" s="2" t="s">
        <v>299</v>
      </c>
      <c r="I3702" s="2" t="s">
        <v>300</v>
      </c>
      <c r="J3702" s="2">
        <v>962678129</v>
      </c>
      <c r="K3702" s="2" t="s">
        <v>178</v>
      </c>
      <c r="L3702" s="2" t="s">
        <v>41</v>
      </c>
      <c r="N3702" s="2" t="s">
        <v>2871</v>
      </c>
      <c r="O3702" s="2" t="s">
        <v>43</v>
      </c>
      <c r="P3702" s="2" t="s">
        <v>2886</v>
      </c>
      <c r="Q3702" s="2" t="s">
        <v>2887</v>
      </c>
      <c r="R3702" s="2">
        <v>1</v>
      </c>
      <c r="S3702" s="2">
        <v>23</v>
      </c>
      <c r="T3702" s="2">
        <v>5.29</v>
      </c>
      <c r="U3702" s="2">
        <v>28.29</v>
      </c>
      <c r="V3702" s="2">
        <v>16.692499999999999</v>
      </c>
      <c r="W3702" s="5">
        <f t="shared" si="402"/>
        <v>0.27423913043478265</v>
      </c>
      <c r="Y3702" s="2" t="s">
        <v>3256</v>
      </c>
      <c r="Z3702" s="2" t="s">
        <v>46</v>
      </c>
      <c r="AA3702" s="2" t="s">
        <v>68</v>
      </c>
      <c r="AB3702" s="2" t="s">
        <v>58</v>
      </c>
      <c r="AE3702" s="2">
        <f t="shared" si="397"/>
        <v>0</v>
      </c>
      <c r="AF3702" s="2">
        <v>16.692499999999999</v>
      </c>
      <c r="AG3702" s="2">
        <v>27.6</v>
      </c>
      <c r="AI3702" s="2">
        <f t="shared" si="398"/>
        <v>0</v>
      </c>
      <c r="AJ3702" s="2">
        <f t="shared" ref="AJ3702:AJ3765" si="404">S3702-V3702</f>
        <v>6.307500000000001</v>
      </c>
      <c r="AK3702" s="5">
        <f t="shared" si="403"/>
        <v>0.27423913043478265</v>
      </c>
    </row>
    <row r="3703" spans="1:37" x14ac:dyDescent="0.2">
      <c r="A3703" s="2">
        <v>2026</v>
      </c>
      <c r="B3703" s="2">
        <v>4</v>
      </c>
      <c r="C3703" s="2" t="s">
        <v>320</v>
      </c>
      <c r="D3703" s="2" t="s">
        <v>38</v>
      </c>
      <c r="E3703" s="2" t="s">
        <v>39</v>
      </c>
      <c r="F3703" s="2">
        <v>500883262</v>
      </c>
      <c r="G3703" s="2" t="s">
        <v>40</v>
      </c>
      <c r="H3703" s="2" t="s">
        <v>100</v>
      </c>
      <c r="I3703" s="2" t="s">
        <v>321</v>
      </c>
      <c r="K3703" s="2" t="s">
        <v>100</v>
      </c>
      <c r="L3703" s="2" t="s">
        <v>81</v>
      </c>
      <c r="N3703" s="2" t="s">
        <v>2888</v>
      </c>
      <c r="O3703" s="2" t="s">
        <v>43</v>
      </c>
      <c r="P3703" s="2" t="s">
        <v>977</v>
      </c>
      <c r="Q3703" s="2" t="s">
        <v>978</v>
      </c>
      <c r="R3703" s="2">
        <v>24</v>
      </c>
      <c r="S3703" s="2">
        <v>552</v>
      </c>
      <c r="T3703" s="2">
        <v>126.96</v>
      </c>
      <c r="U3703" s="2">
        <v>678.96</v>
      </c>
      <c r="W3703" s="5">
        <f t="shared" si="402"/>
        <v>1</v>
      </c>
      <c r="Y3703" s="2" t="s">
        <v>3256</v>
      </c>
      <c r="Z3703" s="2" t="s">
        <v>46</v>
      </c>
      <c r="AA3703" s="2" t="s">
        <v>61</v>
      </c>
      <c r="AB3703" s="2" t="s">
        <v>58</v>
      </c>
      <c r="AE3703" s="2">
        <f t="shared" si="397"/>
        <v>0</v>
      </c>
      <c r="AI3703" s="2">
        <f t="shared" si="398"/>
        <v>0</v>
      </c>
      <c r="AJ3703" s="2">
        <f t="shared" si="404"/>
        <v>552</v>
      </c>
      <c r="AK3703" s="5">
        <f t="shared" si="403"/>
        <v>1</v>
      </c>
    </row>
    <row r="3704" spans="1:37" x14ac:dyDescent="0.2">
      <c r="A3704" s="2">
        <v>2026</v>
      </c>
      <c r="B3704" s="2">
        <v>4</v>
      </c>
      <c r="C3704" s="2" t="s">
        <v>320</v>
      </c>
      <c r="D3704" s="2" t="s">
        <v>38</v>
      </c>
      <c r="E3704" s="2" t="s">
        <v>39</v>
      </c>
      <c r="F3704" s="2">
        <v>500883262</v>
      </c>
      <c r="G3704" s="2" t="s">
        <v>40</v>
      </c>
      <c r="H3704" s="2" t="s">
        <v>100</v>
      </c>
      <c r="I3704" s="2" t="s">
        <v>321</v>
      </c>
      <c r="K3704" s="2" t="s">
        <v>100</v>
      </c>
      <c r="L3704" s="2" t="s">
        <v>81</v>
      </c>
      <c r="N3704" s="2" t="s">
        <v>2888</v>
      </c>
      <c r="O3704" s="2" t="s">
        <v>43</v>
      </c>
      <c r="P3704" s="2" t="s">
        <v>979</v>
      </c>
      <c r="Q3704" s="2" t="s">
        <v>980</v>
      </c>
      <c r="R3704" s="2">
        <v>24</v>
      </c>
      <c r="S3704" s="2">
        <v>552</v>
      </c>
      <c r="T3704" s="2">
        <v>126.96</v>
      </c>
      <c r="U3704" s="2">
        <v>678.96</v>
      </c>
      <c r="W3704" s="5">
        <f t="shared" si="402"/>
        <v>1</v>
      </c>
      <c r="Y3704" s="2" t="s">
        <v>3256</v>
      </c>
      <c r="Z3704" s="2" t="s">
        <v>46</v>
      </c>
      <c r="AA3704" s="2" t="s">
        <v>61</v>
      </c>
      <c r="AB3704" s="2" t="s">
        <v>58</v>
      </c>
      <c r="AE3704" s="2">
        <f t="shared" si="397"/>
        <v>0</v>
      </c>
      <c r="AI3704" s="2">
        <f t="shared" si="398"/>
        <v>0</v>
      </c>
      <c r="AJ3704" s="2">
        <f t="shared" si="404"/>
        <v>552</v>
      </c>
      <c r="AK3704" s="5">
        <f t="shared" si="403"/>
        <v>1</v>
      </c>
    </row>
    <row r="3705" spans="1:37" x14ac:dyDescent="0.2">
      <c r="A3705" s="2">
        <v>2026</v>
      </c>
      <c r="B3705" s="2">
        <v>4</v>
      </c>
      <c r="C3705" s="2" t="s">
        <v>586</v>
      </c>
      <c r="L3705" s="2" t="s">
        <v>41</v>
      </c>
      <c r="O3705" s="2" t="s">
        <v>43</v>
      </c>
      <c r="P3705" s="2" t="s">
        <v>507</v>
      </c>
      <c r="Q3705" s="2" t="s">
        <v>508</v>
      </c>
      <c r="R3705" s="2">
        <v>16</v>
      </c>
      <c r="S3705" s="2">
        <v>14.4</v>
      </c>
      <c r="T3705" s="2">
        <v>3.3119999999999998</v>
      </c>
      <c r="U3705" s="2">
        <v>17.712</v>
      </c>
      <c r="W3705" s="5">
        <f t="shared" si="402"/>
        <v>1</v>
      </c>
      <c r="Y3705" s="2" t="s">
        <v>3256</v>
      </c>
      <c r="Z3705" s="2" t="s">
        <v>46</v>
      </c>
      <c r="AA3705" s="2" t="s">
        <v>61</v>
      </c>
      <c r="AB3705" s="2" t="s">
        <v>58</v>
      </c>
      <c r="AE3705" s="2">
        <f t="shared" si="397"/>
        <v>0</v>
      </c>
      <c r="AI3705" s="2">
        <f t="shared" si="398"/>
        <v>0</v>
      </c>
      <c r="AJ3705" s="2">
        <f t="shared" si="404"/>
        <v>14.4</v>
      </c>
      <c r="AK3705" s="5">
        <f t="shared" si="403"/>
        <v>1</v>
      </c>
    </row>
    <row r="3706" spans="1:37" x14ac:dyDescent="0.2">
      <c r="A3706" s="2">
        <v>2026</v>
      </c>
      <c r="B3706" s="2">
        <v>4</v>
      </c>
      <c r="C3706" s="2" t="s">
        <v>1906</v>
      </c>
      <c r="O3706" s="2" t="s">
        <v>43</v>
      </c>
      <c r="P3706" s="2" t="s">
        <v>165</v>
      </c>
      <c r="Q3706" s="2" t="s">
        <v>166</v>
      </c>
      <c r="R3706" s="2">
        <v>4</v>
      </c>
      <c r="S3706" s="2">
        <v>60</v>
      </c>
      <c r="T3706" s="2">
        <v>13.8</v>
      </c>
      <c r="U3706" s="2">
        <v>73.8</v>
      </c>
      <c r="V3706" s="2">
        <f>7.9612*R3706</f>
        <v>31.844799999999999</v>
      </c>
      <c r="W3706" s="5">
        <f t="shared" si="402"/>
        <v>0.46925333333333336</v>
      </c>
      <c r="Y3706" s="2" t="s">
        <v>3256</v>
      </c>
      <c r="Z3706" s="2" t="s">
        <v>46</v>
      </c>
      <c r="AA3706" s="2" t="s">
        <v>68</v>
      </c>
      <c r="AB3706" s="2" t="s">
        <v>58</v>
      </c>
      <c r="AE3706" s="2">
        <f t="shared" si="397"/>
        <v>0</v>
      </c>
      <c r="AF3706" s="2">
        <v>7.9611999999999998</v>
      </c>
      <c r="AG3706" s="2">
        <v>14.4</v>
      </c>
      <c r="AI3706" s="2">
        <f t="shared" si="398"/>
        <v>0</v>
      </c>
      <c r="AJ3706" s="2">
        <f t="shared" si="404"/>
        <v>28.155200000000001</v>
      </c>
      <c r="AK3706" s="5">
        <f t="shared" si="403"/>
        <v>0.46925333333333336</v>
      </c>
    </row>
    <row r="3707" spans="1:37" x14ac:dyDescent="0.2">
      <c r="A3707" s="2">
        <v>2026</v>
      </c>
      <c r="B3707" s="2">
        <v>4</v>
      </c>
      <c r="C3707" s="2" t="s">
        <v>37</v>
      </c>
      <c r="D3707" s="2" t="s">
        <v>38</v>
      </c>
      <c r="E3707" s="2" t="s">
        <v>39</v>
      </c>
      <c r="G3707" s="2" t="s">
        <v>40</v>
      </c>
      <c r="O3707" s="2" t="s">
        <v>43</v>
      </c>
      <c r="P3707" s="2" t="s">
        <v>66</v>
      </c>
      <c r="Q3707" s="2" t="s">
        <v>67</v>
      </c>
      <c r="R3707" s="2">
        <v>1</v>
      </c>
      <c r="S3707" s="2">
        <v>27.6</v>
      </c>
      <c r="T3707" s="2">
        <v>6.3480000000000008</v>
      </c>
      <c r="U3707" s="2">
        <v>33.948</v>
      </c>
      <c r="V3707" s="2">
        <f t="shared" ref="V3707:V3712" si="405">15.0203*R3707</f>
        <v>15.020300000000001</v>
      </c>
      <c r="W3707" s="5">
        <f t="shared" si="402"/>
        <v>0.45578623188405798</v>
      </c>
      <c r="Y3707" s="2" t="s">
        <v>3256</v>
      </c>
      <c r="Z3707" s="2" t="s">
        <v>46</v>
      </c>
      <c r="AA3707" s="2" t="s">
        <v>68</v>
      </c>
      <c r="AB3707" s="2" t="s">
        <v>58</v>
      </c>
      <c r="AE3707" s="2">
        <f t="shared" si="397"/>
        <v>0</v>
      </c>
      <c r="AF3707" s="2">
        <v>15.020300000000001</v>
      </c>
      <c r="AG3707" s="2">
        <v>27.6</v>
      </c>
      <c r="AI3707" s="2">
        <f t="shared" si="398"/>
        <v>0</v>
      </c>
      <c r="AJ3707" s="2">
        <f t="shared" si="404"/>
        <v>12.579700000000001</v>
      </c>
      <c r="AK3707" s="5">
        <f t="shared" si="403"/>
        <v>0.45578623188405798</v>
      </c>
    </row>
    <row r="3708" spans="1:37" x14ac:dyDescent="0.2">
      <c r="A3708" s="2">
        <v>2026</v>
      </c>
      <c r="B3708" s="2">
        <v>4</v>
      </c>
      <c r="C3708" s="2" t="s">
        <v>333</v>
      </c>
      <c r="D3708" s="2" t="s">
        <v>109</v>
      </c>
      <c r="E3708" s="2" t="s">
        <v>39</v>
      </c>
      <c r="F3708" s="2">
        <v>513493557</v>
      </c>
      <c r="G3708" s="2" t="s">
        <v>41</v>
      </c>
      <c r="H3708" s="2" t="s">
        <v>280</v>
      </c>
      <c r="I3708" s="2" t="s">
        <v>334</v>
      </c>
      <c r="K3708" s="2" t="s">
        <v>178</v>
      </c>
      <c r="L3708" s="2" t="s">
        <v>41</v>
      </c>
      <c r="O3708" s="2" t="s">
        <v>43</v>
      </c>
      <c r="P3708" s="2" t="s">
        <v>66</v>
      </c>
      <c r="Q3708" s="2" t="s">
        <v>67</v>
      </c>
      <c r="R3708" s="2">
        <v>3</v>
      </c>
      <c r="S3708" s="2">
        <v>72</v>
      </c>
      <c r="T3708" s="2">
        <v>16.559999999999999</v>
      </c>
      <c r="U3708" s="2">
        <v>88.56</v>
      </c>
      <c r="V3708" s="2">
        <f t="shared" si="405"/>
        <v>45.060900000000004</v>
      </c>
      <c r="W3708" s="5">
        <f t="shared" si="402"/>
        <v>0.37415416666666662</v>
      </c>
      <c r="Y3708" s="2" t="s">
        <v>3256</v>
      </c>
      <c r="Z3708" s="2" t="s">
        <v>46</v>
      </c>
      <c r="AA3708" s="2" t="s">
        <v>68</v>
      </c>
      <c r="AB3708" s="2" t="s">
        <v>58</v>
      </c>
      <c r="AE3708" s="2">
        <f t="shared" si="397"/>
        <v>0</v>
      </c>
      <c r="AF3708" s="2">
        <v>15.020300000000001</v>
      </c>
      <c r="AG3708" s="2">
        <v>27.6</v>
      </c>
      <c r="AI3708" s="2">
        <f t="shared" si="398"/>
        <v>0</v>
      </c>
      <c r="AJ3708" s="2">
        <f t="shared" si="404"/>
        <v>26.939099999999996</v>
      </c>
      <c r="AK3708" s="5">
        <f t="shared" si="403"/>
        <v>0.37415416666666662</v>
      </c>
    </row>
    <row r="3709" spans="1:37" x14ac:dyDescent="0.2">
      <c r="A3709" s="2">
        <v>2026</v>
      </c>
      <c r="B3709" s="2">
        <v>4</v>
      </c>
      <c r="C3709" s="2" t="s">
        <v>787</v>
      </c>
      <c r="D3709" s="2" t="s">
        <v>38</v>
      </c>
      <c r="E3709" s="2" t="s">
        <v>39</v>
      </c>
      <c r="F3709" s="2">
        <v>510219675</v>
      </c>
      <c r="G3709" s="2" t="s">
        <v>40</v>
      </c>
      <c r="H3709" s="2" t="s">
        <v>788</v>
      </c>
      <c r="I3709" s="2" t="s">
        <v>789</v>
      </c>
      <c r="J3709" s="2">
        <v>917341136</v>
      </c>
      <c r="K3709" s="2" t="s">
        <v>100</v>
      </c>
      <c r="O3709" s="2" t="s">
        <v>43</v>
      </c>
      <c r="P3709" s="2" t="s">
        <v>66</v>
      </c>
      <c r="Q3709" s="2" t="s">
        <v>67</v>
      </c>
      <c r="R3709" s="2">
        <v>1</v>
      </c>
      <c r="S3709" s="2">
        <v>27.6</v>
      </c>
      <c r="T3709" s="2">
        <v>6.3480000000000008</v>
      </c>
      <c r="U3709" s="2">
        <v>33.948</v>
      </c>
      <c r="V3709" s="2">
        <f t="shared" si="405"/>
        <v>15.020300000000001</v>
      </c>
      <c r="W3709" s="5">
        <f t="shared" si="402"/>
        <v>0.45578623188405798</v>
      </c>
      <c r="Y3709" s="2" t="s">
        <v>3256</v>
      </c>
      <c r="Z3709" s="2" t="s">
        <v>46</v>
      </c>
      <c r="AA3709" s="2" t="s">
        <v>68</v>
      </c>
      <c r="AB3709" s="2" t="s">
        <v>58</v>
      </c>
      <c r="AE3709" s="2">
        <f t="shared" si="397"/>
        <v>0</v>
      </c>
      <c r="AF3709" s="2">
        <v>15.020300000000001</v>
      </c>
      <c r="AG3709" s="2">
        <v>27.6</v>
      </c>
      <c r="AI3709" s="2">
        <f t="shared" si="398"/>
        <v>0</v>
      </c>
      <c r="AJ3709" s="2">
        <f t="shared" si="404"/>
        <v>12.579700000000001</v>
      </c>
      <c r="AK3709" s="5">
        <f t="shared" si="403"/>
        <v>0.45578623188405798</v>
      </c>
    </row>
    <row r="3710" spans="1:37" x14ac:dyDescent="0.2">
      <c r="A3710" s="2">
        <v>2026</v>
      </c>
      <c r="B3710" s="2">
        <v>4</v>
      </c>
      <c r="C3710" s="2" t="s">
        <v>1074</v>
      </c>
      <c r="O3710" s="2" t="s">
        <v>43</v>
      </c>
      <c r="P3710" s="2" t="s">
        <v>66</v>
      </c>
      <c r="Q3710" s="2" t="s">
        <v>67</v>
      </c>
      <c r="R3710" s="2">
        <v>10</v>
      </c>
      <c r="S3710" s="2">
        <v>215</v>
      </c>
      <c r="T3710" s="2">
        <v>49.45</v>
      </c>
      <c r="U3710" s="2">
        <v>264.45</v>
      </c>
      <c r="V3710" s="2">
        <f t="shared" si="405"/>
        <v>150.203</v>
      </c>
      <c r="W3710" s="5">
        <f t="shared" si="402"/>
        <v>0.30138139534883718</v>
      </c>
      <c r="Y3710" s="2" t="s">
        <v>3256</v>
      </c>
      <c r="Z3710" s="2" t="s">
        <v>46</v>
      </c>
      <c r="AA3710" s="2" t="s">
        <v>68</v>
      </c>
      <c r="AB3710" s="2" t="s">
        <v>58</v>
      </c>
      <c r="AE3710" s="2">
        <f t="shared" si="397"/>
        <v>0</v>
      </c>
      <c r="AF3710" s="2">
        <v>15.020300000000001</v>
      </c>
      <c r="AG3710" s="2">
        <v>27.6</v>
      </c>
      <c r="AI3710" s="2">
        <f t="shared" si="398"/>
        <v>0</v>
      </c>
      <c r="AJ3710" s="2">
        <f t="shared" si="404"/>
        <v>64.796999999999997</v>
      </c>
      <c r="AK3710" s="5">
        <f t="shared" si="403"/>
        <v>0.30138139534883718</v>
      </c>
    </row>
    <row r="3711" spans="1:37" x14ac:dyDescent="0.2">
      <c r="A3711" s="2">
        <v>2026</v>
      </c>
      <c r="B3711" s="2">
        <v>4</v>
      </c>
      <c r="C3711" s="2" t="s">
        <v>573</v>
      </c>
      <c r="D3711" s="2" t="s">
        <v>38</v>
      </c>
      <c r="E3711" s="2" t="s">
        <v>39</v>
      </c>
      <c r="F3711" s="2">
        <v>506267547</v>
      </c>
      <c r="G3711" s="2" t="s">
        <v>291</v>
      </c>
      <c r="H3711" s="2" t="s">
        <v>574</v>
      </c>
      <c r="I3711" s="2" t="s">
        <v>575</v>
      </c>
      <c r="J3711" s="2">
        <v>917821904</v>
      </c>
      <c r="K3711" s="2" t="s">
        <v>576</v>
      </c>
      <c r="L3711" s="2" t="s">
        <v>291</v>
      </c>
      <c r="N3711" s="2" t="s">
        <v>2889</v>
      </c>
      <c r="O3711" s="2" t="s">
        <v>43</v>
      </c>
      <c r="P3711" s="2" t="s">
        <v>66</v>
      </c>
      <c r="Q3711" s="2" t="s">
        <v>67</v>
      </c>
      <c r="R3711" s="2">
        <v>1</v>
      </c>
      <c r="S3711" s="2">
        <v>27.6</v>
      </c>
      <c r="T3711" s="2">
        <v>6.3480000000000008</v>
      </c>
      <c r="U3711" s="2">
        <v>33.948</v>
      </c>
      <c r="V3711" s="2">
        <f t="shared" si="405"/>
        <v>15.020300000000001</v>
      </c>
      <c r="W3711" s="5">
        <f t="shared" si="402"/>
        <v>0.45578623188405798</v>
      </c>
      <c r="Y3711" s="2" t="s">
        <v>3256</v>
      </c>
      <c r="Z3711" s="2" t="s">
        <v>46</v>
      </c>
      <c r="AA3711" s="2" t="s">
        <v>68</v>
      </c>
      <c r="AB3711" s="2" t="s">
        <v>58</v>
      </c>
      <c r="AE3711" s="2">
        <f t="shared" si="397"/>
        <v>0</v>
      </c>
      <c r="AF3711" s="2">
        <v>15.020300000000001</v>
      </c>
      <c r="AG3711" s="2">
        <v>27.6</v>
      </c>
      <c r="AI3711" s="2">
        <f t="shared" si="398"/>
        <v>0</v>
      </c>
      <c r="AJ3711" s="2">
        <f t="shared" si="404"/>
        <v>12.579700000000001</v>
      </c>
      <c r="AK3711" s="5">
        <f t="shared" si="403"/>
        <v>0.45578623188405798</v>
      </c>
    </row>
    <row r="3712" spans="1:37" x14ac:dyDescent="0.2">
      <c r="A3712" s="2">
        <v>2026</v>
      </c>
      <c r="B3712" s="2">
        <v>4</v>
      </c>
      <c r="C3712" s="2" t="s">
        <v>587</v>
      </c>
      <c r="D3712" s="2" t="s">
        <v>109</v>
      </c>
      <c r="F3712" s="2">
        <v>503850276</v>
      </c>
      <c r="G3712" s="2" t="s">
        <v>40</v>
      </c>
      <c r="H3712" s="2" t="s">
        <v>588</v>
      </c>
      <c r="I3712" s="2" t="s">
        <v>589</v>
      </c>
      <c r="K3712" s="2" t="s">
        <v>202</v>
      </c>
      <c r="L3712" s="2" t="s">
        <v>81</v>
      </c>
      <c r="O3712" s="2" t="s">
        <v>43</v>
      </c>
      <c r="P3712" s="2" t="s">
        <v>66</v>
      </c>
      <c r="Q3712" s="2" t="s">
        <v>67</v>
      </c>
      <c r="R3712" s="2">
        <v>40</v>
      </c>
      <c r="S3712" s="2">
        <v>840</v>
      </c>
      <c r="T3712" s="2">
        <v>193.2</v>
      </c>
      <c r="U3712" s="2">
        <v>1033.2</v>
      </c>
      <c r="V3712" s="2">
        <f t="shared" si="405"/>
        <v>600.81200000000001</v>
      </c>
      <c r="W3712" s="5">
        <f t="shared" si="402"/>
        <v>0.28474761904761903</v>
      </c>
      <c r="Y3712" s="2" t="s">
        <v>3256</v>
      </c>
      <c r="Z3712" s="2" t="s">
        <v>46</v>
      </c>
      <c r="AA3712" s="2" t="s">
        <v>68</v>
      </c>
      <c r="AB3712" s="2" t="s">
        <v>58</v>
      </c>
      <c r="AE3712" s="2">
        <f t="shared" si="397"/>
        <v>0</v>
      </c>
      <c r="AF3712" s="2">
        <v>15.020300000000001</v>
      </c>
      <c r="AG3712" s="2">
        <v>27.6</v>
      </c>
      <c r="AI3712" s="2">
        <f t="shared" si="398"/>
        <v>0</v>
      </c>
      <c r="AJ3712" s="2">
        <f t="shared" si="404"/>
        <v>239.18799999999999</v>
      </c>
      <c r="AK3712" s="5">
        <f t="shared" si="403"/>
        <v>0.28474761904761903</v>
      </c>
    </row>
    <row r="3713" spans="1:37" x14ac:dyDescent="0.2">
      <c r="A3713" s="2">
        <v>2026</v>
      </c>
      <c r="B3713" s="2">
        <v>4</v>
      </c>
      <c r="C3713" s="2" t="s">
        <v>333</v>
      </c>
      <c r="D3713" s="2" t="s">
        <v>109</v>
      </c>
      <c r="E3713" s="2" t="s">
        <v>39</v>
      </c>
      <c r="F3713" s="2">
        <v>513493557</v>
      </c>
      <c r="G3713" s="2" t="s">
        <v>41</v>
      </c>
      <c r="H3713" s="2" t="s">
        <v>280</v>
      </c>
      <c r="I3713" s="2" t="s">
        <v>334</v>
      </c>
      <c r="K3713" s="2" t="s">
        <v>178</v>
      </c>
      <c r="L3713" s="2" t="s">
        <v>41</v>
      </c>
      <c r="O3713" s="2" t="s">
        <v>43</v>
      </c>
      <c r="P3713" s="2" t="s">
        <v>261</v>
      </c>
      <c r="Q3713" s="2" t="s">
        <v>262</v>
      </c>
      <c r="R3713" s="2">
        <v>2</v>
      </c>
      <c r="S3713" s="2">
        <v>28</v>
      </c>
      <c r="T3713" s="2">
        <v>6.44</v>
      </c>
      <c r="U3713" s="2">
        <v>34.44</v>
      </c>
      <c r="V3713" s="2">
        <f>8.3145*R3713</f>
        <v>16.629000000000001</v>
      </c>
      <c r="W3713" s="5">
        <f t="shared" si="402"/>
        <v>0.40610714285714283</v>
      </c>
      <c r="Y3713" s="2" t="s">
        <v>3256</v>
      </c>
      <c r="Z3713" s="2" t="s">
        <v>46</v>
      </c>
      <c r="AA3713" s="2" t="s">
        <v>68</v>
      </c>
      <c r="AB3713" s="2" t="s">
        <v>58</v>
      </c>
      <c r="AE3713" s="2">
        <f t="shared" si="397"/>
        <v>0</v>
      </c>
      <c r="AF3713" s="2">
        <v>8.3145000000000007</v>
      </c>
      <c r="AG3713" s="2">
        <v>15</v>
      </c>
      <c r="AI3713" s="2">
        <f t="shared" si="398"/>
        <v>0</v>
      </c>
      <c r="AJ3713" s="2">
        <f t="shared" si="404"/>
        <v>11.370999999999999</v>
      </c>
      <c r="AK3713" s="5">
        <f t="shared" si="403"/>
        <v>0.40610714285714283</v>
      </c>
    </row>
    <row r="3714" spans="1:37" x14ac:dyDescent="0.2">
      <c r="A3714" s="2">
        <v>2026</v>
      </c>
      <c r="B3714" s="2">
        <v>4</v>
      </c>
      <c r="C3714" s="2" t="s">
        <v>2538</v>
      </c>
      <c r="D3714" s="2" t="s">
        <v>758</v>
      </c>
      <c r="E3714" s="2" t="s">
        <v>39</v>
      </c>
      <c r="F3714" s="2">
        <v>515570354</v>
      </c>
      <c r="G3714" s="2" t="s">
        <v>110</v>
      </c>
      <c r="H3714" s="2" t="s">
        <v>2539</v>
      </c>
      <c r="I3714" s="2" t="s">
        <v>2540</v>
      </c>
      <c r="J3714" s="2">
        <v>967032538</v>
      </c>
      <c r="K3714" s="2" t="s">
        <v>400</v>
      </c>
      <c r="L3714" s="2" t="s">
        <v>110</v>
      </c>
      <c r="O3714" s="2" t="s">
        <v>43</v>
      </c>
      <c r="P3714" s="2" t="s">
        <v>261</v>
      </c>
      <c r="Q3714" s="2" t="s">
        <v>262</v>
      </c>
      <c r="R3714" s="2">
        <v>1</v>
      </c>
      <c r="S3714" s="2">
        <v>15</v>
      </c>
      <c r="T3714" s="2">
        <v>3.45</v>
      </c>
      <c r="U3714" s="2">
        <v>18.45</v>
      </c>
      <c r="V3714" s="2">
        <f>8.3145*R3714</f>
        <v>8.3145000000000007</v>
      </c>
      <c r="W3714" s="5">
        <f t="shared" si="402"/>
        <v>0.44569999999999993</v>
      </c>
      <c r="Y3714" s="2" t="s">
        <v>3256</v>
      </c>
      <c r="Z3714" s="2" t="s">
        <v>46</v>
      </c>
      <c r="AA3714" s="2" t="s">
        <v>68</v>
      </c>
      <c r="AB3714" s="2" t="s">
        <v>58</v>
      </c>
      <c r="AE3714" s="2">
        <f t="shared" si="397"/>
        <v>0</v>
      </c>
      <c r="AF3714" s="2">
        <v>8.3145000000000007</v>
      </c>
      <c r="AG3714" s="2">
        <v>15</v>
      </c>
      <c r="AI3714" s="2">
        <f t="shared" si="398"/>
        <v>0</v>
      </c>
      <c r="AJ3714" s="2">
        <f t="shared" si="404"/>
        <v>6.6854999999999993</v>
      </c>
      <c r="AK3714" s="5">
        <f t="shared" si="403"/>
        <v>0.44569999999999993</v>
      </c>
    </row>
    <row r="3715" spans="1:37" x14ac:dyDescent="0.2">
      <c r="A3715" s="2">
        <v>2026</v>
      </c>
      <c r="B3715" s="2">
        <v>4</v>
      </c>
      <c r="C3715" s="2" t="s">
        <v>1906</v>
      </c>
      <c r="L3715" s="2" t="s">
        <v>81</v>
      </c>
      <c r="N3715" s="2" t="s">
        <v>2890</v>
      </c>
      <c r="O3715" s="2" t="s">
        <v>43</v>
      </c>
      <c r="P3715" s="2" t="s">
        <v>2891</v>
      </c>
      <c r="Q3715" s="2" t="s">
        <v>2892</v>
      </c>
      <c r="R3715" s="2">
        <v>1</v>
      </c>
      <c r="S3715" s="2">
        <v>60</v>
      </c>
      <c r="T3715" s="2">
        <v>13.8</v>
      </c>
      <c r="U3715" s="2">
        <v>73.8</v>
      </c>
      <c r="V3715" s="2">
        <v>35.78</v>
      </c>
      <c r="W3715" s="5">
        <f t="shared" si="402"/>
        <v>0.40366666666666667</v>
      </c>
      <c r="Y3715" s="2" t="s">
        <v>3256</v>
      </c>
      <c r="Z3715" s="2" t="s">
        <v>46</v>
      </c>
      <c r="AA3715" s="2" t="s">
        <v>91</v>
      </c>
      <c r="AB3715" s="2" t="s">
        <v>58</v>
      </c>
      <c r="AE3715" s="2">
        <f t="shared" ref="AE3715:AE3778" si="406">AI3715</f>
        <v>0</v>
      </c>
      <c r="AF3715" s="2">
        <v>35.78</v>
      </c>
      <c r="AG3715" s="2">
        <v>63.6</v>
      </c>
      <c r="AI3715" s="2">
        <f t="shared" ref="AI3715:AI3778" si="407">AH3715*S3715</f>
        <v>0</v>
      </c>
      <c r="AJ3715" s="2">
        <f t="shared" si="404"/>
        <v>24.22</v>
      </c>
      <c r="AK3715" s="5">
        <f t="shared" si="403"/>
        <v>0.40366666666666667</v>
      </c>
    </row>
    <row r="3716" spans="1:37" x14ac:dyDescent="0.2">
      <c r="A3716" s="2">
        <v>2026</v>
      </c>
      <c r="B3716" s="2">
        <v>4</v>
      </c>
      <c r="C3716" s="2" t="s">
        <v>1171</v>
      </c>
      <c r="D3716" s="2" t="s">
        <v>758</v>
      </c>
      <c r="F3716" s="2">
        <v>508199280</v>
      </c>
      <c r="G3716" s="2" t="s">
        <v>40</v>
      </c>
      <c r="H3716" s="2" t="s">
        <v>1172</v>
      </c>
      <c r="K3716" s="2" t="s">
        <v>294</v>
      </c>
      <c r="O3716" s="2" t="s">
        <v>3260</v>
      </c>
      <c r="P3716" s="2" t="s">
        <v>2893</v>
      </c>
      <c r="Q3716" s="2" t="s">
        <v>2894</v>
      </c>
      <c r="R3716" s="2">
        <v>1</v>
      </c>
      <c r="S3716" s="2">
        <v>11990</v>
      </c>
      <c r="T3716" s="2">
        <v>2757.7</v>
      </c>
      <c r="U3716" s="2">
        <v>14747.7</v>
      </c>
      <c r="V3716" s="2">
        <v>4916.62</v>
      </c>
      <c r="W3716" s="5">
        <f t="shared" si="402"/>
        <v>0.58993994995829857</v>
      </c>
      <c r="Y3716" s="2" t="s">
        <v>105</v>
      </c>
      <c r="Z3716" s="2" t="s">
        <v>265</v>
      </c>
      <c r="AA3716" s="2" t="s">
        <v>266</v>
      </c>
      <c r="AB3716" s="2" t="s">
        <v>3260</v>
      </c>
      <c r="AE3716" s="2">
        <f t="shared" si="406"/>
        <v>0</v>
      </c>
      <c r="AI3716" s="2">
        <f t="shared" si="407"/>
        <v>0</v>
      </c>
      <c r="AJ3716" s="2">
        <f t="shared" si="404"/>
        <v>7073.38</v>
      </c>
      <c r="AK3716" s="5">
        <f t="shared" si="403"/>
        <v>0.58993994995829857</v>
      </c>
    </row>
    <row r="3717" spans="1:37" x14ac:dyDescent="0.2">
      <c r="A3717" s="2">
        <v>2026</v>
      </c>
      <c r="B3717" s="2">
        <v>4</v>
      </c>
      <c r="C3717" s="2" t="s">
        <v>432</v>
      </c>
      <c r="D3717" s="2" t="s">
        <v>38</v>
      </c>
      <c r="F3717" s="2">
        <v>500820384</v>
      </c>
      <c r="G3717" s="2" t="s">
        <v>40</v>
      </c>
      <c r="H3717" s="2" t="s">
        <v>433</v>
      </c>
      <c r="I3717" s="2" t="s">
        <v>434</v>
      </c>
      <c r="K3717" s="2" t="s">
        <v>100</v>
      </c>
      <c r="L3717" s="2" t="s">
        <v>81</v>
      </c>
      <c r="N3717" s="2" t="s">
        <v>2895</v>
      </c>
      <c r="O3717" s="2" t="s">
        <v>40</v>
      </c>
      <c r="P3717" s="2" t="s">
        <v>550</v>
      </c>
      <c r="Q3717" s="2" t="s">
        <v>551</v>
      </c>
      <c r="R3717" s="2">
        <v>-1</v>
      </c>
      <c r="S3717" s="2">
        <v>-181.39</v>
      </c>
      <c r="T3717" s="2">
        <v>-41.719700000000003</v>
      </c>
      <c r="U3717" s="2">
        <v>-223.1097</v>
      </c>
      <c r="W3717" s="5">
        <f t="shared" si="402"/>
        <v>1</v>
      </c>
      <c r="Y3717" s="2" t="s">
        <v>3256</v>
      </c>
      <c r="Z3717" s="2" t="s">
        <v>76</v>
      </c>
      <c r="AA3717" s="2" t="s">
        <v>77</v>
      </c>
      <c r="AB3717" s="2" t="s">
        <v>40</v>
      </c>
      <c r="AE3717" s="2">
        <f t="shared" si="406"/>
        <v>0</v>
      </c>
      <c r="AI3717" s="2">
        <f t="shared" si="407"/>
        <v>0</v>
      </c>
      <c r="AJ3717" s="2">
        <f t="shared" si="404"/>
        <v>-181.39</v>
      </c>
      <c r="AK3717" s="5">
        <f t="shared" si="403"/>
        <v>1</v>
      </c>
    </row>
    <row r="3718" spans="1:37" x14ac:dyDescent="0.2">
      <c r="A3718" s="2">
        <v>2026</v>
      </c>
      <c r="B3718" s="2">
        <v>4</v>
      </c>
      <c r="C3718" s="2" t="s">
        <v>968</v>
      </c>
      <c r="D3718" s="2" t="s">
        <v>38</v>
      </c>
      <c r="F3718" s="2">
        <v>502714913</v>
      </c>
      <c r="G3718" s="2" t="s">
        <v>40</v>
      </c>
      <c r="H3718" s="2" t="s">
        <v>328</v>
      </c>
      <c r="I3718" s="2" t="s">
        <v>2007</v>
      </c>
      <c r="K3718" s="2" t="s">
        <v>178</v>
      </c>
      <c r="L3718" s="2" t="s">
        <v>81</v>
      </c>
      <c r="O3718" s="2" t="s">
        <v>73</v>
      </c>
      <c r="P3718" s="2" t="s">
        <v>74</v>
      </c>
      <c r="Q3718" s="2" t="s">
        <v>75</v>
      </c>
      <c r="R3718" s="2">
        <v>1</v>
      </c>
      <c r="S3718" s="2">
        <v>220</v>
      </c>
      <c r="T3718" s="2">
        <v>50.6</v>
      </c>
      <c r="U3718" s="2">
        <v>270.60000000000002</v>
      </c>
      <c r="V3718" s="2">
        <v>125.51600000000001</v>
      </c>
      <c r="W3718" s="5">
        <f t="shared" si="402"/>
        <v>0.42947272727272723</v>
      </c>
      <c r="Y3718" s="2" t="s">
        <v>3256</v>
      </c>
      <c r="Z3718" s="2" t="s">
        <v>76</v>
      </c>
      <c r="AA3718" s="2" t="s">
        <v>77</v>
      </c>
      <c r="AB3718" s="2" t="s">
        <v>78</v>
      </c>
      <c r="AE3718" s="2">
        <f t="shared" si="406"/>
        <v>0</v>
      </c>
      <c r="AF3718" s="2">
        <v>125.51600000000001</v>
      </c>
      <c r="AG3718" s="2">
        <v>220</v>
      </c>
      <c r="AI3718" s="2">
        <f t="shared" si="407"/>
        <v>0</v>
      </c>
      <c r="AJ3718" s="2">
        <f t="shared" si="404"/>
        <v>94.483999999999995</v>
      </c>
      <c r="AK3718" s="5">
        <f t="shared" si="403"/>
        <v>0.42947272727272723</v>
      </c>
    </row>
    <row r="3719" spans="1:37" x14ac:dyDescent="0.2">
      <c r="A3719" s="2">
        <v>2026</v>
      </c>
      <c r="B3719" s="2">
        <v>4</v>
      </c>
      <c r="C3719" s="2" t="s">
        <v>737</v>
      </c>
      <c r="D3719" s="2" t="s">
        <v>109</v>
      </c>
      <c r="F3719" s="2">
        <v>502757396</v>
      </c>
      <c r="G3719" s="2" t="s">
        <v>40</v>
      </c>
      <c r="H3719" s="2" t="s">
        <v>100</v>
      </c>
      <c r="I3719" s="2" t="s">
        <v>738</v>
      </c>
      <c r="K3719" s="2" t="s">
        <v>100</v>
      </c>
      <c r="L3719" s="2" t="s">
        <v>81</v>
      </c>
      <c r="O3719" s="2" t="s">
        <v>73</v>
      </c>
      <c r="P3719" s="2" t="s">
        <v>74</v>
      </c>
      <c r="Q3719" s="2" t="s">
        <v>75</v>
      </c>
      <c r="R3719" s="2">
        <v>1</v>
      </c>
      <c r="S3719" s="2">
        <v>220</v>
      </c>
      <c r="T3719" s="2">
        <v>50.6</v>
      </c>
      <c r="U3719" s="2">
        <v>270.60000000000002</v>
      </c>
      <c r="V3719" s="2">
        <v>125.51600000000001</v>
      </c>
      <c r="W3719" s="5">
        <f t="shared" si="402"/>
        <v>0.42947272727272723</v>
      </c>
      <c r="Y3719" s="2" t="s">
        <v>3256</v>
      </c>
      <c r="Z3719" s="2" t="s">
        <v>76</v>
      </c>
      <c r="AA3719" s="2" t="s">
        <v>77</v>
      </c>
      <c r="AB3719" s="2" t="s">
        <v>78</v>
      </c>
      <c r="AE3719" s="2">
        <f t="shared" si="406"/>
        <v>0</v>
      </c>
      <c r="AF3719" s="2">
        <v>125.51600000000001</v>
      </c>
      <c r="AG3719" s="2">
        <v>220</v>
      </c>
      <c r="AI3719" s="2">
        <f t="shared" si="407"/>
        <v>0</v>
      </c>
      <c r="AJ3719" s="2">
        <f t="shared" si="404"/>
        <v>94.483999999999995</v>
      </c>
      <c r="AK3719" s="5">
        <f t="shared" si="403"/>
        <v>0.42947272727272723</v>
      </c>
    </row>
    <row r="3720" spans="1:37" x14ac:dyDescent="0.2">
      <c r="A3720" s="2">
        <v>2026</v>
      </c>
      <c r="B3720" s="2">
        <v>4</v>
      </c>
      <c r="C3720" s="2" t="s">
        <v>480</v>
      </c>
      <c r="D3720" s="2" t="s">
        <v>109</v>
      </c>
      <c r="E3720" s="2" t="s">
        <v>481</v>
      </c>
      <c r="F3720" s="2">
        <v>500864365</v>
      </c>
      <c r="G3720" s="2" t="s">
        <v>41</v>
      </c>
      <c r="H3720" s="2" t="s">
        <v>482</v>
      </c>
      <c r="I3720" s="2" t="s">
        <v>483</v>
      </c>
      <c r="K3720" s="2" t="s">
        <v>484</v>
      </c>
      <c r="L3720" s="2" t="s">
        <v>41</v>
      </c>
      <c r="O3720" s="2" t="s">
        <v>73</v>
      </c>
      <c r="P3720" s="2" t="s">
        <v>74</v>
      </c>
      <c r="Q3720" s="2" t="s">
        <v>75</v>
      </c>
      <c r="R3720" s="2">
        <v>1</v>
      </c>
      <c r="S3720" s="2">
        <v>220</v>
      </c>
      <c r="T3720" s="2">
        <v>50.6</v>
      </c>
      <c r="U3720" s="2">
        <v>270.60000000000002</v>
      </c>
      <c r="V3720" s="2">
        <v>125.51600000000001</v>
      </c>
      <c r="W3720" s="5">
        <f t="shared" si="402"/>
        <v>0.42947272727272723</v>
      </c>
      <c r="Y3720" s="2" t="s">
        <v>3256</v>
      </c>
      <c r="Z3720" s="2" t="s">
        <v>76</v>
      </c>
      <c r="AA3720" s="2" t="s">
        <v>77</v>
      </c>
      <c r="AB3720" s="2" t="s">
        <v>78</v>
      </c>
      <c r="AE3720" s="2">
        <f t="shared" si="406"/>
        <v>0</v>
      </c>
      <c r="AF3720" s="2">
        <v>125.51600000000001</v>
      </c>
      <c r="AG3720" s="2">
        <v>220</v>
      </c>
      <c r="AI3720" s="2">
        <f t="shared" si="407"/>
        <v>0</v>
      </c>
      <c r="AJ3720" s="2">
        <f t="shared" si="404"/>
        <v>94.483999999999995</v>
      </c>
      <c r="AK3720" s="5">
        <f t="shared" si="403"/>
        <v>0.42947272727272723</v>
      </c>
    </row>
    <row r="3721" spans="1:37" x14ac:dyDescent="0.2">
      <c r="A3721" s="2">
        <v>2026</v>
      </c>
      <c r="B3721" s="2">
        <v>4</v>
      </c>
      <c r="C3721" s="2" t="s">
        <v>1266</v>
      </c>
      <c r="O3721" s="2" t="s">
        <v>73</v>
      </c>
      <c r="P3721" s="2" t="s">
        <v>74</v>
      </c>
      <c r="Q3721" s="2" t="s">
        <v>75</v>
      </c>
      <c r="R3721" s="2">
        <v>1</v>
      </c>
      <c r="S3721" s="2">
        <v>220</v>
      </c>
      <c r="T3721" s="2">
        <v>50.6</v>
      </c>
      <c r="U3721" s="2">
        <v>270.60000000000002</v>
      </c>
      <c r="V3721" s="2">
        <v>125.51600000000001</v>
      </c>
      <c r="W3721" s="5">
        <f t="shared" si="402"/>
        <v>0.42947272727272723</v>
      </c>
      <c r="Y3721" s="2" t="s">
        <v>3256</v>
      </c>
      <c r="Z3721" s="2" t="s">
        <v>76</v>
      </c>
      <c r="AA3721" s="2" t="s">
        <v>77</v>
      </c>
      <c r="AB3721" s="2" t="s">
        <v>78</v>
      </c>
      <c r="AE3721" s="2">
        <f t="shared" si="406"/>
        <v>0</v>
      </c>
      <c r="AF3721" s="2">
        <v>125.51600000000001</v>
      </c>
      <c r="AG3721" s="2">
        <v>220</v>
      </c>
      <c r="AI3721" s="2">
        <f t="shared" si="407"/>
        <v>0</v>
      </c>
      <c r="AJ3721" s="2">
        <f t="shared" si="404"/>
        <v>94.483999999999995</v>
      </c>
      <c r="AK3721" s="5">
        <f t="shared" si="403"/>
        <v>0.42947272727272723</v>
      </c>
    </row>
    <row r="3722" spans="1:37" x14ac:dyDescent="0.2">
      <c r="A3722" s="2">
        <v>2026</v>
      </c>
      <c r="B3722" s="2">
        <v>4</v>
      </c>
      <c r="C3722" s="2" t="s">
        <v>553</v>
      </c>
      <c r="D3722" s="2" t="s">
        <v>109</v>
      </c>
      <c r="E3722" s="2" t="s">
        <v>397</v>
      </c>
      <c r="F3722" s="2">
        <v>503641790</v>
      </c>
      <c r="G3722" s="2" t="s">
        <v>40</v>
      </c>
      <c r="H3722" s="2" t="s">
        <v>554</v>
      </c>
      <c r="I3722" s="2" t="s">
        <v>555</v>
      </c>
      <c r="J3722" s="2">
        <v>917753665</v>
      </c>
      <c r="K3722" s="2" t="s">
        <v>100</v>
      </c>
      <c r="L3722" s="2" t="s">
        <v>81</v>
      </c>
      <c r="N3722" s="2" t="s">
        <v>2896</v>
      </c>
      <c r="O3722" s="2" t="s">
        <v>73</v>
      </c>
      <c r="P3722" s="2" t="s">
        <v>74</v>
      </c>
      <c r="Q3722" s="2" t="s">
        <v>75</v>
      </c>
      <c r="R3722" s="2">
        <v>2</v>
      </c>
      <c r="S3722" s="2">
        <v>440</v>
      </c>
      <c r="T3722" s="2">
        <v>101.2</v>
      </c>
      <c r="U3722" s="2">
        <v>541.20000000000005</v>
      </c>
      <c r="V3722" s="2">
        <v>251.03200000000001</v>
      </c>
      <c r="W3722" s="5">
        <f t="shared" si="402"/>
        <v>0.42947272727272723</v>
      </c>
      <c r="Y3722" s="2" t="s">
        <v>3256</v>
      </c>
      <c r="Z3722" s="2" t="s">
        <v>76</v>
      </c>
      <c r="AA3722" s="2" t="s">
        <v>77</v>
      </c>
      <c r="AB3722" s="2" t="s">
        <v>78</v>
      </c>
      <c r="AE3722" s="2">
        <f t="shared" si="406"/>
        <v>0</v>
      </c>
      <c r="AF3722" s="2">
        <v>125.51600000000001</v>
      </c>
      <c r="AG3722" s="2">
        <v>220</v>
      </c>
      <c r="AI3722" s="2">
        <f t="shared" si="407"/>
        <v>0</v>
      </c>
      <c r="AJ3722" s="2">
        <f t="shared" si="404"/>
        <v>188.96799999999999</v>
      </c>
      <c r="AK3722" s="5">
        <f t="shared" si="403"/>
        <v>0.42947272727272723</v>
      </c>
    </row>
    <row r="3723" spans="1:37" x14ac:dyDescent="0.2">
      <c r="A3723" s="2">
        <v>2026</v>
      </c>
      <c r="B3723" s="2">
        <v>4</v>
      </c>
      <c r="C3723" s="2" t="s">
        <v>901</v>
      </c>
      <c r="O3723" s="2" t="s">
        <v>73</v>
      </c>
      <c r="P3723" s="2" t="s">
        <v>74</v>
      </c>
      <c r="Q3723" s="2" t="s">
        <v>75</v>
      </c>
      <c r="R3723" s="2">
        <v>1</v>
      </c>
      <c r="S3723" s="2">
        <v>220</v>
      </c>
      <c r="T3723" s="2">
        <v>50.6</v>
      </c>
      <c r="U3723" s="2">
        <v>270.60000000000002</v>
      </c>
      <c r="V3723" s="2">
        <v>125.51600000000001</v>
      </c>
      <c r="W3723" s="5">
        <f t="shared" si="402"/>
        <v>0.42947272727272723</v>
      </c>
      <c r="Y3723" s="2" t="s">
        <v>3256</v>
      </c>
      <c r="Z3723" s="2" t="s">
        <v>76</v>
      </c>
      <c r="AA3723" s="2" t="s">
        <v>77</v>
      </c>
      <c r="AB3723" s="2" t="s">
        <v>78</v>
      </c>
      <c r="AE3723" s="2">
        <f t="shared" si="406"/>
        <v>0</v>
      </c>
      <c r="AF3723" s="2">
        <v>125.51600000000001</v>
      </c>
      <c r="AG3723" s="2">
        <v>220</v>
      </c>
      <c r="AI3723" s="2">
        <f t="shared" si="407"/>
        <v>0</v>
      </c>
      <c r="AJ3723" s="2">
        <f t="shared" si="404"/>
        <v>94.483999999999995</v>
      </c>
      <c r="AK3723" s="5">
        <f t="shared" si="403"/>
        <v>0.42947272727272723</v>
      </c>
    </row>
    <row r="3724" spans="1:37" x14ac:dyDescent="0.2">
      <c r="A3724" s="2">
        <v>2026</v>
      </c>
      <c r="B3724" s="2">
        <v>4</v>
      </c>
      <c r="C3724" s="2" t="s">
        <v>1305</v>
      </c>
      <c r="D3724" s="2" t="s">
        <v>184</v>
      </c>
      <c r="E3724" s="2" t="s">
        <v>368</v>
      </c>
      <c r="F3724" s="2">
        <v>500625654</v>
      </c>
      <c r="G3724" s="2" t="s">
        <v>291</v>
      </c>
      <c r="H3724" s="2" t="s">
        <v>340</v>
      </c>
      <c r="I3724" s="2" t="s">
        <v>1306</v>
      </c>
      <c r="K3724" s="2" t="s">
        <v>340</v>
      </c>
      <c r="L3724" s="2" t="s">
        <v>81</v>
      </c>
      <c r="N3724" s="2" t="s">
        <v>2897</v>
      </c>
      <c r="O3724" s="2" t="s">
        <v>73</v>
      </c>
      <c r="P3724" s="2" t="s">
        <v>74</v>
      </c>
      <c r="Q3724" s="2" t="s">
        <v>75</v>
      </c>
      <c r="R3724" s="2">
        <v>1</v>
      </c>
      <c r="S3724" s="2">
        <v>213.4</v>
      </c>
      <c r="T3724" s="2">
        <v>49.082000000000001</v>
      </c>
      <c r="U3724" s="2">
        <v>262.48200000000003</v>
      </c>
      <c r="V3724" s="2">
        <v>125.51600000000001</v>
      </c>
      <c r="W3724" s="5">
        <f t="shared" si="402"/>
        <v>0.41182755388940956</v>
      </c>
      <c r="Y3724" s="2" t="s">
        <v>3256</v>
      </c>
      <c r="Z3724" s="2" t="s">
        <v>76</v>
      </c>
      <c r="AA3724" s="2" t="s">
        <v>77</v>
      </c>
      <c r="AB3724" s="2" t="s">
        <v>78</v>
      </c>
      <c r="AE3724" s="2">
        <f t="shared" si="406"/>
        <v>0</v>
      </c>
      <c r="AF3724" s="2">
        <v>125.51600000000001</v>
      </c>
      <c r="AG3724" s="2">
        <v>220</v>
      </c>
      <c r="AI3724" s="2">
        <f t="shared" si="407"/>
        <v>0</v>
      </c>
      <c r="AJ3724" s="2">
        <f t="shared" si="404"/>
        <v>87.884</v>
      </c>
      <c r="AK3724" s="5">
        <f t="shared" si="403"/>
        <v>0.41182755388940956</v>
      </c>
    </row>
    <row r="3725" spans="1:37" x14ac:dyDescent="0.2">
      <c r="A3725" s="2">
        <v>2026</v>
      </c>
      <c r="B3725" s="2">
        <v>4</v>
      </c>
      <c r="C3725" s="2" t="s">
        <v>1974</v>
      </c>
      <c r="O3725" s="2" t="s">
        <v>73</v>
      </c>
      <c r="P3725" s="2" t="s">
        <v>74</v>
      </c>
      <c r="Q3725" s="2" t="s">
        <v>75</v>
      </c>
      <c r="R3725" s="2">
        <v>1</v>
      </c>
      <c r="S3725" s="2">
        <v>220</v>
      </c>
      <c r="T3725" s="2">
        <v>50.6</v>
      </c>
      <c r="U3725" s="2">
        <v>270.60000000000002</v>
      </c>
      <c r="V3725" s="2">
        <v>125.51600000000001</v>
      </c>
      <c r="W3725" s="5">
        <f t="shared" si="402"/>
        <v>0.42947272727272723</v>
      </c>
      <c r="Y3725" s="2" t="s">
        <v>3256</v>
      </c>
      <c r="Z3725" s="2" t="s">
        <v>76</v>
      </c>
      <c r="AA3725" s="2" t="s">
        <v>77</v>
      </c>
      <c r="AB3725" s="2" t="s">
        <v>78</v>
      </c>
      <c r="AE3725" s="2">
        <f t="shared" si="406"/>
        <v>0</v>
      </c>
      <c r="AF3725" s="2">
        <v>125.51600000000001</v>
      </c>
      <c r="AG3725" s="2">
        <v>220</v>
      </c>
      <c r="AI3725" s="2">
        <f t="shared" si="407"/>
        <v>0</v>
      </c>
      <c r="AJ3725" s="2">
        <f t="shared" si="404"/>
        <v>94.483999999999995</v>
      </c>
      <c r="AK3725" s="5">
        <f t="shared" si="403"/>
        <v>0.42947272727272723</v>
      </c>
    </row>
    <row r="3726" spans="1:37" x14ac:dyDescent="0.2">
      <c r="A3726" s="2">
        <v>2026</v>
      </c>
      <c r="B3726" s="2">
        <v>4</v>
      </c>
      <c r="C3726" s="2" t="s">
        <v>553</v>
      </c>
      <c r="D3726" s="2" t="s">
        <v>109</v>
      </c>
      <c r="E3726" s="2" t="s">
        <v>397</v>
      </c>
      <c r="F3726" s="2">
        <v>503641790</v>
      </c>
      <c r="G3726" s="2" t="s">
        <v>40</v>
      </c>
      <c r="H3726" s="2" t="s">
        <v>554</v>
      </c>
      <c r="I3726" s="2" t="s">
        <v>555</v>
      </c>
      <c r="J3726" s="2">
        <v>917753665</v>
      </c>
      <c r="K3726" s="2" t="s">
        <v>100</v>
      </c>
      <c r="L3726" s="2" t="s">
        <v>81</v>
      </c>
      <c r="N3726" s="2" t="s">
        <v>2898</v>
      </c>
      <c r="O3726" s="2" t="s">
        <v>73</v>
      </c>
      <c r="P3726" s="2" t="s">
        <v>687</v>
      </c>
      <c r="Q3726" s="2" t="s">
        <v>75</v>
      </c>
      <c r="R3726" s="2">
        <v>1</v>
      </c>
      <c r="S3726" s="2">
        <v>220</v>
      </c>
      <c r="T3726" s="2">
        <v>50.6</v>
      </c>
      <c r="U3726" s="2">
        <v>270.60000000000002</v>
      </c>
      <c r="V3726" s="2">
        <v>104.49</v>
      </c>
      <c r="W3726" s="5">
        <f t="shared" si="402"/>
        <v>0.52504545454545459</v>
      </c>
      <c r="Y3726" s="2" t="s">
        <v>3256</v>
      </c>
      <c r="Z3726" s="2" t="s">
        <v>76</v>
      </c>
      <c r="AA3726" s="2" t="s">
        <v>77</v>
      </c>
      <c r="AB3726" s="2" t="s">
        <v>78</v>
      </c>
      <c r="AE3726" s="2">
        <f t="shared" si="406"/>
        <v>0</v>
      </c>
      <c r="AF3726" s="2">
        <v>104.49</v>
      </c>
      <c r="AG3726" s="2">
        <v>220</v>
      </c>
      <c r="AI3726" s="2">
        <f t="shared" si="407"/>
        <v>0</v>
      </c>
      <c r="AJ3726" s="2">
        <f t="shared" si="404"/>
        <v>115.51</v>
      </c>
      <c r="AK3726" s="5">
        <f t="shared" si="403"/>
        <v>0.52504545454545459</v>
      </c>
    </row>
    <row r="3727" spans="1:37" x14ac:dyDescent="0.2">
      <c r="A3727" s="2">
        <v>2026</v>
      </c>
      <c r="B3727" s="2">
        <v>4</v>
      </c>
      <c r="C3727" s="2" t="s">
        <v>2899</v>
      </c>
      <c r="L3727" s="2" t="s">
        <v>41</v>
      </c>
      <c r="O3727" s="2" t="s">
        <v>73</v>
      </c>
      <c r="P3727" s="2" t="s">
        <v>2900</v>
      </c>
      <c r="Q3727" s="2" t="s">
        <v>75</v>
      </c>
      <c r="R3727" s="2">
        <v>1</v>
      </c>
      <c r="S3727" s="2">
        <v>220</v>
      </c>
      <c r="T3727" s="2">
        <v>50.6</v>
      </c>
      <c r="U3727" s="2">
        <v>270.60000000000002</v>
      </c>
      <c r="V3727" s="2">
        <v>115.05</v>
      </c>
      <c r="W3727" s="5">
        <f t="shared" si="402"/>
        <v>0.47704545454545455</v>
      </c>
      <c r="Y3727" s="2" t="s">
        <v>3256</v>
      </c>
      <c r="Z3727" s="2" t="s">
        <v>76</v>
      </c>
      <c r="AA3727" s="2" t="s">
        <v>77</v>
      </c>
      <c r="AB3727" s="2" t="s">
        <v>78</v>
      </c>
      <c r="AE3727" s="2">
        <f t="shared" si="406"/>
        <v>0</v>
      </c>
      <c r="AF3727" s="2">
        <v>115.05</v>
      </c>
      <c r="AI3727" s="2">
        <f t="shared" si="407"/>
        <v>0</v>
      </c>
      <c r="AJ3727" s="2">
        <f t="shared" si="404"/>
        <v>104.95</v>
      </c>
      <c r="AK3727" s="5">
        <f t="shared" si="403"/>
        <v>0.47704545454545455</v>
      </c>
    </row>
    <row r="3728" spans="1:37" x14ac:dyDescent="0.2">
      <c r="A3728" s="2">
        <v>2026</v>
      </c>
      <c r="B3728" s="2">
        <v>4</v>
      </c>
      <c r="C3728" s="2" t="s">
        <v>1431</v>
      </c>
      <c r="D3728" s="2" t="s">
        <v>109</v>
      </c>
      <c r="E3728" s="2" t="s">
        <v>39</v>
      </c>
      <c r="F3728" s="2">
        <v>513795855</v>
      </c>
      <c r="G3728" s="2" t="s">
        <v>41</v>
      </c>
      <c r="H3728" s="2" t="s">
        <v>1282</v>
      </c>
      <c r="I3728" s="2" t="s">
        <v>2416</v>
      </c>
      <c r="K3728" s="2" t="s">
        <v>178</v>
      </c>
      <c r="L3728" s="2" t="s">
        <v>41</v>
      </c>
      <c r="N3728" s="2" t="s">
        <v>2901</v>
      </c>
      <c r="O3728" s="2" t="s">
        <v>73</v>
      </c>
      <c r="P3728" s="2" t="s">
        <v>560</v>
      </c>
      <c r="Q3728" s="2" t="s">
        <v>383</v>
      </c>
      <c r="R3728" s="2">
        <v>1</v>
      </c>
      <c r="S3728" s="2">
        <v>230</v>
      </c>
      <c r="T3728" s="2">
        <v>52.900000000000013</v>
      </c>
      <c r="U3728" s="2">
        <v>282.89999999999998</v>
      </c>
      <c r="V3728" s="2">
        <v>143.91999999999999</v>
      </c>
      <c r="W3728" s="5">
        <f t="shared" si="402"/>
        <v>0.37426086956521742</v>
      </c>
      <c r="Y3728" s="2" t="s">
        <v>3256</v>
      </c>
      <c r="Z3728" s="2" t="s">
        <v>76</v>
      </c>
      <c r="AA3728" s="2" t="s">
        <v>77</v>
      </c>
      <c r="AB3728" s="2" t="s">
        <v>78</v>
      </c>
      <c r="AE3728" s="2">
        <f t="shared" si="406"/>
        <v>0</v>
      </c>
      <c r="AF3728" s="2">
        <v>143.91999999999999</v>
      </c>
      <c r="AI3728" s="2">
        <f t="shared" si="407"/>
        <v>0</v>
      </c>
      <c r="AJ3728" s="2">
        <f t="shared" si="404"/>
        <v>86.080000000000013</v>
      </c>
      <c r="AK3728" s="5">
        <f t="shared" si="403"/>
        <v>0.37426086956521742</v>
      </c>
    </row>
    <row r="3729" spans="1:37" x14ac:dyDescent="0.2">
      <c r="A3729" s="2">
        <v>2026</v>
      </c>
      <c r="B3729" s="2">
        <v>4</v>
      </c>
      <c r="C3729" s="2" t="s">
        <v>2902</v>
      </c>
      <c r="O3729" s="2" t="s">
        <v>73</v>
      </c>
      <c r="P3729" s="2" t="s">
        <v>382</v>
      </c>
      <c r="Q3729" s="2" t="s">
        <v>383</v>
      </c>
      <c r="R3729" s="2">
        <v>1</v>
      </c>
      <c r="S3729" s="2">
        <v>230</v>
      </c>
      <c r="T3729" s="2">
        <v>52.900000000000013</v>
      </c>
      <c r="U3729" s="2">
        <v>282.89999999999998</v>
      </c>
      <c r="V3729" s="2">
        <v>139.46</v>
      </c>
      <c r="W3729" s="5">
        <f t="shared" si="402"/>
        <v>0.39365217391304347</v>
      </c>
      <c r="Y3729" s="2" t="s">
        <v>3256</v>
      </c>
      <c r="Z3729" s="2" t="s">
        <v>76</v>
      </c>
      <c r="AA3729" s="2" t="s">
        <v>77</v>
      </c>
      <c r="AB3729" s="2" t="s">
        <v>78</v>
      </c>
      <c r="AE3729" s="2">
        <f t="shared" si="406"/>
        <v>0</v>
      </c>
      <c r="AI3729" s="2">
        <f t="shared" si="407"/>
        <v>0</v>
      </c>
      <c r="AJ3729" s="2">
        <f t="shared" si="404"/>
        <v>90.539999999999992</v>
      </c>
      <c r="AK3729" s="5">
        <f t="shared" si="403"/>
        <v>0.39365217391304347</v>
      </c>
    </row>
    <row r="3730" spans="1:37" x14ac:dyDescent="0.2">
      <c r="A3730" s="2">
        <v>2026</v>
      </c>
      <c r="B3730" s="2">
        <v>4</v>
      </c>
      <c r="C3730" s="2" t="s">
        <v>199</v>
      </c>
      <c r="D3730" s="2" t="s">
        <v>109</v>
      </c>
      <c r="F3730" s="2">
        <v>507541120</v>
      </c>
      <c r="G3730" s="2" t="s">
        <v>40</v>
      </c>
      <c r="H3730" s="2" t="s">
        <v>200</v>
      </c>
      <c r="I3730" s="2" t="s">
        <v>201</v>
      </c>
      <c r="K3730" s="2" t="s">
        <v>202</v>
      </c>
      <c r="L3730" s="2" t="s">
        <v>41</v>
      </c>
      <c r="O3730" s="2" t="s">
        <v>73</v>
      </c>
      <c r="P3730" s="2" t="s">
        <v>1031</v>
      </c>
      <c r="Q3730" s="2" t="s">
        <v>75</v>
      </c>
      <c r="R3730" s="2">
        <v>1</v>
      </c>
      <c r="S3730" s="2">
        <v>220</v>
      </c>
      <c r="T3730" s="2">
        <v>50.6</v>
      </c>
      <c r="U3730" s="2">
        <v>270.60000000000002</v>
      </c>
      <c r="W3730" s="5">
        <f t="shared" si="402"/>
        <v>1</v>
      </c>
      <c r="Y3730" s="2" t="s">
        <v>3256</v>
      </c>
      <c r="Z3730" s="2" t="s">
        <v>76</v>
      </c>
      <c r="AA3730" s="2" t="s">
        <v>77</v>
      </c>
      <c r="AB3730" s="2" t="s">
        <v>78</v>
      </c>
      <c r="AE3730" s="2">
        <f t="shared" si="406"/>
        <v>0</v>
      </c>
      <c r="AI3730" s="2">
        <f t="shared" si="407"/>
        <v>0</v>
      </c>
      <c r="AJ3730" s="2">
        <f t="shared" si="404"/>
        <v>220</v>
      </c>
      <c r="AK3730" s="5">
        <f t="shared" si="403"/>
        <v>1</v>
      </c>
    </row>
    <row r="3731" spans="1:37" x14ac:dyDescent="0.2">
      <c r="A3731" s="2">
        <v>2026</v>
      </c>
      <c r="B3731" s="2">
        <v>4</v>
      </c>
      <c r="C3731" s="2" t="s">
        <v>1305</v>
      </c>
      <c r="D3731" s="2" t="s">
        <v>184</v>
      </c>
      <c r="E3731" s="2" t="s">
        <v>368</v>
      </c>
      <c r="F3731" s="2">
        <v>500625654</v>
      </c>
      <c r="G3731" s="2" t="s">
        <v>291</v>
      </c>
      <c r="H3731" s="2" t="s">
        <v>340</v>
      </c>
      <c r="I3731" s="2" t="s">
        <v>1306</v>
      </c>
      <c r="K3731" s="2" t="s">
        <v>340</v>
      </c>
      <c r="L3731" s="2" t="s">
        <v>81</v>
      </c>
      <c r="N3731" s="2" t="s">
        <v>2903</v>
      </c>
      <c r="O3731" s="2" t="s">
        <v>73</v>
      </c>
      <c r="P3731" s="2" t="s">
        <v>670</v>
      </c>
      <c r="Q3731" s="2" t="s">
        <v>80</v>
      </c>
      <c r="R3731" s="2">
        <v>1</v>
      </c>
      <c r="S3731" s="2">
        <v>203.7</v>
      </c>
      <c r="T3731" s="2">
        <v>46.850999999999999</v>
      </c>
      <c r="U3731" s="2">
        <v>250.55099999999999</v>
      </c>
      <c r="V3731" s="2">
        <v>105.59</v>
      </c>
      <c r="W3731" s="5">
        <f t="shared" si="402"/>
        <v>0.4816396661757486</v>
      </c>
      <c r="Y3731" s="2" t="s">
        <v>3256</v>
      </c>
      <c r="Z3731" s="2" t="s">
        <v>76</v>
      </c>
      <c r="AA3731" s="2" t="s">
        <v>77</v>
      </c>
      <c r="AB3731" s="2" t="s">
        <v>78</v>
      </c>
      <c r="AE3731" s="2">
        <f t="shared" si="406"/>
        <v>0</v>
      </c>
      <c r="AF3731" s="2">
        <v>105.59</v>
      </c>
      <c r="AI3731" s="2">
        <f t="shared" si="407"/>
        <v>0</v>
      </c>
      <c r="AJ3731" s="2">
        <f t="shared" si="404"/>
        <v>98.109999999999985</v>
      </c>
      <c r="AK3731" s="5">
        <f t="shared" si="403"/>
        <v>0.4816396661757486</v>
      </c>
    </row>
    <row r="3732" spans="1:37" x14ac:dyDescent="0.2">
      <c r="A3732" s="2">
        <v>2026</v>
      </c>
      <c r="B3732" s="2">
        <v>4</v>
      </c>
      <c r="C3732" s="2" t="s">
        <v>37</v>
      </c>
      <c r="D3732" s="2" t="s">
        <v>38</v>
      </c>
      <c r="E3732" s="2" t="s">
        <v>39</v>
      </c>
      <c r="G3732" s="2" t="s">
        <v>40</v>
      </c>
      <c r="L3732" s="2" t="s">
        <v>81</v>
      </c>
      <c r="N3732" s="2" t="s">
        <v>2904</v>
      </c>
      <c r="O3732" s="2" t="s">
        <v>73</v>
      </c>
      <c r="P3732" s="2" t="s">
        <v>307</v>
      </c>
      <c r="Q3732" s="2" t="s">
        <v>308</v>
      </c>
      <c r="R3732" s="2">
        <v>1</v>
      </c>
      <c r="S3732" s="2">
        <v>220</v>
      </c>
      <c r="T3732" s="2">
        <v>50.6</v>
      </c>
      <c r="U3732" s="2">
        <v>270.60000000000002</v>
      </c>
      <c r="V3732" s="2">
        <v>119.33</v>
      </c>
      <c r="W3732" s="5">
        <f t="shared" si="402"/>
        <v>0.4575909090909091</v>
      </c>
      <c r="Y3732" s="2" t="s">
        <v>3256</v>
      </c>
      <c r="Z3732" s="2" t="s">
        <v>76</v>
      </c>
      <c r="AA3732" s="2" t="s">
        <v>77</v>
      </c>
      <c r="AB3732" s="2" t="s">
        <v>78</v>
      </c>
      <c r="AE3732" s="2">
        <f t="shared" si="406"/>
        <v>0</v>
      </c>
      <c r="AF3732" s="2">
        <v>119.33</v>
      </c>
      <c r="AG3732" s="2">
        <v>220</v>
      </c>
      <c r="AI3732" s="2">
        <f t="shared" si="407"/>
        <v>0</v>
      </c>
      <c r="AJ3732" s="2">
        <f t="shared" si="404"/>
        <v>100.67</v>
      </c>
      <c r="AK3732" s="5">
        <f t="shared" si="403"/>
        <v>0.4575909090909091</v>
      </c>
    </row>
    <row r="3733" spans="1:37" x14ac:dyDescent="0.2">
      <c r="A3733" s="2">
        <v>2026</v>
      </c>
      <c r="B3733" s="2">
        <v>4</v>
      </c>
      <c r="C3733" s="2" t="s">
        <v>943</v>
      </c>
      <c r="D3733" s="2" t="s">
        <v>38</v>
      </c>
      <c r="E3733" s="2" t="s">
        <v>39</v>
      </c>
      <c r="F3733" s="2">
        <v>508868726</v>
      </c>
      <c r="G3733" s="2" t="s">
        <v>291</v>
      </c>
      <c r="H3733" s="2" t="s">
        <v>944</v>
      </c>
      <c r="I3733" s="2" t="s">
        <v>945</v>
      </c>
      <c r="J3733" s="2">
        <v>964771057</v>
      </c>
      <c r="K3733" s="2" t="s">
        <v>340</v>
      </c>
      <c r="L3733" s="2" t="s">
        <v>81</v>
      </c>
      <c r="N3733" s="2" t="s">
        <v>2905</v>
      </c>
      <c r="O3733" s="2" t="s">
        <v>73</v>
      </c>
      <c r="P3733" s="2" t="s">
        <v>1044</v>
      </c>
      <c r="Q3733" s="2" t="s">
        <v>80</v>
      </c>
      <c r="R3733" s="2">
        <v>1</v>
      </c>
      <c r="S3733" s="2">
        <v>220</v>
      </c>
      <c r="T3733" s="2">
        <v>50.6</v>
      </c>
      <c r="U3733" s="2">
        <v>270.60000000000002</v>
      </c>
      <c r="V3733" s="2">
        <v>113.33</v>
      </c>
      <c r="W3733" s="5">
        <f t="shared" si="402"/>
        <v>0.48486363636363639</v>
      </c>
      <c r="Y3733" s="2" t="s">
        <v>3256</v>
      </c>
      <c r="Z3733" s="2" t="s">
        <v>76</v>
      </c>
      <c r="AA3733" s="2" t="s">
        <v>77</v>
      </c>
      <c r="AB3733" s="2" t="s">
        <v>78</v>
      </c>
      <c r="AE3733" s="2">
        <f t="shared" si="406"/>
        <v>0</v>
      </c>
      <c r="AF3733" s="2">
        <v>113.33</v>
      </c>
      <c r="AG3733" s="2">
        <v>220</v>
      </c>
      <c r="AI3733" s="2">
        <f t="shared" si="407"/>
        <v>0</v>
      </c>
      <c r="AJ3733" s="2">
        <f t="shared" si="404"/>
        <v>106.67</v>
      </c>
      <c r="AK3733" s="5">
        <f t="shared" ref="AK3733:AK3764" si="408">(S3733-V3733)/S3733</f>
        <v>0.48486363636363639</v>
      </c>
    </row>
    <row r="3734" spans="1:37" x14ac:dyDescent="0.2">
      <c r="A3734" s="2">
        <v>2026</v>
      </c>
      <c r="B3734" s="2">
        <v>4</v>
      </c>
      <c r="C3734" s="2" t="s">
        <v>440</v>
      </c>
      <c r="D3734" s="2" t="s">
        <v>109</v>
      </c>
      <c r="E3734" s="2" t="s">
        <v>378</v>
      </c>
      <c r="F3734" s="2">
        <v>509350631</v>
      </c>
      <c r="G3734" s="2" t="s">
        <v>291</v>
      </c>
      <c r="H3734" s="2" t="s">
        <v>441</v>
      </c>
      <c r="I3734" s="2" t="s">
        <v>442</v>
      </c>
      <c r="K3734" s="2" t="s">
        <v>340</v>
      </c>
      <c r="L3734" s="2" t="s">
        <v>81</v>
      </c>
      <c r="O3734" s="2" t="s">
        <v>73</v>
      </c>
      <c r="P3734" s="2" t="s">
        <v>1044</v>
      </c>
      <c r="Q3734" s="2" t="s">
        <v>80</v>
      </c>
      <c r="R3734" s="2">
        <v>1</v>
      </c>
      <c r="S3734" s="2">
        <v>202.4</v>
      </c>
      <c r="T3734" s="2">
        <v>46.552000000000007</v>
      </c>
      <c r="U3734" s="2">
        <v>248.952</v>
      </c>
      <c r="V3734" s="2">
        <v>113.33</v>
      </c>
      <c r="W3734" s="5">
        <f t="shared" si="402"/>
        <v>0.44006916996047435</v>
      </c>
      <c r="Y3734" s="2" t="s">
        <v>3256</v>
      </c>
      <c r="Z3734" s="2" t="s">
        <v>76</v>
      </c>
      <c r="AA3734" s="2" t="s">
        <v>77</v>
      </c>
      <c r="AB3734" s="2" t="s">
        <v>78</v>
      </c>
      <c r="AE3734" s="2">
        <f t="shared" si="406"/>
        <v>0</v>
      </c>
      <c r="AF3734" s="2">
        <v>113.33</v>
      </c>
      <c r="AG3734" s="2">
        <v>220</v>
      </c>
      <c r="AI3734" s="2">
        <f t="shared" si="407"/>
        <v>0</v>
      </c>
      <c r="AJ3734" s="2">
        <f t="shared" si="404"/>
        <v>89.070000000000007</v>
      </c>
      <c r="AK3734" s="5">
        <f t="shared" si="408"/>
        <v>0.44006916996047435</v>
      </c>
    </row>
    <row r="3735" spans="1:37" x14ac:dyDescent="0.2">
      <c r="A3735" s="2">
        <v>2026</v>
      </c>
      <c r="B3735" s="2">
        <v>4</v>
      </c>
      <c r="C3735" s="2" t="s">
        <v>546</v>
      </c>
      <c r="D3735" s="2" t="s">
        <v>109</v>
      </c>
      <c r="E3735" s="2" t="s">
        <v>39</v>
      </c>
      <c r="F3735" s="2">
        <v>506411206</v>
      </c>
      <c r="G3735" s="2" t="s">
        <v>41</v>
      </c>
      <c r="H3735" s="2" t="s">
        <v>547</v>
      </c>
      <c r="I3735" s="2" t="s">
        <v>548</v>
      </c>
      <c r="K3735" s="2" t="s">
        <v>202</v>
      </c>
      <c r="L3735" s="2" t="s">
        <v>41</v>
      </c>
      <c r="N3735" s="2" t="s">
        <v>2906</v>
      </c>
      <c r="O3735" s="2" t="s">
        <v>73</v>
      </c>
      <c r="P3735" s="2" t="s">
        <v>79</v>
      </c>
      <c r="Q3735" s="2" t="s">
        <v>80</v>
      </c>
      <c r="R3735" s="2">
        <v>1</v>
      </c>
      <c r="S3735" s="2">
        <v>220</v>
      </c>
      <c r="T3735" s="2">
        <v>50.6</v>
      </c>
      <c r="U3735" s="2">
        <v>270.60000000000002</v>
      </c>
      <c r="V3735" s="2">
        <v>111.98</v>
      </c>
      <c r="W3735" s="5">
        <f t="shared" si="402"/>
        <v>0.49099999999999999</v>
      </c>
      <c r="Y3735" s="2" t="s">
        <v>3256</v>
      </c>
      <c r="Z3735" s="2" t="s">
        <v>76</v>
      </c>
      <c r="AA3735" s="2" t="s">
        <v>77</v>
      </c>
      <c r="AB3735" s="2" t="s">
        <v>78</v>
      </c>
      <c r="AE3735" s="2">
        <f t="shared" si="406"/>
        <v>0</v>
      </c>
      <c r="AF3735" s="2">
        <v>111.98</v>
      </c>
      <c r="AG3735" s="2">
        <v>210</v>
      </c>
      <c r="AI3735" s="2">
        <f t="shared" si="407"/>
        <v>0</v>
      </c>
      <c r="AJ3735" s="2">
        <f t="shared" si="404"/>
        <v>108.02</v>
      </c>
      <c r="AK3735" s="5">
        <f t="shared" si="408"/>
        <v>0.49099999999999999</v>
      </c>
    </row>
    <row r="3736" spans="1:37" x14ac:dyDescent="0.2">
      <c r="A3736" s="2">
        <v>2026</v>
      </c>
      <c r="B3736" s="2">
        <v>4</v>
      </c>
      <c r="C3736" s="2" t="s">
        <v>2581</v>
      </c>
      <c r="O3736" s="2" t="s">
        <v>73</v>
      </c>
      <c r="P3736" s="2" t="s">
        <v>197</v>
      </c>
      <c r="Q3736" s="2" t="s">
        <v>198</v>
      </c>
      <c r="R3736" s="2">
        <v>1</v>
      </c>
      <c r="S3736" s="2">
        <v>300</v>
      </c>
      <c r="T3736" s="2">
        <v>69</v>
      </c>
      <c r="U3736" s="2">
        <v>369</v>
      </c>
      <c r="V3736" s="2">
        <v>187.99</v>
      </c>
      <c r="W3736" s="5">
        <f t="shared" si="402"/>
        <v>0.37336666666666662</v>
      </c>
      <c r="Y3736" s="2" t="s">
        <v>3256</v>
      </c>
      <c r="Z3736" s="2" t="s">
        <v>76</v>
      </c>
      <c r="AA3736" s="2" t="s">
        <v>77</v>
      </c>
      <c r="AB3736" s="2" t="s">
        <v>78</v>
      </c>
      <c r="AE3736" s="2">
        <f t="shared" si="406"/>
        <v>0</v>
      </c>
      <c r="AF3736" s="2">
        <v>187.99</v>
      </c>
      <c r="AI3736" s="2">
        <f t="shared" si="407"/>
        <v>0</v>
      </c>
      <c r="AJ3736" s="2">
        <f t="shared" si="404"/>
        <v>112.00999999999999</v>
      </c>
      <c r="AK3736" s="5">
        <f t="shared" si="408"/>
        <v>0.37336666666666662</v>
      </c>
    </row>
    <row r="3737" spans="1:37" x14ac:dyDescent="0.2">
      <c r="A3737" s="2">
        <v>2026</v>
      </c>
      <c r="B3737" s="2">
        <v>4</v>
      </c>
      <c r="C3737" s="2" t="s">
        <v>320</v>
      </c>
      <c r="D3737" s="2" t="s">
        <v>38</v>
      </c>
      <c r="E3737" s="2" t="s">
        <v>39</v>
      </c>
      <c r="F3737" s="2">
        <v>500883262</v>
      </c>
      <c r="G3737" s="2" t="s">
        <v>40</v>
      </c>
      <c r="H3737" s="2" t="s">
        <v>100</v>
      </c>
      <c r="I3737" s="2" t="s">
        <v>321</v>
      </c>
      <c r="K3737" s="2" t="s">
        <v>100</v>
      </c>
      <c r="L3737" s="2" t="s">
        <v>81</v>
      </c>
      <c r="N3737" s="2" t="s">
        <v>2907</v>
      </c>
      <c r="O3737" s="2" t="s">
        <v>1047</v>
      </c>
      <c r="P3737" s="2" t="s">
        <v>2908</v>
      </c>
      <c r="Q3737" s="2" t="s">
        <v>2909</v>
      </c>
      <c r="R3737" s="2">
        <v>1</v>
      </c>
      <c r="S3737" s="2">
        <v>350</v>
      </c>
      <c r="T3737" s="2">
        <v>80.5</v>
      </c>
      <c r="U3737" s="2">
        <v>430.5</v>
      </c>
      <c r="W3737" s="5">
        <f t="shared" si="402"/>
        <v>1</v>
      </c>
      <c r="Y3737" s="2" t="s">
        <v>3256</v>
      </c>
      <c r="Z3737" s="2" t="s">
        <v>76</v>
      </c>
      <c r="AA3737" s="2" t="s">
        <v>77</v>
      </c>
      <c r="AB3737" s="2" t="s">
        <v>1047</v>
      </c>
      <c r="AE3737" s="2">
        <f t="shared" si="406"/>
        <v>0</v>
      </c>
      <c r="AI3737" s="2">
        <f t="shared" si="407"/>
        <v>0</v>
      </c>
      <c r="AJ3737" s="2">
        <f t="shared" si="404"/>
        <v>350</v>
      </c>
      <c r="AK3737" s="5">
        <f t="shared" si="408"/>
        <v>1</v>
      </c>
    </row>
    <row r="3738" spans="1:37" x14ac:dyDescent="0.2">
      <c r="A3738" s="2">
        <v>2026</v>
      </c>
      <c r="B3738" s="2">
        <v>4</v>
      </c>
      <c r="C3738" s="2" t="s">
        <v>1305</v>
      </c>
      <c r="D3738" s="2" t="s">
        <v>184</v>
      </c>
      <c r="E3738" s="2" t="s">
        <v>368</v>
      </c>
      <c r="F3738" s="2">
        <v>500625654</v>
      </c>
      <c r="G3738" s="2" t="s">
        <v>291</v>
      </c>
      <c r="H3738" s="2" t="s">
        <v>340</v>
      </c>
      <c r="I3738" s="2" t="s">
        <v>1306</v>
      </c>
      <c r="K3738" s="2" t="s">
        <v>340</v>
      </c>
      <c r="L3738" s="2" t="s">
        <v>81</v>
      </c>
      <c r="N3738" s="2" t="s">
        <v>2910</v>
      </c>
      <c r="O3738" s="2" t="s">
        <v>1047</v>
      </c>
      <c r="P3738" s="2" t="s">
        <v>2911</v>
      </c>
      <c r="Q3738" s="2" t="s">
        <v>2912</v>
      </c>
      <c r="R3738" s="2">
        <v>1</v>
      </c>
      <c r="S3738" s="2">
        <v>213.4</v>
      </c>
      <c r="T3738" s="2">
        <v>49.082000000000001</v>
      </c>
      <c r="U3738" s="2">
        <v>262.48200000000003</v>
      </c>
      <c r="V3738" s="2">
        <v>141.16</v>
      </c>
      <c r="W3738" s="5">
        <f t="shared" si="402"/>
        <v>0.33851921274601693</v>
      </c>
      <c r="Y3738" s="2" t="s">
        <v>3256</v>
      </c>
      <c r="Z3738" s="2" t="s">
        <v>76</v>
      </c>
      <c r="AA3738" s="2" t="s">
        <v>77</v>
      </c>
      <c r="AB3738" s="2" t="s">
        <v>1047</v>
      </c>
      <c r="AE3738" s="2">
        <f t="shared" si="406"/>
        <v>0</v>
      </c>
      <c r="AF3738" s="2">
        <v>141.16</v>
      </c>
      <c r="AI3738" s="2">
        <f t="shared" si="407"/>
        <v>0</v>
      </c>
      <c r="AJ3738" s="2">
        <f t="shared" si="404"/>
        <v>72.240000000000009</v>
      </c>
      <c r="AK3738" s="5">
        <f t="shared" si="408"/>
        <v>0.33851921274601693</v>
      </c>
    </row>
    <row r="3739" spans="1:37" x14ac:dyDescent="0.2">
      <c r="A3739" s="2">
        <v>2026</v>
      </c>
      <c r="B3739" s="2">
        <v>4</v>
      </c>
      <c r="C3739" s="2" t="s">
        <v>37</v>
      </c>
      <c r="D3739" s="2" t="s">
        <v>38</v>
      </c>
      <c r="E3739" s="2" t="s">
        <v>39</v>
      </c>
      <c r="F3739" s="2">
        <v>516276506</v>
      </c>
      <c r="G3739" s="2" t="s">
        <v>40</v>
      </c>
      <c r="H3739" s="2" t="s">
        <v>3181</v>
      </c>
      <c r="K3739" s="2" t="s">
        <v>113</v>
      </c>
      <c r="L3739" s="2" t="s">
        <v>81</v>
      </c>
      <c r="N3739" s="2" t="s">
        <v>3183</v>
      </c>
      <c r="O3739" s="2" t="s">
        <v>1047</v>
      </c>
      <c r="P3739" s="2" t="s">
        <v>2913</v>
      </c>
      <c r="Q3739" s="2" t="s">
        <v>2914</v>
      </c>
      <c r="R3739" s="2">
        <v>5</v>
      </c>
      <c r="S3739" s="2">
        <v>1058</v>
      </c>
      <c r="T3739" s="2">
        <v>243.34</v>
      </c>
      <c r="U3739" s="2">
        <v>1301.3399999999999</v>
      </c>
      <c r="V3739" s="2">
        <f>115*R3739</f>
        <v>575</v>
      </c>
      <c r="W3739" s="5">
        <f t="shared" si="402"/>
        <v>0.45652173913043476</v>
      </c>
      <c r="Y3739" s="2" t="s">
        <v>3256</v>
      </c>
      <c r="Z3739" s="2" t="s">
        <v>76</v>
      </c>
      <c r="AA3739" s="2" t="s">
        <v>77</v>
      </c>
      <c r="AB3739" s="2" t="s">
        <v>1047</v>
      </c>
      <c r="AE3739" s="2">
        <f t="shared" si="406"/>
        <v>0</v>
      </c>
      <c r="AF3739" s="2">
        <v>115</v>
      </c>
      <c r="AI3739" s="2">
        <f t="shared" si="407"/>
        <v>0</v>
      </c>
      <c r="AJ3739" s="2">
        <f t="shared" si="404"/>
        <v>483</v>
      </c>
      <c r="AK3739" s="5">
        <f t="shared" si="408"/>
        <v>0.45652173913043476</v>
      </c>
    </row>
    <row r="3740" spans="1:37" x14ac:dyDescent="0.2">
      <c r="A3740" s="2">
        <v>2026</v>
      </c>
      <c r="B3740" s="2">
        <v>4</v>
      </c>
      <c r="C3740" s="2" t="s">
        <v>2548</v>
      </c>
      <c r="F3740" s="2">
        <v>503687014</v>
      </c>
      <c r="K3740" s="2" t="s">
        <v>134</v>
      </c>
      <c r="L3740" s="2" t="s">
        <v>3184</v>
      </c>
      <c r="N3740" s="2" t="s">
        <v>3182</v>
      </c>
      <c r="O3740" s="2" t="s">
        <v>1047</v>
      </c>
      <c r="P3740" s="2" t="s">
        <v>2913</v>
      </c>
      <c r="Q3740" s="2" t="s">
        <v>2914</v>
      </c>
      <c r="R3740" s="2">
        <v>1</v>
      </c>
      <c r="S3740" s="2">
        <v>220</v>
      </c>
      <c r="T3740" s="2">
        <v>50.6</v>
      </c>
      <c r="U3740" s="2">
        <v>270.60000000000002</v>
      </c>
      <c r="V3740" s="2">
        <f>115*R3740</f>
        <v>115</v>
      </c>
      <c r="W3740" s="5">
        <f t="shared" si="402"/>
        <v>0.47727272727272729</v>
      </c>
      <c r="Y3740" s="2" t="s">
        <v>3256</v>
      </c>
      <c r="Z3740" s="2" t="s">
        <v>76</v>
      </c>
      <c r="AA3740" s="2" t="s">
        <v>77</v>
      </c>
      <c r="AB3740" s="2" t="s">
        <v>1047</v>
      </c>
      <c r="AE3740" s="2">
        <f t="shared" si="406"/>
        <v>0</v>
      </c>
      <c r="AF3740" s="2">
        <v>115</v>
      </c>
      <c r="AI3740" s="2">
        <f t="shared" si="407"/>
        <v>0</v>
      </c>
      <c r="AJ3740" s="2">
        <f t="shared" si="404"/>
        <v>105</v>
      </c>
      <c r="AK3740" s="5">
        <f t="shared" si="408"/>
        <v>0.47727272727272729</v>
      </c>
    </row>
    <row r="3741" spans="1:37" x14ac:dyDescent="0.2">
      <c r="A3741" s="2">
        <v>2026</v>
      </c>
      <c r="B3741" s="2">
        <v>4</v>
      </c>
      <c r="C3741" s="2" t="s">
        <v>2581</v>
      </c>
      <c r="L3741" s="2" t="s">
        <v>81</v>
      </c>
      <c r="N3741" s="2" t="s">
        <v>3188</v>
      </c>
      <c r="O3741" s="2" t="s">
        <v>1047</v>
      </c>
      <c r="P3741" s="2" t="s">
        <v>2915</v>
      </c>
      <c r="Q3741" s="2" t="s">
        <v>2916</v>
      </c>
      <c r="R3741" s="2">
        <v>1</v>
      </c>
      <c r="S3741" s="2">
        <v>390</v>
      </c>
      <c r="T3741" s="2">
        <v>89.7</v>
      </c>
      <c r="U3741" s="2">
        <v>479.7</v>
      </c>
      <c r="V3741" s="2">
        <v>210.62</v>
      </c>
      <c r="W3741" s="5">
        <f t="shared" si="402"/>
        <v>0.45994871794871794</v>
      </c>
      <c r="Y3741" s="2" t="s">
        <v>3256</v>
      </c>
      <c r="Z3741" s="2" t="s">
        <v>76</v>
      </c>
      <c r="AA3741" s="2" t="s">
        <v>77</v>
      </c>
      <c r="AB3741" s="2" t="s">
        <v>1047</v>
      </c>
      <c r="AE3741" s="2">
        <f t="shared" si="406"/>
        <v>0</v>
      </c>
      <c r="AI3741" s="2">
        <f t="shared" si="407"/>
        <v>0</v>
      </c>
      <c r="AJ3741" s="2">
        <f t="shared" si="404"/>
        <v>179.38</v>
      </c>
      <c r="AK3741" s="5">
        <f t="shared" si="408"/>
        <v>0.45994871794871794</v>
      </c>
    </row>
    <row r="3742" spans="1:37" x14ac:dyDescent="0.2">
      <c r="A3742" s="2">
        <v>2026</v>
      </c>
      <c r="B3742" s="2">
        <v>4</v>
      </c>
      <c r="C3742" s="2" t="s">
        <v>775</v>
      </c>
      <c r="D3742" s="2" t="s">
        <v>38</v>
      </c>
      <c r="E3742" s="2" t="s">
        <v>39</v>
      </c>
      <c r="F3742" s="2">
        <v>505926768</v>
      </c>
      <c r="G3742" s="2" t="s">
        <v>291</v>
      </c>
      <c r="H3742" s="2" t="s">
        <v>776</v>
      </c>
      <c r="I3742" s="2" t="s">
        <v>777</v>
      </c>
      <c r="K3742" s="2" t="s">
        <v>340</v>
      </c>
      <c r="L3742" s="2" t="s">
        <v>81</v>
      </c>
      <c r="N3742" s="2" t="s">
        <v>2917</v>
      </c>
      <c r="O3742" s="2" t="s">
        <v>1047</v>
      </c>
      <c r="P3742" s="2" t="s">
        <v>2761</v>
      </c>
      <c r="Q3742" s="2" t="s">
        <v>2762</v>
      </c>
      <c r="R3742" s="2">
        <v>1</v>
      </c>
      <c r="S3742" s="2">
        <v>274.88</v>
      </c>
      <c r="T3742" s="2">
        <v>63.2224</v>
      </c>
      <c r="U3742" s="2">
        <v>338.10239999999999</v>
      </c>
      <c r="V3742" s="2">
        <v>153.34</v>
      </c>
      <c r="W3742" s="5">
        <f t="shared" si="402"/>
        <v>0.44215657741559949</v>
      </c>
      <c r="Y3742" s="2" t="s">
        <v>3256</v>
      </c>
      <c r="Z3742" s="2" t="s">
        <v>76</v>
      </c>
      <c r="AA3742" s="2" t="s">
        <v>77</v>
      </c>
      <c r="AB3742" s="2" t="s">
        <v>1047</v>
      </c>
      <c r="AE3742" s="2">
        <f t="shared" si="406"/>
        <v>0</v>
      </c>
      <c r="AF3742" s="2">
        <v>153.34</v>
      </c>
      <c r="AI3742" s="2">
        <f t="shared" si="407"/>
        <v>0</v>
      </c>
      <c r="AJ3742" s="2">
        <f t="shared" si="404"/>
        <v>121.53999999999999</v>
      </c>
      <c r="AK3742" s="5">
        <f t="shared" si="408"/>
        <v>0.44215657741559949</v>
      </c>
    </row>
    <row r="3743" spans="1:37" x14ac:dyDescent="0.2">
      <c r="A3743" s="2">
        <v>2026</v>
      </c>
      <c r="B3743" s="2">
        <v>4</v>
      </c>
      <c r="C3743" s="2" t="s">
        <v>1569</v>
      </c>
      <c r="D3743" s="2" t="s">
        <v>109</v>
      </c>
      <c r="E3743" s="2" t="s">
        <v>723</v>
      </c>
      <c r="F3743" s="2">
        <v>500975914</v>
      </c>
      <c r="G3743" s="2" t="s">
        <v>41</v>
      </c>
      <c r="H3743" s="2" t="s">
        <v>1570</v>
      </c>
      <c r="I3743" s="2" t="s">
        <v>1571</v>
      </c>
      <c r="K3743" s="2" t="s">
        <v>100</v>
      </c>
      <c r="L3743" s="2" t="s">
        <v>41</v>
      </c>
      <c r="O3743" s="2" t="s">
        <v>1047</v>
      </c>
      <c r="P3743" s="2" t="s">
        <v>2761</v>
      </c>
      <c r="Q3743" s="2" t="s">
        <v>2762</v>
      </c>
      <c r="R3743" s="2">
        <v>-1</v>
      </c>
      <c r="S3743" s="2">
        <v>-290</v>
      </c>
      <c r="T3743" s="2">
        <v>-66.7</v>
      </c>
      <c r="U3743" s="2">
        <v>-356.7</v>
      </c>
      <c r="V3743" s="2">
        <v>153.34</v>
      </c>
      <c r="W3743" s="5">
        <f>SIGN(S3743)*((ABS(S3743)-V3743)/ABS(S3743))</f>
        <v>-0.47124137931034482</v>
      </c>
      <c r="Y3743" s="2" t="s">
        <v>3256</v>
      </c>
      <c r="Z3743" s="2" t="s">
        <v>76</v>
      </c>
      <c r="AA3743" s="2" t="s">
        <v>77</v>
      </c>
      <c r="AB3743" s="2" t="s">
        <v>1047</v>
      </c>
      <c r="AE3743" s="2">
        <f t="shared" si="406"/>
        <v>0</v>
      </c>
      <c r="AI3743" s="2">
        <f t="shared" si="407"/>
        <v>0</v>
      </c>
      <c r="AJ3743" s="2">
        <f t="shared" si="404"/>
        <v>-443.34000000000003</v>
      </c>
      <c r="AK3743" s="5">
        <f t="shared" si="408"/>
        <v>1.5287586206896553</v>
      </c>
    </row>
    <row r="3744" spans="1:37" x14ac:dyDescent="0.2">
      <c r="A3744" s="2">
        <v>2026</v>
      </c>
      <c r="B3744" s="2">
        <v>4</v>
      </c>
      <c r="C3744" s="2" t="s">
        <v>37</v>
      </c>
      <c r="D3744" s="2" t="s">
        <v>38</v>
      </c>
      <c r="E3744" s="2" t="s">
        <v>39</v>
      </c>
      <c r="G3744" s="2" t="s">
        <v>40</v>
      </c>
      <c r="O3744" s="2" t="s">
        <v>85</v>
      </c>
      <c r="P3744" s="2" t="s">
        <v>1990</v>
      </c>
      <c r="Q3744" s="2" t="s">
        <v>1991</v>
      </c>
      <c r="R3744" s="2">
        <v>1</v>
      </c>
      <c r="S3744" s="2">
        <v>14</v>
      </c>
      <c r="T3744" s="2">
        <v>3.22</v>
      </c>
      <c r="U3744" s="2">
        <v>17.22</v>
      </c>
      <c r="W3744" s="5">
        <f t="shared" ref="W3744:W3766" si="409">(S3744-V3744)/S3744</f>
        <v>1</v>
      </c>
      <c r="Y3744" s="2" t="s">
        <v>3256</v>
      </c>
      <c r="Z3744" s="2" t="s">
        <v>88</v>
      </c>
      <c r="AA3744" s="2" t="s">
        <v>91</v>
      </c>
      <c r="AB3744" s="2" t="s">
        <v>85</v>
      </c>
      <c r="AE3744" s="2">
        <f t="shared" si="406"/>
        <v>0</v>
      </c>
      <c r="AI3744" s="2">
        <f t="shared" si="407"/>
        <v>0</v>
      </c>
      <c r="AJ3744" s="2">
        <f t="shared" si="404"/>
        <v>14</v>
      </c>
      <c r="AK3744" s="5">
        <f t="shared" si="408"/>
        <v>1</v>
      </c>
    </row>
    <row r="3745" spans="1:37" x14ac:dyDescent="0.2">
      <c r="A3745" s="2">
        <v>2026</v>
      </c>
      <c r="B3745" s="2">
        <v>3</v>
      </c>
      <c r="C3745" s="2" t="s">
        <v>2874</v>
      </c>
      <c r="L3745" s="2" t="s">
        <v>81</v>
      </c>
      <c r="O3745" s="2" t="s">
        <v>43</v>
      </c>
      <c r="P3745" s="2" t="s">
        <v>55</v>
      </c>
      <c r="Q3745" s="2" t="s">
        <v>56</v>
      </c>
      <c r="R3745" s="2">
        <v>1</v>
      </c>
      <c r="S3745" s="2">
        <v>18</v>
      </c>
      <c r="T3745" s="2">
        <v>4.1400000000000006</v>
      </c>
      <c r="U3745" s="2">
        <v>22.14</v>
      </c>
      <c r="V3745" s="2">
        <f>10.6*R3745</f>
        <v>10.6</v>
      </c>
      <c r="W3745" s="5">
        <f t="shared" si="409"/>
        <v>0.41111111111111115</v>
      </c>
      <c r="Y3745" s="2" t="s">
        <v>3256</v>
      </c>
      <c r="Z3745" s="2" t="s">
        <v>46</v>
      </c>
      <c r="AA3745" s="2" t="s">
        <v>57</v>
      </c>
      <c r="AB3745" s="2" t="s">
        <v>58</v>
      </c>
      <c r="AE3745" s="2">
        <f t="shared" si="406"/>
        <v>0</v>
      </c>
      <c r="AF3745" s="2">
        <v>10.6</v>
      </c>
      <c r="AG3745" s="2">
        <v>18</v>
      </c>
      <c r="AI3745" s="2">
        <f t="shared" si="407"/>
        <v>0</v>
      </c>
      <c r="AJ3745" s="2">
        <f t="shared" si="404"/>
        <v>7.4</v>
      </c>
      <c r="AK3745" s="5">
        <f t="shared" si="408"/>
        <v>0.41111111111111115</v>
      </c>
    </row>
    <row r="3746" spans="1:37" x14ac:dyDescent="0.2">
      <c r="A3746" s="2">
        <v>2026</v>
      </c>
      <c r="B3746" s="2">
        <v>4</v>
      </c>
      <c r="C3746" s="2" t="s">
        <v>37</v>
      </c>
      <c r="D3746" s="2" t="s">
        <v>38</v>
      </c>
      <c r="E3746" s="2" t="s">
        <v>39</v>
      </c>
      <c r="G3746" s="2" t="s">
        <v>40</v>
      </c>
      <c r="O3746" s="2" t="s">
        <v>85</v>
      </c>
      <c r="P3746" s="2" t="s">
        <v>271</v>
      </c>
      <c r="Q3746" s="2" t="s">
        <v>272</v>
      </c>
      <c r="R3746" s="2">
        <v>1</v>
      </c>
      <c r="S3746" s="2">
        <v>12</v>
      </c>
      <c r="T3746" s="2">
        <v>2.76</v>
      </c>
      <c r="U3746" s="2">
        <v>14.76</v>
      </c>
      <c r="V3746" s="2">
        <v>6.86</v>
      </c>
      <c r="W3746" s="5">
        <f t="shared" si="409"/>
        <v>0.42833333333333329</v>
      </c>
      <c r="Y3746" s="2" t="s">
        <v>3256</v>
      </c>
      <c r="Z3746" s="2" t="s">
        <v>88</v>
      </c>
      <c r="AA3746" s="2" t="s">
        <v>91</v>
      </c>
      <c r="AB3746" s="2" t="s">
        <v>85</v>
      </c>
      <c r="AE3746" s="2">
        <f t="shared" si="406"/>
        <v>0</v>
      </c>
      <c r="AI3746" s="2">
        <f t="shared" si="407"/>
        <v>0</v>
      </c>
      <c r="AJ3746" s="2">
        <f t="shared" si="404"/>
        <v>5.14</v>
      </c>
      <c r="AK3746" s="5">
        <f t="shared" si="408"/>
        <v>0.42833333333333329</v>
      </c>
    </row>
    <row r="3747" spans="1:37" x14ac:dyDescent="0.2">
      <c r="A3747" s="2">
        <v>2026</v>
      </c>
      <c r="B3747" s="2">
        <v>4</v>
      </c>
      <c r="C3747" s="2" t="s">
        <v>988</v>
      </c>
      <c r="L3747" s="2" t="s">
        <v>41</v>
      </c>
      <c r="O3747" s="2" t="s">
        <v>85</v>
      </c>
      <c r="P3747" s="2" t="s">
        <v>271</v>
      </c>
      <c r="Q3747" s="2" t="s">
        <v>272</v>
      </c>
      <c r="R3747" s="2">
        <v>1</v>
      </c>
      <c r="S3747" s="2">
        <v>12</v>
      </c>
      <c r="T3747" s="2">
        <v>2.76</v>
      </c>
      <c r="U3747" s="2">
        <v>14.76</v>
      </c>
      <c r="V3747" s="2">
        <v>6.86</v>
      </c>
      <c r="W3747" s="5">
        <f t="shared" si="409"/>
        <v>0.42833333333333329</v>
      </c>
      <c r="Y3747" s="2" t="s">
        <v>3256</v>
      </c>
      <c r="Z3747" s="2" t="s">
        <v>88</v>
      </c>
      <c r="AA3747" s="2" t="s">
        <v>91</v>
      </c>
      <c r="AB3747" s="2" t="s">
        <v>85</v>
      </c>
      <c r="AE3747" s="2">
        <f t="shared" si="406"/>
        <v>0</v>
      </c>
      <c r="AI3747" s="2">
        <f t="shared" si="407"/>
        <v>0</v>
      </c>
      <c r="AJ3747" s="2">
        <f t="shared" si="404"/>
        <v>5.14</v>
      </c>
      <c r="AK3747" s="5">
        <f t="shared" si="408"/>
        <v>0.42833333333333329</v>
      </c>
    </row>
    <row r="3748" spans="1:37" x14ac:dyDescent="0.2">
      <c r="A3748" s="2">
        <v>2026</v>
      </c>
      <c r="B3748" s="2">
        <v>4</v>
      </c>
      <c r="C3748" s="2" t="s">
        <v>1024</v>
      </c>
      <c r="D3748" s="2" t="s">
        <v>109</v>
      </c>
      <c r="E3748" s="2" t="s">
        <v>481</v>
      </c>
      <c r="F3748" s="2">
        <v>503815284</v>
      </c>
      <c r="G3748" s="2" t="s">
        <v>40</v>
      </c>
      <c r="H3748" s="2" t="s">
        <v>157</v>
      </c>
      <c r="I3748" s="2" t="s">
        <v>2560</v>
      </c>
      <c r="K3748" s="2" t="s">
        <v>100</v>
      </c>
      <c r="L3748" s="2" t="s">
        <v>81</v>
      </c>
      <c r="N3748" s="2" t="s">
        <v>2867</v>
      </c>
      <c r="O3748" s="2" t="s">
        <v>85</v>
      </c>
      <c r="P3748" s="2" t="s">
        <v>275</v>
      </c>
      <c r="Q3748" s="2" t="s">
        <v>276</v>
      </c>
      <c r="R3748" s="2">
        <v>2</v>
      </c>
      <c r="S3748" s="2">
        <v>12</v>
      </c>
      <c r="T3748" s="2">
        <v>2.76</v>
      </c>
      <c r="U3748" s="2">
        <v>14.76</v>
      </c>
      <c r="V3748" s="2">
        <f>2.94*R3748</f>
        <v>5.88</v>
      </c>
      <c r="W3748" s="5">
        <f t="shared" si="409"/>
        <v>0.51</v>
      </c>
      <c r="Y3748" s="2" t="s">
        <v>3256</v>
      </c>
      <c r="Z3748" s="2" t="s">
        <v>88</v>
      </c>
      <c r="AA3748" s="2" t="s">
        <v>91</v>
      </c>
      <c r="AB3748" s="2" t="s">
        <v>85</v>
      </c>
      <c r="AE3748" s="2">
        <f t="shared" si="406"/>
        <v>0</v>
      </c>
      <c r="AF3748" s="2">
        <v>2.94</v>
      </c>
      <c r="AI3748" s="2">
        <f t="shared" si="407"/>
        <v>0</v>
      </c>
      <c r="AJ3748" s="2">
        <f t="shared" si="404"/>
        <v>6.12</v>
      </c>
      <c r="AK3748" s="5">
        <f t="shared" si="408"/>
        <v>0.51</v>
      </c>
    </row>
    <row r="3749" spans="1:37" x14ac:dyDescent="0.2">
      <c r="A3749" s="2">
        <v>2026</v>
      </c>
      <c r="B3749" s="2">
        <v>4</v>
      </c>
      <c r="C3749" s="2" t="s">
        <v>2868</v>
      </c>
      <c r="L3749" s="2" t="s">
        <v>81</v>
      </c>
      <c r="O3749" s="2" t="s">
        <v>85</v>
      </c>
      <c r="P3749" s="2" t="s">
        <v>275</v>
      </c>
      <c r="Q3749" s="2" t="s">
        <v>276</v>
      </c>
      <c r="R3749" s="2">
        <v>1</v>
      </c>
      <c r="S3749" s="2">
        <v>12.6</v>
      </c>
      <c r="T3749" s="2">
        <v>2.8980000000000001</v>
      </c>
      <c r="U3749" s="2">
        <v>15.497999999999999</v>
      </c>
      <c r="V3749" s="2">
        <v>2.94</v>
      </c>
      <c r="W3749" s="5">
        <f t="shared" si="409"/>
        <v>0.76666666666666672</v>
      </c>
      <c r="Y3749" s="2" t="s">
        <v>3256</v>
      </c>
      <c r="Z3749" s="2" t="s">
        <v>88</v>
      </c>
      <c r="AA3749" s="2" t="s">
        <v>91</v>
      </c>
      <c r="AB3749" s="2" t="s">
        <v>85</v>
      </c>
      <c r="AE3749" s="2">
        <f t="shared" si="406"/>
        <v>0</v>
      </c>
      <c r="AI3749" s="2">
        <f t="shared" si="407"/>
        <v>0</v>
      </c>
      <c r="AJ3749" s="2">
        <f t="shared" si="404"/>
        <v>9.66</v>
      </c>
      <c r="AK3749" s="5">
        <f t="shared" si="408"/>
        <v>0.76666666666666672</v>
      </c>
    </row>
    <row r="3750" spans="1:37" x14ac:dyDescent="0.2">
      <c r="A3750" s="2">
        <v>2026</v>
      </c>
      <c r="B3750" s="2">
        <v>4</v>
      </c>
      <c r="C3750" s="2" t="s">
        <v>37</v>
      </c>
      <c r="D3750" s="2" t="s">
        <v>38</v>
      </c>
      <c r="E3750" s="2" t="s">
        <v>39</v>
      </c>
      <c r="G3750" s="2" t="s">
        <v>40</v>
      </c>
      <c r="O3750" s="2" t="s">
        <v>85</v>
      </c>
      <c r="P3750" s="2" t="s">
        <v>92</v>
      </c>
      <c r="Q3750" s="2" t="s">
        <v>93</v>
      </c>
      <c r="R3750" s="2">
        <v>2</v>
      </c>
      <c r="S3750" s="2">
        <v>8.4</v>
      </c>
      <c r="T3750" s="2">
        <v>1.9319999999999999</v>
      </c>
      <c r="U3750" s="2">
        <v>10.332000000000001</v>
      </c>
      <c r="W3750" s="5">
        <f t="shared" si="409"/>
        <v>1</v>
      </c>
      <c r="Y3750" s="2" t="s">
        <v>3256</v>
      </c>
      <c r="Z3750" s="2" t="s">
        <v>88</v>
      </c>
      <c r="AA3750" s="2" t="s">
        <v>91</v>
      </c>
      <c r="AB3750" s="2" t="s">
        <v>85</v>
      </c>
      <c r="AE3750" s="2">
        <f t="shared" si="406"/>
        <v>0</v>
      </c>
      <c r="AI3750" s="2">
        <f t="shared" si="407"/>
        <v>0</v>
      </c>
      <c r="AJ3750" s="2">
        <f t="shared" si="404"/>
        <v>8.4</v>
      </c>
      <c r="AK3750" s="5">
        <f t="shared" si="408"/>
        <v>1</v>
      </c>
    </row>
    <row r="3751" spans="1:37" x14ac:dyDescent="0.2">
      <c r="A3751" s="2">
        <v>2026</v>
      </c>
      <c r="B3751" s="2">
        <v>4</v>
      </c>
      <c r="C3751" s="2" t="s">
        <v>1024</v>
      </c>
      <c r="D3751" s="2" t="s">
        <v>109</v>
      </c>
      <c r="E3751" s="2" t="s">
        <v>481</v>
      </c>
      <c r="F3751" s="2">
        <v>503815284</v>
      </c>
      <c r="G3751" s="2" t="s">
        <v>40</v>
      </c>
      <c r="H3751" s="2" t="s">
        <v>157</v>
      </c>
      <c r="I3751" s="2" t="s">
        <v>2560</v>
      </c>
      <c r="K3751" s="2" t="s">
        <v>100</v>
      </c>
      <c r="L3751" s="2" t="s">
        <v>81</v>
      </c>
      <c r="N3751" s="2" t="s">
        <v>2867</v>
      </c>
      <c r="O3751" s="2" t="s">
        <v>85</v>
      </c>
      <c r="P3751" s="2" t="s">
        <v>277</v>
      </c>
      <c r="Q3751" s="2" t="s">
        <v>278</v>
      </c>
      <c r="R3751" s="2">
        <v>1</v>
      </c>
      <c r="S3751" s="2">
        <v>7.2</v>
      </c>
      <c r="T3751" s="2">
        <v>1.6559999999999999</v>
      </c>
      <c r="U3751" s="2">
        <v>8.8559999999999999</v>
      </c>
      <c r="V3751" s="2">
        <v>2.5051000000000001</v>
      </c>
      <c r="W3751" s="5">
        <f t="shared" si="409"/>
        <v>0.65206944444444448</v>
      </c>
      <c r="Y3751" s="2" t="s">
        <v>3256</v>
      </c>
      <c r="Z3751" s="2" t="s">
        <v>88</v>
      </c>
      <c r="AA3751" s="2" t="s">
        <v>91</v>
      </c>
      <c r="AB3751" s="2" t="s">
        <v>85</v>
      </c>
      <c r="AE3751" s="2">
        <f t="shared" si="406"/>
        <v>0</v>
      </c>
      <c r="AF3751" s="2">
        <v>2.5051000000000001</v>
      </c>
      <c r="AI3751" s="2">
        <f t="shared" si="407"/>
        <v>0</v>
      </c>
      <c r="AJ3751" s="2">
        <f t="shared" si="404"/>
        <v>4.6949000000000005</v>
      </c>
      <c r="AK3751" s="5">
        <f t="shared" si="408"/>
        <v>0.65206944444444448</v>
      </c>
    </row>
    <row r="3752" spans="1:37" x14ac:dyDescent="0.2">
      <c r="A3752" s="2">
        <v>2026</v>
      </c>
      <c r="B3752" s="2">
        <v>4</v>
      </c>
      <c r="C3752" s="2" t="s">
        <v>2868</v>
      </c>
      <c r="L3752" s="2" t="s">
        <v>81</v>
      </c>
      <c r="O3752" s="2" t="s">
        <v>85</v>
      </c>
      <c r="P3752" s="2" t="s">
        <v>277</v>
      </c>
      <c r="Q3752" s="2" t="s">
        <v>278</v>
      </c>
      <c r="R3752" s="2">
        <v>1</v>
      </c>
      <c r="S3752" s="2">
        <v>12.6</v>
      </c>
      <c r="T3752" s="2">
        <v>2.8980000000000001</v>
      </c>
      <c r="U3752" s="2">
        <v>15.497999999999999</v>
      </c>
      <c r="W3752" s="5">
        <f t="shared" si="409"/>
        <v>1</v>
      </c>
      <c r="Y3752" s="2" t="s">
        <v>3256</v>
      </c>
      <c r="Z3752" s="2" t="s">
        <v>88</v>
      </c>
      <c r="AA3752" s="2" t="s">
        <v>91</v>
      </c>
      <c r="AB3752" s="2" t="s">
        <v>85</v>
      </c>
      <c r="AE3752" s="2">
        <f t="shared" si="406"/>
        <v>0</v>
      </c>
      <c r="AI3752" s="2">
        <f t="shared" si="407"/>
        <v>0</v>
      </c>
      <c r="AJ3752" s="2">
        <f t="shared" si="404"/>
        <v>12.6</v>
      </c>
      <c r="AK3752" s="5">
        <f t="shared" si="408"/>
        <v>1</v>
      </c>
    </row>
    <row r="3753" spans="1:37" x14ac:dyDescent="0.2">
      <c r="A3753" s="2">
        <v>2026</v>
      </c>
      <c r="B3753" s="2">
        <v>4</v>
      </c>
      <c r="C3753" s="2" t="s">
        <v>567</v>
      </c>
      <c r="D3753" s="2" t="s">
        <v>109</v>
      </c>
      <c r="E3753" s="2" t="s">
        <v>39</v>
      </c>
      <c r="F3753" s="2">
        <v>510917011</v>
      </c>
      <c r="G3753" s="2" t="s">
        <v>41</v>
      </c>
      <c r="H3753" s="2" t="s">
        <v>568</v>
      </c>
      <c r="I3753" s="2" t="s">
        <v>569</v>
      </c>
      <c r="K3753" s="2" t="s">
        <v>422</v>
      </c>
      <c r="L3753" s="2" t="s">
        <v>41</v>
      </c>
      <c r="N3753" s="2" t="s">
        <v>2918</v>
      </c>
      <c r="O3753" s="2" t="s">
        <v>2919</v>
      </c>
      <c r="P3753" s="2" t="s">
        <v>2920</v>
      </c>
      <c r="Q3753" s="2" t="s">
        <v>2921</v>
      </c>
      <c r="R3753" s="2">
        <v>1</v>
      </c>
      <c r="S3753" s="2">
        <v>199</v>
      </c>
      <c r="T3753" s="2">
        <v>45.77</v>
      </c>
      <c r="U3753" s="2">
        <v>244.77</v>
      </c>
      <c r="V3753" s="2">
        <v>149.25</v>
      </c>
      <c r="W3753" s="5">
        <f t="shared" si="409"/>
        <v>0.25</v>
      </c>
      <c r="Y3753" s="2" t="s">
        <v>3256</v>
      </c>
      <c r="Z3753" s="2" t="s">
        <v>72</v>
      </c>
      <c r="AA3753" s="2" t="s">
        <v>2919</v>
      </c>
      <c r="AB3753" s="2" t="s">
        <v>2919</v>
      </c>
      <c r="AE3753" s="2">
        <f t="shared" si="406"/>
        <v>0</v>
      </c>
      <c r="AF3753" s="2">
        <v>149.25</v>
      </c>
      <c r="AI3753" s="2">
        <f t="shared" si="407"/>
        <v>0</v>
      </c>
      <c r="AJ3753" s="2">
        <f t="shared" si="404"/>
        <v>49.75</v>
      </c>
      <c r="AK3753" s="5">
        <f t="shared" si="408"/>
        <v>0.25</v>
      </c>
    </row>
    <row r="3754" spans="1:37" x14ac:dyDescent="0.2">
      <c r="A3754" s="2">
        <v>2026</v>
      </c>
      <c r="B3754" s="2">
        <v>4</v>
      </c>
      <c r="C3754" s="2" t="s">
        <v>2922</v>
      </c>
      <c r="O3754" s="2" t="s">
        <v>40</v>
      </c>
      <c r="P3754" s="2" t="s">
        <v>2923</v>
      </c>
      <c r="Q3754" s="2" t="s">
        <v>2924</v>
      </c>
      <c r="R3754" s="2">
        <v>1</v>
      </c>
      <c r="S3754" s="2">
        <v>1219.51</v>
      </c>
      <c r="T3754" s="2">
        <v>280.4873</v>
      </c>
      <c r="U3754" s="2">
        <v>1499.9973</v>
      </c>
      <c r="W3754" s="5">
        <f t="shared" si="409"/>
        <v>1</v>
      </c>
      <c r="Y3754" s="2" t="s">
        <v>105</v>
      </c>
      <c r="AE3754" s="2">
        <f t="shared" si="406"/>
        <v>0</v>
      </c>
      <c r="AI3754" s="2">
        <f t="shared" si="407"/>
        <v>0</v>
      </c>
      <c r="AJ3754" s="2">
        <f t="shared" si="404"/>
        <v>1219.51</v>
      </c>
      <c r="AK3754" s="5">
        <f t="shared" si="408"/>
        <v>1</v>
      </c>
    </row>
    <row r="3755" spans="1:37" x14ac:dyDescent="0.2">
      <c r="A3755" s="2">
        <v>2026</v>
      </c>
      <c r="B3755" s="2">
        <v>4</v>
      </c>
      <c r="C3755" s="2" t="s">
        <v>553</v>
      </c>
      <c r="D3755" s="2" t="s">
        <v>109</v>
      </c>
      <c r="E3755" s="2" t="s">
        <v>397</v>
      </c>
      <c r="F3755" s="2">
        <v>503641790</v>
      </c>
      <c r="G3755" s="2" t="s">
        <v>40</v>
      </c>
      <c r="H3755" s="2" t="s">
        <v>554</v>
      </c>
      <c r="I3755" s="2" t="s">
        <v>555</v>
      </c>
      <c r="J3755" s="2">
        <v>917753665</v>
      </c>
      <c r="K3755" s="2" t="s">
        <v>100</v>
      </c>
      <c r="L3755" s="2" t="s">
        <v>40</v>
      </c>
      <c r="N3755" s="2" t="s">
        <v>2925</v>
      </c>
      <c r="O3755" s="2" t="s">
        <v>188</v>
      </c>
      <c r="P3755" s="2" t="s">
        <v>318</v>
      </c>
      <c r="Q3755" s="2" t="s">
        <v>319</v>
      </c>
      <c r="R3755" s="2">
        <v>1</v>
      </c>
      <c r="S3755" s="2">
        <v>1099</v>
      </c>
      <c r="T3755" s="2">
        <v>252.77</v>
      </c>
      <c r="U3755" s="2">
        <v>1351.77</v>
      </c>
      <c r="W3755" s="5">
        <f t="shared" si="409"/>
        <v>1</v>
      </c>
      <c r="Y3755" s="2" t="s">
        <v>118</v>
      </c>
      <c r="Z3755" s="2" t="s">
        <v>318</v>
      </c>
      <c r="AE3755" s="2">
        <f t="shared" si="406"/>
        <v>0</v>
      </c>
      <c r="AI3755" s="2">
        <f t="shared" si="407"/>
        <v>0</v>
      </c>
      <c r="AJ3755" s="2">
        <f t="shared" si="404"/>
        <v>1099</v>
      </c>
      <c r="AK3755" s="5">
        <f t="shared" si="408"/>
        <v>1</v>
      </c>
    </row>
    <row r="3756" spans="1:37" x14ac:dyDescent="0.2">
      <c r="A3756" s="2">
        <v>2026</v>
      </c>
      <c r="B3756" s="2">
        <v>4</v>
      </c>
      <c r="C3756" s="2" t="s">
        <v>2817</v>
      </c>
      <c r="L3756" s="2" t="s">
        <v>40</v>
      </c>
      <c r="O3756" s="2" t="s">
        <v>188</v>
      </c>
      <c r="P3756" s="2" t="s">
        <v>192</v>
      </c>
      <c r="Q3756" s="2" t="s">
        <v>191</v>
      </c>
      <c r="R3756" s="2">
        <v>1</v>
      </c>
      <c r="S3756" s="2">
        <v>55</v>
      </c>
      <c r="T3756" s="2">
        <v>12.65</v>
      </c>
      <c r="U3756" s="2">
        <v>67.650000000000006</v>
      </c>
      <c r="V3756" s="2">
        <f>S3756*50%</f>
        <v>27.5</v>
      </c>
      <c r="W3756" s="5">
        <f t="shared" si="409"/>
        <v>0.5</v>
      </c>
      <c r="Y3756" s="2" t="s">
        <v>118</v>
      </c>
      <c r="Z3756" s="2" t="s">
        <v>191</v>
      </c>
      <c r="AE3756" s="2">
        <f t="shared" si="406"/>
        <v>0</v>
      </c>
      <c r="AF3756" s="2">
        <f>V3756</f>
        <v>27.5</v>
      </c>
      <c r="AI3756" s="2">
        <f t="shared" si="407"/>
        <v>0</v>
      </c>
      <c r="AJ3756" s="2">
        <f t="shared" si="404"/>
        <v>27.5</v>
      </c>
      <c r="AK3756" s="5">
        <f t="shared" si="408"/>
        <v>0.5</v>
      </c>
    </row>
    <row r="3757" spans="1:37" x14ac:dyDescent="0.2">
      <c r="A3757" s="2">
        <v>2026</v>
      </c>
      <c r="B3757" s="2">
        <v>3</v>
      </c>
      <c r="C3757" s="2" t="s">
        <v>1080</v>
      </c>
      <c r="L3757" s="2" t="s">
        <v>40</v>
      </c>
      <c r="O3757" s="2" t="s">
        <v>188</v>
      </c>
      <c r="P3757" s="2" t="s">
        <v>189</v>
      </c>
      <c r="Q3757" s="2" t="s">
        <v>190</v>
      </c>
      <c r="R3757" s="2">
        <v>1</v>
      </c>
      <c r="S3757" s="2">
        <v>63</v>
      </c>
      <c r="T3757" s="2">
        <v>14.49</v>
      </c>
      <c r="U3757" s="2">
        <v>77.489999999999995</v>
      </c>
      <c r="V3757" s="2">
        <f>S3757*40%</f>
        <v>25.200000000000003</v>
      </c>
      <c r="W3757" s="5">
        <f t="shared" si="409"/>
        <v>0.6</v>
      </c>
      <c r="Y3757" s="2" t="s">
        <v>118</v>
      </c>
      <c r="Z3757" s="2" t="s">
        <v>191</v>
      </c>
      <c r="AE3757" s="2">
        <f t="shared" si="406"/>
        <v>0</v>
      </c>
      <c r="AF3757" s="2">
        <f>V3757</f>
        <v>25.200000000000003</v>
      </c>
      <c r="AI3757" s="2">
        <f t="shared" si="407"/>
        <v>0</v>
      </c>
      <c r="AJ3757" s="2">
        <f t="shared" si="404"/>
        <v>37.799999999999997</v>
      </c>
      <c r="AK3757" s="5">
        <f t="shared" si="408"/>
        <v>0.6</v>
      </c>
    </row>
    <row r="3758" spans="1:37" x14ac:dyDescent="0.2">
      <c r="A3758" s="2">
        <v>2026</v>
      </c>
      <c r="B3758" s="2">
        <v>3</v>
      </c>
      <c r="C3758" s="2" t="s">
        <v>2874</v>
      </c>
      <c r="L3758" s="2" t="s">
        <v>81</v>
      </c>
      <c r="O3758" s="2" t="s">
        <v>43</v>
      </c>
      <c r="P3758" s="2" t="s">
        <v>62</v>
      </c>
      <c r="Q3758" s="2" t="s">
        <v>63</v>
      </c>
      <c r="R3758" s="2">
        <v>200</v>
      </c>
      <c r="S3758" s="2">
        <v>26</v>
      </c>
      <c r="T3758" s="2">
        <v>5.98</v>
      </c>
      <c r="U3758" s="2">
        <v>31.98</v>
      </c>
      <c r="V3758" s="2">
        <f>0.082*R3758</f>
        <v>16.400000000000002</v>
      </c>
      <c r="W3758" s="5">
        <f t="shared" si="409"/>
        <v>0.36923076923076914</v>
      </c>
      <c r="Y3758" s="2" t="s">
        <v>3256</v>
      </c>
      <c r="Z3758" s="2" t="s">
        <v>46</v>
      </c>
      <c r="AA3758" s="2" t="s">
        <v>61</v>
      </c>
      <c r="AB3758" s="2" t="s">
        <v>58</v>
      </c>
      <c r="AE3758" s="2">
        <f t="shared" si="406"/>
        <v>0</v>
      </c>
      <c r="AF3758" s="2">
        <v>8.1999999999999993</v>
      </c>
      <c r="AG3758" s="2">
        <v>13</v>
      </c>
      <c r="AI3758" s="2">
        <f t="shared" si="407"/>
        <v>0</v>
      </c>
      <c r="AJ3758" s="2">
        <f t="shared" si="404"/>
        <v>9.5999999999999979</v>
      </c>
      <c r="AK3758" s="5">
        <f t="shared" si="408"/>
        <v>0.36923076923076914</v>
      </c>
    </row>
    <row r="3759" spans="1:37" x14ac:dyDescent="0.2">
      <c r="A3759" s="2">
        <v>2026</v>
      </c>
      <c r="B3759" s="2">
        <v>3</v>
      </c>
      <c r="C3759" s="2" t="s">
        <v>1080</v>
      </c>
      <c r="L3759" s="2" t="s">
        <v>40</v>
      </c>
      <c r="O3759" s="2" t="s">
        <v>188</v>
      </c>
      <c r="P3759" s="2" t="s">
        <v>192</v>
      </c>
      <c r="Q3759" s="2" t="s">
        <v>191</v>
      </c>
      <c r="R3759" s="2">
        <v>1.25</v>
      </c>
      <c r="S3759" s="2">
        <v>68.75</v>
      </c>
      <c r="T3759" s="2">
        <v>15.8125</v>
      </c>
      <c r="U3759" s="2">
        <v>84.5625</v>
      </c>
      <c r="V3759" s="2">
        <f>S3759*50%</f>
        <v>34.375</v>
      </c>
      <c r="W3759" s="5">
        <f t="shared" si="409"/>
        <v>0.5</v>
      </c>
      <c r="Y3759" s="2" t="s">
        <v>118</v>
      </c>
      <c r="Z3759" s="2" t="s">
        <v>191</v>
      </c>
      <c r="AE3759" s="2">
        <f t="shared" si="406"/>
        <v>0</v>
      </c>
      <c r="AF3759" s="2">
        <f t="shared" ref="AF3759:AF3783" si="410">V3759</f>
        <v>34.375</v>
      </c>
      <c r="AI3759" s="2">
        <f t="shared" si="407"/>
        <v>0</v>
      </c>
      <c r="AJ3759" s="2">
        <f t="shared" si="404"/>
        <v>34.375</v>
      </c>
      <c r="AK3759" s="5">
        <f t="shared" si="408"/>
        <v>0.5</v>
      </c>
    </row>
    <row r="3760" spans="1:37" x14ac:dyDescent="0.2">
      <c r="A3760" s="2">
        <v>2026</v>
      </c>
      <c r="B3760" s="2">
        <v>4</v>
      </c>
      <c r="C3760" s="2" t="s">
        <v>1615</v>
      </c>
      <c r="L3760" s="2" t="s">
        <v>40</v>
      </c>
      <c r="O3760" s="2" t="s">
        <v>188</v>
      </c>
      <c r="P3760" s="2" t="s">
        <v>189</v>
      </c>
      <c r="Q3760" s="2" t="s">
        <v>190</v>
      </c>
      <c r="R3760" s="2">
        <v>1</v>
      </c>
      <c r="S3760" s="2">
        <v>50</v>
      </c>
      <c r="T3760" s="2">
        <v>11.5</v>
      </c>
      <c r="U3760" s="2">
        <v>61.5</v>
      </c>
      <c r="V3760" s="2">
        <f>S3760*40%</f>
        <v>20</v>
      </c>
      <c r="W3760" s="5">
        <f t="shared" si="409"/>
        <v>0.6</v>
      </c>
      <c r="Y3760" s="2" t="s">
        <v>118</v>
      </c>
      <c r="Z3760" s="2" t="s">
        <v>191</v>
      </c>
      <c r="AE3760" s="2">
        <f t="shared" si="406"/>
        <v>0</v>
      </c>
      <c r="AF3760" s="2">
        <f t="shared" si="410"/>
        <v>20</v>
      </c>
      <c r="AI3760" s="2">
        <f t="shared" si="407"/>
        <v>0</v>
      </c>
      <c r="AJ3760" s="2">
        <f t="shared" si="404"/>
        <v>30</v>
      </c>
      <c r="AK3760" s="5">
        <f t="shared" si="408"/>
        <v>0.6</v>
      </c>
    </row>
    <row r="3761" spans="1:37" x14ac:dyDescent="0.2">
      <c r="A3761" s="2">
        <v>2026</v>
      </c>
      <c r="B3761" s="2">
        <v>4</v>
      </c>
      <c r="C3761" s="2" t="s">
        <v>1615</v>
      </c>
      <c r="L3761" s="2" t="s">
        <v>40</v>
      </c>
      <c r="O3761" s="2" t="s">
        <v>188</v>
      </c>
      <c r="P3761" s="2" t="s">
        <v>192</v>
      </c>
      <c r="Q3761" s="2" t="s">
        <v>191</v>
      </c>
      <c r="R3761" s="2">
        <v>1</v>
      </c>
      <c r="S3761" s="2">
        <v>50</v>
      </c>
      <c r="T3761" s="2">
        <v>11.5</v>
      </c>
      <c r="U3761" s="2">
        <v>61.5</v>
      </c>
      <c r="V3761" s="2">
        <f>S3761*50%</f>
        <v>25</v>
      </c>
      <c r="W3761" s="5">
        <f t="shared" si="409"/>
        <v>0.5</v>
      </c>
      <c r="Y3761" s="2" t="s">
        <v>118</v>
      </c>
      <c r="Z3761" s="2" t="s">
        <v>191</v>
      </c>
      <c r="AE3761" s="2">
        <f t="shared" si="406"/>
        <v>0</v>
      </c>
      <c r="AF3761" s="2">
        <f t="shared" si="410"/>
        <v>25</v>
      </c>
      <c r="AI3761" s="2">
        <f t="shared" si="407"/>
        <v>0</v>
      </c>
      <c r="AJ3761" s="2">
        <f t="shared" si="404"/>
        <v>25</v>
      </c>
      <c r="AK3761" s="5">
        <f t="shared" si="408"/>
        <v>0.5</v>
      </c>
    </row>
    <row r="3762" spans="1:37" x14ac:dyDescent="0.2">
      <c r="A3762" s="2">
        <v>2026</v>
      </c>
      <c r="B3762" s="2">
        <v>3</v>
      </c>
      <c r="C3762" s="2" t="s">
        <v>2069</v>
      </c>
      <c r="L3762" s="2" t="s">
        <v>40</v>
      </c>
      <c r="O3762" s="2" t="s">
        <v>188</v>
      </c>
      <c r="P3762" s="2" t="s">
        <v>189</v>
      </c>
      <c r="Q3762" s="2" t="s">
        <v>190</v>
      </c>
      <c r="R3762" s="2">
        <v>1</v>
      </c>
      <c r="S3762" s="2">
        <v>114</v>
      </c>
      <c r="T3762" s="2">
        <v>26.22</v>
      </c>
      <c r="U3762" s="2">
        <v>140.22</v>
      </c>
      <c r="V3762" s="2">
        <f>S3762*40%</f>
        <v>45.6</v>
      </c>
      <c r="W3762" s="5">
        <f t="shared" si="409"/>
        <v>0.60000000000000009</v>
      </c>
      <c r="Y3762" s="2" t="s">
        <v>118</v>
      </c>
      <c r="Z3762" s="2" t="s">
        <v>191</v>
      </c>
      <c r="AE3762" s="2">
        <f t="shared" si="406"/>
        <v>0</v>
      </c>
      <c r="AF3762" s="2">
        <f t="shared" si="410"/>
        <v>45.6</v>
      </c>
      <c r="AI3762" s="2">
        <f t="shared" si="407"/>
        <v>0</v>
      </c>
      <c r="AJ3762" s="2">
        <f t="shared" si="404"/>
        <v>68.400000000000006</v>
      </c>
      <c r="AK3762" s="5">
        <f t="shared" si="408"/>
        <v>0.60000000000000009</v>
      </c>
    </row>
    <row r="3763" spans="1:37" x14ac:dyDescent="0.2">
      <c r="A3763" s="2">
        <v>2026</v>
      </c>
      <c r="B3763" s="2">
        <v>3</v>
      </c>
      <c r="C3763" s="2" t="s">
        <v>2069</v>
      </c>
      <c r="L3763" s="2" t="s">
        <v>40</v>
      </c>
      <c r="O3763" s="2" t="s">
        <v>188</v>
      </c>
      <c r="P3763" s="2" t="s">
        <v>192</v>
      </c>
      <c r="Q3763" s="2" t="s">
        <v>191</v>
      </c>
      <c r="R3763" s="2">
        <v>5</v>
      </c>
      <c r="S3763" s="2">
        <v>200</v>
      </c>
      <c r="T3763" s="2">
        <v>46</v>
      </c>
      <c r="U3763" s="2">
        <v>246</v>
      </c>
      <c r="V3763" s="2">
        <f>S3763*50%</f>
        <v>100</v>
      </c>
      <c r="W3763" s="5">
        <f t="shared" si="409"/>
        <v>0.5</v>
      </c>
      <c r="Y3763" s="2" t="s">
        <v>118</v>
      </c>
      <c r="Z3763" s="2" t="s">
        <v>191</v>
      </c>
      <c r="AE3763" s="2">
        <f t="shared" si="406"/>
        <v>0</v>
      </c>
      <c r="AF3763" s="2">
        <f t="shared" si="410"/>
        <v>100</v>
      </c>
      <c r="AI3763" s="2">
        <f t="shared" si="407"/>
        <v>0</v>
      </c>
      <c r="AJ3763" s="2">
        <f t="shared" si="404"/>
        <v>100</v>
      </c>
      <c r="AK3763" s="5">
        <f t="shared" si="408"/>
        <v>0.5</v>
      </c>
    </row>
    <row r="3764" spans="1:37" x14ac:dyDescent="0.2">
      <c r="A3764" s="2">
        <v>2026</v>
      </c>
      <c r="B3764" s="2">
        <v>4</v>
      </c>
      <c r="C3764" s="2" t="s">
        <v>2069</v>
      </c>
      <c r="L3764" s="2" t="s">
        <v>40</v>
      </c>
      <c r="O3764" s="2" t="s">
        <v>188</v>
      </c>
      <c r="P3764" s="2" t="s">
        <v>189</v>
      </c>
      <c r="Q3764" s="2" t="s">
        <v>190</v>
      </c>
      <c r="R3764" s="2">
        <v>1</v>
      </c>
      <c r="S3764" s="2">
        <v>147</v>
      </c>
      <c r="T3764" s="2">
        <v>33.81</v>
      </c>
      <c r="U3764" s="2">
        <v>180.81</v>
      </c>
      <c r="V3764" s="2">
        <f>S3764*40%</f>
        <v>58.800000000000004</v>
      </c>
      <c r="W3764" s="5">
        <f t="shared" si="409"/>
        <v>0.6</v>
      </c>
      <c r="Y3764" s="2" t="s">
        <v>118</v>
      </c>
      <c r="Z3764" s="2" t="s">
        <v>191</v>
      </c>
      <c r="AE3764" s="2">
        <f t="shared" si="406"/>
        <v>0</v>
      </c>
      <c r="AF3764" s="2">
        <f t="shared" si="410"/>
        <v>58.800000000000004</v>
      </c>
      <c r="AI3764" s="2">
        <f t="shared" si="407"/>
        <v>0</v>
      </c>
      <c r="AJ3764" s="2">
        <f t="shared" si="404"/>
        <v>88.199999999999989</v>
      </c>
      <c r="AK3764" s="5">
        <f t="shared" si="408"/>
        <v>0.6</v>
      </c>
    </row>
    <row r="3765" spans="1:37" x14ac:dyDescent="0.2">
      <c r="A3765" s="2">
        <v>2026</v>
      </c>
      <c r="B3765" s="2">
        <v>4</v>
      </c>
      <c r="C3765" s="2" t="s">
        <v>2069</v>
      </c>
      <c r="L3765" s="2" t="s">
        <v>40</v>
      </c>
      <c r="O3765" s="2" t="s">
        <v>188</v>
      </c>
      <c r="P3765" s="2" t="s">
        <v>192</v>
      </c>
      <c r="Q3765" s="2" t="s">
        <v>191</v>
      </c>
      <c r="R3765" s="2">
        <v>1.25</v>
      </c>
      <c r="S3765" s="2">
        <v>68.75</v>
      </c>
      <c r="T3765" s="2">
        <v>15.8125</v>
      </c>
      <c r="U3765" s="2">
        <v>84.5625</v>
      </c>
      <c r="V3765" s="2">
        <f>S3765*50%</f>
        <v>34.375</v>
      </c>
      <c r="W3765" s="5">
        <f t="shared" si="409"/>
        <v>0.5</v>
      </c>
      <c r="Y3765" s="2" t="s">
        <v>118</v>
      </c>
      <c r="Z3765" s="2" t="s">
        <v>191</v>
      </c>
      <c r="AE3765" s="2">
        <f t="shared" si="406"/>
        <v>0</v>
      </c>
      <c r="AF3765" s="2">
        <f t="shared" si="410"/>
        <v>34.375</v>
      </c>
      <c r="AI3765" s="2">
        <f t="shared" si="407"/>
        <v>0</v>
      </c>
      <c r="AJ3765" s="2">
        <f t="shared" si="404"/>
        <v>34.375</v>
      </c>
      <c r="AK3765" s="5">
        <f t="shared" ref="AK3765:AK3796" si="411">(S3765-V3765)/S3765</f>
        <v>0.5</v>
      </c>
    </row>
    <row r="3766" spans="1:37" x14ac:dyDescent="0.2">
      <c r="A3766" s="2">
        <v>2026</v>
      </c>
      <c r="B3766" s="2">
        <v>4</v>
      </c>
      <c r="C3766" s="2" t="s">
        <v>2926</v>
      </c>
      <c r="L3766" s="2" t="s">
        <v>40</v>
      </c>
      <c r="O3766" s="2" t="s">
        <v>188</v>
      </c>
      <c r="P3766" s="2" t="s">
        <v>192</v>
      </c>
      <c r="Q3766" s="2" t="s">
        <v>191</v>
      </c>
      <c r="R3766" s="2">
        <v>1</v>
      </c>
      <c r="S3766" s="2">
        <v>62.9</v>
      </c>
      <c r="T3766" s="2">
        <v>14.467000000000001</v>
      </c>
      <c r="U3766" s="2">
        <v>77.367000000000004</v>
      </c>
      <c r="V3766" s="2">
        <f>S3766*50%</f>
        <v>31.45</v>
      </c>
      <c r="W3766" s="5">
        <f t="shared" si="409"/>
        <v>0.5</v>
      </c>
      <c r="Y3766" s="2" t="s">
        <v>118</v>
      </c>
      <c r="Z3766" s="2" t="s">
        <v>191</v>
      </c>
      <c r="AE3766" s="2">
        <f t="shared" si="406"/>
        <v>0</v>
      </c>
      <c r="AF3766" s="2">
        <f t="shared" si="410"/>
        <v>31.45</v>
      </c>
      <c r="AI3766" s="2">
        <f t="shared" si="407"/>
        <v>0</v>
      </c>
      <c r="AJ3766" s="2">
        <f t="shared" ref="AJ3766:AJ3829" si="412">S3766-V3766</f>
        <v>31.45</v>
      </c>
      <c r="AK3766" s="5">
        <f t="shared" si="411"/>
        <v>0.5</v>
      </c>
    </row>
    <row r="3767" spans="1:37" x14ac:dyDescent="0.2">
      <c r="A3767" s="2">
        <v>2026</v>
      </c>
      <c r="B3767" s="2">
        <v>4</v>
      </c>
      <c r="C3767" s="2" t="s">
        <v>2927</v>
      </c>
      <c r="D3767" s="2" t="s">
        <v>38</v>
      </c>
      <c r="F3767" s="2">
        <v>506272524</v>
      </c>
      <c r="G3767" s="2" t="s">
        <v>40</v>
      </c>
      <c r="H3767" s="2" t="s">
        <v>2928</v>
      </c>
      <c r="I3767" s="2" t="s">
        <v>2929</v>
      </c>
      <c r="K3767" s="2" t="s">
        <v>100</v>
      </c>
      <c r="L3767" s="2" t="s">
        <v>40</v>
      </c>
      <c r="O3767" s="2" t="s">
        <v>188</v>
      </c>
      <c r="P3767" s="2" t="s">
        <v>189</v>
      </c>
      <c r="Q3767" s="2" t="s">
        <v>190</v>
      </c>
      <c r="R3767" s="2">
        <v>1</v>
      </c>
      <c r="T3767" s="2">
        <v>0</v>
      </c>
      <c r="U3767" s="2">
        <v>0</v>
      </c>
      <c r="V3767" s="2">
        <f>S3767*40%</f>
        <v>0</v>
      </c>
      <c r="W3767" s="5">
        <v>0</v>
      </c>
      <c r="Y3767" s="2" t="s">
        <v>118</v>
      </c>
      <c r="Z3767" s="2" t="s">
        <v>191</v>
      </c>
      <c r="AE3767" s="2">
        <f t="shared" si="406"/>
        <v>0</v>
      </c>
      <c r="AF3767" s="2">
        <f t="shared" si="410"/>
        <v>0</v>
      </c>
      <c r="AI3767" s="2">
        <f t="shared" si="407"/>
        <v>0</v>
      </c>
      <c r="AJ3767" s="2">
        <f t="shared" si="412"/>
        <v>0</v>
      </c>
      <c r="AK3767" s="5" t="e">
        <f t="shared" si="411"/>
        <v>#DIV/0!</v>
      </c>
    </row>
    <row r="3768" spans="1:37" x14ac:dyDescent="0.2">
      <c r="A3768" s="2">
        <v>2026</v>
      </c>
      <c r="B3768" s="2">
        <v>4</v>
      </c>
      <c r="C3768" s="2" t="s">
        <v>2927</v>
      </c>
      <c r="D3768" s="2" t="s">
        <v>38</v>
      </c>
      <c r="F3768" s="2">
        <v>506272524</v>
      </c>
      <c r="G3768" s="2" t="s">
        <v>40</v>
      </c>
      <c r="H3768" s="2" t="s">
        <v>2928</v>
      </c>
      <c r="I3768" s="2" t="s">
        <v>2929</v>
      </c>
      <c r="K3768" s="2" t="s">
        <v>100</v>
      </c>
      <c r="L3768" s="2" t="s">
        <v>40</v>
      </c>
      <c r="O3768" s="2" t="s">
        <v>188</v>
      </c>
      <c r="P3768" s="2" t="s">
        <v>192</v>
      </c>
      <c r="Q3768" s="2" t="s">
        <v>191</v>
      </c>
      <c r="R3768" s="2">
        <v>1</v>
      </c>
      <c r="S3768" s="2">
        <v>55</v>
      </c>
      <c r="T3768" s="2">
        <v>12.65</v>
      </c>
      <c r="U3768" s="2">
        <v>67.650000000000006</v>
      </c>
      <c r="V3768" s="2">
        <f>S3768*50%</f>
        <v>27.5</v>
      </c>
      <c r="W3768" s="5">
        <f>(S3768-V3768)/S3768</f>
        <v>0.5</v>
      </c>
      <c r="Y3768" s="2" t="s">
        <v>118</v>
      </c>
      <c r="Z3768" s="2" t="s">
        <v>191</v>
      </c>
      <c r="AE3768" s="2">
        <f t="shared" si="406"/>
        <v>0</v>
      </c>
      <c r="AF3768" s="2">
        <f t="shared" si="410"/>
        <v>27.5</v>
      </c>
      <c r="AI3768" s="2">
        <f t="shared" si="407"/>
        <v>0</v>
      </c>
      <c r="AJ3768" s="2">
        <f t="shared" si="412"/>
        <v>27.5</v>
      </c>
      <c r="AK3768" s="5">
        <f t="shared" si="411"/>
        <v>0.5</v>
      </c>
    </row>
    <row r="3769" spans="1:37" x14ac:dyDescent="0.2">
      <c r="A3769" s="2">
        <v>2026</v>
      </c>
      <c r="B3769" s="2">
        <v>2</v>
      </c>
      <c r="C3769" s="2" t="s">
        <v>1097</v>
      </c>
      <c r="D3769" s="2" t="s">
        <v>109</v>
      </c>
      <c r="E3769" s="2" t="s">
        <v>39</v>
      </c>
      <c r="F3769" s="2">
        <v>505194147</v>
      </c>
      <c r="G3769" s="2" t="s">
        <v>110</v>
      </c>
      <c r="H3769" s="2" t="s">
        <v>1098</v>
      </c>
      <c r="I3769" s="2" t="s">
        <v>1099</v>
      </c>
      <c r="J3769" s="2">
        <v>917523997</v>
      </c>
      <c r="K3769" s="2" t="s">
        <v>113</v>
      </c>
      <c r="L3769" s="2" t="s">
        <v>40</v>
      </c>
      <c r="N3769" s="2" t="s">
        <v>2637</v>
      </c>
      <c r="O3769" s="2" t="s">
        <v>188</v>
      </c>
      <c r="P3769" s="2" t="s">
        <v>189</v>
      </c>
      <c r="Q3769" s="2" t="s">
        <v>190</v>
      </c>
      <c r="R3769" s="2">
        <v>1</v>
      </c>
      <c r="S3769" s="2">
        <v>164</v>
      </c>
      <c r="T3769" s="2">
        <v>37.72</v>
      </c>
      <c r="U3769" s="2">
        <v>201.72</v>
      </c>
      <c r="V3769" s="2">
        <f>S3769*40%</f>
        <v>65.600000000000009</v>
      </c>
      <c r="W3769" s="5">
        <f>(S3769-V3769)/S3769</f>
        <v>0.6</v>
      </c>
      <c r="Y3769" s="2" t="s">
        <v>118</v>
      </c>
      <c r="Z3769" s="2" t="s">
        <v>191</v>
      </c>
      <c r="AE3769" s="2">
        <f t="shared" si="406"/>
        <v>0</v>
      </c>
      <c r="AF3769" s="2">
        <f t="shared" si="410"/>
        <v>65.600000000000009</v>
      </c>
      <c r="AI3769" s="2">
        <f t="shared" si="407"/>
        <v>0</v>
      </c>
      <c r="AJ3769" s="2">
        <f t="shared" si="412"/>
        <v>98.399999999999991</v>
      </c>
      <c r="AK3769" s="5">
        <f t="shared" si="411"/>
        <v>0.6</v>
      </c>
    </row>
    <row r="3770" spans="1:37" x14ac:dyDescent="0.2">
      <c r="A3770" s="2">
        <v>2026</v>
      </c>
      <c r="B3770" s="2">
        <v>2</v>
      </c>
      <c r="C3770" s="2" t="s">
        <v>1097</v>
      </c>
      <c r="D3770" s="2" t="s">
        <v>109</v>
      </c>
      <c r="E3770" s="2" t="s">
        <v>39</v>
      </c>
      <c r="F3770" s="2">
        <v>505194147</v>
      </c>
      <c r="G3770" s="2" t="s">
        <v>110</v>
      </c>
      <c r="H3770" s="2" t="s">
        <v>1098</v>
      </c>
      <c r="I3770" s="2" t="s">
        <v>1099</v>
      </c>
      <c r="J3770" s="2">
        <v>917523997</v>
      </c>
      <c r="K3770" s="2" t="s">
        <v>113</v>
      </c>
      <c r="L3770" s="2" t="s">
        <v>40</v>
      </c>
      <c r="N3770" s="2" t="s">
        <v>2637</v>
      </c>
      <c r="O3770" s="2" t="s">
        <v>188</v>
      </c>
      <c r="P3770" s="2" t="s">
        <v>192</v>
      </c>
      <c r="Q3770" s="2" t="s">
        <v>191</v>
      </c>
      <c r="R3770" s="2">
        <v>1.5</v>
      </c>
      <c r="S3770" s="2">
        <v>82.5</v>
      </c>
      <c r="T3770" s="2">
        <v>18.975000000000001</v>
      </c>
      <c r="U3770" s="2">
        <v>101.47499999999999</v>
      </c>
      <c r="V3770" s="2">
        <f>S3770*50%</f>
        <v>41.25</v>
      </c>
      <c r="W3770" s="5">
        <f>(S3770-V3770)/S3770</f>
        <v>0.5</v>
      </c>
      <c r="Y3770" s="2" t="s">
        <v>118</v>
      </c>
      <c r="Z3770" s="2" t="s">
        <v>191</v>
      </c>
      <c r="AE3770" s="2">
        <f t="shared" si="406"/>
        <v>0</v>
      </c>
      <c r="AF3770" s="2">
        <f t="shared" si="410"/>
        <v>41.25</v>
      </c>
      <c r="AI3770" s="2">
        <f t="shared" si="407"/>
        <v>0</v>
      </c>
      <c r="AJ3770" s="2">
        <f t="shared" si="412"/>
        <v>41.25</v>
      </c>
      <c r="AK3770" s="5">
        <f t="shared" si="411"/>
        <v>0.5</v>
      </c>
    </row>
    <row r="3771" spans="1:37" x14ac:dyDescent="0.2">
      <c r="A3771" s="2">
        <v>2026</v>
      </c>
      <c r="B3771" s="2">
        <v>1</v>
      </c>
      <c r="C3771" s="2" t="s">
        <v>1638</v>
      </c>
      <c r="D3771" s="2" t="s">
        <v>109</v>
      </c>
      <c r="E3771" s="2" t="s">
        <v>481</v>
      </c>
      <c r="F3771" s="2">
        <v>504161342</v>
      </c>
      <c r="G3771" s="2" t="s">
        <v>291</v>
      </c>
      <c r="H3771" s="2" t="s">
        <v>1639</v>
      </c>
      <c r="I3771" s="2" t="s">
        <v>1640</v>
      </c>
      <c r="K3771" s="2" t="s">
        <v>294</v>
      </c>
      <c r="L3771" s="2" t="s">
        <v>40</v>
      </c>
      <c r="N3771" s="2" t="s">
        <v>2359</v>
      </c>
      <c r="O3771" s="2" t="s">
        <v>188</v>
      </c>
      <c r="P3771" s="2" t="s">
        <v>189</v>
      </c>
      <c r="Q3771" s="2" t="s">
        <v>190</v>
      </c>
      <c r="R3771" s="2">
        <v>1</v>
      </c>
      <c r="S3771" s="2">
        <v>0</v>
      </c>
      <c r="T3771" s="2">
        <v>0</v>
      </c>
      <c r="U3771" s="2">
        <v>0</v>
      </c>
      <c r="V3771" s="2">
        <f>S3771*40%</f>
        <v>0</v>
      </c>
      <c r="W3771" s="5">
        <v>0</v>
      </c>
      <c r="Y3771" s="2" t="s">
        <v>118</v>
      </c>
      <c r="Z3771" s="2" t="s">
        <v>191</v>
      </c>
      <c r="AE3771" s="2">
        <f t="shared" si="406"/>
        <v>0</v>
      </c>
      <c r="AF3771" s="2">
        <f t="shared" si="410"/>
        <v>0</v>
      </c>
      <c r="AI3771" s="2">
        <f t="shared" si="407"/>
        <v>0</v>
      </c>
      <c r="AJ3771" s="2">
        <f t="shared" si="412"/>
        <v>0</v>
      </c>
      <c r="AK3771" s="5" t="e">
        <f t="shared" si="411"/>
        <v>#DIV/0!</v>
      </c>
    </row>
    <row r="3772" spans="1:37" x14ac:dyDescent="0.2">
      <c r="A3772" s="2">
        <v>2026</v>
      </c>
      <c r="B3772" s="2">
        <v>1</v>
      </c>
      <c r="C3772" s="2" t="s">
        <v>1638</v>
      </c>
      <c r="D3772" s="2" t="s">
        <v>109</v>
      </c>
      <c r="E3772" s="2" t="s">
        <v>481</v>
      </c>
      <c r="F3772" s="2">
        <v>504161342</v>
      </c>
      <c r="G3772" s="2" t="s">
        <v>291</v>
      </c>
      <c r="H3772" s="2" t="s">
        <v>1639</v>
      </c>
      <c r="I3772" s="2" t="s">
        <v>1640</v>
      </c>
      <c r="K3772" s="2" t="s">
        <v>294</v>
      </c>
      <c r="L3772" s="2" t="s">
        <v>40</v>
      </c>
      <c r="N3772" s="2" t="s">
        <v>2359</v>
      </c>
      <c r="O3772" s="2" t="s">
        <v>188</v>
      </c>
      <c r="P3772" s="2" t="s">
        <v>192</v>
      </c>
      <c r="Q3772" s="2" t="s">
        <v>191</v>
      </c>
      <c r="R3772" s="2">
        <v>1</v>
      </c>
      <c r="S3772" s="2">
        <v>0</v>
      </c>
      <c r="T3772" s="2">
        <v>0</v>
      </c>
      <c r="U3772" s="2">
        <v>0</v>
      </c>
      <c r="V3772" s="2">
        <f>S3772*50%</f>
        <v>0</v>
      </c>
      <c r="W3772" s="5">
        <v>0</v>
      </c>
      <c r="Y3772" s="2" t="s">
        <v>118</v>
      </c>
      <c r="Z3772" s="2" t="s">
        <v>191</v>
      </c>
      <c r="AE3772" s="2">
        <f t="shared" si="406"/>
        <v>0</v>
      </c>
      <c r="AF3772" s="2">
        <f t="shared" si="410"/>
        <v>0</v>
      </c>
      <c r="AI3772" s="2">
        <f t="shared" si="407"/>
        <v>0</v>
      </c>
      <c r="AJ3772" s="2">
        <f t="shared" si="412"/>
        <v>0</v>
      </c>
      <c r="AK3772" s="5" t="e">
        <f t="shared" si="411"/>
        <v>#DIV/0!</v>
      </c>
    </row>
    <row r="3773" spans="1:37" x14ac:dyDescent="0.2">
      <c r="A3773" s="2">
        <v>2026</v>
      </c>
      <c r="B3773" s="2">
        <v>4</v>
      </c>
      <c r="C3773" s="2" t="s">
        <v>2930</v>
      </c>
      <c r="L3773" s="2" t="s">
        <v>40</v>
      </c>
      <c r="O3773" s="2" t="s">
        <v>188</v>
      </c>
      <c r="P3773" s="2" t="s">
        <v>189</v>
      </c>
      <c r="Q3773" s="2" t="s">
        <v>190</v>
      </c>
      <c r="R3773" s="2">
        <v>1</v>
      </c>
      <c r="S3773" s="2">
        <v>151</v>
      </c>
      <c r="T3773" s="2">
        <v>34.729999999999997</v>
      </c>
      <c r="U3773" s="2">
        <v>185.73</v>
      </c>
      <c r="V3773" s="2">
        <f>S3773*40%</f>
        <v>60.400000000000006</v>
      </c>
      <c r="W3773" s="5">
        <f t="shared" ref="W3773:W3778" si="413">(S3773-V3773)/S3773</f>
        <v>0.6</v>
      </c>
      <c r="Y3773" s="2" t="s">
        <v>118</v>
      </c>
      <c r="Z3773" s="2" t="s">
        <v>191</v>
      </c>
      <c r="AE3773" s="2">
        <f t="shared" si="406"/>
        <v>0</v>
      </c>
      <c r="AF3773" s="2">
        <f t="shared" si="410"/>
        <v>60.400000000000006</v>
      </c>
      <c r="AI3773" s="2">
        <f t="shared" si="407"/>
        <v>0</v>
      </c>
      <c r="AJ3773" s="2">
        <f t="shared" si="412"/>
        <v>90.6</v>
      </c>
      <c r="AK3773" s="5">
        <f t="shared" si="411"/>
        <v>0.6</v>
      </c>
    </row>
    <row r="3774" spans="1:37" x14ac:dyDescent="0.2">
      <c r="A3774" s="2">
        <v>2026</v>
      </c>
      <c r="B3774" s="2">
        <v>4</v>
      </c>
      <c r="C3774" s="2" t="s">
        <v>2930</v>
      </c>
      <c r="L3774" s="2" t="s">
        <v>40</v>
      </c>
      <c r="O3774" s="2" t="s">
        <v>188</v>
      </c>
      <c r="P3774" s="2" t="s">
        <v>192</v>
      </c>
      <c r="Q3774" s="2" t="s">
        <v>191</v>
      </c>
      <c r="R3774" s="2">
        <v>3</v>
      </c>
      <c r="S3774" s="2">
        <v>165</v>
      </c>
      <c r="T3774" s="2">
        <v>37.950000000000003</v>
      </c>
      <c r="U3774" s="2">
        <v>202.95</v>
      </c>
      <c r="V3774" s="2">
        <f>S3774*50%</f>
        <v>82.5</v>
      </c>
      <c r="W3774" s="5">
        <f t="shared" si="413"/>
        <v>0.5</v>
      </c>
      <c r="Y3774" s="2" t="s">
        <v>118</v>
      </c>
      <c r="Z3774" s="2" t="s">
        <v>191</v>
      </c>
      <c r="AE3774" s="2">
        <f t="shared" si="406"/>
        <v>0</v>
      </c>
      <c r="AF3774" s="2">
        <f t="shared" si="410"/>
        <v>82.5</v>
      </c>
      <c r="AI3774" s="2">
        <f t="shared" si="407"/>
        <v>0</v>
      </c>
      <c r="AJ3774" s="2">
        <f t="shared" si="412"/>
        <v>82.5</v>
      </c>
      <c r="AK3774" s="5">
        <f t="shared" si="411"/>
        <v>0.5</v>
      </c>
    </row>
    <row r="3775" spans="1:37" x14ac:dyDescent="0.2">
      <c r="A3775" s="2">
        <v>2026</v>
      </c>
      <c r="B3775" s="2">
        <v>1</v>
      </c>
      <c r="C3775" s="2" t="s">
        <v>1101</v>
      </c>
      <c r="D3775" s="2" t="s">
        <v>109</v>
      </c>
      <c r="E3775" s="2" t="s">
        <v>39</v>
      </c>
      <c r="F3775" s="2">
        <v>513356932</v>
      </c>
      <c r="G3775" s="2" t="s">
        <v>41</v>
      </c>
      <c r="H3775" s="2" t="s">
        <v>2694</v>
      </c>
      <c r="I3775" s="2" t="s">
        <v>2695</v>
      </c>
      <c r="J3775" s="2">
        <v>962939747</v>
      </c>
      <c r="K3775" s="2" t="s">
        <v>100</v>
      </c>
      <c r="L3775" s="2" t="s">
        <v>40</v>
      </c>
      <c r="N3775" s="2" t="s">
        <v>2931</v>
      </c>
      <c r="O3775" s="2" t="s">
        <v>188</v>
      </c>
      <c r="P3775" s="2" t="s">
        <v>189</v>
      </c>
      <c r="Q3775" s="2" t="s">
        <v>190</v>
      </c>
      <c r="R3775" s="2">
        <v>1</v>
      </c>
      <c r="S3775" s="2">
        <v>50</v>
      </c>
      <c r="T3775" s="2">
        <v>11.5</v>
      </c>
      <c r="U3775" s="2">
        <v>61.5</v>
      </c>
      <c r="V3775" s="2">
        <f>S3775*40%</f>
        <v>20</v>
      </c>
      <c r="W3775" s="5">
        <f t="shared" si="413"/>
        <v>0.6</v>
      </c>
      <c r="Y3775" s="2" t="s">
        <v>118</v>
      </c>
      <c r="Z3775" s="2" t="s">
        <v>191</v>
      </c>
      <c r="AE3775" s="2">
        <f t="shared" si="406"/>
        <v>0</v>
      </c>
      <c r="AF3775" s="2">
        <f t="shared" si="410"/>
        <v>20</v>
      </c>
      <c r="AI3775" s="2">
        <f t="shared" si="407"/>
        <v>0</v>
      </c>
      <c r="AJ3775" s="2">
        <f t="shared" si="412"/>
        <v>30</v>
      </c>
      <c r="AK3775" s="5">
        <f t="shared" si="411"/>
        <v>0.6</v>
      </c>
    </row>
    <row r="3776" spans="1:37" x14ac:dyDescent="0.2">
      <c r="A3776" s="2">
        <v>2026</v>
      </c>
      <c r="B3776" s="2">
        <v>1</v>
      </c>
      <c r="C3776" s="2" t="s">
        <v>1101</v>
      </c>
      <c r="D3776" s="2" t="s">
        <v>109</v>
      </c>
      <c r="E3776" s="2" t="s">
        <v>39</v>
      </c>
      <c r="F3776" s="2">
        <v>513356932</v>
      </c>
      <c r="G3776" s="2" t="s">
        <v>41</v>
      </c>
      <c r="H3776" s="2" t="s">
        <v>2694</v>
      </c>
      <c r="I3776" s="2" t="s">
        <v>2695</v>
      </c>
      <c r="J3776" s="2">
        <v>962939747</v>
      </c>
      <c r="K3776" s="2" t="s">
        <v>100</v>
      </c>
      <c r="L3776" s="2" t="s">
        <v>40</v>
      </c>
      <c r="N3776" s="2" t="s">
        <v>2931</v>
      </c>
      <c r="O3776" s="2" t="s">
        <v>188</v>
      </c>
      <c r="P3776" s="2" t="s">
        <v>192</v>
      </c>
      <c r="Q3776" s="2" t="s">
        <v>191</v>
      </c>
      <c r="R3776" s="2">
        <v>1</v>
      </c>
      <c r="S3776" s="2">
        <v>50</v>
      </c>
      <c r="T3776" s="2">
        <v>11.5</v>
      </c>
      <c r="U3776" s="2">
        <v>61.5</v>
      </c>
      <c r="V3776" s="2">
        <f>S3776*50%</f>
        <v>25</v>
      </c>
      <c r="W3776" s="5">
        <f t="shared" si="413"/>
        <v>0.5</v>
      </c>
      <c r="Y3776" s="2" t="s">
        <v>118</v>
      </c>
      <c r="Z3776" s="2" t="s">
        <v>191</v>
      </c>
      <c r="AE3776" s="2">
        <f t="shared" si="406"/>
        <v>0</v>
      </c>
      <c r="AF3776" s="2">
        <f t="shared" si="410"/>
        <v>25</v>
      </c>
      <c r="AI3776" s="2">
        <f t="shared" si="407"/>
        <v>0</v>
      </c>
      <c r="AJ3776" s="2">
        <f t="shared" si="412"/>
        <v>25</v>
      </c>
      <c r="AK3776" s="5">
        <f t="shared" si="411"/>
        <v>0.5</v>
      </c>
    </row>
    <row r="3777" spans="1:37" x14ac:dyDescent="0.2">
      <c r="A3777" s="2">
        <v>2026</v>
      </c>
      <c r="B3777" s="2">
        <v>1</v>
      </c>
      <c r="C3777" s="2" t="s">
        <v>2356</v>
      </c>
      <c r="L3777" s="2" t="s">
        <v>40</v>
      </c>
      <c r="O3777" s="2" t="s">
        <v>188</v>
      </c>
      <c r="P3777" s="2" t="s">
        <v>189</v>
      </c>
      <c r="Q3777" s="2" t="s">
        <v>190</v>
      </c>
      <c r="R3777" s="2">
        <v>2</v>
      </c>
      <c r="S3777" s="2">
        <v>55</v>
      </c>
      <c r="T3777" s="2">
        <v>12.65</v>
      </c>
      <c r="U3777" s="2">
        <v>67.650000000000006</v>
      </c>
      <c r="V3777" s="2">
        <f>S3777*40%</f>
        <v>22</v>
      </c>
      <c r="W3777" s="5">
        <f t="shared" si="413"/>
        <v>0.6</v>
      </c>
      <c r="Y3777" s="2" t="s">
        <v>118</v>
      </c>
      <c r="Z3777" s="2" t="s">
        <v>191</v>
      </c>
      <c r="AE3777" s="2">
        <f t="shared" si="406"/>
        <v>0</v>
      </c>
      <c r="AF3777" s="2">
        <f t="shared" si="410"/>
        <v>22</v>
      </c>
      <c r="AI3777" s="2">
        <f t="shared" si="407"/>
        <v>0</v>
      </c>
      <c r="AJ3777" s="2">
        <f t="shared" si="412"/>
        <v>33</v>
      </c>
      <c r="AK3777" s="5">
        <f t="shared" si="411"/>
        <v>0.6</v>
      </c>
    </row>
    <row r="3778" spans="1:37" x14ac:dyDescent="0.2">
      <c r="A3778" s="2">
        <v>2026</v>
      </c>
      <c r="B3778" s="2">
        <v>1</v>
      </c>
      <c r="C3778" s="2" t="s">
        <v>2356</v>
      </c>
      <c r="L3778" s="2" t="s">
        <v>40</v>
      </c>
      <c r="O3778" s="2" t="s">
        <v>188</v>
      </c>
      <c r="P3778" s="2" t="s">
        <v>192</v>
      </c>
      <c r="Q3778" s="2" t="s">
        <v>191</v>
      </c>
      <c r="R3778" s="2">
        <v>4</v>
      </c>
      <c r="S3778" s="2">
        <v>100</v>
      </c>
      <c r="T3778" s="2">
        <v>23</v>
      </c>
      <c r="U3778" s="2">
        <v>123</v>
      </c>
      <c r="V3778" s="2">
        <f>S3778*50%</f>
        <v>50</v>
      </c>
      <c r="W3778" s="5">
        <f t="shared" si="413"/>
        <v>0.5</v>
      </c>
      <c r="Y3778" s="2" t="s">
        <v>118</v>
      </c>
      <c r="Z3778" s="2" t="s">
        <v>191</v>
      </c>
      <c r="AE3778" s="2">
        <f t="shared" si="406"/>
        <v>0</v>
      </c>
      <c r="AF3778" s="2">
        <f t="shared" si="410"/>
        <v>50</v>
      </c>
      <c r="AI3778" s="2">
        <f t="shared" si="407"/>
        <v>0</v>
      </c>
      <c r="AJ3778" s="2">
        <f t="shared" si="412"/>
        <v>50</v>
      </c>
      <c r="AK3778" s="5">
        <f t="shared" si="411"/>
        <v>0.5</v>
      </c>
    </row>
    <row r="3779" spans="1:37" x14ac:dyDescent="0.2">
      <c r="A3779" s="2">
        <v>2026</v>
      </c>
      <c r="B3779" s="2">
        <v>4</v>
      </c>
      <c r="C3779" s="2" t="s">
        <v>579</v>
      </c>
      <c r="D3779" s="2" t="s">
        <v>38</v>
      </c>
      <c r="E3779" s="2" t="s">
        <v>39</v>
      </c>
      <c r="F3779" s="2">
        <v>504811029</v>
      </c>
      <c r="G3779" s="2" t="s">
        <v>41</v>
      </c>
      <c r="H3779" s="2" t="s">
        <v>178</v>
      </c>
      <c r="I3779" s="2" t="s">
        <v>580</v>
      </c>
      <c r="K3779" s="2" t="s">
        <v>178</v>
      </c>
      <c r="L3779" s="2" t="s">
        <v>40</v>
      </c>
      <c r="O3779" s="2" t="s">
        <v>188</v>
      </c>
      <c r="P3779" s="2" t="s">
        <v>189</v>
      </c>
      <c r="Q3779" s="2" t="s">
        <v>190</v>
      </c>
      <c r="R3779" s="2">
        <v>1</v>
      </c>
      <c r="S3779" s="2">
        <v>0</v>
      </c>
      <c r="T3779" s="2">
        <v>0</v>
      </c>
      <c r="U3779" s="2">
        <v>0</v>
      </c>
      <c r="V3779" s="2">
        <f>S3779*40%</f>
        <v>0</v>
      </c>
      <c r="W3779" s="5">
        <v>0</v>
      </c>
      <c r="Y3779" s="2" t="s">
        <v>118</v>
      </c>
      <c r="Z3779" s="2" t="s">
        <v>191</v>
      </c>
      <c r="AE3779" s="2">
        <f t="shared" ref="AE3779:AE3842" si="414">AI3779</f>
        <v>0</v>
      </c>
      <c r="AF3779" s="2">
        <f t="shared" si="410"/>
        <v>0</v>
      </c>
      <c r="AI3779" s="2">
        <f t="shared" ref="AI3779:AI3842" si="415">AH3779*S3779</f>
        <v>0</v>
      </c>
      <c r="AJ3779" s="2">
        <f t="shared" si="412"/>
        <v>0</v>
      </c>
      <c r="AK3779" s="5" t="e">
        <f t="shared" si="411"/>
        <v>#DIV/0!</v>
      </c>
    </row>
    <row r="3780" spans="1:37" x14ac:dyDescent="0.2">
      <c r="A3780" s="2">
        <v>2026</v>
      </c>
      <c r="B3780" s="2">
        <v>4</v>
      </c>
      <c r="C3780" s="2" t="s">
        <v>579</v>
      </c>
      <c r="D3780" s="2" t="s">
        <v>38</v>
      </c>
      <c r="E3780" s="2" t="s">
        <v>39</v>
      </c>
      <c r="F3780" s="2">
        <v>504811029</v>
      </c>
      <c r="G3780" s="2" t="s">
        <v>41</v>
      </c>
      <c r="H3780" s="2" t="s">
        <v>178</v>
      </c>
      <c r="I3780" s="2" t="s">
        <v>580</v>
      </c>
      <c r="K3780" s="2" t="s">
        <v>178</v>
      </c>
      <c r="L3780" s="2" t="s">
        <v>40</v>
      </c>
      <c r="O3780" s="2" t="s">
        <v>188</v>
      </c>
      <c r="P3780" s="2" t="s">
        <v>192</v>
      </c>
      <c r="Q3780" s="2" t="s">
        <v>191</v>
      </c>
      <c r="R3780" s="2">
        <v>2</v>
      </c>
      <c r="S3780" s="2">
        <v>0</v>
      </c>
      <c r="T3780" s="2">
        <v>0</v>
      </c>
      <c r="U3780" s="2">
        <v>0</v>
      </c>
      <c r="V3780" s="2">
        <f>S3780*50%</f>
        <v>0</v>
      </c>
      <c r="W3780" s="5">
        <v>0</v>
      </c>
      <c r="Y3780" s="2" t="s">
        <v>118</v>
      </c>
      <c r="Z3780" s="2" t="s">
        <v>191</v>
      </c>
      <c r="AE3780" s="2">
        <f t="shared" si="414"/>
        <v>0</v>
      </c>
      <c r="AF3780" s="2">
        <f t="shared" si="410"/>
        <v>0</v>
      </c>
      <c r="AI3780" s="2">
        <f t="shared" si="415"/>
        <v>0</v>
      </c>
      <c r="AJ3780" s="2">
        <f t="shared" si="412"/>
        <v>0</v>
      </c>
      <c r="AK3780" s="5" t="e">
        <f t="shared" si="411"/>
        <v>#DIV/0!</v>
      </c>
    </row>
    <row r="3781" spans="1:37" x14ac:dyDescent="0.2">
      <c r="A3781" s="2">
        <v>2026</v>
      </c>
      <c r="B3781" s="2">
        <v>1</v>
      </c>
      <c r="C3781" s="2" t="s">
        <v>2349</v>
      </c>
      <c r="L3781" s="2" t="s">
        <v>40</v>
      </c>
      <c r="O3781" s="2" t="s">
        <v>188</v>
      </c>
      <c r="P3781" s="2" t="s">
        <v>189</v>
      </c>
      <c r="Q3781" s="2" t="s">
        <v>190</v>
      </c>
      <c r="R3781" s="2">
        <v>1</v>
      </c>
      <c r="S3781" s="2">
        <v>50</v>
      </c>
      <c r="T3781" s="2">
        <v>11.5</v>
      </c>
      <c r="U3781" s="2">
        <v>61.5</v>
      </c>
      <c r="V3781" s="2">
        <f>S3781*40%</f>
        <v>20</v>
      </c>
      <c r="W3781" s="5">
        <f t="shared" ref="W3781:W3792" si="416">(S3781-V3781)/S3781</f>
        <v>0.6</v>
      </c>
      <c r="Y3781" s="2" t="s">
        <v>118</v>
      </c>
      <c r="Z3781" s="2" t="s">
        <v>191</v>
      </c>
      <c r="AE3781" s="2">
        <f t="shared" si="414"/>
        <v>0</v>
      </c>
      <c r="AF3781" s="2">
        <f t="shared" si="410"/>
        <v>20</v>
      </c>
      <c r="AI3781" s="2">
        <f t="shared" si="415"/>
        <v>0</v>
      </c>
      <c r="AJ3781" s="2">
        <f t="shared" si="412"/>
        <v>30</v>
      </c>
      <c r="AK3781" s="5">
        <f t="shared" si="411"/>
        <v>0.6</v>
      </c>
    </row>
    <row r="3782" spans="1:37" x14ac:dyDescent="0.2">
      <c r="A3782" s="2">
        <v>2026</v>
      </c>
      <c r="B3782" s="2">
        <v>1</v>
      </c>
      <c r="C3782" s="2" t="s">
        <v>2349</v>
      </c>
      <c r="L3782" s="2" t="s">
        <v>40</v>
      </c>
      <c r="O3782" s="2" t="s">
        <v>188</v>
      </c>
      <c r="P3782" s="2" t="s">
        <v>192</v>
      </c>
      <c r="Q3782" s="2" t="s">
        <v>191</v>
      </c>
      <c r="R3782" s="2">
        <v>1</v>
      </c>
      <c r="S3782" s="2">
        <v>50</v>
      </c>
      <c r="T3782" s="2">
        <v>11.5</v>
      </c>
      <c r="U3782" s="2">
        <v>61.5</v>
      </c>
      <c r="V3782" s="2">
        <f>S3782*50%</f>
        <v>25</v>
      </c>
      <c r="W3782" s="5">
        <f t="shared" si="416"/>
        <v>0.5</v>
      </c>
      <c r="Y3782" s="2" t="s">
        <v>118</v>
      </c>
      <c r="Z3782" s="2" t="s">
        <v>191</v>
      </c>
      <c r="AE3782" s="2">
        <f t="shared" si="414"/>
        <v>0</v>
      </c>
      <c r="AF3782" s="2">
        <f t="shared" si="410"/>
        <v>25</v>
      </c>
      <c r="AI3782" s="2">
        <f t="shared" si="415"/>
        <v>0</v>
      </c>
      <c r="AJ3782" s="2">
        <f t="shared" si="412"/>
        <v>25</v>
      </c>
      <c r="AK3782" s="5">
        <f t="shared" si="411"/>
        <v>0.5</v>
      </c>
    </row>
    <row r="3783" spans="1:37" x14ac:dyDescent="0.2">
      <c r="A3783" s="2">
        <v>2026</v>
      </c>
      <c r="B3783" s="2">
        <v>2</v>
      </c>
      <c r="C3783" s="2" t="s">
        <v>2349</v>
      </c>
      <c r="L3783" s="2" t="s">
        <v>40</v>
      </c>
      <c r="O3783" s="2" t="s">
        <v>188</v>
      </c>
      <c r="P3783" s="2" t="s">
        <v>189</v>
      </c>
      <c r="Q3783" s="2" t="s">
        <v>190</v>
      </c>
      <c r="R3783" s="2">
        <v>-1</v>
      </c>
      <c r="S3783" s="2">
        <v>-50</v>
      </c>
      <c r="T3783" s="2">
        <v>-11.5</v>
      </c>
      <c r="U3783" s="2">
        <v>-61.5</v>
      </c>
      <c r="Y3783" s="2" t="s">
        <v>118</v>
      </c>
      <c r="Z3783" s="2" t="s">
        <v>191</v>
      </c>
      <c r="AE3783" s="2">
        <f t="shared" si="414"/>
        <v>0</v>
      </c>
      <c r="AF3783" s="2">
        <f t="shared" si="410"/>
        <v>0</v>
      </c>
      <c r="AI3783" s="2">
        <f t="shared" si="415"/>
        <v>0</v>
      </c>
      <c r="AJ3783" s="2">
        <f t="shared" si="412"/>
        <v>-50</v>
      </c>
      <c r="AK3783" s="5">
        <f t="shared" si="411"/>
        <v>1</v>
      </c>
    </row>
    <row r="3784" spans="1:37" x14ac:dyDescent="0.2">
      <c r="A3784" s="2">
        <v>2026</v>
      </c>
      <c r="B3784" s="2">
        <v>3</v>
      </c>
      <c r="C3784" s="2" t="s">
        <v>2874</v>
      </c>
      <c r="L3784" s="2" t="s">
        <v>81</v>
      </c>
      <c r="O3784" s="2" t="s">
        <v>170</v>
      </c>
      <c r="P3784" s="2" t="s">
        <v>171</v>
      </c>
      <c r="Q3784" s="2" t="s">
        <v>171</v>
      </c>
      <c r="R3784" s="2">
        <v>1</v>
      </c>
      <c r="S3784" s="2">
        <v>8</v>
      </c>
      <c r="T3784" s="2">
        <v>1.84</v>
      </c>
      <c r="U3784" s="2">
        <v>9.84</v>
      </c>
      <c r="W3784" s="5">
        <f t="shared" si="416"/>
        <v>1</v>
      </c>
      <c r="Y3784" s="2" t="s">
        <v>170</v>
      </c>
      <c r="Z3784" s="2" t="s">
        <v>170</v>
      </c>
      <c r="AE3784" s="2">
        <f t="shared" si="414"/>
        <v>0</v>
      </c>
      <c r="AI3784" s="2">
        <f t="shared" si="415"/>
        <v>0</v>
      </c>
      <c r="AJ3784" s="2">
        <f t="shared" si="412"/>
        <v>8</v>
      </c>
      <c r="AK3784" s="5">
        <f t="shared" si="411"/>
        <v>1</v>
      </c>
    </row>
    <row r="3785" spans="1:37" x14ac:dyDescent="0.2">
      <c r="A3785" s="2">
        <v>2026</v>
      </c>
      <c r="B3785" s="2">
        <v>2</v>
      </c>
      <c r="C3785" s="2" t="s">
        <v>2349</v>
      </c>
      <c r="L3785" s="2" t="s">
        <v>40</v>
      </c>
      <c r="O3785" s="2" t="s">
        <v>188</v>
      </c>
      <c r="P3785" s="2" t="s">
        <v>192</v>
      </c>
      <c r="Q3785" s="2" t="s">
        <v>191</v>
      </c>
      <c r="R3785" s="2">
        <v>-1</v>
      </c>
      <c r="S3785" s="2">
        <v>-50</v>
      </c>
      <c r="T3785" s="2">
        <v>-11.5</v>
      </c>
      <c r="U3785" s="2">
        <v>-61.5</v>
      </c>
      <c r="W3785" s="5">
        <f t="shared" si="416"/>
        <v>1</v>
      </c>
      <c r="Y3785" s="2" t="s">
        <v>118</v>
      </c>
      <c r="Z3785" s="2" t="s">
        <v>191</v>
      </c>
      <c r="AE3785" s="2">
        <f t="shared" si="414"/>
        <v>0</v>
      </c>
      <c r="AF3785" s="2">
        <f t="shared" ref="AF3785:AF3809" si="417">V3785</f>
        <v>0</v>
      </c>
      <c r="AI3785" s="2">
        <f t="shared" si="415"/>
        <v>0</v>
      </c>
      <c r="AJ3785" s="2">
        <f t="shared" si="412"/>
        <v>-50</v>
      </c>
      <c r="AK3785" s="5">
        <f t="shared" si="411"/>
        <v>1</v>
      </c>
    </row>
    <row r="3786" spans="1:37" x14ac:dyDescent="0.2">
      <c r="A3786" s="2">
        <v>2026</v>
      </c>
      <c r="B3786" s="2">
        <v>2</v>
      </c>
      <c r="C3786" s="2" t="s">
        <v>2504</v>
      </c>
      <c r="L3786" s="2" t="s">
        <v>40</v>
      </c>
      <c r="O3786" s="2" t="s">
        <v>188</v>
      </c>
      <c r="P3786" s="2" t="s">
        <v>189</v>
      </c>
      <c r="Q3786" s="2" t="s">
        <v>190</v>
      </c>
      <c r="R3786" s="2">
        <v>1</v>
      </c>
      <c r="S3786" s="2">
        <v>50</v>
      </c>
      <c r="T3786" s="2">
        <v>11.5</v>
      </c>
      <c r="U3786" s="2">
        <v>61.5</v>
      </c>
      <c r="V3786" s="2">
        <f>S3786*40%</f>
        <v>20</v>
      </c>
      <c r="W3786" s="5">
        <f t="shared" si="416"/>
        <v>0.6</v>
      </c>
      <c r="Y3786" s="2" t="s">
        <v>118</v>
      </c>
      <c r="Z3786" s="2" t="s">
        <v>191</v>
      </c>
      <c r="AE3786" s="2">
        <f t="shared" si="414"/>
        <v>0</v>
      </c>
      <c r="AF3786" s="2">
        <f t="shared" si="417"/>
        <v>20</v>
      </c>
      <c r="AI3786" s="2">
        <f t="shared" si="415"/>
        <v>0</v>
      </c>
      <c r="AJ3786" s="2">
        <f t="shared" si="412"/>
        <v>30</v>
      </c>
      <c r="AK3786" s="5">
        <f t="shared" si="411"/>
        <v>0.6</v>
      </c>
    </row>
    <row r="3787" spans="1:37" x14ac:dyDescent="0.2">
      <c r="A3787" s="2">
        <v>2026</v>
      </c>
      <c r="B3787" s="2">
        <v>2</v>
      </c>
      <c r="C3787" s="2" t="s">
        <v>2504</v>
      </c>
      <c r="L3787" s="2" t="s">
        <v>40</v>
      </c>
      <c r="O3787" s="2" t="s">
        <v>188</v>
      </c>
      <c r="P3787" s="2" t="s">
        <v>192</v>
      </c>
      <c r="Q3787" s="2" t="s">
        <v>191</v>
      </c>
      <c r="R3787" s="2">
        <v>1</v>
      </c>
      <c r="S3787" s="2">
        <v>50</v>
      </c>
      <c r="T3787" s="2">
        <v>11.5</v>
      </c>
      <c r="U3787" s="2">
        <v>61.5</v>
      </c>
      <c r="V3787" s="2">
        <f>S3787*50%</f>
        <v>25</v>
      </c>
      <c r="W3787" s="5">
        <f t="shared" si="416"/>
        <v>0.5</v>
      </c>
      <c r="Y3787" s="2" t="s">
        <v>118</v>
      </c>
      <c r="Z3787" s="2" t="s">
        <v>191</v>
      </c>
      <c r="AE3787" s="2">
        <f t="shared" si="414"/>
        <v>0</v>
      </c>
      <c r="AF3787" s="2">
        <f t="shared" si="417"/>
        <v>25</v>
      </c>
      <c r="AI3787" s="2">
        <f t="shared" si="415"/>
        <v>0</v>
      </c>
      <c r="AJ3787" s="2">
        <f t="shared" si="412"/>
        <v>25</v>
      </c>
      <c r="AK3787" s="5">
        <f t="shared" si="411"/>
        <v>0.5</v>
      </c>
    </row>
    <row r="3788" spans="1:37" x14ac:dyDescent="0.2">
      <c r="A3788" s="2">
        <v>2026</v>
      </c>
      <c r="B3788" s="2">
        <v>4</v>
      </c>
      <c r="C3788" s="2" t="s">
        <v>2803</v>
      </c>
      <c r="L3788" s="2" t="s">
        <v>40</v>
      </c>
      <c r="O3788" s="2" t="s">
        <v>188</v>
      </c>
      <c r="P3788" s="2" t="s">
        <v>189</v>
      </c>
      <c r="Q3788" s="2" t="s">
        <v>190</v>
      </c>
      <c r="R3788" s="2">
        <v>1</v>
      </c>
      <c r="S3788" s="2">
        <v>55</v>
      </c>
      <c r="T3788" s="2">
        <v>12.65</v>
      </c>
      <c r="U3788" s="2">
        <v>67.650000000000006</v>
      </c>
      <c r="V3788" s="2">
        <f>S3788*40%</f>
        <v>22</v>
      </c>
      <c r="W3788" s="5">
        <f t="shared" si="416"/>
        <v>0.6</v>
      </c>
      <c r="Y3788" s="2" t="s">
        <v>118</v>
      </c>
      <c r="Z3788" s="2" t="s">
        <v>191</v>
      </c>
      <c r="AE3788" s="2">
        <f t="shared" si="414"/>
        <v>0</v>
      </c>
      <c r="AF3788" s="2">
        <f t="shared" si="417"/>
        <v>22</v>
      </c>
      <c r="AI3788" s="2">
        <f t="shared" si="415"/>
        <v>0</v>
      </c>
      <c r="AJ3788" s="2">
        <f t="shared" si="412"/>
        <v>33</v>
      </c>
      <c r="AK3788" s="5">
        <f t="shared" si="411"/>
        <v>0.6</v>
      </c>
    </row>
    <row r="3789" spans="1:37" x14ac:dyDescent="0.2">
      <c r="A3789" s="2">
        <v>2026</v>
      </c>
      <c r="B3789" s="2">
        <v>4</v>
      </c>
      <c r="C3789" s="2" t="s">
        <v>2803</v>
      </c>
      <c r="L3789" s="2" t="s">
        <v>40</v>
      </c>
      <c r="O3789" s="2" t="s">
        <v>188</v>
      </c>
      <c r="P3789" s="2" t="s">
        <v>192</v>
      </c>
      <c r="Q3789" s="2" t="s">
        <v>191</v>
      </c>
      <c r="R3789" s="2">
        <v>1</v>
      </c>
      <c r="S3789" s="2">
        <v>55</v>
      </c>
      <c r="T3789" s="2">
        <v>12.65</v>
      </c>
      <c r="U3789" s="2">
        <v>67.650000000000006</v>
      </c>
      <c r="V3789" s="2">
        <f>S3789*50%</f>
        <v>27.5</v>
      </c>
      <c r="W3789" s="5">
        <f t="shared" si="416"/>
        <v>0.5</v>
      </c>
      <c r="Y3789" s="2" t="s">
        <v>118</v>
      </c>
      <c r="Z3789" s="2" t="s">
        <v>191</v>
      </c>
      <c r="AE3789" s="2">
        <f t="shared" si="414"/>
        <v>0</v>
      </c>
      <c r="AF3789" s="2">
        <f t="shared" si="417"/>
        <v>27.5</v>
      </c>
      <c r="AI3789" s="2">
        <f t="shared" si="415"/>
        <v>0</v>
      </c>
      <c r="AJ3789" s="2">
        <f t="shared" si="412"/>
        <v>27.5</v>
      </c>
      <c r="AK3789" s="5">
        <f t="shared" si="411"/>
        <v>0.5</v>
      </c>
    </row>
    <row r="3790" spans="1:37" x14ac:dyDescent="0.2">
      <c r="A3790" s="2">
        <v>2026</v>
      </c>
      <c r="B3790" s="2">
        <v>4</v>
      </c>
      <c r="C3790" s="2" t="s">
        <v>2305</v>
      </c>
      <c r="L3790" s="2" t="s">
        <v>40</v>
      </c>
      <c r="O3790" s="2" t="s">
        <v>188</v>
      </c>
      <c r="P3790" s="2" t="s">
        <v>189</v>
      </c>
      <c r="Q3790" s="2" t="s">
        <v>190</v>
      </c>
      <c r="R3790" s="2">
        <v>1</v>
      </c>
      <c r="S3790" s="2">
        <v>83</v>
      </c>
      <c r="T3790" s="2">
        <v>19.09</v>
      </c>
      <c r="U3790" s="2">
        <v>102.09</v>
      </c>
      <c r="V3790" s="2">
        <f>S3790*40%</f>
        <v>33.200000000000003</v>
      </c>
      <c r="W3790" s="5">
        <f t="shared" si="416"/>
        <v>0.6</v>
      </c>
      <c r="Y3790" s="2" t="s">
        <v>118</v>
      </c>
      <c r="Z3790" s="2" t="s">
        <v>191</v>
      </c>
      <c r="AE3790" s="2">
        <f t="shared" si="414"/>
        <v>0</v>
      </c>
      <c r="AF3790" s="2">
        <f t="shared" si="417"/>
        <v>33.200000000000003</v>
      </c>
      <c r="AI3790" s="2">
        <f t="shared" si="415"/>
        <v>0</v>
      </c>
      <c r="AJ3790" s="2">
        <f t="shared" si="412"/>
        <v>49.8</v>
      </c>
      <c r="AK3790" s="5">
        <f t="shared" si="411"/>
        <v>0.6</v>
      </c>
    </row>
    <row r="3791" spans="1:37" x14ac:dyDescent="0.2">
      <c r="A3791" s="2">
        <v>2026</v>
      </c>
      <c r="B3791" s="2">
        <v>4</v>
      </c>
      <c r="C3791" s="2" t="s">
        <v>2305</v>
      </c>
      <c r="L3791" s="2" t="s">
        <v>40</v>
      </c>
      <c r="O3791" s="2" t="s">
        <v>188</v>
      </c>
      <c r="P3791" s="2" t="s">
        <v>192</v>
      </c>
      <c r="Q3791" s="2" t="s">
        <v>191</v>
      </c>
      <c r="R3791" s="2">
        <v>0.75</v>
      </c>
      <c r="S3791" s="2">
        <v>41.25</v>
      </c>
      <c r="T3791" s="2">
        <v>9.4875000000000007</v>
      </c>
      <c r="U3791" s="2">
        <v>50.737499999999997</v>
      </c>
      <c r="V3791" s="2">
        <f>S3791*50%</f>
        <v>20.625</v>
      </c>
      <c r="W3791" s="5">
        <f t="shared" si="416"/>
        <v>0.5</v>
      </c>
      <c r="Y3791" s="2" t="s">
        <v>118</v>
      </c>
      <c r="Z3791" s="2" t="s">
        <v>191</v>
      </c>
      <c r="AE3791" s="2">
        <f t="shared" si="414"/>
        <v>0</v>
      </c>
      <c r="AF3791" s="2">
        <f t="shared" si="417"/>
        <v>20.625</v>
      </c>
      <c r="AI3791" s="2">
        <f t="shared" si="415"/>
        <v>0</v>
      </c>
      <c r="AJ3791" s="2">
        <f t="shared" si="412"/>
        <v>20.625</v>
      </c>
      <c r="AK3791" s="5">
        <f t="shared" si="411"/>
        <v>0.5</v>
      </c>
    </row>
    <row r="3792" spans="1:37" x14ac:dyDescent="0.2">
      <c r="A3792" s="2">
        <v>2026</v>
      </c>
      <c r="B3792" s="2">
        <v>3</v>
      </c>
      <c r="C3792" s="2" t="s">
        <v>913</v>
      </c>
      <c r="L3792" s="2" t="s">
        <v>40</v>
      </c>
      <c r="O3792" s="2" t="s">
        <v>188</v>
      </c>
      <c r="P3792" s="2" t="s">
        <v>189</v>
      </c>
      <c r="Q3792" s="2" t="s">
        <v>190</v>
      </c>
      <c r="R3792" s="2">
        <v>1</v>
      </c>
      <c r="S3792" s="2">
        <v>63</v>
      </c>
      <c r="T3792" s="2">
        <v>14.49</v>
      </c>
      <c r="U3792" s="2">
        <v>77.489999999999995</v>
      </c>
      <c r="V3792" s="2">
        <f>S3792*40%</f>
        <v>25.200000000000003</v>
      </c>
      <c r="W3792" s="5">
        <f t="shared" si="416"/>
        <v>0.6</v>
      </c>
      <c r="Y3792" s="2" t="s">
        <v>118</v>
      </c>
      <c r="Z3792" s="2" t="s">
        <v>191</v>
      </c>
      <c r="AE3792" s="2">
        <f t="shared" si="414"/>
        <v>0</v>
      </c>
      <c r="AF3792" s="2">
        <f t="shared" si="417"/>
        <v>25.200000000000003</v>
      </c>
      <c r="AI3792" s="2">
        <f t="shared" si="415"/>
        <v>0</v>
      </c>
      <c r="AJ3792" s="2">
        <f t="shared" si="412"/>
        <v>37.799999999999997</v>
      </c>
      <c r="AK3792" s="5">
        <f t="shared" si="411"/>
        <v>0.6</v>
      </c>
    </row>
    <row r="3793" spans="1:37" x14ac:dyDescent="0.2">
      <c r="A3793" s="2">
        <v>2026</v>
      </c>
      <c r="B3793" s="2">
        <v>3</v>
      </c>
      <c r="C3793" s="2" t="s">
        <v>913</v>
      </c>
      <c r="L3793" s="2" t="s">
        <v>40</v>
      </c>
      <c r="O3793" s="2" t="s">
        <v>188</v>
      </c>
      <c r="P3793" s="2" t="s">
        <v>192</v>
      </c>
      <c r="Q3793" s="2" t="s">
        <v>191</v>
      </c>
      <c r="R3793" s="2">
        <v>1</v>
      </c>
      <c r="S3793" s="2">
        <v>0</v>
      </c>
      <c r="T3793" s="2">
        <v>0</v>
      </c>
      <c r="U3793" s="2">
        <v>0</v>
      </c>
      <c r="V3793" s="2">
        <f>S3793*50%</f>
        <v>0</v>
      </c>
      <c r="W3793" s="5">
        <v>0</v>
      </c>
      <c r="Y3793" s="2" t="s">
        <v>118</v>
      </c>
      <c r="Z3793" s="2" t="s">
        <v>191</v>
      </c>
      <c r="AE3793" s="2">
        <f t="shared" si="414"/>
        <v>0</v>
      </c>
      <c r="AF3793" s="2">
        <f t="shared" si="417"/>
        <v>0</v>
      </c>
      <c r="AI3793" s="2">
        <f t="shared" si="415"/>
        <v>0</v>
      </c>
      <c r="AJ3793" s="2">
        <f t="shared" si="412"/>
        <v>0</v>
      </c>
      <c r="AK3793" s="5" t="e">
        <f t="shared" si="411"/>
        <v>#DIV/0!</v>
      </c>
    </row>
    <row r="3794" spans="1:37" x14ac:dyDescent="0.2">
      <c r="A3794" s="2">
        <v>2026</v>
      </c>
      <c r="B3794" s="2">
        <v>1</v>
      </c>
      <c r="C3794" s="2" t="s">
        <v>1677</v>
      </c>
      <c r="L3794" s="2" t="s">
        <v>40</v>
      </c>
      <c r="O3794" s="2" t="s">
        <v>188</v>
      </c>
      <c r="P3794" s="2" t="s">
        <v>189</v>
      </c>
      <c r="Q3794" s="2" t="s">
        <v>190</v>
      </c>
      <c r="R3794" s="2">
        <v>2</v>
      </c>
      <c r="S3794" s="2">
        <v>572</v>
      </c>
      <c r="T3794" s="2">
        <v>131.56</v>
      </c>
      <c r="U3794" s="2">
        <v>703.56</v>
      </c>
      <c r="V3794" s="2">
        <f>S3794*40%</f>
        <v>228.8</v>
      </c>
      <c r="W3794" s="5">
        <f t="shared" ref="W3794:W3825" si="418">(S3794-V3794)/S3794</f>
        <v>0.6</v>
      </c>
      <c r="Y3794" s="2" t="s">
        <v>118</v>
      </c>
      <c r="Z3794" s="2" t="s">
        <v>191</v>
      </c>
      <c r="AE3794" s="2">
        <f t="shared" si="414"/>
        <v>0</v>
      </c>
      <c r="AF3794" s="2">
        <f t="shared" si="417"/>
        <v>228.8</v>
      </c>
      <c r="AI3794" s="2">
        <f t="shared" si="415"/>
        <v>0</v>
      </c>
      <c r="AJ3794" s="2">
        <f t="shared" si="412"/>
        <v>343.2</v>
      </c>
      <c r="AK3794" s="5">
        <f t="shared" si="411"/>
        <v>0.6</v>
      </c>
    </row>
    <row r="3795" spans="1:37" x14ac:dyDescent="0.2">
      <c r="A3795" s="2">
        <v>2026</v>
      </c>
      <c r="B3795" s="2">
        <v>1</v>
      </c>
      <c r="C3795" s="2" t="s">
        <v>1677</v>
      </c>
      <c r="L3795" s="2" t="s">
        <v>40</v>
      </c>
      <c r="O3795" s="2" t="s">
        <v>188</v>
      </c>
      <c r="P3795" s="2" t="s">
        <v>192</v>
      </c>
      <c r="Q3795" s="2" t="s">
        <v>191</v>
      </c>
      <c r="R3795" s="2">
        <v>2</v>
      </c>
      <c r="S3795" s="2">
        <v>100</v>
      </c>
      <c r="T3795" s="2">
        <v>23</v>
      </c>
      <c r="U3795" s="2">
        <v>123</v>
      </c>
      <c r="V3795" s="2">
        <f>S3795*50%</f>
        <v>50</v>
      </c>
      <c r="W3795" s="5">
        <f t="shared" si="418"/>
        <v>0.5</v>
      </c>
      <c r="Y3795" s="2" t="s">
        <v>118</v>
      </c>
      <c r="Z3795" s="2" t="s">
        <v>191</v>
      </c>
      <c r="AE3795" s="2">
        <f t="shared" si="414"/>
        <v>0</v>
      </c>
      <c r="AF3795" s="2">
        <f t="shared" si="417"/>
        <v>50</v>
      </c>
      <c r="AI3795" s="2">
        <f t="shared" si="415"/>
        <v>0</v>
      </c>
      <c r="AJ3795" s="2">
        <f t="shared" si="412"/>
        <v>50</v>
      </c>
      <c r="AK3795" s="5">
        <f t="shared" si="411"/>
        <v>0.5</v>
      </c>
    </row>
    <row r="3796" spans="1:37" x14ac:dyDescent="0.2">
      <c r="A3796" s="2">
        <v>2026</v>
      </c>
      <c r="B3796" s="2">
        <v>3</v>
      </c>
      <c r="C3796" s="2" t="s">
        <v>1677</v>
      </c>
      <c r="L3796" s="2" t="s">
        <v>40</v>
      </c>
      <c r="O3796" s="2" t="s">
        <v>188</v>
      </c>
      <c r="P3796" s="2" t="s">
        <v>189</v>
      </c>
      <c r="Q3796" s="2" t="s">
        <v>190</v>
      </c>
      <c r="R3796" s="2">
        <v>-1</v>
      </c>
      <c r="S3796" s="2">
        <v>-286</v>
      </c>
      <c r="T3796" s="2">
        <v>-65.78</v>
      </c>
      <c r="U3796" s="2">
        <v>-351.78</v>
      </c>
      <c r="W3796" s="5">
        <f t="shared" si="418"/>
        <v>1</v>
      </c>
      <c r="Y3796" s="2" t="s">
        <v>118</v>
      </c>
      <c r="Z3796" s="2" t="s">
        <v>191</v>
      </c>
      <c r="AE3796" s="2">
        <f t="shared" si="414"/>
        <v>0</v>
      </c>
      <c r="AF3796" s="2">
        <f t="shared" si="417"/>
        <v>0</v>
      </c>
      <c r="AI3796" s="2">
        <f t="shared" si="415"/>
        <v>0</v>
      </c>
      <c r="AJ3796" s="2">
        <f t="shared" si="412"/>
        <v>-286</v>
      </c>
      <c r="AK3796" s="5">
        <f t="shared" si="411"/>
        <v>1</v>
      </c>
    </row>
    <row r="3797" spans="1:37" x14ac:dyDescent="0.2">
      <c r="A3797" s="2">
        <v>2026</v>
      </c>
      <c r="B3797" s="2">
        <v>3</v>
      </c>
      <c r="C3797" s="2" t="s">
        <v>1677</v>
      </c>
      <c r="L3797" s="2" t="s">
        <v>40</v>
      </c>
      <c r="O3797" s="2" t="s">
        <v>188</v>
      </c>
      <c r="P3797" s="2" t="s">
        <v>192</v>
      </c>
      <c r="Q3797" s="2" t="s">
        <v>191</v>
      </c>
      <c r="R3797" s="2">
        <v>-1</v>
      </c>
      <c r="S3797" s="2">
        <v>-50</v>
      </c>
      <c r="T3797" s="2">
        <v>-11.5</v>
      </c>
      <c r="U3797" s="2">
        <v>-61.5</v>
      </c>
      <c r="W3797" s="5">
        <f t="shared" si="418"/>
        <v>1</v>
      </c>
      <c r="Y3797" s="2" t="s">
        <v>118</v>
      </c>
      <c r="Z3797" s="2" t="s">
        <v>191</v>
      </c>
      <c r="AE3797" s="2">
        <f t="shared" si="414"/>
        <v>0</v>
      </c>
      <c r="AF3797" s="2">
        <f t="shared" si="417"/>
        <v>0</v>
      </c>
      <c r="AI3797" s="2">
        <f t="shared" si="415"/>
        <v>0</v>
      </c>
      <c r="AJ3797" s="2">
        <f t="shared" si="412"/>
        <v>-50</v>
      </c>
      <c r="AK3797" s="5">
        <f t="shared" ref="AK3797:AK3828" si="419">(S3797-V3797)/S3797</f>
        <v>1</v>
      </c>
    </row>
    <row r="3798" spans="1:37" x14ac:dyDescent="0.2">
      <c r="A3798" s="2">
        <v>2026</v>
      </c>
      <c r="B3798" s="2">
        <v>3</v>
      </c>
      <c r="C3798" s="2" t="s">
        <v>2646</v>
      </c>
      <c r="L3798" s="2" t="s">
        <v>40</v>
      </c>
      <c r="O3798" s="2" t="s">
        <v>188</v>
      </c>
      <c r="P3798" s="2" t="s">
        <v>189</v>
      </c>
      <c r="Q3798" s="2" t="s">
        <v>190</v>
      </c>
      <c r="R3798" s="2">
        <v>1</v>
      </c>
      <c r="S3798" s="2">
        <v>178</v>
      </c>
      <c r="T3798" s="2">
        <v>40.94</v>
      </c>
      <c r="U3798" s="2">
        <v>218.94</v>
      </c>
      <c r="V3798" s="2">
        <f>S3798*40%</f>
        <v>71.2</v>
      </c>
      <c r="W3798" s="5">
        <f t="shared" si="418"/>
        <v>0.6</v>
      </c>
      <c r="Y3798" s="2" t="s">
        <v>118</v>
      </c>
      <c r="Z3798" s="2" t="s">
        <v>191</v>
      </c>
      <c r="AE3798" s="2">
        <f t="shared" si="414"/>
        <v>0</v>
      </c>
      <c r="AF3798" s="2">
        <f t="shared" si="417"/>
        <v>71.2</v>
      </c>
      <c r="AI3798" s="2">
        <f t="shared" si="415"/>
        <v>0</v>
      </c>
      <c r="AJ3798" s="2">
        <f t="shared" si="412"/>
        <v>106.8</v>
      </c>
      <c r="AK3798" s="5">
        <f t="shared" si="419"/>
        <v>0.6</v>
      </c>
    </row>
    <row r="3799" spans="1:37" x14ac:dyDescent="0.2">
      <c r="A3799" s="2">
        <v>2026</v>
      </c>
      <c r="B3799" s="2">
        <v>3</v>
      </c>
      <c r="C3799" s="2" t="s">
        <v>2646</v>
      </c>
      <c r="L3799" s="2" t="s">
        <v>40</v>
      </c>
      <c r="O3799" s="2" t="s">
        <v>188</v>
      </c>
      <c r="P3799" s="2" t="s">
        <v>192</v>
      </c>
      <c r="Q3799" s="2" t="s">
        <v>191</v>
      </c>
      <c r="R3799" s="2">
        <v>1.5</v>
      </c>
      <c r="S3799" s="2">
        <v>82.5</v>
      </c>
      <c r="T3799" s="2">
        <v>18.975000000000001</v>
      </c>
      <c r="U3799" s="2">
        <v>101.47499999999999</v>
      </c>
      <c r="V3799" s="2">
        <f>S3799*50%</f>
        <v>41.25</v>
      </c>
      <c r="W3799" s="5">
        <f t="shared" si="418"/>
        <v>0.5</v>
      </c>
      <c r="Y3799" s="2" t="s">
        <v>118</v>
      </c>
      <c r="Z3799" s="2" t="s">
        <v>191</v>
      </c>
      <c r="AE3799" s="2">
        <f t="shared" si="414"/>
        <v>0</v>
      </c>
      <c r="AF3799" s="2">
        <f t="shared" si="417"/>
        <v>41.25</v>
      </c>
      <c r="AI3799" s="2">
        <f t="shared" si="415"/>
        <v>0</v>
      </c>
      <c r="AJ3799" s="2">
        <f t="shared" si="412"/>
        <v>41.25</v>
      </c>
      <c r="AK3799" s="5">
        <f t="shared" si="419"/>
        <v>0.5</v>
      </c>
    </row>
    <row r="3800" spans="1:37" x14ac:dyDescent="0.2">
      <c r="A3800" s="2">
        <v>2026</v>
      </c>
      <c r="B3800" s="2">
        <v>2</v>
      </c>
      <c r="C3800" s="2" t="s">
        <v>2513</v>
      </c>
      <c r="L3800" s="2" t="s">
        <v>40</v>
      </c>
      <c r="O3800" s="2" t="s">
        <v>188</v>
      </c>
      <c r="P3800" s="2" t="s">
        <v>189</v>
      </c>
      <c r="Q3800" s="2" t="s">
        <v>190</v>
      </c>
      <c r="R3800" s="2">
        <v>1</v>
      </c>
      <c r="S3800" s="2">
        <v>55</v>
      </c>
      <c r="T3800" s="2">
        <v>12.65</v>
      </c>
      <c r="U3800" s="2">
        <v>67.650000000000006</v>
      </c>
      <c r="V3800" s="2">
        <f>S3800*40%</f>
        <v>22</v>
      </c>
      <c r="W3800" s="5">
        <f t="shared" si="418"/>
        <v>0.6</v>
      </c>
      <c r="Y3800" s="2" t="s">
        <v>118</v>
      </c>
      <c r="Z3800" s="2" t="s">
        <v>191</v>
      </c>
      <c r="AE3800" s="2">
        <f t="shared" si="414"/>
        <v>0</v>
      </c>
      <c r="AF3800" s="2">
        <f t="shared" si="417"/>
        <v>22</v>
      </c>
      <c r="AI3800" s="2">
        <f t="shared" si="415"/>
        <v>0</v>
      </c>
      <c r="AJ3800" s="2">
        <f t="shared" si="412"/>
        <v>33</v>
      </c>
      <c r="AK3800" s="5">
        <f t="shared" si="419"/>
        <v>0.6</v>
      </c>
    </row>
    <row r="3801" spans="1:37" x14ac:dyDescent="0.2">
      <c r="A3801" s="2">
        <v>2026</v>
      </c>
      <c r="B3801" s="2">
        <v>2</v>
      </c>
      <c r="C3801" s="2" t="s">
        <v>2513</v>
      </c>
      <c r="L3801" s="2" t="s">
        <v>40</v>
      </c>
      <c r="O3801" s="2" t="s">
        <v>188</v>
      </c>
      <c r="P3801" s="2" t="s">
        <v>192</v>
      </c>
      <c r="Q3801" s="2" t="s">
        <v>191</v>
      </c>
      <c r="R3801" s="2">
        <v>1</v>
      </c>
      <c r="S3801" s="2">
        <v>55</v>
      </c>
      <c r="T3801" s="2">
        <v>12.65</v>
      </c>
      <c r="U3801" s="2">
        <v>67.650000000000006</v>
      </c>
      <c r="V3801" s="2">
        <f>S3801*50%</f>
        <v>27.5</v>
      </c>
      <c r="W3801" s="5">
        <f t="shared" si="418"/>
        <v>0.5</v>
      </c>
      <c r="Y3801" s="2" t="s">
        <v>118</v>
      </c>
      <c r="Z3801" s="2" t="s">
        <v>191</v>
      </c>
      <c r="AE3801" s="2">
        <f t="shared" si="414"/>
        <v>0</v>
      </c>
      <c r="AF3801" s="2">
        <f t="shared" si="417"/>
        <v>27.5</v>
      </c>
      <c r="AI3801" s="2">
        <f t="shared" si="415"/>
        <v>0</v>
      </c>
      <c r="AJ3801" s="2">
        <f t="shared" si="412"/>
        <v>27.5</v>
      </c>
      <c r="AK3801" s="5">
        <f t="shared" si="419"/>
        <v>0.5</v>
      </c>
    </row>
    <row r="3802" spans="1:37" x14ac:dyDescent="0.2">
      <c r="A3802" s="2">
        <v>2026</v>
      </c>
      <c r="B3802" s="2">
        <v>1</v>
      </c>
      <c r="C3802" s="2" t="s">
        <v>1451</v>
      </c>
      <c r="L3802" s="2" t="s">
        <v>40</v>
      </c>
      <c r="O3802" s="2" t="s">
        <v>188</v>
      </c>
      <c r="P3802" s="2" t="s">
        <v>189</v>
      </c>
      <c r="Q3802" s="2" t="s">
        <v>190</v>
      </c>
      <c r="R3802" s="2">
        <v>1</v>
      </c>
      <c r="S3802" s="2">
        <v>79</v>
      </c>
      <c r="T3802" s="2">
        <v>18.170000000000002</v>
      </c>
      <c r="U3802" s="2">
        <v>97.17</v>
      </c>
      <c r="V3802" s="2">
        <f>S3802*40%</f>
        <v>31.6</v>
      </c>
      <c r="W3802" s="5">
        <f t="shared" si="418"/>
        <v>0.6</v>
      </c>
      <c r="Y3802" s="2" t="s">
        <v>118</v>
      </c>
      <c r="Z3802" s="2" t="s">
        <v>191</v>
      </c>
      <c r="AE3802" s="2">
        <f t="shared" si="414"/>
        <v>0</v>
      </c>
      <c r="AF3802" s="2">
        <f t="shared" si="417"/>
        <v>31.6</v>
      </c>
      <c r="AI3802" s="2">
        <f t="shared" si="415"/>
        <v>0</v>
      </c>
      <c r="AJ3802" s="2">
        <f t="shared" si="412"/>
        <v>47.4</v>
      </c>
      <c r="AK3802" s="5">
        <f t="shared" si="419"/>
        <v>0.6</v>
      </c>
    </row>
    <row r="3803" spans="1:37" x14ac:dyDescent="0.2">
      <c r="A3803" s="2">
        <v>2026</v>
      </c>
      <c r="B3803" s="2">
        <v>1</v>
      </c>
      <c r="C3803" s="2" t="s">
        <v>1451</v>
      </c>
      <c r="L3803" s="2" t="s">
        <v>40</v>
      </c>
      <c r="O3803" s="2" t="s">
        <v>188</v>
      </c>
      <c r="P3803" s="2" t="s">
        <v>192</v>
      </c>
      <c r="Q3803" s="2" t="s">
        <v>191</v>
      </c>
      <c r="R3803" s="2">
        <v>2</v>
      </c>
      <c r="S3803" s="2">
        <v>100</v>
      </c>
      <c r="T3803" s="2">
        <v>23</v>
      </c>
      <c r="U3803" s="2">
        <v>123</v>
      </c>
      <c r="V3803" s="2">
        <f>S3803*50%</f>
        <v>50</v>
      </c>
      <c r="W3803" s="5">
        <f t="shared" si="418"/>
        <v>0.5</v>
      </c>
      <c r="Y3803" s="2" t="s">
        <v>118</v>
      </c>
      <c r="Z3803" s="2" t="s">
        <v>191</v>
      </c>
      <c r="AE3803" s="2">
        <f t="shared" si="414"/>
        <v>0</v>
      </c>
      <c r="AF3803" s="2">
        <f t="shared" si="417"/>
        <v>50</v>
      </c>
      <c r="AI3803" s="2">
        <f t="shared" si="415"/>
        <v>0</v>
      </c>
      <c r="AJ3803" s="2">
        <f t="shared" si="412"/>
        <v>50</v>
      </c>
      <c r="AK3803" s="5">
        <f t="shared" si="419"/>
        <v>0.5</v>
      </c>
    </row>
    <row r="3804" spans="1:37" x14ac:dyDescent="0.2">
      <c r="A3804" s="2">
        <v>2026</v>
      </c>
      <c r="B3804" s="2">
        <v>3</v>
      </c>
      <c r="C3804" s="2" t="s">
        <v>1451</v>
      </c>
      <c r="L3804" s="2" t="s">
        <v>40</v>
      </c>
      <c r="O3804" s="2" t="s">
        <v>188</v>
      </c>
      <c r="P3804" s="2" t="s">
        <v>189</v>
      </c>
      <c r="Q3804" s="2" t="s">
        <v>190</v>
      </c>
      <c r="R3804" s="2">
        <v>1</v>
      </c>
      <c r="S3804" s="2">
        <v>83</v>
      </c>
      <c r="T3804" s="2">
        <v>19.09</v>
      </c>
      <c r="U3804" s="2">
        <v>102.09</v>
      </c>
      <c r="V3804" s="2">
        <f>S3804*40%</f>
        <v>33.200000000000003</v>
      </c>
      <c r="W3804" s="5">
        <f t="shared" si="418"/>
        <v>0.6</v>
      </c>
      <c r="Y3804" s="2" t="s">
        <v>118</v>
      </c>
      <c r="Z3804" s="2" t="s">
        <v>191</v>
      </c>
      <c r="AE3804" s="2">
        <f t="shared" si="414"/>
        <v>0</v>
      </c>
      <c r="AF3804" s="2">
        <f t="shared" si="417"/>
        <v>33.200000000000003</v>
      </c>
      <c r="AI3804" s="2">
        <f t="shared" si="415"/>
        <v>0</v>
      </c>
      <c r="AJ3804" s="2">
        <f t="shared" si="412"/>
        <v>49.8</v>
      </c>
      <c r="AK3804" s="5">
        <f t="shared" si="419"/>
        <v>0.6</v>
      </c>
    </row>
    <row r="3805" spans="1:37" x14ac:dyDescent="0.2">
      <c r="A3805" s="2">
        <v>2026</v>
      </c>
      <c r="B3805" s="2">
        <v>3</v>
      </c>
      <c r="C3805" s="2" t="s">
        <v>1451</v>
      </c>
      <c r="L3805" s="2" t="s">
        <v>40</v>
      </c>
      <c r="O3805" s="2" t="s">
        <v>188</v>
      </c>
      <c r="P3805" s="2" t="s">
        <v>192</v>
      </c>
      <c r="Q3805" s="2" t="s">
        <v>191</v>
      </c>
      <c r="R3805" s="2">
        <v>1</v>
      </c>
      <c r="S3805" s="2">
        <v>55</v>
      </c>
      <c r="T3805" s="2">
        <v>12.65</v>
      </c>
      <c r="U3805" s="2">
        <v>67.650000000000006</v>
      </c>
      <c r="V3805" s="2">
        <f>S3805*50%</f>
        <v>27.5</v>
      </c>
      <c r="W3805" s="5">
        <f t="shared" si="418"/>
        <v>0.5</v>
      </c>
      <c r="Y3805" s="2" t="s">
        <v>118</v>
      </c>
      <c r="Z3805" s="2" t="s">
        <v>191</v>
      </c>
      <c r="AE3805" s="2">
        <f t="shared" si="414"/>
        <v>0</v>
      </c>
      <c r="AF3805" s="2">
        <f t="shared" si="417"/>
        <v>27.5</v>
      </c>
      <c r="AI3805" s="2">
        <f t="shared" si="415"/>
        <v>0</v>
      </c>
      <c r="AJ3805" s="2">
        <f t="shared" si="412"/>
        <v>27.5</v>
      </c>
      <c r="AK3805" s="5">
        <f t="shared" si="419"/>
        <v>0.5</v>
      </c>
    </row>
    <row r="3806" spans="1:37" x14ac:dyDescent="0.2">
      <c r="A3806" s="2">
        <v>2026</v>
      </c>
      <c r="B3806" s="2">
        <v>4</v>
      </c>
      <c r="C3806" s="2" t="s">
        <v>2819</v>
      </c>
      <c r="D3806" s="2" t="s">
        <v>109</v>
      </c>
      <c r="E3806" s="2" t="s">
        <v>39</v>
      </c>
      <c r="F3806" s="2">
        <v>505556995</v>
      </c>
      <c r="G3806" s="2" t="s">
        <v>40</v>
      </c>
      <c r="H3806" s="2" t="s">
        <v>2820</v>
      </c>
      <c r="I3806" s="2" t="s">
        <v>2821</v>
      </c>
      <c r="K3806" s="2" t="s">
        <v>202</v>
      </c>
      <c r="L3806" s="2" t="s">
        <v>40</v>
      </c>
      <c r="N3806" s="2" t="s">
        <v>2822</v>
      </c>
      <c r="O3806" s="2" t="s">
        <v>188</v>
      </c>
      <c r="P3806" s="2" t="s">
        <v>189</v>
      </c>
      <c r="Q3806" s="2" t="s">
        <v>190</v>
      </c>
      <c r="R3806" s="2">
        <v>1</v>
      </c>
      <c r="S3806" s="2">
        <v>61</v>
      </c>
      <c r="T3806" s="2">
        <v>14.03</v>
      </c>
      <c r="U3806" s="2">
        <v>75.03</v>
      </c>
      <c r="V3806" s="2">
        <f>S3806*40%</f>
        <v>24.400000000000002</v>
      </c>
      <c r="W3806" s="5">
        <f t="shared" si="418"/>
        <v>0.59999999999999987</v>
      </c>
      <c r="Y3806" s="2" t="s">
        <v>118</v>
      </c>
      <c r="Z3806" s="2" t="s">
        <v>191</v>
      </c>
      <c r="AE3806" s="2">
        <f t="shared" si="414"/>
        <v>0</v>
      </c>
      <c r="AF3806" s="2">
        <f t="shared" si="417"/>
        <v>24.400000000000002</v>
      </c>
      <c r="AI3806" s="2">
        <f t="shared" si="415"/>
        <v>0</v>
      </c>
      <c r="AJ3806" s="2">
        <f t="shared" si="412"/>
        <v>36.599999999999994</v>
      </c>
      <c r="AK3806" s="5">
        <f t="shared" si="419"/>
        <v>0.59999999999999987</v>
      </c>
    </row>
    <row r="3807" spans="1:37" x14ac:dyDescent="0.2">
      <c r="A3807" s="2">
        <v>2026</v>
      </c>
      <c r="B3807" s="2">
        <v>4</v>
      </c>
      <c r="C3807" s="2" t="s">
        <v>2819</v>
      </c>
      <c r="D3807" s="2" t="s">
        <v>109</v>
      </c>
      <c r="E3807" s="2" t="s">
        <v>39</v>
      </c>
      <c r="F3807" s="2">
        <v>505556995</v>
      </c>
      <c r="G3807" s="2" t="s">
        <v>40</v>
      </c>
      <c r="H3807" s="2" t="s">
        <v>2820</v>
      </c>
      <c r="I3807" s="2" t="s">
        <v>2821</v>
      </c>
      <c r="K3807" s="2" t="s">
        <v>202</v>
      </c>
      <c r="L3807" s="2" t="s">
        <v>40</v>
      </c>
      <c r="N3807" s="2" t="s">
        <v>2822</v>
      </c>
      <c r="O3807" s="2" t="s">
        <v>188</v>
      </c>
      <c r="P3807" s="2" t="s">
        <v>192</v>
      </c>
      <c r="Q3807" s="2" t="s">
        <v>191</v>
      </c>
      <c r="R3807" s="2">
        <v>1</v>
      </c>
      <c r="S3807" s="2">
        <v>55</v>
      </c>
      <c r="T3807" s="2">
        <v>12.65</v>
      </c>
      <c r="U3807" s="2">
        <v>67.650000000000006</v>
      </c>
      <c r="V3807" s="2">
        <f>S3807*50%</f>
        <v>27.5</v>
      </c>
      <c r="W3807" s="5">
        <f t="shared" si="418"/>
        <v>0.5</v>
      </c>
      <c r="Y3807" s="2" t="s">
        <v>118</v>
      </c>
      <c r="Z3807" s="2" t="s">
        <v>191</v>
      </c>
      <c r="AE3807" s="2">
        <f t="shared" si="414"/>
        <v>0</v>
      </c>
      <c r="AF3807" s="2">
        <f t="shared" si="417"/>
        <v>27.5</v>
      </c>
      <c r="AI3807" s="2">
        <f t="shared" si="415"/>
        <v>0</v>
      </c>
      <c r="AJ3807" s="2">
        <f t="shared" si="412"/>
        <v>27.5</v>
      </c>
      <c r="AK3807" s="5">
        <f t="shared" si="419"/>
        <v>0.5</v>
      </c>
    </row>
    <row r="3808" spans="1:37" x14ac:dyDescent="0.2">
      <c r="A3808" s="2">
        <v>2026</v>
      </c>
      <c r="B3808" s="2">
        <v>4</v>
      </c>
      <c r="C3808" s="2" t="s">
        <v>1133</v>
      </c>
      <c r="D3808" s="2" t="s">
        <v>109</v>
      </c>
      <c r="E3808" s="2" t="s">
        <v>39</v>
      </c>
      <c r="F3808" s="2">
        <v>515742279</v>
      </c>
      <c r="G3808" s="2" t="s">
        <v>41</v>
      </c>
      <c r="H3808" s="2" t="s">
        <v>2316</v>
      </c>
      <c r="I3808" s="2" t="s">
        <v>2317</v>
      </c>
      <c r="J3808" s="2">
        <v>965790183</v>
      </c>
      <c r="K3808" s="2" t="s">
        <v>178</v>
      </c>
      <c r="L3808" s="2" t="s">
        <v>40</v>
      </c>
      <c r="N3808" s="2" t="s">
        <v>2932</v>
      </c>
      <c r="O3808" s="2" t="s">
        <v>188</v>
      </c>
      <c r="P3808" s="2" t="s">
        <v>189</v>
      </c>
      <c r="Q3808" s="2" t="s">
        <v>190</v>
      </c>
      <c r="R3808" s="2">
        <v>1</v>
      </c>
      <c r="S3808" s="2">
        <v>67</v>
      </c>
      <c r="T3808" s="2">
        <v>15.41</v>
      </c>
      <c r="U3808" s="2">
        <v>82.41</v>
      </c>
      <c r="V3808" s="2">
        <f>S3808*40%</f>
        <v>26.8</v>
      </c>
      <c r="W3808" s="5">
        <f t="shared" si="418"/>
        <v>0.60000000000000009</v>
      </c>
      <c r="Y3808" s="2" t="s">
        <v>118</v>
      </c>
      <c r="Z3808" s="2" t="s">
        <v>191</v>
      </c>
      <c r="AE3808" s="2">
        <f t="shared" si="414"/>
        <v>0</v>
      </c>
      <c r="AF3808" s="2">
        <f t="shared" si="417"/>
        <v>26.8</v>
      </c>
      <c r="AI3808" s="2">
        <f t="shared" si="415"/>
        <v>0</v>
      </c>
      <c r="AJ3808" s="2">
        <f t="shared" si="412"/>
        <v>40.200000000000003</v>
      </c>
      <c r="AK3808" s="5">
        <f t="shared" si="419"/>
        <v>0.60000000000000009</v>
      </c>
    </row>
    <row r="3809" spans="1:37" x14ac:dyDescent="0.2">
      <c r="A3809" s="2">
        <v>2026</v>
      </c>
      <c r="B3809" s="2">
        <v>4</v>
      </c>
      <c r="C3809" s="2" t="s">
        <v>1133</v>
      </c>
      <c r="D3809" s="2" t="s">
        <v>109</v>
      </c>
      <c r="E3809" s="2" t="s">
        <v>39</v>
      </c>
      <c r="F3809" s="2">
        <v>515742279</v>
      </c>
      <c r="G3809" s="2" t="s">
        <v>41</v>
      </c>
      <c r="H3809" s="2" t="s">
        <v>2316</v>
      </c>
      <c r="I3809" s="2" t="s">
        <v>2317</v>
      </c>
      <c r="J3809" s="2">
        <v>965790183</v>
      </c>
      <c r="K3809" s="2" t="s">
        <v>178</v>
      </c>
      <c r="L3809" s="2" t="s">
        <v>40</v>
      </c>
      <c r="N3809" s="2" t="s">
        <v>2932</v>
      </c>
      <c r="O3809" s="2" t="s">
        <v>188</v>
      </c>
      <c r="P3809" s="2" t="s">
        <v>192</v>
      </c>
      <c r="Q3809" s="2" t="s">
        <v>191</v>
      </c>
      <c r="R3809" s="2">
        <v>1</v>
      </c>
      <c r="S3809" s="2">
        <v>55</v>
      </c>
      <c r="T3809" s="2">
        <v>12.65</v>
      </c>
      <c r="U3809" s="2">
        <v>67.650000000000006</v>
      </c>
      <c r="V3809" s="2">
        <f>S3809*50%</f>
        <v>27.5</v>
      </c>
      <c r="W3809" s="5">
        <f t="shared" si="418"/>
        <v>0.5</v>
      </c>
      <c r="Y3809" s="2" t="s">
        <v>118</v>
      </c>
      <c r="Z3809" s="2" t="s">
        <v>191</v>
      </c>
      <c r="AE3809" s="2">
        <f t="shared" si="414"/>
        <v>0</v>
      </c>
      <c r="AF3809" s="2">
        <f t="shared" si="417"/>
        <v>27.5</v>
      </c>
      <c r="AI3809" s="2">
        <f t="shared" si="415"/>
        <v>0</v>
      </c>
      <c r="AJ3809" s="2">
        <f t="shared" si="412"/>
        <v>27.5</v>
      </c>
      <c r="AK3809" s="5">
        <f t="shared" si="419"/>
        <v>0.5</v>
      </c>
    </row>
    <row r="3810" spans="1:37" x14ac:dyDescent="0.2">
      <c r="A3810" s="2">
        <v>2026</v>
      </c>
      <c r="B3810" s="2">
        <v>4</v>
      </c>
      <c r="C3810" s="2" t="s">
        <v>37</v>
      </c>
      <c r="D3810" s="2" t="s">
        <v>38</v>
      </c>
      <c r="E3810" s="2" t="s">
        <v>39</v>
      </c>
      <c r="G3810" s="2" t="s">
        <v>40</v>
      </c>
      <c r="O3810" s="2" t="s">
        <v>170</v>
      </c>
      <c r="P3810" s="2" t="s">
        <v>171</v>
      </c>
      <c r="Q3810" s="2" t="s">
        <v>171</v>
      </c>
      <c r="R3810" s="2">
        <v>1</v>
      </c>
      <c r="S3810" s="2">
        <v>120</v>
      </c>
      <c r="T3810" s="2">
        <v>27.6</v>
      </c>
      <c r="U3810" s="2">
        <v>147.6</v>
      </c>
      <c r="W3810" s="5">
        <f t="shared" si="418"/>
        <v>1</v>
      </c>
      <c r="Y3810" s="2" t="s">
        <v>170</v>
      </c>
      <c r="Z3810" s="2" t="s">
        <v>170</v>
      </c>
      <c r="AE3810" s="2">
        <f t="shared" si="414"/>
        <v>0</v>
      </c>
      <c r="AI3810" s="2">
        <f t="shared" si="415"/>
        <v>0</v>
      </c>
      <c r="AJ3810" s="2">
        <f t="shared" si="412"/>
        <v>120</v>
      </c>
      <c r="AK3810" s="5">
        <f t="shared" si="419"/>
        <v>1</v>
      </c>
    </row>
    <row r="3811" spans="1:37" x14ac:dyDescent="0.2">
      <c r="A3811" s="2">
        <v>2026</v>
      </c>
      <c r="B3811" s="2">
        <v>4</v>
      </c>
      <c r="C3811" s="2" t="s">
        <v>393</v>
      </c>
      <c r="D3811" s="2" t="s">
        <v>38</v>
      </c>
      <c r="E3811" s="2" t="s">
        <v>39</v>
      </c>
      <c r="F3811" s="2">
        <v>206206143</v>
      </c>
      <c r="G3811" s="2" t="s">
        <v>41</v>
      </c>
      <c r="H3811" s="2" t="s">
        <v>394</v>
      </c>
      <c r="I3811" s="2" t="s">
        <v>395</v>
      </c>
      <c r="K3811" s="2" t="s">
        <v>100</v>
      </c>
      <c r="O3811" s="2" t="s">
        <v>170</v>
      </c>
      <c r="P3811" s="2" t="s">
        <v>171</v>
      </c>
      <c r="Q3811" s="2" t="s">
        <v>171</v>
      </c>
      <c r="R3811" s="2">
        <v>1</v>
      </c>
      <c r="S3811" s="2">
        <v>5</v>
      </c>
      <c r="T3811" s="2">
        <v>1.1499999999999999</v>
      </c>
      <c r="U3811" s="2">
        <v>6.15</v>
      </c>
      <c r="W3811" s="5">
        <f t="shared" si="418"/>
        <v>1</v>
      </c>
      <c r="Y3811" s="2" t="s">
        <v>170</v>
      </c>
      <c r="Z3811" s="2" t="s">
        <v>170</v>
      </c>
      <c r="AE3811" s="2">
        <f t="shared" si="414"/>
        <v>0</v>
      </c>
      <c r="AI3811" s="2">
        <f t="shared" si="415"/>
        <v>0</v>
      </c>
      <c r="AJ3811" s="2">
        <f t="shared" si="412"/>
        <v>5</v>
      </c>
      <c r="AK3811" s="5">
        <f t="shared" si="419"/>
        <v>1</v>
      </c>
    </row>
    <row r="3812" spans="1:37" x14ac:dyDescent="0.2">
      <c r="A3812" s="2">
        <v>2026</v>
      </c>
      <c r="B3812" s="2">
        <v>4</v>
      </c>
      <c r="C3812" s="2" t="s">
        <v>2069</v>
      </c>
      <c r="O3812" s="2" t="s">
        <v>170</v>
      </c>
      <c r="P3812" s="2" t="s">
        <v>171</v>
      </c>
      <c r="Q3812" s="2" t="s">
        <v>171</v>
      </c>
      <c r="R3812" s="2">
        <v>1</v>
      </c>
      <c r="S3812" s="2">
        <v>5</v>
      </c>
      <c r="T3812" s="2">
        <v>1.1499999999999999</v>
      </c>
      <c r="U3812" s="2">
        <v>6.15</v>
      </c>
      <c r="W3812" s="5">
        <f t="shared" si="418"/>
        <v>1</v>
      </c>
      <c r="Y3812" s="2" t="s">
        <v>170</v>
      </c>
      <c r="Z3812" s="2" t="s">
        <v>170</v>
      </c>
      <c r="AE3812" s="2">
        <f t="shared" si="414"/>
        <v>0</v>
      </c>
      <c r="AI3812" s="2">
        <f t="shared" si="415"/>
        <v>0</v>
      </c>
      <c r="AJ3812" s="2">
        <f t="shared" si="412"/>
        <v>5</v>
      </c>
      <c r="AK3812" s="5">
        <f t="shared" si="419"/>
        <v>1</v>
      </c>
    </row>
    <row r="3813" spans="1:37" x14ac:dyDescent="0.2">
      <c r="A3813" s="2">
        <v>2026</v>
      </c>
      <c r="B3813" s="2">
        <v>4</v>
      </c>
      <c r="C3813" s="2" t="s">
        <v>2548</v>
      </c>
      <c r="O3813" s="2" t="s">
        <v>170</v>
      </c>
      <c r="P3813" s="2" t="s">
        <v>171</v>
      </c>
      <c r="Q3813" s="2" t="s">
        <v>171</v>
      </c>
      <c r="R3813" s="2">
        <v>1</v>
      </c>
      <c r="S3813" s="2">
        <v>30</v>
      </c>
      <c r="T3813" s="2">
        <v>6.9</v>
      </c>
      <c r="U3813" s="2">
        <v>36.9</v>
      </c>
      <c r="V3813" s="2">
        <v>23</v>
      </c>
      <c r="W3813" s="5">
        <f t="shared" si="418"/>
        <v>0.23333333333333334</v>
      </c>
      <c r="Y3813" s="2" t="s">
        <v>170</v>
      </c>
      <c r="Z3813" s="2" t="s">
        <v>170</v>
      </c>
      <c r="AE3813" s="2">
        <f t="shared" si="414"/>
        <v>0</v>
      </c>
      <c r="AI3813" s="2">
        <f t="shared" si="415"/>
        <v>0</v>
      </c>
      <c r="AJ3813" s="2">
        <f t="shared" si="412"/>
        <v>7</v>
      </c>
      <c r="AK3813" s="5">
        <f t="shared" si="419"/>
        <v>0.23333333333333334</v>
      </c>
    </row>
    <row r="3814" spans="1:37" x14ac:dyDescent="0.2">
      <c r="A3814" s="2">
        <v>2026</v>
      </c>
      <c r="B3814" s="2">
        <v>4</v>
      </c>
      <c r="C3814" s="2" t="s">
        <v>573</v>
      </c>
      <c r="D3814" s="2" t="s">
        <v>38</v>
      </c>
      <c r="E3814" s="2" t="s">
        <v>39</v>
      </c>
      <c r="F3814" s="2">
        <v>506267547</v>
      </c>
      <c r="G3814" s="2" t="s">
        <v>291</v>
      </c>
      <c r="H3814" s="2" t="s">
        <v>574</v>
      </c>
      <c r="I3814" s="2" t="s">
        <v>575</v>
      </c>
      <c r="J3814" s="2">
        <v>917821904</v>
      </c>
      <c r="K3814" s="2" t="s">
        <v>576</v>
      </c>
      <c r="L3814" s="2" t="s">
        <v>291</v>
      </c>
      <c r="N3814" s="2" t="s">
        <v>2889</v>
      </c>
      <c r="O3814" s="2" t="s">
        <v>170</v>
      </c>
      <c r="P3814" s="2" t="s">
        <v>171</v>
      </c>
      <c r="Q3814" s="2" t="s">
        <v>171</v>
      </c>
      <c r="R3814" s="2">
        <v>1</v>
      </c>
      <c r="S3814" s="2">
        <v>8</v>
      </c>
      <c r="T3814" s="2">
        <v>1.84</v>
      </c>
      <c r="U3814" s="2">
        <v>9.84</v>
      </c>
      <c r="W3814" s="5">
        <f t="shared" si="418"/>
        <v>1</v>
      </c>
      <c r="Y3814" s="2" t="s">
        <v>170</v>
      </c>
      <c r="Z3814" s="2" t="s">
        <v>170</v>
      </c>
      <c r="AE3814" s="2">
        <f t="shared" si="414"/>
        <v>0</v>
      </c>
      <c r="AI3814" s="2">
        <f t="shared" si="415"/>
        <v>0</v>
      </c>
      <c r="AJ3814" s="2">
        <f t="shared" si="412"/>
        <v>8</v>
      </c>
      <c r="AK3814" s="5">
        <f t="shared" si="419"/>
        <v>1</v>
      </c>
    </row>
    <row r="3815" spans="1:37" x14ac:dyDescent="0.2">
      <c r="A3815" s="2">
        <v>2026</v>
      </c>
      <c r="B3815" s="2">
        <v>4</v>
      </c>
      <c r="C3815" s="2" t="s">
        <v>2581</v>
      </c>
      <c r="L3815" s="2" t="s">
        <v>81</v>
      </c>
      <c r="O3815" s="2" t="s">
        <v>170</v>
      </c>
      <c r="P3815" s="2" t="s">
        <v>171</v>
      </c>
      <c r="Q3815" s="2" t="s">
        <v>171</v>
      </c>
      <c r="R3815" s="2">
        <v>1</v>
      </c>
      <c r="S3815" s="2">
        <v>15</v>
      </c>
      <c r="T3815" s="2">
        <v>3.45</v>
      </c>
      <c r="U3815" s="2">
        <v>18.45</v>
      </c>
      <c r="W3815" s="5">
        <f t="shared" si="418"/>
        <v>1</v>
      </c>
      <c r="Y3815" s="2" t="s">
        <v>170</v>
      </c>
      <c r="Z3815" s="2" t="s">
        <v>170</v>
      </c>
      <c r="AE3815" s="2">
        <f t="shared" si="414"/>
        <v>0</v>
      </c>
      <c r="AI3815" s="2">
        <f t="shared" si="415"/>
        <v>0</v>
      </c>
      <c r="AJ3815" s="2">
        <f t="shared" si="412"/>
        <v>15</v>
      </c>
      <c r="AK3815" s="5">
        <f t="shared" si="419"/>
        <v>1</v>
      </c>
    </row>
    <row r="3816" spans="1:37" x14ac:dyDescent="0.2">
      <c r="A3816" s="2">
        <v>2026</v>
      </c>
      <c r="B3816" s="2">
        <v>4</v>
      </c>
      <c r="C3816" s="2" t="s">
        <v>1305</v>
      </c>
      <c r="D3816" s="2" t="s">
        <v>184</v>
      </c>
      <c r="E3816" s="2" t="s">
        <v>368</v>
      </c>
      <c r="F3816" s="2">
        <v>500625654</v>
      </c>
      <c r="G3816" s="2" t="s">
        <v>291</v>
      </c>
      <c r="H3816" s="2" t="s">
        <v>340</v>
      </c>
      <c r="I3816" s="2" t="s">
        <v>1306</v>
      </c>
      <c r="K3816" s="2" t="s">
        <v>340</v>
      </c>
      <c r="L3816" s="2" t="s">
        <v>81</v>
      </c>
      <c r="N3816" s="2" t="s">
        <v>2910</v>
      </c>
      <c r="O3816" s="2" t="s">
        <v>170</v>
      </c>
      <c r="P3816" s="2" t="s">
        <v>171</v>
      </c>
      <c r="Q3816" s="2" t="s">
        <v>171</v>
      </c>
      <c r="R3816" s="2">
        <v>1</v>
      </c>
      <c r="S3816" s="2">
        <v>30</v>
      </c>
      <c r="T3816" s="2">
        <v>6.9</v>
      </c>
      <c r="U3816" s="2">
        <v>36.9</v>
      </c>
      <c r="V3816" s="2">
        <v>23</v>
      </c>
      <c r="W3816" s="5">
        <f t="shared" si="418"/>
        <v>0.23333333333333334</v>
      </c>
      <c r="Y3816" s="2" t="s">
        <v>170</v>
      </c>
      <c r="Z3816" s="2" t="s">
        <v>170</v>
      </c>
      <c r="AE3816" s="2">
        <f t="shared" si="414"/>
        <v>0</v>
      </c>
      <c r="AF3816" s="2">
        <v>23</v>
      </c>
      <c r="AI3816" s="2">
        <f t="shared" si="415"/>
        <v>0</v>
      </c>
      <c r="AJ3816" s="2">
        <f t="shared" si="412"/>
        <v>7</v>
      </c>
      <c r="AK3816" s="5">
        <f t="shared" si="419"/>
        <v>0.23333333333333334</v>
      </c>
    </row>
    <row r="3817" spans="1:37" x14ac:dyDescent="0.2">
      <c r="A3817" s="2">
        <v>2026</v>
      </c>
      <c r="B3817" s="2">
        <v>4</v>
      </c>
      <c r="C3817" s="2" t="s">
        <v>948</v>
      </c>
      <c r="L3817" s="2" t="s">
        <v>40</v>
      </c>
      <c r="O3817" s="2" t="s">
        <v>40</v>
      </c>
      <c r="P3817" s="2" t="s">
        <v>141</v>
      </c>
      <c r="Q3817" s="2" t="s">
        <v>142</v>
      </c>
      <c r="R3817" s="2">
        <v>-1</v>
      </c>
      <c r="S3817" s="2">
        <v>-231.07</v>
      </c>
      <c r="T3817" s="2">
        <v>-53.146099999999997</v>
      </c>
      <c r="U3817" s="2">
        <v>-284.21609999999998</v>
      </c>
      <c r="W3817" s="5">
        <f t="shared" si="418"/>
        <v>1</v>
      </c>
      <c r="Y3817" s="2" t="s">
        <v>120</v>
      </c>
      <c r="Z3817" s="2" t="s">
        <v>143</v>
      </c>
      <c r="AE3817" s="2">
        <f t="shared" si="414"/>
        <v>0</v>
      </c>
      <c r="AI3817" s="2">
        <f t="shared" si="415"/>
        <v>0</v>
      </c>
      <c r="AJ3817" s="2">
        <f t="shared" si="412"/>
        <v>-231.07</v>
      </c>
      <c r="AK3817" s="5">
        <f t="shared" si="419"/>
        <v>1</v>
      </c>
    </row>
    <row r="3818" spans="1:37" x14ac:dyDescent="0.2">
      <c r="A3818" s="2">
        <v>2026</v>
      </c>
      <c r="B3818" s="2">
        <v>4</v>
      </c>
      <c r="C3818" s="2" t="s">
        <v>37</v>
      </c>
      <c r="D3818" s="2" t="s">
        <v>38</v>
      </c>
      <c r="E3818" s="2" t="s">
        <v>39</v>
      </c>
      <c r="G3818" s="2" t="s">
        <v>40</v>
      </c>
      <c r="L3818" s="2" t="s">
        <v>81</v>
      </c>
      <c r="N3818" s="2" t="s">
        <v>2904</v>
      </c>
      <c r="O3818" s="2" t="s">
        <v>94</v>
      </c>
      <c r="P3818" s="2" t="s">
        <v>95</v>
      </c>
      <c r="Q3818" s="2" t="s">
        <v>96</v>
      </c>
      <c r="R3818" s="2">
        <v>6</v>
      </c>
      <c r="S3818" s="2">
        <v>8.8800000000000008</v>
      </c>
      <c r="T3818" s="2">
        <v>2.0424000000000002</v>
      </c>
      <c r="U3818" s="2">
        <v>10.9224</v>
      </c>
      <c r="V3818" s="2">
        <v>8.879999999999999</v>
      </c>
      <c r="W3818" s="5">
        <f t="shared" si="418"/>
        <v>2.000401846171453E-16</v>
      </c>
      <c r="Y3818" s="2" t="s">
        <v>3256</v>
      </c>
      <c r="Z3818" s="2" t="s">
        <v>97</v>
      </c>
      <c r="AA3818" s="2" t="s">
        <v>77</v>
      </c>
      <c r="AB3818" s="2" t="s">
        <v>94</v>
      </c>
      <c r="AE3818" s="2">
        <f t="shared" si="414"/>
        <v>0</v>
      </c>
      <c r="AI3818" s="2">
        <f t="shared" si="415"/>
        <v>0</v>
      </c>
      <c r="AJ3818" s="2">
        <f t="shared" si="412"/>
        <v>0</v>
      </c>
      <c r="AK3818" s="5">
        <f t="shared" si="419"/>
        <v>2.000401846171453E-16</v>
      </c>
    </row>
    <row r="3819" spans="1:37" x14ac:dyDescent="0.2">
      <c r="A3819" s="2">
        <v>2026</v>
      </c>
      <c r="B3819" s="2">
        <v>4</v>
      </c>
      <c r="C3819" s="2" t="s">
        <v>943</v>
      </c>
      <c r="D3819" s="2" t="s">
        <v>38</v>
      </c>
      <c r="E3819" s="2" t="s">
        <v>39</v>
      </c>
      <c r="F3819" s="2">
        <v>508868726</v>
      </c>
      <c r="G3819" s="2" t="s">
        <v>291</v>
      </c>
      <c r="H3819" s="2" t="s">
        <v>944</v>
      </c>
      <c r="I3819" s="2" t="s">
        <v>945</v>
      </c>
      <c r="J3819" s="2">
        <v>964771057</v>
      </c>
      <c r="K3819" s="2" t="s">
        <v>340</v>
      </c>
      <c r="L3819" s="2" t="s">
        <v>81</v>
      </c>
      <c r="N3819" s="2" t="s">
        <v>2905</v>
      </c>
      <c r="O3819" s="2" t="s">
        <v>94</v>
      </c>
      <c r="P3819" s="2" t="s">
        <v>95</v>
      </c>
      <c r="Q3819" s="2" t="s">
        <v>96</v>
      </c>
      <c r="R3819" s="2">
        <v>1</v>
      </c>
      <c r="S3819" s="2">
        <v>1.48</v>
      </c>
      <c r="T3819" s="2">
        <v>0.34039999999999998</v>
      </c>
      <c r="U3819" s="2">
        <v>1.8204</v>
      </c>
      <c r="V3819" s="2">
        <v>1.48</v>
      </c>
      <c r="W3819" s="5">
        <f t="shared" si="418"/>
        <v>0</v>
      </c>
      <c r="Y3819" s="2" t="s">
        <v>3256</v>
      </c>
      <c r="Z3819" s="2" t="s">
        <v>97</v>
      </c>
      <c r="AA3819" s="2" t="s">
        <v>77</v>
      </c>
      <c r="AB3819" s="2" t="s">
        <v>94</v>
      </c>
      <c r="AE3819" s="2">
        <f t="shared" si="414"/>
        <v>0</v>
      </c>
      <c r="AF3819" s="2">
        <v>1.48</v>
      </c>
      <c r="AG3819" s="2">
        <v>1.48</v>
      </c>
      <c r="AI3819" s="2">
        <f t="shared" si="415"/>
        <v>0</v>
      </c>
      <c r="AJ3819" s="2">
        <f t="shared" si="412"/>
        <v>0</v>
      </c>
      <c r="AK3819" s="5">
        <f t="shared" si="419"/>
        <v>0</v>
      </c>
    </row>
    <row r="3820" spans="1:37" x14ac:dyDescent="0.2">
      <c r="A3820" s="2">
        <v>2026</v>
      </c>
      <c r="B3820" s="2">
        <v>4</v>
      </c>
      <c r="C3820" s="2" t="s">
        <v>199</v>
      </c>
      <c r="D3820" s="2" t="s">
        <v>109</v>
      </c>
      <c r="F3820" s="2">
        <v>507541120</v>
      </c>
      <c r="G3820" s="2" t="s">
        <v>40</v>
      </c>
      <c r="H3820" s="2" t="s">
        <v>200</v>
      </c>
      <c r="I3820" s="2" t="s">
        <v>201</v>
      </c>
      <c r="K3820" s="2" t="s">
        <v>202</v>
      </c>
      <c r="O3820" s="2" t="s">
        <v>94</v>
      </c>
      <c r="P3820" s="2" t="s">
        <v>95</v>
      </c>
      <c r="Q3820" s="2" t="s">
        <v>96</v>
      </c>
      <c r="R3820" s="2">
        <v>1</v>
      </c>
      <c r="S3820" s="2">
        <v>1.48</v>
      </c>
      <c r="T3820" s="2">
        <v>0.34039999999999998</v>
      </c>
      <c r="U3820" s="2">
        <v>1.8204</v>
      </c>
      <c r="V3820" s="2">
        <v>1.48</v>
      </c>
      <c r="W3820" s="5">
        <f t="shared" si="418"/>
        <v>0</v>
      </c>
      <c r="Y3820" s="2" t="s">
        <v>3256</v>
      </c>
      <c r="Z3820" s="2" t="s">
        <v>97</v>
      </c>
      <c r="AA3820" s="2" t="s">
        <v>77</v>
      </c>
      <c r="AB3820" s="2" t="s">
        <v>94</v>
      </c>
      <c r="AE3820" s="2">
        <f t="shared" si="414"/>
        <v>0</v>
      </c>
      <c r="AI3820" s="2">
        <f t="shared" si="415"/>
        <v>0</v>
      </c>
      <c r="AJ3820" s="2">
        <f t="shared" si="412"/>
        <v>0</v>
      </c>
      <c r="AK3820" s="5">
        <f t="shared" si="419"/>
        <v>0</v>
      </c>
    </row>
    <row r="3821" spans="1:37" x14ac:dyDescent="0.2">
      <c r="A3821" s="2">
        <v>2026</v>
      </c>
      <c r="B3821" s="2">
        <v>4</v>
      </c>
      <c r="C3821" s="2" t="s">
        <v>968</v>
      </c>
      <c r="L3821" s="2" t="s">
        <v>81</v>
      </c>
      <c r="O3821" s="2" t="s">
        <v>94</v>
      </c>
      <c r="P3821" s="2" t="s">
        <v>95</v>
      </c>
      <c r="Q3821" s="2" t="s">
        <v>96</v>
      </c>
      <c r="R3821" s="2">
        <v>1</v>
      </c>
      <c r="S3821" s="2">
        <v>1.48</v>
      </c>
      <c r="T3821" s="2">
        <v>0.34039999999999998</v>
      </c>
      <c r="U3821" s="2">
        <v>1.8204</v>
      </c>
      <c r="V3821" s="2">
        <v>1.48</v>
      </c>
      <c r="W3821" s="5">
        <f t="shared" si="418"/>
        <v>0</v>
      </c>
      <c r="Y3821" s="2" t="s">
        <v>3256</v>
      </c>
      <c r="Z3821" s="2" t="s">
        <v>97</v>
      </c>
      <c r="AA3821" s="2" t="s">
        <v>77</v>
      </c>
      <c r="AB3821" s="2" t="s">
        <v>94</v>
      </c>
      <c r="AE3821" s="2">
        <f t="shared" si="414"/>
        <v>0</v>
      </c>
      <c r="AI3821" s="2">
        <f t="shared" si="415"/>
        <v>0</v>
      </c>
      <c r="AJ3821" s="2">
        <f t="shared" si="412"/>
        <v>0</v>
      </c>
      <c r="AK3821" s="5">
        <f t="shared" si="419"/>
        <v>0</v>
      </c>
    </row>
    <row r="3822" spans="1:37" x14ac:dyDescent="0.2">
      <c r="A3822" s="2">
        <v>2026</v>
      </c>
      <c r="B3822" s="2">
        <v>4</v>
      </c>
      <c r="C3822" s="2" t="s">
        <v>320</v>
      </c>
      <c r="D3822" s="2" t="s">
        <v>38</v>
      </c>
      <c r="E3822" s="2" t="s">
        <v>39</v>
      </c>
      <c r="F3822" s="2">
        <v>500883262</v>
      </c>
      <c r="G3822" s="2" t="s">
        <v>40</v>
      </c>
      <c r="H3822" s="2" t="s">
        <v>100</v>
      </c>
      <c r="I3822" s="2" t="s">
        <v>321</v>
      </c>
      <c r="K3822" s="2" t="s">
        <v>100</v>
      </c>
      <c r="L3822" s="2" t="s">
        <v>81</v>
      </c>
      <c r="N3822" s="2" t="s">
        <v>2907</v>
      </c>
      <c r="O3822" s="2" t="s">
        <v>94</v>
      </c>
      <c r="P3822" s="2" t="s">
        <v>95</v>
      </c>
      <c r="Q3822" s="2" t="s">
        <v>96</v>
      </c>
      <c r="R3822" s="2">
        <v>1</v>
      </c>
      <c r="S3822" s="2">
        <v>1.48</v>
      </c>
      <c r="T3822" s="2">
        <v>0.34039999999999998</v>
      </c>
      <c r="U3822" s="2">
        <v>1.8204</v>
      </c>
      <c r="V3822" s="2">
        <v>1.48</v>
      </c>
      <c r="W3822" s="5">
        <f t="shared" si="418"/>
        <v>0</v>
      </c>
      <c r="Y3822" s="2" t="s">
        <v>3256</v>
      </c>
      <c r="Z3822" s="2" t="s">
        <v>97</v>
      </c>
      <c r="AA3822" s="2" t="s">
        <v>77</v>
      </c>
      <c r="AB3822" s="2" t="s">
        <v>94</v>
      </c>
      <c r="AE3822" s="2">
        <f t="shared" si="414"/>
        <v>0</v>
      </c>
      <c r="AI3822" s="2">
        <f t="shared" si="415"/>
        <v>0</v>
      </c>
      <c r="AJ3822" s="2">
        <f t="shared" si="412"/>
        <v>0</v>
      </c>
      <c r="AK3822" s="5">
        <f t="shared" si="419"/>
        <v>0</v>
      </c>
    </row>
    <row r="3823" spans="1:37" x14ac:dyDescent="0.2">
      <c r="A3823" s="2">
        <v>2026</v>
      </c>
      <c r="B3823" s="2">
        <v>4</v>
      </c>
      <c r="C3823" s="2" t="s">
        <v>737</v>
      </c>
      <c r="D3823" s="2" t="s">
        <v>109</v>
      </c>
      <c r="F3823" s="2">
        <v>502757396</v>
      </c>
      <c r="G3823" s="2" t="s">
        <v>40</v>
      </c>
      <c r="H3823" s="2" t="s">
        <v>100</v>
      </c>
      <c r="I3823" s="2" t="s">
        <v>738</v>
      </c>
      <c r="K3823" s="2" t="s">
        <v>100</v>
      </c>
      <c r="L3823" s="2" t="s">
        <v>81</v>
      </c>
      <c r="O3823" s="2" t="s">
        <v>94</v>
      </c>
      <c r="P3823" s="2" t="s">
        <v>95</v>
      </c>
      <c r="Q3823" s="2" t="s">
        <v>96</v>
      </c>
      <c r="R3823" s="2">
        <v>1</v>
      </c>
      <c r="S3823" s="2">
        <v>1.48</v>
      </c>
      <c r="T3823" s="2">
        <v>0.34039999999999998</v>
      </c>
      <c r="U3823" s="2">
        <v>1.8204</v>
      </c>
      <c r="V3823" s="2">
        <v>1.48</v>
      </c>
      <c r="W3823" s="5">
        <f t="shared" si="418"/>
        <v>0</v>
      </c>
      <c r="Y3823" s="2" t="s">
        <v>3256</v>
      </c>
      <c r="Z3823" s="2" t="s">
        <v>97</v>
      </c>
      <c r="AA3823" s="2" t="s">
        <v>77</v>
      </c>
      <c r="AB3823" s="2" t="s">
        <v>94</v>
      </c>
      <c r="AE3823" s="2">
        <f t="shared" si="414"/>
        <v>0</v>
      </c>
      <c r="AF3823" s="2">
        <v>1.48</v>
      </c>
      <c r="AG3823" s="2">
        <v>1.48</v>
      </c>
      <c r="AI3823" s="2">
        <f t="shared" si="415"/>
        <v>0</v>
      </c>
      <c r="AJ3823" s="2">
        <f t="shared" si="412"/>
        <v>0</v>
      </c>
      <c r="AK3823" s="5">
        <f t="shared" si="419"/>
        <v>0</v>
      </c>
    </row>
    <row r="3824" spans="1:37" x14ac:dyDescent="0.2">
      <c r="A3824" s="2">
        <v>2026</v>
      </c>
      <c r="B3824" s="2">
        <v>4</v>
      </c>
      <c r="C3824" s="2" t="s">
        <v>2899</v>
      </c>
      <c r="L3824" s="2" t="s">
        <v>41</v>
      </c>
      <c r="O3824" s="2" t="s">
        <v>94</v>
      </c>
      <c r="P3824" s="2" t="s">
        <v>95</v>
      </c>
      <c r="Q3824" s="2" t="s">
        <v>96</v>
      </c>
      <c r="R3824" s="2">
        <v>1</v>
      </c>
      <c r="S3824" s="2">
        <v>1.48</v>
      </c>
      <c r="T3824" s="2">
        <v>0.34039999999999998</v>
      </c>
      <c r="U3824" s="2">
        <v>1.8204</v>
      </c>
      <c r="V3824" s="2">
        <v>1.48</v>
      </c>
      <c r="W3824" s="5">
        <f t="shared" si="418"/>
        <v>0</v>
      </c>
      <c r="Y3824" s="2" t="s">
        <v>3256</v>
      </c>
      <c r="Z3824" s="2" t="s">
        <v>97</v>
      </c>
      <c r="AA3824" s="2" t="s">
        <v>77</v>
      </c>
      <c r="AB3824" s="2" t="s">
        <v>94</v>
      </c>
      <c r="AE3824" s="2">
        <f t="shared" si="414"/>
        <v>0</v>
      </c>
      <c r="AI3824" s="2">
        <f t="shared" si="415"/>
        <v>0</v>
      </c>
      <c r="AJ3824" s="2">
        <f t="shared" si="412"/>
        <v>0</v>
      </c>
      <c r="AK3824" s="5">
        <f t="shared" si="419"/>
        <v>0</v>
      </c>
    </row>
    <row r="3825" spans="1:37" x14ac:dyDescent="0.2">
      <c r="A3825" s="2">
        <v>2026</v>
      </c>
      <c r="B3825" s="2">
        <v>4</v>
      </c>
      <c r="C3825" s="2" t="s">
        <v>775</v>
      </c>
      <c r="D3825" s="2" t="s">
        <v>38</v>
      </c>
      <c r="E3825" s="2" t="s">
        <v>39</v>
      </c>
      <c r="F3825" s="2">
        <v>505926768</v>
      </c>
      <c r="G3825" s="2" t="s">
        <v>291</v>
      </c>
      <c r="H3825" s="2" t="s">
        <v>776</v>
      </c>
      <c r="I3825" s="2" t="s">
        <v>777</v>
      </c>
      <c r="K3825" s="2" t="s">
        <v>340</v>
      </c>
      <c r="L3825" s="2" t="s">
        <v>81</v>
      </c>
      <c r="N3825" s="2" t="s">
        <v>2917</v>
      </c>
      <c r="O3825" s="2" t="s">
        <v>94</v>
      </c>
      <c r="P3825" s="2" t="s">
        <v>95</v>
      </c>
      <c r="Q3825" s="2" t="s">
        <v>96</v>
      </c>
      <c r="R3825" s="2">
        <v>1</v>
      </c>
      <c r="S3825" s="2">
        <v>1.48</v>
      </c>
      <c r="T3825" s="2">
        <v>0.34039999999999998</v>
      </c>
      <c r="U3825" s="2">
        <v>1.8204</v>
      </c>
      <c r="V3825" s="2">
        <v>1.48</v>
      </c>
      <c r="W3825" s="5">
        <f t="shared" si="418"/>
        <v>0</v>
      </c>
      <c r="Y3825" s="2" t="s">
        <v>3256</v>
      </c>
      <c r="Z3825" s="2" t="s">
        <v>97</v>
      </c>
      <c r="AA3825" s="2" t="s">
        <v>77</v>
      </c>
      <c r="AB3825" s="2" t="s">
        <v>94</v>
      </c>
      <c r="AE3825" s="2">
        <f t="shared" si="414"/>
        <v>0</v>
      </c>
      <c r="AF3825" s="2">
        <v>1.48</v>
      </c>
      <c r="AG3825" s="2">
        <v>1.48</v>
      </c>
      <c r="AI3825" s="2">
        <f t="shared" si="415"/>
        <v>0</v>
      </c>
      <c r="AJ3825" s="2">
        <f t="shared" si="412"/>
        <v>0</v>
      </c>
      <c r="AK3825" s="5">
        <f t="shared" si="419"/>
        <v>0</v>
      </c>
    </row>
    <row r="3826" spans="1:37" x14ac:dyDescent="0.2">
      <c r="A3826" s="2">
        <v>2026</v>
      </c>
      <c r="B3826" s="2">
        <v>4</v>
      </c>
      <c r="C3826" s="2" t="s">
        <v>432</v>
      </c>
      <c r="D3826" s="2" t="s">
        <v>38</v>
      </c>
      <c r="F3826" s="2">
        <v>500820384</v>
      </c>
      <c r="G3826" s="2" t="s">
        <v>40</v>
      </c>
      <c r="H3826" s="2" t="s">
        <v>433</v>
      </c>
      <c r="I3826" s="2" t="s">
        <v>434</v>
      </c>
      <c r="K3826" s="2" t="s">
        <v>100</v>
      </c>
      <c r="L3826" s="2" t="s">
        <v>81</v>
      </c>
      <c r="N3826" s="2" t="s">
        <v>2895</v>
      </c>
      <c r="O3826" s="2" t="s">
        <v>94</v>
      </c>
      <c r="P3826" s="2" t="s">
        <v>95</v>
      </c>
      <c r="Q3826" s="2" t="s">
        <v>96</v>
      </c>
      <c r="R3826" s="2">
        <v>-1</v>
      </c>
      <c r="S3826" s="2">
        <v>-1.48</v>
      </c>
      <c r="T3826" s="2">
        <v>-0.34039999999999998</v>
      </c>
      <c r="U3826" s="2">
        <v>-1.8204</v>
      </c>
      <c r="V3826" s="2">
        <v>1.48</v>
      </c>
      <c r="W3826" s="5">
        <f>SIGN(S3826)*((ABS(S3826)-V3826)/ABS(S3826))</f>
        <v>0</v>
      </c>
      <c r="Y3826" s="2" t="s">
        <v>3256</v>
      </c>
      <c r="Z3826" s="2" t="s">
        <v>97</v>
      </c>
      <c r="AA3826" s="2" t="s">
        <v>77</v>
      </c>
      <c r="AB3826" s="2" t="s">
        <v>94</v>
      </c>
      <c r="AE3826" s="2">
        <f t="shared" si="414"/>
        <v>0</v>
      </c>
      <c r="AI3826" s="2">
        <f t="shared" si="415"/>
        <v>0</v>
      </c>
      <c r="AJ3826" s="2">
        <f t="shared" si="412"/>
        <v>-2.96</v>
      </c>
      <c r="AK3826" s="5">
        <f t="shared" si="419"/>
        <v>2</v>
      </c>
    </row>
    <row r="3827" spans="1:37" x14ac:dyDescent="0.2">
      <c r="A3827" s="2">
        <v>2026</v>
      </c>
      <c r="B3827" s="2">
        <v>4</v>
      </c>
      <c r="C3827" s="2" t="s">
        <v>1569</v>
      </c>
      <c r="D3827" s="2" t="s">
        <v>109</v>
      </c>
      <c r="E3827" s="2" t="s">
        <v>723</v>
      </c>
      <c r="F3827" s="2">
        <v>500975914</v>
      </c>
      <c r="G3827" s="2" t="s">
        <v>41</v>
      </c>
      <c r="H3827" s="2" t="s">
        <v>1570</v>
      </c>
      <c r="I3827" s="2" t="s">
        <v>1571</v>
      </c>
      <c r="K3827" s="2" t="s">
        <v>100</v>
      </c>
      <c r="L3827" s="2" t="s">
        <v>41</v>
      </c>
      <c r="O3827" s="2" t="s">
        <v>94</v>
      </c>
      <c r="P3827" s="2" t="s">
        <v>95</v>
      </c>
      <c r="Q3827" s="2" t="s">
        <v>96</v>
      </c>
      <c r="R3827" s="2">
        <v>-1</v>
      </c>
      <c r="S3827" s="2">
        <v>-1.48</v>
      </c>
      <c r="T3827" s="2">
        <v>-0.34039999999999998</v>
      </c>
      <c r="U3827" s="2">
        <v>-1.8204</v>
      </c>
      <c r="V3827" s="2">
        <v>1.48</v>
      </c>
      <c r="W3827" s="5">
        <f>SIGN(S3827)*((ABS(S3827)-V3827)/ABS(S3827))</f>
        <v>0</v>
      </c>
      <c r="Y3827" s="2" t="s">
        <v>3256</v>
      </c>
      <c r="Z3827" s="2" t="s">
        <v>97</v>
      </c>
      <c r="AA3827" s="2" t="s">
        <v>77</v>
      </c>
      <c r="AB3827" s="2" t="s">
        <v>94</v>
      </c>
      <c r="AE3827" s="2">
        <f t="shared" si="414"/>
        <v>0</v>
      </c>
      <c r="AI3827" s="2">
        <f t="shared" si="415"/>
        <v>0</v>
      </c>
      <c r="AJ3827" s="2">
        <f t="shared" si="412"/>
        <v>-2.96</v>
      </c>
      <c r="AK3827" s="5">
        <f t="shared" si="419"/>
        <v>2</v>
      </c>
    </row>
    <row r="3828" spans="1:37" x14ac:dyDescent="0.2">
      <c r="A3828" s="2">
        <v>2026</v>
      </c>
      <c r="B3828" s="2">
        <v>4</v>
      </c>
      <c r="C3828" s="2" t="s">
        <v>2902</v>
      </c>
      <c r="O3828" s="2" t="s">
        <v>94</v>
      </c>
      <c r="P3828" s="2" t="s">
        <v>95</v>
      </c>
      <c r="Q3828" s="2" t="s">
        <v>96</v>
      </c>
      <c r="R3828" s="2">
        <v>1</v>
      </c>
      <c r="S3828" s="2">
        <v>1.48</v>
      </c>
      <c r="T3828" s="2">
        <v>0.34039999999999998</v>
      </c>
      <c r="U3828" s="2">
        <v>1.8204</v>
      </c>
      <c r="V3828" s="2">
        <v>1.48</v>
      </c>
      <c r="W3828" s="5">
        <f t="shared" ref="W3828:W3839" si="420">(S3828-V3828)/S3828</f>
        <v>0</v>
      </c>
      <c r="Y3828" s="2" t="s">
        <v>3256</v>
      </c>
      <c r="Z3828" s="2" t="s">
        <v>97</v>
      </c>
      <c r="AA3828" s="2" t="s">
        <v>77</v>
      </c>
      <c r="AB3828" s="2" t="s">
        <v>94</v>
      </c>
      <c r="AE3828" s="2">
        <f t="shared" si="414"/>
        <v>0</v>
      </c>
      <c r="AI3828" s="2">
        <f t="shared" si="415"/>
        <v>0</v>
      </c>
      <c r="AJ3828" s="2">
        <f t="shared" si="412"/>
        <v>0</v>
      </c>
      <c r="AK3828" s="5">
        <f t="shared" si="419"/>
        <v>0</v>
      </c>
    </row>
    <row r="3829" spans="1:37" x14ac:dyDescent="0.2">
      <c r="A3829" s="2">
        <v>2026</v>
      </c>
      <c r="B3829" s="2">
        <v>4</v>
      </c>
      <c r="C3829" s="2" t="s">
        <v>440</v>
      </c>
      <c r="D3829" s="2" t="s">
        <v>109</v>
      </c>
      <c r="E3829" s="2" t="s">
        <v>378</v>
      </c>
      <c r="F3829" s="2">
        <v>509350631</v>
      </c>
      <c r="G3829" s="2" t="s">
        <v>291</v>
      </c>
      <c r="H3829" s="2" t="s">
        <v>441</v>
      </c>
      <c r="I3829" s="2" t="s">
        <v>442</v>
      </c>
      <c r="K3829" s="2" t="s">
        <v>340</v>
      </c>
      <c r="L3829" s="2" t="s">
        <v>81</v>
      </c>
      <c r="O3829" s="2" t="s">
        <v>94</v>
      </c>
      <c r="P3829" s="2" t="s">
        <v>95</v>
      </c>
      <c r="Q3829" s="2" t="s">
        <v>96</v>
      </c>
      <c r="R3829" s="2">
        <v>1</v>
      </c>
      <c r="S3829" s="2">
        <v>1.48</v>
      </c>
      <c r="T3829" s="2">
        <v>0.34039999999999998</v>
      </c>
      <c r="U3829" s="2">
        <v>1.8204</v>
      </c>
      <c r="V3829" s="2">
        <v>1.48</v>
      </c>
      <c r="W3829" s="5">
        <f t="shared" si="420"/>
        <v>0</v>
      </c>
      <c r="Y3829" s="2" t="s">
        <v>3256</v>
      </c>
      <c r="Z3829" s="2" t="s">
        <v>97</v>
      </c>
      <c r="AA3829" s="2" t="s">
        <v>77</v>
      </c>
      <c r="AB3829" s="2" t="s">
        <v>94</v>
      </c>
      <c r="AE3829" s="2">
        <f t="shared" si="414"/>
        <v>0</v>
      </c>
      <c r="AF3829" s="2">
        <v>1.48</v>
      </c>
      <c r="AG3829" s="2">
        <v>1.48</v>
      </c>
      <c r="AI3829" s="2">
        <f t="shared" si="415"/>
        <v>0</v>
      </c>
      <c r="AJ3829" s="2">
        <f t="shared" si="412"/>
        <v>0</v>
      </c>
      <c r="AK3829" s="5">
        <f t="shared" ref="AK3829:AK3844" si="421">(S3829-V3829)/S3829</f>
        <v>0</v>
      </c>
    </row>
    <row r="3830" spans="1:37" x14ac:dyDescent="0.2">
      <c r="A3830" s="2">
        <v>2026</v>
      </c>
      <c r="B3830" s="2">
        <v>4</v>
      </c>
      <c r="C3830" s="2" t="s">
        <v>480</v>
      </c>
      <c r="D3830" s="2" t="s">
        <v>109</v>
      </c>
      <c r="E3830" s="2" t="s">
        <v>481</v>
      </c>
      <c r="F3830" s="2">
        <v>500864365</v>
      </c>
      <c r="G3830" s="2" t="s">
        <v>41</v>
      </c>
      <c r="H3830" s="2" t="s">
        <v>482</v>
      </c>
      <c r="I3830" s="2" t="s">
        <v>483</v>
      </c>
      <c r="K3830" s="2" t="s">
        <v>484</v>
      </c>
      <c r="L3830" s="2" t="s">
        <v>41</v>
      </c>
      <c r="O3830" s="2" t="s">
        <v>94</v>
      </c>
      <c r="P3830" s="2" t="s">
        <v>95</v>
      </c>
      <c r="Q3830" s="2" t="s">
        <v>96</v>
      </c>
      <c r="R3830" s="2">
        <v>1</v>
      </c>
      <c r="S3830" s="2">
        <v>1.48</v>
      </c>
      <c r="T3830" s="2">
        <v>0.34039999999999998</v>
      </c>
      <c r="U3830" s="2">
        <v>1.8204</v>
      </c>
      <c r="V3830" s="2">
        <v>1.48</v>
      </c>
      <c r="W3830" s="5">
        <f t="shared" si="420"/>
        <v>0</v>
      </c>
      <c r="Y3830" s="2" t="s">
        <v>3256</v>
      </c>
      <c r="Z3830" s="2" t="s">
        <v>97</v>
      </c>
      <c r="AA3830" s="2" t="s">
        <v>77</v>
      </c>
      <c r="AB3830" s="2" t="s">
        <v>94</v>
      </c>
      <c r="AE3830" s="2">
        <f t="shared" si="414"/>
        <v>0</v>
      </c>
      <c r="AI3830" s="2">
        <f t="shared" si="415"/>
        <v>0</v>
      </c>
      <c r="AJ3830" s="2">
        <f t="shared" ref="AJ3830:AJ3893" si="422">S3830-V3830</f>
        <v>0</v>
      </c>
      <c r="AK3830" s="5">
        <f t="shared" si="421"/>
        <v>0</v>
      </c>
    </row>
    <row r="3831" spans="1:37" x14ac:dyDescent="0.2">
      <c r="A3831" s="2">
        <v>2026</v>
      </c>
      <c r="B3831" s="2">
        <v>4</v>
      </c>
      <c r="C3831" s="2" t="s">
        <v>1266</v>
      </c>
      <c r="O3831" s="2" t="s">
        <v>94</v>
      </c>
      <c r="P3831" s="2" t="s">
        <v>95</v>
      </c>
      <c r="Q3831" s="2" t="s">
        <v>96</v>
      </c>
      <c r="R3831" s="2">
        <v>1</v>
      </c>
      <c r="S3831" s="2">
        <v>1.48</v>
      </c>
      <c r="T3831" s="2">
        <v>0.34039999999999998</v>
      </c>
      <c r="U3831" s="2">
        <v>1.8204</v>
      </c>
      <c r="V3831" s="2">
        <v>1.48</v>
      </c>
      <c r="W3831" s="5">
        <f t="shared" si="420"/>
        <v>0</v>
      </c>
      <c r="Y3831" s="2" t="s">
        <v>3256</v>
      </c>
      <c r="Z3831" s="2" t="s">
        <v>97</v>
      </c>
      <c r="AA3831" s="2" t="s">
        <v>77</v>
      </c>
      <c r="AB3831" s="2" t="s">
        <v>94</v>
      </c>
      <c r="AE3831" s="2">
        <f t="shared" si="414"/>
        <v>0</v>
      </c>
      <c r="AI3831" s="2">
        <f t="shared" si="415"/>
        <v>0</v>
      </c>
      <c r="AJ3831" s="2">
        <f t="shared" si="422"/>
        <v>0</v>
      </c>
      <c r="AK3831" s="5">
        <f t="shared" si="421"/>
        <v>0</v>
      </c>
    </row>
    <row r="3832" spans="1:37" x14ac:dyDescent="0.2">
      <c r="A3832" s="2">
        <v>2026</v>
      </c>
      <c r="B3832" s="2">
        <v>4</v>
      </c>
      <c r="C3832" s="2" t="s">
        <v>546</v>
      </c>
      <c r="D3832" s="2" t="s">
        <v>109</v>
      </c>
      <c r="E3832" s="2" t="s">
        <v>39</v>
      </c>
      <c r="F3832" s="2">
        <v>506411206</v>
      </c>
      <c r="G3832" s="2" t="s">
        <v>41</v>
      </c>
      <c r="H3832" s="2" t="s">
        <v>547</v>
      </c>
      <c r="I3832" s="2" t="s">
        <v>548</v>
      </c>
      <c r="K3832" s="2" t="s">
        <v>202</v>
      </c>
      <c r="L3832" s="2" t="s">
        <v>41</v>
      </c>
      <c r="N3832" s="2" t="s">
        <v>2906</v>
      </c>
      <c r="O3832" s="2" t="s">
        <v>94</v>
      </c>
      <c r="P3832" s="2" t="s">
        <v>95</v>
      </c>
      <c r="Q3832" s="2" t="s">
        <v>96</v>
      </c>
      <c r="R3832" s="2">
        <v>1</v>
      </c>
      <c r="S3832" s="2">
        <v>1.48</v>
      </c>
      <c r="T3832" s="2">
        <v>0.34039999999999998</v>
      </c>
      <c r="U3832" s="2">
        <v>1.8204</v>
      </c>
      <c r="V3832" s="2">
        <v>1.48</v>
      </c>
      <c r="W3832" s="5">
        <f t="shared" si="420"/>
        <v>0</v>
      </c>
      <c r="Y3832" s="2" t="s">
        <v>3256</v>
      </c>
      <c r="Z3832" s="2" t="s">
        <v>97</v>
      </c>
      <c r="AA3832" s="2" t="s">
        <v>77</v>
      </c>
      <c r="AB3832" s="2" t="s">
        <v>94</v>
      </c>
      <c r="AE3832" s="2">
        <f t="shared" si="414"/>
        <v>0</v>
      </c>
      <c r="AF3832" s="2">
        <v>1.48</v>
      </c>
      <c r="AG3832" s="2">
        <v>1.48</v>
      </c>
      <c r="AI3832" s="2">
        <f t="shared" si="415"/>
        <v>0</v>
      </c>
      <c r="AJ3832" s="2">
        <f t="shared" si="422"/>
        <v>0</v>
      </c>
      <c r="AK3832" s="5">
        <f t="shared" si="421"/>
        <v>0</v>
      </c>
    </row>
    <row r="3833" spans="1:37" x14ac:dyDescent="0.2">
      <c r="A3833" s="2">
        <v>2026</v>
      </c>
      <c r="B3833" s="2">
        <v>4</v>
      </c>
      <c r="C3833" s="2" t="s">
        <v>2548</v>
      </c>
      <c r="O3833" s="2" t="s">
        <v>94</v>
      </c>
      <c r="P3833" s="2" t="s">
        <v>95</v>
      </c>
      <c r="Q3833" s="2" t="s">
        <v>96</v>
      </c>
      <c r="R3833" s="2">
        <v>1</v>
      </c>
      <c r="S3833" s="2">
        <v>1.48</v>
      </c>
      <c r="T3833" s="2">
        <v>0.34039999999999998</v>
      </c>
      <c r="U3833" s="2">
        <v>1.8204</v>
      </c>
      <c r="V3833" s="2">
        <v>1.48</v>
      </c>
      <c r="W3833" s="5">
        <f t="shared" si="420"/>
        <v>0</v>
      </c>
      <c r="Y3833" s="2" t="s">
        <v>3256</v>
      </c>
      <c r="Z3833" s="2" t="s">
        <v>97</v>
      </c>
      <c r="AA3833" s="2" t="s">
        <v>77</v>
      </c>
      <c r="AB3833" s="2" t="s">
        <v>94</v>
      </c>
      <c r="AE3833" s="2">
        <f t="shared" si="414"/>
        <v>0</v>
      </c>
      <c r="AI3833" s="2">
        <f t="shared" si="415"/>
        <v>0</v>
      </c>
      <c r="AJ3833" s="2">
        <f t="shared" si="422"/>
        <v>0</v>
      </c>
      <c r="AK3833" s="5">
        <f t="shared" si="421"/>
        <v>0</v>
      </c>
    </row>
    <row r="3834" spans="1:37" x14ac:dyDescent="0.2">
      <c r="A3834" s="2">
        <v>2026</v>
      </c>
      <c r="B3834" s="2">
        <v>4</v>
      </c>
      <c r="C3834" s="2" t="s">
        <v>1431</v>
      </c>
      <c r="D3834" s="2" t="s">
        <v>109</v>
      </c>
      <c r="E3834" s="2" t="s">
        <v>39</v>
      </c>
      <c r="F3834" s="2">
        <v>513795855</v>
      </c>
      <c r="G3834" s="2" t="s">
        <v>41</v>
      </c>
      <c r="H3834" s="2" t="s">
        <v>1282</v>
      </c>
      <c r="I3834" s="2" t="s">
        <v>2416</v>
      </c>
      <c r="K3834" s="2" t="s">
        <v>178</v>
      </c>
      <c r="L3834" s="2" t="s">
        <v>41</v>
      </c>
      <c r="O3834" s="2" t="s">
        <v>94</v>
      </c>
      <c r="P3834" s="2" t="s">
        <v>95</v>
      </c>
      <c r="Q3834" s="2" t="s">
        <v>96</v>
      </c>
      <c r="R3834" s="2">
        <v>1</v>
      </c>
      <c r="S3834" s="2">
        <v>1.48</v>
      </c>
      <c r="T3834" s="2">
        <v>0.34039999999999998</v>
      </c>
      <c r="U3834" s="2">
        <v>1.8204</v>
      </c>
      <c r="V3834" s="2">
        <v>1.48</v>
      </c>
      <c r="W3834" s="5">
        <f t="shared" si="420"/>
        <v>0</v>
      </c>
      <c r="Y3834" s="2" t="s">
        <v>3256</v>
      </c>
      <c r="Z3834" s="2" t="s">
        <v>97</v>
      </c>
      <c r="AA3834" s="2" t="s">
        <v>77</v>
      </c>
      <c r="AB3834" s="2" t="s">
        <v>94</v>
      </c>
      <c r="AE3834" s="2">
        <f t="shared" si="414"/>
        <v>0</v>
      </c>
      <c r="AI3834" s="2">
        <f t="shared" si="415"/>
        <v>0</v>
      </c>
      <c r="AJ3834" s="2">
        <f t="shared" si="422"/>
        <v>0</v>
      </c>
      <c r="AK3834" s="5">
        <f t="shared" si="421"/>
        <v>0</v>
      </c>
    </row>
    <row r="3835" spans="1:37" x14ac:dyDescent="0.2">
      <c r="A3835" s="2">
        <v>2026</v>
      </c>
      <c r="B3835" s="2">
        <v>4</v>
      </c>
      <c r="C3835" s="2" t="s">
        <v>553</v>
      </c>
      <c r="D3835" s="2" t="s">
        <v>109</v>
      </c>
      <c r="E3835" s="2" t="s">
        <v>397</v>
      </c>
      <c r="F3835" s="2">
        <v>503641790</v>
      </c>
      <c r="G3835" s="2" t="s">
        <v>40</v>
      </c>
      <c r="H3835" s="2" t="s">
        <v>554</v>
      </c>
      <c r="I3835" s="2" t="s">
        <v>555</v>
      </c>
      <c r="J3835" s="2">
        <v>917753665</v>
      </c>
      <c r="K3835" s="2" t="s">
        <v>100</v>
      </c>
      <c r="L3835" s="2" t="s">
        <v>81</v>
      </c>
      <c r="N3835" s="2" t="s">
        <v>2898</v>
      </c>
      <c r="O3835" s="2" t="s">
        <v>94</v>
      </c>
      <c r="P3835" s="2" t="s">
        <v>95</v>
      </c>
      <c r="Q3835" s="2" t="s">
        <v>96</v>
      </c>
      <c r="R3835" s="2">
        <v>3</v>
      </c>
      <c r="S3835" s="2">
        <v>4.4400000000000004</v>
      </c>
      <c r="T3835" s="2">
        <v>1.0212000000000001</v>
      </c>
      <c r="U3835" s="2">
        <v>5.4612000000000007</v>
      </c>
      <c r="V3835" s="2">
        <v>4.4400000000000004</v>
      </c>
      <c r="W3835" s="5">
        <f t="shared" si="420"/>
        <v>0</v>
      </c>
      <c r="Y3835" s="2" t="s">
        <v>3256</v>
      </c>
      <c r="Z3835" s="2" t="s">
        <v>97</v>
      </c>
      <c r="AA3835" s="2" t="s">
        <v>77</v>
      </c>
      <c r="AB3835" s="2" t="s">
        <v>94</v>
      </c>
      <c r="AE3835" s="2">
        <f t="shared" si="414"/>
        <v>0</v>
      </c>
      <c r="AF3835" s="2">
        <v>1.48</v>
      </c>
      <c r="AG3835" s="2">
        <v>1.48</v>
      </c>
      <c r="AI3835" s="2">
        <f t="shared" si="415"/>
        <v>0</v>
      </c>
      <c r="AJ3835" s="2">
        <f t="shared" si="422"/>
        <v>0</v>
      </c>
      <c r="AK3835" s="5">
        <f t="shared" si="421"/>
        <v>0</v>
      </c>
    </row>
    <row r="3836" spans="1:37" x14ac:dyDescent="0.2">
      <c r="A3836" s="2">
        <v>2026</v>
      </c>
      <c r="B3836" s="2">
        <v>4</v>
      </c>
      <c r="C3836" s="2" t="s">
        <v>901</v>
      </c>
      <c r="O3836" s="2" t="s">
        <v>94</v>
      </c>
      <c r="P3836" s="2" t="s">
        <v>95</v>
      </c>
      <c r="Q3836" s="2" t="s">
        <v>96</v>
      </c>
      <c r="R3836" s="2">
        <v>1</v>
      </c>
      <c r="S3836" s="2">
        <v>1.48</v>
      </c>
      <c r="T3836" s="2">
        <v>0.34039999999999998</v>
      </c>
      <c r="U3836" s="2">
        <v>1.8204</v>
      </c>
      <c r="V3836" s="2">
        <v>1.48</v>
      </c>
      <c r="W3836" s="5">
        <f t="shared" si="420"/>
        <v>0</v>
      </c>
      <c r="Y3836" s="2" t="s">
        <v>3256</v>
      </c>
      <c r="Z3836" s="2" t="s">
        <v>97</v>
      </c>
      <c r="AA3836" s="2" t="s">
        <v>77</v>
      </c>
      <c r="AB3836" s="2" t="s">
        <v>94</v>
      </c>
      <c r="AE3836" s="2">
        <f t="shared" si="414"/>
        <v>0</v>
      </c>
      <c r="AI3836" s="2">
        <f t="shared" si="415"/>
        <v>0</v>
      </c>
      <c r="AJ3836" s="2">
        <f t="shared" si="422"/>
        <v>0</v>
      </c>
      <c r="AK3836" s="5">
        <f t="shared" si="421"/>
        <v>0</v>
      </c>
    </row>
    <row r="3837" spans="1:37" x14ac:dyDescent="0.2">
      <c r="A3837" s="2">
        <v>2026</v>
      </c>
      <c r="B3837" s="2">
        <v>4</v>
      </c>
      <c r="C3837" s="2" t="s">
        <v>2581</v>
      </c>
      <c r="L3837" s="2" t="s">
        <v>81</v>
      </c>
      <c r="O3837" s="2" t="s">
        <v>94</v>
      </c>
      <c r="P3837" s="2" t="s">
        <v>95</v>
      </c>
      <c r="Q3837" s="2" t="s">
        <v>96</v>
      </c>
      <c r="R3837" s="2">
        <v>2</v>
      </c>
      <c r="S3837" s="2">
        <v>2.96</v>
      </c>
      <c r="T3837" s="2">
        <v>0.68080000000000007</v>
      </c>
      <c r="U3837" s="2">
        <v>3.6408</v>
      </c>
      <c r="V3837" s="2">
        <v>2.96</v>
      </c>
      <c r="W3837" s="5">
        <f t="shared" si="420"/>
        <v>0</v>
      </c>
      <c r="Y3837" s="2" t="s">
        <v>3256</v>
      </c>
      <c r="Z3837" s="2" t="s">
        <v>97</v>
      </c>
      <c r="AA3837" s="2" t="s">
        <v>77</v>
      </c>
      <c r="AB3837" s="2" t="s">
        <v>94</v>
      </c>
      <c r="AE3837" s="2">
        <f t="shared" si="414"/>
        <v>0</v>
      </c>
      <c r="AI3837" s="2">
        <f t="shared" si="415"/>
        <v>0</v>
      </c>
      <c r="AJ3837" s="2">
        <f t="shared" si="422"/>
        <v>0</v>
      </c>
      <c r="AK3837" s="5">
        <f t="shared" si="421"/>
        <v>0</v>
      </c>
    </row>
    <row r="3838" spans="1:37" x14ac:dyDescent="0.2">
      <c r="A3838" s="2">
        <v>2026</v>
      </c>
      <c r="B3838" s="2">
        <v>4</v>
      </c>
      <c r="C3838" s="2" t="s">
        <v>1305</v>
      </c>
      <c r="D3838" s="2" t="s">
        <v>184</v>
      </c>
      <c r="E3838" s="2" t="s">
        <v>368</v>
      </c>
      <c r="F3838" s="2">
        <v>500625654</v>
      </c>
      <c r="G3838" s="2" t="s">
        <v>291</v>
      </c>
      <c r="H3838" s="2" t="s">
        <v>340</v>
      </c>
      <c r="I3838" s="2" t="s">
        <v>1306</v>
      </c>
      <c r="K3838" s="2" t="s">
        <v>340</v>
      </c>
      <c r="L3838" s="2" t="s">
        <v>81</v>
      </c>
      <c r="N3838" s="2" t="s">
        <v>2933</v>
      </c>
      <c r="O3838" s="2" t="s">
        <v>94</v>
      </c>
      <c r="P3838" s="2" t="s">
        <v>95</v>
      </c>
      <c r="Q3838" s="2" t="s">
        <v>96</v>
      </c>
      <c r="R3838" s="2">
        <v>3</v>
      </c>
      <c r="S3838" s="2">
        <v>4.4400000000000004</v>
      </c>
      <c r="T3838" s="2">
        <v>1.0212000000000001</v>
      </c>
      <c r="U3838" s="2">
        <v>5.4612000000000007</v>
      </c>
      <c r="V3838" s="2">
        <v>4.4400000000000004</v>
      </c>
      <c r="W3838" s="5">
        <f t="shared" si="420"/>
        <v>0</v>
      </c>
      <c r="Y3838" s="2" t="s">
        <v>3256</v>
      </c>
      <c r="Z3838" s="2" t="s">
        <v>97</v>
      </c>
      <c r="AA3838" s="2" t="s">
        <v>77</v>
      </c>
      <c r="AB3838" s="2" t="s">
        <v>94</v>
      </c>
      <c r="AE3838" s="2">
        <f t="shared" si="414"/>
        <v>0</v>
      </c>
      <c r="AF3838" s="2">
        <v>1.48</v>
      </c>
      <c r="AG3838" s="2">
        <v>1.48</v>
      </c>
      <c r="AI3838" s="2">
        <f t="shared" si="415"/>
        <v>0</v>
      </c>
      <c r="AJ3838" s="2">
        <f t="shared" si="422"/>
        <v>0</v>
      </c>
      <c r="AK3838" s="5">
        <f t="shared" si="421"/>
        <v>0</v>
      </c>
    </row>
    <row r="3839" spans="1:37" x14ac:dyDescent="0.2">
      <c r="A3839" s="2">
        <v>2026</v>
      </c>
      <c r="B3839" s="2">
        <v>4</v>
      </c>
      <c r="C3839" s="2" t="s">
        <v>1974</v>
      </c>
      <c r="O3839" s="2" t="s">
        <v>94</v>
      </c>
      <c r="P3839" s="2" t="s">
        <v>95</v>
      </c>
      <c r="Q3839" s="2" t="s">
        <v>96</v>
      </c>
      <c r="R3839" s="2">
        <v>1</v>
      </c>
      <c r="S3839" s="2">
        <v>1.48</v>
      </c>
      <c r="T3839" s="2">
        <v>0.34039999999999998</v>
      </c>
      <c r="U3839" s="2">
        <v>1.8204</v>
      </c>
      <c r="V3839" s="2">
        <v>1.48</v>
      </c>
      <c r="W3839" s="5">
        <f t="shared" si="420"/>
        <v>0</v>
      </c>
      <c r="Y3839" s="2" t="s">
        <v>3256</v>
      </c>
      <c r="Z3839" s="2" t="s">
        <v>97</v>
      </c>
      <c r="AA3839" s="2" t="s">
        <v>77</v>
      </c>
      <c r="AB3839" s="2" t="s">
        <v>94</v>
      </c>
      <c r="AE3839" s="2">
        <f t="shared" si="414"/>
        <v>0</v>
      </c>
      <c r="AI3839" s="2">
        <f t="shared" si="415"/>
        <v>0</v>
      </c>
      <c r="AJ3839" s="2">
        <f t="shared" si="422"/>
        <v>0</v>
      </c>
      <c r="AK3839" s="5">
        <f t="shared" si="421"/>
        <v>0</v>
      </c>
    </row>
    <row r="3840" spans="1:37" x14ac:dyDescent="0.2">
      <c r="A3840" s="2">
        <v>2026</v>
      </c>
      <c r="B3840" s="2">
        <v>4</v>
      </c>
      <c r="C3840" s="2" t="s">
        <v>553</v>
      </c>
      <c r="D3840" s="2" t="s">
        <v>109</v>
      </c>
      <c r="E3840" s="2" t="s">
        <v>397</v>
      </c>
      <c r="F3840" s="2">
        <v>503641790</v>
      </c>
      <c r="G3840" s="2" t="s">
        <v>40</v>
      </c>
      <c r="H3840" s="2" t="s">
        <v>554</v>
      </c>
      <c r="I3840" s="2" t="s">
        <v>555</v>
      </c>
      <c r="J3840" s="2">
        <v>917753665</v>
      </c>
      <c r="K3840" s="2" t="s">
        <v>100</v>
      </c>
      <c r="L3840" s="2" t="s">
        <v>40</v>
      </c>
      <c r="N3840" s="2" t="s">
        <v>2925</v>
      </c>
      <c r="O3840" s="2" t="s">
        <v>115</v>
      </c>
      <c r="P3840" s="2" t="s">
        <v>411</v>
      </c>
      <c r="Q3840" s="2" t="s">
        <v>412</v>
      </c>
      <c r="R3840" s="2">
        <v>1</v>
      </c>
      <c r="S3840" s="2">
        <v>0</v>
      </c>
      <c r="T3840" s="2">
        <v>0</v>
      </c>
      <c r="U3840" s="2">
        <v>0</v>
      </c>
      <c r="W3840" s="5">
        <v>0</v>
      </c>
      <c r="Y3840" s="2" t="s">
        <v>118</v>
      </c>
      <c r="Z3840" s="2" t="s">
        <v>318</v>
      </c>
      <c r="AE3840" s="2">
        <f t="shared" si="414"/>
        <v>0</v>
      </c>
      <c r="AI3840" s="2">
        <f t="shared" si="415"/>
        <v>0</v>
      </c>
      <c r="AJ3840" s="2">
        <f t="shared" si="422"/>
        <v>0</v>
      </c>
      <c r="AK3840" s="5" t="e">
        <f t="shared" si="421"/>
        <v>#DIV/0!</v>
      </c>
    </row>
    <row r="3841" spans="1:37" x14ac:dyDescent="0.2">
      <c r="A3841" s="2">
        <v>2026</v>
      </c>
      <c r="B3841" s="2">
        <v>4</v>
      </c>
      <c r="C3841" s="2" t="s">
        <v>721</v>
      </c>
      <c r="O3841" s="2" t="s">
        <v>40</v>
      </c>
      <c r="P3841" s="2" t="s">
        <v>364</v>
      </c>
      <c r="Q3841" s="2" t="s">
        <v>365</v>
      </c>
      <c r="R3841" s="2">
        <v>1</v>
      </c>
      <c r="S3841" s="2">
        <v>72.37</v>
      </c>
      <c r="T3841" s="2">
        <v>16.645099999999999</v>
      </c>
      <c r="U3841" s="2">
        <v>89.015100000000004</v>
      </c>
      <c r="W3841" s="5">
        <f>(S3841-V3841)/S3841</f>
        <v>1</v>
      </c>
      <c r="Y3841" s="2" t="s">
        <v>120</v>
      </c>
      <c r="AE3841" s="2">
        <f t="shared" si="414"/>
        <v>0</v>
      </c>
      <c r="AI3841" s="2">
        <f t="shared" si="415"/>
        <v>0</v>
      </c>
      <c r="AJ3841" s="2">
        <f t="shared" si="422"/>
        <v>72.37</v>
      </c>
      <c r="AK3841" s="5">
        <f t="shared" si="421"/>
        <v>1</v>
      </c>
    </row>
    <row r="3842" spans="1:37" x14ac:dyDescent="0.2">
      <c r="A3842" s="2">
        <v>2026</v>
      </c>
      <c r="B3842" s="2">
        <v>4</v>
      </c>
      <c r="C3842" s="2" t="s">
        <v>384</v>
      </c>
      <c r="D3842" s="2" t="s">
        <v>38</v>
      </c>
      <c r="E3842" s="2" t="s">
        <v>39</v>
      </c>
      <c r="F3842" s="2">
        <v>212196260</v>
      </c>
      <c r="G3842" s="2" t="s">
        <v>110</v>
      </c>
      <c r="H3842" s="2" t="s">
        <v>385</v>
      </c>
      <c r="I3842" s="2" t="s">
        <v>386</v>
      </c>
      <c r="J3842" s="2">
        <v>926769894</v>
      </c>
      <c r="K3842" s="2" t="s">
        <v>113</v>
      </c>
      <c r="L3842" s="2" t="s">
        <v>110</v>
      </c>
      <c r="N3842" s="2" t="s">
        <v>2934</v>
      </c>
      <c r="O3842" s="2" t="s">
        <v>40</v>
      </c>
      <c r="P3842" s="2" t="s">
        <v>364</v>
      </c>
      <c r="Q3842" s="2" t="s">
        <v>365</v>
      </c>
      <c r="R3842" s="2">
        <v>38</v>
      </c>
      <c r="S3842" s="2">
        <v>286.36</v>
      </c>
      <c r="T3842" s="2">
        <v>65.862800000000007</v>
      </c>
      <c r="U3842" s="2">
        <v>352.22280000000001</v>
      </c>
      <c r="W3842" s="5">
        <f>(S3842-V3842)/S3842</f>
        <v>1</v>
      </c>
      <c r="Y3842" s="2" t="s">
        <v>3256</v>
      </c>
      <c r="Z3842" s="2" t="s">
        <v>120</v>
      </c>
      <c r="AE3842" s="2">
        <f t="shared" si="414"/>
        <v>0</v>
      </c>
      <c r="AI3842" s="2">
        <f t="shared" si="415"/>
        <v>0</v>
      </c>
      <c r="AJ3842" s="2">
        <f t="shared" si="422"/>
        <v>286.36</v>
      </c>
      <c r="AK3842" s="5">
        <f t="shared" si="421"/>
        <v>1</v>
      </c>
    </row>
    <row r="3843" spans="1:37" x14ac:dyDescent="0.2">
      <c r="A3843" s="2">
        <v>2026</v>
      </c>
      <c r="B3843" s="2">
        <v>4</v>
      </c>
      <c r="C3843" s="2" t="s">
        <v>2930</v>
      </c>
      <c r="O3843" s="2" t="s">
        <v>40</v>
      </c>
      <c r="P3843" s="2" t="s">
        <v>364</v>
      </c>
      <c r="Q3843" s="2" t="s">
        <v>365</v>
      </c>
      <c r="R3843" s="2">
        <v>1</v>
      </c>
      <c r="S3843" s="2">
        <v>75.25</v>
      </c>
      <c r="T3843" s="2">
        <v>17.307500000000001</v>
      </c>
      <c r="U3843" s="2">
        <v>92.557500000000005</v>
      </c>
      <c r="W3843" s="5">
        <f>(S3843-V3843)/S3843</f>
        <v>1</v>
      </c>
      <c r="Y3843" s="2" t="s">
        <v>120</v>
      </c>
      <c r="AE3843" s="2">
        <f t="shared" ref="AE3843:AE3906" si="423">AI3843</f>
        <v>0</v>
      </c>
      <c r="AI3843" s="2">
        <f t="shared" ref="AI3843:AI3906" si="424">AH3843*S3843</f>
        <v>0</v>
      </c>
      <c r="AJ3843" s="2">
        <f t="shared" si="422"/>
        <v>75.25</v>
      </c>
      <c r="AK3843" s="5">
        <f t="shared" si="421"/>
        <v>1</v>
      </c>
    </row>
    <row r="3844" spans="1:37" x14ac:dyDescent="0.2">
      <c r="A3844" s="2">
        <v>2026</v>
      </c>
      <c r="B3844" s="2">
        <v>5</v>
      </c>
      <c r="C3844" s="2" t="s">
        <v>37</v>
      </c>
      <c r="D3844" s="2" t="s">
        <v>38</v>
      </c>
      <c r="E3844" s="2" t="s">
        <v>39</v>
      </c>
      <c r="G3844" s="2" t="s">
        <v>40</v>
      </c>
      <c r="O3844" s="2" t="s">
        <v>153</v>
      </c>
      <c r="P3844" s="2" t="s">
        <v>1959</v>
      </c>
      <c r="Q3844" s="2" t="s">
        <v>1960</v>
      </c>
      <c r="R3844" s="2">
        <v>4</v>
      </c>
      <c r="S3844" s="2">
        <v>20</v>
      </c>
      <c r="T3844" s="2">
        <v>4.6000000000000014</v>
      </c>
      <c r="U3844" s="2">
        <v>24.6</v>
      </c>
      <c r="W3844" s="5">
        <f>(S3844-V3844)/S3844</f>
        <v>1</v>
      </c>
      <c r="Y3844" s="2" t="s">
        <v>3256</v>
      </c>
      <c r="Z3844" s="2" t="s">
        <v>156</v>
      </c>
      <c r="AA3844" s="2" t="s">
        <v>1960</v>
      </c>
      <c r="AB3844" s="2" t="s">
        <v>153</v>
      </c>
      <c r="AE3844" s="2">
        <f t="shared" si="423"/>
        <v>0</v>
      </c>
      <c r="AI3844" s="2">
        <f t="shared" si="424"/>
        <v>0</v>
      </c>
      <c r="AJ3844" s="2">
        <f t="shared" si="422"/>
        <v>20</v>
      </c>
      <c r="AK3844" s="5">
        <f t="shared" si="421"/>
        <v>1</v>
      </c>
    </row>
    <row r="3845" spans="1:37" x14ac:dyDescent="0.2">
      <c r="A3845" s="2">
        <v>2026</v>
      </c>
      <c r="B3845" s="2">
        <v>5</v>
      </c>
      <c r="C3845" s="2" t="s">
        <v>37</v>
      </c>
      <c r="D3845" s="2" t="s">
        <v>38</v>
      </c>
      <c r="E3845" s="2" t="s">
        <v>39</v>
      </c>
      <c r="G3845" s="2" t="s">
        <v>40</v>
      </c>
      <c r="O3845" s="2" t="s">
        <v>43</v>
      </c>
      <c r="P3845" s="2" t="s">
        <v>49</v>
      </c>
      <c r="Q3845" s="2" t="s">
        <v>50</v>
      </c>
      <c r="R3845" s="2">
        <v>1</v>
      </c>
      <c r="S3845" s="2">
        <v>0</v>
      </c>
      <c r="T3845" s="2">
        <v>0</v>
      </c>
      <c r="U3845" s="2">
        <v>0</v>
      </c>
      <c r="V3845" s="2">
        <f>6.6267*R3845</f>
        <v>6.6266999999999996</v>
      </c>
      <c r="W3845" s="5">
        <f>IF(S3845=0,IF(V3845&gt;0,-100%,0%),(S3845-V3845)/S3845)</f>
        <v>-1</v>
      </c>
      <c r="Y3845" s="2" t="s">
        <v>3256</v>
      </c>
      <c r="Z3845" s="2" t="s">
        <v>46</v>
      </c>
      <c r="AA3845" s="2" t="s">
        <v>47</v>
      </c>
      <c r="AB3845" s="2" t="s">
        <v>48</v>
      </c>
      <c r="AE3845" s="2">
        <f t="shared" si="423"/>
        <v>0</v>
      </c>
      <c r="AF3845" s="2">
        <v>6.6266999999999996</v>
      </c>
      <c r="AG3845" s="2">
        <v>12</v>
      </c>
      <c r="AI3845" s="2">
        <f t="shared" si="424"/>
        <v>0</v>
      </c>
      <c r="AJ3845" s="2">
        <f t="shared" si="422"/>
        <v>-6.6266999999999996</v>
      </c>
      <c r="AK3845" s="5">
        <f>IF(S3845=0,IF(V3845&gt;0,-100%,0%),(S3845-V3845)/S3845)</f>
        <v>-1</v>
      </c>
    </row>
    <row r="3846" spans="1:37" x14ac:dyDescent="0.2">
      <c r="A3846" s="2">
        <v>2026</v>
      </c>
      <c r="B3846" s="2">
        <v>5</v>
      </c>
      <c r="C3846" s="2" t="s">
        <v>37</v>
      </c>
      <c r="D3846" s="2" t="s">
        <v>38</v>
      </c>
      <c r="E3846" s="2" t="s">
        <v>39</v>
      </c>
      <c r="G3846" s="2" t="s">
        <v>40</v>
      </c>
      <c r="O3846" s="2" t="s">
        <v>43</v>
      </c>
      <c r="P3846" s="2" t="s">
        <v>55</v>
      </c>
      <c r="Q3846" s="2" t="s">
        <v>56</v>
      </c>
      <c r="R3846" s="2">
        <v>5</v>
      </c>
      <c r="S3846" s="2">
        <v>70.5</v>
      </c>
      <c r="T3846" s="2">
        <v>16.215</v>
      </c>
      <c r="U3846" s="2">
        <v>86.715000000000003</v>
      </c>
      <c r="V3846" s="2">
        <f>10.6*R3846</f>
        <v>53</v>
      </c>
      <c r="W3846" s="5">
        <f t="shared" ref="W3846:W3877" si="425">(S3846-V3846)/S3846</f>
        <v>0.24822695035460993</v>
      </c>
      <c r="Y3846" s="2" t="s">
        <v>3256</v>
      </c>
      <c r="Z3846" s="2" t="s">
        <v>46</v>
      </c>
      <c r="AA3846" s="2" t="s">
        <v>57</v>
      </c>
      <c r="AB3846" s="2" t="s">
        <v>58</v>
      </c>
      <c r="AE3846" s="2">
        <f t="shared" si="423"/>
        <v>0</v>
      </c>
      <c r="AF3846" s="2">
        <v>10.6</v>
      </c>
      <c r="AG3846" s="2">
        <v>18</v>
      </c>
      <c r="AI3846" s="2">
        <f t="shared" si="424"/>
        <v>0</v>
      </c>
      <c r="AJ3846" s="2">
        <f t="shared" si="422"/>
        <v>17.5</v>
      </c>
      <c r="AK3846" s="5">
        <f t="shared" ref="AK3846:AK3877" si="426">(S3846-V3846)/S3846</f>
        <v>0.24822695035460993</v>
      </c>
    </row>
    <row r="3847" spans="1:37" x14ac:dyDescent="0.2">
      <c r="A3847" s="2">
        <v>2026</v>
      </c>
      <c r="B3847" s="2">
        <v>5</v>
      </c>
      <c r="C3847" s="2" t="s">
        <v>37</v>
      </c>
      <c r="D3847" s="2" t="s">
        <v>38</v>
      </c>
      <c r="E3847" s="2" t="s">
        <v>39</v>
      </c>
      <c r="G3847" s="2" t="s">
        <v>40</v>
      </c>
      <c r="O3847" s="2" t="s">
        <v>43</v>
      </c>
      <c r="P3847" s="2" t="s">
        <v>62</v>
      </c>
      <c r="Q3847" s="2" t="s">
        <v>63</v>
      </c>
      <c r="R3847" s="2">
        <v>400</v>
      </c>
      <c r="S3847" s="2">
        <v>47</v>
      </c>
      <c r="T3847" s="2">
        <v>10.81</v>
      </c>
      <c r="U3847" s="2">
        <v>57.81</v>
      </c>
      <c r="V3847" s="2">
        <f>0.082*R3847</f>
        <v>32.800000000000004</v>
      </c>
      <c r="W3847" s="5">
        <f t="shared" si="425"/>
        <v>0.30212765957446802</v>
      </c>
      <c r="Y3847" s="2" t="s">
        <v>3256</v>
      </c>
      <c r="Z3847" s="2" t="s">
        <v>46</v>
      </c>
      <c r="AA3847" s="2" t="s">
        <v>61</v>
      </c>
      <c r="AB3847" s="2" t="s">
        <v>58</v>
      </c>
      <c r="AE3847" s="2">
        <f t="shared" si="423"/>
        <v>0</v>
      </c>
      <c r="AF3847" s="2">
        <v>8.1999999999999993</v>
      </c>
      <c r="AG3847" s="2">
        <v>13</v>
      </c>
      <c r="AI3847" s="2">
        <f t="shared" si="424"/>
        <v>0</v>
      </c>
      <c r="AJ3847" s="2">
        <f t="shared" si="422"/>
        <v>14.199999999999996</v>
      </c>
      <c r="AK3847" s="5">
        <f t="shared" si="426"/>
        <v>0.30212765957446802</v>
      </c>
    </row>
    <row r="3848" spans="1:37" x14ac:dyDescent="0.2">
      <c r="A3848" s="2">
        <v>2026</v>
      </c>
      <c r="B3848" s="2">
        <v>5</v>
      </c>
      <c r="C3848" s="2" t="s">
        <v>37</v>
      </c>
      <c r="D3848" s="2" t="s">
        <v>38</v>
      </c>
      <c r="E3848" s="2" t="s">
        <v>39</v>
      </c>
      <c r="G3848" s="2" t="s">
        <v>40</v>
      </c>
      <c r="O3848" s="2" t="s">
        <v>43</v>
      </c>
      <c r="P3848" s="2" t="s">
        <v>64</v>
      </c>
      <c r="Q3848" s="2" t="s">
        <v>65</v>
      </c>
      <c r="R3848" s="2">
        <v>20</v>
      </c>
      <c r="S3848" s="2">
        <v>36</v>
      </c>
      <c r="T3848" s="2">
        <v>8.2800000000000011</v>
      </c>
      <c r="U3848" s="2">
        <v>44.28</v>
      </c>
      <c r="V3848" s="2">
        <f>0.8561*R3848</f>
        <v>17.122</v>
      </c>
      <c r="W3848" s="5">
        <f t="shared" si="425"/>
        <v>0.5243888888888889</v>
      </c>
      <c r="Y3848" s="2" t="s">
        <v>3256</v>
      </c>
      <c r="Z3848" s="2" t="s">
        <v>46</v>
      </c>
      <c r="AA3848" s="2" t="s">
        <v>61</v>
      </c>
      <c r="AB3848" s="2" t="s">
        <v>58</v>
      </c>
      <c r="AE3848" s="2">
        <f t="shared" si="423"/>
        <v>0</v>
      </c>
      <c r="AF3848" s="2">
        <v>0.85609999999999997</v>
      </c>
      <c r="AG3848" s="2">
        <v>1.8</v>
      </c>
      <c r="AI3848" s="2">
        <f t="shared" si="424"/>
        <v>0</v>
      </c>
      <c r="AJ3848" s="2">
        <f t="shared" si="422"/>
        <v>18.878</v>
      </c>
      <c r="AK3848" s="5">
        <f t="shared" si="426"/>
        <v>0.5243888888888889</v>
      </c>
    </row>
    <row r="3849" spans="1:37" x14ac:dyDescent="0.2">
      <c r="A3849" s="2">
        <v>2026</v>
      </c>
      <c r="B3849" s="2">
        <v>5</v>
      </c>
      <c r="C3849" s="2" t="s">
        <v>37</v>
      </c>
      <c r="D3849" s="2" t="s">
        <v>38</v>
      </c>
      <c r="E3849" s="2" t="s">
        <v>39</v>
      </c>
      <c r="G3849" s="2" t="s">
        <v>40</v>
      </c>
      <c r="O3849" s="2" t="s">
        <v>43</v>
      </c>
      <c r="P3849" s="2" t="s">
        <v>335</v>
      </c>
      <c r="Q3849" s="2" t="s">
        <v>336</v>
      </c>
      <c r="R3849" s="2">
        <v>17</v>
      </c>
      <c r="S3849" s="2">
        <v>51</v>
      </c>
      <c r="T3849" s="2">
        <v>11.73</v>
      </c>
      <c r="U3849" s="2">
        <v>62.73</v>
      </c>
      <c r="V3849" s="2">
        <f>1.1122*R3849</f>
        <v>18.907400000000003</v>
      </c>
      <c r="W3849" s="5">
        <f t="shared" si="425"/>
        <v>0.62926666666666664</v>
      </c>
      <c r="Y3849" s="2" t="s">
        <v>3256</v>
      </c>
      <c r="Z3849" s="2" t="s">
        <v>46</v>
      </c>
      <c r="AA3849" s="2" t="s">
        <v>61</v>
      </c>
      <c r="AB3849" s="2" t="s">
        <v>58</v>
      </c>
      <c r="AE3849" s="2">
        <f t="shared" si="423"/>
        <v>0</v>
      </c>
      <c r="AF3849" s="2">
        <v>1.1122000000000001</v>
      </c>
      <c r="AG3849" s="2">
        <v>3</v>
      </c>
      <c r="AI3849" s="2">
        <f t="shared" si="424"/>
        <v>0</v>
      </c>
      <c r="AJ3849" s="2">
        <f t="shared" si="422"/>
        <v>32.092599999999997</v>
      </c>
      <c r="AK3849" s="5">
        <f t="shared" si="426"/>
        <v>0.62926666666666664</v>
      </c>
    </row>
    <row r="3850" spans="1:37" x14ac:dyDescent="0.2">
      <c r="A3850" s="2">
        <v>2026</v>
      </c>
      <c r="B3850" s="2">
        <v>5</v>
      </c>
      <c r="C3850" s="2" t="s">
        <v>37</v>
      </c>
      <c r="D3850" s="2" t="s">
        <v>38</v>
      </c>
      <c r="E3850" s="2" t="s">
        <v>39</v>
      </c>
      <c r="G3850" s="2" t="s">
        <v>40</v>
      </c>
      <c r="O3850" s="2" t="s">
        <v>43</v>
      </c>
      <c r="P3850" s="2" t="s">
        <v>66</v>
      </c>
      <c r="Q3850" s="2" t="s">
        <v>67</v>
      </c>
      <c r="R3850" s="2">
        <v>4</v>
      </c>
      <c r="S3850" s="2">
        <v>93</v>
      </c>
      <c r="T3850" s="2">
        <v>21.39</v>
      </c>
      <c r="U3850" s="2">
        <v>114.39</v>
      </c>
      <c r="V3850" s="2">
        <f>15.0203*R3850</f>
        <v>60.081200000000003</v>
      </c>
      <c r="W3850" s="5">
        <f t="shared" si="425"/>
        <v>0.35396559139784944</v>
      </c>
      <c r="Y3850" s="2" t="s">
        <v>3256</v>
      </c>
      <c r="Z3850" s="2" t="s">
        <v>46</v>
      </c>
      <c r="AA3850" s="2" t="s">
        <v>68</v>
      </c>
      <c r="AB3850" s="2" t="s">
        <v>58</v>
      </c>
      <c r="AE3850" s="2">
        <f t="shared" si="423"/>
        <v>0</v>
      </c>
      <c r="AF3850" s="2">
        <v>15.020300000000001</v>
      </c>
      <c r="AG3850" s="2">
        <v>27.6</v>
      </c>
      <c r="AI3850" s="2">
        <f t="shared" si="424"/>
        <v>0</v>
      </c>
      <c r="AJ3850" s="2">
        <f t="shared" si="422"/>
        <v>32.918799999999997</v>
      </c>
      <c r="AK3850" s="5">
        <f t="shared" si="426"/>
        <v>0.35396559139784944</v>
      </c>
    </row>
    <row r="3851" spans="1:37" x14ac:dyDescent="0.2">
      <c r="A3851" s="2">
        <v>2026</v>
      </c>
      <c r="B3851" s="2">
        <v>5</v>
      </c>
      <c r="C3851" s="2" t="s">
        <v>37</v>
      </c>
      <c r="D3851" s="2" t="s">
        <v>38</v>
      </c>
      <c r="E3851" s="2" t="s">
        <v>39</v>
      </c>
      <c r="G3851" s="2" t="s">
        <v>40</v>
      </c>
      <c r="L3851" s="2" t="s">
        <v>81</v>
      </c>
      <c r="N3851" s="2" t="s">
        <v>2935</v>
      </c>
      <c r="O3851" s="2" t="s">
        <v>73</v>
      </c>
      <c r="P3851" s="2" t="s">
        <v>919</v>
      </c>
      <c r="Q3851" s="2" t="s">
        <v>75</v>
      </c>
      <c r="R3851" s="2">
        <v>1</v>
      </c>
      <c r="S3851" s="2">
        <v>234.29</v>
      </c>
      <c r="T3851" s="2">
        <v>53.886699999999998</v>
      </c>
      <c r="U3851" s="2">
        <v>288.17669999999998</v>
      </c>
      <c r="W3851" s="5">
        <f t="shared" si="425"/>
        <v>1</v>
      </c>
      <c r="Y3851" s="2" t="s">
        <v>3256</v>
      </c>
      <c r="Z3851" s="2" t="s">
        <v>76</v>
      </c>
      <c r="AA3851" s="2" t="s">
        <v>77</v>
      </c>
      <c r="AB3851" s="2" t="s">
        <v>78</v>
      </c>
      <c r="AE3851" s="2">
        <f t="shared" si="423"/>
        <v>0</v>
      </c>
      <c r="AI3851" s="2">
        <f t="shared" si="424"/>
        <v>0</v>
      </c>
      <c r="AJ3851" s="2">
        <f t="shared" si="422"/>
        <v>234.29</v>
      </c>
      <c r="AK3851" s="5">
        <f t="shared" si="426"/>
        <v>1</v>
      </c>
    </row>
    <row r="3852" spans="1:37" x14ac:dyDescent="0.2">
      <c r="A3852" s="2">
        <v>2026</v>
      </c>
      <c r="B3852" s="2">
        <v>5</v>
      </c>
      <c r="C3852" s="2" t="s">
        <v>37</v>
      </c>
      <c r="D3852" s="2" t="s">
        <v>38</v>
      </c>
      <c r="E3852" s="2" t="s">
        <v>39</v>
      </c>
      <c r="G3852" s="2" t="s">
        <v>40</v>
      </c>
      <c r="L3852" s="2" t="s">
        <v>81</v>
      </c>
      <c r="N3852" s="2" t="s">
        <v>2936</v>
      </c>
      <c r="O3852" s="2" t="s">
        <v>73</v>
      </c>
      <c r="P3852" s="2" t="s">
        <v>670</v>
      </c>
      <c r="Q3852" s="2" t="s">
        <v>80</v>
      </c>
      <c r="R3852" s="2">
        <v>1</v>
      </c>
      <c r="S3852" s="2">
        <v>234.29</v>
      </c>
      <c r="T3852" s="2">
        <v>53.886699999999998</v>
      </c>
      <c r="U3852" s="2">
        <v>288.17669999999998</v>
      </c>
      <c r="W3852" s="5">
        <f t="shared" si="425"/>
        <v>1</v>
      </c>
      <c r="Y3852" s="2" t="s">
        <v>3256</v>
      </c>
      <c r="Z3852" s="2" t="s">
        <v>76</v>
      </c>
      <c r="AA3852" s="2" t="s">
        <v>77</v>
      </c>
      <c r="AB3852" s="2" t="s">
        <v>78</v>
      </c>
      <c r="AE3852" s="2">
        <f t="shared" si="423"/>
        <v>0</v>
      </c>
      <c r="AI3852" s="2">
        <f t="shared" si="424"/>
        <v>0</v>
      </c>
      <c r="AJ3852" s="2">
        <f t="shared" si="422"/>
        <v>234.29</v>
      </c>
      <c r="AK3852" s="5">
        <f t="shared" si="426"/>
        <v>1</v>
      </c>
    </row>
    <row r="3853" spans="1:37" x14ac:dyDescent="0.2">
      <c r="A3853" s="2">
        <v>2026</v>
      </c>
      <c r="B3853" s="2">
        <v>5</v>
      </c>
      <c r="C3853" s="2" t="s">
        <v>37</v>
      </c>
      <c r="D3853" s="2" t="s">
        <v>38</v>
      </c>
      <c r="E3853" s="2" t="s">
        <v>39</v>
      </c>
      <c r="G3853" s="2" t="s">
        <v>40</v>
      </c>
      <c r="L3853" s="2" t="s">
        <v>81</v>
      </c>
      <c r="N3853" s="2" t="s">
        <v>2937</v>
      </c>
      <c r="O3853" s="2" t="s">
        <v>73</v>
      </c>
      <c r="P3853" s="2" t="s">
        <v>1461</v>
      </c>
      <c r="Q3853" s="2" t="s">
        <v>308</v>
      </c>
      <c r="R3853" s="2">
        <v>1</v>
      </c>
      <c r="S3853" s="2">
        <v>140</v>
      </c>
      <c r="T3853" s="2">
        <v>32.200000000000003</v>
      </c>
      <c r="U3853" s="2">
        <v>172.2</v>
      </c>
      <c r="V3853" s="2">
        <v>122.446</v>
      </c>
      <c r="W3853" s="5">
        <f t="shared" si="425"/>
        <v>0.12538571428571429</v>
      </c>
      <c r="Y3853" s="2" t="s">
        <v>3256</v>
      </c>
      <c r="Z3853" s="2" t="s">
        <v>76</v>
      </c>
      <c r="AA3853" s="2" t="s">
        <v>77</v>
      </c>
      <c r="AB3853" s="2" t="s">
        <v>78</v>
      </c>
      <c r="AE3853" s="2">
        <f t="shared" si="423"/>
        <v>0</v>
      </c>
      <c r="AF3853" s="2">
        <v>122.446</v>
      </c>
      <c r="AG3853" s="2">
        <v>230</v>
      </c>
      <c r="AI3853" s="2">
        <f t="shared" si="424"/>
        <v>0</v>
      </c>
      <c r="AJ3853" s="2">
        <f t="shared" si="422"/>
        <v>17.554000000000002</v>
      </c>
      <c r="AK3853" s="5">
        <f t="shared" si="426"/>
        <v>0.12538571428571429</v>
      </c>
    </row>
    <row r="3854" spans="1:37" x14ac:dyDescent="0.2">
      <c r="A3854" s="2">
        <v>2026</v>
      </c>
      <c r="B3854" s="2">
        <v>5</v>
      </c>
      <c r="C3854" s="2" t="s">
        <v>37</v>
      </c>
      <c r="D3854" s="2" t="s">
        <v>38</v>
      </c>
      <c r="E3854" s="2" t="s">
        <v>39</v>
      </c>
      <c r="G3854" s="2" t="s">
        <v>40</v>
      </c>
      <c r="O3854" s="2" t="s">
        <v>1390</v>
      </c>
      <c r="P3854" s="2" t="s">
        <v>2938</v>
      </c>
      <c r="Q3854" s="2" t="s">
        <v>2939</v>
      </c>
      <c r="R3854" s="2">
        <v>4</v>
      </c>
      <c r="S3854" s="2">
        <v>479.67</v>
      </c>
      <c r="T3854" s="2">
        <v>110.3241</v>
      </c>
      <c r="U3854" s="2">
        <v>589.9941</v>
      </c>
      <c r="W3854" s="5">
        <f t="shared" si="425"/>
        <v>1</v>
      </c>
      <c r="Y3854" s="2" t="s">
        <v>3256</v>
      </c>
      <c r="Z3854" s="2" t="s">
        <v>1050</v>
      </c>
      <c r="AA3854" s="2" t="s">
        <v>1280</v>
      </c>
      <c r="AB3854" s="2" t="s">
        <v>1390</v>
      </c>
      <c r="AE3854" s="2">
        <f t="shared" si="423"/>
        <v>0</v>
      </c>
      <c r="AI3854" s="2">
        <f t="shared" si="424"/>
        <v>0</v>
      </c>
      <c r="AJ3854" s="2">
        <f t="shared" si="422"/>
        <v>479.67</v>
      </c>
      <c r="AK3854" s="5">
        <f t="shared" si="426"/>
        <v>1</v>
      </c>
    </row>
    <row r="3855" spans="1:37" x14ac:dyDescent="0.2">
      <c r="A3855" s="2">
        <v>2026</v>
      </c>
      <c r="B3855" s="2">
        <v>5</v>
      </c>
      <c r="C3855" s="2" t="s">
        <v>37</v>
      </c>
      <c r="D3855" s="2" t="s">
        <v>38</v>
      </c>
      <c r="E3855" s="2" t="s">
        <v>39</v>
      </c>
      <c r="G3855" s="2" t="s">
        <v>40</v>
      </c>
      <c r="L3855" s="2" t="s">
        <v>81</v>
      </c>
      <c r="N3855" s="2" t="s">
        <v>2940</v>
      </c>
      <c r="O3855" s="2" t="s">
        <v>94</v>
      </c>
      <c r="P3855" s="2" t="s">
        <v>95</v>
      </c>
      <c r="Q3855" s="2" t="s">
        <v>96</v>
      </c>
      <c r="R3855" s="2">
        <v>3</v>
      </c>
      <c r="S3855" s="2">
        <v>4.4400000000000004</v>
      </c>
      <c r="T3855" s="2">
        <v>1.0212000000000001</v>
      </c>
      <c r="U3855" s="2">
        <v>5.4612000000000007</v>
      </c>
      <c r="V3855" s="2">
        <f>1.48*R3855</f>
        <v>4.4399999999999995</v>
      </c>
      <c r="W3855" s="5">
        <f t="shared" si="425"/>
        <v>2.000401846171453E-16</v>
      </c>
      <c r="Y3855" s="2" t="s">
        <v>3256</v>
      </c>
      <c r="Z3855" s="2" t="s">
        <v>97</v>
      </c>
      <c r="AA3855" s="2" t="s">
        <v>77</v>
      </c>
      <c r="AB3855" s="2" t="s">
        <v>94</v>
      </c>
      <c r="AE3855" s="2">
        <f t="shared" si="423"/>
        <v>0</v>
      </c>
      <c r="AI3855" s="2">
        <f t="shared" si="424"/>
        <v>0</v>
      </c>
      <c r="AJ3855" s="2">
        <f t="shared" si="422"/>
        <v>0</v>
      </c>
      <c r="AK3855" s="5">
        <f t="shared" si="426"/>
        <v>2.000401846171453E-16</v>
      </c>
    </row>
    <row r="3856" spans="1:37" x14ac:dyDescent="0.2">
      <c r="A3856" s="2">
        <v>2026</v>
      </c>
      <c r="B3856" s="2">
        <v>5</v>
      </c>
      <c r="C3856" s="2" t="s">
        <v>37</v>
      </c>
      <c r="D3856" s="2" t="s">
        <v>38</v>
      </c>
      <c r="E3856" s="2" t="s">
        <v>39</v>
      </c>
      <c r="G3856" s="2" t="s">
        <v>40</v>
      </c>
      <c r="L3856" s="2" t="s">
        <v>40</v>
      </c>
      <c r="O3856" s="2" t="s">
        <v>40</v>
      </c>
      <c r="P3856" s="2" t="s">
        <v>2941</v>
      </c>
      <c r="Q3856" s="2" t="s">
        <v>2942</v>
      </c>
      <c r="R3856" s="2">
        <v>1</v>
      </c>
      <c r="S3856" s="2">
        <v>200</v>
      </c>
      <c r="T3856" s="2">
        <v>46</v>
      </c>
      <c r="U3856" s="2">
        <v>246</v>
      </c>
      <c r="W3856" s="5">
        <f t="shared" si="425"/>
        <v>1</v>
      </c>
      <c r="Y3856" s="2" t="s">
        <v>120</v>
      </c>
      <c r="Z3856" s="2" t="s">
        <v>2943</v>
      </c>
      <c r="AE3856" s="2">
        <f t="shared" si="423"/>
        <v>0</v>
      </c>
      <c r="AI3856" s="2">
        <f t="shared" si="424"/>
        <v>0</v>
      </c>
      <c r="AJ3856" s="2">
        <f t="shared" si="422"/>
        <v>200</v>
      </c>
      <c r="AK3856" s="5">
        <f t="shared" si="426"/>
        <v>1</v>
      </c>
    </row>
    <row r="3857" spans="1:37" x14ac:dyDescent="0.2">
      <c r="A3857" s="2">
        <v>2026</v>
      </c>
      <c r="B3857" s="2">
        <v>5</v>
      </c>
      <c r="C3857" s="2" t="s">
        <v>1334</v>
      </c>
      <c r="O3857" s="2" t="s">
        <v>43</v>
      </c>
      <c r="P3857" s="2" t="s">
        <v>55</v>
      </c>
      <c r="Q3857" s="2" t="s">
        <v>56</v>
      </c>
      <c r="R3857" s="2">
        <v>2</v>
      </c>
      <c r="S3857" s="2">
        <v>36</v>
      </c>
      <c r="T3857" s="2">
        <v>8.2800000000000011</v>
      </c>
      <c r="U3857" s="2">
        <v>44.28</v>
      </c>
      <c r="V3857" s="2">
        <f>10.6*R3857</f>
        <v>21.2</v>
      </c>
      <c r="W3857" s="5">
        <f t="shared" si="425"/>
        <v>0.41111111111111115</v>
      </c>
      <c r="Y3857" s="2" t="s">
        <v>3256</v>
      </c>
      <c r="Z3857" s="2" t="s">
        <v>46</v>
      </c>
      <c r="AA3857" s="2" t="s">
        <v>57</v>
      </c>
      <c r="AB3857" s="2" t="s">
        <v>58</v>
      </c>
      <c r="AE3857" s="2">
        <f t="shared" si="423"/>
        <v>0</v>
      </c>
      <c r="AF3857" s="2">
        <v>10.6</v>
      </c>
      <c r="AG3857" s="2">
        <v>18</v>
      </c>
      <c r="AI3857" s="2">
        <f t="shared" si="424"/>
        <v>0</v>
      </c>
      <c r="AJ3857" s="2">
        <f t="shared" si="422"/>
        <v>14.8</v>
      </c>
      <c r="AK3857" s="5">
        <f t="shared" si="426"/>
        <v>0.41111111111111115</v>
      </c>
    </row>
    <row r="3858" spans="1:37" x14ac:dyDescent="0.2">
      <c r="A3858" s="2">
        <v>2026</v>
      </c>
      <c r="B3858" s="2">
        <v>5</v>
      </c>
      <c r="C3858" s="2" t="s">
        <v>1334</v>
      </c>
      <c r="O3858" s="2" t="s">
        <v>43</v>
      </c>
      <c r="P3858" s="2" t="s">
        <v>251</v>
      </c>
      <c r="Q3858" s="2" t="s">
        <v>252</v>
      </c>
      <c r="R3858" s="2">
        <v>1</v>
      </c>
      <c r="S3858" s="2">
        <v>60</v>
      </c>
      <c r="T3858" s="2">
        <v>13.8</v>
      </c>
      <c r="U3858" s="2">
        <v>73.8</v>
      </c>
      <c r="W3858" s="5">
        <f t="shared" si="425"/>
        <v>1</v>
      </c>
      <c r="Y3858" s="2" t="s">
        <v>3256</v>
      </c>
      <c r="Z3858" s="2" t="s">
        <v>46</v>
      </c>
      <c r="AA3858" s="2" t="s">
        <v>91</v>
      </c>
      <c r="AB3858" s="2" t="s">
        <v>58</v>
      </c>
      <c r="AE3858" s="2">
        <f t="shared" si="423"/>
        <v>0</v>
      </c>
      <c r="AI3858" s="2">
        <f t="shared" si="424"/>
        <v>0</v>
      </c>
      <c r="AJ3858" s="2">
        <f t="shared" si="422"/>
        <v>60</v>
      </c>
      <c r="AK3858" s="5">
        <f t="shared" si="426"/>
        <v>1</v>
      </c>
    </row>
    <row r="3859" spans="1:37" x14ac:dyDescent="0.2">
      <c r="A3859" s="2">
        <v>2026</v>
      </c>
      <c r="B3859" s="2">
        <v>5</v>
      </c>
      <c r="C3859" s="2" t="s">
        <v>1154</v>
      </c>
      <c r="D3859" s="2" t="s">
        <v>109</v>
      </c>
      <c r="E3859" s="2" t="s">
        <v>39</v>
      </c>
      <c r="F3859" s="2">
        <v>518312798</v>
      </c>
      <c r="G3859" s="2" t="s">
        <v>41</v>
      </c>
      <c r="H3859" s="2" t="s">
        <v>1155</v>
      </c>
      <c r="I3859" s="2" t="s">
        <v>1156</v>
      </c>
      <c r="K3859" s="2" t="s">
        <v>134</v>
      </c>
      <c r="L3859" s="2" t="s">
        <v>41</v>
      </c>
      <c r="N3859" s="2" t="s">
        <v>2944</v>
      </c>
      <c r="O3859" s="2" t="s">
        <v>283</v>
      </c>
      <c r="P3859" s="2" t="s">
        <v>2146</v>
      </c>
      <c r="Q3859" s="2" t="s">
        <v>2147</v>
      </c>
      <c r="R3859" s="2">
        <v>1</v>
      </c>
      <c r="S3859" s="2">
        <v>119.9</v>
      </c>
      <c r="T3859" s="2">
        <v>27.577000000000002</v>
      </c>
      <c r="U3859" s="2">
        <v>147.477</v>
      </c>
      <c r="V3859" s="2">
        <v>73</v>
      </c>
      <c r="W3859" s="5">
        <f t="shared" si="425"/>
        <v>0.39115929941618016</v>
      </c>
      <c r="Y3859" s="2" t="s">
        <v>3256</v>
      </c>
      <c r="Z3859" s="2" t="s">
        <v>72</v>
      </c>
      <c r="AA3859" s="2" t="s">
        <v>1616</v>
      </c>
      <c r="AB3859" s="2" t="s">
        <v>1616</v>
      </c>
      <c r="AE3859" s="2">
        <f t="shared" si="423"/>
        <v>0</v>
      </c>
      <c r="AF3859" s="2">
        <v>73</v>
      </c>
      <c r="AI3859" s="2">
        <f t="shared" si="424"/>
        <v>0</v>
      </c>
      <c r="AJ3859" s="2">
        <f t="shared" si="422"/>
        <v>46.900000000000006</v>
      </c>
      <c r="AK3859" s="5">
        <f t="shared" si="426"/>
        <v>0.39115929941618016</v>
      </c>
    </row>
    <row r="3860" spans="1:37" x14ac:dyDescent="0.2">
      <c r="A3860" s="2">
        <v>2026</v>
      </c>
      <c r="B3860" s="2">
        <v>5</v>
      </c>
      <c r="C3860" s="2" t="s">
        <v>1154</v>
      </c>
      <c r="D3860" s="2" t="s">
        <v>109</v>
      </c>
      <c r="E3860" s="2" t="s">
        <v>39</v>
      </c>
      <c r="F3860" s="2">
        <v>518312798</v>
      </c>
      <c r="G3860" s="2" t="s">
        <v>41</v>
      </c>
      <c r="H3860" s="2" t="s">
        <v>1155</v>
      </c>
      <c r="I3860" s="2" t="s">
        <v>1156</v>
      </c>
      <c r="K3860" s="2" t="s">
        <v>134</v>
      </c>
      <c r="L3860" s="2" t="s">
        <v>41</v>
      </c>
      <c r="N3860" s="2" t="s">
        <v>2944</v>
      </c>
      <c r="O3860" s="2" t="s">
        <v>283</v>
      </c>
      <c r="P3860" s="2" t="s">
        <v>804</v>
      </c>
      <c r="Q3860" s="2" t="s">
        <v>805</v>
      </c>
      <c r="R3860" s="2">
        <v>1</v>
      </c>
      <c r="S3860" s="2">
        <v>27.89</v>
      </c>
      <c r="T3860" s="2">
        <v>6.4147000000000007</v>
      </c>
      <c r="U3860" s="2">
        <v>34.304699999999997</v>
      </c>
      <c r="V3860" s="2">
        <v>18.14</v>
      </c>
      <c r="W3860" s="5">
        <f t="shared" si="425"/>
        <v>0.34958766583004658</v>
      </c>
      <c r="Y3860" s="2" t="s">
        <v>3256</v>
      </c>
      <c r="Z3860" s="2" t="s">
        <v>72</v>
      </c>
      <c r="AA3860" s="2" t="s">
        <v>120</v>
      </c>
      <c r="AB3860" s="2" t="s">
        <v>120</v>
      </c>
      <c r="AE3860" s="2">
        <f t="shared" si="423"/>
        <v>0</v>
      </c>
      <c r="AF3860" s="2">
        <v>18.14</v>
      </c>
      <c r="AI3860" s="2">
        <f t="shared" si="424"/>
        <v>0</v>
      </c>
      <c r="AJ3860" s="2">
        <f t="shared" si="422"/>
        <v>9.75</v>
      </c>
      <c r="AK3860" s="5">
        <f t="shared" si="426"/>
        <v>0.34958766583004658</v>
      </c>
    </row>
    <row r="3861" spans="1:37" x14ac:dyDescent="0.2">
      <c r="A3861" s="2">
        <v>2026</v>
      </c>
      <c r="B3861" s="2">
        <v>5</v>
      </c>
      <c r="C3861" s="2" t="s">
        <v>1154</v>
      </c>
      <c r="D3861" s="2" t="s">
        <v>109</v>
      </c>
      <c r="E3861" s="2" t="s">
        <v>39</v>
      </c>
      <c r="F3861" s="2">
        <v>518312798</v>
      </c>
      <c r="G3861" s="2" t="s">
        <v>41</v>
      </c>
      <c r="H3861" s="2" t="s">
        <v>1155</v>
      </c>
      <c r="I3861" s="2" t="s">
        <v>1156</v>
      </c>
      <c r="K3861" s="2" t="s">
        <v>134</v>
      </c>
      <c r="L3861" s="2" t="s">
        <v>41</v>
      </c>
      <c r="N3861" s="2" t="s">
        <v>2944</v>
      </c>
      <c r="O3861" s="2" t="s">
        <v>43</v>
      </c>
      <c r="P3861" s="2" t="s">
        <v>2945</v>
      </c>
      <c r="Q3861" s="2" t="s">
        <v>270</v>
      </c>
      <c r="R3861" s="2">
        <v>1</v>
      </c>
      <c r="S3861" s="2">
        <v>10.8</v>
      </c>
      <c r="T3861" s="2">
        <v>2.484</v>
      </c>
      <c r="U3861" s="2">
        <v>13.284000000000001</v>
      </c>
      <c r="V3861" s="2">
        <v>5.23</v>
      </c>
      <c r="W3861" s="5">
        <f t="shared" si="425"/>
        <v>0.51574074074074072</v>
      </c>
      <c r="Y3861" s="2" t="s">
        <v>3256</v>
      </c>
      <c r="Z3861" s="2" t="s">
        <v>46</v>
      </c>
      <c r="AA3861" s="2" t="s">
        <v>91</v>
      </c>
      <c r="AB3861" s="2" t="s">
        <v>58</v>
      </c>
      <c r="AE3861" s="2">
        <f t="shared" si="423"/>
        <v>0</v>
      </c>
      <c r="AF3861" s="2">
        <v>5.23</v>
      </c>
      <c r="AG3861" s="2">
        <v>10.8</v>
      </c>
      <c r="AI3861" s="2">
        <f t="shared" si="424"/>
        <v>0</v>
      </c>
      <c r="AJ3861" s="2">
        <f t="shared" si="422"/>
        <v>5.57</v>
      </c>
      <c r="AK3861" s="5">
        <f t="shared" si="426"/>
        <v>0.51574074074074072</v>
      </c>
    </row>
    <row r="3862" spans="1:37" x14ac:dyDescent="0.2">
      <c r="A3862" s="2">
        <v>2026</v>
      </c>
      <c r="B3862" s="2">
        <v>5</v>
      </c>
      <c r="C3862" s="2" t="s">
        <v>1154</v>
      </c>
      <c r="D3862" s="2" t="s">
        <v>109</v>
      </c>
      <c r="E3862" s="2" t="s">
        <v>39</v>
      </c>
      <c r="F3862" s="2">
        <v>518312798</v>
      </c>
      <c r="G3862" s="2" t="s">
        <v>41</v>
      </c>
      <c r="H3862" s="2" t="s">
        <v>1155</v>
      </c>
      <c r="I3862" s="2" t="s">
        <v>1156</v>
      </c>
      <c r="K3862" s="2" t="s">
        <v>134</v>
      </c>
      <c r="L3862" s="2" t="s">
        <v>41</v>
      </c>
      <c r="N3862" s="2" t="s">
        <v>2944</v>
      </c>
      <c r="O3862" s="2" t="s">
        <v>43</v>
      </c>
      <c r="P3862" s="2" t="s">
        <v>2946</v>
      </c>
      <c r="Q3862" s="2" t="s">
        <v>2947</v>
      </c>
      <c r="R3862" s="2">
        <v>4</v>
      </c>
      <c r="S3862" s="2">
        <v>14.4</v>
      </c>
      <c r="T3862" s="2">
        <v>3.3119999999999998</v>
      </c>
      <c r="U3862" s="2">
        <v>17.712</v>
      </c>
      <c r="V3862" s="2">
        <f>0.97*R3862</f>
        <v>3.88</v>
      </c>
      <c r="W3862" s="5">
        <f t="shared" si="425"/>
        <v>0.73055555555555551</v>
      </c>
      <c r="Y3862" s="2" t="s">
        <v>3256</v>
      </c>
      <c r="Z3862" s="2" t="s">
        <v>46</v>
      </c>
      <c r="AA3862" s="2" t="s">
        <v>91</v>
      </c>
      <c r="AB3862" s="2" t="s">
        <v>58</v>
      </c>
      <c r="AE3862" s="2">
        <f t="shared" si="423"/>
        <v>0</v>
      </c>
      <c r="AF3862" s="2">
        <v>0.97</v>
      </c>
      <c r="AG3862" s="2">
        <v>6</v>
      </c>
      <c r="AI3862" s="2">
        <f t="shared" si="424"/>
        <v>0</v>
      </c>
      <c r="AJ3862" s="2">
        <f t="shared" si="422"/>
        <v>10.52</v>
      </c>
      <c r="AK3862" s="5">
        <f t="shared" si="426"/>
        <v>0.73055555555555551</v>
      </c>
    </row>
    <row r="3863" spans="1:37" x14ac:dyDescent="0.2">
      <c r="A3863" s="2">
        <v>2026</v>
      </c>
      <c r="B3863" s="2">
        <v>5</v>
      </c>
      <c r="C3863" s="2" t="s">
        <v>1154</v>
      </c>
      <c r="D3863" s="2" t="s">
        <v>109</v>
      </c>
      <c r="E3863" s="2" t="s">
        <v>39</v>
      </c>
      <c r="F3863" s="2">
        <v>518312798</v>
      </c>
      <c r="G3863" s="2" t="s">
        <v>41</v>
      </c>
      <c r="H3863" s="2" t="s">
        <v>1155</v>
      </c>
      <c r="I3863" s="2" t="s">
        <v>1156</v>
      </c>
      <c r="K3863" s="2" t="s">
        <v>134</v>
      </c>
      <c r="L3863" s="2" t="s">
        <v>41</v>
      </c>
      <c r="N3863" s="2" t="s">
        <v>2944</v>
      </c>
      <c r="O3863" s="2" t="s">
        <v>43</v>
      </c>
      <c r="P3863" s="2" t="s">
        <v>233</v>
      </c>
      <c r="Q3863" s="2" t="s">
        <v>234</v>
      </c>
      <c r="R3863" s="2">
        <v>1</v>
      </c>
      <c r="S3863" s="2">
        <v>12.6</v>
      </c>
      <c r="T3863" s="2">
        <v>2.8980000000000001</v>
      </c>
      <c r="U3863" s="2">
        <v>15.497999999999999</v>
      </c>
      <c r="V3863" s="2">
        <v>5.9066999999999998</v>
      </c>
      <c r="W3863" s="5">
        <f t="shared" si="425"/>
        <v>0.53121428571428575</v>
      </c>
      <c r="Y3863" s="2" t="s">
        <v>3256</v>
      </c>
      <c r="Z3863" s="2" t="s">
        <v>46</v>
      </c>
      <c r="AA3863" s="2" t="s">
        <v>57</v>
      </c>
      <c r="AB3863" s="2" t="s">
        <v>58</v>
      </c>
      <c r="AE3863" s="2">
        <f t="shared" si="423"/>
        <v>0</v>
      </c>
      <c r="AF3863" s="2">
        <v>5.9066999999999998</v>
      </c>
      <c r="AG3863" s="2">
        <v>12.6</v>
      </c>
      <c r="AI3863" s="2">
        <f t="shared" si="424"/>
        <v>0</v>
      </c>
      <c r="AJ3863" s="2">
        <f t="shared" si="422"/>
        <v>6.6932999999999998</v>
      </c>
      <c r="AK3863" s="5">
        <f t="shared" si="426"/>
        <v>0.53121428571428575</v>
      </c>
    </row>
    <row r="3864" spans="1:37" x14ac:dyDescent="0.2">
      <c r="A3864" s="2">
        <v>2026</v>
      </c>
      <c r="B3864" s="2">
        <v>5</v>
      </c>
      <c r="C3864" s="2" t="s">
        <v>1154</v>
      </c>
      <c r="D3864" s="2" t="s">
        <v>109</v>
      </c>
      <c r="E3864" s="2" t="s">
        <v>39</v>
      </c>
      <c r="F3864" s="2">
        <v>518312798</v>
      </c>
      <c r="G3864" s="2" t="s">
        <v>41</v>
      </c>
      <c r="H3864" s="2" t="s">
        <v>1155</v>
      </c>
      <c r="I3864" s="2" t="s">
        <v>1156</v>
      </c>
      <c r="K3864" s="2" t="s">
        <v>134</v>
      </c>
      <c r="L3864" s="2" t="s">
        <v>41</v>
      </c>
      <c r="N3864" s="2" t="s">
        <v>2944</v>
      </c>
      <c r="O3864" s="2" t="s">
        <v>43</v>
      </c>
      <c r="P3864" s="2" t="s">
        <v>235</v>
      </c>
      <c r="Q3864" s="2" t="s">
        <v>236</v>
      </c>
      <c r="R3864" s="2">
        <v>1</v>
      </c>
      <c r="S3864" s="2">
        <v>14.4</v>
      </c>
      <c r="T3864" s="2">
        <v>3.3119999999999998</v>
      </c>
      <c r="U3864" s="2">
        <v>17.712</v>
      </c>
      <c r="V3864" s="2">
        <v>7.2217000000000002</v>
      </c>
      <c r="W3864" s="5">
        <f t="shared" si="425"/>
        <v>0.49849305555555556</v>
      </c>
      <c r="Y3864" s="2" t="s">
        <v>3256</v>
      </c>
      <c r="Z3864" s="2" t="s">
        <v>46</v>
      </c>
      <c r="AA3864" s="2" t="s">
        <v>57</v>
      </c>
      <c r="AB3864" s="2" t="s">
        <v>58</v>
      </c>
      <c r="AE3864" s="2">
        <f t="shared" si="423"/>
        <v>0</v>
      </c>
      <c r="AF3864" s="2">
        <v>7.2217000000000002</v>
      </c>
      <c r="AG3864" s="2">
        <v>14.4</v>
      </c>
      <c r="AI3864" s="2">
        <f t="shared" si="424"/>
        <v>0</v>
      </c>
      <c r="AJ3864" s="2">
        <f t="shared" si="422"/>
        <v>7.1783000000000001</v>
      </c>
      <c r="AK3864" s="5">
        <f t="shared" si="426"/>
        <v>0.49849305555555556</v>
      </c>
    </row>
    <row r="3865" spans="1:37" x14ac:dyDescent="0.2">
      <c r="A3865" s="2">
        <v>2026</v>
      </c>
      <c r="B3865" s="2">
        <v>5</v>
      </c>
      <c r="C3865" s="2" t="s">
        <v>1154</v>
      </c>
      <c r="D3865" s="2" t="s">
        <v>109</v>
      </c>
      <c r="E3865" s="2" t="s">
        <v>39</v>
      </c>
      <c r="F3865" s="2">
        <v>518312798</v>
      </c>
      <c r="G3865" s="2" t="s">
        <v>41</v>
      </c>
      <c r="H3865" s="2" t="s">
        <v>1155</v>
      </c>
      <c r="I3865" s="2" t="s">
        <v>1156</v>
      </c>
      <c r="K3865" s="2" t="s">
        <v>134</v>
      </c>
      <c r="L3865" s="2" t="s">
        <v>41</v>
      </c>
      <c r="N3865" s="2" t="s">
        <v>2944</v>
      </c>
      <c r="O3865" s="2" t="s">
        <v>43</v>
      </c>
      <c r="P3865" s="2" t="s">
        <v>237</v>
      </c>
      <c r="Q3865" s="2" t="s">
        <v>238</v>
      </c>
      <c r="R3865" s="2">
        <v>1</v>
      </c>
      <c r="S3865" s="2">
        <v>17.399999999999999</v>
      </c>
      <c r="T3865" s="2">
        <v>4.0019999999999998</v>
      </c>
      <c r="U3865" s="2">
        <v>21.402000000000001</v>
      </c>
      <c r="W3865" s="5">
        <f t="shared" si="425"/>
        <v>1</v>
      </c>
      <c r="Y3865" s="2" t="s">
        <v>3256</v>
      </c>
      <c r="Z3865" s="2" t="s">
        <v>46</v>
      </c>
      <c r="AA3865" s="2" t="s">
        <v>57</v>
      </c>
      <c r="AB3865" s="2" t="s">
        <v>58</v>
      </c>
      <c r="AE3865" s="2">
        <f t="shared" si="423"/>
        <v>0</v>
      </c>
      <c r="AI3865" s="2">
        <f t="shared" si="424"/>
        <v>0</v>
      </c>
      <c r="AJ3865" s="2">
        <f t="shared" si="422"/>
        <v>17.399999999999999</v>
      </c>
      <c r="AK3865" s="5">
        <f t="shared" si="426"/>
        <v>1</v>
      </c>
    </row>
    <row r="3866" spans="1:37" x14ac:dyDescent="0.2">
      <c r="A3866" s="2">
        <v>2026</v>
      </c>
      <c r="B3866" s="2">
        <v>5</v>
      </c>
      <c r="C3866" s="2" t="s">
        <v>1154</v>
      </c>
      <c r="D3866" s="2" t="s">
        <v>109</v>
      </c>
      <c r="E3866" s="2" t="s">
        <v>39</v>
      </c>
      <c r="F3866" s="2">
        <v>518312798</v>
      </c>
      <c r="G3866" s="2" t="s">
        <v>41</v>
      </c>
      <c r="H3866" s="2" t="s">
        <v>1155</v>
      </c>
      <c r="I3866" s="2" t="s">
        <v>1156</v>
      </c>
      <c r="K3866" s="2" t="s">
        <v>134</v>
      </c>
      <c r="L3866" s="2" t="s">
        <v>41</v>
      </c>
      <c r="N3866" s="2" t="s">
        <v>2944</v>
      </c>
      <c r="O3866" s="2" t="s">
        <v>43</v>
      </c>
      <c r="P3866" s="2" t="s">
        <v>239</v>
      </c>
      <c r="Q3866" s="2" t="s">
        <v>240</v>
      </c>
      <c r="R3866" s="2">
        <v>1</v>
      </c>
      <c r="S3866" s="2">
        <v>21</v>
      </c>
      <c r="T3866" s="2">
        <v>4.83</v>
      </c>
      <c r="U3866" s="2">
        <v>25.83</v>
      </c>
      <c r="W3866" s="5">
        <f t="shared" si="425"/>
        <v>1</v>
      </c>
      <c r="Y3866" s="2" t="s">
        <v>3256</v>
      </c>
      <c r="Z3866" s="2" t="s">
        <v>46</v>
      </c>
      <c r="AA3866" s="2" t="s">
        <v>57</v>
      </c>
      <c r="AB3866" s="2" t="s">
        <v>58</v>
      </c>
      <c r="AE3866" s="2">
        <f t="shared" si="423"/>
        <v>0</v>
      </c>
      <c r="AI3866" s="2">
        <f t="shared" si="424"/>
        <v>0</v>
      </c>
      <c r="AJ3866" s="2">
        <f t="shared" si="422"/>
        <v>21</v>
      </c>
      <c r="AK3866" s="5">
        <f t="shared" si="426"/>
        <v>1</v>
      </c>
    </row>
    <row r="3867" spans="1:37" x14ac:dyDescent="0.2">
      <c r="A3867" s="2">
        <v>2026</v>
      </c>
      <c r="B3867" s="2">
        <v>5</v>
      </c>
      <c r="C3867" s="2" t="s">
        <v>1154</v>
      </c>
      <c r="D3867" s="2" t="s">
        <v>109</v>
      </c>
      <c r="E3867" s="2" t="s">
        <v>39</v>
      </c>
      <c r="F3867" s="2">
        <v>518312798</v>
      </c>
      <c r="G3867" s="2" t="s">
        <v>41</v>
      </c>
      <c r="H3867" s="2" t="s">
        <v>1155</v>
      </c>
      <c r="I3867" s="2" t="s">
        <v>1156</v>
      </c>
      <c r="K3867" s="2" t="s">
        <v>134</v>
      </c>
      <c r="L3867" s="2" t="s">
        <v>41</v>
      </c>
      <c r="N3867" s="2" t="s">
        <v>2944</v>
      </c>
      <c r="O3867" s="2" t="s">
        <v>43</v>
      </c>
      <c r="P3867" s="2" t="s">
        <v>241</v>
      </c>
      <c r="Q3867" s="2" t="s">
        <v>242</v>
      </c>
      <c r="R3867" s="2">
        <v>1</v>
      </c>
      <c r="S3867" s="2">
        <v>25.2</v>
      </c>
      <c r="T3867" s="2">
        <v>5.7960000000000003</v>
      </c>
      <c r="U3867" s="2">
        <v>30.995999999999999</v>
      </c>
      <c r="W3867" s="5">
        <f t="shared" si="425"/>
        <v>1</v>
      </c>
      <c r="Y3867" s="2" t="s">
        <v>3256</v>
      </c>
      <c r="Z3867" s="2" t="s">
        <v>46</v>
      </c>
      <c r="AA3867" s="2" t="s">
        <v>57</v>
      </c>
      <c r="AB3867" s="2" t="s">
        <v>58</v>
      </c>
      <c r="AE3867" s="2">
        <f t="shared" si="423"/>
        <v>0</v>
      </c>
      <c r="AI3867" s="2">
        <f t="shared" si="424"/>
        <v>0</v>
      </c>
      <c r="AJ3867" s="2">
        <f t="shared" si="422"/>
        <v>25.2</v>
      </c>
      <c r="AK3867" s="5">
        <f t="shared" si="426"/>
        <v>1</v>
      </c>
    </row>
    <row r="3868" spans="1:37" x14ac:dyDescent="0.2">
      <c r="A3868" s="2">
        <v>2026</v>
      </c>
      <c r="B3868" s="2">
        <v>5</v>
      </c>
      <c r="C3868" s="2" t="s">
        <v>1154</v>
      </c>
      <c r="D3868" s="2" t="s">
        <v>109</v>
      </c>
      <c r="E3868" s="2" t="s">
        <v>39</v>
      </c>
      <c r="F3868" s="2">
        <v>518312798</v>
      </c>
      <c r="G3868" s="2" t="s">
        <v>41</v>
      </c>
      <c r="H3868" s="2" t="s">
        <v>1155</v>
      </c>
      <c r="I3868" s="2" t="s">
        <v>1156</v>
      </c>
      <c r="K3868" s="2" t="s">
        <v>134</v>
      </c>
      <c r="L3868" s="2" t="s">
        <v>41</v>
      </c>
      <c r="N3868" s="2" t="s">
        <v>2944</v>
      </c>
      <c r="O3868" s="2" t="s">
        <v>43</v>
      </c>
      <c r="P3868" s="2" t="s">
        <v>243</v>
      </c>
      <c r="Q3868" s="2" t="s">
        <v>244</v>
      </c>
      <c r="R3868" s="2">
        <v>1</v>
      </c>
      <c r="S3868" s="2">
        <v>30</v>
      </c>
      <c r="T3868" s="2">
        <v>6.9</v>
      </c>
      <c r="U3868" s="2">
        <v>36.9</v>
      </c>
      <c r="W3868" s="5">
        <f t="shared" si="425"/>
        <v>1</v>
      </c>
      <c r="Y3868" s="2" t="s">
        <v>3256</v>
      </c>
      <c r="Z3868" s="2" t="s">
        <v>46</v>
      </c>
      <c r="AA3868" s="2" t="s">
        <v>57</v>
      </c>
      <c r="AB3868" s="2" t="s">
        <v>58</v>
      </c>
      <c r="AE3868" s="2">
        <f t="shared" si="423"/>
        <v>0</v>
      </c>
      <c r="AI3868" s="2">
        <f t="shared" si="424"/>
        <v>0</v>
      </c>
      <c r="AJ3868" s="2">
        <f t="shared" si="422"/>
        <v>30</v>
      </c>
      <c r="AK3868" s="5">
        <f t="shared" si="426"/>
        <v>1</v>
      </c>
    </row>
    <row r="3869" spans="1:37" x14ac:dyDescent="0.2">
      <c r="A3869" s="2">
        <v>2026</v>
      </c>
      <c r="B3869" s="2">
        <v>5</v>
      </c>
      <c r="C3869" s="2" t="s">
        <v>1154</v>
      </c>
      <c r="D3869" s="2" t="s">
        <v>109</v>
      </c>
      <c r="E3869" s="2" t="s">
        <v>39</v>
      </c>
      <c r="F3869" s="2">
        <v>518312798</v>
      </c>
      <c r="G3869" s="2" t="s">
        <v>41</v>
      </c>
      <c r="H3869" s="2" t="s">
        <v>1155</v>
      </c>
      <c r="I3869" s="2" t="s">
        <v>1156</v>
      </c>
      <c r="K3869" s="2" t="s">
        <v>134</v>
      </c>
      <c r="L3869" s="2" t="s">
        <v>41</v>
      </c>
      <c r="N3869" s="2" t="s">
        <v>2944</v>
      </c>
      <c r="O3869" s="2" t="s">
        <v>43</v>
      </c>
      <c r="P3869" s="2" t="s">
        <v>245</v>
      </c>
      <c r="Q3869" s="2" t="s">
        <v>246</v>
      </c>
      <c r="R3869" s="2">
        <v>1</v>
      </c>
      <c r="S3869" s="2">
        <v>18</v>
      </c>
      <c r="T3869" s="2">
        <v>4.1400000000000006</v>
      </c>
      <c r="U3869" s="2">
        <v>22.14</v>
      </c>
      <c r="W3869" s="5">
        <f t="shared" si="425"/>
        <v>1</v>
      </c>
      <c r="Y3869" s="2" t="s">
        <v>3256</v>
      </c>
      <c r="Z3869" s="2" t="s">
        <v>46</v>
      </c>
      <c r="AA3869" s="2" t="s">
        <v>57</v>
      </c>
      <c r="AB3869" s="2" t="s">
        <v>58</v>
      </c>
      <c r="AE3869" s="2">
        <f t="shared" si="423"/>
        <v>0</v>
      </c>
      <c r="AI3869" s="2">
        <f t="shared" si="424"/>
        <v>0</v>
      </c>
      <c r="AJ3869" s="2">
        <f t="shared" si="422"/>
        <v>18</v>
      </c>
      <c r="AK3869" s="5">
        <f t="shared" si="426"/>
        <v>1</v>
      </c>
    </row>
    <row r="3870" spans="1:37" x14ac:dyDescent="0.2">
      <c r="A3870" s="2">
        <v>2026</v>
      </c>
      <c r="B3870" s="2">
        <v>5</v>
      </c>
      <c r="C3870" s="2" t="s">
        <v>1154</v>
      </c>
      <c r="D3870" s="2" t="s">
        <v>109</v>
      </c>
      <c r="E3870" s="2" t="s">
        <v>39</v>
      </c>
      <c r="F3870" s="2">
        <v>518312798</v>
      </c>
      <c r="G3870" s="2" t="s">
        <v>41</v>
      </c>
      <c r="H3870" s="2" t="s">
        <v>1155</v>
      </c>
      <c r="I3870" s="2" t="s">
        <v>1156</v>
      </c>
      <c r="K3870" s="2" t="s">
        <v>134</v>
      </c>
      <c r="L3870" s="2" t="s">
        <v>41</v>
      </c>
      <c r="N3870" s="2" t="s">
        <v>2944</v>
      </c>
      <c r="O3870" s="2" t="s">
        <v>43</v>
      </c>
      <c r="P3870" s="2" t="s">
        <v>247</v>
      </c>
      <c r="Q3870" s="2" t="s">
        <v>248</v>
      </c>
      <c r="R3870" s="2">
        <v>1</v>
      </c>
      <c r="S3870" s="2">
        <v>19.8</v>
      </c>
      <c r="T3870" s="2">
        <v>4.5540000000000003</v>
      </c>
      <c r="U3870" s="2">
        <v>24.353999999999999</v>
      </c>
      <c r="W3870" s="5">
        <f t="shared" si="425"/>
        <v>1</v>
      </c>
      <c r="Y3870" s="2" t="s">
        <v>3256</v>
      </c>
      <c r="Z3870" s="2" t="s">
        <v>46</v>
      </c>
      <c r="AA3870" s="2" t="s">
        <v>57</v>
      </c>
      <c r="AB3870" s="2" t="s">
        <v>58</v>
      </c>
      <c r="AE3870" s="2">
        <f t="shared" si="423"/>
        <v>0</v>
      </c>
      <c r="AI3870" s="2">
        <f t="shared" si="424"/>
        <v>0</v>
      </c>
      <c r="AJ3870" s="2">
        <f t="shared" si="422"/>
        <v>19.8</v>
      </c>
      <c r="AK3870" s="5">
        <f t="shared" si="426"/>
        <v>1</v>
      </c>
    </row>
    <row r="3871" spans="1:37" x14ac:dyDescent="0.2">
      <c r="A3871" s="2">
        <v>2026</v>
      </c>
      <c r="B3871" s="2">
        <v>5</v>
      </c>
      <c r="C3871" s="2" t="s">
        <v>1154</v>
      </c>
      <c r="D3871" s="2" t="s">
        <v>109</v>
      </c>
      <c r="E3871" s="2" t="s">
        <v>39</v>
      </c>
      <c r="F3871" s="2">
        <v>518312798</v>
      </c>
      <c r="G3871" s="2" t="s">
        <v>41</v>
      </c>
      <c r="H3871" s="2" t="s">
        <v>1155</v>
      </c>
      <c r="I3871" s="2" t="s">
        <v>1156</v>
      </c>
      <c r="K3871" s="2" t="s">
        <v>134</v>
      </c>
      <c r="L3871" s="2" t="s">
        <v>41</v>
      </c>
      <c r="N3871" s="2" t="s">
        <v>2944</v>
      </c>
      <c r="O3871" s="2" t="s">
        <v>43</v>
      </c>
      <c r="P3871" s="2" t="s">
        <v>286</v>
      </c>
      <c r="Q3871" s="2" t="s">
        <v>287</v>
      </c>
      <c r="R3871" s="2">
        <v>1</v>
      </c>
      <c r="S3871" s="2">
        <v>22.8</v>
      </c>
      <c r="T3871" s="2">
        <v>5.2440000000000007</v>
      </c>
      <c r="U3871" s="2">
        <v>28.044</v>
      </c>
      <c r="W3871" s="5">
        <f t="shared" si="425"/>
        <v>1</v>
      </c>
      <c r="Y3871" s="2" t="s">
        <v>3256</v>
      </c>
      <c r="Z3871" s="2" t="s">
        <v>46</v>
      </c>
      <c r="AA3871" s="2" t="s">
        <v>57</v>
      </c>
      <c r="AB3871" s="2" t="s">
        <v>58</v>
      </c>
      <c r="AE3871" s="2">
        <f t="shared" si="423"/>
        <v>0</v>
      </c>
      <c r="AI3871" s="2">
        <f t="shared" si="424"/>
        <v>0</v>
      </c>
      <c r="AJ3871" s="2">
        <f t="shared" si="422"/>
        <v>22.8</v>
      </c>
      <c r="AK3871" s="5">
        <f t="shared" si="426"/>
        <v>1</v>
      </c>
    </row>
    <row r="3872" spans="1:37" x14ac:dyDescent="0.2">
      <c r="A3872" s="2">
        <v>2026</v>
      </c>
      <c r="B3872" s="2">
        <v>5</v>
      </c>
      <c r="C3872" s="2" t="s">
        <v>1154</v>
      </c>
      <c r="D3872" s="2" t="s">
        <v>109</v>
      </c>
      <c r="E3872" s="2" t="s">
        <v>39</v>
      </c>
      <c r="F3872" s="2">
        <v>518312798</v>
      </c>
      <c r="G3872" s="2" t="s">
        <v>41</v>
      </c>
      <c r="H3872" s="2" t="s">
        <v>1155</v>
      </c>
      <c r="I3872" s="2" t="s">
        <v>1156</v>
      </c>
      <c r="K3872" s="2" t="s">
        <v>134</v>
      </c>
      <c r="L3872" s="2" t="s">
        <v>41</v>
      </c>
      <c r="N3872" s="2" t="s">
        <v>2944</v>
      </c>
      <c r="O3872" s="2" t="s">
        <v>43</v>
      </c>
      <c r="P3872" s="2" t="s">
        <v>249</v>
      </c>
      <c r="Q3872" s="2" t="s">
        <v>250</v>
      </c>
      <c r="R3872" s="2">
        <v>1</v>
      </c>
      <c r="S3872" s="2">
        <v>24</v>
      </c>
      <c r="T3872" s="2">
        <v>5.52</v>
      </c>
      <c r="U3872" s="2">
        <v>29.52</v>
      </c>
      <c r="W3872" s="5">
        <f t="shared" si="425"/>
        <v>1</v>
      </c>
      <c r="Y3872" s="2" t="s">
        <v>3256</v>
      </c>
      <c r="Z3872" s="2" t="s">
        <v>46</v>
      </c>
      <c r="AA3872" s="2" t="s">
        <v>57</v>
      </c>
      <c r="AB3872" s="2" t="s">
        <v>58</v>
      </c>
      <c r="AE3872" s="2">
        <f t="shared" si="423"/>
        <v>0</v>
      </c>
      <c r="AI3872" s="2">
        <f t="shared" si="424"/>
        <v>0</v>
      </c>
      <c r="AJ3872" s="2">
        <f t="shared" si="422"/>
        <v>24</v>
      </c>
      <c r="AK3872" s="5">
        <f t="shared" si="426"/>
        <v>1</v>
      </c>
    </row>
    <row r="3873" spans="1:37" x14ac:dyDescent="0.2">
      <c r="A3873" s="2">
        <v>2026</v>
      </c>
      <c r="B3873" s="2">
        <v>5</v>
      </c>
      <c r="C3873" s="2" t="s">
        <v>1154</v>
      </c>
      <c r="D3873" s="2" t="s">
        <v>109</v>
      </c>
      <c r="E3873" s="2" t="s">
        <v>39</v>
      </c>
      <c r="F3873" s="2">
        <v>518312798</v>
      </c>
      <c r="G3873" s="2" t="s">
        <v>41</v>
      </c>
      <c r="H3873" s="2" t="s">
        <v>1155</v>
      </c>
      <c r="I3873" s="2" t="s">
        <v>1156</v>
      </c>
      <c r="K3873" s="2" t="s">
        <v>134</v>
      </c>
      <c r="L3873" s="2" t="s">
        <v>41</v>
      </c>
      <c r="N3873" s="2" t="s">
        <v>2944</v>
      </c>
      <c r="O3873" s="2" t="s">
        <v>43</v>
      </c>
      <c r="P3873" s="2" t="s">
        <v>55</v>
      </c>
      <c r="Q3873" s="2" t="s">
        <v>56</v>
      </c>
      <c r="R3873" s="2">
        <v>10</v>
      </c>
      <c r="S3873" s="2">
        <v>145</v>
      </c>
      <c r="T3873" s="2">
        <v>33.35</v>
      </c>
      <c r="U3873" s="2">
        <v>178.35</v>
      </c>
      <c r="V3873" s="2">
        <f>10.6*R3873</f>
        <v>106</v>
      </c>
      <c r="W3873" s="5">
        <f t="shared" si="425"/>
        <v>0.26896551724137929</v>
      </c>
      <c r="Y3873" s="2" t="s">
        <v>3256</v>
      </c>
      <c r="Z3873" s="2" t="s">
        <v>46</v>
      </c>
      <c r="AA3873" s="2" t="s">
        <v>57</v>
      </c>
      <c r="AB3873" s="2" t="s">
        <v>58</v>
      </c>
      <c r="AE3873" s="2">
        <f t="shared" si="423"/>
        <v>0</v>
      </c>
      <c r="AF3873" s="2">
        <v>10.6</v>
      </c>
      <c r="AG3873" s="2">
        <v>18</v>
      </c>
      <c r="AI3873" s="2">
        <f t="shared" si="424"/>
        <v>0</v>
      </c>
      <c r="AJ3873" s="2">
        <f t="shared" si="422"/>
        <v>39</v>
      </c>
      <c r="AK3873" s="5">
        <f t="shared" si="426"/>
        <v>0.26896551724137929</v>
      </c>
    </row>
    <row r="3874" spans="1:37" x14ac:dyDescent="0.2">
      <c r="A3874" s="2">
        <v>2026</v>
      </c>
      <c r="B3874" s="2">
        <v>5</v>
      </c>
      <c r="C3874" s="2" t="s">
        <v>1154</v>
      </c>
      <c r="D3874" s="2" t="s">
        <v>109</v>
      </c>
      <c r="E3874" s="2" t="s">
        <v>39</v>
      </c>
      <c r="F3874" s="2">
        <v>518312798</v>
      </c>
      <c r="G3874" s="2" t="s">
        <v>41</v>
      </c>
      <c r="H3874" s="2" t="s">
        <v>1155</v>
      </c>
      <c r="I3874" s="2" t="s">
        <v>1156</v>
      </c>
      <c r="K3874" s="2" t="s">
        <v>134</v>
      </c>
      <c r="L3874" s="2" t="s">
        <v>41</v>
      </c>
      <c r="N3874" s="2" t="s">
        <v>2944</v>
      </c>
      <c r="O3874" s="2" t="s">
        <v>43</v>
      </c>
      <c r="P3874" s="2" t="s">
        <v>251</v>
      </c>
      <c r="Q3874" s="2" t="s">
        <v>252</v>
      </c>
      <c r="R3874" s="2">
        <v>1</v>
      </c>
      <c r="S3874" s="2">
        <v>50</v>
      </c>
      <c r="T3874" s="2">
        <v>11.5</v>
      </c>
      <c r="U3874" s="2">
        <v>61.5</v>
      </c>
      <c r="V3874" s="2">
        <v>25.095800000000001</v>
      </c>
      <c r="W3874" s="5">
        <f t="shared" si="425"/>
        <v>0.49808399999999997</v>
      </c>
      <c r="Y3874" s="2" t="s">
        <v>3256</v>
      </c>
      <c r="Z3874" s="2" t="s">
        <v>46</v>
      </c>
      <c r="AA3874" s="2" t="s">
        <v>91</v>
      </c>
      <c r="AB3874" s="2" t="s">
        <v>58</v>
      </c>
      <c r="AE3874" s="2">
        <f t="shared" si="423"/>
        <v>0</v>
      </c>
      <c r="AF3874" s="2">
        <v>25.094999999999999</v>
      </c>
      <c r="AG3874" s="2">
        <v>66</v>
      </c>
      <c r="AI3874" s="2">
        <f t="shared" si="424"/>
        <v>0</v>
      </c>
      <c r="AJ3874" s="2">
        <f t="shared" si="422"/>
        <v>24.904199999999999</v>
      </c>
      <c r="AK3874" s="5">
        <f t="shared" si="426"/>
        <v>0.49808399999999997</v>
      </c>
    </row>
    <row r="3875" spans="1:37" x14ac:dyDescent="0.2">
      <c r="A3875" s="2">
        <v>2026</v>
      </c>
      <c r="B3875" s="2">
        <v>5</v>
      </c>
      <c r="C3875" s="2" t="s">
        <v>1154</v>
      </c>
      <c r="D3875" s="2" t="s">
        <v>109</v>
      </c>
      <c r="E3875" s="2" t="s">
        <v>39</v>
      </c>
      <c r="F3875" s="2">
        <v>518312798</v>
      </c>
      <c r="G3875" s="2" t="s">
        <v>41</v>
      </c>
      <c r="H3875" s="2" t="s">
        <v>1155</v>
      </c>
      <c r="I3875" s="2" t="s">
        <v>1156</v>
      </c>
      <c r="K3875" s="2" t="s">
        <v>134</v>
      </c>
      <c r="L3875" s="2" t="s">
        <v>41</v>
      </c>
      <c r="N3875" s="2" t="s">
        <v>2944</v>
      </c>
      <c r="O3875" s="2" t="s">
        <v>43</v>
      </c>
      <c r="P3875" s="2" t="s">
        <v>59</v>
      </c>
      <c r="Q3875" s="2" t="s">
        <v>60</v>
      </c>
      <c r="R3875" s="2">
        <v>100</v>
      </c>
      <c r="S3875" s="2">
        <v>13</v>
      </c>
      <c r="T3875" s="2">
        <v>2.99</v>
      </c>
      <c r="U3875" s="2">
        <v>15.99</v>
      </c>
      <c r="V3875" s="2">
        <f>0.0914*R3875</f>
        <v>9.1399999999999988</v>
      </c>
      <c r="W3875" s="5">
        <f t="shared" si="425"/>
        <v>0.29692307692307701</v>
      </c>
      <c r="Y3875" s="2" t="s">
        <v>3256</v>
      </c>
      <c r="Z3875" s="2" t="s">
        <v>46</v>
      </c>
      <c r="AA3875" s="2" t="s">
        <v>61</v>
      </c>
      <c r="AB3875" s="2" t="s">
        <v>58</v>
      </c>
      <c r="AE3875" s="2">
        <f t="shared" si="423"/>
        <v>0</v>
      </c>
      <c r="AF3875" s="2">
        <v>9.14</v>
      </c>
      <c r="AG3875" s="2">
        <v>16</v>
      </c>
      <c r="AI3875" s="2">
        <f t="shared" si="424"/>
        <v>0</v>
      </c>
      <c r="AJ3875" s="2">
        <f t="shared" si="422"/>
        <v>3.8600000000000012</v>
      </c>
      <c r="AK3875" s="5">
        <f t="shared" si="426"/>
        <v>0.29692307692307701</v>
      </c>
    </row>
    <row r="3876" spans="1:37" x14ac:dyDescent="0.2">
      <c r="A3876" s="2">
        <v>2026</v>
      </c>
      <c r="B3876" s="2">
        <v>5</v>
      </c>
      <c r="C3876" s="2" t="s">
        <v>1154</v>
      </c>
      <c r="D3876" s="2" t="s">
        <v>109</v>
      </c>
      <c r="E3876" s="2" t="s">
        <v>39</v>
      </c>
      <c r="F3876" s="2">
        <v>518312798</v>
      </c>
      <c r="G3876" s="2" t="s">
        <v>41</v>
      </c>
      <c r="H3876" s="2" t="s">
        <v>1155</v>
      </c>
      <c r="I3876" s="2" t="s">
        <v>1156</v>
      </c>
      <c r="K3876" s="2" t="s">
        <v>134</v>
      </c>
      <c r="L3876" s="2" t="s">
        <v>41</v>
      </c>
      <c r="N3876" s="2" t="s">
        <v>2944</v>
      </c>
      <c r="O3876" s="2" t="s">
        <v>43</v>
      </c>
      <c r="P3876" s="2" t="s">
        <v>62</v>
      </c>
      <c r="Q3876" s="2" t="s">
        <v>63</v>
      </c>
      <c r="R3876" s="2">
        <v>400</v>
      </c>
      <c r="S3876" s="2">
        <v>52</v>
      </c>
      <c r="T3876" s="2">
        <v>11.96</v>
      </c>
      <c r="U3876" s="2">
        <v>63.96</v>
      </c>
      <c r="V3876" s="2">
        <f>0.082*R3876</f>
        <v>32.800000000000004</v>
      </c>
      <c r="W3876" s="5">
        <f t="shared" si="425"/>
        <v>0.36923076923076914</v>
      </c>
      <c r="Y3876" s="2" t="s">
        <v>3256</v>
      </c>
      <c r="Z3876" s="2" t="s">
        <v>46</v>
      </c>
      <c r="AA3876" s="2" t="s">
        <v>61</v>
      </c>
      <c r="AB3876" s="2" t="s">
        <v>58</v>
      </c>
      <c r="AE3876" s="2">
        <f t="shared" si="423"/>
        <v>0</v>
      </c>
      <c r="AF3876" s="2">
        <v>8.1999999999999993</v>
      </c>
      <c r="AG3876" s="2">
        <v>13</v>
      </c>
      <c r="AI3876" s="2">
        <f t="shared" si="424"/>
        <v>0</v>
      </c>
      <c r="AJ3876" s="2">
        <f t="shared" si="422"/>
        <v>19.199999999999996</v>
      </c>
      <c r="AK3876" s="5">
        <f t="shared" si="426"/>
        <v>0.36923076923076914</v>
      </c>
    </row>
    <row r="3877" spans="1:37" x14ac:dyDescent="0.2">
      <c r="A3877" s="2">
        <v>2026</v>
      </c>
      <c r="B3877" s="2">
        <v>5</v>
      </c>
      <c r="C3877" s="2" t="s">
        <v>1154</v>
      </c>
      <c r="D3877" s="2" t="s">
        <v>109</v>
      </c>
      <c r="E3877" s="2" t="s">
        <v>39</v>
      </c>
      <c r="F3877" s="2">
        <v>518312798</v>
      </c>
      <c r="G3877" s="2" t="s">
        <v>41</v>
      </c>
      <c r="H3877" s="2" t="s">
        <v>1155</v>
      </c>
      <c r="I3877" s="2" t="s">
        <v>1156</v>
      </c>
      <c r="K3877" s="2" t="s">
        <v>134</v>
      </c>
      <c r="L3877" s="2" t="s">
        <v>41</v>
      </c>
      <c r="N3877" s="2" t="s">
        <v>2944</v>
      </c>
      <c r="O3877" s="2" t="s">
        <v>43</v>
      </c>
      <c r="P3877" s="2" t="s">
        <v>255</v>
      </c>
      <c r="Q3877" s="2" t="s">
        <v>256</v>
      </c>
      <c r="R3877" s="2">
        <v>100</v>
      </c>
      <c r="S3877" s="2">
        <v>13</v>
      </c>
      <c r="T3877" s="2">
        <v>2.99</v>
      </c>
      <c r="U3877" s="2">
        <v>15.99</v>
      </c>
      <c r="W3877" s="5">
        <f t="shared" si="425"/>
        <v>1</v>
      </c>
      <c r="Y3877" s="2" t="s">
        <v>3256</v>
      </c>
      <c r="Z3877" s="2" t="s">
        <v>46</v>
      </c>
      <c r="AA3877" s="2" t="s">
        <v>61</v>
      </c>
      <c r="AB3877" s="2" t="s">
        <v>58</v>
      </c>
      <c r="AE3877" s="2">
        <f t="shared" si="423"/>
        <v>0</v>
      </c>
      <c r="AI3877" s="2">
        <f t="shared" si="424"/>
        <v>0</v>
      </c>
      <c r="AJ3877" s="2">
        <f t="shared" si="422"/>
        <v>13</v>
      </c>
      <c r="AK3877" s="5">
        <f t="shared" si="426"/>
        <v>1</v>
      </c>
    </row>
    <row r="3878" spans="1:37" x14ac:dyDescent="0.2">
      <c r="A3878" s="2">
        <v>2026</v>
      </c>
      <c r="B3878" s="2">
        <v>5</v>
      </c>
      <c r="C3878" s="2" t="s">
        <v>1154</v>
      </c>
      <c r="D3878" s="2" t="s">
        <v>109</v>
      </c>
      <c r="E3878" s="2" t="s">
        <v>39</v>
      </c>
      <c r="F3878" s="2">
        <v>518312798</v>
      </c>
      <c r="G3878" s="2" t="s">
        <v>41</v>
      </c>
      <c r="H3878" s="2" t="s">
        <v>1155</v>
      </c>
      <c r="I3878" s="2" t="s">
        <v>1156</v>
      </c>
      <c r="K3878" s="2" t="s">
        <v>134</v>
      </c>
      <c r="L3878" s="2" t="s">
        <v>41</v>
      </c>
      <c r="N3878" s="2" t="s">
        <v>2944</v>
      </c>
      <c r="O3878" s="2" t="s">
        <v>43</v>
      </c>
      <c r="P3878" s="2" t="s">
        <v>64</v>
      </c>
      <c r="Q3878" s="2" t="s">
        <v>65</v>
      </c>
      <c r="R3878" s="2">
        <v>8</v>
      </c>
      <c r="S3878" s="2">
        <v>14.4</v>
      </c>
      <c r="T3878" s="2">
        <v>3.3119999999999998</v>
      </c>
      <c r="U3878" s="2">
        <v>17.712</v>
      </c>
      <c r="V3878" s="2">
        <f>0.8561*R3878</f>
        <v>6.8487999999999998</v>
      </c>
      <c r="W3878" s="5">
        <f t="shared" ref="W3878:W3909" si="427">(S3878-V3878)/S3878</f>
        <v>0.5243888888888889</v>
      </c>
      <c r="Y3878" s="2" t="s">
        <v>3256</v>
      </c>
      <c r="Z3878" s="2" t="s">
        <v>46</v>
      </c>
      <c r="AA3878" s="2" t="s">
        <v>61</v>
      </c>
      <c r="AB3878" s="2" t="s">
        <v>58</v>
      </c>
      <c r="AE3878" s="2">
        <f t="shared" si="423"/>
        <v>0</v>
      </c>
      <c r="AF3878" s="2">
        <v>0.85609999999999997</v>
      </c>
      <c r="AG3878" s="2">
        <v>1.8</v>
      </c>
      <c r="AI3878" s="2">
        <f t="shared" si="424"/>
        <v>0</v>
      </c>
      <c r="AJ3878" s="2">
        <f t="shared" si="422"/>
        <v>7.5512000000000006</v>
      </c>
      <c r="AK3878" s="5">
        <f t="shared" ref="AK3878:AK3909" si="428">(S3878-V3878)/S3878</f>
        <v>0.5243888888888889</v>
      </c>
    </row>
    <row r="3879" spans="1:37" x14ac:dyDescent="0.2">
      <c r="A3879" s="2">
        <v>2026</v>
      </c>
      <c r="B3879" s="2">
        <v>5</v>
      </c>
      <c r="C3879" s="2" t="s">
        <v>1154</v>
      </c>
      <c r="D3879" s="2" t="s">
        <v>109</v>
      </c>
      <c r="E3879" s="2" t="s">
        <v>39</v>
      </c>
      <c r="F3879" s="2">
        <v>518312798</v>
      </c>
      <c r="G3879" s="2" t="s">
        <v>41</v>
      </c>
      <c r="H3879" s="2" t="s">
        <v>1155</v>
      </c>
      <c r="I3879" s="2" t="s">
        <v>1156</v>
      </c>
      <c r="K3879" s="2" t="s">
        <v>134</v>
      </c>
      <c r="L3879" s="2" t="s">
        <v>41</v>
      </c>
      <c r="N3879" s="2" t="s">
        <v>2944</v>
      </c>
      <c r="O3879" s="2" t="s">
        <v>43</v>
      </c>
      <c r="P3879" s="2" t="s">
        <v>335</v>
      </c>
      <c r="Q3879" s="2" t="s">
        <v>336</v>
      </c>
      <c r="R3879" s="2">
        <v>8</v>
      </c>
      <c r="S3879" s="2">
        <v>24</v>
      </c>
      <c r="T3879" s="2">
        <v>5.52</v>
      </c>
      <c r="U3879" s="2">
        <v>29.52</v>
      </c>
      <c r="V3879" s="2">
        <f>1.1122*R3879</f>
        <v>8.8976000000000006</v>
      </c>
      <c r="W3879" s="5">
        <f t="shared" si="427"/>
        <v>0.62926666666666664</v>
      </c>
      <c r="Y3879" s="2" t="s">
        <v>3256</v>
      </c>
      <c r="Z3879" s="2" t="s">
        <v>46</v>
      </c>
      <c r="AA3879" s="2" t="s">
        <v>61</v>
      </c>
      <c r="AB3879" s="2" t="s">
        <v>58</v>
      </c>
      <c r="AE3879" s="2">
        <f t="shared" si="423"/>
        <v>0</v>
      </c>
      <c r="AF3879" s="2">
        <v>1.1122000000000001</v>
      </c>
      <c r="AG3879" s="2">
        <v>3</v>
      </c>
      <c r="AI3879" s="2">
        <f t="shared" si="424"/>
        <v>0</v>
      </c>
      <c r="AJ3879" s="2">
        <f t="shared" si="422"/>
        <v>15.102399999999999</v>
      </c>
      <c r="AK3879" s="5">
        <f t="shared" si="428"/>
        <v>0.62926666666666664</v>
      </c>
    </row>
    <row r="3880" spans="1:37" x14ac:dyDescent="0.2">
      <c r="A3880" s="2">
        <v>2026</v>
      </c>
      <c r="B3880" s="2">
        <v>5</v>
      </c>
      <c r="C3880" s="2" t="s">
        <v>1154</v>
      </c>
      <c r="D3880" s="2" t="s">
        <v>109</v>
      </c>
      <c r="E3880" s="2" t="s">
        <v>39</v>
      </c>
      <c r="F3880" s="2">
        <v>518312798</v>
      </c>
      <c r="G3880" s="2" t="s">
        <v>41</v>
      </c>
      <c r="H3880" s="2" t="s">
        <v>1155</v>
      </c>
      <c r="I3880" s="2" t="s">
        <v>1156</v>
      </c>
      <c r="K3880" s="2" t="s">
        <v>134</v>
      </c>
      <c r="L3880" s="2" t="s">
        <v>41</v>
      </c>
      <c r="N3880" s="2" t="s">
        <v>2944</v>
      </c>
      <c r="O3880" s="2" t="s">
        <v>43</v>
      </c>
      <c r="P3880" s="2" t="s">
        <v>584</v>
      </c>
      <c r="Q3880" s="2" t="s">
        <v>585</v>
      </c>
      <c r="R3880" s="2">
        <v>4</v>
      </c>
      <c r="S3880" s="2">
        <v>12</v>
      </c>
      <c r="T3880" s="2">
        <v>2.76</v>
      </c>
      <c r="U3880" s="2">
        <v>14.76</v>
      </c>
      <c r="V3880" s="2">
        <f>1.4114*R3880</f>
        <v>5.6456</v>
      </c>
      <c r="W3880" s="5">
        <f t="shared" si="427"/>
        <v>0.5295333333333333</v>
      </c>
      <c r="Y3880" s="2" t="s">
        <v>3256</v>
      </c>
      <c r="Z3880" s="2" t="s">
        <v>46</v>
      </c>
      <c r="AA3880" s="2" t="s">
        <v>61</v>
      </c>
      <c r="AB3880" s="2" t="s">
        <v>58</v>
      </c>
      <c r="AE3880" s="2">
        <f t="shared" si="423"/>
        <v>0</v>
      </c>
      <c r="AF3880" s="2">
        <v>1.4114</v>
      </c>
      <c r="AG3880" s="2">
        <v>3</v>
      </c>
      <c r="AI3880" s="2">
        <f t="shared" si="424"/>
        <v>0</v>
      </c>
      <c r="AJ3880" s="2">
        <f t="shared" si="422"/>
        <v>6.3544</v>
      </c>
      <c r="AK3880" s="5">
        <f t="shared" si="428"/>
        <v>0.5295333333333333</v>
      </c>
    </row>
    <row r="3881" spans="1:37" x14ac:dyDescent="0.2">
      <c r="A3881" s="2">
        <v>2026</v>
      </c>
      <c r="B3881" s="2">
        <v>5</v>
      </c>
      <c r="C3881" s="2" t="s">
        <v>1154</v>
      </c>
      <c r="D3881" s="2" t="s">
        <v>109</v>
      </c>
      <c r="E3881" s="2" t="s">
        <v>39</v>
      </c>
      <c r="F3881" s="2">
        <v>518312798</v>
      </c>
      <c r="G3881" s="2" t="s">
        <v>41</v>
      </c>
      <c r="H3881" s="2" t="s">
        <v>1155</v>
      </c>
      <c r="I3881" s="2" t="s">
        <v>1156</v>
      </c>
      <c r="K3881" s="2" t="s">
        <v>134</v>
      </c>
      <c r="L3881" s="2" t="s">
        <v>41</v>
      </c>
      <c r="N3881" s="2" t="s">
        <v>2944</v>
      </c>
      <c r="O3881" s="2" t="s">
        <v>43</v>
      </c>
      <c r="P3881" s="2" t="s">
        <v>509</v>
      </c>
      <c r="Q3881" s="2" t="s">
        <v>510</v>
      </c>
      <c r="R3881" s="2">
        <v>10</v>
      </c>
      <c r="S3881" s="2">
        <v>12</v>
      </c>
      <c r="T3881" s="2">
        <v>2.76</v>
      </c>
      <c r="U3881" s="2">
        <v>14.76</v>
      </c>
      <c r="W3881" s="5">
        <f t="shared" si="427"/>
        <v>1</v>
      </c>
      <c r="Y3881" s="2" t="s">
        <v>3256</v>
      </c>
      <c r="Z3881" s="2" t="s">
        <v>46</v>
      </c>
      <c r="AA3881" s="2" t="s">
        <v>61</v>
      </c>
      <c r="AB3881" s="2" t="s">
        <v>58</v>
      </c>
      <c r="AE3881" s="2">
        <f t="shared" si="423"/>
        <v>0</v>
      </c>
      <c r="AI3881" s="2">
        <f t="shared" si="424"/>
        <v>0</v>
      </c>
      <c r="AJ3881" s="2">
        <f t="shared" si="422"/>
        <v>12</v>
      </c>
      <c r="AK3881" s="5">
        <f t="shared" si="428"/>
        <v>1</v>
      </c>
    </row>
    <row r="3882" spans="1:37" x14ac:dyDescent="0.2">
      <c r="A3882" s="2">
        <v>2026</v>
      </c>
      <c r="B3882" s="2">
        <v>5</v>
      </c>
      <c r="C3882" s="2" t="s">
        <v>1154</v>
      </c>
      <c r="D3882" s="2" t="s">
        <v>109</v>
      </c>
      <c r="E3882" s="2" t="s">
        <v>39</v>
      </c>
      <c r="F3882" s="2">
        <v>518312798</v>
      </c>
      <c r="G3882" s="2" t="s">
        <v>41</v>
      </c>
      <c r="H3882" s="2" t="s">
        <v>1155</v>
      </c>
      <c r="I3882" s="2" t="s">
        <v>1156</v>
      </c>
      <c r="K3882" s="2" t="s">
        <v>134</v>
      </c>
      <c r="L3882" s="2" t="s">
        <v>41</v>
      </c>
      <c r="N3882" s="2" t="s">
        <v>2944</v>
      </c>
      <c r="O3882" s="2" t="s">
        <v>43</v>
      </c>
      <c r="P3882" s="2" t="s">
        <v>66</v>
      </c>
      <c r="Q3882" s="2" t="s">
        <v>67</v>
      </c>
      <c r="R3882" s="2">
        <v>1</v>
      </c>
      <c r="S3882" s="2">
        <v>23</v>
      </c>
      <c r="T3882" s="2">
        <v>5.29</v>
      </c>
      <c r="U3882" s="2">
        <v>28.29</v>
      </c>
      <c r="V3882" s="2">
        <f>15.0203*R3882</f>
        <v>15.020300000000001</v>
      </c>
      <c r="W3882" s="5">
        <f t="shared" si="427"/>
        <v>0.34694347826086952</v>
      </c>
      <c r="Y3882" s="2" t="s">
        <v>3256</v>
      </c>
      <c r="Z3882" s="2" t="s">
        <v>46</v>
      </c>
      <c r="AA3882" s="2" t="s">
        <v>68</v>
      </c>
      <c r="AB3882" s="2" t="s">
        <v>58</v>
      </c>
      <c r="AE3882" s="2">
        <f t="shared" si="423"/>
        <v>0</v>
      </c>
      <c r="AF3882" s="2">
        <v>15.020300000000001</v>
      </c>
      <c r="AG3882" s="2">
        <v>27.6</v>
      </c>
      <c r="AI3882" s="2">
        <f t="shared" si="424"/>
        <v>0</v>
      </c>
      <c r="AJ3882" s="2">
        <f t="shared" si="422"/>
        <v>7.9796999999999993</v>
      </c>
      <c r="AK3882" s="5">
        <f t="shared" si="428"/>
        <v>0.34694347826086952</v>
      </c>
    </row>
    <row r="3883" spans="1:37" x14ac:dyDescent="0.2">
      <c r="A3883" s="2">
        <v>2026</v>
      </c>
      <c r="B3883" s="2">
        <v>5</v>
      </c>
      <c r="C3883" s="2" t="s">
        <v>1154</v>
      </c>
      <c r="D3883" s="2" t="s">
        <v>109</v>
      </c>
      <c r="E3883" s="2" t="s">
        <v>39</v>
      </c>
      <c r="F3883" s="2">
        <v>518312798</v>
      </c>
      <c r="G3883" s="2" t="s">
        <v>41</v>
      </c>
      <c r="H3883" s="2" t="s">
        <v>1155</v>
      </c>
      <c r="I3883" s="2" t="s">
        <v>1156</v>
      </c>
      <c r="K3883" s="2" t="s">
        <v>134</v>
      </c>
      <c r="L3883" s="2" t="s">
        <v>41</v>
      </c>
      <c r="N3883" s="2" t="s">
        <v>2944</v>
      </c>
      <c r="O3883" s="2" t="s">
        <v>43</v>
      </c>
      <c r="P3883" s="2" t="s">
        <v>261</v>
      </c>
      <c r="Q3883" s="2" t="s">
        <v>262</v>
      </c>
      <c r="R3883" s="2">
        <v>1</v>
      </c>
      <c r="S3883" s="2">
        <v>13</v>
      </c>
      <c r="T3883" s="2">
        <v>2.99</v>
      </c>
      <c r="U3883" s="2">
        <v>15.99</v>
      </c>
      <c r="V3883" s="2">
        <f>8.3145*R3883</f>
        <v>8.3145000000000007</v>
      </c>
      <c r="W3883" s="5">
        <f t="shared" si="427"/>
        <v>0.36042307692307685</v>
      </c>
      <c r="Y3883" s="2" t="s">
        <v>3256</v>
      </c>
      <c r="Z3883" s="2" t="s">
        <v>46</v>
      </c>
      <c r="AA3883" s="2" t="s">
        <v>68</v>
      </c>
      <c r="AB3883" s="2" t="s">
        <v>58</v>
      </c>
      <c r="AE3883" s="2">
        <f t="shared" si="423"/>
        <v>0</v>
      </c>
      <c r="AF3883" s="2">
        <v>8.3145000000000007</v>
      </c>
      <c r="AG3883" s="2">
        <v>15</v>
      </c>
      <c r="AI3883" s="2">
        <f t="shared" si="424"/>
        <v>0</v>
      </c>
      <c r="AJ3883" s="2">
        <f t="shared" si="422"/>
        <v>4.6854999999999993</v>
      </c>
      <c r="AK3883" s="5">
        <f t="shared" si="428"/>
        <v>0.36042307692307685</v>
      </c>
    </row>
    <row r="3884" spans="1:37" x14ac:dyDescent="0.2">
      <c r="A3884" s="2">
        <v>2026</v>
      </c>
      <c r="B3884" s="2">
        <v>5</v>
      </c>
      <c r="C3884" s="2" t="s">
        <v>1154</v>
      </c>
      <c r="D3884" s="2" t="s">
        <v>109</v>
      </c>
      <c r="E3884" s="2" t="s">
        <v>39</v>
      </c>
      <c r="F3884" s="2">
        <v>518312798</v>
      </c>
      <c r="G3884" s="2" t="s">
        <v>41</v>
      </c>
      <c r="H3884" s="2" t="s">
        <v>1155</v>
      </c>
      <c r="I3884" s="2" t="s">
        <v>1156</v>
      </c>
      <c r="K3884" s="2" t="s">
        <v>134</v>
      </c>
      <c r="L3884" s="2" t="s">
        <v>41</v>
      </c>
      <c r="N3884" s="2" t="s">
        <v>2944</v>
      </c>
      <c r="O3884" s="2" t="s">
        <v>85</v>
      </c>
      <c r="P3884" s="2" t="s">
        <v>1220</v>
      </c>
      <c r="Q3884" s="2" t="s">
        <v>1221</v>
      </c>
      <c r="R3884" s="2">
        <v>1</v>
      </c>
      <c r="S3884" s="2">
        <v>13.2</v>
      </c>
      <c r="T3884" s="2">
        <v>3.036</v>
      </c>
      <c r="U3884" s="2">
        <v>16.236000000000001</v>
      </c>
      <c r="W3884" s="5">
        <f t="shared" si="427"/>
        <v>1</v>
      </c>
      <c r="Y3884" s="2" t="s">
        <v>3256</v>
      </c>
      <c r="Z3884" s="2" t="s">
        <v>88</v>
      </c>
      <c r="AA3884" s="2" t="s">
        <v>91</v>
      </c>
      <c r="AB3884" s="2" t="s">
        <v>85</v>
      </c>
      <c r="AE3884" s="2">
        <f t="shared" si="423"/>
        <v>0</v>
      </c>
      <c r="AI3884" s="2">
        <f t="shared" si="424"/>
        <v>0</v>
      </c>
      <c r="AJ3884" s="2">
        <f t="shared" si="422"/>
        <v>13.2</v>
      </c>
      <c r="AK3884" s="5">
        <f t="shared" si="428"/>
        <v>1</v>
      </c>
    </row>
    <row r="3885" spans="1:37" x14ac:dyDescent="0.2">
      <c r="A3885" s="2">
        <v>2026</v>
      </c>
      <c r="B3885" s="2">
        <v>5</v>
      </c>
      <c r="C3885" s="2" t="s">
        <v>1154</v>
      </c>
      <c r="D3885" s="2" t="s">
        <v>109</v>
      </c>
      <c r="E3885" s="2" t="s">
        <v>39</v>
      </c>
      <c r="F3885" s="2">
        <v>518312798</v>
      </c>
      <c r="G3885" s="2" t="s">
        <v>41</v>
      </c>
      <c r="H3885" s="2" t="s">
        <v>1155</v>
      </c>
      <c r="I3885" s="2" t="s">
        <v>1156</v>
      </c>
      <c r="K3885" s="2" t="s">
        <v>134</v>
      </c>
      <c r="L3885" s="2" t="s">
        <v>41</v>
      </c>
      <c r="N3885" s="2" t="s">
        <v>2944</v>
      </c>
      <c r="O3885" s="2" t="s">
        <v>2919</v>
      </c>
      <c r="P3885" s="2" t="s">
        <v>2948</v>
      </c>
      <c r="Q3885" s="2" t="s">
        <v>2949</v>
      </c>
      <c r="R3885" s="2">
        <v>1</v>
      </c>
      <c r="S3885" s="2">
        <v>165</v>
      </c>
      <c r="T3885" s="2">
        <v>37.950000000000003</v>
      </c>
      <c r="U3885" s="2">
        <v>202.95</v>
      </c>
      <c r="V3885" s="2">
        <v>139.5</v>
      </c>
      <c r="W3885" s="5">
        <f t="shared" si="427"/>
        <v>0.15454545454545454</v>
      </c>
      <c r="Y3885" s="2" t="s">
        <v>3256</v>
      </c>
      <c r="Z3885" s="2" t="s">
        <v>72</v>
      </c>
      <c r="AA3885" s="2" t="s">
        <v>2919</v>
      </c>
      <c r="AB3885" s="2" t="s">
        <v>2919</v>
      </c>
      <c r="AE3885" s="2">
        <f t="shared" si="423"/>
        <v>0</v>
      </c>
      <c r="AF3885" s="2">
        <v>139.5</v>
      </c>
      <c r="AI3885" s="2">
        <f t="shared" si="424"/>
        <v>0</v>
      </c>
      <c r="AJ3885" s="2">
        <f t="shared" si="422"/>
        <v>25.5</v>
      </c>
      <c r="AK3885" s="5">
        <f t="shared" si="428"/>
        <v>0.15454545454545454</v>
      </c>
    </row>
    <row r="3886" spans="1:37" x14ac:dyDescent="0.2">
      <c r="A3886" s="2">
        <v>2026</v>
      </c>
      <c r="B3886" s="2">
        <v>5</v>
      </c>
      <c r="C3886" s="2" t="s">
        <v>695</v>
      </c>
      <c r="D3886" s="2" t="s">
        <v>109</v>
      </c>
      <c r="E3886" s="2" t="s">
        <v>39</v>
      </c>
      <c r="F3886" s="2">
        <v>503589950</v>
      </c>
      <c r="G3886" s="2" t="s">
        <v>41</v>
      </c>
      <c r="H3886" s="2" t="s">
        <v>615</v>
      </c>
      <c r="I3886" s="2" t="s">
        <v>696</v>
      </c>
      <c r="J3886" s="2">
        <v>913036545</v>
      </c>
      <c r="K3886" s="2" t="s">
        <v>178</v>
      </c>
      <c r="L3886" s="2" t="s">
        <v>41</v>
      </c>
      <c r="N3886" s="2" t="s">
        <v>2950</v>
      </c>
      <c r="O3886" s="2" t="s">
        <v>43</v>
      </c>
      <c r="P3886" s="2" t="s">
        <v>161</v>
      </c>
      <c r="Q3886" s="2" t="s">
        <v>162</v>
      </c>
      <c r="R3886" s="2">
        <v>4</v>
      </c>
      <c r="S3886" s="2">
        <v>36</v>
      </c>
      <c r="T3886" s="2">
        <v>8.2800000000000011</v>
      </c>
      <c r="U3886" s="2">
        <v>44.28</v>
      </c>
      <c r="V3886" s="2">
        <f>3.7358*R3886</f>
        <v>14.943199999999999</v>
      </c>
      <c r="W3886" s="5">
        <f t="shared" si="427"/>
        <v>0.58491111111111116</v>
      </c>
      <c r="Y3886" s="2" t="s">
        <v>3256</v>
      </c>
      <c r="Z3886" s="2" t="s">
        <v>46</v>
      </c>
      <c r="AA3886" s="2" t="s">
        <v>47</v>
      </c>
      <c r="AB3886" s="2" t="s">
        <v>48</v>
      </c>
      <c r="AE3886" s="2">
        <f t="shared" si="423"/>
        <v>0</v>
      </c>
      <c r="AF3886" s="2">
        <v>3.7357999999999998</v>
      </c>
      <c r="AG3886" s="2">
        <v>9</v>
      </c>
      <c r="AI3886" s="2">
        <f t="shared" si="424"/>
        <v>0</v>
      </c>
      <c r="AJ3886" s="2">
        <f t="shared" si="422"/>
        <v>21.056800000000003</v>
      </c>
      <c r="AK3886" s="5">
        <f t="shared" si="428"/>
        <v>0.58491111111111116</v>
      </c>
    </row>
    <row r="3887" spans="1:37" x14ac:dyDescent="0.2">
      <c r="A3887" s="2">
        <v>2026</v>
      </c>
      <c r="B3887" s="2">
        <v>5</v>
      </c>
      <c r="C3887" s="2" t="s">
        <v>312</v>
      </c>
      <c r="D3887" s="2" t="s">
        <v>2468</v>
      </c>
      <c r="E3887" s="2" t="s">
        <v>39</v>
      </c>
      <c r="F3887" s="2">
        <v>505814030</v>
      </c>
      <c r="G3887" s="2" t="s">
        <v>291</v>
      </c>
      <c r="H3887" s="2" t="s">
        <v>2469</v>
      </c>
      <c r="I3887" s="2" t="s">
        <v>2470</v>
      </c>
      <c r="K3887" s="2" t="s">
        <v>340</v>
      </c>
      <c r="L3887" s="2" t="s">
        <v>81</v>
      </c>
      <c r="N3887" s="2" t="s">
        <v>2951</v>
      </c>
      <c r="O3887" s="2" t="s">
        <v>43</v>
      </c>
      <c r="P3887" s="2" t="s">
        <v>62</v>
      </c>
      <c r="Q3887" s="2" t="s">
        <v>63</v>
      </c>
      <c r="R3887" s="2">
        <v>100</v>
      </c>
      <c r="S3887" s="2">
        <v>13</v>
      </c>
      <c r="T3887" s="2">
        <v>2.99</v>
      </c>
      <c r="U3887" s="2">
        <v>15.99</v>
      </c>
      <c r="V3887" s="2">
        <f>0.082*R3887</f>
        <v>8.2000000000000011</v>
      </c>
      <c r="W3887" s="5">
        <f t="shared" si="427"/>
        <v>0.36923076923076914</v>
      </c>
      <c r="Y3887" s="2" t="s">
        <v>3256</v>
      </c>
      <c r="Z3887" s="2" t="s">
        <v>46</v>
      </c>
      <c r="AA3887" s="2" t="s">
        <v>61</v>
      </c>
      <c r="AB3887" s="2" t="s">
        <v>58</v>
      </c>
      <c r="AE3887" s="2">
        <f t="shared" si="423"/>
        <v>0</v>
      </c>
      <c r="AF3887" s="2">
        <v>8.1999999999999993</v>
      </c>
      <c r="AG3887" s="2">
        <v>13</v>
      </c>
      <c r="AI3887" s="2">
        <f t="shared" si="424"/>
        <v>0</v>
      </c>
      <c r="AJ3887" s="2">
        <f t="shared" si="422"/>
        <v>4.7999999999999989</v>
      </c>
      <c r="AK3887" s="5">
        <f t="shared" si="428"/>
        <v>0.36923076923076914</v>
      </c>
    </row>
    <row r="3888" spans="1:37" x14ac:dyDescent="0.2">
      <c r="A3888" s="2">
        <v>2026</v>
      </c>
      <c r="B3888" s="2">
        <v>5</v>
      </c>
      <c r="C3888" s="2" t="s">
        <v>312</v>
      </c>
      <c r="D3888" s="2" t="s">
        <v>2468</v>
      </c>
      <c r="E3888" s="2" t="s">
        <v>39</v>
      </c>
      <c r="F3888" s="2">
        <v>505814030</v>
      </c>
      <c r="G3888" s="2" t="s">
        <v>291</v>
      </c>
      <c r="H3888" s="2" t="s">
        <v>2469</v>
      </c>
      <c r="I3888" s="2" t="s">
        <v>2470</v>
      </c>
      <c r="K3888" s="2" t="s">
        <v>340</v>
      </c>
      <c r="L3888" s="2" t="s">
        <v>81</v>
      </c>
      <c r="N3888" s="2" t="s">
        <v>2951</v>
      </c>
      <c r="O3888" s="2" t="s">
        <v>43</v>
      </c>
      <c r="P3888" s="2" t="s">
        <v>66</v>
      </c>
      <c r="Q3888" s="2" t="s">
        <v>67</v>
      </c>
      <c r="R3888" s="2">
        <v>1</v>
      </c>
      <c r="S3888" s="2">
        <v>23</v>
      </c>
      <c r="T3888" s="2">
        <v>5.29</v>
      </c>
      <c r="U3888" s="2">
        <v>28.29</v>
      </c>
      <c r="V3888" s="2">
        <f>15.0203*R3888</f>
        <v>15.020300000000001</v>
      </c>
      <c r="W3888" s="5">
        <f t="shared" si="427"/>
        <v>0.34694347826086952</v>
      </c>
      <c r="Y3888" s="2" t="s">
        <v>3256</v>
      </c>
      <c r="Z3888" s="2" t="s">
        <v>46</v>
      </c>
      <c r="AA3888" s="2" t="s">
        <v>68</v>
      </c>
      <c r="AB3888" s="2" t="s">
        <v>58</v>
      </c>
      <c r="AE3888" s="2">
        <f t="shared" si="423"/>
        <v>0</v>
      </c>
      <c r="AF3888" s="2">
        <v>15.020300000000001</v>
      </c>
      <c r="AG3888" s="2">
        <v>27.6</v>
      </c>
      <c r="AI3888" s="2">
        <f t="shared" si="424"/>
        <v>0</v>
      </c>
      <c r="AJ3888" s="2">
        <f t="shared" si="422"/>
        <v>7.9796999999999993</v>
      </c>
      <c r="AK3888" s="5">
        <f t="shared" si="428"/>
        <v>0.34694347826086952</v>
      </c>
    </row>
    <row r="3889" spans="1:37" x14ac:dyDescent="0.2">
      <c r="A3889" s="2">
        <v>2026</v>
      </c>
      <c r="B3889" s="2">
        <v>5</v>
      </c>
      <c r="C3889" s="2" t="s">
        <v>312</v>
      </c>
      <c r="D3889" s="2" t="s">
        <v>2468</v>
      </c>
      <c r="E3889" s="2" t="s">
        <v>39</v>
      </c>
      <c r="F3889" s="2">
        <v>505814030</v>
      </c>
      <c r="G3889" s="2" t="s">
        <v>291</v>
      </c>
      <c r="H3889" s="2" t="s">
        <v>2469</v>
      </c>
      <c r="I3889" s="2" t="s">
        <v>2470</v>
      </c>
      <c r="K3889" s="2" t="s">
        <v>340</v>
      </c>
      <c r="L3889" s="2" t="s">
        <v>81</v>
      </c>
      <c r="N3889" s="2" t="s">
        <v>2951</v>
      </c>
      <c r="O3889" s="2" t="s">
        <v>170</v>
      </c>
      <c r="P3889" s="2" t="s">
        <v>171</v>
      </c>
      <c r="Q3889" s="2" t="s">
        <v>171</v>
      </c>
      <c r="R3889" s="2">
        <v>1</v>
      </c>
      <c r="S3889" s="2">
        <v>5</v>
      </c>
      <c r="T3889" s="2">
        <v>1.1499999999999999</v>
      </c>
      <c r="U3889" s="2">
        <v>6.15</v>
      </c>
      <c r="W3889" s="5">
        <f t="shared" si="427"/>
        <v>1</v>
      </c>
      <c r="Y3889" s="2" t="s">
        <v>170</v>
      </c>
      <c r="Z3889" s="2" t="s">
        <v>170</v>
      </c>
      <c r="AE3889" s="2">
        <f t="shared" si="423"/>
        <v>0</v>
      </c>
      <c r="AI3889" s="2">
        <f t="shared" si="424"/>
        <v>0</v>
      </c>
      <c r="AJ3889" s="2">
        <f t="shared" si="422"/>
        <v>5</v>
      </c>
      <c r="AK3889" s="5">
        <f t="shared" si="428"/>
        <v>1</v>
      </c>
    </row>
    <row r="3890" spans="1:37" x14ac:dyDescent="0.2">
      <c r="A3890" s="2">
        <v>2026</v>
      </c>
      <c r="B3890" s="2">
        <v>5</v>
      </c>
      <c r="C3890" s="2" t="s">
        <v>303</v>
      </c>
      <c r="O3890" s="2" t="s">
        <v>3260</v>
      </c>
      <c r="P3890" s="2" t="s">
        <v>1805</v>
      </c>
      <c r="Q3890" s="2" t="s">
        <v>1806</v>
      </c>
      <c r="R3890" s="2">
        <v>2</v>
      </c>
      <c r="S3890" s="2">
        <v>3723</v>
      </c>
      <c r="T3890" s="2">
        <v>856.29000000000008</v>
      </c>
      <c r="U3890" s="2">
        <v>4579.29</v>
      </c>
      <c r="V3890" s="2">
        <v>2073.92</v>
      </c>
      <c r="W3890" s="5">
        <f t="shared" si="427"/>
        <v>0.44294386247649742</v>
      </c>
      <c r="Y3890" s="2" t="s">
        <v>105</v>
      </c>
      <c r="Z3890" s="2" t="s">
        <v>106</v>
      </c>
      <c r="AA3890" s="2" t="s">
        <v>107</v>
      </c>
      <c r="AB3890" s="2" t="s">
        <v>3260</v>
      </c>
      <c r="AE3890" s="2">
        <f t="shared" si="423"/>
        <v>0</v>
      </c>
      <c r="AI3890" s="2">
        <f t="shared" si="424"/>
        <v>0</v>
      </c>
      <c r="AJ3890" s="2">
        <f t="shared" si="422"/>
        <v>1649.08</v>
      </c>
      <c r="AK3890" s="5">
        <f t="shared" si="428"/>
        <v>0.44294386247649742</v>
      </c>
    </row>
    <row r="3891" spans="1:37" x14ac:dyDescent="0.2">
      <c r="A3891" s="2">
        <v>2026</v>
      </c>
      <c r="B3891" s="2">
        <v>5</v>
      </c>
      <c r="C3891" s="2" t="s">
        <v>721</v>
      </c>
      <c r="L3891" s="2" t="s">
        <v>40</v>
      </c>
      <c r="O3891" s="2" t="s">
        <v>188</v>
      </c>
      <c r="P3891" s="2" t="s">
        <v>189</v>
      </c>
      <c r="Q3891" s="2" t="s">
        <v>190</v>
      </c>
      <c r="R3891" s="2">
        <v>1</v>
      </c>
      <c r="S3891" s="2">
        <v>237.75</v>
      </c>
      <c r="T3891" s="2">
        <v>54.682499999999997</v>
      </c>
      <c r="U3891" s="2">
        <v>292.4325</v>
      </c>
      <c r="V3891" s="2">
        <f>S3891*40%</f>
        <v>95.100000000000009</v>
      </c>
      <c r="W3891" s="5">
        <f t="shared" si="427"/>
        <v>0.59999999999999987</v>
      </c>
      <c r="Y3891" s="2" t="s">
        <v>118</v>
      </c>
      <c r="Z3891" s="2" t="s">
        <v>191</v>
      </c>
      <c r="AE3891" s="2">
        <f t="shared" si="423"/>
        <v>0</v>
      </c>
      <c r="AF3891" s="2">
        <f>V3891</f>
        <v>95.100000000000009</v>
      </c>
      <c r="AI3891" s="2">
        <f t="shared" si="424"/>
        <v>0</v>
      </c>
      <c r="AJ3891" s="2">
        <f t="shared" si="422"/>
        <v>142.64999999999998</v>
      </c>
      <c r="AK3891" s="5">
        <f t="shared" si="428"/>
        <v>0.59999999999999987</v>
      </c>
    </row>
    <row r="3892" spans="1:37" x14ac:dyDescent="0.2">
      <c r="A3892" s="2">
        <v>2026</v>
      </c>
      <c r="B3892" s="2">
        <v>5</v>
      </c>
      <c r="C3892" s="2" t="s">
        <v>721</v>
      </c>
      <c r="L3892" s="2" t="s">
        <v>40</v>
      </c>
      <c r="O3892" s="2" t="s">
        <v>188</v>
      </c>
      <c r="P3892" s="2" t="s">
        <v>192</v>
      </c>
      <c r="Q3892" s="2" t="s">
        <v>191</v>
      </c>
      <c r="R3892" s="2">
        <v>1</v>
      </c>
      <c r="S3892" s="2">
        <v>55</v>
      </c>
      <c r="T3892" s="2">
        <v>12.65</v>
      </c>
      <c r="U3892" s="2">
        <v>67.650000000000006</v>
      </c>
      <c r="V3892" s="2">
        <f>S3892*50%</f>
        <v>27.5</v>
      </c>
      <c r="W3892" s="5">
        <f t="shared" si="427"/>
        <v>0.5</v>
      </c>
      <c r="Y3892" s="2" t="s">
        <v>118</v>
      </c>
      <c r="Z3892" s="2" t="s">
        <v>191</v>
      </c>
      <c r="AE3892" s="2">
        <f t="shared" si="423"/>
        <v>0</v>
      </c>
      <c r="AF3892" s="2">
        <f>V3892</f>
        <v>27.5</v>
      </c>
      <c r="AI3892" s="2">
        <f t="shared" si="424"/>
        <v>0</v>
      </c>
      <c r="AJ3892" s="2">
        <f t="shared" si="422"/>
        <v>27.5</v>
      </c>
      <c r="AK3892" s="5">
        <f t="shared" si="428"/>
        <v>0.5</v>
      </c>
    </row>
    <row r="3893" spans="1:37" x14ac:dyDescent="0.2">
      <c r="A3893" s="2">
        <v>2026</v>
      </c>
      <c r="B3893" s="2">
        <v>5</v>
      </c>
      <c r="C3893" s="2" t="s">
        <v>721</v>
      </c>
      <c r="O3893" s="2" t="s">
        <v>40</v>
      </c>
      <c r="P3893" s="2" t="s">
        <v>364</v>
      </c>
      <c r="Q3893" s="2" t="s">
        <v>365</v>
      </c>
      <c r="R3893" s="2">
        <v>1</v>
      </c>
      <c r="S3893" s="2">
        <v>297.5</v>
      </c>
      <c r="T3893" s="2">
        <v>68.424999999999997</v>
      </c>
      <c r="U3893" s="2">
        <v>365.92500000000001</v>
      </c>
      <c r="W3893" s="5">
        <f t="shared" si="427"/>
        <v>1</v>
      </c>
      <c r="Y3893" s="2" t="s">
        <v>120</v>
      </c>
      <c r="AE3893" s="2">
        <f t="shared" si="423"/>
        <v>0</v>
      </c>
      <c r="AI3893" s="2">
        <f t="shared" si="424"/>
        <v>0</v>
      </c>
      <c r="AJ3893" s="2">
        <f t="shared" si="422"/>
        <v>297.5</v>
      </c>
      <c r="AK3893" s="5">
        <f t="shared" si="428"/>
        <v>1</v>
      </c>
    </row>
    <row r="3894" spans="1:37" x14ac:dyDescent="0.2">
      <c r="A3894" s="2">
        <v>2026</v>
      </c>
      <c r="B3894" s="2">
        <v>5</v>
      </c>
      <c r="C3894" s="2" t="s">
        <v>298</v>
      </c>
      <c r="D3894" s="2" t="s">
        <v>38</v>
      </c>
      <c r="E3894" s="2" t="s">
        <v>39</v>
      </c>
      <c r="F3894" s="2">
        <v>510939570</v>
      </c>
      <c r="G3894" s="2" t="s">
        <v>41</v>
      </c>
      <c r="H3894" s="2" t="s">
        <v>299</v>
      </c>
      <c r="I3894" s="2" t="s">
        <v>300</v>
      </c>
      <c r="J3894" s="2">
        <v>962678129</v>
      </c>
      <c r="K3894" s="2" t="s">
        <v>178</v>
      </c>
      <c r="L3894" s="2" t="s">
        <v>40</v>
      </c>
      <c r="N3894" s="2" t="s">
        <v>2952</v>
      </c>
      <c r="O3894" s="2" t="s">
        <v>115</v>
      </c>
      <c r="P3894" s="2" t="s">
        <v>1160</v>
      </c>
      <c r="Q3894" s="2" t="s">
        <v>1161</v>
      </c>
      <c r="R3894" s="2">
        <v>1</v>
      </c>
      <c r="S3894" s="2">
        <v>257.72000000000003</v>
      </c>
      <c r="T3894" s="2">
        <v>59.275600000000011</v>
      </c>
      <c r="U3894" s="2">
        <v>316.99560000000002</v>
      </c>
      <c r="V3894" s="2">
        <v>110.8</v>
      </c>
      <c r="W3894" s="5">
        <f t="shared" si="427"/>
        <v>0.57007605152879093</v>
      </c>
      <c r="Y3894" s="2" t="s">
        <v>118</v>
      </c>
      <c r="Z3894" s="2" t="s">
        <v>119</v>
      </c>
      <c r="AA3894" s="2" t="s">
        <v>120</v>
      </c>
      <c r="AB3894" s="2" t="s">
        <v>115</v>
      </c>
      <c r="AE3894" s="2">
        <f t="shared" si="423"/>
        <v>0</v>
      </c>
      <c r="AI3894" s="2">
        <f t="shared" si="424"/>
        <v>0</v>
      </c>
      <c r="AJ3894" s="2">
        <f t="shared" ref="AJ3894:AJ3950" si="429">S3894-V3894</f>
        <v>146.92000000000002</v>
      </c>
      <c r="AK3894" s="5">
        <f t="shared" si="428"/>
        <v>0.57007605152879093</v>
      </c>
    </row>
    <row r="3895" spans="1:37" x14ac:dyDescent="0.2">
      <c r="A3895" s="2">
        <v>2026</v>
      </c>
      <c r="B3895" s="2">
        <v>5</v>
      </c>
      <c r="C3895" s="2" t="s">
        <v>1357</v>
      </c>
      <c r="D3895" s="2" t="s">
        <v>38</v>
      </c>
      <c r="E3895" s="2" t="s">
        <v>39</v>
      </c>
      <c r="F3895" s="2">
        <v>513960392</v>
      </c>
      <c r="G3895" s="2" t="s">
        <v>110</v>
      </c>
      <c r="H3895" s="2" t="s">
        <v>2953</v>
      </c>
      <c r="I3895" s="2" t="s">
        <v>2954</v>
      </c>
      <c r="J3895" s="2">
        <v>915170083</v>
      </c>
      <c r="K3895" s="2" t="s">
        <v>465</v>
      </c>
      <c r="L3895" s="2" t="s">
        <v>81</v>
      </c>
      <c r="N3895" s="2" t="s">
        <v>2955</v>
      </c>
      <c r="O3895" s="2" t="s">
        <v>73</v>
      </c>
      <c r="P3895" s="2" t="s">
        <v>302</v>
      </c>
      <c r="Q3895" s="2" t="s">
        <v>75</v>
      </c>
      <c r="R3895" s="2">
        <v>1</v>
      </c>
      <c r="S3895" s="2">
        <v>230</v>
      </c>
      <c r="T3895" s="2">
        <v>52.900000000000013</v>
      </c>
      <c r="U3895" s="2">
        <v>282.89999999999998</v>
      </c>
      <c r="V3895" s="2">
        <v>121.46</v>
      </c>
      <c r="W3895" s="5">
        <f t="shared" si="427"/>
        <v>0.47191304347826091</v>
      </c>
      <c r="Y3895" s="2" t="s">
        <v>3256</v>
      </c>
      <c r="Z3895" s="2" t="s">
        <v>76</v>
      </c>
      <c r="AA3895" s="2" t="s">
        <v>77</v>
      </c>
      <c r="AB3895" s="2" t="s">
        <v>78</v>
      </c>
      <c r="AE3895" s="2">
        <f t="shared" si="423"/>
        <v>0</v>
      </c>
      <c r="AF3895" s="2">
        <v>121.46</v>
      </c>
      <c r="AG3895" s="2">
        <v>210</v>
      </c>
      <c r="AI3895" s="2">
        <f t="shared" si="424"/>
        <v>0</v>
      </c>
      <c r="AJ3895" s="2">
        <f t="shared" si="429"/>
        <v>108.54</v>
      </c>
      <c r="AK3895" s="5">
        <f t="shared" si="428"/>
        <v>0.47191304347826091</v>
      </c>
    </row>
    <row r="3896" spans="1:37" x14ac:dyDescent="0.2">
      <c r="A3896" s="2">
        <v>2026</v>
      </c>
      <c r="B3896" s="2">
        <v>5</v>
      </c>
      <c r="C3896" s="2" t="s">
        <v>1357</v>
      </c>
      <c r="O3896" s="2" t="s">
        <v>94</v>
      </c>
      <c r="P3896" s="2" t="s">
        <v>95</v>
      </c>
      <c r="Q3896" s="2" t="s">
        <v>96</v>
      </c>
      <c r="R3896" s="2">
        <v>1</v>
      </c>
      <c r="S3896" s="2">
        <v>1.48</v>
      </c>
      <c r="T3896" s="2">
        <v>0.34039999999999998</v>
      </c>
      <c r="U3896" s="2">
        <v>1.8204</v>
      </c>
      <c r="V3896" s="2">
        <v>1.48</v>
      </c>
      <c r="W3896" s="5">
        <f t="shared" si="427"/>
        <v>0</v>
      </c>
      <c r="Y3896" s="2" t="s">
        <v>3256</v>
      </c>
      <c r="Z3896" s="2" t="s">
        <v>97</v>
      </c>
      <c r="AA3896" s="2" t="s">
        <v>77</v>
      </c>
      <c r="AB3896" s="2" t="s">
        <v>94</v>
      </c>
      <c r="AE3896" s="2">
        <f t="shared" si="423"/>
        <v>0</v>
      </c>
      <c r="AI3896" s="2">
        <f t="shared" si="424"/>
        <v>0</v>
      </c>
      <c r="AJ3896" s="2">
        <f t="shared" si="429"/>
        <v>0</v>
      </c>
      <c r="AK3896" s="5">
        <f t="shared" si="428"/>
        <v>0</v>
      </c>
    </row>
    <row r="3897" spans="1:37" x14ac:dyDescent="0.2">
      <c r="A3897" s="2">
        <v>2026</v>
      </c>
      <c r="B3897" s="2">
        <v>5</v>
      </c>
      <c r="C3897" s="2" t="s">
        <v>320</v>
      </c>
      <c r="D3897" s="2" t="s">
        <v>38</v>
      </c>
      <c r="E3897" s="2" t="s">
        <v>39</v>
      </c>
      <c r="F3897" s="2">
        <v>500883262</v>
      </c>
      <c r="G3897" s="2" t="s">
        <v>40</v>
      </c>
      <c r="H3897" s="2" t="s">
        <v>100</v>
      </c>
      <c r="I3897" s="2" t="s">
        <v>321</v>
      </c>
      <c r="K3897" s="2" t="s">
        <v>100</v>
      </c>
      <c r="L3897" s="2" t="s">
        <v>81</v>
      </c>
      <c r="N3897" s="2" t="s">
        <v>2956</v>
      </c>
      <c r="O3897" s="2" t="s">
        <v>73</v>
      </c>
      <c r="P3897" s="2" t="s">
        <v>1034</v>
      </c>
      <c r="Q3897" s="2" t="s">
        <v>198</v>
      </c>
      <c r="R3897" s="2">
        <v>1</v>
      </c>
      <c r="S3897" s="2">
        <v>270</v>
      </c>
      <c r="T3897" s="2">
        <v>62.1</v>
      </c>
      <c r="U3897" s="2">
        <v>332.1</v>
      </c>
      <c r="W3897" s="5">
        <f t="shared" si="427"/>
        <v>1</v>
      </c>
      <c r="Y3897" s="2" t="s">
        <v>3256</v>
      </c>
      <c r="Z3897" s="2" t="s">
        <v>76</v>
      </c>
      <c r="AA3897" s="2" t="s">
        <v>77</v>
      </c>
      <c r="AB3897" s="2" t="s">
        <v>78</v>
      </c>
      <c r="AE3897" s="2">
        <f t="shared" si="423"/>
        <v>0</v>
      </c>
      <c r="AI3897" s="2">
        <f t="shared" si="424"/>
        <v>0</v>
      </c>
      <c r="AJ3897" s="2">
        <f t="shared" si="429"/>
        <v>270</v>
      </c>
      <c r="AK3897" s="5">
        <f t="shared" si="428"/>
        <v>1</v>
      </c>
    </row>
    <row r="3898" spans="1:37" x14ac:dyDescent="0.2">
      <c r="A3898" s="2">
        <v>2026</v>
      </c>
      <c r="B3898" s="2">
        <v>5</v>
      </c>
      <c r="C3898" s="2" t="s">
        <v>320</v>
      </c>
      <c r="D3898" s="2" t="s">
        <v>38</v>
      </c>
      <c r="E3898" s="2" t="s">
        <v>39</v>
      </c>
      <c r="F3898" s="2">
        <v>500883262</v>
      </c>
      <c r="G3898" s="2" t="s">
        <v>40</v>
      </c>
      <c r="H3898" s="2" t="s">
        <v>100</v>
      </c>
      <c r="I3898" s="2" t="s">
        <v>321</v>
      </c>
      <c r="K3898" s="2" t="s">
        <v>100</v>
      </c>
      <c r="L3898" s="2" t="s">
        <v>81</v>
      </c>
      <c r="N3898" s="2" t="s">
        <v>2956</v>
      </c>
      <c r="O3898" s="2" t="s">
        <v>94</v>
      </c>
      <c r="P3898" s="2" t="s">
        <v>95</v>
      </c>
      <c r="Q3898" s="2" t="s">
        <v>96</v>
      </c>
      <c r="R3898" s="2">
        <v>1</v>
      </c>
      <c r="S3898" s="2">
        <v>1.48</v>
      </c>
      <c r="T3898" s="2">
        <v>0.34039999999999998</v>
      </c>
      <c r="U3898" s="2">
        <v>1.8204</v>
      </c>
      <c r="V3898" s="2">
        <v>1.48</v>
      </c>
      <c r="W3898" s="5">
        <f t="shared" si="427"/>
        <v>0</v>
      </c>
      <c r="Y3898" s="2" t="s">
        <v>3256</v>
      </c>
      <c r="Z3898" s="2" t="s">
        <v>97</v>
      </c>
      <c r="AA3898" s="2" t="s">
        <v>77</v>
      </c>
      <c r="AB3898" s="2" t="s">
        <v>94</v>
      </c>
      <c r="AE3898" s="2">
        <f t="shared" si="423"/>
        <v>0</v>
      </c>
      <c r="AI3898" s="2">
        <f t="shared" si="424"/>
        <v>0</v>
      </c>
      <c r="AJ3898" s="2">
        <f t="shared" si="429"/>
        <v>0</v>
      </c>
      <c r="AK3898" s="5">
        <f t="shared" si="428"/>
        <v>0</v>
      </c>
    </row>
    <row r="3899" spans="1:37" x14ac:dyDescent="0.2">
      <c r="A3899" s="2">
        <v>2026</v>
      </c>
      <c r="B3899" s="2">
        <v>5</v>
      </c>
      <c r="C3899" s="2" t="s">
        <v>2957</v>
      </c>
      <c r="O3899" s="2" t="s">
        <v>43</v>
      </c>
      <c r="P3899" s="2" t="s">
        <v>62</v>
      </c>
      <c r="Q3899" s="2" t="s">
        <v>63</v>
      </c>
      <c r="R3899" s="2">
        <v>100</v>
      </c>
      <c r="S3899" s="2">
        <v>14</v>
      </c>
      <c r="T3899" s="2">
        <v>3.22</v>
      </c>
      <c r="U3899" s="2">
        <v>17.22</v>
      </c>
      <c r="V3899" s="2">
        <f>0.082*R3899</f>
        <v>8.2000000000000011</v>
      </c>
      <c r="W3899" s="5">
        <f t="shared" si="427"/>
        <v>0.4142857142857142</v>
      </c>
      <c r="Y3899" s="2" t="s">
        <v>3256</v>
      </c>
      <c r="Z3899" s="2" t="s">
        <v>46</v>
      </c>
      <c r="AA3899" s="2" t="s">
        <v>61</v>
      </c>
      <c r="AB3899" s="2" t="s">
        <v>58</v>
      </c>
      <c r="AE3899" s="2">
        <f t="shared" si="423"/>
        <v>0</v>
      </c>
      <c r="AF3899" s="2">
        <v>8.1999999999999993</v>
      </c>
      <c r="AG3899" s="2">
        <v>13</v>
      </c>
      <c r="AI3899" s="2">
        <f t="shared" si="424"/>
        <v>0</v>
      </c>
      <c r="AJ3899" s="2">
        <f t="shared" si="429"/>
        <v>5.7999999999999989</v>
      </c>
      <c r="AK3899" s="5">
        <f t="shared" si="428"/>
        <v>0.4142857142857142</v>
      </c>
    </row>
    <row r="3900" spans="1:37" x14ac:dyDescent="0.2">
      <c r="A3900" s="2">
        <v>2026</v>
      </c>
      <c r="B3900" s="2">
        <v>5</v>
      </c>
      <c r="C3900" s="2" t="s">
        <v>988</v>
      </c>
      <c r="O3900" s="2" t="s">
        <v>43</v>
      </c>
      <c r="P3900" s="2" t="s">
        <v>55</v>
      </c>
      <c r="Q3900" s="2" t="s">
        <v>56</v>
      </c>
      <c r="R3900" s="2">
        <v>2</v>
      </c>
      <c r="S3900" s="2">
        <v>36</v>
      </c>
      <c r="T3900" s="2">
        <v>8.2800000000000011</v>
      </c>
      <c r="U3900" s="2">
        <v>44.28</v>
      </c>
      <c r="V3900" s="2">
        <f>10.6*R3900</f>
        <v>21.2</v>
      </c>
      <c r="W3900" s="5">
        <f t="shared" si="427"/>
        <v>0.41111111111111115</v>
      </c>
      <c r="Y3900" s="2" t="s">
        <v>3256</v>
      </c>
      <c r="Z3900" s="2" t="s">
        <v>46</v>
      </c>
      <c r="AA3900" s="2" t="s">
        <v>57</v>
      </c>
      <c r="AB3900" s="2" t="s">
        <v>58</v>
      </c>
      <c r="AE3900" s="2">
        <f t="shared" si="423"/>
        <v>0</v>
      </c>
      <c r="AF3900" s="2">
        <v>10.6</v>
      </c>
      <c r="AG3900" s="2">
        <v>18</v>
      </c>
      <c r="AI3900" s="2">
        <f t="shared" si="424"/>
        <v>0</v>
      </c>
      <c r="AJ3900" s="2">
        <f t="shared" si="429"/>
        <v>14.8</v>
      </c>
      <c r="AK3900" s="5">
        <f t="shared" si="428"/>
        <v>0.41111111111111115</v>
      </c>
    </row>
    <row r="3901" spans="1:37" x14ac:dyDescent="0.2">
      <c r="A3901" s="2">
        <v>2026</v>
      </c>
      <c r="B3901" s="2">
        <v>5</v>
      </c>
      <c r="C3901" s="2" t="s">
        <v>989</v>
      </c>
      <c r="D3901" s="2" t="s">
        <v>109</v>
      </c>
      <c r="E3901" s="2" t="s">
        <v>723</v>
      </c>
      <c r="F3901" s="2">
        <v>500594309</v>
      </c>
      <c r="G3901" s="2" t="s">
        <v>291</v>
      </c>
      <c r="H3901" s="2" t="s">
        <v>990</v>
      </c>
      <c r="I3901" s="2" t="s">
        <v>991</v>
      </c>
      <c r="K3901" s="2" t="s">
        <v>294</v>
      </c>
      <c r="L3901" s="2" t="s">
        <v>81</v>
      </c>
      <c r="N3901" s="2" t="s">
        <v>2958</v>
      </c>
      <c r="O3901" s="2" t="s">
        <v>73</v>
      </c>
      <c r="P3901" s="2" t="s">
        <v>74</v>
      </c>
      <c r="Q3901" s="2" t="s">
        <v>75</v>
      </c>
      <c r="R3901" s="2">
        <v>1</v>
      </c>
      <c r="S3901" s="2">
        <v>220</v>
      </c>
      <c r="T3901" s="2">
        <v>50.6</v>
      </c>
      <c r="U3901" s="2">
        <v>270.60000000000002</v>
      </c>
      <c r="V3901" s="2">
        <v>125.51600000000001</v>
      </c>
      <c r="W3901" s="5">
        <f t="shared" si="427"/>
        <v>0.42947272727272723</v>
      </c>
      <c r="Y3901" s="2" t="s">
        <v>3256</v>
      </c>
      <c r="Z3901" s="2" t="s">
        <v>76</v>
      </c>
      <c r="AA3901" s="2" t="s">
        <v>77</v>
      </c>
      <c r="AB3901" s="2" t="s">
        <v>78</v>
      </c>
      <c r="AE3901" s="2">
        <f t="shared" si="423"/>
        <v>0</v>
      </c>
      <c r="AF3901" s="2">
        <v>125.51600000000001</v>
      </c>
      <c r="AG3901" s="2">
        <v>220</v>
      </c>
      <c r="AI3901" s="2">
        <f t="shared" si="424"/>
        <v>0</v>
      </c>
      <c r="AJ3901" s="2">
        <f t="shared" si="429"/>
        <v>94.483999999999995</v>
      </c>
      <c r="AK3901" s="5">
        <f t="shared" si="428"/>
        <v>0.42947272727272723</v>
      </c>
    </row>
    <row r="3902" spans="1:37" x14ac:dyDescent="0.2">
      <c r="A3902" s="2">
        <v>2026</v>
      </c>
      <c r="B3902" s="2">
        <v>5</v>
      </c>
      <c r="C3902" s="2" t="s">
        <v>989</v>
      </c>
      <c r="D3902" s="2" t="s">
        <v>109</v>
      </c>
      <c r="E3902" s="2" t="s">
        <v>723</v>
      </c>
      <c r="F3902" s="2">
        <v>500594309</v>
      </c>
      <c r="G3902" s="2" t="s">
        <v>291</v>
      </c>
      <c r="H3902" s="2" t="s">
        <v>990</v>
      </c>
      <c r="I3902" s="2" t="s">
        <v>991</v>
      </c>
      <c r="K3902" s="2" t="s">
        <v>294</v>
      </c>
      <c r="L3902" s="2" t="s">
        <v>81</v>
      </c>
      <c r="N3902" s="2" t="s">
        <v>2958</v>
      </c>
      <c r="O3902" s="2" t="s">
        <v>73</v>
      </c>
      <c r="P3902" s="2" t="s">
        <v>79</v>
      </c>
      <c r="Q3902" s="2" t="s">
        <v>80</v>
      </c>
      <c r="R3902" s="2">
        <v>1</v>
      </c>
      <c r="S3902" s="2">
        <v>205</v>
      </c>
      <c r="T3902" s="2">
        <v>47.15</v>
      </c>
      <c r="U3902" s="2">
        <v>252.15</v>
      </c>
      <c r="V3902" s="2">
        <v>111.98</v>
      </c>
      <c r="W3902" s="5">
        <f t="shared" si="427"/>
        <v>0.45375609756097557</v>
      </c>
      <c r="Y3902" s="2" t="s">
        <v>3256</v>
      </c>
      <c r="Z3902" s="2" t="s">
        <v>76</v>
      </c>
      <c r="AA3902" s="2" t="s">
        <v>77</v>
      </c>
      <c r="AB3902" s="2" t="s">
        <v>78</v>
      </c>
      <c r="AE3902" s="2">
        <f t="shared" si="423"/>
        <v>0</v>
      </c>
      <c r="AF3902" s="2">
        <v>111.98</v>
      </c>
      <c r="AG3902" s="2">
        <v>210</v>
      </c>
      <c r="AI3902" s="2">
        <f t="shared" si="424"/>
        <v>0</v>
      </c>
      <c r="AJ3902" s="2">
        <f t="shared" si="429"/>
        <v>93.02</v>
      </c>
      <c r="AK3902" s="5">
        <f t="shared" si="428"/>
        <v>0.45375609756097557</v>
      </c>
    </row>
    <row r="3903" spans="1:37" x14ac:dyDescent="0.2">
      <c r="A3903" s="2">
        <v>2026</v>
      </c>
      <c r="B3903" s="2">
        <v>5</v>
      </c>
      <c r="C3903" s="2" t="s">
        <v>989</v>
      </c>
      <c r="D3903" s="2" t="s">
        <v>109</v>
      </c>
      <c r="E3903" s="2" t="s">
        <v>723</v>
      </c>
      <c r="F3903" s="2">
        <v>500594309</v>
      </c>
      <c r="G3903" s="2" t="s">
        <v>291</v>
      </c>
      <c r="H3903" s="2" t="s">
        <v>990</v>
      </c>
      <c r="I3903" s="2" t="s">
        <v>991</v>
      </c>
      <c r="K3903" s="2" t="s">
        <v>294</v>
      </c>
      <c r="L3903" s="2" t="s">
        <v>81</v>
      </c>
      <c r="N3903" s="2" t="s">
        <v>2958</v>
      </c>
      <c r="O3903" s="2" t="s">
        <v>94</v>
      </c>
      <c r="P3903" s="2" t="s">
        <v>95</v>
      </c>
      <c r="Q3903" s="2" t="s">
        <v>96</v>
      </c>
      <c r="R3903" s="2">
        <v>2</v>
      </c>
      <c r="S3903" s="2">
        <v>2.96</v>
      </c>
      <c r="T3903" s="2">
        <v>0.68080000000000007</v>
      </c>
      <c r="U3903" s="2">
        <v>3.6408</v>
      </c>
      <c r="V3903" s="2">
        <f>1.48*R3903</f>
        <v>2.96</v>
      </c>
      <c r="W3903" s="5">
        <f t="shared" si="427"/>
        <v>0</v>
      </c>
      <c r="Y3903" s="2" t="s">
        <v>3256</v>
      </c>
      <c r="Z3903" s="2" t="s">
        <v>97</v>
      </c>
      <c r="AA3903" s="2" t="s">
        <v>77</v>
      </c>
      <c r="AB3903" s="2" t="s">
        <v>94</v>
      </c>
      <c r="AE3903" s="2">
        <f t="shared" si="423"/>
        <v>0</v>
      </c>
      <c r="AF3903" s="2">
        <v>1.48</v>
      </c>
      <c r="AG3903" s="2">
        <v>1.48</v>
      </c>
      <c r="AI3903" s="2">
        <f t="shared" si="424"/>
        <v>0</v>
      </c>
      <c r="AJ3903" s="2">
        <f t="shared" si="429"/>
        <v>0</v>
      </c>
      <c r="AK3903" s="5">
        <f t="shared" si="428"/>
        <v>0</v>
      </c>
    </row>
    <row r="3904" spans="1:37" x14ac:dyDescent="0.2">
      <c r="A3904" s="2">
        <v>2026</v>
      </c>
      <c r="B3904" s="2">
        <v>5</v>
      </c>
      <c r="C3904" s="2" t="s">
        <v>1365</v>
      </c>
      <c r="D3904" s="2" t="s">
        <v>758</v>
      </c>
      <c r="E3904" s="2" t="s">
        <v>39</v>
      </c>
      <c r="F3904" s="2">
        <v>518238334</v>
      </c>
      <c r="G3904" s="2" t="s">
        <v>41</v>
      </c>
      <c r="H3904" s="2" t="s">
        <v>768</v>
      </c>
      <c r="I3904" s="2" t="s">
        <v>1366</v>
      </c>
      <c r="K3904" s="2" t="s">
        <v>422</v>
      </c>
      <c r="O3904" s="2" t="s">
        <v>283</v>
      </c>
      <c r="P3904" s="2" t="s">
        <v>1525</v>
      </c>
      <c r="Q3904" s="2" t="s">
        <v>1526</v>
      </c>
      <c r="R3904" s="2">
        <v>1</v>
      </c>
      <c r="S3904" s="2">
        <v>45</v>
      </c>
      <c r="T3904" s="2">
        <v>10.35</v>
      </c>
      <c r="U3904" s="2">
        <v>55.35</v>
      </c>
      <c r="W3904" s="5">
        <f t="shared" si="427"/>
        <v>1</v>
      </c>
      <c r="Y3904" s="2" t="s">
        <v>3256</v>
      </c>
      <c r="AE3904" s="2">
        <f t="shared" si="423"/>
        <v>0</v>
      </c>
      <c r="AI3904" s="2">
        <f t="shared" si="424"/>
        <v>0</v>
      </c>
      <c r="AJ3904" s="2">
        <f t="shared" si="429"/>
        <v>45</v>
      </c>
      <c r="AK3904" s="5">
        <f t="shared" si="428"/>
        <v>1</v>
      </c>
    </row>
    <row r="3905" spans="1:37" x14ac:dyDescent="0.2">
      <c r="A3905" s="2">
        <v>2026</v>
      </c>
      <c r="B3905" s="2">
        <v>5</v>
      </c>
      <c r="C3905" s="2" t="s">
        <v>2579</v>
      </c>
      <c r="D3905" s="2" t="s">
        <v>109</v>
      </c>
      <c r="E3905" s="2" t="s">
        <v>723</v>
      </c>
      <c r="F3905" s="2">
        <v>500228264</v>
      </c>
      <c r="G3905" s="2" t="s">
        <v>110</v>
      </c>
      <c r="H3905" s="2" t="s">
        <v>2959</v>
      </c>
      <c r="I3905" s="2" t="s">
        <v>2960</v>
      </c>
      <c r="J3905" s="2">
        <v>962004672</v>
      </c>
      <c r="K3905" s="2" t="s">
        <v>400</v>
      </c>
      <c r="L3905" s="2" t="s">
        <v>81</v>
      </c>
      <c r="N3905" s="2" t="s">
        <v>2961</v>
      </c>
      <c r="O3905" s="2" t="s">
        <v>73</v>
      </c>
      <c r="P3905" s="2" t="s">
        <v>687</v>
      </c>
      <c r="Q3905" s="2" t="s">
        <v>75</v>
      </c>
      <c r="R3905" s="2">
        <v>1</v>
      </c>
      <c r="S3905" s="2">
        <v>220</v>
      </c>
      <c r="T3905" s="2">
        <v>50.6</v>
      </c>
      <c r="U3905" s="2">
        <v>270.60000000000002</v>
      </c>
      <c r="V3905" s="2">
        <v>104.49</v>
      </c>
      <c r="W3905" s="5">
        <f t="shared" si="427"/>
        <v>0.52504545454545459</v>
      </c>
      <c r="Y3905" s="2" t="s">
        <v>3256</v>
      </c>
      <c r="Z3905" s="2" t="s">
        <v>76</v>
      </c>
      <c r="AA3905" s="2" t="s">
        <v>77</v>
      </c>
      <c r="AB3905" s="2" t="s">
        <v>78</v>
      </c>
      <c r="AE3905" s="2">
        <f t="shared" si="423"/>
        <v>0</v>
      </c>
      <c r="AF3905" s="2">
        <v>104.49</v>
      </c>
      <c r="AG3905" s="2">
        <v>220</v>
      </c>
      <c r="AI3905" s="2">
        <f t="shared" si="424"/>
        <v>0</v>
      </c>
      <c r="AJ3905" s="2">
        <f t="shared" si="429"/>
        <v>115.51</v>
      </c>
      <c r="AK3905" s="5">
        <f t="shared" si="428"/>
        <v>0.52504545454545459</v>
      </c>
    </row>
    <row r="3906" spans="1:37" x14ac:dyDescent="0.2">
      <c r="A3906" s="2">
        <v>2026</v>
      </c>
      <c r="B3906" s="2">
        <v>5</v>
      </c>
      <c r="C3906" s="2" t="s">
        <v>2579</v>
      </c>
      <c r="O3906" s="2" t="s">
        <v>94</v>
      </c>
      <c r="P3906" s="2" t="s">
        <v>95</v>
      </c>
      <c r="Q3906" s="2" t="s">
        <v>96</v>
      </c>
      <c r="R3906" s="2">
        <v>1</v>
      </c>
      <c r="S3906" s="2">
        <v>1.48</v>
      </c>
      <c r="T3906" s="2">
        <v>0.34039999999999998</v>
      </c>
      <c r="U3906" s="2">
        <v>1.8204</v>
      </c>
      <c r="W3906" s="5">
        <f t="shared" si="427"/>
        <v>1</v>
      </c>
      <c r="Y3906" s="2" t="s">
        <v>3256</v>
      </c>
      <c r="Z3906" s="2" t="s">
        <v>97</v>
      </c>
      <c r="AA3906" s="2" t="s">
        <v>77</v>
      </c>
      <c r="AB3906" s="2" t="s">
        <v>94</v>
      </c>
      <c r="AE3906" s="2">
        <f t="shared" si="423"/>
        <v>0</v>
      </c>
      <c r="AI3906" s="2">
        <f t="shared" si="424"/>
        <v>0</v>
      </c>
      <c r="AJ3906" s="2">
        <f t="shared" si="429"/>
        <v>1.48</v>
      </c>
      <c r="AK3906" s="5">
        <f t="shared" si="428"/>
        <v>1</v>
      </c>
    </row>
    <row r="3907" spans="1:37" x14ac:dyDescent="0.2">
      <c r="A3907" s="2">
        <v>2026</v>
      </c>
      <c r="B3907" s="2">
        <v>5</v>
      </c>
      <c r="C3907" s="2" t="s">
        <v>348</v>
      </c>
      <c r="D3907" s="2" t="s">
        <v>109</v>
      </c>
      <c r="E3907" s="2" t="s">
        <v>39</v>
      </c>
      <c r="F3907" s="2">
        <v>517451123</v>
      </c>
      <c r="G3907" s="2" t="s">
        <v>41</v>
      </c>
      <c r="H3907" s="2" t="s">
        <v>349</v>
      </c>
      <c r="I3907" s="2" t="s">
        <v>350</v>
      </c>
      <c r="J3907" s="2">
        <v>915209128</v>
      </c>
      <c r="K3907" s="2" t="s">
        <v>178</v>
      </c>
      <c r="L3907" s="2" t="s">
        <v>41</v>
      </c>
      <c r="N3907" s="2" t="s">
        <v>2962</v>
      </c>
      <c r="O3907" s="2" t="s">
        <v>43</v>
      </c>
      <c r="P3907" s="2" t="s">
        <v>51</v>
      </c>
      <c r="Q3907" s="2" t="s">
        <v>52</v>
      </c>
      <c r="R3907" s="2">
        <v>1</v>
      </c>
      <c r="S3907" s="2">
        <v>21</v>
      </c>
      <c r="T3907" s="2">
        <v>4.83</v>
      </c>
      <c r="U3907" s="2">
        <v>25.83</v>
      </c>
      <c r="V3907" s="2">
        <f>14.4*R3907</f>
        <v>14.4</v>
      </c>
      <c r="W3907" s="5">
        <f t="shared" si="427"/>
        <v>0.31428571428571428</v>
      </c>
      <c r="Y3907" s="2" t="s">
        <v>3256</v>
      </c>
      <c r="Z3907" s="2" t="s">
        <v>46</v>
      </c>
      <c r="AA3907" s="2" t="s">
        <v>47</v>
      </c>
      <c r="AB3907" s="2" t="s">
        <v>48</v>
      </c>
      <c r="AE3907" s="2">
        <f t="shared" ref="AE3907:AE3970" si="430">AI3907</f>
        <v>0</v>
      </c>
      <c r="AF3907" s="2">
        <v>14.4</v>
      </c>
      <c r="AG3907" s="2">
        <v>21</v>
      </c>
      <c r="AI3907" s="2">
        <f t="shared" ref="AI3907:AI3970" si="431">AH3907*S3907</f>
        <v>0</v>
      </c>
      <c r="AJ3907" s="2">
        <f t="shared" si="429"/>
        <v>6.6</v>
      </c>
      <c r="AK3907" s="5">
        <f t="shared" si="428"/>
        <v>0.31428571428571428</v>
      </c>
    </row>
    <row r="3908" spans="1:37" x14ac:dyDescent="0.2">
      <c r="A3908" s="2">
        <v>2026</v>
      </c>
      <c r="B3908" s="2">
        <v>5</v>
      </c>
      <c r="C3908" s="2" t="s">
        <v>348</v>
      </c>
      <c r="D3908" s="2" t="s">
        <v>109</v>
      </c>
      <c r="E3908" s="2" t="s">
        <v>39</v>
      </c>
      <c r="F3908" s="2">
        <v>517451123</v>
      </c>
      <c r="G3908" s="2" t="s">
        <v>41</v>
      </c>
      <c r="H3908" s="2" t="s">
        <v>349</v>
      </c>
      <c r="I3908" s="2" t="s">
        <v>350</v>
      </c>
      <c r="J3908" s="2">
        <v>915209128</v>
      </c>
      <c r="K3908" s="2" t="s">
        <v>178</v>
      </c>
      <c r="L3908" s="2" t="s">
        <v>41</v>
      </c>
      <c r="N3908" s="2" t="s">
        <v>2963</v>
      </c>
      <c r="O3908" s="2" t="s">
        <v>43</v>
      </c>
      <c r="P3908" s="2" t="s">
        <v>55</v>
      </c>
      <c r="Q3908" s="2" t="s">
        <v>56</v>
      </c>
      <c r="R3908" s="2">
        <v>10</v>
      </c>
      <c r="S3908" s="2">
        <v>150</v>
      </c>
      <c r="T3908" s="2">
        <v>34.5</v>
      </c>
      <c r="U3908" s="2">
        <v>184.5</v>
      </c>
      <c r="V3908" s="2">
        <f>10.6*R3908</f>
        <v>106</v>
      </c>
      <c r="W3908" s="5">
        <f t="shared" si="427"/>
        <v>0.29333333333333333</v>
      </c>
      <c r="Y3908" s="2" t="s">
        <v>3256</v>
      </c>
      <c r="Z3908" s="2" t="s">
        <v>46</v>
      </c>
      <c r="AA3908" s="2" t="s">
        <v>57</v>
      </c>
      <c r="AB3908" s="2" t="s">
        <v>58</v>
      </c>
      <c r="AE3908" s="2">
        <f t="shared" si="430"/>
        <v>0</v>
      </c>
      <c r="AF3908" s="2">
        <v>10.6</v>
      </c>
      <c r="AG3908" s="2">
        <v>18</v>
      </c>
      <c r="AI3908" s="2">
        <f t="shared" si="431"/>
        <v>0</v>
      </c>
      <c r="AJ3908" s="2">
        <f t="shared" si="429"/>
        <v>44</v>
      </c>
      <c r="AK3908" s="5">
        <f t="shared" si="428"/>
        <v>0.29333333333333333</v>
      </c>
    </row>
    <row r="3909" spans="1:37" x14ac:dyDescent="0.2">
      <c r="A3909" s="2">
        <v>2026</v>
      </c>
      <c r="B3909" s="2">
        <v>5</v>
      </c>
      <c r="C3909" s="2" t="s">
        <v>348</v>
      </c>
      <c r="D3909" s="2" t="s">
        <v>109</v>
      </c>
      <c r="E3909" s="2" t="s">
        <v>39</v>
      </c>
      <c r="F3909" s="2">
        <v>517451123</v>
      </c>
      <c r="G3909" s="2" t="s">
        <v>41</v>
      </c>
      <c r="H3909" s="2" t="s">
        <v>349</v>
      </c>
      <c r="I3909" s="2" t="s">
        <v>350</v>
      </c>
      <c r="J3909" s="2">
        <v>915209128</v>
      </c>
      <c r="K3909" s="2" t="s">
        <v>178</v>
      </c>
      <c r="L3909" s="2" t="s">
        <v>41</v>
      </c>
      <c r="N3909" s="2" t="s">
        <v>2962</v>
      </c>
      <c r="O3909" s="2" t="s">
        <v>43</v>
      </c>
      <c r="P3909" s="2" t="s">
        <v>66</v>
      </c>
      <c r="Q3909" s="2" t="s">
        <v>67</v>
      </c>
      <c r="R3909" s="2">
        <v>1</v>
      </c>
      <c r="S3909" s="2">
        <v>24.5</v>
      </c>
      <c r="T3909" s="2">
        <v>5.6350000000000007</v>
      </c>
      <c r="U3909" s="2">
        <v>30.135000000000002</v>
      </c>
      <c r="V3909" s="2">
        <f>15.0203*R3909</f>
        <v>15.020300000000001</v>
      </c>
      <c r="W3909" s="5">
        <f t="shared" si="427"/>
        <v>0.38692653061224486</v>
      </c>
      <c r="Y3909" s="2" t="s">
        <v>3256</v>
      </c>
      <c r="Z3909" s="2" t="s">
        <v>46</v>
      </c>
      <c r="AA3909" s="2" t="s">
        <v>68</v>
      </c>
      <c r="AB3909" s="2" t="s">
        <v>58</v>
      </c>
      <c r="AE3909" s="2">
        <f t="shared" si="430"/>
        <v>0</v>
      </c>
      <c r="AF3909" s="2">
        <v>15.020300000000001</v>
      </c>
      <c r="AG3909" s="2">
        <v>27.6</v>
      </c>
      <c r="AI3909" s="2">
        <f t="shared" si="431"/>
        <v>0</v>
      </c>
      <c r="AJ3909" s="2">
        <f t="shared" si="429"/>
        <v>9.4796999999999993</v>
      </c>
      <c r="AK3909" s="5">
        <f t="shared" si="428"/>
        <v>0.38692653061224486</v>
      </c>
    </row>
    <row r="3910" spans="1:37" x14ac:dyDescent="0.2">
      <c r="A3910" s="2">
        <v>2026</v>
      </c>
      <c r="B3910" s="2">
        <v>5</v>
      </c>
      <c r="C3910" s="2" t="s">
        <v>1540</v>
      </c>
      <c r="D3910" s="2" t="s">
        <v>109</v>
      </c>
      <c r="E3910" s="2" t="s">
        <v>39</v>
      </c>
      <c r="F3910" s="2">
        <v>513338888</v>
      </c>
      <c r="G3910" s="2" t="s">
        <v>40</v>
      </c>
      <c r="H3910" s="2" t="s">
        <v>1541</v>
      </c>
      <c r="I3910" s="2" t="s">
        <v>1542</v>
      </c>
      <c r="J3910" s="2">
        <v>962461409</v>
      </c>
      <c r="K3910" s="2" t="s">
        <v>345</v>
      </c>
      <c r="L3910" s="2" t="s">
        <v>40</v>
      </c>
      <c r="N3910" s="2" t="s">
        <v>2964</v>
      </c>
      <c r="O3910" s="2" t="s">
        <v>188</v>
      </c>
      <c r="P3910" s="2" t="s">
        <v>364</v>
      </c>
      <c r="Q3910" s="2" t="s">
        <v>365</v>
      </c>
      <c r="R3910" s="2">
        <v>1</v>
      </c>
      <c r="S3910" s="2">
        <v>104.83</v>
      </c>
      <c r="T3910" s="2">
        <v>24.110900000000001</v>
      </c>
      <c r="U3910" s="2">
        <v>128.9409</v>
      </c>
      <c r="W3910" s="5">
        <f t="shared" ref="W3910:W3941" si="432">(S3910-V3910)/S3910</f>
        <v>1</v>
      </c>
      <c r="Y3910" s="2" t="s">
        <v>118</v>
      </c>
      <c r="Z3910" s="2" t="s">
        <v>1320</v>
      </c>
      <c r="AE3910" s="2">
        <f t="shared" si="430"/>
        <v>0</v>
      </c>
      <c r="AI3910" s="2">
        <f t="shared" si="431"/>
        <v>0</v>
      </c>
      <c r="AJ3910" s="2">
        <f t="shared" si="429"/>
        <v>104.83</v>
      </c>
      <c r="AK3910" s="5">
        <f t="shared" ref="AK3910:AK3941" si="433">(S3910-V3910)/S3910</f>
        <v>1</v>
      </c>
    </row>
    <row r="3911" spans="1:37" x14ac:dyDescent="0.2">
      <c r="A3911" s="2">
        <v>2026</v>
      </c>
      <c r="B3911" s="2">
        <v>5</v>
      </c>
      <c r="C3911" s="2" t="s">
        <v>2965</v>
      </c>
      <c r="O3911" s="2" t="s">
        <v>43</v>
      </c>
      <c r="P3911" s="2" t="s">
        <v>55</v>
      </c>
      <c r="Q3911" s="2" t="s">
        <v>56</v>
      </c>
      <c r="R3911" s="2">
        <v>10</v>
      </c>
      <c r="S3911" s="2">
        <v>150</v>
      </c>
      <c r="T3911" s="2">
        <v>34.5</v>
      </c>
      <c r="U3911" s="2">
        <v>184.5</v>
      </c>
      <c r="V3911" s="2">
        <f>10.6*R3911</f>
        <v>106</v>
      </c>
      <c r="W3911" s="5">
        <f t="shared" si="432"/>
        <v>0.29333333333333333</v>
      </c>
      <c r="Y3911" s="2" t="s">
        <v>3256</v>
      </c>
      <c r="Z3911" s="2" t="s">
        <v>46</v>
      </c>
      <c r="AA3911" s="2" t="s">
        <v>57</v>
      </c>
      <c r="AB3911" s="2" t="s">
        <v>58</v>
      </c>
      <c r="AE3911" s="2">
        <f t="shared" si="430"/>
        <v>0</v>
      </c>
      <c r="AF3911" s="2">
        <v>10.6</v>
      </c>
      <c r="AG3911" s="2">
        <v>18</v>
      </c>
      <c r="AI3911" s="2">
        <f t="shared" si="431"/>
        <v>0</v>
      </c>
      <c r="AJ3911" s="2">
        <f t="shared" si="429"/>
        <v>44</v>
      </c>
      <c r="AK3911" s="5">
        <f t="shared" si="433"/>
        <v>0.29333333333333333</v>
      </c>
    </row>
    <row r="3912" spans="1:37" x14ac:dyDescent="0.2">
      <c r="A3912" s="2">
        <v>2026</v>
      </c>
      <c r="B3912" s="2">
        <v>5</v>
      </c>
      <c r="C3912" s="2" t="s">
        <v>2253</v>
      </c>
      <c r="O3912" s="2" t="s">
        <v>43</v>
      </c>
      <c r="P3912" s="2" t="s">
        <v>62</v>
      </c>
      <c r="Q3912" s="2" t="s">
        <v>63</v>
      </c>
      <c r="R3912" s="2">
        <v>1000</v>
      </c>
      <c r="S3912" s="2">
        <v>110</v>
      </c>
      <c r="T3912" s="2">
        <v>25.3</v>
      </c>
      <c r="U3912" s="2">
        <v>135.30000000000001</v>
      </c>
      <c r="V3912" s="2">
        <f>0.082*R3912</f>
        <v>82</v>
      </c>
      <c r="W3912" s="5">
        <f t="shared" si="432"/>
        <v>0.25454545454545452</v>
      </c>
      <c r="Y3912" s="2" t="s">
        <v>3256</v>
      </c>
      <c r="Z3912" s="2" t="s">
        <v>46</v>
      </c>
      <c r="AA3912" s="2" t="s">
        <v>61</v>
      </c>
      <c r="AB3912" s="2" t="s">
        <v>58</v>
      </c>
      <c r="AE3912" s="2">
        <f t="shared" si="430"/>
        <v>0</v>
      </c>
      <c r="AF3912" s="2">
        <v>8.1999999999999993</v>
      </c>
      <c r="AG3912" s="2">
        <v>13</v>
      </c>
      <c r="AI3912" s="2">
        <f t="shared" si="431"/>
        <v>0</v>
      </c>
      <c r="AJ3912" s="2">
        <f t="shared" si="429"/>
        <v>28</v>
      </c>
      <c r="AK3912" s="5">
        <f t="shared" si="433"/>
        <v>0.25454545454545452</v>
      </c>
    </row>
    <row r="3913" spans="1:37" x14ac:dyDescent="0.2">
      <c r="A3913" s="2">
        <v>2026</v>
      </c>
      <c r="B3913" s="2">
        <v>5</v>
      </c>
      <c r="C3913" s="2" t="s">
        <v>2253</v>
      </c>
      <c r="O3913" s="2" t="s">
        <v>170</v>
      </c>
      <c r="P3913" s="2" t="s">
        <v>171</v>
      </c>
      <c r="Q3913" s="2" t="s">
        <v>171</v>
      </c>
      <c r="R3913" s="2">
        <v>1</v>
      </c>
      <c r="S3913" s="2">
        <v>5</v>
      </c>
      <c r="T3913" s="2">
        <v>1.1499999999999999</v>
      </c>
      <c r="U3913" s="2">
        <v>6.15</v>
      </c>
      <c r="W3913" s="5">
        <f t="shared" si="432"/>
        <v>1</v>
      </c>
      <c r="Y3913" s="2" t="s">
        <v>170</v>
      </c>
      <c r="Z3913" s="2" t="s">
        <v>170</v>
      </c>
      <c r="AE3913" s="2">
        <f t="shared" si="430"/>
        <v>0</v>
      </c>
      <c r="AI3913" s="2">
        <f t="shared" si="431"/>
        <v>0</v>
      </c>
      <c r="AJ3913" s="2">
        <f t="shared" si="429"/>
        <v>5</v>
      </c>
      <c r="AK3913" s="5">
        <f t="shared" si="433"/>
        <v>1</v>
      </c>
    </row>
    <row r="3914" spans="1:37" x14ac:dyDescent="0.2">
      <c r="A3914" s="2">
        <v>2026</v>
      </c>
      <c r="B3914" s="2">
        <v>5</v>
      </c>
      <c r="C3914" s="2" t="s">
        <v>2966</v>
      </c>
      <c r="O3914" s="2" t="s">
        <v>73</v>
      </c>
      <c r="P3914" s="2" t="s">
        <v>74</v>
      </c>
      <c r="Q3914" s="2" t="s">
        <v>75</v>
      </c>
      <c r="R3914" s="2">
        <v>1</v>
      </c>
      <c r="S3914" s="2">
        <v>190</v>
      </c>
      <c r="T3914" s="2">
        <v>43.7</v>
      </c>
      <c r="U3914" s="2">
        <v>233.7</v>
      </c>
      <c r="V3914" s="2">
        <v>125.51600000000001</v>
      </c>
      <c r="W3914" s="5">
        <f t="shared" si="432"/>
        <v>0.33938947368421052</v>
      </c>
      <c r="Y3914" s="2" t="s">
        <v>3256</v>
      </c>
      <c r="Z3914" s="2" t="s">
        <v>76</v>
      </c>
      <c r="AA3914" s="2" t="s">
        <v>77</v>
      </c>
      <c r="AB3914" s="2" t="s">
        <v>78</v>
      </c>
      <c r="AE3914" s="2">
        <f t="shared" si="430"/>
        <v>0</v>
      </c>
      <c r="AF3914" s="2">
        <v>125.51600000000001</v>
      </c>
      <c r="AG3914" s="2">
        <v>220</v>
      </c>
      <c r="AI3914" s="2">
        <f t="shared" si="431"/>
        <v>0</v>
      </c>
      <c r="AJ3914" s="2">
        <f t="shared" si="429"/>
        <v>64.483999999999995</v>
      </c>
      <c r="AK3914" s="5">
        <f t="shared" si="433"/>
        <v>0.33938947368421052</v>
      </c>
    </row>
    <row r="3915" spans="1:37" x14ac:dyDescent="0.2">
      <c r="A3915" s="2">
        <v>2026</v>
      </c>
      <c r="B3915" s="2">
        <v>5</v>
      </c>
      <c r="C3915" s="2" t="s">
        <v>2966</v>
      </c>
      <c r="L3915" s="2" t="s">
        <v>40</v>
      </c>
      <c r="O3915" s="2" t="s">
        <v>188</v>
      </c>
      <c r="P3915" s="2" t="s">
        <v>1318</v>
      </c>
      <c r="Q3915" s="2" t="s">
        <v>1319</v>
      </c>
      <c r="R3915" s="2">
        <v>1</v>
      </c>
      <c r="S3915" s="2">
        <v>0</v>
      </c>
      <c r="T3915" s="2">
        <v>0</v>
      </c>
      <c r="U3915" s="2">
        <v>0</v>
      </c>
      <c r="W3915" s="5" t="e">
        <f t="shared" si="432"/>
        <v>#DIV/0!</v>
      </c>
      <c r="Y3915" s="2" t="s">
        <v>118</v>
      </c>
      <c r="Z3915" s="2" t="s">
        <v>1320</v>
      </c>
      <c r="AE3915" s="2">
        <f t="shared" si="430"/>
        <v>0</v>
      </c>
      <c r="AI3915" s="2">
        <f t="shared" si="431"/>
        <v>0</v>
      </c>
      <c r="AJ3915" s="2">
        <f t="shared" si="429"/>
        <v>0</v>
      </c>
      <c r="AK3915" s="5" t="e">
        <f t="shared" si="433"/>
        <v>#DIV/0!</v>
      </c>
    </row>
    <row r="3916" spans="1:37" x14ac:dyDescent="0.2">
      <c r="A3916" s="2">
        <v>2026</v>
      </c>
      <c r="B3916" s="2">
        <v>5</v>
      </c>
      <c r="C3916" s="2" t="s">
        <v>2966</v>
      </c>
      <c r="O3916" s="2" t="s">
        <v>94</v>
      </c>
      <c r="P3916" s="2" t="s">
        <v>95</v>
      </c>
      <c r="Q3916" s="2" t="s">
        <v>96</v>
      </c>
      <c r="R3916" s="2">
        <v>1</v>
      </c>
      <c r="S3916" s="2">
        <v>1.48</v>
      </c>
      <c r="T3916" s="2">
        <v>0.34039999999999998</v>
      </c>
      <c r="U3916" s="2">
        <v>1.8204</v>
      </c>
      <c r="V3916" s="2">
        <v>1.48</v>
      </c>
      <c r="W3916" s="5">
        <f t="shared" si="432"/>
        <v>0</v>
      </c>
      <c r="Y3916" s="2" t="s">
        <v>3256</v>
      </c>
      <c r="Z3916" s="2" t="s">
        <v>97</v>
      </c>
      <c r="AA3916" s="2" t="s">
        <v>77</v>
      </c>
      <c r="AB3916" s="2" t="s">
        <v>94</v>
      </c>
      <c r="AE3916" s="2">
        <f t="shared" si="430"/>
        <v>0</v>
      </c>
      <c r="AI3916" s="2">
        <f t="shared" si="431"/>
        <v>0</v>
      </c>
      <c r="AJ3916" s="2">
        <f t="shared" si="429"/>
        <v>0</v>
      </c>
      <c r="AK3916" s="5">
        <f t="shared" si="433"/>
        <v>0</v>
      </c>
    </row>
    <row r="3917" spans="1:37" x14ac:dyDescent="0.2">
      <c r="A3917" s="2">
        <v>2026</v>
      </c>
      <c r="B3917" s="2">
        <v>5</v>
      </c>
      <c r="C3917" s="2" t="s">
        <v>2899</v>
      </c>
      <c r="F3917" s="2">
        <v>506647188</v>
      </c>
      <c r="H3917" s="2" t="s">
        <v>2967</v>
      </c>
      <c r="L3917" s="2" t="s">
        <v>40</v>
      </c>
      <c r="N3917" s="2" t="s">
        <v>2968</v>
      </c>
      <c r="O3917" s="2" t="s">
        <v>115</v>
      </c>
      <c r="P3917" s="2" t="s">
        <v>785</v>
      </c>
      <c r="Q3917" s="2" t="s">
        <v>786</v>
      </c>
      <c r="R3917" s="2">
        <v>2</v>
      </c>
      <c r="S3917" s="2">
        <v>141.46</v>
      </c>
      <c r="T3917" s="2">
        <v>32.535800000000002</v>
      </c>
      <c r="U3917" s="2">
        <v>173.9958</v>
      </c>
      <c r="V3917" s="2">
        <f>35.9317*R3917</f>
        <v>71.863399999999999</v>
      </c>
      <c r="W3917" s="5">
        <f t="shared" si="432"/>
        <v>0.49198784108581933</v>
      </c>
      <c r="Y3917" s="2" t="s">
        <v>118</v>
      </c>
      <c r="Z3917" s="2" t="s">
        <v>119</v>
      </c>
      <c r="AA3917" s="2" t="s">
        <v>120</v>
      </c>
      <c r="AB3917" s="2" t="s">
        <v>115</v>
      </c>
      <c r="AE3917" s="2">
        <f t="shared" si="430"/>
        <v>0</v>
      </c>
      <c r="AF3917" s="2">
        <v>35.931699999999999</v>
      </c>
      <c r="AI3917" s="2">
        <f t="shared" si="431"/>
        <v>0</v>
      </c>
      <c r="AJ3917" s="2">
        <f t="shared" si="429"/>
        <v>69.596600000000009</v>
      </c>
      <c r="AK3917" s="5">
        <f t="shared" si="433"/>
        <v>0.49198784108581933</v>
      </c>
    </row>
    <row r="3918" spans="1:37" x14ac:dyDescent="0.2">
      <c r="A3918" s="2">
        <v>2026</v>
      </c>
      <c r="B3918" s="2">
        <v>5</v>
      </c>
      <c r="C3918" s="2" t="s">
        <v>2899</v>
      </c>
      <c r="L3918" s="2" t="s">
        <v>40</v>
      </c>
      <c r="N3918" s="2" t="s">
        <v>2968</v>
      </c>
      <c r="O3918" s="2" t="s">
        <v>115</v>
      </c>
      <c r="P3918" s="2" t="s">
        <v>565</v>
      </c>
      <c r="Q3918" s="2" t="s">
        <v>566</v>
      </c>
      <c r="R3918" s="2">
        <v>8</v>
      </c>
      <c r="S3918" s="2">
        <v>102.87</v>
      </c>
      <c r="T3918" s="2">
        <v>23.6601</v>
      </c>
      <c r="U3918" s="2">
        <v>126.5301</v>
      </c>
      <c r="V3918" s="2">
        <f>5.33*R3918</f>
        <v>42.64</v>
      </c>
      <c r="W3918" s="5">
        <f t="shared" si="432"/>
        <v>0.58549625741226796</v>
      </c>
      <c r="Y3918" s="2" t="s">
        <v>118</v>
      </c>
      <c r="Z3918" s="2" t="s">
        <v>119</v>
      </c>
      <c r="AA3918" s="2" t="s">
        <v>120</v>
      </c>
      <c r="AB3918" s="2" t="s">
        <v>115</v>
      </c>
      <c r="AE3918" s="2">
        <f t="shared" si="430"/>
        <v>0</v>
      </c>
      <c r="AF3918" s="2">
        <v>5.33</v>
      </c>
      <c r="AI3918" s="2">
        <f t="shared" si="431"/>
        <v>0</v>
      </c>
      <c r="AJ3918" s="2">
        <f t="shared" si="429"/>
        <v>60.230000000000004</v>
      </c>
      <c r="AK3918" s="5">
        <f t="shared" si="433"/>
        <v>0.58549625741226796</v>
      </c>
    </row>
    <row r="3919" spans="1:37" x14ac:dyDescent="0.2">
      <c r="A3919" s="2">
        <v>2026</v>
      </c>
      <c r="B3919" s="2">
        <v>5</v>
      </c>
      <c r="C3919" s="2" t="s">
        <v>2153</v>
      </c>
      <c r="L3919" s="2" t="s">
        <v>40</v>
      </c>
      <c r="O3919" s="2" t="s">
        <v>188</v>
      </c>
      <c r="P3919" s="2" t="s">
        <v>189</v>
      </c>
      <c r="Q3919" s="2" t="s">
        <v>190</v>
      </c>
      <c r="R3919" s="2">
        <v>-1</v>
      </c>
      <c r="S3919" s="2">
        <v>-68.5</v>
      </c>
      <c r="T3919" s="2">
        <v>-15.755000000000001</v>
      </c>
      <c r="U3919" s="2">
        <v>-84.254999999999995</v>
      </c>
      <c r="W3919" s="5">
        <f t="shared" si="432"/>
        <v>1</v>
      </c>
      <c r="Y3919" s="2" t="s">
        <v>118</v>
      </c>
      <c r="Z3919" s="2" t="s">
        <v>191</v>
      </c>
      <c r="AE3919" s="2">
        <f t="shared" si="430"/>
        <v>0</v>
      </c>
      <c r="AF3919" s="2">
        <f>V3919</f>
        <v>0</v>
      </c>
      <c r="AI3919" s="2">
        <f t="shared" si="431"/>
        <v>0</v>
      </c>
      <c r="AJ3919" s="2">
        <f t="shared" si="429"/>
        <v>-68.5</v>
      </c>
      <c r="AK3919" s="5">
        <f t="shared" si="433"/>
        <v>1</v>
      </c>
    </row>
    <row r="3920" spans="1:37" x14ac:dyDescent="0.2">
      <c r="A3920" s="2">
        <v>2026</v>
      </c>
      <c r="B3920" s="2">
        <v>5</v>
      </c>
      <c r="C3920" s="2" t="s">
        <v>2153</v>
      </c>
      <c r="L3920" s="2" t="s">
        <v>40</v>
      </c>
      <c r="O3920" s="2" t="s">
        <v>188</v>
      </c>
      <c r="P3920" s="2" t="s">
        <v>192</v>
      </c>
      <c r="Q3920" s="2" t="s">
        <v>191</v>
      </c>
      <c r="R3920" s="2">
        <v>-1.25</v>
      </c>
      <c r="S3920" s="2">
        <v>-6.25</v>
      </c>
      <c r="T3920" s="2">
        <v>-1.4375</v>
      </c>
      <c r="U3920" s="2">
        <v>-7.6875</v>
      </c>
      <c r="V3920" s="2">
        <v>0</v>
      </c>
      <c r="W3920" s="5">
        <f t="shared" si="432"/>
        <v>1</v>
      </c>
      <c r="Y3920" s="2" t="s">
        <v>118</v>
      </c>
      <c r="Z3920" s="2" t="s">
        <v>191</v>
      </c>
      <c r="AE3920" s="2">
        <f t="shared" si="430"/>
        <v>0</v>
      </c>
      <c r="AF3920" s="2">
        <f>V3920</f>
        <v>0</v>
      </c>
      <c r="AI3920" s="2">
        <f t="shared" si="431"/>
        <v>0</v>
      </c>
      <c r="AJ3920" s="2">
        <f t="shared" si="429"/>
        <v>-6.25</v>
      </c>
      <c r="AK3920" s="5">
        <f t="shared" si="433"/>
        <v>1</v>
      </c>
    </row>
    <row r="3921" spans="1:37" x14ac:dyDescent="0.2">
      <c r="A3921" s="2">
        <v>2026</v>
      </c>
      <c r="B3921" s="2">
        <v>5</v>
      </c>
      <c r="C3921" s="2" t="s">
        <v>377</v>
      </c>
      <c r="D3921" s="2" t="s">
        <v>109</v>
      </c>
      <c r="E3921" s="2" t="s">
        <v>378</v>
      </c>
      <c r="F3921" s="2">
        <v>503552542</v>
      </c>
      <c r="G3921" s="2" t="s">
        <v>291</v>
      </c>
      <c r="H3921" s="2" t="s">
        <v>379</v>
      </c>
      <c r="I3921" s="2" t="s">
        <v>380</v>
      </c>
      <c r="K3921" s="2" t="s">
        <v>340</v>
      </c>
      <c r="L3921" s="2" t="s">
        <v>40</v>
      </c>
      <c r="N3921" s="2" t="s">
        <v>2969</v>
      </c>
      <c r="O3921" s="2" t="s">
        <v>115</v>
      </c>
      <c r="P3921" s="2" t="s">
        <v>1160</v>
      </c>
      <c r="Q3921" s="2" t="s">
        <v>1161</v>
      </c>
      <c r="R3921" s="2">
        <v>1</v>
      </c>
      <c r="S3921" s="2">
        <v>257.72000000000003</v>
      </c>
      <c r="T3921" s="2">
        <v>59.275600000000011</v>
      </c>
      <c r="U3921" s="2">
        <v>316.99560000000002</v>
      </c>
      <c r="V3921" s="2">
        <v>110.8</v>
      </c>
      <c r="W3921" s="5">
        <f t="shared" si="432"/>
        <v>0.57007605152879093</v>
      </c>
      <c r="Y3921" s="2" t="s">
        <v>118</v>
      </c>
      <c r="Z3921" s="2" t="s">
        <v>119</v>
      </c>
      <c r="AA3921" s="2" t="s">
        <v>120</v>
      </c>
      <c r="AB3921" s="2" t="s">
        <v>115</v>
      </c>
      <c r="AE3921" s="2">
        <f t="shared" si="430"/>
        <v>0</v>
      </c>
      <c r="AI3921" s="2">
        <f t="shared" si="431"/>
        <v>0</v>
      </c>
      <c r="AJ3921" s="2">
        <f t="shared" si="429"/>
        <v>146.92000000000002</v>
      </c>
      <c r="AK3921" s="5">
        <f t="shared" si="433"/>
        <v>0.57007605152879093</v>
      </c>
    </row>
    <row r="3922" spans="1:37" x14ac:dyDescent="0.2">
      <c r="A3922" s="2">
        <v>2026</v>
      </c>
      <c r="B3922" s="2">
        <v>5</v>
      </c>
      <c r="C3922" s="2" t="s">
        <v>384</v>
      </c>
      <c r="D3922" s="2" t="s">
        <v>38</v>
      </c>
      <c r="E3922" s="2" t="s">
        <v>39</v>
      </c>
      <c r="F3922" s="2">
        <v>212196260</v>
      </c>
      <c r="G3922" s="2" t="s">
        <v>110</v>
      </c>
      <c r="H3922" s="2" t="s">
        <v>385</v>
      </c>
      <c r="I3922" s="2" t="s">
        <v>386</v>
      </c>
      <c r="J3922" s="2">
        <v>926769894</v>
      </c>
      <c r="K3922" s="2" t="s">
        <v>113</v>
      </c>
      <c r="L3922" s="2" t="s">
        <v>110</v>
      </c>
      <c r="N3922" s="2" t="s">
        <v>2970</v>
      </c>
      <c r="O3922" s="2" t="s">
        <v>43</v>
      </c>
      <c r="P3922" s="2" t="s">
        <v>55</v>
      </c>
      <c r="Q3922" s="2" t="s">
        <v>56</v>
      </c>
      <c r="R3922" s="2">
        <v>4</v>
      </c>
      <c r="S3922" s="2">
        <v>60</v>
      </c>
      <c r="T3922" s="2">
        <v>13.8</v>
      </c>
      <c r="U3922" s="2">
        <v>73.8</v>
      </c>
      <c r="V3922" s="2">
        <f>10.6*R3922</f>
        <v>42.4</v>
      </c>
      <c r="W3922" s="5">
        <f t="shared" si="432"/>
        <v>0.29333333333333333</v>
      </c>
      <c r="Y3922" s="2" t="s">
        <v>3256</v>
      </c>
      <c r="Z3922" s="2" t="s">
        <v>46</v>
      </c>
      <c r="AA3922" s="2" t="s">
        <v>57</v>
      </c>
      <c r="AB3922" s="2" t="s">
        <v>58</v>
      </c>
      <c r="AE3922" s="2">
        <f t="shared" si="430"/>
        <v>0</v>
      </c>
      <c r="AF3922" s="2">
        <v>10.6</v>
      </c>
      <c r="AG3922" s="2">
        <v>18</v>
      </c>
      <c r="AI3922" s="2">
        <f t="shared" si="431"/>
        <v>0</v>
      </c>
      <c r="AJ3922" s="2">
        <f t="shared" si="429"/>
        <v>17.600000000000001</v>
      </c>
      <c r="AK3922" s="5">
        <f t="shared" si="433"/>
        <v>0.29333333333333333</v>
      </c>
    </row>
    <row r="3923" spans="1:37" x14ac:dyDescent="0.2">
      <c r="A3923" s="2">
        <v>2026</v>
      </c>
      <c r="B3923" s="2">
        <v>5</v>
      </c>
      <c r="C3923" s="2" t="s">
        <v>384</v>
      </c>
      <c r="D3923" s="2" t="s">
        <v>38</v>
      </c>
      <c r="E3923" s="2" t="s">
        <v>39</v>
      </c>
      <c r="F3923" s="2">
        <v>212196260</v>
      </c>
      <c r="G3923" s="2" t="s">
        <v>110</v>
      </c>
      <c r="H3923" s="2" t="s">
        <v>385</v>
      </c>
      <c r="I3923" s="2" t="s">
        <v>386</v>
      </c>
      <c r="J3923" s="2">
        <v>926769894</v>
      </c>
      <c r="K3923" s="2" t="s">
        <v>113</v>
      </c>
      <c r="L3923" s="2" t="s">
        <v>291</v>
      </c>
      <c r="N3923" s="2" t="s">
        <v>2971</v>
      </c>
      <c r="O3923" s="2" t="s">
        <v>43</v>
      </c>
      <c r="P3923" s="2" t="s">
        <v>2891</v>
      </c>
      <c r="Q3923" s="2" t="s">
        <v>2892</v>
      </c>
      <c r="R3923" s="2">
        <v>1</v>
      </c>
      <c r="S3923" s="2">
        <v>50</v>
      </c>
      <c r="T3923" s="2">
        <v>11.5</v>
      </c>
      <c r="U3923" s="2">
        <v>61.5</v>
      </c>
      <c r="V3923" s="2">
        <v>35.78</v>
      </c>
      <c r="W3923" s="5">
        <f t="shared" si="432"/>
        <v>0.28439999999999999</v>
      </c>
      <c r="Y3923" s="2" t="s">
        <v>3256</v>
      </c>
      <c r="Z3923" s="2" t="s">
        <v>46</v>
      </c>
      <c r="AA3923" s="2" t="s">
        <v>91</v>
      </c>
      <c r="AB3923" s="2" t="s">
        <v>58</v>
      </c>
      <c r="AE3923" s="2">
        <f t="shared" si="430"/>
        <v>0</v>
      </c>
      <c r="AI3923" s="2">
        <f t="shared" si="431"/>
        <v>0</v>
      </c>
      <c r="AJ3923" s="2">
        <f t="shared" si="429"/>
        <v>14.219999999999999</v>
      </c>
      <c r="AK3923" s="5">
        <f t="shared" si="433"/>
        <v>0.28439999999999999</v>
      </c>
    </row>
    <row r="3924" spans="1:37" x14ac:dyDescent="0.2">
      <c r="A3924" s="2">
        <v>2026</v>
      </c>
      <c r="B3924" s="2">
        <v>5</v>
      </c>
      <c r="C3924" s="2" t="s">
        <v>781</v>
      </c>
      <c r="D3924" s="2" t="s">
        <v>38</v>
      </c>
      <c r="E3924" s="2" t="s">
        <v>39</v>
      </c>
      <c r="F3924" s="2">
        <v>507324560</v>
      </c>
      <c r="G3924" s="2" t="s">
        <v>40</v>
      </c>
      <c r="H3924" s="2" t="s">
        <v>782</v>
      </c>
      <c r="I3924" s="2" t="s">
        <v>783</v>
      </c>
      <c r="K3924" s="2" t="s">
        <v>340</v>
      </c>
      <c r="L3924" s="2" t="s">
        <v>40</v>
      </c>
      <c r="N3924" s="2" t="s">
        <v>2972</v>
      </c>
      <c r="O3924" s="2" t="s">
        <v>115</v>
      </c>
      <c r="P3924" s="2" t="s">
        <v>785</v>
      </c>
      <c r="Q3924" s="2" t="s">
        <v>786</v>
      </c>
      <c r="R3924" s="2">
        <v>2</v>
      </c>
      <c r="S3924" s="2">
        <v>157.18</v>
      </c>
      <c r="T3924" s="2">
        <v>36.151400000000002</v>
      </c>
      <c r="U3924" s="2">
        <v>193.3314</v>
      </c>
      <c r="V3924" s="2">
        <f>35.9317*R3924</f>
        <v>71.863399999999999</v>
      </c>
      <c r="W3924" s="5">
        <f t="shared" si="432"/>
        <v>0.54279552105865891</v>
      </c>
      <c r="Y3924" s="2" t="s">
        <v>118</v>
      </c>
      <c r="Z3924" s="2" t="s">
        <v>119</v>
      </c>
      <c r="AA3924" s="2" t="s">
        <v>120</v>
      </c>
      <c r="AB3924" s="2" t="s">
        <v>115</v>
      </c>
      <c r="AE3924" s="2">
        <f t="shared" si="430"/>
        <v>0</v>
      </c>
      <c r="AF3924" s="2">
        <v>35.931699999999999</v>
      </c>
      <c r="AI3924" s="2">
        <f t="shared" si="431"/>
        <v>0</v>
      </c>
      <c r="AJ3924" s="2">
        <f t="shared" si="429"/>
        <v>85.316600000000008</v>
      </c>
      <c r="AK3924" s="5">
        <f t="shared" si="433"/>
        <v>0.54279552105865891</v>
      </c>
    </row>
    <row r="3925" spans="1:37" x14ac:dyDescent="0.2">
      <c r="A3925" s="2">
        <v>2026</v>
      </c>
      <c r="B3925" s="2">
        <v>5</v>
      </c>
      <c r="C3925" s="2" t="s">
        <v>787</v>
      </c>
      <c r="D3925" s="2" t="s">
        <v>38</v>
      </c>
      <c r="E3925" s="2" t="s">
        <v>39</v>
      </c>
      <c r="F3925" s="2">
        <v>510219675</v>
      </c>
      <c r="G3925" s="2" t="s">
        <v>40</v>
      </c>
      <c r="H3925" s="2" t="s">
        <v>788</v>
      </c>
      <c r="I3925" s="2" t="s">
        <v>789</v>
      </c>
      <c r="J3925" s="2">
        <v>917341136</v>
      </c>
      <c r="K3925" s="2" t="s">
        <v>100</v>
      </c>
      <c r="O3925" s="2" t="s">
        <v>43</v>
      </c>
      <c r="P3925" s="2" t="s">
        <v>66</v>
      </c>
      <c r="Q3925" s="2" t="s">
        <v>67</v>
      </c>
      <c r="R3925" s="2">
        <v>1</v>
      </c>
      <c r="S3925" s="2">
        <v>27.6</v>
      </c>
      <c r="T3925" s="2">
        <v>6.3480000000000008</v>
      </c>
      <c r="U3925" s="2">
        <v>33.948</v>
      </c>
      <c r="V3925" s="2">
        <f>15.0203*R3925</f>
        <v>15.020300000000001</v>
      </c>
      <c r="W3925" s="5">
        <f t="shared" si="432"/>
        <v>0.45578623188405798</v>
      </c>
      <c r="Y3925" s="2" t="s">
        <v>3256</v>
      </c>
      <c r="Z3925" s="2" t="s">
        <v>46</v>
      </c>
      <c r="AA3925" s="2" t="s">
        <v>68</v>
      </c>
      <c r="AB3925" s="2" t="s">
        <v>58</v>
      </c>
      <c r="AE3925" s="2">
        <f t="shared" si="430"/>
        <v>0</v>
      </c>
      <c r="AF3925" s="2">
        <v>15.020300000000001</v>
      </c>
      <c r="AG3925" s="2">
        <v>27.6</v>
      </c>
      <c r="AI3925" s="2">
        <f t="shared" si="431"/>
        <v>0</v>
      </c>
      <c r="AJ3925" s="2">
        <f t="shared" si="429"/>
        <v>12.579700000000001</v>
      </c>
      <c r="AK3925" s="5">
        <f t="shared" si="433"/>
        <v>0.45578623188405798</v>
      </c>
    </row>
    <row r="3926" spans="1:37" x14ac:dyDescent="0.2">
      <c r="A3926" s="2">
        <v>2026</v>
      </c>
      <c r="B3926" s="2">
        <v>5</v>
      </c>
      <c r="C3926" s="2" t="s">
        <v>2973</v>
      </c>
      <c r="D3926" s="2" t="s">
        <v>38</v>
      </c>
      <c r="E3926" s="2" t="s">
        <v>39</v>
      </c>
      <c r="F3926" s="2">
        <v>502727268</v>
      </c>
      <c r="G3926" s="2" t="s">
        <v>40</v>
      </c>
      <c r="H3926" s="2" t="s">
        <v>2974</v>
      </c>
      <c r="I3926" s="2" t="s">
        <v>2975</v>
      </c>
      <c r="J3926" s="2">
        <v>962543971</v>
      </c>
      <c r="K3926" s="2" t="s">
        <v>134</v>
      </c>
      <c r="L3926" s="2" t="s">
        <v>110</v>
      </c>
      <c r="N3926" s="2" t="s">
        <v>2976</v>
      </c>
      <c r="O3926" s="2" t="s">
        <v>73</v>
      </c>
      <c r="P3926" s="2" t="s">
        <v>488</v>
      </c>
      <c r="Q3926" s="2" t="s">
        <v>75</v>
      </c>
      <c r="R3926" s="2">
        <v>1</v>
      </c>
      <c r="S3926" s="2">
        <v>230</v>
      </c>
      <c r="T3926" s="2">
        <v>52.900000000000013</v>
      </c>
      <c r="U3926" s="2">
        <v>282.89999999999998</v>
      </c>
      <c r="V3926" s="2">
        <v>131.93</v>
      </c>
      <c r="W3926" s="5">
        <f t="shared" si="432"/>
        <v>0.42639130434782607</v>
      </c>
      <c r="Y3926" s="2" t="s">
        <v>3256</v>
      </c>
      <c r="Z3926" s="2" t="s">
        <v>76</v>
      </c>
      <c r="AA3926" s="2" t="s">
        <v>77</v>
      </c>
      <c r="AB3926" s="2" t="s">
        <v>78</v>
      </c>
      <c r="AE3926" s="2">
        <f t="shared" si="430"/>
        <v>0</v>
      </c>
      <c r="AF3926" s="2">
        <v>131.93</v>
      </c>
      <c r="AG3926" s="2">
        <v>220</v>
      </c>
      <c r="AI3926" s="2">
        <f t="shared" si="431"/>
        <v>0</v>
      </c>
      <c r="AJ3926" s="2">
        <f t="shared" si="429"/>
        <v>98.07</v>
      </c>
      <c r="AK3926" s="5">
        <f t="shared" si="433"/>
        <v>0.42639130434782607</v>
      </c>
    </row>
    <row r="3927" spans="1:37" x14ac:dyDescent="0.2">
      <c r="A3927" s="2">
        <v>2026</v>
      </c>
      <c r="B3927" s="2">
        <v>5</v>
      </c>
      <c r="C3927" s="2" t="s">
        <v>2973</v>
      </c>
      <c r="O3927" s="2" t="s">
        <v>94</v>
      </c>
      <c r="P3927" s="2" t="s">
        <v>95</v>
      </c>
      <c r="Q3927" s="2" t="s">
        <v>96</v>
      </c>
      <c r="R3927" s="2">
        <v>1</v>
      </c>
      <c r="S3927" s="2">
        <v>1.48</v>
      </c>
      <c r="T3927" s="2">
        <v>0.34039999999999998</v>
      </c>
      <c r="U3927" s="2">
        <v>1.8204</v>
      </c>
      <c r="V3927" s="2">
        <v>1.48</v>
      </c>
      <c r="W3927" s="5">
        <f t="shared" si="432"/>
        <v>0</v>
      </c>
      <c r="Y3927" s="2" t="s">
        <v>3256</v>
      </c>
      <c r="Z3927" s="2" t="s">
        <v>97</v>
      </c>
      <c r="AA3927" s="2" t="s">
        <v>77</v>
      </c>
      <c r="AB3927" s="2" t="s">
        <v>94</v>
      </c>
      <c r="AE3927" s="2">
        <f t="shared" si="430"/>
        <v>0</v>
      </c>
      <c r="AI3927" s="2">
        <f t="shared" si="431"/>
        <v>0</v>
      </c>
      <c r="AJ3927" s="2">
        <f t="shared" si="429"/>
        <v>0</v>
      </c>
      <c r="AK3927" s="5">
        <f t="shared" si="433"/>
        <v>0</v>
      </c>
    </row>
    <row r="3928" spans="1:37" x14ac:dyDescent="0.2">
      <c r="A3928" s="2">
        <v>2026</v>
      </c>
      <c r="B3928" s="2">
        <v>5</v>
      </c>
      <c r="C3928" s="2" t="s">
        <v>426</v>
      </c>
      <c r="D3928" s="2" t="s">
        <v>99</v>
      </c>
      <c r="E3928" s="2" t="s">
        <v>39</v>
      </c>
      <c r="F3928" s="2">
        <v>503523470</v>
      </c>
      <c r="G3928" s="2" t="s">
        <v>40</v>
      </c>
      <c r="H3928" s="2" t="s">
        <v>427</v>
      </c>
      <c r="I3928" s="2" t="s">
        <v>428</v>
      </c>
      <c r="K3928" s="2" t="s">
        <v>202</v>
      </c>
      <c r="L3928" s="2" t="s">
        <v>81</v>
      </c>
      <c r="N3928" s="2" t="s">
        <v>2977</v>
      </c>
      <c r="O3928" s="2" t="s">
        <v>43</v>
      </c>
      <c r="P3928" s="2" t="s">
        <v>2945</v>
      </c>
      <c r="Q3928" s="2" t="s">
        <v>270</v>
      </c>
      <c r="R3928" s="2">
        <v>1</v>
      </c>
      <c r="S3928" s="2">
        <v>15</v>
      </c>
      <c r="T3928" s="2">
        <v>3.45</v>
      </c>
      <c r="U3928" s="2">
        <v>18.45</v>
      </c>
      <c r="V3928" s="2">
        <v>5.23</v>
      </c>
      <c r="W3928" s="5">
        <f t="shared" si="432"/>
        <v>0.65133333333333332</v>
      </c>
      <c r="Y3928" s="2" t="s">
        <v>3256</v>
      </c>
      <c r="Z3928" s="2" t="s">
        <v>46</v>
      </c>
      <c r="AA3928" s="2" t="s">
        <v>91</v>
      </c>
      <c r="AB3928" s="2" t="s">
        <v>58</v>
      </c>
      <c r="AE3928" s="2">
        <f t="shared" si="430"/>
        <v>0</v>
      </c>
      <c r="AF3928" s="2">
        <v>5.23</v>
      </c>
      <c r="AG3928" s="2">
        <v>10.8</v>
      </c>
      <c r="AI3928" s="2">
        <f t="shared" si="431"/>
        <v>0</v>
      </c>
      <c r="AJ3928" s="2">
        <f t="shared" si="429"/>
        <v>9.77</v>
      </c>
      <c r="AK3928" s="5">
        <f t="shared" si="433"/>
        <v>0.65133333333333332</v>
      </c>
    </row>
    <row r="3929" spans="1:37" x14ac:dyDescent="0.2">
      <c r="A3929" s="2">
        <v>2026</v>
      </c>
      <c r="B3929" s="2">
        <v>5</v>
      </c>
      <c r="C3929" s="2" t="s">
        <v>426</v>
      </c>
      <c r="D3929" s="2" t="s">
        <v>99</v>
      </c>
      <c r="E3929" s="2" t="s">
        <v>39</v>
      </c>
      <c r="F3929" s="2">
        <v>503523470</v>
      </c>
      <c r="G3929" s="2" t="s">
        <v>40</v>
      </c>
      <c r="H3929" s="2" t="s">
        <v>427</v>
      </c>
      <c r="I3929" s="2" t="s">
        <v>428</v>
      </c>
      <c r="K3929" s="2" t="s">
        <v>202</v>
      </c>
      <c r="L3929" s="2" t="s">
        <v>81</v>
      </c>
      <c r="N3929" s="2" t="s">
        <v>2977</v>
      </c>
      <c r="O3929" s="2" t="s">
        <v>43</v>
      </c>
      <c r="P3929" s="2" t="s">
        <v>2946</v>
      </c>
      <c r="Q3929" s="2" t="s">
        <v>2947</v>
      </c>
      <c r="R3929" s="2">
        <v>1</v>
      </c>
      <c r="S3929" s="2">
        <v>5</v>
      </c>
      <c r="T3929" s="2">
        <v>1.1499999999999999</v>
      </c>
      <c r="U3929" s="2">
        <v>6.15</v>
      </c>
      <c r="V3929" s="2">
        <v>3.88</v>
      </c>
      <c r="W3929" s="5">
        <f t="shared" si="432"/>
        <v>0.22400000000000003</v>
      </c>
      <c r="Y3929" s="2" t="s">
        <v>3256</v>
      </c>
      <c r="Z3929" s="2" t="s">
        <v>46</v>
      </c>
      <c r="AA3929" s="2" t="s">
        <v>91</v>
      </c>
      <c r="AB3929" s="2" t="s">
        <v>58</v>
      </c>
      <c r="AE3929" s="2">
        <f t="shared" si="430"/>
        <v>0</v>
      </c>
      <c r="AF3929" s="2">
        <v>0.97</v>
      </c>
      <c r="AG3929" s="2">
        <v>6</v>
      </c>
      <c r="AI3929" s="2">
        <f t="shared" si="431"/>
        <v>0</v>
      </c>
      <c r="AJ3929" s="2">
        <f t="shared" si="429"/>
        <v>1.1200000000000001</v>
      </c>
      <c r="AK3929" s="5">
        <f t="shared" si="433"/>
        <v>0.22400000000000003</v>
      </c>
    </row>
    <row r="3930" spans="1:37" x14ac:dyDescent="0.2">
      <c r="A3930" s="2">
        <v>2026</v>
      </c>
      <c r="B3930" s="2">
        <v>5</v>
      </c>
      <c r="C3930" s="2" t="s">
        <v>426</v>
      </c>
      <c r="D3930" s="2" t="s">
        <v>99</v>
      </c>
      <c r="E3930" s="2" t="s">
        <v>39</v>
      </c>
      <c r="F3930" s="2">
        <v>503523470</v>
      </c>
      <c r="G3930" s="2" t="s">
        <v>40</v>
      </c>
      <c r="H3930" s="2" t="s">
        <v>427</v>
      </c>
      <c r="I3930" s="2" t="s">
        <v>428</v>
      </c>
      <c r="K3930" s="2" t="s">
        <v>202</v>
      </c>
      <c r="L3930" s="2" t="s">
        <v>81</v>
      </c>
      <c r="O3930" s="2" t="s">
        <v>43</v>
      </c>
      <c r="P3930" s="2" t="s">
        <v>161</v>
      </c>
      <c r="Q3930" s="2" t="s">
        <v>162</v>
      </c>
      <c r="R3930" s="2">
        <v>1</v>
      </c>
      <c r="S3930" s="2">
        <v>9</v>
      </c>
      <c r="T3930" s="2">
        <v>2.0699999999999998</v>
      </c>
      <c r="U3930" s="2">
        <v>11.07</v>
      </c>
      <c r="V3930" s="2">
        <f>3.7358*R3930</f>
        <v>3.7357999999999998</v>
      </c>
      <c r="W3930" s="5">
        <f t="shared" si="432"/>
        <v>0.58491111111111116</v>
      </c>
      <c r="Y3930" s="2" t="s">
        <v>3256</v>
      </c>
      <c r="Z3930" s="2" t="s">
        <v>46</v>
      </c>
      <c r="AA3930" s="2" t="s">
        <v>47</v>
      </c>
      <c r="AB3930" s="2" t="s">
        <v>48</v>
      </c>
      <c r="AE3930" s="2">
        <f t="shared" si="430"/>
        <v>0</v>
      </c>
      <c r="AF3930" s="2">
        <v>3.7357999999999998</v>
      </c>
      <c r="AG3930" s="2">
        <v>9</v>
      </c>
      <c r="AI3930" s="2">
        <f t="shared" si="431"/>
        <v>0</v>
      </c>
      <c r="AJ3930" s="2">
        <f t="shared" si="429"/>
        <v>5.2642000000000007</v>
      </c>
      <c r="AK3930" s="5">
        <f t="shared" si="433"/>
        <v>0.58491111111111116</v>
      </c>
    </row>
    <row r="3931" spans="1:37" x14ac:dyDescent="0.2">
      <c r="A3931" s="2">
        <v>2026</v>
      </c>
      <c r="B3931" s="2">
        <v>5</v>
      </c>
      <c r="C3931" s="2" t="s">
        <v>426</v>
      </c>
      <c r="D3931" s="2" t="s">
        <v>99</v>
      </c>
      <c r="E3931" s="2" t="s">
        <v>39</v>
      </c>
      <c r="F3931" s="2">
        <v>503523470</v>
      </c>
      <c r="G3931" s="2" t="s">
        <v>40</v>
      </c>
      <c r="H3931" s="2" t="s">
        <v>427</v>
      </c>
      <c r="I3931" s="2" t="s">
        <v>428</v>
      </c>
      <c r="K3931" s="2" t="s">
        <v>202</v>
      </c>
      <c r="L3931" s="2" t="s">
        <v>81</v>
      </c>
      <c r="O3931" s="2" t="s">
        <v>43</v>
      </c>
      <c r="P3931" s="2" t="s">
        <v>55</v>
      </c>
      <c r="Q3931" s="2" t="s">
        <v>56</v>
      </c>
      <c r="R3931" s="2">
        <v>5</v>
      </c>
      <c r="S3931" s="2">
        <v>90</v>
      </c>
      <c r="T3931" s="2">
        <v>20.7</v>
      </c>
      <c r="U3931" s="2">
        <v>110.7</v>
      </c>
      <c r="V3931" s="2">
        <f>10.6*R3931</f>
        <v>53</v>
      </c>
      <c r="W3931" s="5">
        <f t="shared" si="432"/>
        <v>0.41111111111111109</v>
      </c>
      <c r="Y3931" s="2" t="s">
        <v>3256</v>
      </c>
      <c r="Z3931" s="2" t="s">
        <v>46</v>
      </c>
      <c r="AA3931" s="2" t="s">
        <v>57</v>
      </c>
      <c r="AB3931" s="2" t="s">
        <v>58</v>
      </c>
      <c r="AE3931" s="2">
        <f t="shared" si="430"/>
        <v>0</v>
      </c>
      <c r="AF3931" s="2">
        <v>10.6</v>
      </c>
      <c r="AG3931" s="2">
        <v>18</v>
      </c>
      <c r="AI3931" s="2">
        <f t="shared" si="431"/>
        <v>0</v>
      </c>
      <c r="AJ3931" s="2">
        <f t="shared" si="429"/>
        <v>37</v>
      </c>
      <c r="AK3931" s="5">
        <f t="shared" si="433"/>
        <v>0.41111111111111109</v>
      </c>
    </row>
    <row r="3932" spans="1:37" x14ac:dyDescent="0.2">
      <c r="A3932" s="2">
        <v>2026</v>
      </c>
      <c r="B3932" s="2">
        <v>5</v>
      </c>
      <c r="C3932" s="2" t="s">
        <v>426</v>
      </c>
      <c r="D3932" s="2" t="s">
        <v>99</v>
      </c>
      <c r="E3932" s="2" t="s">
        <v>39</v>
      </c>
      <c r="F3932" s="2">
        <v>503523470</v>
      </c>
      <c r="G3932" s="2" t="s">
        <v>40</v>
      </c>
      <c r="H3932" s="2" t="s">
        <v>427</v>
      </c>
      <c r="I3932" s="2" t="s">
        <v>428</v>
      </c>
      <c r="K3932" s="2" t="s">
        <v>202</v>
      </c>
      <c r="L3932" s="2" t="s">
        <v>81</v>
      </c>
      <c r="O3932" s="2" t="s">
        <v>43</v>
      </c>
      <c r="P3932" s="2" t="s">
        <v>62</v>
      </c>
      <c r="Q3932" s="2" t="s">
        <v>63</v>
      </c>
      <c r="R3932" s="2">
        <v>1200</v>
      </c>
      <c r="S3932" s="2">
        <v>131</v>
      </c>
      <c r="T3932" s="2">
        <v>30.13</v>
      </c>
      <c r="U3932" s="2">
        <v>161.13</v>
      </c>
      <c r="V3932" s="2">
        <f>0.082*R3932</f>
        <v>98.4</v>
      </c>
      <c r="W3932" s="5">
        <f t="shared" si="432"/>
        <v>0.24885496183206102</v>
      </c>
      <c r="Y3932" s="2" t="s">
        <v>3256</v>
      </c>
      <c r="Z3932" s="2" t="s">
        <v>46</v>
      </c>
      <c r="AA3932" s="2" t="s">
        <v>61</v>
      </c>
      <c r="AB3932" s="2" t="s">
        <v>58</v>
      </c>
      <c r="AE3932" s="2">
        <f t="shared" si="430"/>
        <v>0</v>
      </c>
      <c r="AF3932" s="2">
        <v>8.1999999999999993</v>
      </c>
      <c r="AG3932" s="2">
        <v>13</v>
      </c>
      <c r="AI3932" s="2">
        <f t="shared" si="431"/>
        <v>0</v>
      </c>
      <c r="AJ3932" s="2">
        <f t="shared" si="429"/>
        <v>32.599999999999994</v>
      </c>
      <c r="AK3932" s="5">
        <f t="shared" si="433"/>
        <v>0.24885496183206102</v>
      </c>
    </row>
    <row r="3933" spans="1:37" x14ac:dyDescent="0.2">
      <c r="A3933" s="2">
        <v>2026</v>
      </c>
      <c r="B3933" s="2">
        <v>5</v>
      </c>
      <c r="C3933" s="2" t="s">
        <v>426</v>
      </c>
      <c r="D3933" s="2" t="s">
        <v>99</v>
      </c>
      <c r="E3933" s="2" t="s">
        <v>39</v>
      </c>
      <c r="F3933" s="2">
        <v>503523470</v>
      </c>
      <c r="G3933" s="2" t="s">
        <v>40</v>
      </c>
      <c r="H3933" s="2" t="s">
        <v>427</v>
      </c>
      <c r="I3933" s="2" t="s">
        <v>428</v>
      </c>
      <c r="K3933" s="2" t="s">
        <v>202</v>
      </c>
      <c r="L3933" s="2" t="s">
        <v>81</v>
      </c>
      <c r="O3933" s="2" t="s">
        <v>43</v>
      </c>
      <c r="P3933" s="2" t="s">
        <v>255</v>
      </c>
      <c r="Q3933" s="2" t="s">
        <v>256</v>
      </c>
      <c r="R3933" s="2">
        <v>100</v>
      </c>
      <c r="S3933" s="2">
        <v>16</v>
      </c>
      <c r="T3933" s="2">
        <v>3.68</v>
      </c>
      <c r="U3933" s="2">
        <v>19.68</v>
      </c>
      <c r="W3933" s="5">
        <f t="shared" si="432"/>
        <v>1</v>
      </c>
      <c r="Y3933" s="2" t="s">
        <v>3256</v>
      </c>
      <c r="Z3933" s="2" t="s">
        <v>46</v>
      </c>
      <c r="AA3933" s="2" t="s">
        <v>61</v>
      </c>
      <c r="AB3933" s="2" t="s">
        <v>58</v>
      </c>
      <c r="AE3933" s="2">
        <f t="shared" si="430"/>
        <v>0</v>
      </c>
      <c r="AI3933" s="2">
        <f t="shared" si="431"/>
        <v>0</v>
      </c>
      <c r="AJ3933" s="2">
        <f t="shared" si="429"/>
        <v>16</v>
      </c>
      <c r="AK3933" s="5">
        <f t="shared" si="433"/>
        <v>1</v>
      </c>
    </row>
    <row r="3934" spans="1:37" x14ac:dyDescent="0.2">
      <c r="A3934" s="2">
        <v>2026</v>
      </c>
      <c r="B3934" s="2">
        <v>5</v>
      </c>
      <c r="C3934" s="2" t="s">
        <v>429</v>
      </c>
      <c r="D3934" s="2" t="s">
        <v>99</v>
      </c>
      <c r="E3934" s="2" t="s">
        <v>39</v>
      </c>
      <c r="F3934" s="2">
        <v>510613888</v>
      </c>
      <c r="G3934" s="2" t="s">
        <v>40</v>
      </c>
      <c r="H3934" s="2" t="s">
        <v>430</v>
      </c>
      <c r="I3934" s="2" t="s">
        <v>431</v>
      </c>
      <c r="K3934" s="2" t="s">
        <v>100</v>
      </c>
      <c r="L3934" s="2" t="s">
        <v>81</v>
      </c>
      <c r="O3934" s="2" t="s">
        <v>43</v>
      </c>
      <c r="P3934" s="2" t="s">
        <v>62</v>
      </c>
      <c r="Q3934" s="2" t="s">
        <v>63</v>
      </c>
      <c r="R3934" s="2">
        <v>100</v>
      </c>
      <c r="S3934" s="2">
        <v>13</v>
      </c>
      <c r="T3934" s="2">
        <v>2.99</v>
      </c>
      <c r="U3934" s="2">
        <v>15.99</v>
      </c>
      <c r="V3934" s="2">
        <f>0.082*R3934</f>
        <v>8.2000000000000011</v>
      </c>
      <c r="W3934" s="5">
        <f t="shared" si="432"/>
        <v>0.36923076923076914</v>
      </c>
      <c r="Y3934" s="2" t="s">
        <v>3256</v>
      </c>
      <c r="Z3934" s="2" t="s">
        <v>46</v>
      </c>
      <c r="AA3934" s="2" t="s">
        <v>61</v>
      </c>
      <c r="AB3934" s="2" t="s">
        <v>58</v>
      </c>
      <c r="AE3934" s="2">
        <f t="shared" si="430"/>
        <v>0</v>
      </c>
      <c r="AF3934" s="2">
        <v>8.1999999999999993</v>
      </c>
      <c r="AG3934" s="2">
        <v>13</v>
      </c>
      <c r="AI3934" s="2">
        <f t="shared" si="431"/>
        <v>0</v>
      </c>
      <c r="AJ3934" s="2">
        <f t="shared" si="429"/>
        <v>4.7999999999999989</v>
      </c>
      <c r="AK3934" s="5">
        <f t="shared" si="433"/>
        <v>0.36923076923076914</v>
      </c>
    </row>
    <row r="3935" spans="1:37" x14ac:dyDescent="0.2">
      <c r="A3935" s="2">
        <v>2026</v>
      </c>
      <c r="B3935" s="2">
        <v>5</v>
      </c>
      <c r="C3935" s="2" t="s">
        <v>437</v>
      </c>
      <c r="L3935" s="2" t="s">
        <v>41</v>
      </c>
      <c r="O3935" s="2" t="s">
        <v>73</v>
      </c>
      <c r="P3935" s="2" t="s">
        <v>74</v>
      </c>
      <c r="Q3935" s="2" t="s">
        <v>75</v>
      </c>
      <c r="R3935" s="2">
        <v>1</v>
      </c>
      <c r="S3935" s="2">
        <v>220</v>
      </c>
      <c r="T3935" s="2">
        <v>50.6</v>
      </c>
      <c r="U3935" s="2">
        <v>270.60000000000002</v>
      </c>
      <c r="V3935" s="2">
        <v>125.51600000000001</v>
      </c>
      <c r="W3935" s="5">
        <f t="shared" si="432"/>
        <v>0.42947272727272723</v>
      </c>
      <c r="Y3935" s="2" t="s">
        <v>3256</v>
      </c>
      <c r="Z3935" s="2" t="s">
        <v>76</v>
      </c>
      <c r="AA3935" s="2" t="s">
        <v>77</v>
      </c>
      <c r="AB3935" s="2" t="s">
        <v>78</v>
      </c>
      <c r="AE3935" s="2">
        <f t="shared" si="430"/>
        <v>0</v>
      </c>
      <c r="AF3935" s="2">
        <v>125.51600000000001</v>
      </c>
      <c r="AG3935" s="2">
        <v>220</v>
      </c>
      <c r="AI3935" s="2">
        <f t="shared" si="431"/>
        <v>0</v>
      </c>
      <c r="AJ3935" s="2">
        <f t="shared" si="429"/>
        <v>94.483999999999995</v>
      </c>
      <c r="AK3935" s="5">
        <f t="shared" si="433"/>
        <v>0.42947272727272723</v>
      </c>
    </row>
    <row r="3936" spans="1:37" x14ac:dyDescent="0.2">
      <c r="A3936" s="2">
        <v>2026</v>
      </c>
      <c r="B3936" s="2">
        <v>5</v>
      </c>
      <c r="C3936" s="2" t="s">
        <v>437</v>
      </c>
      <c r="O3936" s="2" t="s">
        <v>94</v>
      </c>
      <c r="P3936" s="2" t="s">
        <v>95</v>
      </c>
      <c r="Q3936" s="2" t="s">
        <v>96</v>
      </c>
      <c r="R3936" s="2">
        <v>1</v>
      </c>
      <c r="S3936" s="2">
        <v>1.48</v>
      </c>
      <c r="T3936" s="2">
        <v>0.34039999999999998</v>
      </c>
      <c r="U3936" s="2">
        <v>1.8204</v>
      </c>
      <c r="W3936" s="5">
        <f t="shared" si="432"/>
        <v>1</v>
      </c>
      <c r="Y3936" s="2" t="s">
        <v>3256</v>
      </c>
      <c r="Z3936" s="2" t="s">
        <v>97</v>
      </c>
      <c r="AA3936" s="2" t="s">
        <v>77</v>
      </c>
      <c r="AB3936" s="2" t="s">
        <v>94</v>
      </c>
      <c r="AE3936" s="2">
        <f t="shared" si="430"/>
        <v>0</v>
      </c>
      <c r="AI3936" s="2">
        <f t="shared" si="431"/>
        <v>0</v>
      </c>
      <c r="AJ3936" s="2">
        <f t="shared" si="429"/>
        <v>1.48</v>
      </c>
      <c r="AK3936" s="5">
        <f t="shared" si="433"/>
        <v>1</v>
      </c>
    </row>
    <row r="3937" spans="1:37" x14ac:dyDescent="0.2">
      <c r="A3937" s="2">
        <v>2026</v>
      </c>
      <c r="B3937" s="2">
        <v>5</v>
      </c>
      <c r="C3937" s="2" t="s">
        <v>1026</v>
      </c>
      <c r="D3937" s="2" t="s">
        <v>38</v>
      </c>
      <c r="E3937" s="2" t="s">
        <v>39</v>
      </c>
      <c r="F3937" s="2">
        <v>505647338</v>
      </c>
      <c r="G3937" s="2" t="s">
        <v>291</v>
      </c>
      <c r="H3937" s="2" t="s">
        <v>1027</v>
      </c>
      <c r="I3937" s="2" t="s">
        <v>1028</v>
      </c>
      <c r="K3937" s="2" t="s">
        <v>294</v>
      </c>
      <c r="L3937" s="2" t="s">
        <v>81</v>
      </c>
      <c r="N3937" s="2" t="s">
        <v>2978</v>
      </c>
      <c r="O3937" s="2" t="s">
        <v>1047</v>
      </c>
      <c r="P3937" s="2" t="s">
        <v>2979</v>
      </c>
      <c r="Q3937" s="2" t="s">
        <v>2980</v>
      </c>
      <c r="R3937" s="2">
        <v>1</v>
      </c>
      <c r="S3937" s="2">
        <v>266.8</v>
      </c>
      <c r="T3937" s="2">
        <v>61.363999999999997</v>
      </c>
      <c r="U3937" s="2">
        <v>328.16399999999999</v>
      </c>
      <c r="W3937" s="5">
        <f t="shared" si="432"/>
        <v>1</v>
      </c>
      <c r="Y3937" s="2" t="s">
        <v>3256</v>
      </c>
      <c r="Z3937" s="2" t="s">
        <v>76</v>
      </c>
      <c r="AA3937" s="2" t="s">
        <v>77</v>
      </c>
      <c r="AB3937" s="2" t="s">
        <v>1047</v>
      </c>
      <c r="AE3937" s="2">
        <f t="shared" si="430"/>
        <v>0</v>
      </c>
      <c r="AI3937" s="2">
        <f t="shared" si="431"/>
        <v>0</v>
      </c>
      <c r="AJ3937" s="2">
        <f t="shared" si="429"/>
        <v>266.8</v>
      </c>
      <c r="AK3937" s="5">
        <f t="shared" si="433"/>
        <v>1</v>
      </c>
    </row>
    <row r="3938" spans="1:37" x14ac:dyDescent="0.2">
      <c r="A3938" s="2">
        <v>2026</v>
      </c>
      <c r="B3938" s="2">
        <v>5</v>
      </c>
      <c r="C3938" s="2" t="s">
        <v>1026</v>
      </c>
      <c r="D3938" s="2" t="s">
        <v>38</v>
      </c>
      <c r="E3938" s="2" t="s">
        <v>39</v>
      </c>
      <c r="F3938" s="2">
        <v>505647338</v>
      </c>
      <c r="G3938" s="2" t="s">
        <v>291</v>
      </c>
      <c r="H3938" s="2" t="s">
        <v>1027</v>
      </c>
      <c r="I3938" s="2" t="s">
        <v>1028</v>
      </c>
      <c r="K3938" s="2" t="s">
        <v>294</v>
      </c>
      <c r="L3938" s="2" t="s">
        <v>81</v>
      </c>
      <c r="N3938" s="2" t="s">
        <v>2978</v>
      </c>
      <c r="O3938" s="2" t="s">
        <v>94</v>
      </c>
      <c r="P3938" s="2" t="s">
        <v>95</v>
      </c>
      <c r="Q3938" s="2" t="s">
        <v>96</v>
      </c>
      <c r="R3938" s="2">
        <v>1</v>
      </c>
      <c r="S3938" s="2">
        <v>1.48</v>
      </c>
      <c r="T3938" s="2">
        <v>0.34039999999999998</v>
      </c>
      <c r="U3938" s="2">
        <v>1.8204</v>
      </c>
      <c r="V3938" s="2">
        <v>1.48</v>
      </c>
      <c r="W3938" s="5">
        <f t="shared" si="432"/>
        <v>0</v>
      </c>
      <c r="Y3938" s="2" t="s">
        <v>3256</v>
      </c>
      <c r="Z3938" s="2" t="s">
        <v>97</v>
      </c>
      <c r="AA3938" s="2" t="s">
        <v>77</v>
      </c>
      <c r="AB3938" s="2" t="s">
        <v>94</v>
      </c>
      <c r="AE3938" s="2">
        <f t="shared" si="430"/>
        <v>0</v>
      </c>
      <c r="AF3938" s="2">
        <v>1.48</v>
      </c>
      <c r="AG3938" s="2">
        <v>1.48</v>
      </c>
      <c r="AI3938" s="2">
        <f t="shared" si="431"/>
        <v>0</v>
      </c>
      <c r="AJ3938" s="2">
        <f t="shared" si="429"/>
        <v>0</v>
      </c>
      <c r="AK3938" s="5">
        <f t="shared" si="433"/>
        <v>0</v>
      </c>
    </row>
    <row r="3939" spans="1:37" x14ac:dyDescent="0.2">
      <c r="A3939" s="2">
        <v>2026</v>
      </c>
      <c r="B3939" s="2">
        <v>5</v>
      </c>
      <c r="C3939" s="2" t="s">
        <v>1920</v>
      </c>
      <c r="F3939" s="2">
        <v>505757486</v>
      </c>
      <c r="H3939" s="2" t="s">
        <v>2981</v>
      </c>
      <c r="L3939" s="2" t="s">
        <v>81</v>
      </c>
      <c r="N3939" s="2" t="s">
        <v>2982</v>
      </c>
      <c r="O3939" s="2" t="s">
        <v>73</v>
      </c>
      <c r="P3939" s="2" t="s">
        <v>1084</v>
      </c>
      <c r="Q3939" s="2" t="s">
        <v>84</v>
      </c>
      <c r="R3939" s="2">
        <v>1</v>
      </c>
      <c r="S3939" s="2">
        <v>257.60000000000002</v>
      </c>
      <c r="T3939" s="2">
        <v>59.247999999999998</v>
      </c>
      <c r="U3939" s="2">
        <v>316.84800000000001</v>
      </c>
      <c r="V3939" s="2">
        <v>159.54</v>
      </c>
      <c r="W3939" s="5">
        <f t="shared" si="432"/>
        <v>0.38066770186335414</v>
      </c>
      <c r="Y3939" s="2" t="s">
        <v>3256</v>
      </c>
      <c r="Z3939" s="2" t="s">
        <v>76</v>
      </c>
      <c r="AA3939" s="2" t="s">
        <v>77</v>
      </c>
      <c r="AB3939" s="2" t="s">
        <v>78</v>
      </c>
      <c r="AE3939" s="2">
        <f t="shared" si="430"/>
        <v>0</v>
      </c>
      <c r="AF3939" s="2">
        <f>144.14+15.4</f>
        <v>159.54</v>
      </c>
      <c r="AG3939" s="2">
        <v>280</v>
      </c>
      <c r="AI3939" s="2">
        <f t="shared" si="431"/>
        <v>0</v>
      </c>
      <c r="AJ3939" s="2">
        <f t="shared" si="429"/>
        <v>98.060000000000031</v>
      </c>
      <c r="AK3939" s="5">
        <f t="shared" si="433"/>
        <v>0.38066770186335414</v>
      </c>
    </row>
    <row r="3940" spans="1:37" x14ac:dyDescent="0.2">
      <c r="A3940" s="2">
        <v>2026</v>
      </c>
      <c r="B3940" s="2">
        <v>5</v>
      </c>
      <c r="C3940" s="2" t="s">
        <v>1920</v>
      </c>
      <c r="O3940" s="2" t="s">
        <v>94</v>
      </c>
      <c r="P3940" s="2" t="s">
        <v>95</v>
      </c>
      <c r="Q3940" s="2" t="s">
        <v>96</v>
      </c>
      <c r="R3940" s="2">
        <v>1</v>
      </c>
      <c r="S3940" s="2">
        <v>1.48</v>
      </c>
      <c r="T3940" s="2">
        <v>0.34039999999999998</v>
      </c>
      <c r="U3940" s="2">
        <v>1.8204</v>
      </c>
      <c r="V3940" s="2">
        <v>1.48</v>
      </c>
      <c r="W3940" s="5">
        <f t="shared" si="432"/>
        <v>0</v>
      </c>
      <c r="Y3940" s="2" t="s">
        <v>3256</v>
      </c>
      <c r="Z3940" s="2" t="s">
        <v>97</v>
      </c>
      <c r="AA3940" s="2" t="s">
        <v>77</v>
      </c>
      <c r="AB3940" s="2" t="s">
        <v>94</v>
      </c>
      <c r="AE3940" s="2">
        <f t="shared" si="430"/>
        <v>0</v>
      </c>
      <c r="AI3940" s="2">
        <f t="shared" si="431"/>
        <v>0</v>
      </c>
      <c r="AJ3940" s="2">
        <f t="shared" si="429"/>
        <v>0</v>
      </c>
      <c r="AK3940" s="5">
        <f t="shared" si="433"/>
        <v>0</v>
      </c>
    </row>
    <row r="3941" spans="1:37" x14ac:dyDescent="0.2">
      <c r="A3941" s="2">
        <v>2026</v>
      </c>
      <c r="B3941" s="2">
        <v>5</v>
      </c>
      <c r="C3941" s="2" t="s">
        <v>455</v>
      </c>
      <c r="D3941" s="2" t="s">
        <v>109</v>
      </c>
      <c r="E3941" s="2" t="s">
        <v>39</v>
      </c>
      <c r="F3941" s="2">
        <v>506085686</v>
      </c>
      <c r="G3941" s="2" t="s">
        <v>40</v>
      </c>
      <c r="H3941" s="2" t="s">
        <v>456</v>
      </c>
      <c r="I3941" s="2" t="s">
        <v>457</v>
      </c>
      <c r="J3941" s="2">
        <v>917241919</v>
      </c>
      <c r="K3941" s="2" t="s">
        <v>400</v>
      </c>
      <c r="L3941" s="2" t="s">
        <v>40</v>
      </c>
      <c r="O3941" s="2" t="s">
        <v>40</v>
      </c>
      <c r="P3941" s="2" t="s">
        <v>141</v>
      </c>
      <c r="Q3941" s="2" t="s">
        <v>142</v>
      </c>
      <c r="R3941" s="2">
        <v>-1</v>
      </c>
      <c r="S3941" s="2">
        <v>-478.42</v>
      </c>
      <c r="T3941" s="2">
        <v>-110.03660000000001</v>
      </c>
      <c r="U3941" s="2">
        <v>-588.45659999999998</v>
      </c>
      <c r="W3941" s="5">
        <f t="shared" si="432"/>
        <v>1</v>
      </c>
      <c r="Y3941" s="2" t="s">
        <v>120</v>
      </c>
      <c r="Z3941" s="2" t="s">
        <v>143</v>
      </c>
      <c r="AE3941" s="2">
        <f t="shared" si="430"/>
        <v>0</v>
      </c>
      <c r="AI3941" s="2">
        <f t="shared" si="431"/>
        <v>0</v>
      </c>
      <c r="AJ3941" s="2">
        <f t="shared" si="429"/>
        <v>-478.42</v>
      </c>
      <c r="AK3941" s="5">
        <f t="shared" si="433"/>
        <v>1</v>
      </c>
    </row>
    <row r="3942" spans="1:37" x14ac:dyDescent="0.2">
      <c r="A3942" s="2">
        <v>2026</v>
      </c>
      <c r="B3942" s="2">
        <v>5</v>
      </c>
      <c r="C3942" s="2" t="s">
        <v>2983</v>
      </c>
      <c r="D3942" s="2" t="s">
        <v>38</v>
      </c>
      <c r="E3942" s="2" t="s">
        <v>39</v>
      </c>
      <c r="F3942" s="2">
        <v>513801537</v>
      </c>
      <c r="G3942" s="2" t="s">
        <v>40</v>
      </c>
      <c r="H3942" s="2" t="s">
        <v>2984</v>
      </c>
      <c r="I3942" s="2" t="s">
        <v>2985</v>
      </c>
      <c r="J3942" s="2">
        <v>966567958</v>
      </c>
      <c r="K3942" s="2" t="s">
        <v>345</v>
      </c>
      <c r="L3942" s="2" t="s">
        <v>81</v>
      </c>
      <c r="N3942" s="2" t="s">
        <v>2986</v>
      </c>
      <c r="O3942" s="2" t="s">
        <v>283</v>
      </c>
      <c r="P3942" s="2" t="s">
        <v>1448</v>
      </c>
      <c r="Q3942" s="2" t="s">
        <v>1449</v>
      </c>
      <c r="R3942" s="2">
        <v>10</v>
      </c>
      <c r="S3942" s="2">
        <v>69</v>
      </c>
      <c r="T3942" s="2">
        <v>15.87</v>
      </c>
      <c r="U3942" s="2">
        <v>84.87</v>
      </c>
      <c r="V3942" s="2">
        <f>5.135*R3942</f>
        <v>51.349999999999994</v>
      </c>
      <c r="W3942" s="5">
        <f t="shared" ref="W3942:W3947" si="434">(S3942-V3942)/S3942</f>
        <v>0.25579710144927542</v>
      </c>
      <c r="Y3942" s="2" t="s">
        <v>3256</v>
      </c>
      <c r="Z3942" s="2" t="s">
        <v>72</v>
      </c>
      <c r="AA3942" s="2" t="s">
        <v>120</v>
      </c>
      <c r="AB3942" s="2" t="s">
        <v>120</v>
      </c>
      <c r="AE3942" s="2">
        <f t="shared" si="430"/>
        <v>0</v>
      </c>
      <c r="AF3942" s="2">
        <v>5.1349999999999998</v>
      </c>
      <c r="AI3942" s="2">
        <f t="shared" si="431"/>
        <v>0</v>
      </c>
      <c r="AJ3942" s="2">
        <f t="shared" si="429"/>
        <v>17.650000000000006</v>
      </c>
      <c r="AK3942" s="5">
        <f t="shared" ref="AK3942:AK3947" si="435">(S3942-V3942)/S3942</f>
        <v>0.25579710144927542</v>
      </c>
    </row>
    <row r="3943" spans="1:37" x14ac:dyDescent="0.2">
      <c r="A3943" s="2">
        <v>2026</v>
      </c>
      <c r="B3943" s="2">
        <v>5</v>
      </c>
      <c r="C3943" s="2" t="s">
        <v>2983</v>
      </c>
      <c r="D3943" s="2" t="s">
        <v>38</v>
      </c>
      <c r="E3943" s="2" t="s">
        <v>39</v>
      </c>
      <c r="F3943" s="2">
        <v>513801537</v>
      </c>
      <c r="G3943" s="2" t="s">
        <v>40</v>
      </c>
      <c r="H3943" s="2" t="s">
        <v>2984</v>
      </c>
      <c r="I3943" s="2" t="s">
        <v>2985</v>
      </c>
      <c r="J3943" s="2">
        <v>966567958</v>
      </c>
      <c r="K3943" s="2" t="s">
        <v>345</v>
      </c>
      <c r="L3943" s="2" t="s">
        <v>81</v>
      </c>
      <c r="N3943" s="2" t="s">
        <v>2986</v>
      </c>
      <c r="O3943" s="2" t="s">
        <v>283</v>
      </c>
      <c r="P3943" s="2" t="s">
        <v>1604</v>
      </c>
      <c r="Q3943" s="2" t="s">
        <v>1605</v>
      </c>
      <c r="R3943" s="2">
        <v>10</v>
      </c>
      <c r="S3943" s="2">
        <v>69</v>
      </c>
      <c r="T3943" s="2">
        <v>15.87</v>
      </c>
      <c r="U3943" s="2">
        <v>84.87</v>
      </c>
      <c r="V3943" s="2">
        <f>5.135*R3943</f>
        <v>51.349999999999994</v>
      </c>
      <c r="W3943" s="5">
        <f t="shared" si="434"/>
        <v>0.25579710144927542</v>
      </c>
      <c r="Y3943" s="2" t="s">
        <v>3256</v>
      </c>
      <c r="Z3943" s="2" t="s">
        <v>72</v>
      </c>
      <c r="AA3943" s="2" t="s">
        <v>120</v>
      </c>
      <c r="AB3943" s="2" t="s">
        <v>120</v>
      </c>
      <c r="AE3943" s="2">
        <f t="shared" si="430"/>
        <v>0</v>
      </c>
      <c r="AF3943" s="2">
        <v>5.1349999999999998</v>
      </c>
      <c r="AI3943" s="2">
        <f t="shared" si="431"/>
        <v>0</v>
      </c>
      <c r="AJ3943" s="2">
        <f t="shared" si="429"/>
        <v>17.650000000000006</v>
      </c>
      <c r="AK3943" s="5">
        <f t="shared" si="435"/>
        <v>0.25579710144927542</v>
      </c>
    </row>
    <row r="3944" spans="1:37" x14ac:dyDescent="0.2">
      <c r="A3944" s="2">
        <v>2026</v>
      </c>
      <c r="B3944" s="2">
        <v>5</v>
      </c>
      <c r="C3944" s="2" t="s">
        <v>2983</v>
      </c>
      <c r="D3944" s="2" t="s">
        <v>38</v>
      </c>
      <c r="E3944" s="2" t="s">
        <v>39</v>
      </c>
      <c r="F3944" s="2">
        <v>513801537</v>
      </c>
      <c r="G3944" s="2" t="s">
        <v>40</v>
      </c>
      <c r="H3944" s="2" t="s">
        <v>2984</v>
      </c>
      <c r="I3944" s="2" t="s">
        <v>2985</v>
      </c>
      <c r="J3944" s="2">
        <v>966567958</v>
      </c>
      <c r="K3944" s="2" t="s">
        <v>345</v>
      </c>
      <c r="L3944" s="2" t="s">
        <v>81</v>
      </c>
      <c r="N3944" s="2" t="s">
        <v>2986</v>
      </c>
      <c r="O3944" s="2" t="s">
        <v>43</v>
      </c>
      <c r="P3944" s="2" t="s">
        <v>51</v>
      </c>
      <c r="Q3944" s="2" t="s">
        <v>52</v>
      </c>
      <c r="R3944" s="2">
        <v>1</v>
      </c>
      <c r="S3944" s="2">
        <v>21</v>
      </c>
      <c r="T3944" s="2">
        <v>4.83</v>
      </c>
      <c r="U3944" s="2">
        <v>25.83</v>
      </c>
      <c r="V3944" s="2">
        <f>14.4*R3944</f>
        <v>14.4</v>
      </c>
      <c r="W3944" s="5">
        <f t="shared" si="434"/>
        <v>0.31428571428571428</v>
      </c>
      <c r="Y3944" s="2" t="s">
        <v>3256</v>
      </c>
      <c r="Z3944" s="2" t="s">
        <v>46</v>
      </c>
      <c r="AA3944" s="2" t="s">
        <v>47</v>
      </c>
      <c r="AB3944" s="2" t="s">
        <v>48</v>
      </c>
      <c r="AE3944" s="2">
        <f t="shared" si="430"/>
        <v>0</v>
      </c>
      <c r="AF3944" s="2">
        <v>14.4</v>
      </c>
      <c r="AG3944" s="2">
        <v>21</v>
      </c>
      <c r="AI3944" s="2">
        <f t="shared" si="431"/>
        <v>0</v>
      </c>
      <c r="AJ3944" s="2">
        <f t="shared" si="429"/>
        <v>6.6</v>
      </c>
      <c r="AK3944" s="5">
        <f t="shared" si="435"/>
        <v>0.31428571428571428</v>
      </c>
    </row>
    <row r="3945" spans="1:37" x14ac:dyDescent="0.2">
      <c r="A3945" s="2">
        <v>2026</v>
      </c>
      <c r="B3945" s="2">
        <v>5</v>
      </c>
      <c r="C3945" s="2" t="s">
        <v>2983</v>
      </c>
      <c r="D3945" s="2" t="s">
        <v>38</v>
      </c>
      <c r="E3945" s="2" t="s">
        <v>39</v>
      </c>
      <c r="F3945" s="2">
        <v>513801537</v>
      </c>
      <c r="G3945" s="2" t="s">
        <v>40</v>
      </c>
      <c r="H3945" s="2" t="s">
        <v>2984</v>
      </c>
      <c r="I3945" s="2" t="s">
        <v>2985</v>
      </c>
      <c r="J3945" s="2">
        <v>966567958</v>
      </c>
      <c r="K3945" s="2" t="s">
        <v>345</v>
      </c>
      <c r="L3945" s="2" t="s">
        <v>81</v>
      </c>
      <c r="N3945" s="2" t="s">
        <v>2986</v>
      </c>
      <c r="O3945" s="2" t="s">
        <v>43</v>
      </c>
      <c r="P3945" s="2" t="s">
        <v>866</v>
      </c>
      <c r="Q3945" s="2" t="s">
        <v>867</v>
      </c>
      <c r="R3945" s="2">
        <v>2</v>
      </c>
      <c r="S3945" s="2">
        <v>42</v>
      </c>
      <c r="T3945" s="2">
        <v>9.66</v>
      </c>
      <c r="U3945" s="2">
        <v>51.66</v>
      </c>
      <c r="V3945" s="2">
        <f>8*R3945</f>
        <v>16</v>
      </c>
      <c r="W3945" s="5">
        <f t="shared" si="434"/>
        <v>0.61904761904761907</v>
      </c>
      <c r="Y3945" s="2" t="s">
        <v>3256</v>
      </c>
      <c r="Z3945" s="2" t="s">
        <v>46</v>
      </c>
      <c r="AA3945" s="2" t="s">
        <v>47</v>
      </c>
      <c r="AB3945" s="2" t="s">
        <v>48</v>
      </c>
      <c r="AE3945" s="2">
        <f t="shared" si="430"/>
        <v>0</v>
      </c>
      <c r="AF3945" s="2">
        <v>8</v>
      </c>
      <c r="AI3945" s="2">
        <f t="shared" si="431"/>
        <v>0</v>
      </c>
      <c r="AJ3945" s="2">
        <f t="shared" si="429"/>
        <v>26</v>
      </c>
      <c r="AK3945" s="5">
        <f t="shared" si="435"/>
        <v>0.61904761904761907</v>
      </c>
    </row>
    <row r="3946" spans="1:37" x14ac:dyDescent="0.2">
      <c r="A3946" s="2">
        <v>2026</v>
      </c>
      <c r="B3946" s="2">
        <v>5</v>
      </c>
      <c r="C3946" s="2" t="s">
        <v>2983</v>
      </c>
      <c r="D3946" s="2" t="s">
        <v>38</v>
      </c>
      <c r="E3946" s="2" t="s">
        <v>39</v>
      </c>
      <c r="F3946" s="2">
        <v>513801537</v>
      </c>
      <c r="G3946" s="2" t="s">
        <v>40</v>
      </c>
      <c r="H3946" s="2" t="s">
        <v>2984</v>
      </c>
      <c r="I3946" s="2" t="s">
        <v>2985</v>
      </c>
      <c r="J3946" s="2">
        <v>966567958</v>
      </c>
      <c r="K3946" s="2" t="s">
        <v>345</v>
      </c>
      <c r="L3946" s="2" t="s">
        <v>81</v>
      </c>
      <c r="N3946" s="2" t="s">
        <v>2986</v>
      </c>
      <c r="O3946" s="2" t="s">
        <v>43</v>
      </c>
      <c r="P3946" s="2" t="s">
        <v>245</v>
      </c>
      <c r="Q3946" s="2" t="s">
        <v>246</v>
      </c>
      <c r="R3946" s="2">
        <v>1</v>
      </c>
      <c r="S3946" s="2">
        <v>18</v>
      </c>
      <c r="T3946" s="2">
        <v>4.1400000000000006</v>
      </c>
      <c r="U3946" s="2">
        <v>22.14</v>
      </c>
      <c r="V3946" s="2">
        <v>9.2346000000000004</v>
      </c>
      <c r="W3946" s="5">
        <f t="shared" si="434"/>
        <v>0.48696666666666666</v>
      </c>
      <c r="Y3946" s="2" t="s">
        <v>3256</v>
      </c>
      <c r="Z3946" s="2" t="s">
        <v>46</v>
      </c>
      <c r="AA3946" s="2" t="s">
        <v>57</v>
      </c>
      <c r="AB3946" s="2" t="s">
        <v>58</v>
      </c>
      <c r="AE3946" s="2">
        <f t="shared" si="430"/>
        <v>0</v>
      </c>
      <c r="AF3946" s="2">
        <v>9.2346000000000004</v>
      </c>
      <c r="AI3946" s="2">
        <f t="shared" si="431"/>
        <v>0</v>
      </c>
      <c r="AJ3946" s="2">
        <f t="shared" si="429"/>
        <v>8.7653999999999996</v>
      </c>
      <c r="AK3946" s="5">
        <f t="shared" si="435"/>
        <v>0.48696666666666666</v>
      </c>
    </row>
    <row r="3947" spans="1:37" x14ac:dyDescent="0.2">
      <c r="A3947" s="2">
        <v>2026</v>
      </c>
      <c r="B3947" s="2">
        <v>5</v>
      </c>
      <c r="C3947" s="2" t="s">
        <v>2983</v>
      </c>
      <c r="D3947" s="2" t="s">
        <v>38</v>
      </c>
      <c r="E3947" s="2" t="s">
        <v>39</v>
      </c>
      <c r="F3947" s="2">
        <v>513801537</v>
      </c>
      <c r="G3947" s="2" t="s">
        <v>40</v>
      </c>
      <c r="H3947" s="2" t="s">
        <v>2984</v>
      </c>
      <c r="I3947" s="2" t="s">
        <v>2985</v>
      </c>
      <c r="J3947" s="2">
        <v>966567958</v>
      </c>
      <c r="K3947" s="2" t="s">
        <v>345</v>
      </c>
      <c r="L3947" s="2" t="s">
        <v>81</v>
      </c>
      <c r="N3947" s="2" t="s">
        <v>2986</v>
      </c>
      <c r="O3947" s="2" t="s">
        <v>43</v>
      </c>
      <c r="P3947" s="2" t="s">
        <v>62</v>
      </c>
      <c r="Q3947" s="2" t="s">
        <v>63</v>
      </c>
      <c r="R3947" s="2">
        <v>1000</v>
      </c>
      <c r="S3947" s="2">
        <v>110</v>
      </c>
      <c r="T3947" s="2">
        <v>25.3</v>
      </c>
      <c r="U3947" s="2">
        <v>135.30000000000001</v>
      </c>
      <c r="V3947" s="2">
        <f>0.082*R3947</f>
        <v>82</v>
      </c>
      <c r="W3947" s="5">
        <f t="shared" si="434"/>
        <v>0.25454545454545452</v>
      </c>
      <c r="Y3947" s="2" t="s">
        <v>3256</v>
      </c>
      <c r="Z3947" s="2" t="s">
        <v>46</v>
      </c>
      <c r="AA3947" s="2" t="s">
        <v>61</v>
      </c>
      <c r="AB3947" s="2" t="s">
        <v>58</v>
      </c>
      <c r="AE3947" s="2">
        <f t="shared" si="430"/>
        <v>0</v>
      </c>
      <c r="AF3947" s="2">
        <v>8.1999999999999993</v>
      </c>
      <c r="AG3947" s="2">
        <v>13</v>
      </c>
      <c r="AI3947" s="2">
        <f t="shared" si="431"/>
        <v>0</v>
      </c>
      <c r="AJ3947" s="2">
        <f t="shared" si="429"/>
        <v>28</v>
      </c>
      <c r="AK3947" s="5">
        <f t="shared" si="435"/>
        <v>0.25454545454545452</v>
      </c>
    </row>
    <row r="3948" spans="1:37" x14ac:dyDescent="0.2">
      <c r="A3948" s="2">
        <v>2026</v>
      </c>
      <c r="B3948" s="2">
        <v>5</v>
      </c>
      <c r="C3948" s="2" t="s">
        <v>2983</v>
      </c>
      <c r="D3948" s="2" t="s">
        <v>38</v>
      </c>
      <c r="E3948" s="2" t="s">
        <v>39</v>
      </c>
      <c r="F3948" s="2">
        <v>513801537</v>
      </c>
      <c r="G3948" s="2" t="s">
        <v>40</v>
      </c>
      <c r="H3948" s="2" t="s">
        <v>2984</v>
      </c>
      <c r="I3948" s="2" t="s">
        <v>2985</v>
      </c>
      <c r="J3948" s="2">
        <v>966567958</v>
      </c>
      <c r="K3948" s="2" t="s">
        <v>345</v>
      </c>
      <c r="L3948" s="2" t="s">
        <v>81</v>
      </c>
      <c r="N3948" s="2" t="s">
        <v>2986</v>
      </c>
      <c r="O3948" s="2" t="s">
        <v>43</v>
      </c>
      <c r="P3948" s="2" t="s">
        <v>2987</v>
      </c>
      <c r="Q3948" s="2" t="s">
        <v>2988</v>
      </c>
      <c r="R3948" s="2">
        <v>1</v>
      </c>
      <c r="S3948" s="2">
        <v>0</v>
      </c>
      <c r="T3948" s="2">
        <v>0</v>
      </c>
      <c r="U3948" s="2">
        <v>0</v>
      </c>
      <c r="V3948" s="2">
        <v>19.68</v>
      </c>
      <c r="W3948" s="5">
        <f>IF(S3948=0,IF(V3948&gt;0,-100%,0%),(S3948-V3948)/S3948)</f>
        <v>-1</v>
      </c>
      <c r="Y3948" s="2" t="s">
        <v>3256</v>
      </c>
      <c r="Z3948" s="2" t="s">
        <v>46</v>
      </c>
      <c r="AA3948" s="2" t="s">
        <v>57</v>
      </c>
      <c r="AB3948" s="2" t="s">
        <v>58</v>
      </c>
      <c r="AE3948" s="2">
        <f t="shared" si="430"/>
        <v>0</v>
      </c>
      <c r="AF3948" s="2">
        <v>19.68</v>
      </c>
      <c r="AI3948" s="2">
        <f t="shared" si="431"/>
        <v>0</v>
      </c>
      <c r="AJ3948" s="2">
        <f t="shared" si="429"/>
        <v>-19.68</v>
      </c>
      <c r="AK3948" s="5">
        <f>IF(S3948=0,IF(V3948&gt;0,-100%,0%),(S3948-V3948)/S3948)</f>
        <v>-1</v>
      </c>
    </row>
    <row r="3949" spans="1:37" x14ac:dyDescent="0.2">
      <c r="A3949" s="2">
        <v>2026</v>
      </c>
      <c r="B3949" s="2">
        <v>5</v>
      </c>
      <c r="C3949" s="2" t="s">
        <v>2983</v>
      </c>
      <c r="D3949" s="2" t="s">
        <v>38</v>
      </c>
      <c r="E3949" s="2" t="s">
        <v>39</v>
      </c>
      <c r="F3949" s="2">
        <v>513801537</v>
      </c>
      <c r="G3949" s="2" t="s">
        <v>40</v>
      </c>
      <c r="H3949" s="2" t="s">
        <v>2984</v>
      </c>
      <c r="I3949" s="2" t="s">
        <v>2985</v>
      </c>
      <c r="J3949" s="2">
        <v>966567958</v>
      </c>
      <c r="K3949" s="2" t="s">
        <v>345</v>
      </c>
      <c r="L3949" s="2" t="s">
        <v>81</v>
      </c>
      <c r="N3949" s="2" t="s">
        <v>2986</v>
      </c>
      <c r="O3949" s="2" t="s">
        <v>43</v>
      </c>
      <c r="P3949" s="2" t="s">
        <v>2989</v>
      </c>
      <c r="Q3949" s="2" t="s">
        <v>2990</v>
      </c>
      <c r="R3949" s="2">
        <v>4</v>
      </c>
      <c r="S3949" s="2">
        <v>72</v>
      </c>
      <c r="T3949" s="2">
        <v>16.559999999999999</v>
      </c>
      <c r="U3949" s="2">
        <v>88.56</v>
      </c>
      <c r="V3949" s="2">
        <f>11.525*R3949</f>
        <v>46.1</v>
      </c>
      <c r="W3949" s="5">
        <f>(S3949-V3949)/S3949</f>
        <v>0.35972222222222222</v>
      </c>
      <c r="Y3949" s="2" t="s">
        <v>3256</v>
      </c>
      <c r="Z3949" s="2" t="s">
        <v>46</v>
      </c>
      <c r="AA3949" s="2" t="s">
        <v>57</v>
      </c>
      <c r="AB3949" s="2" t="s">
        <v>58</v>
      </c>
      <c r="AE3949" s="2">
        <f t="shared" si="430"/>
        <v>0</v>
      </c>
      <c r="AF3949" s="2">
        <v>11.525</v>
      </c>
      <c r="AI3949" s="2">
        <f t="shared" si="431"/>
        <v>0</v>
      </c>
      <c r="AJ3949" s="2">
        <f t="shared" si="429"/>
        <v>25.9</v>
      </c>
      <c r="AK3949" s="5">
        <f>(S3949-V3949)/S3949</f>
        <v>0.35972222222222222</v>
      </c>
    </row>
    <row r="3950" spans="1:37" x14ac:dyDescent="0.2">
      <c r="A3950" s="2">
        <v>2026</v>
      </c>
      <c r="B3950" s="2">
        <v>5</v>
      </c>
      <c r="C3950" s="2" t="s">
        <v>2260</v>
      </c>
      <c r="D3950" s="2" t="s">
        <v>109</v>
      </c>
      <c r="E3950" s="2" t="s">
        <v>39</v>
      </c>
      <c r="F3950" s="2">
        <v>2000750098</v>
      </c>
      <c r="G3950" s="2" t="s">
        <v>41</v>
      </c>
      <c r="H3950" s="2" t="s">
        <v>2991</v>
      </c>
      <c r="I3950" s="2" t="s">
        <v>2992</v>
      </c>
      <c r="J3950" s="2">
        <v>939310247</v>
      </c>
      <c r="K3950" s="2" t="s">
        <v>465</v>
      </c>
      <c r="L3950" s="2" t="s">
        <v>40</v>
      </c>
      <c r="N3950" s="2" t="s">
        <v>2993</v>
      </c>
      <c r="O3950" s="2" t="s">
        <v>115</v>
      </c>
      <c r="P3950" s="2" t="s">
        <v>581</v>
      </c>
      <c r="Q3950" s="2" t="s">
        <v>582</v>
      </c>
      <c r="R3950" s="2">
        <v>1</v>
      </c>
      <c r="S3950" s="2">
        <v>79.47</v>
      </c>
      <c r="T3950" s="2">
        <v>18.278099999999998</v>
      </c>
      <c r="U3950" s="2">
        <v>97.748099999999994</v>
      </c>
      <c r="V3950" s="2">
        <v>25.2</v>
      </c>
      <c r="W3950" s="5">
        <f>(S3950-V3950)/S3950</f>
        <v>0.68289920724801811</v>
      </c>
      <c r="Y3950" s="2" t="s">
        <v>118</v>
      </c>
      <c r="Z3950" s="2" t="s">
        <v>583</v>
      </c>
      <c r="AA3950" s="2" t="s">
        <v>120</v>
      </c>
      <c r="AB3950" s="2" t="s">
        <v>115</v>
      </c>
      <c r="AE3950" s="2">
        <f t="shared" si="430"/>
        <v>0</v>
      </c>
      <c r="AF3950" s="2">
        <v>25.2</v>
      </c>
      <c r="AI3950" s="2">
        <f t="shared" si="431"/>
        <v>0</v>
      </c>
      <c r="AJ3950" s="2">
        <f t="shared" si="429"/>
        <v>54.269999999999996</v>
      </c>
      <c r="AK3950" s="5">
        <f>(S3950-V3950)/S3950</f>
        <v>0.68289920724801811</v>
      </c>
    </row>
    <row r="3951" spans="1:37" x14ac:dyDescent="0.2">
      <c r="A3951" s="2">
        <v>2026</v>
      </c>
      <c r="B3951" s="2">
        <v>5</v>
      </c>
      <c r="C3951" s="2" t="s">
        <v>466</v>
      </c>
      <c r="D3951" s="2" t="s">
        <v>109</v>
      </c>
      <c r="E3951" s="2" t="s">
        <v>39</v>
      </c>
      <c r="F3951" s="2">
        <v>506531031</v>
      </c>
      <c r="G3951" s="2" t="s">
        <v>110</v>
      </c>
      <c r="H3951" s="2" t="s">
        <v>467</v>
      </c>
      <c r="I3951" s="2" t="s">
        <v>468</v>
      </c>
      <c r="K3951" s="2" t="s">
        <v>113</v>
      </c>
      <c r="N3951" s="2" t="s">
        <v>2994</v>
      </c>
      <c r="O3951" s="2" t="s">
        <v>115</v>
      </c>
      <c r="P3951" s="2" t="s">
        <v>1594</v>
      </c>
      <c r="Q3951" s="2" t="s">
        <v>1595</v>
      </c>
      <c r="R3951" s="2">
        <v>-1</v>
      </c>
      <c r="S3951" s="2">
        <v>-6990</v>
      </c>
      <c r="T3951" s="2">
        <v>-1607.7</v>
      </c>
      <c r="U3951" s="2">
        <v>-8597.7000000000007</v>
      </c>
      <c r="V3951" s="2">
        <v>5064.2299999999996</v>
      </c>
      <c r="W3951" s="5">
        <f>SIGN(S3951)*((ABS(S3951)-V3951)/ABS(S3951))</f>
        <v>-0.27550357653791135</v>
      </c>
      <c r="Y3951" s="2" t="s">
        <v>105</v>
      </c>
      <c r="Z3951" s="2" t="s">
        <v>151</v>
      </c>
      <c r="AA3951" s="2" t="s">
        <v>152</v>
      </c>
      <c r="AB3951" s="2" t="s">
        <v>115</v>
      </c>
      <c r="AE3951" s="2">
        <f t="shared" si="430"/>
        <v>0</v>
      </c>
      <c r="AF3951" s="2">
        <f>4893.23+171</f>
        <v>5064.2299999999996</v>
      </c>
      <c r="AI3951" s="2">
        <f t="shared" si="431"/>
        <v>0</v>
      </c>
      <c r="AJ3951" s="2">
        <f>V3951+(S3951)</f>
        <v>-1925.7700000000004</v>
      </c>
      <c r="AK3951" s="5">
        <f>SIGN(S3951)*((ABS(S3951)-V3951)/ABS(S3951))</f>
        <v>-0.27550357653791135</v>
      </c>
    </row>
    <row r="3952" spans="1:37" x14ac:dyDescent="0.2">
      <c r="A3952" s="2">
        <v>2026</v>
      </c>
      <c r="B3952" s="2">
        <v>5</v>
      </c>
      <c r="C3952" s="2" t="s">
        <v>473</v>
      </c>
      <c r="D3952" s="2" t="s">
        <v>38</v>
      </c>
      <c r="E3952" s="2" t="s">
        <v>474</v>
      </c>
      <c r="F3952" s="2">
        <v>513626930</v>
      </c>
      <c r="G3952" s="2" t="s">
        <v>40</v>
      </c>
      <c r="H3952" s="2" t="s">
        <v>340</v>
      </c>
      <c r="I3952" s="2" t="s">
        <v>475</v>
      </c>
      <c r="K3952" s="2" t="s">
        <v>340</v>
      </c>
      <c r="L3952" s="2" t="s">
        <v>40</v>
      </c>
      <c r="N3952" s="2" t="s">
        <v>2995</v>
      </c>
      <c r="O3952" s="2" t="s">
        <v>115</v>
      </c>
      <c r="P3952" s="2" t="s">
        <v>963</v>
      </c>
      <c r="Q3952" s="2" t="s">
        <v>964</v>
      </c>
      <c r="R3952" s="2">
        <v>1</v>
      </c>
      <c r="S3952" s="2">
        <v>9930</v>
      </c>
      <c r="T3952" s="2">
        <v>2283.9</v>
      </c>
      <c r="U3952" s="2">
        <v>12213.9</v>
      </c>
      <c r="V3952" s="2">
        <v>6468.73</v>
      </c>
      <c r="W3952" s="5">
        <f t="shared" ref="W3952:W3970" si="436">(S3952-V3952)/S3952</f>
        <v>0.34856696878147031</v>
      </c>
      <c r="Y3952" s="2" t="s">
        <v>105</v>
      </c>
      <c r="Z3952" s="2" t="s">
        <v>621</v>
      </c>
      <c r="AA3952" s="2" t="s">
        <v>965</v>
      </c>
      <c r="AB3952" s="2" t="s">
        <v>115</v>
      </c>
      <c r="AE3952" s="2">
        <f t="shared" si="430"/>
        <v>0</v>
      </c>
      <c r="AF3952" s="2">
        <v>6468.73</v>
      </c>
      <c r="AI3952" s="2">
        <f t="shared" si="431"/>
        <v>0</v>
      </c>
      <c r="AJ3952" s="2">
        <f t="shared" ref="AJ3952:AJ3983" si="437">S3952-V3952</f>
        <v>3461.2700000000004</v>
      </c>
      <c r="AK3952" s="5">
        <f t="shared" ref="AK3952:AK3983" si="438">(S3952-V3952)/S3952</f>
        <v>0.34856696878147031</v>
      </c>
    </row>
    <row r="3953" spans="1:37" x14ac:dyDescent="0.2">
      <c r="A3953" s="2">
        <v>2026</v>
      </c>
      <c r="B3953" s="2">
        <v>5</v>
      </c>
      <c r="C3953" s="2" t="s">
        <v>473</v>
      </c>
      <c r="D3953" s="2" t="s">
        <v>38</v>
      </c>
      <c r="E3953" s="2" t="s">
        <v>474</v>
      </c>
      <c r="F3953" s="2">
        <v>513626930</v>
      </c>
      <c r="G3953" s="2" t="s">
        <v>40</v>
      </c>
      <c r="H3953" s="2" t="s">
        <v>340</v>
      </c>
      <c r="I3953" s="2" t="s">
        <v>475</v>
      </c>
      <c r="K3953" s="2" t="s">
        <v>340</v>
      </c>
      <c r="L3953" s="2" t="s">
        <v>40</v>
      </c>
      <c r="N3953" s="2" t="s">
        <v>2996</v>
      </c>
      <c r="O3953" s="2" t="s">
        <v>3260</v>
      </c>
      <c r="P3953" s="2" t="s">
        <v>2997</v>
      </c>
      <c r="Q3953" s="2" t="s">
        <v>2998</v>
      </c>
      <c r="R3953" s="2">
        <v>1</v>
      </c>
      <c r="S3953" s="2">
        <v>2460</v>
      </c>
      <c r="T3953" s="2">
        <v>565.80000000000007</v>
      </c>
      <c r="U3953" s="2">
        <v>3025.8</v>
      </c>
      <c r="V3953" s="2">
        <v>1296.2</v>
      </c>
      <c r="W3953" s="5">
        <f t="shared" si="436"/>
        <v>0.47308943089430894</v>
      </c>
      <c r="Y3953" s="2" t="s">
        <v>105</v>
      </c>
      <c r="Z3953" s="2" t="s">
        <v>106</v>
      </c>
      <c r="AA3953" s="2" t="s">
        <v>107</v>
      </c>
      <c r="AB3953" s="2" t="s">
        <v>3260</v>
      </c>
      <c r="AE3953" s="2">
        <f t="shared" si="430"/>
        <v>0</v>
      </c>
      <c r="AI3953" s="2">
        <f t="shared" si="431"/>
        <v>0</v>
      </c>
      <c r="AJ3953" s="2">
        <f t="shared" si="437"/>
        <v>1163.8</v>
      </c>
      <c r="AK3953" s="5">
        <f t="shared" si="438"/>
        <v>0.47308943089430894</v>
      </c>
    </row>
    <row r="3954" spans="1:37" x14ac:dyDescent="0.2">
      <c r="A3954" s="2">
        <v>2026</v>
      </c>
      <c r="B3954" s="2">
        <v>5</v>
      </c>
      <c r="C3954" s="2" t="s">
        <v>2589</v>
      </c>
      <c r="O3954" s="2" t="s">
        <v>73</v>
      </c>
      <c r="P3954" s="2" t="s">
        <v>1461</v>
      </c>
      <c r="Q3954" s="2" t="s">
        <v>308</v>
      </c>
      <c r="R3954" s="2">
        <v>1</v>
      </c>
      <c r="S3954" s="2">
        <v>230</v>
      </c>
      <c r="T3954" s="2">
        <v>52.900000000000013</v>
      </c>
      <c r="U3954" s="2">
        <v>282.89999999999998</v>
      </c>
      <c r="V3954" s="2">
        <v>122.446</v>
      </c>
      <c r="W3954" s="5">
        <f t="shared" si="436"/>
        <v>0.46762608695652175</v>
      </c>
      <c r="Y3954" s="2" t="s">
        <v>3256</v>
      </c>
      <c r="Z3954" s="2" t="s">
        <v>76</v>
      </c>
      <c r="AA3954" s="2" t="s">
        <v>77</v>
      </c>
      <c r="AB3954" s="2" t="s">
        <v>78</v>
      </c>
      <c r="AE3954" s="2">
        <f t="shared" si="430"/>
        <v>0</v>
      </c>
      <c r="AF3954" s="2">
        <v>122.446</v>
      </c>
      <c r="AG3954" s="2">
        <v>230</v>
      </c>
      <c r="AI3954" s="2">
        <f t="shared" si="431"/>
        <v>0</v>
      </c>
      <c r="AJ3954" s="2">
        <f t="shared" si="437"/>
        <v>107.554</v>
      </c>
      <c r="AK3954" s="5">
        <f t="shared" si="438"/>
        <v>0.46762608695652175</v>
      </c>
    </row>
    <row r="3955" spans="1:37" x14ac:dyDescent="0.2">
      <c r="A3955" s="2">
        <v>2026</v>
      </c>
      <c r="B3955" s="2">
        <v>5</v>
      </c>
      <c r="C3955" s="2" t="s">
        <v>2589</v>
      </c>
      <c r="O3955" s="2" t="s">
        <v>94</v>
      </c>
      <c r="P3955" s="2" t="s">
        <v>95</v>
      </c>
      <c r="Q3955" s="2" t="s">
        <v>96</v>
      </c>
      <c r="R3955" s="2">
        <v>1</v>
      </c>
      <c r="S3955" s="2">
        <v>1.48</v>
      </c>
      <c r="T3955" s="2">
        <v>0.34039999999999998</v>
      </c>
      <c r="U3955" s="2">
        <v>1.8204</v>
      </c>
      <c r="V3955" s="2">
        <v>1.48</v>
      </c>
      <c r="W3955" s="5">
        <f t="shared" si="436"/>
        <v>0</v>
      </c>
      <c r="Y3955" s="2" t="s">
        <v>3256</v>
      </c>
      <c r="Z3955" s="2" t="s">
        <v>97</v>
      </c>
      <c r="AA3955" s="2" t="s">
        <v>77</v>
      </c>
      <c r="AB3955" s="2" t="s">
        <v>94</v>
      </c>
      <c r="AE3955" s="2">
        <f t="shared" si="430"/>
        <v>0</v>
      </c>
      <c r="AI3955" s="2">
        <f t="shared" si="431"/>
        <v>0</v>
      </c>
      <c r="AJ3955" s="2">
        <f t="shared" si="437"/>
        <v>0</v>
      </c>
      <c r="AK3955" s="5">
        <f t="shared" si="438"/>
        <v>0</v>
      </c>
    </row>
    <row r="3956" spans="1:37" x14ac:dyDescent="0.2">
      <c r="A3956" s="2">
        <v>2026</v>
      </c>
      <c r="B3956" s="2">
        <v>5</v>
      </c>
      <c r="C3956" s="2" t="s">
        <v>850</v>
      </c>
      <c r="D3956" s="2" t="s">
        <v>38</v>
      </c>
      <c r="E3956" s="2" t="s">
        <v>39</v>
      </c>
      <c r="F3956" s="2">
        <v>161685080</v>
      </c>
      <c r="G3956" s="2" t="s">
        <v>41</v>
      </c>
      <c r="H3956" s="2" t="s">
        <v>422</v>
      </c>
      <c r="J3956" s="2" t="s">
        <v>851</v>
      </c>
      <c r="K3956" s="2" t="s">
        <v>422</v>
      </c>
      <c r="L3956" s="2" t="s">
        <v>41</v>
      </c>
      <c r="N3956" s="2" t="s">
        <v>2999</v>
      </c>
      <c r="O3956" s="2" t="s">
        <v>43</v>
      </c>
      <c r="P3956" s="2" t="s">
        <v>49</v>
      </c>
      <c r="Q3956" s="2" t="s">
        <v>50</v>
      </c>
      <c r="R3956" s="2">
        <v>1</v>
      </c>
      <c r="S3956" s="2">
        <v>12</v>
      </c>
      <c r="T3956" s="2">
        <v>2.76</v>
      </c>
      <c r="U3956" s="2">
        <v>14.76</v>
      </c>
      <c r="V3956" s="2">
        <f>6.6267*R3956</f>
        <v>6.6266999999999996</v>
      </c>
      <c r="W3956" s="5">
        <f t="shared" si="436"/>
        <v>0.44777500000000003</v>
      </c>
      <c r="Y3956" s="2" t="s">
        <v>3256</v>
      </c>
      <c r="Z3956" s="2" t="s">
        <v>46</v>
      </c>
      <c r="AA3956" s="2" t="s">
        <v>47</v>
      </c>
      <c r="AB3956" s="2" t="s">
        <v>48</v>
      </c>
      <c r="AE3956" s="2">
        <f t="shared" si="430"/>
        <v>0</v>
      </c>
      <c r="AF3956" s="2">
        <v>6.6266999999999996</v>
      </c>
      <c r="AG3956" s="2">
        <v>12</v>
      </c>
      <c r="AI3956" s="2">
        <f t="shared" si="431"/>
        <v>0</v>
      </c>
      <c r="AJ3956" s="2">
        <f t="shared" si="437"/>
        <v>5.3733000000000004</v>
      </c>
      <c r="AK3956" s="5">
        <f t="shared" si="438"/>
        <v>0.44777500000000003</v>
      </c>
    </row>
    <row r="3957" spans="1:37" x14ac:dyDescent="0.2">
      <c r="A3957" s="2">
        <v>2026</v>
      </c>
      <c r="B3957" s="2">
        <v>5</v>
      </c>
      <c r="C3957" s="2" t="s">
        <v>850</v>
      </c>
      <c r="D3957" s="2" t="s">
        <v>38</v>
      </c>
      <c r="E3957" s="2" t="s">
        <v>39</v>
      </c>
      <c r="F3957" s="2">
        <v>161685080</v>
      </c>
      <c r="G3957" s="2" t="s">
        <v>41</v>
      </c>
      <c r="H3957" s="2" t="s">
        <v>422</v>
      </c>
      <c r="J3957" s="2" t="s">
        <v>851</v>
      </c>
      <c r="K3957" s="2" t="s">
        <v>422</v>
      </c>
      <c r="L3957" s="2" t="s">
        <v>41</v>
      </c>
      <c r="N3957" s="2" t="s">
        <v>2999</v>
      </c>
      <c r="O3957" s="2" t="s">
        <v>43</v>
      </c>
      <c r="P3957" s="2" t="s">
        <v>55</v>
      </c>
      <c r="Q3957" s="2" t="s">
        <v>56</v>
      </c>
      <c r="R3957" s="2">
        <v>2</v>
      </c>
      <c r="S3957" s="2">
        <v>36</v>
      </c>
      <c r="T3957" s="2">
        <v>8.2800000000000011</v>
      </c>
      <c r="U3957" s="2">
        <v>44.28</v>
      </c>
      <c r="V3957" s="2">
        <f>10.6*R3957</f>
        <v>21.2</v>
      </c>
      <c r="W3957" s="5">
        <f t="shared" si="436"/>
        <v>0.41111111111111115</v>
      </c>
      <c r="Y3957" s="2" t="s">
        <v>3256</v>
      </c>
      <c r="Z3957" s="2" t="s">
        <v>46</v>
      </c>
      <c r="AA3957" s="2" t="s">
        <v>57</v>
      </c>
      <c r="AB3957" s="2" t="s">
        <v>58</v>
      </c>
      <c r="AE3957" s="2">
        <f t="shared" si="430"/>
        <v>0</v>
      </c>
      <c r="AF3957" s="2">
        <v>10.6</v>
      </c>
      <c r="AG3957" s="2">
        <v>18</v>
      </c>
      <c r="AI3957" s="2">
        <f t="shared" si="431"/>
        <v>0</v>
      </c>
      <c r="AJ3957" s="2">
        <f t="shared" si="437"/>
        <v>14.8</v>
      </c>
      <c r="AK3957" s="5">
        <f t="shared" si="438"/>
        <v>0.41111111111111115</v>
      </c>
    </row>
    <row r="3958" spans="1:37" x14ac:dyDescent="0.2">
      <c r="A3958" s="2">
        <v>2026</v>
      </c>
      <c r="B3958" s="2">
        <v>5</v>
      </c>
      <c r="C3958" s="2" t="s">
        <v>489</v>
      </c>
      <c r="D3958" s="2" t="s">
        <v>109</v>
      </c>
      <c r="E3958" s="2" t="s">
        <v>39</v>
      </c>
      <c r="F3958" s="2">
        <v>506834689</v>
      </c>
      <c r="G3958" s="2" t="s">
        <v>41</v>
      </c>
      <c r="H3958" s="2" t="s">
        <v>490</v>
      </c>
      <c r="I3958" s="2" t="s">
        <v>491</v>
      </c>
      <c r="J3958" s="2">
        <v>919866237</v>
      </c>
      <c r="K3958" s="2" t="s">
        <v>465</v>
      </c>
      <c r="L3958" s="2" t="s">
        <v>40</v>
      </c>
      <c r="N3958" s="2" t="s">
        <v>3000</v>
      </c>
      <c r="O3958" s="2" t="s">
        <v>115</v>
      </c>
      <c r="P3958" s="2" t="s">
        <v>1395</v>
      </c>
      <c r="Q3958" s="2" t="s">
        <v>1396</v>
      </c>
      <c r="R3958" s="2">
        <v>1</v>
      </c>
      <c r="S3958" s="2">
        <v>152.41</v>
      </c>
      <c r="T3958" s="2">
        <v>35.054299999999998</v>
      </c>
      <c r="U3958" s="2">
        <v>187.46430000000001</v>
      </c>
      <c r="V3958" s="2">
        <v>71.381</v>
      </c>
      <c r="W3958" s="5">
        <f t="shared" si="436"/>
        <v>0.53165146643921002</v>
      </c>
      <c r="Y3958" s="2" t="s">
        <v>118</v>
      </c>
      <c r="Z3958" s="2" t="s">
        <v>119</v>
      </c>
      <c r="AA3958" s="2" t="s">
        <v>120</v>
      </c>
      <c r="AB3958" s="2" t="s">
        <v>115</v>
      </c>
      <c r="AE3958" s="2">
        <f t="shared" si="430"/>
        <v>0</v>
      </c>
      <c r="AF3958" s="2">
        <v>71.381</v>
      </c>
      <c r="AI3958" s="2">
        <f t="shared" si="431"/>
        <v>0</v>
      </c>
      <c r="AJ3958" s="2">
        <f t="shared" si="437"/>
        <v>81.028999999999996</v>
      </c>
      <c r="AK3958" s="5">
        <f t="shared" si="438"/>
        <v>0.53165146643921002</v>
      </c>
    </row>
    <row r="3959" spans="1:37" x14ac:dyDescent="0.2">
      <c r="A3959" s="2">
        <v>2026</v>
      </c>
      <c r="B3959" s="2">
        <v>5</v>
      </c>
      <c r="C3959" s="2" t="s">
        <v>489</v>
      </c>
      <c r="D3959" s="2" t="s">
        <v>109</v>
      </c>
      <c r="E3959" s="2" t="s">
        <v>39</v>
      </c>
      <c r="F3959" s="2">
        <v>506834689</v>
      </c>
      <c r="G3959" s="2" t="s">
        <v>41</v>
      </c>
      <c r="H3959" s="2" t="s">
        <v>490</v>
      </c>
      <c r="I3959" s="2" t="s">
        <v>491</v>
      </c>
      <c r="J3959" s="2">
        <v>919866237</v>
      </c>
      <c r="K3959" s="2" t="s">
        <v>465</v>
      </c>
      <c r="L3959" s="2" t="s">
        <v>40</v>
      </c>
      <c r="N3959" s="2" t="s">
        <v>3000</v>
      </c>
      <c r="O3959" s="2" t="s">
        <v>115</v>
      </c>
      <c r="P3959" s="2" t="s">
        <v>741</v>
      </c>
      <c r="Q3959" s="2" t="s">
        <v>742</v>
      </c>
      <c r="R3959" s="2">
        <v>2</v>
      </c>
      <c r="S3959" s="2">
        <v>42.99</v>
      </c>
      <c r="T3959" s="2">
        <v>9.8877000000000006</v>
      </c>
      <c r="U3959" s="2">
        <v>52.877699999999997</v>
      </c>
      <c r="V3959" s="2">
        <f>10.38*R3959</f>
        <v>20.76</v>
      </c>
      <c r="W3959" s="5">
        <f t="shared" si="436"/>
        <v>0.51709699930216324</v>
      </c>
      <c r="Y3959" s="2" t="s">
        <v>118</v>
      </c>
      <c r="Z3959" s="2" t="s">
        <v>119</v>
      </c>
      <c r="AA3959" s="2" t="s">
        <v>120</v>
      </c>
      <c r="AB3959" s="2" t="s">
        <v>115</v>
      </c>
      <c r="AE3959" s="2">
        <f t="shared" si="430"/>
        <v>0</v>
      </c>
      <c r="AF3959" s="2">
        <f>9.75+0.63</f>
        <v>10.38</v>
      </c>
      <c r="AI3959" s="2">
        <f t="shared" si="431"/>
        <v>0</v>
      </c>
      <c r="AJ3959" s="2">
        <f t="shared" si="437"/>
        <v>22.23</v>
      </c>
      <c r="AK3959" s="5">
        <f t="shared" si="438"/>
        <v>0.51709699930216324</v>
      </c>
    </row>
    <row r="3960" spans="1:37" x14ac:dyDescent="0.2">
      <c r="A3960" s="2">
        <v>2026</v>
      </c>
      <c r="B3960" s="2">
        <v>5</v>
      </c>
      <c r="C3960" s="2" t="s">
        <v>1265</v>
      </c>
      <c r="O3960" s="2" t="s">
        <v>73</v>
      </c>
      <c r="P3960" s="2" t="s">
        <v>1461</v>
      </c>
      <c r="Q3960" s="2" t="s">
        <v>308</v>
      </c>
      <c r="R3960" s="2">
        <v>1</v>
      </c>
      <c r="S3960" s="2">
        <v>230</v>
      </c>
      <c r="T3960" s="2">
        <v>52.900000000000013</v>
      </c>
      <c r="U3960" s="2">
        <v>282.89999999999998</v>
      </c>
      <c r="V3960" s="2">
        <v>122.446</v>
      </c>
      <c r="W3960" s="5">
        <f t="shared" si="436"/>
        <v>0.46762608695652175</v>
      </c>
      <c r="Y3960" s="2" t="s">
        <v>3256</v>
      </c>
      <c r="Z3960" s="2" t="s">
        <v>76</v>
      </c>
      <c r="AA3960" s="2" t="s">
        <v>77</v>
      </c>
      <c r="AB3960" s="2" t="s">
        <v>78</v>
      </c>
      <c r="AE3960" s="2">
        <f t="shared" si="430"/>
        <v>0</v>
      </c>
      <c r="AF3960" s="2">
        <v>122.446</v>
      </c>
      <c r="AG3960" s="2">
        <v>230</v>
      </c>
      <c r="AI3960" s="2">
        <f t="shared" si="431"/>
        <v>0</v>
      </c>
      <c r="AJ3960" s="2">
        <f t="shared" si="437"/>
        <v>107.554</v>
      </c>
      <c r="AK3960" s="5">
        <f t="shared" si="438"/>
        <v>0.46762608695652175</v>
      </c>
    </row>
    <row r="3961" spans="1:37" x14ac:dyDescent="0.2">
      <c r="A3961" s="2">
        <v>2026</v>
      </c>
      <c r="B3961" s="2">
        <v>5</v>
      </c>
      <c r="C3961" s="2" t="s">
        <v>1265</v>
      </c>
      <c r="O3961" s="2" t="s">
        <v>1047</v>
      </c>
      <c r="P3961" s="2" t="s">
        <v>3001</v>
      </c>
      <c r="Q3961" s="2" t="s">
        <v>3002</v>
      </c>
      <c r="R3961" s="2">
        <v>1</v>
      </c>
      <c r="S3961" s="2">
        <v>270</v>
      </c>
      <c r="T3961" s="2">
        <v>62.1</v>
      </c>
      <c r="U3961" s="2">
        <v>332.1</v>
      </c>
      <c r="W3961" s="5">
        <f t="shared" si="436"/>
        <v>1</v>
      </c>
      <c r="Y3961" s="2" t="s">
        <v>3256</v>
      </c>
      <c r="Z3961" s="2" t="s">
        <v>76</v>
      </c>
      <c r="AA3961" s="2" t="s">
        <v>77</v>
      </c>
      <c r="AB3961" s="2" t="s">
        <v>1047</v>
      </c>
      <c r="AE3961" s="2">
        <f t="shared" si="430"/>
        <v>0</v>
      </c>
      <c r="AI3961" s="2">
        <f t="shared" si="431"/>
        <v>0</v>
      </c>
      <c r="AJ3961" s="2">
        <f t="shared" si="437"/>
        <v>270</v>
      </c>
      <c r="AK3961" s="5">
        <f t="shared" si="438"/>
        <v>1</v>
      </c>
    </row>
    <row r="3962" spans="1:37" x14ac:dyDescent="0.2">
      <c r="A3962" s="2">
        <v>2026</v>
      </c>
      <c r="B3962" s="2">
        <v>5</v>
      </c>
      <c r="C3962" s="2" t="s">
        <v>1265</v>
      </c>
      <c r="O3962" s="2" t="s">
        <v>94</v>
      </c>
      <c r="P3962" s="2" t="s">
        <v>95</v>
      </c>
      <c r="Q3962" s="2" t="s">
        <v>96</v>
      </c>
      <c r="R3962" s="2">
        <v>2</v>
      </c>
      <c r="S3962" s="2">
        <v>2.96</v>
      </c>
      <c r="T3962" s="2">
        <v>0.68080000000000007</v>
      </c>
      <c r="U3962" s="2">
        <v>3.6408</v>
      </c>
      <c r="V3962" s="2">
        <f>1.48*2</f>
        <v>2.96</v>
      </c>
      <c r="W3962" s="5">
        <f t="shared" si="436"/>
        <v>0</v>
      </c>
      <c r="Y3962" s="2" t="s">
        <v>3256</v>
      </c>
      <c r="Z3962" s="2" t="s">
        <v>97</v>
      </c>
      <c r="AA3962" s="2" t="s">
        <v>77</v>
      </c>
      <c r="AB3962" s="2" t="s">
        <v>94</v>
      </c>
      <c r="AE3962" s="2">
        <f t="shared" si="430"/>
        <v>0</v>
      </c>
      <c r="AI3962" s="2">
        <f t="shared" si="431"/>
        <v>0</v>
      </c>
      <c r="AJ3962" s="2">
        <f t="shared" si="437"/>
        <v>0</v>
      </c>
      <c r="AK3962" s="5">
        <f t="shared" si="438"/>
        <v>0</v>
      </c>
    </row>
    <row r="3963" spans="1:37" x14ac:dyDescent="0.2">
      <c r="A3963" s="2">
        <v>2026</v>
      </c>
      <c r="B3963" s="2">
        <v>5</v>
      </c>
      <c r="C3963" s="2" t="s">
        <v>492</v>
      </c>
      <c r="D3963" s="2" t="s">
        <v>38</v>
      </c>
      <c r="E3963" s="2" t="s">
        <v>39</v>
      </c>
      <c r="F3963" s="2">
        <v>507380312</v>
      </c>
      <c r="G3963" s="2" t="s">
        <v>40</v>
      </c>
      <c r="H3963" s="2" t="s">
        <v>493</v>
      </c>
      <c r="I3963" s="2" t="s">
        <v>494</v>
      </c>
      <c r="J3963" s="2">
        <v>912293443</v>
      </c>
      <c r="K3963" s="2" t="s">
        <v>100</v>
      </c>
      <c r="L3963" s="2" t="s">
        <v>40</v>
      </c>
      <c r="N3963" s="2" t="s">
        <v>3003</v>
      </c>
      <c r="O3963" s="2" t="s">
        <v>40</v>
      </c>
      <c r="P3963" s="2" t="s">
        <v>495</v>
      </c>
      <c r="Q3963" s="2" t="s">
        <v>496</v>
      </c>
      <c r="R3963" s="2">
        <v>2</v>
      </c>
      <c r="S3963" s="2">
        <v>1357.82</v>
      </c>
      <c r="T3963" s="2">
        <v>312.29860000000002</v>
      </c>
      <c r="U3963" s="2">
        <v>1670.1186</v>
      </c>
      <c r="W3963" s="5">
        <f t="shared" si="436"/>
        <v>1</v>
      </c>
      <c r="Y3963" s="2" t="s">
        <v>120</v>
      </c>
      <c r="AE3963" s="2">
        <f t="shared" si="430"/>
        <v>0</v>
      </c>
      <c r="AI3963" s="2">
        <f t="shared" si="431"/>
        <v>0</v>
      </c>
      <c r="AJ3963" s="2">
        <f t="shared" si="437"/>
        <v>1357.82</v>
      </c>
      <c r="AK3963" s="5">
        <f t="shared" si="438"/>
        <v>1</v>
      </c>
    </row>
    <row r="3964" spans="1:37" x14ac:dyDescent="0.2">
      <c r="A3964" s="2">
        <v>2026</v>
      </c>
      <c r="B3964" s="2">
        <v>5</v>
      </c>
      <c r="C3964" s="2" t="s">
        <v>3004</v>
      </c>
      <c r="D3964" s="2" t="s">
        <v>109</v>
      </c>
      <c r="E3964" s="2" t="s">
        <v>39</v>
      </c>
      <c r="F3964" s="2">
        <v>510594778</v>
      </c>
      <c r="G3964" s="2" t="s">
        <v>41</v>
      </c>
      <c r="H3964" s="2" t="s">
        <v>3005</v>
      </c>
      <c r="I3964" s="2" t="s">
        <v>1111</v>
      </c>
      <c r="J3964" s="2">
        <v>934645042</v>
      </c>
      <c r="K3964" s="2" t="s">
        <v>100</v>
      </c>
      <c r="L3964" s="2" t="s">
        <v>40</v>
      </c>
      <c r="N3964" s="2" t="s">
        <v>3006</v>
      </c>
      <c r="O3964" s="2" t="s">
        <v>115</v>
      </c>
      <c r="P3964" s="2" t="s">
        <v>797</v>
      </c>
      <c r="Q3964" s="2" t="s">
        <v>798</v>
      </c>
      <c r="R3964" s="2">
        <v>1</v>
      </c>
      <c r="S3964" s="2">
        <v>187.92</v>
      </c>
      <c r="T3964" s="2">
        <v>43.221600000000002</v>
      </c>
      <c r="U3964" s="2">
        <v>231.14160000000001</v>
      </c>
      <c r="V3964" s="2">
        <v>90.41</v>
      </c>
      <c r="W3964" s="5">
        <f t="shared" si="436"/>
        <v>0.51889101745423583</v>
      </c>
      <c r="Y3964" s="2" t="s">
        <v>118</v>
      </c>
      <c r="Z3964" s="2" t="s">
        <v>119</v>
      </c>
      <c r="AA3964" s="2" t="s">
        <v>120</v>
      </c>
      <c r="AB3964" s="2" t="s">
        <v>115</v>
      </c>
      <c r="AE3964" s="2">
        <f t="shared" si="430"/>
        <v>0</v>
      </c>
      <c r="AF3964" s="2">
        <f>88.6+1.81</f>
        <v>90.41</v>
      </c>
      <c r="AI3964" s="2">
        <f t="shared" si="431"/>
        <v>0</v>
      </c>
      <c r="AJ3964" s="2">
        <f t="shared" si="437"/>
        <v>97.509999999999991</v>
      </c>
      <c r="AK3964" s="5">
        <f t="shared" si="438"/>
        <v>0.51889101745423583</v>
      </c>
    </row>
    <row r="3965" spans="1:37" x14ac:dyDescent="0.2">
      <c r="A3965" s="2">
        <v>2026</v>
      </c>
      <c r="B3965" s="2">
        <v>5</v>
      </c>
      <c r="C3965" s="2" t="s">
        <v>3004</v>
      </c>
      <c r="D3965" s="2" t="s">
        <v>109</v>
      </c>
      <c r="E3965" s="2" t="s">
        <v>39</v>
      </c>
      <c r="F3965" s="2">
        <v>510594778</v>
      </c>
      <c r="G3965" s="2" t="s">
        <v>41</v>
      </c>
      <c r="H3965" s="2" t="s">
        <v>3005</v>
      </c>
      <c r="I3965" s="2" t="s">
        <v>1111</v>
      </c>
      <c r="J3965" s="2">
        <v>934645042</v>
      </c>
      <c r="K3965" s="2" t="s">
        <v>100</v>
      </c>
      <c r="L3965" s="2" t="s">
        <v>40</v>
      </c>
      <c r="N3965" s="2" t="s">
        <v>3006</v>
      </c>
      <c r="O3965" s="2" t="s">
        <v>115</v>
      </c>
      <c r="P3965" s="2" t="s">
        <v>801</v>
      </c>
      <c r="Q3965" s="2" t="s">
        <v>3007</v>
      </c>
      <c r="R3965" s="2">
        <v>1</v>
      </c>
      <c r="S3965" s="2">
        <v>28.38</v>
      </c>
      <c r="T3965" s="2">
        <v>6.5274000000000001</v>
      </c>
      <c r="U3965" s="2">
        <v>34.907400000000003</v>
      </c>
      <c r="V3965" s="2">
        <v>13.17</v>
      </c>
      <c r="W3965" s="5">
        <f t="shared" si="436"/>
        <v>0.53594080338266381</v>
      </c>
      <c r="Y3965" s="2" t="s">
        <v>118</v>
      </c>
      <c r="Z3965" s="2" t="s">
        <v>119</v>
      </c>
      <c r="AA3965" s="2" t="s">
        <v>120</v>
      </c>
      <c r="AB3965" s="2" t="s">
        <v>115</v>
      </c>
      <c r="AE3965" s="2">
        <f t="shared" si="430"/>
        <v>0</v>
      </c>
      <c r="AF3965" s="2">
        <f>12.87+0.3</f>
        <v>13.17</v>
      </c>
      <c r="AI3965" s="2">
        <f t="shared" si="431"/>
        <v>0</v>
      </c>
      <c r="AJ3965" s="2">
        <f t="shared" si="437"/>
        <v>15.209999999999999</v>
      </c>
      <c r="AK3965" s="5">
        <f t="shared" si="438"/>
        <v>0.53594080338266381</v>
      </c>
    </row>
    <row r="3966" spans="1:37" x14ac:dyDescent="0.2">
      <c r="A3966" s="2">
        <v>2026</v>
      </c>
      <c r="B3966" s="2">
        <v>5</v>
      </c>
      <c r="C3966" s="2" t="s">
        <v>3004</v>
      </c>
      <c r="D3966" s="2" t="s">
        <v>109</v>
      </c>
      <c r="E3966" s="2" t="s">
        <v>39</v>
      </c>
      <c r="F3966" s="2">
        <v>510594778</v>
      </c>
      <c r="G3966" s="2" t="s">
        <v>41</v>
      </c>
      <c r="H3966" s="2" t="s">
        <v>3005</v>
      </c>
      <c r="I3966" s="2" t="s">
        <v>1111</v>
      </c>
      <c r="J3966" s="2">
        <v>934645042</v>
      </c>
      <c r="K3966" s="2" t="s">
        <v>100</v>
      </c>
      <c r="L3966" s="2" t="s">
        <v>40</v>
      </c>
      <c r="N3966" s="2" t="s">
        <v>3006</v>
      </c>
      <c r="O3966" s="2" t="s">
        <v>188</v>
      </c>
      <c r="P3966" s="2" t="s">
        <v>189</v>
      </c>
      <c r="Q3966" s="2" t="s">
        <v>190</v>
      </c>
      <c r="R3966" s="2">
        <v>1</v>
      </c>
      <c r="S3966" s="2">
        <v>94</v>
      </c>
      <c r="T3966" s="2">
        <v>21.62</v>
      </c>
      <c r="U3966" s="2">
        <v>115.62</v>
      </c>
      <c r="V3966" s="2">
        <f>S3966*40%</f>
        <v>37.6</v>
      </c>
      <c r="W3966" s="5">
        <f t="shared" si="436"/>
        <v>0.6</v>
      </c>
      <c r="Y3966" s="2" t="s">
        <v>118</v>
      </c>
      <c r="Z3966" s="2" t="s">
        <v>191</v>
      </c>
      <c r="AE3966" s="2">
        <f t="shared" si="430"/>
        <v>0</v>
      </c>
      <c r="AF3966" s="2">
        <f>V3966</f>
        <v>37.6</v>
      </c>
      <c r="AI3966" s="2">
        <f t="shared" si="431"/>
        <v>0</v>
      </c>
      <c r="AJ3966" s="2">
        <f t="shared" si="437"/>
        <v>56.4</v>
      </c>
      <c r="AK3966" s="5">
        <f t="shared" si="438"/>
        <v>0.6</v>
      </c>
    </row>
    <row r="3967" spans="1:37" x14ac:dyDescent="0.2">
      <c r="A3967" s="2">
        <v>2026</v>
      </c>
      <c r="B3967" s="2">
        <v>5</v>
      </c>
      <c r="C3967" s="2" t="s">
        <v>3004</v>
      </c>
      <c r="D3967" s="2" t="s">
        <v>109</v>
      </c>
      <c r="E3967" s="2" t="s">
        <v>39</v>
      </c>
      <c r="F3967" s="2">
        <v>510594778</v>
      </c>
      <c r="G3967" s="2" t="s">
        <v>41</v>
      </c>
      <c r="H3967" s="2" t="s">
        <v>3005</v>
      </c>
      <c r="I3967" s="2" t="s">
        <v>1111</v>
      </c>
      <c r="J3967" s="2">
        <v>934645042</v>
      </c>
      <c r="K3967" s="2" t="s">
        <v>100</v>
      </c>
      <c r="L3967" s="2" t="s">
        <v>40</v>
      </c>
      <c r="N3967" s="2" t="s">
        <v>3006</v>
      </c>
      <c r="O3967" s="2" t="s">
        <v>188</v>
      </c>
      <c r="P3967" s="2" t="s">
        <v>192</v>
      </c>
      <c r="Q3967" s="2" t="s">
        <v>191</v>
      </c>
      <c r="R3967" s="2">
        <v>1</v>
      </c>
      <c r="S3967" s="2">
        <v>55</v>
      </c>
      <c r="T3967" s="2">
        <v>12.65</v>
      </c>
      <c r="U3967" s="2">
        <v>67.650000000000006</v>
      </c>
      <c r="V3967" s="2">
        <f>S3967*50%</f>
        <v>27.5</v>
      </c>
      <c r="W3967" s="5">
        <f t="shared" si="436"/>
        <v>0.5</v>
      </c>
      <c r="Y3967" s="2" t="s">
        <v>118</v>
      </c>
      <c r="Z3967" s="2" t="s">
        <v>191</v>
      </c>
      <c r="AE3967" s="2">
        <f t="shared" si="430"/>
        <v>0</v>
      </c>
      <c r="AF3967" s="2">
        <f>V3967</f>
        <v>27.5</v>
      </c>
      <c r="AI3967" s="2">
        <f t="shared" si="431"/>
        <v>0</v>
      </c>
      <c r="AJ3967" s="2">
        <f t="shared" si="437"/>
        <v>27.5</v>
      </c>
      <c r="AK3967" s="5">
        <f t="shared" si="438"/>
        <v>0.5</v>
      </c>
    </row>
    <row r="3968" spans="1:37" x14ac:dyDescent="0.2">
      <c r="A3968" s="2">
        <v>2026</v>
      </c>
      <c r="B3968" s="2">
        <v>5</v>
      </c>
      <c r="C3968" s="2" t="s">
        <v>3004</v>
      </c>
      <c r="D3968" s="2" t="s">
        <v>109</v>
      </c>
      <c r="E3968" s="2" t="s">
        <v>39</v>
      </c>
      <c r="F3968" s="2">
        <v>510594778</v>
      </c>
      <c r="G3968" s="2" t="s">
        <v>41</v>
      </c>
      <c r="H3968" s="2" t="s">
        <v>3005</v>
      </c>
      <c r="I3968" s="2" t="s">
        <v>1111</v>
      </c>
      <c r="J3968" s="2">
        <v>934645042</v>
      </c>
      <c r="K3968" s="2" t="s">
        <v>100</v>
      </c>
      <c r="L3968" s="2" t="s">
        <v>40</v>
      </c>
      <c r="N3968" s="2" t="s">
        <v>3006</v>
      </c>
      <c r="O3968" s="2" t="s">
        <v>40</v>
      </c>
      <c r="P3968" s="2" t="s">
        <v>364</v>
      </c>
      <c r="Q3968" s="2" t="s">
        <v>365</v>
      </c>
      <c r="R3968" s="2">
        <v>1</v>
      </c>
      <c r="S3968" s="2">
        <v>87.5</v>
      </c>
      <c r="T3968" s="2">
        <v>20.125</v>
      </c>
      <c r="U3968" s="2">
        <v>107.625</v>
      </c>
      <c r="W3968" s="5">
        <f t="shared" si="436"/>
        <v>1</v>
      </c>
      <c r="Y3968" s="2" t="s">
        <v>118</v>
      </c>
      <c r="Z3968" s="2" t="s">
        <v>1320</v>
      </c>
      <c r="AE3968" s="2">
        <f t="shared" si="430"/>
        <v>0</v>
      </c>
      <c r="AI3968" s="2">
        <f t="shared" si="431"/>
        <v>0</v>
      </c>
      <c r="AJ3968" s="2">
        <f t="shared" si="437"/>
        <v>87.5</v>
      </c>
      <c r="AK3968" s="5">
        <f t="shared" si="438"/>
        <v>1</v>
      </c>
    </row>
    <row r="3969" spans="1:37" x14ac:dyDescent="0.2">
      <c r="A3969" s="2">
        <v>2026</v>
      </c>
      <c r="B3969" s="2">
        <v>5</v>
      </c>
      <c r="C3969" s="2" t="s">
        <v>1062</v>
      </c>
      <c r="D3969" s="2" t="s">
        <v>184</v>
      </c>
      <c r="E3969" s="2" t="s">
        <v>1063</v>
      </c>
      <c r="F3969" s="2">
        <v>500199523</v>
      </c>
      <c r="G3969" s="2" t="s">
        <v>291</v>
      </c>
      <c r="H3969" s="2" t="s">
        <v>294</v>
      </c>
      <c r="I3969" s="2" t="s">
        <v>1064</v>
      </c>
      <c r="K3969" s="2" t="s">
        <v>294</v>
      </c>
      <c r="L3969" s="2" t="s">
        <v>81</v>
      </c>
      <c r="N3969" s="2" t="s">
        <v>3008</v>
      </c>
      <c r="O3969" s="2" t="s">
        <v>73</v>
      </c>
      <c r="P3969" s="2" t="s">
        <v>326</v>
      </c>
      <c r="Q3969" s="2" t="s">
        <v>80</v>
      </c>
      <c r="R3969" s="2">
        <v>2</v>
      </c>
      <c r="S3969" s="2">
        <v>420</v>
      </c>
      <c r="T3969" s="2">
        <v>96.600000000000009</v>
      </c>
      <c r="U3969" s="2">
        <v>516.6</v>
      </c>
      <c r="V3969" s="2">
        <f>110.68*R3969</f>
        <v>221.36</v>
      </c>
      <c r="W3969" s="5">
        <f t="shared" si="436"/>
        <v>0.4729523809523809</v>
      </c>
      <c r="Y3969" s="2" t="s">
        <v>3256</v>
      </c>
      <c r="Z3969" s="2" t="s">
        <v>76</v>
      </c>
      <c r="AA3969" s="2" t="s">
        <v>77</v>
      </c>
      <c r="AB3969" s="2" t="s">
        <v>78</v>
      </c>
      <c r="AE3969" s="2">
        <f t="shared" si="430"/>
        <v>0</v>
      </c>
      <c r="AF3969" s="2">
        <v>110.68</v>
      </c>
      <c r="AG3969" s="2">
        <v>210</v>
      </c>
      <c r="AI3969" s="2">
        <f t="shared" si="431"/>
        <v>0</v>
      </c>
      <c r="AJ3969" s="2">
        <f t="shared" si="437"/>
        <v>198.64</v>
      </c>
      <c r="AK3969" s="5">
        <f t="shared" si="438"/>
        <v>0.4729523809523809</v>
      </c>
    </row>
    <row r="3970" spans="1:37" x14ac:dyDescent="0.2">
      <c r="A3970" s="2">
        <v>2026</v>
      </c>
      <c r="B3970" s="2">
        <v>5</v>
      </c>
      <c r="C3970" s="2" t="s">
        <v>1062</v>
      </c>
      <c r="D3970" s="2" t="s">
        <v>184</v>
      </c>
      <c r="E3970" s="2" t="s">
        <v>1063</v>
      </c>
      <c r="F3970" s="2">
        <v>500199523</v>
      </c>
      <c r="G3970" s="2" t="s">
        <v>291</v>
      </c>
      <c r="H3970" s="2" t="s">
        <v>294</v>
      </c>
      <c r="I3970" s="2" t="s">
        <v>1064</v>
      </c>
      <c r="K3970" s="2" t="s">
        <v>294</v>
      </c>
      <c r="L3970" s="2" t="s">
        <v>81</v>
      </c>
      <c r="N3970" s="2" t="s">
        <v>3008</v>
      </c>
      <c r="O3970" s="2" t="s">
        <v>94</v>
      </c>
      <c r="P3970" s="2" t="s">
        <v>95</v>
      </c>
      <c r="Q3970" s="2" t="s">
        <v>96</v>
      </c>
      <c r="R3970" s="2">
        <v>2</v>
      </c>
      <c r="S3970" s="2">
        <v>2.96</v>
      </c>
      <c r="T3970" s="2">
        <v>0.68080000000000007</v>
      </c>
      <c r="U3970" s="2">
        <v>3.6408</v>
      </c>
      <c r="V3970" s="2">
        <f>1.48*2</f>
        <v>2.96</v>
      </c>
      <c r="W3970" s="5">
        <f t="shared" si="436"/>
        <v>0</v>
      </c>
      <c r="Y3970" s="2" t="s">
        <v>3256</v>
      </c>
      <c r="Z3970" s="2" t="s">
        <v>97</v>
      </c>
      <c r="AA3970" s="2" t="s">
        <v>77</v>
      </c>
      <c r="AB3970" s="2" t="s">
        <v>94</v>
      </c>
      <c r="AE3970" s="2">
        <f t="shared" si="430"/>
        <v>0</v>
      </c>
      <c r="AI3970" s="2">
        <f t="shared" si="431"/>
        <v>0</v>
      </c>
      <c r="AJ3970" s="2">
        <f t="shared" si="437"/>
        <v>0</v>
      </c>
      <c r="AK3970" s="5">
        <f t="shared" si="438"/>
        <v>0</v>
      </c>
    </row>
    <row r="3971" spans="1:37" x14ac:dyDescent="0.2">
      <c r="A3971" s="2">
        <v>2026</v>
      </c>
      <c r="B3971" s="2">
        <v>5</v>
      </c>
      <c r="C3971" s="2" t="s">
        <v>3009</v>
      </c>
      <c r="O3971" s="2" t="s">
        <v>73</v>
      </c>
      <c r="P3971" s="2" t="s">
        <v>74</v>
      </c>
      <c r="Q3971" s="2" t="s">
        <v>75</v>
      </c>
      <c r="R3971" s="2">
        <v>1</v>
      </c>
      <c r="S3971" s="2">
        <v>220</v>
      </c>
      <c r="T3971" s="2">
        <v>50.6</v>
      </c>
      <c r="U3971" s="2">
        <v>270.60000000000002</v>
      </c>
      <c r="V3971" s="2">
        <v>125.51600000000001</v>
      </c>
      <c r="W3971" s="5">
        <f>SIGN(S3971)*((ABS(S3971)-V3971)/ABS(S3971))</f>
        <v>0.42947272727272723</v>
      </c>
      <c r="Y3971" s="2" t="s">
        <v>3256</v>
      </c>
      <c r="Z3971" s="2" t="s">
        <v>76</v>
      </c>
      <c r="AA3971" s="2" t="s">
        <v>77</v>
      </c>
      <c r="AB3971" s="2" t="s">
        <v>78</v>
      </c>
      <c r="AE3971" s="2">
        <f t="shared" ref="AE3971:AE4034" si="439">AI3971</f>
        <v>0</v>
      </c>
      <c r="AF3971" s="2">
        <v>125.51600000000001</v>
      </c>
      <c r="AG3971" s="2">
        <v>220</v>
      </c>
      <c r="AI3971" s="2">
        <f t="shared" ref="AI3971:AI4034" si="440">AH3971*S3971</f>
        <v>0</v>
      </c>
      <c r="AJ3971" s="2">
        <f t="shared" si="437"/>
        <v>94.483999999999995</v>
      </c>
      <c r="AK3971" s="5">
        <f t="shared" si="438"/>
        <v>0.42947272727272723</v>
      </c>
    </row>
    <row r="3972" spans="1:37" x14ac:dyDescent="0.2">
      <c r="A3972" s="2">
        <v>2026</v>
      </c>
      <c r="B3972" s="2">
        <v>5</v>
      </c>
      <c r="C3972" s="2" t="s">
        <v>3009</v>
      </c>
      <c r="O3972" s="2" t="s">
        <v>94</v>
      </c>
      <c r="P3972" s="2" t="s">
        <v>95</v>
      </c>
      <c r="Q3972" s="2" t="s">
        <v>96</v>
      </c>
      <c r="R3972" s="2">
        <v>1</v>
      </c>
      <c r="S3972" s="2">
        <v>1.48</v>
      </c>
      <c r="T3972" s="2">
        <v>0.34039999999999998</v>
      </c>
      <c r="U3972" s="2">
        <v>1.8204</v>
      </c>
      <c r="V3972" s="2">
        <v>1.48</v>
      </c>
      <c r="W3972" s="5">
        <f t="shared" ref="W3972:W3980" si="441">(S3972-V3972)/S3972</f>
        <v>0</v>
      </c>
      <c r="Y3972" s="2" t="s">
        <v>3256</v>
      </c>
      <c r="Z3972" s="2" t="s">
        <v>97</v>
      </c>
      <c r="AA3972" s="2" t="s">
        <v>77</v>
      </c>
      <c r="AB3972" s="2" t="s">
        <v>94</v>
      </c>
      <c r="AE3972" s="2">
        <f t="shared" si="439"/>
        <v>0</v>
      </c>
      <c r="AI3972" s="2">
        <f t="shared" si="440"/>
        <v>0</v>
      </c>
      <c r="AJ3972" s="2">
        <f t="shared" si="437"/>
        <v>0</v>
      </c>
      <c r="AK3972" s="5">
        <f t="shared" si="438"/>
        <v>0</v>
      </c>
    </row>
    <row r="3973" spans="1:37" x14ac:dyDescent="0.2">
      <c r="A3973" s="2">
        <v>2026</v>
      </c>
      <c r="B3973" s="2">
        <v>5</v>
      </c>
      <c r="C3973" s="2" t="s">
        <v>3010</v>
      </c>
      <c r="O3973" s="2" t="s">
        <v>73</v>
      </c>
      <c r="P3973" s="2" t="s">
        <v>326</v>
      </c>
      <c r="Q3973" s="2" t="s">
        <v>80</v>
      </c>
      <c r="R3973" s="2">
        <v>1</v>
      </c>
      <c r="S3973" s="2">
        <v>200</v>
      </c>
      <c r="T3973" s="2">
        <v>46</v>
      </c>
      <c r="U3973" s="2">
        <v>246</v>
      </c>
      <c r="V3973" s="2">
        <f>110.68*R3973</f>
        <v>110.68</v>
      </c>
      <c r="W3973" s="5">
        <f t="shared" si="441"/>
        <v>0.44659999999999994</v>
      </c>
      <c r="Y3973" s="2" t="s">
        <v>3256</v>
      </c>
      <c r="Z3973" s="2" t="s">
        <v>76</v>
      </c>
      <c r="AA3973" s="2" t="s">
        <v>77</v>
      </c>
      <c r="AB3973" s="2" t="s">
        <v>78</v>
      </c>
      <c r="AE3973" s="2">
        <f t="shared" si="439"/>
        <v>0</v>
      </c>
      <c r="AF3973" s="2">
        <v>110.68</v>
      </c>
      <c r="AG3973" s="2">
        <v>210</v>
      </c>
      <c r="AI3973" s="2">
        <f t="shared" si="440"/>
        <v>0</v>
      </c>
      <c r="AJ3973" s="2">
        <f t="shared" si="437"/>
        <v>89.32</v>
      </c>
      <c r="AK3973" s="5">
        <f t="shared" si="438"/>
        <v>0.44659999999999994</v>
      </c>
    </row>
    <row r="3974" spans="1:37" x14ac:dyDescent="0.2">
      <c r="A3974" s="2">
        <v>2026</v>
      </c>
      <c r="B3974" s="2">
        <v>5</v>
      </c>
      <c r="C3974" s="2" t="s">
        <v>3010</v>
      </c>
      <c r="O3974" s="2" t="s">
        <v>94</v>
      </c>
      <c r="P3974" s="2" t="s">
        <v>95</v>
      </c>
      <c r="Q3974" s="2" t="s">
        <v>96</v>
      </c>
      <c r="R3974" s="2">
        <v>1</v>
      </c>
      <c r="S3974" s="2">
        <v>1.48</v>
      </c>
      <c r="T3974" s="2">
        <v>0.34039999999999998</v>
      </c>
      <c r="U3974" s="2">
        <v>1.8204</v>
      </c>
      <c r="V3974" s="2">
        <v>1.48</v>
      </c>
      <c r="W3974" s="5">
        <f t="shared" si="441"/>
        <v>0</v>
      </c>
      <c r="Y3974" s="2" t="s">
        <v>3256</v>
      </c>
      <c r="Z3974" s="2" t="s">
        <v>97</v>
      </c>
      <c r="AA3974" s="2" t="s">
        <v>77</v>
      </c>
      <c r="AB3974" s="2" t="s">
        <v>94</v>
      </c>
      <c r="AE3974" s="2">
        <f t="shared" si="439"/>
        <v>0</v>
      </c>
      <c r="AI3974" s="2">
        <f t="shared" si="440"/>
        <v>0</v>
      </c>
      <c r="AJ3974" s="2">
        <f t="shared" si="437"/>
        <v>0</v>
      </c>
      <c r="AK3974" s="5">
        <f t="shared" si="438"/>
        <v>0</v>
      </c>
    </row>
    <row r="3975" spans="1:37" x14ac:dyDescent="0.2">
      <c r="A3975" s="2">
        <v>2026</v>
      </c>
      <c r="B3975" s="2">
        <v>5</v>
      </c>
      <c r="C3975" s="2" t="s">
        <v>1609</v>
      </c>
      <c r="D3975" s="2" t="s">
        <v>109</v>
      </c>
      <c r="E3975" s="2" t="s">
        <v>397</v>
      </c>
      <c r="F3975" s="2">
        <v>500314594</v>
      </c>
      <c r="G3975" s="2" t="s">
        <v>40</v>
      </c>
      <c r="H3975" s="2" t="s">
        <v>1610</v>
      </c>
      <c r="I3975" s="2" t="s">
        <v>1611</v>
      </c>
      <c r="K3975" s="2" t="s">
        <v>202</v>
      </c>
      <c r="L3975" s="2" t="s">
        <v>81</v>
      </c>
      <c r="N3975" s="2" t="s">
        <v>3011</v>
      </c>
      <c r="O3975" s="2" t="s">
        <v>73</v>
      </c>
      <c r="P3975" s="2" t="s">
        <v>560</v>
      </c>
      <c r="Q3975" s="2" t="s">
        <v>383</v>
      </c>
      <c r="R3975" s="2">
        <v>1</v>
      </c>
      <c r="S3975" s="2">
        <v>230</v>
      </c>
      <c r="T3975" s="2">
        <v>52.900000000000013</v>
      </c>
      <c r="U3975" s="2">
        <v>282.89999999999998</v>
      </c>
      <c r="V3975" s="2">
        <v>143.91999999999999</v>
      </c>
      <c r="W3975" s="5">
        <f t="shared" si="441"/>
        <v>0.37426086956521742</v>
      </c>
      <c r="Y3975" s="2" t="s">
        <v>3256</v>
      </c>
      <c r="Z3975" s="2" t="s">
        <v>76</v>
      </c>
      <c r="AA3975" s="2" t="s">
        <v>77</v>
      </c>
      <c r="AB3975" s="2" t="s">
        <v>78</v>
      </c>
      <c r="AE3975" s="2">
        <f t="shared" si="439"/>
        <v>0</v>
      </c>
      <c r="AF3975" s="2">
        <v>143.91999999999999</v>
      </c>
      <c r="AI3975" s="2">
        <f t="shared" si="440"/>
        <v>0</v>
      </c>
      <c r="AJ3975" s="2">
        <f t="shared" si="437"/>
        <v>86.080000000000013</v>
      </c>
      <c r="AK3975" s="5">
        <f t="shared" si="438"/>
        <v>0.37426086956521742</v>
      </c>
    </row>
    <row r="3976" spans="1:37" x14ac:dyDescent="0.2">
      <c r="A3976" s="2">
        <v>2026</v>
      </c>
      <c r="B3976" s="2">
        <v>5</v>
      </c>
      <c r="C3976" s="2" t="s">
        <v>1609</v>
      </c>
      <c r="D3976" s="2" t="s">
        <v>109</v>
      </c>
      <c r="E3976" s="2" t="s">
        <v>397</v>
      </c>
      <c r="F3976" s="2">
        <v>500314594</v>
      </c>
      <c r="G3976" s="2" t="s">
        <v>40</v>
      </c>
      <c r="H3976" s="2" t="s">
        <v>1610</v>
      </c>
      <c r="I3976" s="2" t="s">
        <v>1611</v>
      </c>
      <c r="K3976" s="2" t="s">
        <v>202</v>
      </c>
      <c r="L3976" s="2" t="s">
        <v>81</v>
      </c>
      <c r="N3976" s="2" t="s">
        <v>3011</v>
      </c>
      <c r="O3976" s="2" t="s">
        <v>94</v>
      </c>
      <c r="P3976" s="2" t="s">
        <v>95</v>
      </c>
      <c r="Q3976" s="2" t="s">
        <v>96</v>
      </c>
      <c r="R3976" s="2">
        <v>1</v>
      </c>
      <c r="S3976" s="2">
        <v>1.48</v>
      </c>
      <c r="T3976" s="2">
        <v>0.34039999999999998</v>
      </c>
      <c r="U3976" s="2">
        <v>1.8204</v>
      </c>
      <c r="V3976" s="2">
        <v>1.48</v>
      </c>
      <c r="W3976" s="5">
        <f t="shared" si="441"/>
        <v>0</v>
      </c>
      <c r="Y3976" s="2" t="s">
        <v>3256</v>
      </c>
      <c r="Z3976" s="2" t="s">
        <v>97</v>
      </c>
      <c r="AA3976" s="2" t="s">
        <v>77</v>
      </c>
      <c r="AB3976" s="2" t="s">
        <v>94</v>
      </c>
      <c r="AE3976" s="2">
        <f t="shared" si="439"/>
        <v>0</v>
      </c>
      <c r="AF3976" s="2">
        <v>1.48</v>
      </c>
      <c r="AG3976" s="2">
        <v>1.48</v>
      </c>
      <c r="AI3976" s="2">
        <f t="shared" si="440"/>
        <v>0</v>
      </c>
      <c r="AJ3976" s="2">
        <f t="shared" si="437"/>
        <v>0</v>
      </c>
      <c r="AK3976" s="5">
        <f t="shared" si="438"/>
        <v>0</v>
      </c>
    </row>
    <row r="3977" spans="1:37" x14ac:dyDescent="0.2">
      <c r="A3977" s="2">
        <v>2026</v>
      </c>
      <c r="B3977" s="2">
        <v>5</v>
      </c>
      <c r="C3977" s="2" t="s">
        <v>1738</v>
      </c>
      <c r="D3977" s="2" t="s">
        <v>38</v>
      </c>
      <c r="E3977" s="2" t="s">
        <v>481</v>
      </c>
      <c r="F3977" s="2">
        <v>504997866</v>
      </c>
      <c r="G3977" s="2" t="s">
        <v>291</v>
      </c>
      <c r="H3977" s="2" t="s">
        <v>3264</v>
      </c>
      <c r="I3977" s="2" t="s">
        <v>3265</v>
      </c>
      <c r="K3977" s="2" t="s">
        <v>576</v>
      </c>
      <c r="L3977" s="2" t="s">
        <v>81</v>
      </c>
      <c r="N3977" s="2" t="s">
        <v>3267</v>
      </c>
      <c r="O3977" s="2" t="s">
        <v>73</v>
      </c>
      <c r="P3977" s="2" t="s">
        <v>2436</v>
      </c>
      <c r="Q3977" s="2" t="s">
        <v>2437</v>
      </c>
      <c r="R3977" s="2">
        <v>1</v>
      </c>
      <c r="S3977" s="2">
        <v>260</v>
      </c>
      <c r="T3977" s="2">
        <v>59.8</v>
      </c>
      <c r="U3977" s="2">
        <v>319.8</v>
      </c>
      <c r="V3977" s="2">
        <v>120.78</v>
      </c>
      <c r="W3977" s="5">
        <f t="shared" si="441"/>
        <v>0.53546153846153843</v>
      </c>
      <c r="Y3977" s="2" t="s">
        <v>3256</v>
      </c>
      <c r="Z3977" s="2" t="s">
        <v>76</v>
      </c>
      <c r="AA3977" s="2" t="s">
        <v>77</v>
      </c>
      <c r="AB3977" s="2" t="s">
        <v>78</v>
      </c>
      <c r="AE3977" s="2">
        <f t="shared" si="439"/>
        <v>0</v>
      </c>
      <c r="AF3977" s="2">
        <v>120.78</v>
      </c>
      <c r="AG3977" s="2">
        <v>210</v>
      </c>
      <c r="AI3977" s="2">
        <f t="shared" si="440"/>
        <v>0</v>
      </c>
      <c r="AJ3977" s="2">
        <f t="shared" si="437"/>
        <v>139.22</v>
      </c>
      <c r="AK3977" s="5">
        <f t="shared" si="438"/>
        <v>0.53546153846153843</v>
      </c>
    </row>
    <row r="3978" spans="1:37" x14ac:dyDescent="0.2">
      <c r="A3978" s="2">
        <v>2026</v>
      </c>
      <c r="B3978" s="2">
        <v>5</v>
      </c>
      <c r="C3978" s="2" t="s">
        <v>1738</v>
      </c>
      <c r="D3978" s="2" t="s">
        <v>38</v>
      </c>
      <c r="E3978" s="2" t="s">
        <v>481</v>
      </c>
      <c r="F3978" s="2">
        <v>504997866</v>
      </c>
      <c r="G3978" s="2" t="s">
        <v>291</v>
      </c>
      <c r="H3978" s="2" t="s">
        <v>3264</v>
      </c>
      <c r="I3978" s="2" t="s">
        <v>3265</v>
      </c>
      <c r="K3978" s="2" t="s">
        <v>576</v>
      </c>
      <c r="L3978" s="2" t="s">
        <v>81</v>
      </c>
      <c r="N3978" s="2" t="s">
        <v>3267</v>
      </c>
      <c r="O3978" s="2" t="s">
        <v>94</v>
      </c>
      <c r="P3978" s="2" t="s">
        <v>95</v>
      </c>
      <c r="Q3978" s="2" t="s">
        <v>96</v>
      </c>
      <c r="R3978" s="2">
        <v>1</v>
      </c>
      <c r="S3978" s="2">
        <v>1.48</v>
      </c>
      <c r="T3978" s="2">
        <v>0.34039999999999998</v>
      </c>
      <c r="U3978" s="2">
        <v>1.8204</v>
      </c>
      <c r="V3978" s="2">
        <v>1.48</v>
      </c>
      <c r="W3978" s="5">
        <f t="shared" si="441"/>
        <v>0</v>
      </c>
      <c r="Y3978" s="2" t="s">
        <v>3256</v>
      </c>
      <c r="Z3978" s="2" t="s">
        <v>97</v>
      </c>
      <c r="AA3978" s="2" t="s">
        <v>77</v>
      </c>
      <c r="AB3978" s="2" t="s">
        <v>94</v>
      </c>
      <c r="AE3978" s="2">
        <f t="shared" si="439"/>
        <v>0</v>
      </c>
      <c r="AI3978" s="2">
        <f t="shared" si="440"/>
        <v>0</v>
      </c>
      <c r="AJ3978" s="2">
        <f t="shared" si="437"/>
        <v>0</v>
      </c>
      <c r="AK3978" s="5">
        <f t="shared" si="438"/>
        <v>0</v>
      </c>
    </row>
    <row r="3979" spans="1:37" x14ac:dyDescent="0.2">
      <c r="A3979" s="2">
        <v>2026</v>
      </c>
      <c r="B3979" s="2">
        <v>5</v>
      </c>
      <c r="C3979" s="2" t="s">
        <v>880</v>
      </c>
      <c r="L3979" s="2" t="s">
        <v>40</v>
      </c>
      <c r="O3979" s="2" t="s">
        <v>188</v>
      </c>
      <c r="P3979" s="2" t="s">
        <v>189</v>
      </c>
      <c r="Q3979" s="2" t="s">
        <v>190</v>
      </c>
      <c r="R3979" s="2">
        <v>1</v>
      </c>
      <c r="S3979" s="2">
        <v>60</v>
      </c>
      <c r="T3979" s="2">
        <v>13.8</v>
      </c>
      <c r="U3979" s="2">
        <v>73.8</v>
      </c>
      <c r="V3979" s="2">
        <f>S3979*40%</f>
        <v>24</v>
      </c>
      <c r="W3979" s="5">
        <f t="shared" si="441"/>
        <v>0.6</v>
      </c>
      <c r="Y3979" s="2" t="s">
        <v>118</v>
      </c>
      <c r="Z3979" s="2" t="s">
        <v>191</v>
      </c>
      <c r="AE3979" s="2">
        <f t="shared" si="439"/>
        <v>0</v>
      </c>
      <c r="AF3979" s="2">
        <f>V3979</f>
        <v>24</v>
      </c>
      <c r="AI3979" s="2">
        <f t="shared" si="440"/>
        <v>0</v>
      </c>
      <c r="AJ3979" s="2">
        <f t="shared" si="437"/>
        <v>36</v>
      </c>
      <c r="AK3979" s="5">
        <f t="shared" si="438"/>
        <v>0.6</v>
      </c>
    </row>
    <row r="3980" spans="1:37" x14ac:dyDescent="0.2">
      <c r="A3980" s="2">
        <v>2026</v>
      </c>
      <c r="B3980" s="2">
        <v>5</v>
      </c>
      <c r="C3980" s="2" t="s">
        <v>880</v>
      </c>
      <c r="L3980" s="2" t="s">
        <v>40</v>
      </c>
      <c r="O3980" s="2" t="s">
        <v>188</v>
      </c>
      <c r="P3980" s="2" t="s">
        <v>192</v>
      </c>
      <c r="Q3980" s="2" t="s">
        <v>191</v>
      </c>
      <c r="R3980" s="2">
        <v>1</v>
      </c>
      <c r="S3980" s="2">
        <v>55</v>
      </c>
      <c r="T3980" s="2">
        <v>12.65</v>
      </c>
      <c r="U3980" s="2">
        <v>67.650000000000006</v>
      </c>
      <c r="V3980" s="2">
        <f>S3980*50%</f>
        <v>27.5</v>
      </c>
      <c r="W3980" s="5">
        <f t="shared" si="441"/>
        <v>0.5</v>
      </c>
      <c r="Y3980" s="2" t="s">
        <v>118</v>
      </c>
      <c r="Z3980" s="2" t="s">
        <v>191</v>
      </c>
      <c r="AE3980" s="2">
        <f t="shared" si="439"/>
        <v>0</v>
      </c>
      <c r="AF3980" s="2">
        <f>V3980</f>
        <v>27.5</v>
      </c>
      <c r="AI3980" s="2">
        <f t="shared" si="440"/>
        <v>0</v>
      </c>
      <c r="AJ3980" s="2">
        <f t="shared" si="437"/>
        <v>27.5</v>
      </c>
      <c r="AK3980" s="5">
        <f t="shared" si="438"/>
        <v>0.5</v>
      </c>
    </row>
    <row r="3981" spans="1:37" x14ac:dyDescent="0.2">
      <c r="A3981" s="2">
        <v>2026</v>
      </c>
      <c r="B3981" s="2">
        <v>5</v>
      </c>
      <c r="C3981" s="2" t="s">
        <v>2069</v>
      </c>
      <c r="D3981" s="2" t="s">
        <v>109</v>
      </c>
      <c r="E3981" s="2" t="s">
        <v>39</v>
      </c>
      <c r="F3981" s="2">
        <v>514960337</v>
      </c>
      <c r="G3981" s="2" t="s">
        <v>291</v>
      </c>
      <c r="H3981" s="2" t="s">
        <v>2801</v>
      </c>
      <c r="I3981" s="2" t="s">
        <v>2842</v>
      </c>
      <c r="J3981" s="2">
        <v>914732950</v>
      </c>
      <c r="K3981" s="2" t="s">
        <v>484</v>
      </c>
      <c r="L3981" s="2" t="s">
        <v>40</v>
      </c>
      <c r="N3981" s="2" t="s">
        <v>3012</v>
      </c>
      <c r="O3981" s="2" t="s">
        <v>1620</v>
      </c>
      <c r="P3981" s="2" t="s">
        <v>1618</v>
      </c>
      <c r="Q3981" s="2" t="s">
        <v>1619</v>
      </c>
      <c r="R3981" s="2">
        <v>-1</v>
      </c>
      <c r="S3981" s="2">
        <v>-68.86</v>
      </c>
      <c r="T3981" s="2">
        <v>-15.8378</v>
      </c>
      <c r="U3981" s="2">
        <v>-84.697800000000001</v>
      </c>
      <c r="V3981" s="2">
        <v>10.15</v>
      </c>
      <c r="W3981" s="5">
        <f>SIGN(S3981)*((ABS(S3981)-V3981)/ABS(S3981))</f>
        <v>-0.8525994772001162</v>
      </c>
      <c r="Y3981" s="2" t="s">
        <v>118</v>
      </c>
      <c r="Z3981" s="2" t="s">
        <v>119</v>
      </c>
      <c r="AA3981" s="2" t="s">
        <v>120</v>
      </c>
      <c r="AB3981" s="2" t="s">
        <v>1620</v>
      </c>
      <c r="AE3981" s="2">
        <f t="shared" si="439"/>
        <v>0</v>
      </c>
      <c r="AF3981" s="2">
        <v>10.15</v>
      </c>
      <c r="AI3981" s="2">
        <f t="shared" si="440"/>
        <v>0</v>
      </c>
      <c r="AJ3981" s="2">
        <f t="shared" si="437"/>
        <v>-79.010000000000005</v>
      </c>
      <c r="AK3981" s="5">
        <f t="shared" si="438"/>
        <v>1.1474005227998838</v>
      </c>
    </row>
    <row r="3982" spans="1:37" x14ac:dyDescent="0.2">
      <c r="A3982" s="2">
        <v>2026</v>
      </c>
      <c r="B3982" s="2">
        <v>5</v>
      </c>
      <c r="C3982" s="2" t="s">
        <v>2069</v>
      </c>
      <c r="L3982" s="2" t="s">
        <v>40</v>
      </c>
      <c r="O3982" s="2" t="s">
        <v>188</v>
      </c>
      <c r="P3982" s="2" t="s">
        <v>189</v>
      </c>
      <c r="Q3982" s="2" t="s">
        <v>190</v>
      </c>
      <c r="R3982" s="2">
        <v>1</v>
      </c>
      <c r="S3982" s="2">
        <v>147</v>
      </c>
      <c r="T3982" s="2">
        <v>33.81</v>
      </c>
      <c r="U3982" s="2">
        <v>180.81</v>
      </c>
      <c r="V3982" s="2">
        <f>S3982*40%</f>
        <v>58.800000000000004</v>
      </c>
      <c r="W3982" s="5">
        <f t="shared" ref="W3982:W4019" si="442">(S3982-V3982)/S3982</f>
        <v>0.6</v>
      </c>
      <c r="Y3982" s="2" t="s">
        <v>118</v>
      </c>
      <c r="Z3982" s="2" t="s">
        <v>191</v>
      </c>
      <c r="AE3982" s="2">
        <f t="shared" si="439"/>
        <v>0</v>
      </c>
      <c r="AF3982" s="2">
        <f>V3982</f>
        <v>58.800000000000004</v>
      </c>
      <c r="AI3982" s="2">
        <f t="shared" si="440"/>
        <v>0</v>
      </c>
      <c r="AJ3982" s="2">
        <f t="shared" si="437"/>
        <v>88.199999999999989</v>
      </c>
      <c r="AK3982" s="5">
        <f t="shared" si="438"/>
        <v>0.6</v>
      </c>
    </row>
    <row r="3983" spans="1:37" x14ac:dyDescent="0.2">
      <c r="A3983" s="2">
        <v>2026</v>
      </c>
      <c r="B3983" s="2">
        <v>5</v>
      </c>
      <c r="C3983" s="2" t="s">
        <v>2069</v>
      </c>
      <c r="L3983" s="2" t="s">
        <v>40</v>
      </c>
      <c r="O3983" s="2" t="s">
        <v>188</v>
      </c>
      <c r="P3983" s="2" t="s">
        <v>192</v>
      </c>
      <c r="Q3983" s="2" t="s">
        <v>191</v>
      </c>
      <c r="R3983" s="2">
        <v>1</v>
      </c>
      <c r="S3983" s="2">
        <v>55</v>
      </c>
      <c r="T3983" s="2">
        <v>12.65</v>
      </c>
      <c r="U3983" s="2">
        <v>67.650000000000006</v>
      </c>
      <c r="V3983" s="2">
        <f>S3983*50%</f>
        <v>27.5</v>
      </c>
      <c r="W3983" s="5">
        <f t="shared" si="442"/>
        <v>0.5</v>
      </c>
      <c r="Y3983" s="2" t="s">
        <v>118</v>
      </c>
      <c r="Z3983" s="2" t="s">
        <v>191</v>
      </c>
      <c r="AE3983" s="2">
        <f t="shared" si="439"/>
        <v>0</v>
      </c>
      <c r="AF3983" s="2">
        <f>V3983</f>
        <v>27.5</v>
      </c>
      <c r="AI3983" s="2">
        <f t="shared" si="440"/>
        <v>0</v>
      </c>
      <c r="AJ3983" s="2">
        <f t="shared" si="437"/>
        <v>27.5</v>
      </c>
      <c r="AK3983" s="5">
        <f t="shared" si="438"/>
        <v>0.5</v>
      </c>
    </row>
    <row r="3984" spans="1:37" x14ac:dyDescent="0.2">
      <c r="A3984" s="2">
        <v>2026</v>
      </c>
      <c r="B3984" s="2">
        <v>5</v>
      </c>
      <c r="C3984" s="2" t="s">
        <v>534</v>
      </c>
      <c r="D3984" s="2" t="s">
        <v>109</v>
      </c>
      <c r="E3984" s="2" t="s">
        <v>535</v>
      </c>
      <c r="F3984" s="2">
        <v>502139552</v>
      </c>
      <c r="G3984" s="2" t="s">
        <v>40</v>
      </c>
      <c r="H3984" s="2" t="s">
        <v>340</v>
      </c>
      <c r="I3984" s="2" t="s">
        <v>536</v>
      </c>
      <c r="K3984" s="2" t="s">
        <v>340</v>
      </c>
      <c r="L3984" s="2" t="s">
        <v>81</v>
      </c>
      <c r="O3984" s="2" t="s">
        <v>73</v>
      </c>
      <c r="P3984" s="2" t="s">
        <v>74</v>
      </c>
      <c r="Q3984" s="2" t="s">
        <v>75</v>
      </c>
      <c r="R3984" s="2">
        <v>3</v>
      </c>
      <c r="S3984" s="2">
        <v>600.76</v>
      </c>
      <c r="T3984" s="2">
        <v>138.1748</v>
      </c>
      <c r="U3984" s="2">
        <v>738.9348</v>
      </c>
      <c r="V3984" s="2">
        <v>376.548</v>
      </c>
      <c r="W3984" s="5">
        <f t="shared" si="442"/>
        <v>0.37321392902323725</v>
      </c>
      <c r="Y3984" s="2" t="s">
        <v>3256</v>
      </c>
      <c r="Z3984" s="2" t="s">
        <v>76</v>
      </c>
      <c r="AA3984" s="2" t="s">
        <v>77</v>
      </c>
      <c r="AB3984" s="2" t="s">
        <v>78</v>
      </c>
      <c r="AE3984" s="2">
        <f t="shared" si="439"/>
        <v>0</v>
      </c>
      <c r="AF3984" s="2">
        <v>125.51600000000001</v>
      </c>
      <c r="AG3984" s="2">
        <v>220</v>
      </c>
      <c r="AI3984" s="2">
        <f t="shared" si="440"/>
        <v>0</v>
      </c>
      <c r="AJ3984" s="2">
        <f t="shared" ref="AJ3984:AJ4015" si="443">S3984-V3984</f>
        <v>224.21199999999999</v>
      </c>
      <c r="AK3984" s="5">
        <f t="shared" ref="AK3984:AK4015" si="444">(S3984-V3984)/S3984</f>
        <v>0.37321392902323725</v>
      </c>
    </row>
    <row r="3985" spans="1:37" x14ac:dyDescent="0.2">
      <c r="A3985" s="2">
        <v>2026</v>
      </c>
      <c r="B3985" s="2">
        <v>5</v>
      </c>
      <c r="C3985" s="2" t="s">
        <v>534</v>
      </c>
      <c r="D3985" s="2" t="s">
        <v>109</v>
      </c>
      <c r="E3985" s="2" t="s">
        <v>535</v>
      </c>
      <c r="F3985" s="2">
        <v>502139552</v>
      </c>
      <c r="G3985" s="2" t="s">
        <v>40</v>
      </c>
      <c r="H3985" s="2" t="s">
        <v>340</v>
      </c>
      <c r="I3985" s="2" t="s">
        <v>536</v>
      </c>
      <c r="K3985" s="2" t="s">
        <v>340</v>
      </c>
      <c r="L3985" s="2" t="s">
        <v>81</v>
      </c>
      <c r="O3985" s="2" t="s">
        <v>73</v>
      </c>
      <c r="P3985" s="2" t="s">
        <v>1355</v>
      </c>
      <c r="Q3985" s="2" t="s">
        <v>80</v>
      </c>
      <c r="R3985" s="2">
        <v>1</v>
      </c>
      <c r="S3985" s="2">
        <v>219.88</v>
      </c>
      <c r="T3985" s="2">
        <v>50.572400000000002</v>
      </c>
      <c r="U3985" s="2">
        <v>270.45240000000001</v>
      </c>
      <c r="W3985" s="5">
        <f t="shared" si="442"/>
        <v>1</v>
      </c>
      <c r="Y3985" s="2" t="s">
        <v>3256</v>
      </c>
      <c r="Z3985" s="2" t="s">
        <v>76</v>
      </c>
      <c r="AA3985" s="2" t="s">
        <v>77</v>
      </c>
      <c r="AB3985" s="2" t="s">
        <v>78</v>
      </c>
      <c r="AE3985" s="2">
        <f t="shared" si="439"/>
        <v>0</v>
      </c>
      <c r="AI3985" s="2">
        <f t="shared" si="440"/>
        <v>0</v>
      </c>
      <c r="AJ3985" s="2">
        <f t="shared" si="443"/>
        <v>219.88</v>
      </c>
      <c r="AK3985" s="5">
        <f t="shared" si="444"/>
        <v>1</v>
      </c>
    </row>
    <row r="3986" spans="1:37" x14ac:dyDescent="0.2">
      <c r="A3986" s="2">
        <v>2026</v>
      </c>
      <c r="B3986" s="2">
        <v>5</v>
      </c>
      <c r="C3986" s="2" t="s">
        <v>534</v>
      </c>
      <c r="D3986" s="2" t="s">
        <v>109</v>
      </c>
      <c r="E3986" s="2" t="s">
        <v>535</v>
      </c>
      <c r="F3986" s="2">
        <v>502139552</v>
      </c>
      <c r="G3986" s="2" t="s">
        <v>40</v>
      </c>
      <c r="H3986" s="2" t="s">
        <v>340</v>
      </c>
      <c r="I3986" s="2" t="s">
        <v>536</v>
      </c>
      <c r="K3986" s="2" t="s">
        <v>340</v>
      </c>
      <c r="L3986" s="2" t="s">
        <v>81</v>
      </c>
      <c r="O3986" s="2" t="s">
        <v>73</v>
      </c>
      <c r="P3986" s="2" t="s">
        <v>326</v>
      </c>
      <c r="Q3986" s="2" t="s">
        <v>80</v>
      </c>
      <c r="R3986" s="2">
        <v>1</v>
      </c>
      <c r="S3986" s="2">
        <v>211.6</v>
      </c>
      <c r="T3986" s="2">
        <v>48.667999999999999</v>
      </c>
      <c r="U3986" s="2">
        <v>260.26799999999997</v>
      </c>
      <c r="V3986" s="2">
        <f>110.68*R3986</f>
        <v>110.68</v>
      </c>
      <c r="W3986" s="5">
        <f t="shared" si="442"/>
        <v>0.47693761814744795</v>
      </c>
      <c r="Y3986" s="2" t="s">
        <v>3256</v>
      </c>
      <c r="Z3986" s="2" t="s">
        <v>76</v>
      </c>
      <c r="AA3986" s="2" t="s">
        <v>77</v>
      </c>
      <c r="AB3986" s="2" t="s">
        <v>78</v>
      </c>
      <c r="AE3986" s="2">
        <f t="shared" si="439"/>
        <v>0</v>
      </c>
      <c r="AF3986" s="2">
        <v>110.68</v>
      </c>
      <c r="AG3986" s="2">
        <v>210</v>
      </c>
      <c r="AI3986" s="2">
        <f t="shared" si="440"/>
        <v>0</v>
      </c>
      <c r="AJ3986" s="2">
        <f t="shared" si="443"/>
        <v>100.91999999999999</v>
      </c>
      <c r="AK3986" s="5">
        <f t="shared" si="444"/>
        <v>0.47693761814744795</v>
      </c>
    </row>
    <row r="3987" spans="1:37" x14ac:dyDescent="0.2">
      <c r="A3987" s="2">
        <v>2026</v>
      </c>
      <c r="B3987" s="2">
        <v>5</v>
      </c>
      <c r="C3987" s="2" t="s">
        <v>534</v>
      </c>
      <c r="D3987" s="2" t="s">
        <v>109</v>
      </c>
      <c r="E3987" s="2" t="s">
        <v>535</v>
      </c>
      <c r="F3987" s="2">
        <v>502139552</v>
      </c>
      <c r="G3987" s="2" t="s">
        <v>40</v>
      </c>
      <c r="H3987" s="2" t="s">
        <v>340</v>
      </c>
      <c r="I3987" s="2" t="s">
        <v>536</v>
      </c>
      <c r="K3987" s="2" t="s">
        <v>340</v>
      </c>
      <c r="L3987" s="2" t="s">
        <v>81</v>
      </c>
      <c r="O3987" s="2" t="s">
        <v>94</v>
      </c>
      <c r="P3987" s="2" t="s">
        <v>95</v>
      </c>
      <c r="Q3987" s="2" t="s">
        <v>96</v>
      </c>
      <c r="R3987" s="2">
        <v>5</v>
      </c>
      <c r="S3987" s="2">
        <v>7.4</v>
      </c>
      <c r="T3987" s="2">
        <v>1.702</v>
      </c>
      <c r="U3987" s="2">
        <v>9.1020000000000003</v>
      </c>
      <c r="V3987" s="2">
        <f>1.48*R3987</f>
        <v>7.4</v>
      </c>
      <c r="W3987" s="5">
        <f t="shared" si="442"/>
        <v>0</v>
      </c>
      <c r="Y3987" s="2" t="s">
        <v>3256</v>
      </c>
      <c r="Z3987" s="2" t="s">
        <v>97</v>
      </c>
      <c r="AA3987" s="2" t="s">
        <v>77</v>
      </c>
      <c r="AB3987" s="2" t="s">
        <v>94</v>
      </c>
      <c r="AE3987" s="2">
        <f t="shared" si="439"/>
        <v>0</v>
      </c>
      <c r="AI3987" s="2">
        <f t="shared" si="440"/>
        <v>0</v>
      </c>
      <c r="AJ3987" s="2">
        <f t="shared" si="443"/>
        <v>0</v>
      </c>
      <c r="AK3987" s="5">
        <f t="shared" si="444"/>
        <v>0</v>
      </c>
    </row>
    <row r="3988" spans="1:37" x14ac:dyDescent="0.2">
      <c r="A3988" s="2">
        <v>2026</v>
      </c>
      <c r="B3988" s="2">
        <v>5</v>
      </c>
      <c r="C3988" s="2" t="s">
        <v>553</v>
      </c>
      <c r="D3988" s="2" t="s">
        <v>109</v>
      </c>
      <c r="E3988" s="2" t="s">
        <v>397</v>
      </c>
      <c r="F3988" s="2">
        <v>503641790</v>
      </c>
      <c r="G3988" s="2" t="s">
        <v>40</v>
      </c>
      <c r="H3988" s="2" t="s">
        <v>554</v>
      </c>
      <c r="I3988" s="2" t="s">
        <v>555</v>
      </c>
      <c r="J3988" s="2">
        <v>917753665</v>
      </c>
      <c r="K3988" s="2" t="s">
        <v>100</v>
      </c>
      <c r="L3988" s="2" t="s">
        <v>81</v>
      </c>
      <c r="O3988" s="2" t="s">
        <v>1047</v>
      </c>
      <c r="P3988" s="2" t="s">
        <v>3013</v>
      </c>
      <c r="Q3988" s="2" t="s">
        <v>3014</v>
      </c>
      <c r="R3988" s="2">
        <v>2</v>
      </c>
      <c r="S3988" s="2">
        <v>465.6</v>
      </c>
      <c r="T3988" s="2">
        <v>107.08799999999999</v>
      </c>
      <c r="U3988" s="2">
        <v>572.68799999999999</v>
      </c>
      <c r="W3988" s="5">
        <f t="shared" si="442"/>
        <v>1</v>
      </c>
      <c r="Y3988" s="2" t="s">
        <v>3256</v>
      </c>
      <c r="Z3988" s="2" t="s">
        <v>76</v>
      </c>
      <c r="AA3988" s="2" t="s">
        <v>77</v>
      </c>
      <c r="AB3988" s="2" t="s">
        <v>1047</v>
      </c>
      <c r="AE3988" s="2">
        <f t="shared" si="439"/>
        <v>0</v>
      </c>
      <c r="AI3988" s="2">
        <f t="shared" si="440"/>
        <v>0</v>
      </c>
      <c r="AJ3988" s="2">
        <f t="shared" si="443"/>
        <v>465.6</v>
      </c>
      <c r="AK3988" s="5">
        <f t="shared" si="444"/>
        <v>1</v>
      </c>
    </row>
    <row r="3989" spans="1:37" x14ac:dyDescent="0.2">
      <c r="A3989" s="2">
        <v>2026</v>
      </c>
      <c r="B3989" s="2">
        <v>5</v>
      </c>
      <c r="C3989" s="2" t="s">
        <v>553</v>
      </c>
      <c r="D3989" s="2" t="s">
        <v>109</v>
      </c>
      <c r="E3989" s="2" t="s">
        <v>397</v>
      </c>
      <c r="F3989" s="2">
        <v>503641790</v>
      </c>
      <c r="G3989" s="2" t="s">
        <v>40</v>
      </c>
      <c r="H3989" s="2" t="s">
        <v>554</v>
      </c>
      <c r="I3989" s="2" t="s">
        <v>555</v>
      </c>
      <c r="J3989" s="2">
        <v>917753665</v>
      </c>
      <c r="K3989" s="2" t="s">
        <v>100</v>
      </c>
      <c r="L3989" s="2" t="s">
        <v>81</v>
      </c>
      <c r="O3989" s="2" t="s">
        <v>170</v>
      </c>
      <c r="P3989" s="2" t="s">
        <v>171</v>
      </c>
      <c r="Q3989" s="2" t="s">
        <v>171</v>
      </c>
      <c r="R3989" s="2">
        <v>1</v>
      </c>
      <c r="S3989" s="2">
        <v>30</v>
      </c>
      <c r="T3989" s="2">
        <v>6.9</v>
      </c>
      <c r="U3989" s="2">
        <v>36.9</v>
      </c>
      <c r="V3989" s="2">
        <v>23</v>
      </c>
      <c r="W3989" s="5">
        <f t="shared" si="442"/>
        <v>0.23333333333333334</v>
      </c>
      <c r="Y3989" s="2" t="s">
        <v>170</v>
      </c>
      <c r="Z3989" s="2" t="s">
        <v>170</v>
      </c>
      <c r="AE3989" s="2">
        <f t="shared" si="439"/>
        <v>0</v>
      </c>
      <c r="AI3989" s="2">
        <f t="shared" si="440"/>
        <v>0</v>
      </c>
      <c r="AJ3989" s="2">
        <f t="shared" si="443"/>
        <v>7</v>
      </c>
      <c r="AK3989" s="5">
        <f t="shared" si="444"/>
        <v>0.23333333333333334</v>
      </c>
    </row>
    <row r="3990" spans="1:37" x14ac:dyDescent="0.2">
      <c r="A3990" s="2">
        <v>2026</v>
      </c>
      <c r="B3990" s="2">
        <v>5</v>
      </c>
      <c r="C3990" s="2" t="s">
        <v>553</v>
      </c>
      <c r="D3990" s="2" t="s">
        <v>109</v>
      </c>
      <c r="E3990" s="2" t="s">
        <v>397</v>
      </c>
      <c r="F3990" s="2">
        <v>503641790</v>
      </c>
      <c r="G3990" s="2" t="s">
        <v>40</v>
      </c>
      <c r="H3990" s="2" t="s">
        <v>554</v>
      </c>
      <c r="I3990" s="2" t="s">
        <v>555</v>
      </c>
      <c r="J3990" s="2">
        <v>917753665</v>
      </c>
      <c r="K3990" s="2" t="s">
        <v>100</v>
      </c>
      <c r="L3990" s="2" t="s">
        <v>81</v>
      </c>
      <c r="O3990" s="2" t="s">
        <v>94</v>
      </c>
      <c r="P3990" s="2" t="s">
        <v>95</v>
      </c>
      <c r="Q3990" s="2" t="s">
        <v>96</v>
      </c>
      <c r="R3990" s="2">
        <v>2</v>
      </c>
      <c r="S3990" s="2">
        <v>2.96</v>
      </c>
      <c r="T3990" s="2">
        <v>0.68080000000000007</v>
      </c>
      <c r="U3990" s="2">
        <v>3.6408</v>
      </c>
      <c r="V3990" s="2">
        <f>1.48*R3990</f>
        <v>2.96</v>
      </c>
      <c r="W3990" s="5">
        <f t="shared" si="442"/>
        <v>0</v>
      </c>
      <c r="Y3990" s="2" t="s">
        <v>3256</v>
      </c>
      <c r="Z3990" s="2" t="s">
        <v>97</v>
      </c>
      <c r="AA3990" s="2" t="s">
        <v>77</v>
      </c>
      <c r="AB3990" s="2" t="s">
        <v>94</v>
      </c>
      <c r="AE3990" s="2">
        <f t="shared" si="439"/>
        <v>0</v>
      </c>
      <c r="AI3990" s="2">
        <f t="shared" si="440"/>
        <v>0</v>
      </c>
      <c r="AJ3990" s="2">
        <f t="shared" si="443"/>
        <v>0</v>
      </c>
      <c r="AK3990" s="5">
        <f t="shared" si="444"/>
        <v>0</v>
      </c>
    </row>
    <row r="3991" spans="1:37" x14ac:dyDescent="0.2">
      <c r="A3991" s="2">
        <v>2026</v>
      </c>
      <c r="B3991" s="2">
        <v>5</v>
      </c>
      <c r="C3991" s="2" t="s">
        <v>562</v>
      </c>
      <c r="D3991" s="2" t="s">
        <v>109</v>
      </c>
      <c r="E3991" s="2" t="s">
        <v>39</v>
      </c>
      <c r="F3991" s="2">
        <v>506517233</v>
      </c>
      <c r="G3991" s="2" t="s">
        <v>81</v>
      </c>
      <c r="H3991" s="2" t="s">
        <v>563</v>
      </c>
      <c r="I3991" s="2" t="s">
        <v>564</v>
      </c>
      <c r="K3991" s="2" t="s">
        <v>134</v>
      </c>
      <c r="L3991" s="2" t="s">
        <v>81</v>
      </c>
      <c r="O3991" s="2" t="s">
        <v>73</v>
      </c>
      <c r="P3991" s="2" t="s">
        <v>326</v>
      </c>
      <c r="Q3991" s="2" t="s">
        <v>80</v>
      </c>
      <c r="R3991" s="2">
        <v>2</v>
      </c>
      <c r="S3991" s="2">
        <v>252.9</v>
      </c>
      <c r="T3991" s="2">
        <v>58.167000000000002</v>
      </c>
      <c r="U3991" s="2">
        <v>311.06700000000001</v>
      </c>
      <c r="V3991" s="2">
        <f>110.68*R3991</f>
        <v>221.36</v>
      </c>
      <c r="W3991" s="5">
        <f t="shared" si="442"/>
        <v>0.12471332542506916</v>
      </c>
      <c r="Y3991" s="2" t="s">
        <v>3256</v>
      </c>
      <c r="Z3991" s="2" t="s">
        <v>76</v>
      </c>
      <c r="AA3991" s="2" t="s">
        <v>77</v>
      </c>
      <c r="AB3991" s="2" t="s">
        <v>78</v>
      </c>
      <c r="AE3991" s="2">
        <f t="shared" si="439"/>
        <v>0</v>
      </c>
      <c r="AF3991" s="2">
        <v>110.68</v>
      </c>
      <c r="AG3991" s="2">
        <v>210</v>
      </c>
      <c r="AI3991" s="2">
        <f t="shared" si="440"/>
        <v>0</v>
      </c>
      <c r="AJ3991" s="2">
        <f t="shared" si="443"/>
        <v>31.539999999999992</v>
      </c>
      <c r="AK3991" s="5">
        <f t="shared" si="444"/>
        <v>0.12471332542506916</v>
      </c>
    </row>
    <row r="3992" spans="1:37" x14ac:dyDescent="0.2">
      <c r="A3992" s="2">
        <v>2026</v>
      </c>
      <c r="B3992" s="2">
        <v>5</v>
      </c>
      <c r="C3992" s="2" t="s">
        <v>562</v>
      </c>
      <c r="D3992" s="2" t="s">
        <v>109</v>
      </c>
      <c r="E3992" s="2" t="s">
        <v>39</v>
      </c>
      <c r="F3992" s="2">
        <v>506517233</v>
      </c>
      <c r="G3992" s="2" t="s">
        <v>81</v>
      </c>
      <c r="H3992" s="2" t="s">
        <v>563</v>
      </c>
      <c r="I3992" s="2" t="s">
        <v>564</v>
      </c>
      <c r="K3992" s="2" t="s">
        <v>134</v>
      </c>
      <c r="L3992" s="2" t="s">
        <v>81</v>
      </c>
      <c r="O3992" s="2" t="s">
        <v>94</v>
      </c>
      <c r="P3992" s="2" t="s">
        <v>95</v>
      </c>
      <c r="Q3992" s="2" t="s">
        <v>96</v>
      </c>
      <c r="R3992" s="2">
        <v>2</v>
      </c>
      <c r="S3992" s="2">
        <v>2.96</v>
      </c>
      <c r="T3992" s="2">
        <v>0.68080000000000007</v>
      </c>
      <c r="U3992" s="2">
        <v>3.6408</v>
      </c>
      <c r="V3992" s="2">
        <f>1.48*R3992</f>
        <v>2.96</v>
      </c>
      <c r="W3992" s="5">
        <f t="shared" si="442"/>
        <v>0</v>
      </c>
      <c r="Y3992" s="2" t="s">
        <v>3256</v>
      </c>
      <c r="Z3992" s="2" t="s">
        <v>97</v>
      </c>
      <c r="AA3992" s="2" t="s">
        <v>77</v>
      </c>
      <c r="AB3992" s="2" t="s">
        <v>94</v>
      </c>
      <c r="AE3992" s="2">
        <f t="shared" si="439"/>
        <v>0</v>
      </c>
      <c r="AI3992" s="2">
        <f t="shared" si="440"/>
        <v>0</v>
      </c>
      <c r="AJ3992" s="2">
        <f t="shared" si="443"/>
        <v>0</v>
      </c>
      <c r="AK3992" s="5">
        <f t="shared" si="444"/>
        <v>0</v>
      </c>
    </row>
    <row r="3993" spans="1:37" x14ac:dyDescent="0.2">
      <c r="A3993" s="2">
        <v>2026</v>
      </c>
      <c r="B3993" s="2">
        <v>5</v>
      </c>
      <c r="C3993" s="2" t="s">
        <v>899</v>
      </c>
      <c r="L3993" s="2" t="s">
        <v>81</v>
      </c>
      <c r="O3993" s="2" t="s">
        <v>73</v>
      </c>
      <c r="P3993" s="2" t="s">
        <v>74</v>
      </c>
      <c r="Q3993" s="2" t="s">
        <v>75</v>
      </c>
      <c r="R3993" s="2">
        <v>1</v>
      </c>
      <c r="S3993" s="2">
        <v>220</v>
      </c>
      <c r="T3993" s="2">
        <v>50.6</v>
      </c>
      <c r="U3993" s="2">
        <v>270.60000000000002</v>
      </c>
      <c r="V3993" s="2">
        <v>125.51600000000001</v>
      </c>
      <c r="W3993" s="5">
        <f t="shared" si="442"/>
        <v>0.42947272727272723</v>
      </c>
      <c r="Y3993" s="2" t="s">
        <v>3256</v>
      </c>
      <c r="Z3993" s="2" t="s">
        <v>76</v>
      </c>
      <c r="AA3993" s="2" t="s">
        <v>77</v>
      </c>
      <c r="AB3993" s="2" t="s">
        <v>78</v>
      </c>
      <c r="AE3993" s="2">
        <f t="shared" si="439"/>
        <v>0</v>
      </c>
      <c r="AF3993" s="2">
        <v>125.51600000000001</v>
      </c>
      <c r="AG3993" s="2">
        <v>220</v>
      </c>
      <c r="AI3993" s="2">
        <f t="shared" si="440"/>
        <v>0</v>
      </c>
      <c r="AJ3993" s="2">
        <f t="shared" si="443"/>
        <v>94.483999999999995</v>
      </c>
      <c r="AK3993" s="5">
        <f t="shared" si="444"/>
        <v>0.42947272727272723</v>
      </c>
    </row>
    <row r="3994" spans="1:37" x14ac:dyDescent="0.2">
      <c r="A3994" s="2">
        <v>2026</v>
      </c>
      <c r="B3994" s="2">
        <v>5</v>
      </c>
      <c r="C3994" s="2" t="s">
        <v>899</v>
      </c>
      <c r="O3994" s="2" t="s">
        <v>94</v>
      </c>
      <c r="P3994" s="2" t="s">
        <v>95</v>
      </c>
      <c r="Q3994" s="2" t="s">
        <v>96</v>
      </c>
      <c r="R3994" s="2">
        <v>1</v>
      </c>
      <c r="S3994" s="2">
        <v>1.48</v>
      </c>
      <c r="T3994" s="2">
        <v>0.34039999999999998</v>
      </c>
      <c r="U3994" s="2">
        <v>1.8204</v>
      </c>
      <c r="V3994" s="2">
        <v>1.48</v>
      </c>
      <c r="W3994" s="5">
        <f t="shared" si="442"/>
        <v>0</v>
      </c>
      <c r="Y3994" s="2" t="s">
        <v>3256</v>
      </c>
      <c r="Z3994" s="2" t="s">
        <v>97</v>
      </c>
      <c r="AA3994" s="2" t="s">
        <v>77</v>
      </c>
      <c r="AB3994" s="2" t="s">
        <v>94</v>
      </c>
      <c r="AE3994" s="2">
        <f t="shared" si="439"/>
        <v>0</v>
      </c>
      <c r="AI3994" s="2">
        <f t="shared" si="440"/>
        <v>0</v>
      </c>
      <c r="AJ3994" s="2">
        <f t="shared" si="443"/>
        <v>0</v>
      </c>
      <c r="AK3994" s="5">
        <f t="shared" si="444"/>
        <v>0</v>
      </c>
    </row>
    <row r="3995" spans="1:37" x14ac:dyDescent="0.2">
      <c r="A3995" s="2">
        <v>2026</v>
      </c>
      <c r="B3995" s="2">
        <v>5</v>
      </c>
      <c r="C3995" s="2" t="s">
        <v>1638</v>
      </c>
      <c r="D3995" s="2" t="s">
        <v>109</v>
      </c>
      <c r="E3995" s="2" t="s">
        <v>481</v>
      </c>
      <c r="F3995" s="2">
        <v>504161342</v>
      </c>
      <c r="G3995" s="2" t="s">
        <v>291</v>
      </c>
      <c r="H3995" s="2" t="s">
        <v>1639</v>
      </c>
      <c r="I3995" s="2" t="s">
        <v>1640</v>
      </c>
      <c r="K3995" s="2" t="s">
        <v>294</v>
      </c>
      <c r="L3995" s="2" t="s">
        <v>40</v>
      </c>
      <c r="N3995" s="2" t="s">
        <v>3015</v>
      </c>
      <c r="O3995" s="2" t="s">
        <v>115</v>
      </c>
      <c r="P3995" s="2" t="s">
        <v>678</v>
      </c>
      <c r="Q3995" s="2" t="s">
        <v>679</v>
      </c>
      <c r="R3995" s="2">
        <v>1</v>
      </c>
      <c r="S3995" s="2">
        <v>14.95</v>
      </c>
      <c r="T3995" s="2">
        <v>3.4384999999999999</v>
      </c>
      <c r="U3995" s="2">
        <v>18.388500000000001</v>
      </c>
      <c r="V3995" s="2">
        <v>5.2342000000000004</v>
      </c>
      <c r="W3995" s="5">
        <f t="shared" si="442"/>
        <v>0.649886287625418</v>
      </c>
      <c r="Y3995" s="2" t="s">
        <v>118</v>
      </c>
      <c r="Z3995" s="2" t="s">
        <v>119</v>
      </c>
      <c r="AA3995" s="2" t="s">
        <v>120</v>
      </c>
      <c r="AB3995" s="2" t="s">
        <v>115</v>
      </c>
      <c r="AE3995" s="2">
        <f t="shared" si="439"/>
        <v>0</v>
      </c>
      <c r="AI3995" s="2">
        <f t="shared" si="440"/>
        <v>0</v>
      </c>
      <c r="AJ3995" s="2">
        <f t="shared" si="443"/>
        <v>9.715799999999998</v>
      </c>
      <c r="AK3995" s="5">
        <f t="shared" si="444"/>
        <v>0.649886287625418</v>
      </c>
    </row>
    <row r="3996" spans="1:37" x14ac:dyDescent="0.2">
      <c r="A3996" s="2">
        <v>2026</v>
      </c>
      <c r="B3996" s="2">
        <v>5</v>
      </c>
      <c r="C3996" s="2" t="s">
        <v>1638</v>
      </c>
      <c r="D3996" s="2" t="s">
        <v>109</v>
      </c>
      <c r="E3996" s="2" t="s">
        <v>481</v>
      </c>
      <c r="F3996" s="2">
        <v>504161342</v>
      </c>
      <c r="G3996" s="2" t="s">
        <v>291</v>
      </c>
      <c r="H3996" s="2" t="s">
        <v>1639</v>
      </c>
      <c r="I3996" s="2" t="s">
        <v>1640</v>
      </c>
      <c r="K3996" s="2" t="s">
        <v>294</v>
      </c>
      <c r="L3996" s="2" t="s">
        <v>40</v>
      </c>
      <c r="N3996" s="2" t="s">
        <v>3015</v>
      </c>
      <c r="O3996" s="2" t="s">
        <v>170</v>
      </c>
      <c r="P3996" s="2" t="s">
        <v>171</v>
      </c>
      <c r="Q3996" s="2" t="s">
        <v>171</v>
      </c>
      <c r="R3996" s="2">
        <v>1</v>
      </c>
      <c r="S3996" s="2">
        <v>5</v>
      </c>
      <c r="T3996" s="2">
        <v>1.1499999999999999</v>
      </c>
      <c r="U3996" s="2">
        <v>6.15</v>
      </c>
      <c r="W3996" s="5">
        <f t="shared" si="442"/>
        <v>1</v>
      </c>
      <c r="Y3996" s="2" t="s">
        <v>170</v>
      </c>
      <c r="Z3996" s="2" t="s">
        <v>170</v>
      </c>
      <c r="AE3996" s="2">
        <f t="shared" si="439"/>
        <v>0</v>
      </c>
      <c r="AI3996" s="2">
        <f t="shared" si="440"/>
        <v>0</v>
      </c>
      <c r="AJ3996" s="2">
        <f t="shared" si="443"/>
        <v>5</v>
      </c>
      <c r="AK3996" s="5">
        <f t="shared" si="444"/>
        <v>1</v>
      </c>
    </row>
    <row r="3997" spans="1:37" x14ac:dyDescent="0.2">
      <c r="A3997" s="2">
        <v>2026</v>
      </c>
      <c r="B3997" s="2">
        <v>5</v>
      </c>
      <c r="C3997" s="2" t="s">
        <v>1291</v>
      </c>
      <c r="D3997" s="2" t="s">
        <v>184</v>
      </c>
      <c r="E3997" s="2" t="s">
        <v>3016</v>
      </c>
      <c r="F3997" s="2">
        <v>517805383</v>
      </c>
      <c r="G3997" s="2" t="s">
        <v>40</v>
      </c>
      <c r="H3997" s="2" t="s">
        <v>100</v>
      </c>
      <c r="I3997" s="2" t="s">
        <v>3017</v>
      </c>
      <c r="J3997" s="2">
        <v>964651239</v>
      </c>
      <c r="K3997" s="2" t="s">
        <v>100</v>
      </c>
      <c r="L3997" s="2" t="s">
        <v>40</v>
      </c>
      <c r="N3997" s="2" t="s">
        <v>3018</v>
      </c>
      <c r="O3997" s="2" t="s">
        <v>283</v>
      </c>
      <c r="P3997" s="2" t="s">
        <v>3019</v>
      </c>
      <c r="Q3997" s="2" t="s">
        <v>3020</v>
      </c>
      <c r="R3997" s="2">
        <v>1</v>
      </c>
      <c r="S3997" s="2">
        <v>1130.5</v>
      </c>
      <c r="T3997" s="2">
        <v>260.01499999999999</v>
      </c>
      <c r="U3997" s="2">
        <v>1390.5150000000001</v>
      </c>
      <c r="V3997" s="2">
        <v>773.5</v>
      </c>
      <c r="W3997" s="5">
        <f t="shared" si="442"/>
        <v>0.31578947368421051</v>
      </c>
      <c r="Y3997" s="2" t="s">
        <v>118</v>
      </c>
      <c r="Z3997" s="2" t="s">
        <v>182</v>
      </c>
      <c r="AA3997" s="2" t="s">
        <v>390</v>
      </c>
      <c r="AB3997" s="2" t="s">
        <v>1337</v>
      </c>
      <c r="AE3997" s="2">
        <f t="shared" si="439"/>
        <v>0</v>
      </c>
      <c r="AF3997" s="2">
        <v>773.5</v>
      </c>
      <c r="AI3997" s="2">
        <f t="shared" si="440"/>
        <v>0</v>
      </c>
      <c r="AJ3997" s="2">
        <f t="shared" si="443"/>
        <v>357</v>
      </c>
      <c r="AK3997" s="5">
        <f t="shared" si="444"/>
        <v>0.31578947368421051</v>
      </c>
    </row>
    <row r="3998" spans="1:37" x14ac:dyDescent="0.2">
      <c r="A3998" s="2">
        <v>2026</v>
      </c>
      <c r="B3998" s="2">
        <v>5</v>
      </c>
      <c r="C3998" s="2" t="s">
        <v>3021</v>
      </c>
      <c r="D3998" s="2" t="s">
        <v>38</v>
      </c>
      <c r="E3998" s="2" t="s">
        <v>39</v>
      </c>
      <c r="F3998" s="2">
        <v>509894615</v>
      </c>
      <c r="G3998" s="2" t="s">
        <v>40</v>
      </c>
      <c r="H3998" s="2" t="s">
        <v>3022</v>
      </c>
      <c r="I3998" s="2" t="s">
        <v>3023</v>
      </c>
      <c r="J3998" s="2">
        <v>969030161</v>
      </c>
      <c r="K3998" s="2" t="s">
        <v>3024</v>
      </c>
      <c r="L3998" s="2" t="s">
        <v>40</v>
      </c>
      <c r="N3998" s="2" t="s">
        <v>3025</v>
      </c>
      <c r="O3998" s="2" t="s">
        <v>115</v>
      </c>
      <c r="P3998" s="2" t="s">
        <v>1483</v>
      </c>
      <c r="Q3998" s="2" t="s">
        <v>1484</v>
      </c>
      <c r="R3998" s="2">
        <v>1</v>
      </c>
      <c r="S3998" s="2">
        <v>690.61</v>
      </c>
      <c r="T3998" s="2">
        <v>158.84030000000001</v>
      </c>
      <c r="U3998" s="2">
        <v>849.45029999999997</v>
      </c>
      <c r="V3998" s="2">
        <v>343.38</v>
      </c>
      <c r="W3998" s="5">
        <f t="shared" si="442"/>
        <v>0.50278739085735802</v>
      </c>
      <c r="Y3998" s="2" t="s">
        <v>118</v>
      </c>
      <c r="Z3998" s="2" t="s">
        <v>182</v>
      </c>
      <c r="AE3998" s="2">
        <f t="shared" si="439"/>
        <v>0</v>
      </c>
      <c r="AF3998" s="2">
        <v>343.38</v>
      </c>
      <c r="AI3998" s="2">
        <f t="shared" si="440"/>
        <v>0</v>
      </c>
      <c r="AJ3998" s="2">
        <f t="shared" si="443"/>
        <v>347.23</v>
      </c>
      <c r="AK3998" s="5">
        <f t="shared" si="444"/>
        <v>0.50278739085735802</v>
      </c>
    </row>
    <row r="3999" spans="1:37" x14ac:dyDescent="0.2">
      <c r="A3999" s="2">
        <v>2026</v>
      </c>
      <c r="B3999" s="2">
        <v>5</v>
      </c>
      <c r="C3999" s="2" t="s">
        <v>3021</v>
      </c>
      <c r="D3999" s="2" t="s">
        <v>38</v>
      </c>
      <c r="E3999" s="2" t="s">
        <v>39</v>
      </c>
      <c r="F3999" s="2">
        <v>509894615</v>
      </c>
      <c r="G3999" s="2" t="s">
        <v>40</v>
      </c>
      <c r="H3999" s="2" t="s">
        <v>3022</v>
      </c>
      <c r="I3999" s="2" t="s">
        <v>3023</v>
      </c>
      <c r="J3999" s="2">
        <v>969030161</v>
      </c>
      <c r="K3999" s="2" t="s">
        <v>3024</v>
      </c>
      <c r="L3999" s="2" t="s">
        <v>40</v>
      </c>
      <c r="N3999" s="2" t="s">
        <v>3025</v>
      </c>
      <c r="O3999" s="2" t="s">
        <v>115</v>
      </c>
      <c r="P3999" s="2" t="s">
        <v>1594</v>
      </c>
      <c r="Q3999" s="2" t="s">
        <v>1595</v>
      </c>
      <c r="R3999" s="2">
        <v>1</v>
      </c>
      <c r="S3999" s="2">
        <v>6990</v>
      </c>
      <c r="T3999" s="2">
        <v>1607.7</v>
      </c>
      <c r="U3999" s="2">
        <v>8597.7000000000007</v>
      </c>
      <c r="V3999" s="2">
        <v>5064.2299999999996</v>
      </c>
      <c r="W3999" s="5">
        <f t="shared" si="442"/>
        <v>0.27550357653791135</v>
      </c>
      <c r="Y3999" s="2" t="s">
        <v>105</v>
      </c>
      <c r="Z3999" s="2" t="s">
        <v>151</v>
      </c>
      <c r="AA3999" s="2" t="s">
        <v>152</v>
      </c>
      <c r="AB3999" s="2" t="s">
        <v>115</v>
      </c>
      <c r="AE3999" s="2">
        <f t="shared" si="439"/>
        <v>0</v>
      </c>
      <c r="AF3999" s="2">
        <f>4893.23+171</f>
        <v>5064.2299999999996</v>
      </c>
      <c r="AI3999" s="2">
        <f t="shared" si="440"/>
        <v>0</v>
      </c>
      <c r="AJ3999" s="2">
        <f t="shared" si="443"/>
        <v>1925.7700000000004</v>
      </c>
      <c r="AK3999" s="5">
        <f t="shared" si="444"/>
        <v>0.27550357653791135</v>
      </c>
    </row>
    <row r="4000" spans="1:37" x14ac:dyDescent="0.2">
      <c r="A4000" s="2">
        <v>2026</v>
      </c>
      <c r="B4000" s="2">
        <v>5</v>
      </c>
      <c r="C4000" s="2" t="s">
        <v>2356</v>
      </c>
      <c r="D4000" s="2" t="s">
        <v>38</v>
      </c>
      <c r="E4000" s="2" t="s">
        <v>39</v>
      </c>
      <c r="F4000" s="2">
        <v>502784121</v>
      </c>
      <c r="G4000" s="2" t="s">
        <v>41</v>
      </c>
      <c r="H4000" s="2" t="s">
        <v>328</v>
      </c>
      <c r="I4000" s="2" t="s">
        <v>3026</v>
      </c>
      <c r="K4000" s="2" t="s">
        <v>178</v>
      </c>
      <c r="L4000" s="2" t="s">
        <v>41</v>
      </c>
      <c r="N4000" s="2" t="s">
        <v>3027</v>
      </c>
      <c r="O4000" s="2" t="s">
        <v>73</v>
      </c>
      <c r="P4000" s="2" t="s">
        <v>488</v>
      </c>
      <c r="Q4000" s="2" t="s">
        <v>75</v>
      </c>
      <c r="R4000" s="2">
        <v>1</v>
      </c>
      <c r="S4000" s="2">
        <v>200</v>
      </c>
      <c r="T4000" s="2">
        <v>46</v>
      </c>
      <c r="U4000" s="2">
        <v>246</v>
      </c>
      <c r="V4000" s="2">
        <v>131.93</v>
      </c>
      <c r="W4000" s="5">
        <f t="shared" si="442"/>
        <v>0.34034999999999999</v>
      </c>
      <c r="Y4000" s="2" t="s">
        <v>3256</v>
      </c>
      <c r="Z4000" s="2" t="s">
        <v>76</v>
      </c>
      <c r="AA4000" s="2" t="s">
        <v>77</v>
      </c>
      <c r="AB4000" s="2" t="s">
        <v>78</v>
      </c>
      <c r="AE4000" s="2">
        <f t="shared" si="439"/>
        <v>0</v>
      </c>
      <c r="AF4000" s="2">
        <v>131.93</v>
      </c>
      <c r="AG4000" s="2">
        <v>220</v>
      </c>
      <c r="AI4000" s="2">
        <f t="shared" si="440"/>
        <v>0</v>
      </c>
      <c r="AJ4000" s="2">
        <f t="shared" si="443"/>
        <v>68.069999999999993</v>
      </c>
      <c r="AK4000" s="5">
        <f t="shared" si="444"/>
        <v>0.34034999999999999</v>
      </c>
    </row>
    <row r="4001" spans="1:37" x14ac:dyDescent="0.2">
      <c r="A4001" s="2">
        <v>2026</v>
      </c>
      <c r="B4001" s="2">
        <v>5</v>
      </c>
      <c r="C4001" s="2" t="s">
        <v>2356</v>
      </c>
      <c r="O4001" s="2" t="s">
        <v>94</v>
      </c>
      <c r="P4001" s="2" t="s">
        <v>95</v>
      </c>
      <c r="Q4001" s="2" t="s">
        <v>96</v>
      </c>
      <c r="R4001" s="2">
        <v>1</v>
      </c>
      <c r="S4001" s="2">
        <v>1.48</v>
      </c>
      <c r="T4001" s="2">
        <v>0.34039999999999998</v>
      </c>
      <c r="U4001" s="2">
        <v>1.8204</v>
      </c>
      <c r="V4001" s="2">
        <v>1.48</v>
      </c>
      <c r="W4001" s="5">
        <f t="shared" si="442"/>
        <v>0</v>
      </c>
      <c r="Y4001" s="2" t="s">
        <v>3256</v>
      </c>
      <c r="Z4001" s="2" t="s">
        <v>97</v>
      </c>
      <c r="AA4001" s="2" t="s">
        <v>77</v>
      </c>
      <c r="AB4001" s="2" t="s">
        <v>94</v>
      </c>
      <c r="AE4001" s="2">
        <f t="shared" si="439"/>
        <v>0</v>
      </c>
      <c r="AI4001" s="2">
        <f>AH4001*S4001</f>
        <v>0</v>
      </c>
      <c r="AJ4001" s="2">
        <f>S4001-V4001</f>
        <v>0</v>
      </c>
      <c r="AK4001" s="5">
        <f>(S4001-V4001)/S4001</f>
        <v>0</v>
      </c>
    </row>
    <row r="4002" spans="1:37" x14ac:dyDescent="0.2">
      <c r="A4002" s="2">
        <v>2026</v>
      </c>
      <c r="B4002" s="2">
        <v>5</v>
      </c>
      <c r="C4002" s="2" t="s">
        <v>3028</v>
      </c>
      <c r="D4002" s="2" t="s">
        <v>109</v>
      </c>
      <c r="E4002" s="2" t="s">
        <v>481</v>
      </c>
      <c r="F4002" s="2">
        <v>500228434</v>
      </c>
      <c r="G4002" s="2" t="s">
        <v>110</v>
      </c>
      <c r="H4002" s="2" t="s">
        <v>113</v>
      </c>
      <c r="I4002" s="2" t="s">
        <v>3270</v>
      </c>
      <c r="K4002" s="2" t="s">
        <v>113</v>
      </c>
      <c r="L4002" s="2" t="s">
        <v>110</v>
      </c>
      <c r="N4002" s="2" t="s">
        <v>3271</v>
      </c>
      <c r="O4002" s="2" t="s">
        <v>73</v>
      </c>
      <c r="P4002" s="2" t="s">
        <v>838</v>
      </c>
      <c r="Q4002" s="2" t="s">
        <v>75</v>
      </c>
      <c r="R4002" s="2">
        <v>1</v>
      </c>
      <c r="S4002" s="2">
        <v>220</v>
      </c>
      <c r="T4002" s="2">
        <v>50.6</v>
      </c>
      <c r="U4002" s="2">
        <v>270.60000000000002</v>
      </c>
      <c r="V4002" s="2">
        <v>120.636</v>
      </c>
      <c r="W4002" s="5">
        <f t="shared" si="442"/>
        <v>0.45165454545454548</v>
      </c>
      <c r="Y4002" s="2" t="s">
        <v>3256</v>
      </c>
      <c r="Z4002" s="2" t="s">
        <v>76</v>
      </c>
      <c r="AA4002" s="2" t="s">
        <v>77</v>
      </c>
      <c r="AB4002" s="2" t="s">
        <v>78</v>
      </c>
      <c r="AE4002" s="2">
        <f t="shared" si="439"/>
        <v>0</v>
      </c>
      <c r="AF4002" s="2">
        <v>120.636</v>
      </c>
      <c r="AG4002" s="2">
        <v>220</v>
      </c>
      <c r="AI4002" s="2">
        <f t="shared" si="440"/>
        <v>0</v>
      </c>
      <c r="AJ4002" s="2">
        <f t="shared" si="443"/>
        <v>99.364000000000004</v>
      </c>
      <c r="AK4002" s="5">
        <f t="shared" si="444"/>
        <v>0.45165454545454548</v>
      </c>
    </row>
    <row r="4003" spans="1:37" x14ac:dyDescent="0.2">
      <c r="A4003" s="2">
        <v>2026</v>
      </c>
      <c r="B4003" s="2">
        <v>5</v>
      </c>
      <c r="C4003" s="2" t="s">
        <v>3028</v>
      </c>
      <c r="D4003" s="2" t="s">
        <v>109</v>
      </c>
      <c r="E4003" s="2" t="s">
        <v>481</v>
      </c>
      <c r="F4003" s="2">
        <v>500228434</v>
      </c>
      <c r="G4003" s="2" t="s">
        <v>110</v>
      </c>
      <c r="H4003" s="2" t="s">
        <v>113</v>
      </c>
      <c r="I4003" s="2" t="s">
        <v>3270</v>
      </c>
      <c r="K4003" s="2" t="s">
        <v>113</v>
      </c>
      <c r="L4003" s="2" t="s">
        <v>110</v>
      </c>
      <c r="N4003" s="2" t="s">
        <v>3271</v>
      </c>
      <c r="O4003" s="2" t="s">
        <v>94</v>
      </c>
      <c r="P4003" s="2" t="s">
        <v>95</v>
      </c>
      <c r="Q4003" s="2" t="s">
        <v>96</v>
      </c>
      <c r="R4003" s="2">
        <v>1</v>
      </c>
      <c r="S4003" s="2">
        <v>1.48</v>
      </c>
      <c r="T4003" s="2">
        <v>0.34039999999999998</v>
      </c>
      <c r="U4003" s="2">
        <v>1.8204</v>
      </c>
      <c r="V4003" s="2">
        <v>1.48</v>
      </c>
      <c r="W4003" s="5">
        <f t="shared" si="442"/>
        <v>0</v>
      </c>
      <c r="Y4003" s="2" t="s">
        <v>3256</v>
      </c>
      <c r="Z4003" s="2" t="s">
        <v>97</v>
      </c>
      <c r="AA4003" s="2" t="s">
        <v>77</v>
      </c>
      <c r="AB4003" s="2" t="s">
        <v>94</v>
      </c>
      <c r="AE4003" s="2">
        <f t="shared" si="439"/>
        <v>0</v>
      </c>
      <c r="AI4003" s="2">
        <f>AH4003*S4003</f>
        <v>0</v>
      </c>
      <c r="AJ4003" s="2">
        <f>S4003-V4003</f>
        <v>0</v>
      </c>
      <c r="AK4003" s="5">
        <f>(S4003-V4003)/S4003</f>
        <v>0</v>
      </c>
    </row>
    <row r="4004" spans="1:37" x14ac:dyDescent="0.2">
      <c r="A4004" s="2">
        <v>2026</v>
      </c>
      <c r="B4004" s="2">
        <v>5</v>
      </c>
      <c r="C4004" s="2" t="s">
        <v>579</v>
      </c>
      <c r="D4004" s="2" t="s">
        <v>38</v>
      </c>
      <c r="E4004" s="2" t="s">
        <v>39</v>
      </c>
      <c r="F4004" s="2">
        <v>504811029</v>
      </c>
      <c r="G4004" s="2" t="s">
        <v>41</v>
      </c>
      <c r="H4004" s="2" t="s">
        <v>178</v>
      </c>
      <c r="I4004" s="2" t="s">
        <v>580</v>
      </c>
      <c r="K4004" s="2" t="s">
        <v>178</v>
      </c>
      <c r="L4004" s="2" t="s">
        <v>40</v>
      </c>
      <c r="N4004" s="2" t="s">
        <v>3029</v>
      </c>
      <c r="O4004" s="2" t="s">
        <v>115</v>
      </c>
      <c r="P4004" s="2" t="s">
        <v>2233</v>
      </c>
      <c r="Q4004" s="2" t="s">
        <v>2234</v>
      </c>
      <c r="R4004" s="2">
        <v>1</v>
      </c>
      <c r="S4004" s="2">
        <v>153.02000000000001</v>
      </c>
      <c r="T4004" s="2">
        <v>35.194600000000001</v>
      </c>
      <c r="U4004" s="2">
        <v>188.21459999999999</v>
      </c>
      <c r="V4004" s="2">
        <v>79.37</v>
      </c>
      <c r="W4004" s="5">
        <f t="shared" si="442"/>
        <v>0.48130963272774802</v>
      </c>
      <c r="Y4004" s="2" t="s">
        <v>118</v>
      </c>
      <c r="Z4004" s="2" t="s">
        <v>119</v>
      </c>
      <c r="AA4004" s="2" t="s">
        <v>120</v>
      </c>
      <c r="AB4004" s="2" t="s">
        <v>115</v>
      </c>
      <c r="AE4004" s="2">
        <f t="shared" si="439"/>
        <v>0</v>
      </c>
      <c r="AF4004" s="2">
        <f>78.74+0.63</f>
        <v>79.36999999999999</v>
      </c>
      <c r="AI4004" s="2">
        <f t="shared" si="440"/>
        <v>0</v>
      </c>
      <c r="AJ4004" s="2">
        <f t="shared" si="443"/>
        <v>73.650000000000006</v>
      </c>
      <c r="AK4004" s="5">
        <f t="shared" si="444"/>
        <v>0.48130963272774802</v>
      </c>
    </row>
    <row r="4005" spans="1:37" x14ac:dyDescent="0.2">
      <c r="A4005" s="2">
        <v>2026</v>
      </c>
      <c r="B4005" s="2">
        <v>5</v>
      </c>
      <c r="C4005" s="2" t="s">
        <v>579</v>
      </c>
      <c r="D4005" s="2" t="s">
        <v>38</v>
      </c>
      <c r="E4005" s="2" t="s">
        <v>39</v>
      </c>
      <c r="F4005" s="2">
        <v>504811029</v>
      </c>
      <c r="G4005" s="2" t="s">
        <v>41</v>
      </c>
      <c r="H4005" s="2" t="s">
        <v>178</v>
      </c>
      <c r="I4005" s="2" t="s">
        <v>580</v>
      </c>
      <c r="K4005" s="2" t="s">
        <v>178</v>
      </c>
      <c r="L4005" s="2" t="s">
        <v>40</v>
      </c>
      <c r="O4005" s="2" t="s">
        <v>115</v>
      </c>
      <c r="P4005" s="2" t="s">
        <v>581</v>
      </c>
      <c r="Q4005" s="2" t="s">
        <v>582</v>
      </c>
      <c r="R4005" s="2">
        <v>1</v>
      </c>
      <c r="S4005" s="2">
        <v>79.47</v>
      </c>
      <c r="T4005" s="2">
        <v>18.278099999999998</v>
      </c>
      <c r="U4005" s="2">
        <v>97.748099999999994</v>
      </c>
      <c r="V4005" s="2">
        <v>79.37</v>
      </c>
      <c r="W4005" s="5">
        <f t="shared" si="442"/>
        <v>1.2583364791744597E-3</v>
      </c>
      <c r="Y4005" s="2" t="s">
        <v>118</v>
      </c>
      <c r="Z4005" s="2" t="s">
        <v>119</v>
      </c>
      <c r="AA4005" s="2" t="s">
        <v>120</v>
      </c>
      <c r="AB4005" s="2" t="s">
        <v>115</v>
      </c>
      <c r="AE4005" s="2">
        <f t="shared" si="439"/>
        <v>0</v>
      </c>
      <c r="AF4005" s="2">
        <f>78.74+0.63</f>
        <v>79.36999999999999</v>
      </c>
      <c r="AI4005" s="2">
        <f t="shared" si="440"/>
        <v>0</v>
      </c>
      <c r="AJ4005" s="2">
        <f t="shared" si="443"/>
        <v>9.9999999999994316E-2</v>
      </c>
      <c r="AK4005" s="5">
        <f t="shared" si="444"/>
        <v>1.2583364791744597E-3</v>
      </c>
    </row>
    <row r="4006" spans="1:37" x14ac:dyDescent="0.2">
      <c r="A4006" s="2">
        <v>2026</v>
      </c>
      <c r="B4006" s="2">
        <v>5</v>
      </c>
      <c r="C4006" s="2" t="s">
        <v>579</v>
      </c>
      <c r="D4006" s="2" t="s">
        <v>38</v>
      </c>
      <c r="E4006" s="2" t="s">
        <v>39</v>
      </c>
      <c r="F4006" s="2">
        <v>504811029</v>
      </c>
      <c r="G4006" s="2" t="s">
        <v>41</v>
      </c>
      <c r="H4006" s="2" t="s">
        <v>178</v>
      </c>
      <c r="I4006" s="2" t="s">
        <v>580</v>
      </c>
      <c r="K4006" s="2" t="s">
        <v>178</v>
      </c>
      <c r="L4006" s="2" t="s">
        <v>41</v>
      </c>
      <c r="O4006" s="2" t="s">
        <v>115</v>
      </c>
      <c r="P4006" s="2" t="s">
        <v>3030</v>
      </c>
      <c r="Q4006" s="2" t="s">
        <v>3031</v>
      </c>
      <c r="R4006" s="2">
        <v>1</v>
      </c>
      <c r="S4006" s="2">
        <v>3990</v>
      </c>
      <c r="T4006" s="2">
        <v>917.7</v>
      </c>
      <c r="U4006" s="2">
        <v>4907.7</v>
      </c>
      <c r="W4006" s="5">
        <f t="shared" si="442"/>
        <v>1</v>
      </c>
      <c r="Y4006" s="2" t="s">
        <v>105</v>
      </c>
      <c r="Z4006" s="2" t="s">
        <v>621</v>
      </c>
      <c r="AA4006" s="2" t="s">
        <v>3032</v>
      </c>
      <c r="AB4006" s="2" t="s">
        <v>115</v>
      </c>
      <c r="AE4006" s="2">
        <f t="shared" si="439"/>
        <v>0</v>
      </c>
      <c r="AI4006" s="2">
        <f t="shared" si="440"/>
        <v>0</v>
      </c>
      <c r="AJ4006" s="2">
        <f t="shared" si="443"/>
        <v>3990</v>
      </c>
      <c r="AK4006" s="5">
        <f t="shared" si="444"/>
        <v>1</v>
      </c>
    </row>
    <row r="4007" spans="1:37" x14ac:dyDescent="0.2">
      <c r="A4007" s="2">
        <v>2026</v>
      </c>
      <c r="B4007" s="2">
        <v>5</v>
      </c>
      <c r="C4007" s="2" t="s">
        <v>579</v>
      </c>
      <c r="D4007" s="2" t="s">
        <v>38</v>
      </c>
      <c r="E4007" s="2" t="s">
        <v>39</v>
      </c>
      <c r="F4007" s="2">
        <v>504811029</v>
      </c>
      <c r="G4007" s="2" t="s">
        <v>41</v>
      </c>
      <c r="H4007" s="2" t="s">
        <v>178</v>
      </c>
      <c r="I4007" s="2" t="s">
        <v>580</v>
      </c>
      <c r="K4007" s="2" t="s">
        <v>178</v>
      </c>
      <c r="L4007" s="2" t="s">
        <v>41</v>
      </c>
      <c r="N4007" s="2" t="s">
        <v>3033</v>
      </c>
      <c r="O4007" s="2" t="s">
        <v>43</v>
      </c>
      <c r="P4007" s="2" t="s">
        <v>424</v>
      </c>
      <c r="Q4007" s="2" t="s">
        <v>425</v>
      </c>
      <c r="R4007" s="2">
        <v>15</v>
      </c>
      <c r="S4007" s="2">
        <v>108</v>
      </c>
      <c r="T4007" s="2">
        <v>24.84</v>
      </c>
      <c r="U4007" s="2">
        <v>132.84</v>
      </c>
      <c r="V4007" s="2">
        <f>3.7556*R4007</f>
        <v>56.333999999999996</v>
      </c>
      <c r="W4007" s="5">
        <f t="shared" si="442"/>
        <v>0.47838888888888892</v>
      </c>
      <c r="Y4007" s="2" t="s">
        <v>3256</v>
      </c>
      <c r="Z4007" s="2" t="s">
        <v>46</v>
      </c>
      <c r="AA4007" s="2" t="s">
        <v>61</v>
      </c>
      <c r="AB4007" s="2" t="s">
        <v>58</v>
      </c>
      <c r="AE4007" s="2">
        <f t="shared" si="439"/>
        <v>0</v>
      </c>
      <c r="AF4007" s="2">
        <v>3.7555999999999998</v>
      </c>
      <c r="AG4007" s="2">
        <v>7.2</v>
      </c>
      <c r="AI4007" s="2">
        <f t="shared" si="440"/>
        <v>0</v>
      </c>
      <c r="AJ4007" s="2">
        <f t="shared" si="443"/>
        <v>51.666000000000004</v>
      </c>
      <c r="AK4007" s="5">
        <f t="shared" si="444"/>
        <v>0.47838888888888892</v>
      </c>
    </row>
    <row r="4008" spans="1:37" x14ac:dyDescent="0.2">
      <c r="A4008" s="2">
        <v>2026</v>
      </c>
      <c r="B4008" s="2">
        <v>5</v>
      </c>
      <c r="C4008" s="2" t="s">
        <v>579</v>
      </c>
      <c r="D4008" s="2" t="s">
        <v>38</v>
      </c>
      <c r="E4008" s="2" t="s">
        <v>39</v>
      </c>
      <c r="F4008" s="2">
        <v>504811029</v>
      </c>
      <c r="G4008" s="2" t="s">
        <v>41</v>
      </c>
      <c r="H4008" s="2" t="s">
        <v>178</v>
      </c>
      <c r="I4008" s="2" t="s">
        <v>580</v>
      </c>
      <c r="K4008" s="2" t="s">
        <v>178</v>
      </c>
      <c r="L4008" s="2" t="s">
        <v>41</v>
      </c>
      <c r="O4008" s="2" t="s">
        <v>43</v>
      </c>
      <c r="P4008" s="2" t="s">
        <v>335</v>
      </c>
      <c r="Q4008" s="2" t="s">
        <v>336</v>
      </c>
      <c r="R4008" s="2">
        <v>20</v>
      </c>
      <c r="S4008" s="2">
        <v>60</v>
      </c>
      <c r="T4008" s="2">
        <v>13.8</v>
      </c>
      <c r="U4008" s="2">
        <v>73.8</v>
      </c>
      <c r="V4008" s="2">
        <f>1.1122*R4008</f>
        <v>22.244</v>
      </c>
      <c r="W4008" s="5">
        <f t="shared" si="442"/>
        <v>0.62926666666666664</v>
      </c>
      <c r="Y4008" s="2" t="s">
        <v>3256</v>
      </c>
      <c r="Z4008" s="2" t="s">
        <v>46</v>
      </c>
      <c r="AA4008" s="2" t="s">
        <v>61</v>
      </c>
      <c r="AB4008" s="2" t="s">
        <v>58</v>
      </c>
      <c r="AE4008" s="2">
        <f t="shared" si="439"/>
        <v>0</v>
      </c>
      <c r="AF4008" s="2">
        <v>1.1122000000000001</v>
      </c>
      <c r="AG4008" s="2">
        <v>3</v>
      </c>
      <c r="AI4008" s="2">
        <f t="shared" si="440"/>
        <v>0</v>
      </c>
      <c r="AJ4008" s="2">
        <f t="shared" si="443"/>
        <v>37.756</v>
      </c>
      <c r="AK4008" s="5">
        <f t="shared" si="444"/>
        <v>0.62926666666666664</v>
      </c>
    </row>
    <row r="4009" spans="1:37" x14ac:dyDescent="0.2">
      <c r="A4009" s="2">
        <v>2026</v>
      </c>
      <c r="B4009" s="2">
        <v>5</v>
      </c>
      <c r="C4009" s="2" t="s">
        <v>579</v>
      </c>
      <c r="D4009" s="2" t="s">
        <v>38</v>
      </c>
      <c r="E4009" s="2" t="s">
        <v>39</v>
      </c>
      <c r="F4009" s="2">
        <v>504811029</v>
      </c>
      <c r="G4009" s="2" t="s">
        <v>41</v>
      </c>
      <c r="H4009" s="2" t="s">
        <v>178</v>
      </c>
      <c r="I4009" s="2" t="s">
        <v>580</v>
      </c>
      <c r="K4009" s="2" t="s">
        <v>178</v>
      </c>
      <c r="L4009" s="2" t="s">
        <v>41</v>
      </c>
      <c r="O4009" s="2" t="s">
        <v>43</v>
      </c>
      <c r="P4009" s="2" t="s">
        <v>66</v>
      </c>
      <c r="Q4009" s="2" t="s">
        <v>67</v>
      </c>
      <c r="R4009" s="2">
        <v>2</v>
      </c>
      <c r="S4009" s="2">
        <v>49</v>
      </c>
      <c r="T4009" s="2">
        <v>11.27</v>
      </c>
      <c r="U4009" s="2">
        <v>60.27</v>
      </c>
      <c r="V4009" s="2">
        <f>15.0203*R4009</f>
        <v>30.040600000000001</v>
      </c>
      <c r="W4009" s="5">
        <f t="shared" si="442"/>
        <v>0.38692653061224486</v>
      </c>
      <c r="Y4009" s="2" t="s">
        <v>3256</v>
      </c>
      <c r="Z4009" s="2" t="s">
        <v>46</v>
      </c>
      <c r="AA4009" s="2" t="s">
        <v>68</v>
      </c>
      <c r="AB4009" s="2" t="s">
        <v>58</v>
      </c>
      <c r="AE4009" s="2">
        <f t="shared" si="439"/>
        <v>0</v>
      </c>
      <c r="AF4009" s="2">
        <v>15.020300000000001</v>
      </c>
      <c r="AG4009" s="2">
        <v>27.6</v>
      </c>
      <c r="AI4009" s="2">
        <f t="shared" si="440"/>
        <v>0</v>
      </c>
      <c r="AJ4009" s="2">
        <f t="shared" si="443"/>
        <v>18.959399999999999</v>
      </c>
      <c r="AK4009" s="5">
        <f t="shared" si="444"/>
        <v>0.38692653061224486</v>
      </c>
    </row>
    <row r="4010" spans="1:37" x14ac:dyDescent="0.2">
      <c r="A4010" s="2">
        <v>2026</v>
      </c>
      <c r="B4010" s="2">
        <v>5</v>
      </c>
      <c r="C4010" s="2" t="s">
        <v>3034</v>
      </c>
      <c r="O4010" s="2" t="s">
        <v>43</v>
      </c>
      <c r="P4010" s="2" t="s">
        <v>255</v>
      </c>
      <c r="Q4010" s="2" t="s">
        <v>256</v>
      </c>
      <c r="R4010" s="2">
        <v>100</v>
      </c>
      <c r="S4010" s="2">
        <v>14</v>
      </c>
      <c r="T4010" s="2">
        <v>3.22</v>
      </c>
      <c r="U4010" s="2">
        <v>17.22</v>
      </c>
      <c r="W4010" s="5">
        <f t="shared" si="442"/>
        <v>1</v>
      </c>
      <c r="Y4010" s="2" t="s">
        <v>3256</v>
      </c>
      <c r="Z4010" s="2" t="s">
        <v>46</v>
      </c>
      <c r="AA4010" s="2" t="s">
        <v>61</v>
      </c>
      <c r="AB4010" s="2" t="s">
        <v>58</v>
      </c>
      <c r="AE4010" s="2">
        <f t="shared" si="439"/>
        <v>0</v>
      </c>
      <c r="AI4010" s="2">
        <f t="shared" si="440"/>
        <v>0</v>
      </c>
      <c r="AJ4010" s="2">
        <f t="shared" si="443"/>
        <v>14</v>
      </c>
      <c r="AK4010" s="5">
        <f t="shared" si="444"/>
        <v>1</v>
      </c>
    </row>
    <row r="4011" spans="1:37" x14ac:dyDescent="0.2">
      <c r="A4011" s="2">
        <v>2026</v>
      </c>
      <c r="B4011" s="2">
        <v>5</v>
      </c>
      <c r="C4011" s="2" t="s">
        <v>3034</v>
      </c>
      <c r="O4011" s="2" t="s">
        <v>170</v>
      </c>
      <c r="P4011" s="2" t="s">
        <v>171</v>
      </c>
      <c r="Q4011" s="2" t="s">
        <v>171</v>
      </c>
      <c r="R4011" s="2">
        <v>1</v>
      </c>
      <c r="S4011" s="2">
        <v>5</v>
      </c>
      <c r="T4011" s="2">
        <v>1.1499999999999999</v>
      </c>
      <c r="U4011" s="2">
        <v>6.15</v>
      </c>
      <c r="W4011" s="5">
        <f t="shared" si="442"/>
        <v>1</v>
      </c>
      <c r="Y4011" s="2" t="s">
        <v>170</v>
      </c>
      <c r="Z4011" s="2" t="s">
        <v>170</v>
      </c>
      <c r="AE4011" s="2">
        <f t="shared" si="439"/>
        <v>0</v>
      </c>
      <c r="AI4011" s="2">
        <f t="shared" si="440"/>
        <v>0</v>
      </c>
      <c r="AJ4011" s="2">
        <f t="shared" si="443"/>
        <v>5</v>
      </c>
      <c r="AK4011" s="5">
        <f t="shared" si="444"/>
        <v>1</v>
      </c>
    </row>
    <row r="4012" spans="1:37" x14ac:dyDescent="0.2">
      <c r="A4012" s="2">
        <v>2026</v>
      </c>
      <c r="B4012" s="2">
        <v>5</v>
      </c>
      <c r="C4012" s="2" t="s">
        <v>586</v>
      </c>
      <c r="O4012" s="2" t="s">
        <v>43</v>
      </c>
      <c r="P4012" s="2" t="s">
        <v>51</v>
      </c>
      <c r="Q4012" s="2" t="s">
        <v>52</v>
      </c>
      <c r="R4012" s="2">
        <v>1</v>
      </c>
      <c r="S4012" s="2">
        <v>21</v>
      </c>
      <c r="T4012" s="2">
        <v>4.83</v>
      </c>
      <c r="U4012" s="2">
        <v>25.83</v>
      </c>
      <c r="V4012" s="2">
        <f>14.4*R4012</f>
        <v>14.4</v>
      </c>
      <c r="W4012" s="5">
        <f t="shared" si="442"/>
        <v>0.31428571428571428</v>
      </c>
      <c r="Y4012" s="2" t="s">
        <v>3256</v>
      </c>
      <c r="Z4012" s="2" t="s">
        <v>46</v>
      </c>
      <c r="AA4012" s="2" t="s">
        <v>47</v>
      </c>
      <c r="AB4012" s="2" t="s">
        <v>48</v>
      </c>
      <c r="AE4012" s="2">
        <f t="shared" si="439"/>
        <v>0</v>
      </c>
      <c r="AF4012" s="2">
        <v>14.4</v>
      </c>
      <c r="AG4012" s="2">
        <v>21</v>
      </c>
      <c r="AI4012" s="2">
        <f t="shared" si="440"/>
        <v>0</v>
      </c>
      <c r="AJ4012" s="2">
        <f t="shared" si="443"/>
        <v>6.6</v>
      </c>
      <c r="AK4012" s="5">
        <f t="shared" si="444"/>
        <v>0.31428571428571428</v>
      </c>
    </row>
    <row r="4013" spans="1:37" x14ac:dyDescent="0.2">
      <c r="A4013" s="2">
        <v>2026</v>
      </c>
      <c r="B4013" s="2">
        <v>5</v>
      </c>
      <c r="C4013" s="2" t="s">
        <v>586</v>
      </c>
      <c r="O4013" s="2" t="s">
        <v>43</v>
      </c>
      <c r="P4013" s="2" t="s">
        <v>62</v>
      </c>
      <c r="Q4013" s="2" t="s">
        <v>63</v>
      </c>
      <c r="R4013" s="2">
        <v>1000</v>
      </c>
      <c r="S4013" s="2">
        <v>110</v>
      </c>
      <c r="T4013" s="2">
        <v>25.3</v>
      </c>
      <c r="U4013" s="2">
        <v>135.30000000000001</v>
      </c>
      <c r="V4013" s="2">
        <f>0.082*R4013</f>
        <v>82</v>
      </c>
      <c r="W4013" s="5">
        <f t="shared" si="442"/>
        <v>0.25454545454545452</v>
      </c>
      <c r="Y4013" s="2" t="s">
        <v>3256</v>
      </c>
      <c r="Z4013" s="2" t="s">
        <v>46</v>
      </c>
      <c r="AA4013" s="2" t="s">
        <v>61</v>
      </c>
      <c r="AB4013" s="2" t="s">
        <v>58</v>
      </c>
      <c r="AE4013" s="2">
        <f t="shared" si="439"/>
        <v>0</v>
      </c>
      <c r="AF4013" s="2">
        <v>8.1999999999999993</v>
      </c>
      <c r="AG4013" s="2">
        <v>13</v>
      </c>
      <c r="AI4013" s="2">
        <f t="shared" si="440"/>
        <v>0</v>
      </c>
      <c r="AJ4013" s="2">
        <f t="shared" si="443"/>
        <v>28</v>
      </c>
      <c r="AK4013" s="5">
        <f t="shared" si="444"/>
        <v>0.25454545454545452</v>
      </c>
    </row>
    <row r="4014" spans="1:37" x14ac:dyDescent="0.2">
      <c r="A4014" s="2">
        <v>2026</v>
      </c>
      <c r="B4014" s="2">
        <v>5</v>
      </c>
      <c r="C4014" s="2" t="s">
        <v>586</v>
      </c>
      <c r="O4014" s="2" t="s">
        <v>85</v>
      </c>
      <c r="P4014" s="2" t="s">
        <v>626</v>
      </c>
      <c r="Q4014" s="2" t="s">
        <v>627</v>
      </c>
      <c r="R4014" s="2">
        <v>1</v>
      </c>
      <c r="S4014" s="2">
        <v>10.15</v>
      </c>
      <c r="T4014" s="2">
        <v>2.3344999999999998</v>
      </c>
      <c r="U4014" s="2">
        <v>12.484500000000001</v>
      </c>
      <c r="W4014" s="5">
        <f t="shared" si="442"/>
        <v>1</v>
      </c>
      <c r="Y4014" s="2" t="s">
        <v>3256</v>
      </c>
      <c r="Z4014" s="2" t="s">
        <v>88</v>
      </c>
      <c r="AA4014" s="2" t="s">
        <v>61</v>
      </c>
      <c r="AB4014" s="2" t="s">
        <v>85</v>
      </c>
      <c r="AE4014" s="2">
        <f t="shared" si="439"/>
        <v>0</v>
      </c>
      <c r="AI4014" s="2">
        <f t="shared" si="440"/>
        <v>0</v>
      </c>
      <c r="AJ4014" s="2">
        <f t="shared" si="443"/>
        <v>10.15</v>
      </c>
      <c r="AK4014" s="5">
        <f t="shared" si="444"/>
        <v>1</v>
      </c>
    </row>
    <row r="4015" spans="1:37" x14ac:dyDescent="0.2">
      <c r="A4015" s="2">
        <v>2026</v>
      </c>
      <c r="B4015" s="2">
        <v>5</v>
      </c>
      <c r="C4015" s="2" t="s">
        <v>593</v>
      </c>
      <c r="D4015" s="2" t="s">
        <v>38</v>
      </c>
      <c r="E4015" s="2" t="s">
        <v>39</v>
      </c>
      <c r="F4015" s="2">
        <v>510339298</v>
      </c>
      <c r="G4015" s="2" t="s">
        <v>41</v>
      </c>
      <c r="H4015" s="2" t="s">
        <v>178</v>
      </c>
      <c r="I4015" s="2" t="s">
        <v>594</v>
      </c>
      <c r="K4015" s="2" t="s">
        <v>178</v>
      </c>
      <c r="L4015" s="2" t="s">
        <v>40</v>
      </c>
      <c r="O4015" s="2" t="s">
        <v>188</v>
      </c>
      <c r="P4015" s="2" t="s">
        <v>189</v>
      </c>
      <c r="Q4015" s="2" t="s">
        <v>190</v>
      </c>
      <c r="R4015" s="2">
        <v>1</v>
      </c>
      <c r="S4015" s="2">
        <v>76</v>
      </c>
      <c r="T4015" s="2">
        <v>17.48</v>
      </c>
      <c r="U4015" s="2">
        <v>93.48</v>
      </c>
      <c r="V4015" s="2">
        <f>S4015*40%</f>
        <v>30.400000000000002</v>
      </c>
      <c r="W4015" s="5">
        <f t="shared" si="442"/>
        <v>0.6</v>
      </c>
      <c r="Y4015" s="2" t="s">
        <v>118</v>
      </c>
      <c r="Z4015" s="2" t="s">
        <v>191</v>
      </c>
      <c r="AE4015" s="2">
        <f t="shared" si="439"/>
        <v>0</v>
      </c>
      <c r="AF4015" s="2">
        <f>V4015</f>
        <v>30.400000000000002</v>
      </c>
      <c r="AI4015" s="2">
        <f t="shared" si="440"/>
        <v>0</v>
      </c>
      <c r="AJ4015" s="2">
        <f t="shared" si="443"/>
        <v>45.599999999999994</v>
      </c>
      <c r="AK4015" s="5">
        <f t="shared" si="444"/>
        <v>0.6</v>
      </c>
    </row>
    <row r="4016" spans="1:37" x14ac:dyDescent="0.2">
      <c r="A4016" s="2">
        <v>2026</v>
      </c>
      <c r="B4016" s="2">
        <v>5</v>
      </c>
      <c r="C4016" s="2" t="s">
        <v>593</v>
      </c>
      <c r="D4016" s="2" t="s">
        <v>38</v>
      </c>
      <c r="E4016" s="2" t="s">
        <v>39</v>
      </c>
      <c r="F4016" s="2">
        <v>510339298</v>
      </c>
      <c r="G4016" s="2" t="s">
        <v>41</v>
      </c>
      <c r="H4016" s="2" t="s">
        <v>178</v>
      </c>
      <c r="I4016" s="2" t="s">
        <v>594</v>
      </c>
      <c r="K4016" s="2" t="s">
        <v>178</v>
      </c>
      <c r="L4016" s="2" t="s">
        <v>40</v>
      </c>
      <c r="O4016" s="2" t="s">
        <v>188</v>
      </c>
      <c r="P4016" s="2" t="s">
        <v>192</v>
      </c>
      <c r="Q4016" s="2" t="s">
        <v>191</v>
      </c>
      <c r="R4016" s="2">
        <v>1</v>
      </c>
      <c r="S4016" s="2">
        <v>55</v>
      </c>
      <c r="T4016" s="2">
        <v>12.65</v>
      </c>
      <c r="U4016" s="2">
        <v>67.650000000000006</v>
      </c>
      <c r="V4016" s="2">
        <f>S4016*50%</f>
        <v>27.5</v>
      </c>
      <c r="W4016" s="5">
        <f t="shared" si="442"/>
        <v>0.5</v>
      </c>
      <c r="Y4016" s="2" t="s">
        <v>118</v>
      </c>
      <c r="Z4016" s="2" t="s">
        <v>191</v>
      </c>
      <c r="AE4016" s="2">
        <f t="shared" si="439"/>
        <v>0</v>
      </c>
      <c r="AF4016" s="2">
        <f>V4016</f>
        <v>27.5</v>
      </c>
      <c r="AI4016" s="2">
        <f t="shared" si="440"/>
        <v>0</v>
      </c>
      <c r="AJ4016" s="2">
        <f t="shared" ref="AJ4016:AJ4044" si="445">S4016-V4016</f>
        <v>27.5</v>
      </c>
      <c r="AK4016" s="5">
        <f t="shared" ref="AK4016:AK4044" si="446">(S4016-V4016)/S4016</f>
        <v>0.5</v>
      </c>
    </row>
    <row r="4017" spans="1:37" x14ac:dyDescent="0.2">
      <c r="A4017" s="2">
        <v>2026</v>
      </c>
      <c r="B4017" s="2">
        <v>5</v>
      </c>
      <c r="C4017" s="2" t="s">
        <v>593</v>
      </c>
      <c r="D4017" s="2" t="s">
        <v>38</v>
      </c>
      <c r="E4017" s="2" t="s">
        <v>39</v>
      </c>
      <c r="F4017" s="2">
        <v>510339298</v>
      </c>
      <c r="G4017" s="2" t="s">
        <v>41</v>
      </c>
      <c r="H4017" s="2" t="s">
        <v>178</v>
      </c>
      <c r="I4017" s="2" t="s">
        <v>594</v>
      </c>
      <c r="K4017" s="2" t="s">
        <v>178</v>
      </c>
      <c r="O4017" s="2" t="s">
        <v>40</v>
      </c>
      <c r="P4017" s="2" t="s">
        <v>364</v>
      </c>
      <c r="Q4017" s="2" t="s">
        <v>365</v>
      </c>
      <c r="R4017" s="2">
        <v>1</v>
      </c>
      <c r="S4017" s="2">
        <v>5.99</v>
      </c>
      <c r="T4017" s="2">
        <v>1.3776999999999999</v>
      </c>
      <c r="U4017" s="2">
        <v>7.3677000000000001</v>
      </c>
      <c r="W4017" s="5">
        <f t="shared" si="442"/>
        <v>1</v>
      </c>
      <c r="Y4017" s="2" t="s">
        <v>120</v>
      </c>
      <c r="AE4017" s="2">
        <f t="shared" si="439"/>
        <v>0</v>
      </c>
      <c r="AI4017" s="2">
        <f t="shared" si="440"/>
        <v>0</v>
      </c>
      <c r="AJ4017" s="2">
        <f t="shared" si="445"/>
        <v>5.99</v>
      </c>
      <c r="AK4017" s="5">
        <f t="shared" si="446"/>
        <v>1</v>
      </c>
    </row>
    <row r="4018" spans="1:37" x14ac:dyDescent="0.2">
      <c r="A4018" s="2">
        <v>2026</v>
      </c>
      <c r="B4018" s="2">
        <v>5</v>
      </c>
      <c r="C4018" s="2" t="s">
        <v>1759</v>
      </c>
      <c r="D4018" s="2" t="s">
        <v>99</v>
      </c>
      <c r="E4018" s="2" t="s">
        <v>39</v>
      </c>
      <c r="F4018" s="2">
        <v>502368519</v>
      </c>
      <c r="G4018" s="2" t="s">
        <v>41</v>
      </c>
      <c r="H4018" s="2" t="s">
        <v>1135</v>
      </c>
      <c r="I4018" s="2" t="s">
        <v>1760</v>
      </c>
      <c r="J4018" s="2">
        <v>968602188</v>
      </c>
      <c r="K4018" s="2" t="s">
        <v>465</v>
      </c>
      <c r="L4018" s="2" t="s">
        <v>40</v>
      </c>
      <c r="N4018" s="2" t="s">
        <v>3035</v>
      </c>
      <c r="O4018" s="2" t="s">
        <v>115</v>
      </c>
      <c r="P4018" s="2" t="s">
        <v>1483</v>
      </c>
      <c r="Q4018" s="2" t="s">
        <v>1484</v>
      </c>
      <c r="R4018" s="2">
        <v>1</v>
      </c>
      <c r="S4018" s="2">
        <v>699.3</v>
      </c>
      <c r="T4018" s="2">
        <v>160.839</v>
      </c>
      <c r="U4018" s="2">
        <v>860.1389999999999</v>
      </c>
      <c r="V4018" s="2">
        <v>343.38</v>
      </c>
      <c r="W4018" s="5">
        <f t="shared" si="442"/>
        <v>0.50896610896610894</v>
      </c>
      <c r="Y4018" s="2" t="s">
        <v>118</v>
      </c>
      <c r="Z4018" s="2" t="s">
        <v>182</v>
      </c>
      <c r="AE4018" s="2">
        <f t="shared" si="439"/>
        <v>0</v>
      </c>
      <c r="AF4018" s="2">
        <v>343.38</v>
      </c>
      <c r="AI4018" s="2">
        <f t="shared" si="440"/>
        <v>0</v>
      </c>
      <c r="AJ4018" s="2">
        <f t="shared" si="445"/>
        <v>355.91999999999996</v>
      </c>
      <c r="AK4018" s="5">
        <f t="shared" si="446"/>
        <v>0.50896610896610894</v>
      </c>
    </row>
    <row r="4019" spans="1:37" x14ac:dyDescent="0.2">
      <c r="A4019" s="2">
        <v>2026</v>
      </c>
      <c r="B4019" s="2">
        <v>5</v>
      </c>
      <c r="C4019" s="2" t="s">
        <v>1759</v>
      </c>
      <c r="D4019" s="2" t="s">
        <v>99</v>
      </c>
      <c r="E4019" s="2" t="s">
        <v>39</v>
      </c>
      <c r="F4019" s="2">
        <v>502368519</v>
      </c>
      <c r="G4019" s="2" t="s">
        <v>41</v>
      </c>
      <c r="H4019" s="2" t="s">
        <v>1135</v>
      </c>
      <c r="I4019" s="2" t="s">
        <v>1760</v>
      </c>
      <c r="J4019" s="2">
        <v>968602188</v>
      </c>
      <c r="K4019" s="2" t="s">
        <v>465</v>
      </c>
      <c r="L4019" s="2" t="s">
        <v>40</v>
      </c>
      <c r="N4019" s="2" t="s">
        <v>3035</v>
      </c>
      <c r="O4019" s="2" t="s">
        <v>188</v>
      </c>
      <c r="P4019" s="2" t="s">
        <v>189</v>
      </c>
      <c r="Q4019" s="2" t="s">
        <v>190</v>
      </c>
      <c r="R4019" s="2">
        <v>1</v>
      </c>
      <c r="S4019" s="2">
        <v>225</v>
      </c>
      <c r="T4019" s="2">
        <v>51.75</v>
      </c>
      <c r="U4019" s="2">
        <v>276.75</v>
      </c>
      <c r="V4019" s="2">
        <f>S4019*40%</f>
        <v>90</v>
      </c>
      <c r="W4019" s="5">
        <f t="shared" si="442"/>
        <v>0.6</v>
      </c>
      <c r="Y4019" s="2" t="s">
        <v>118</v>
      </c>
      <c r="Z4019" s="2" t="s">
        <v>191</v>
      </c>
      <c r="AE4019" s="2">
        <f t="shared" si="439"/>
        <v>0</v>
      </c>
      <c r="AF4019" s="2">
        <f>V4019</f>
        <v>90</v>
      </c>
      <c r="AI4019" s="2">
        <f t="shared" si="440"/>
        <v>0</v>
      </c>
      <c r="AJ4019" s="2">
        <f t="shared" si="445"/>
        <v>135</v>
      </c>
      <c r="AK4019" s="5">
        <f t="shared" si="446"/>
        <v>0.6</v>
      </c>
    </row>
    <row r="4020" spans="1:37" x14ac:dyDescent="0.2">
      <c r="A4020" s="2">
        <v>2026</v>
      </c>
      <c r="B4020" s="2">
        <v>5</v>
      </c>
      <c r="C4020" s="2" t="s">
        <v>1759</v>
      </c>
      <c r="D4020" s="2" t="s">
        <v>99</v>
      </c>
      <c r="E4020" s="2" t="s">
        <v>39</v>
      </c>
      <c r="F4020" s="2">
        <v>502368519</v>
      </c>
      <c r="G4020" s="2" t="s">
        <v>41</v>
      </c>
      <c r="H4020" s="2" t="s">
        <v>1135</v>
      </c>
      <c r="I4020" s="2" t="s">
        <v>1760</v>
      </c>
      <c r="J4020" s="2">
        <v>968602188</v>
      </c>
      <c r="K4020" s="2" t="s">
        <v>465</v>
      </c>
      <c r="L4020" s="2" t="s">
        <v>40</v>
      </c>
      <c r="N4020" s="2" t="s">
        <v>3035</v>
      </c>
      <c r="O4020" s="2" t="s">
        <v>188</v>
      </c>
      <c r="P4020" s="2" t="s">
        <v>192</v>
      </c>
      <c r="Q4020" s="2" t="s">
        <v>191</v>
      </c>
      <c r="R4020" s="2">
        <v>1</v>
      </c>
      <c r="S4020" s="2">
        <v>0</v>
      </c>
      <c r="T4020" s="2">
        <v>0</v>
      </c>
      <c r="U4020" s="2">
        <v>0</v>
      </c>
      <c r="V4020" s="2">
        <v>0</v>
      </c>
      <c r="W4020" s="5">
        <v>0</v>
      </c>
      <c r="Y4020" s="2" t="s">
        <v>118</v>
      </c>
      <c r="Z4020" s="2" t="s">
        <v>191</v>
      </c>
      <c r="AE4020" s="2">
        <f t="shared" si="439"/>
        <v>0</v>
      </c>
      <c r="AF4020" s="2">
        <f>V4020</f>
        <v>0</v>
      </c>
      <c r="AI4020" s="2">
        <f t="shared" si="440"/>
        <v>0</v>
      </c>
      <c r="AJ4020" s="2">
        <f t="shared" si="445"/>
        <v>0</v>
      </c>
      <c r="AK4020" s="5" t="e">
        <f t="shared" si="446"/>
        <v>#DIV/0!</v>
      </c>
    </row>
    <row r="4021" spans="1:37" x14ac:dyDescent="0.2">
      <c r="A4021" s="2">
        <v>2026</v>
      </c>
      <c r="B4021" s="2">
        <v>5</v>
      </c>
      <c r="C4021" s="2" t="s">
        <v>1305</v>
      </c>
      <c r="D4021" s="2" t="s">
        <v>184</v>
      </c>
      <c r="E4021" s="2" t="s">
        <v>368</v>
      </c>
      <c r="F4021" s="2">
        <v>500625654</v>
      </c>
      <c r="G4021" s="2" t="s">
        <v>291</v>
      </c>
      <c r="H4021" s="2" t="s">
        <v>340</v>
      </c>
      <c r="I4021" s="2" t="s">
        <v>1306</v>
      </c>
      <c r="K4021" s="2" t="s">
        <v>340</v>
      </c>
      <c r="L4021" s="2" t="s">
        <v>81</v>
      </c>
      <c r="N4021" s="2" t="s">
        <v>3036</v>
      </c>
      <c r="O4021" s="2" t="s">
        <v>73</v>
      </c>
      <c r="P4021" s="2" t="s">
        <v>79</v>
      </c>
      <c r="Q4021" s="2" t="s">
        <v>80</v>
      </c>
      <c r="R4021" s="2">
        <v>1</v>
      </c>
      <c r="S4021" s="2">
        <v>210</v>
      </c>
      <c r="T4021" s="2">
        <v>48.3</v>
      </c>
      <c r="U4021" s="2">
        <v>258.3</v>
      </c>
      <c r="V4021" s="2">
        <v>111.98</v>
      </c>
      <c r="W4021" s="5">
        <f t="shared" ref="W4021:W4047" si="447">(S4021-V4021)/S4021</f>
        <v>0.46676190476190477</v>
      </c>
      <c r="Y4021" s="2" t="s">
        <v>3256</v>
      </c>
      <c r="Z4021" s="2" t="s">
        <v>76</v>
      </c>
      <c r="AA4021" s="2" t="s">
        <v>77</v>
      </c>
      <c r="AB4021" s="2" t="s">
        <v>78</v>
      </c>
      <c r="AE4021" s="2">
        <f t="shared" si="439"/>
        <v>0</v>
      </c>
      <c r="AF4021" s="2">
        <v>111.98</v>
      </c>
      <c r="AG4021" s="2">
        <v>210</v>
      </c>
      <c r="AI4021" s="2">
        <f t="shared" si="440"/>
        <v>0</v>
      </c>
      <c r="AJ4021" s="2">
        <f t="shared" si="445"/>
        <v>98.02</v>
      </c>
      <c r="AK4021" s="5">
        <f t="shared" si="446"/>
        <v>0.46676190476190477</v>
      </c>
    </row>
    <row r="4022" spans="1:37" x14ac:dyDescent="0.2">
      <c r="A4022" s="2">
        <v>2026</v>
      </c>
      <c r="B4022" s="2">
        <v>5</v>
      </c>
      <c r="C4022" s="2" t="s">
        <v>1305</v>
      </c>
      <c r="D4022" s="2" t="s">
        <v>184</v>
      </c>
      <c r="E4022" s="2" t="s">
        <v>368</v>
      </c>
      <c r="F4022" s="2">
        <v>500625654</v>
      </c>
      <c r="G4022" s="2" t="s">
        <v>291</v>
      </c>
      <c r="H4022" s="2" t="s">
        <v>340</v>
      </c>
      <c r="I4022" s="2" t="s">
        <v>1306</v>
      </c>
      <c r="K4022" s="2" t="s">
        <v>340</v>
      </c>
      <c r="L4022" s="2" t="s">
        <v>81</v>
      </c>
      <c r="N4022" s="2" t="s">
        <v>3036</v>
      </c>
      <c r="O4022" s="2" t="s">
        <v>94</v>
      </c>
      <c r="P4022" s="2" t="s">
        <v>95</v>
      </c>
      <c r="Q4022" s="2" t="s">
        <v>96</v>
      </c>
      <c r="R4022" s="2">
        <v>1</v>
      </c>
      <c r="S4022" s="2">
        <v>1.48</v>
      </c>
      <c r="T4022" s="2">
        <v>0.34039999999999998</v>
      </c>
      <c r="U4022" s="2">
        <v>1.8204</v>
      </c>
      <c r="V4022" s="2">
        <v>1.48</v>
      </c>
      <c r="W4022" s="5">
        <f t="shared" si="447"/>
        <v>0</v>
      </c>
      <c r="Y4022" s="2" t="s">
        <v>3256</v>
      </c>
      <c r="Z4022" s="2" t="s">
        <v>97</v>
      </c>
      <c r="AA4022" s="2" t="s">
        <v>77</v>
      </c>
      <c r="AB4022" s="2" t="s">
        <v>94</v>
      </c>
      <c r="AE4022" s="2">
        <f t="shared" si="439"/>
        <v>0</v>
      </c>
      <c r="AF4022" s="2">
        <v>1.48</v>
      </c>
      <c r="AG4022" s="2">
        <v>1.48</v>
      </c>
      <c r="AI4022" s="2">
        <f>AH4022*S4022</f>
        <v>0</v>
      </c>
      <c r="AJ4022" s="2">
        <f t="shared" si="445"/>
        <v>0</v>
      </c>
      <c r="AK4022" s="5">
        <f t="shared" si="446"/>
        <v>0</v>
      </c>
    </row>
    <row r="4023" spans="1:37" x14ac:dyDescent="0.2">
      <c r="A4023" s="2">
        <v>2026</v>
      </c>
      <c r="B4023" s="2">
        <v>5</v>
      </c>
      <c r="C4023" s="2" t="s">
        <v>623</v>
      </c>
      <c r="D4023" s="2" t="s">
        <v>38</v>
      </c>
      <c r="E4023" s="2" t="s">
        <v>39</v>
      </c>
      <c r="F4023" s="2">
        <v>513759654</v>
      </c>
      <c r="G4023" s="2" t="s">
        <v>41</v>
      </c>
      <c r="H4023" s="2" t="s">
        <v>624</v>
      </c>
      <c r="I4023" s="2" t="s">
        <v>625</v>
      </c>
      <c r="K4023" s="2" t="s">
        <v>422</v>
      </c>
      <c r="L4023" s="2" t="s">
        <v>41</v>
      </c>
      <c r="O4023" s="2" t="s">
        <v>43</v>
      </c>
      <c r="P4023" s="2" t="s">
        <v>1373</v>
      </c>
      <c r="Q4023" s="2" t="s">
        <v>1374</v>
      </c>
      <c r="R4023" s="2">
        <v>2</v>
      </c>
      <c r="S4023" s="2">
        <v>68.400000000000006</v>
      </c>
      <c r="T4023" s="2">
        <v>15.731999999999999</v>
      </c>
      <c r="U4023" s="2">
        <v>84.132000000000005</v>
      </c>
      <c r="W4023" s="5">
        <f t="shared" si="447"/>
        <v>1</v>
      </c>
      <c r="Y4023" s="2" t="s">
        <v>3256</v>
      </c>
      <c r="Z4023" s="2" t="s">
        <v>46</v>
      </c>
      <c r="AA4023" s="2" t="s">
        <v>47</v>
      </c>
      <c r="AB4023" s="2" t="s">
        <v>48</v>
      </c>
      <c r="AE4023" s="2">
        <f t="shared" si="439"/>
        <v>0</v>
      </c>
      <c r="AI4023" s="2">
        <f t="shared" si="440"/>
        <v>0</v>
      </c>
      <c r="AJ4023" s="2">
        <f t="shared" si="445"/>
        <v>68.400000000000006</v>
      </c>
      <c r="AK4023" s="5">
        <f t="shared" si="446"/>
        <v>1</v>
      </c>
    </row>
    <row r="4024" spans="1:37" x14ac:dyDescent="0.2">
      <c r="A4024" s="2">
        <v>2026</v>
      </c>
      <c r="B4024" s="2">
        <v>5</v>
      </c>
      <c r="C4024" s="2" t="s">
        <v>623</v>
      </c>
      <c r="D4024" s="2" t="s">
        <v>38</v>
      </c>
      <c r="E4024" s="2" t="s">
        <v>39</v>
      </c>
      <c r="F4024" s="2">
        <v>513759654</v>
      </c>
      <c r="G4024" s="2" t="s">
        <v>41</v>
      </c>
      <c r="H4024" s="2" t="s">
        <v>624</v>
      </c>
      <c r="I4024" s="2" t="s">
        <v>625</v>
      </c>
      <c r="K4024" s="2" t="s">
        <v>422</v>
      </c>
      <c r="L4024" s="2" t="s">
        <v>41</v>
      </c>
      <c r="O4024" s="2" t="s">
        <v>43</v>
      </c>
      <c r="P4024" s="2" t="s">
        <v>161</v>
      </c>
      <c r="Q4024" s="2" t="s">
        <v>162</v>
      </c>
      <c r="R4024" s="2">
        <v>2</v>
      </c>
      <c r="S4024" s="2">
        <v>18</v>
      </c>
      <c r="T4024" s="2">
        <v>4.1400000000000006</v>
      </c>
      <c r="U4024" s="2">
        <v>22.14</v>
      </c>
      <c r="V4024" s="2">
        <f>3.7358*R4024</f>
        <v>7.4715999999999996</v>
      </c>
      <c r="W4024" s="5">
        <f t="shared" si="447"/>
        <v>0.58491111111111116</v>
      </c>
      <c r="Y4024" s="2" t="s">
        <v>3256</v>
      </c>
      <c r="Z4024" s="2" t="s">
        <v>46</v>
      </c>
      <c r="AA4024" s="2" t="s">
        <v>47</v>
      </c>
      <c r="AB4024" s="2" t="s">
        <v>48</v>
      </c>
      <c r="AE4024" s="2">
        <f t="shared" si="439"/>
        <v>0</v>
      </c>
      <c r="AF4024" s="2">
        <v>3.7357999999999998</v>
      </c>
      <c r="AG4024" s="2">
        <v>9</v>
      </c>
      <c r="AI4024" s="2">
        <f t="shared" si="440"/>
        <v>0</v>
      </c>
      <c r="AJ4024" s="2">
        <f t="shared" si="445"/>
        <v>10.528400000000001</v>
      </c>
      <c r="AK4024" s="5">
        <f t="shared" si="446"/>
        <v>0.58491111111111116</v>
      </c>
    </row>
    <row r="4025" spans="1:37" x14ac:dyDescent="0.2">
      <c r="A4025" s="2">
        <v>2026</v>
      </c>
      <c r="B4025" s="2">
        <v>5</v>
      </c>
      <c r="C4025" s="2" t="s">
        <v>623</v>
      </c>
      <c r="D4025" s="2" t="s">
        <v>38</v>
      </c>
      <c r="E4025" s="2" t="s">
        <v>39</v>
      </c>
      <c r="F4025" s="2">
        <v>513759654</v>
      </c>
      <c r="G4025" s="2" t="s">
        <v>41</v>
      </c>
      <c r="H4025" s="2" t="s">
        <v>624</v>
      </c>
      <c r="I4025" s="2" t="s">
        <v>625</v>
      </c>
      <c r="K4025" s="2" t="s">
        <v>422</v>
      </c>
      <c r="L4025" s="2" t="s">
        <v>41</v>
      </c>
      <c r="O4025" s="2" t="s">
        <v>43</v>
      </c>
      <c r="P4025" s="2" t="s">
        <v>55</v>
      </c>
      <c r="Q4025" s="2" t="s">
        <v>56</v>
      </c>
      <c r="R4025" s="2">
        <v>10</v>
      </c>
      <c r="S4025" s="2">
        <v>145</v>
      </c>
      <c r="T4025" s="2">
        <v>33.35</v>
      </c>
      <c r="U4025" s="2">
        <v>178.35</v>
      </c>
      <c r="V4025" s="2">
        <f>10.6*R4025</f>
        <v>106</v>
      </c>
      <c r="W4025" s="5">
        <f t="shared" si="447"/>
        <v>0.26896551724137929</v>
      </c>
      <c r="Y4025" s="2" t="s">
        <v>3256</v>
      </c>
      <c r="Z4025" s="2" t="s">
        <v>46</v>
      </c>
      <c r="AA4025" s="2" t="s">
        <v>57</v>
      </c>
      <c r="AB4025" s="2" t="s">
        <v>58</v>
      </c>
      <c r="AE4025" s="2">
        <f t="shared" si="439"/>
        <v>0</v>
      </c>
      <c r="AF4025" s="2">
        <v>10.6</v>
      </c>
      <c r="AG4025" s="2">
        <v>18</v>
      </c>
      <c r="AI4025" s="2">
        <f t="shared" si="440"/>
        <v>0</v>
      </c>
      <c r="AJ4025" s="2">
        <f t="shared" si="445"/>
        <v>39</v>
      </c>
      <c r="AK4025" s="5">
        <f t="shared" si="446"/>
        <v>0.26896551724137929</v>
      </c>
    </row>
    <row r="4026" spans="1:37" x14ac:dyDescent="0.2">
      <c r="A4026" s="2">
        <v>2026</v>
      </c>
      <c r="B4026" s="2">
        <v>5</v>
      </c>
      <c r="C4026" s="2" t="s">
        <v>623</v>
      </c>
      <c r="D4026" s="2" t="s">
        <v>38</v>
      </c>
      <c r="E4026" s="2" t="s">
        <v>39</v>
      </c>
      <c r="F4026" s="2">
        <v>513759654</v>
      </c>
      <c r="G4026" s="2" t="s">
        <v>41</v>
      </c>
      <c r="H4026" s="2" t="s">
        <v>624</v>
      </c>
      <c r="I4026" s="2" t="s">
        <v>625</v>
      </c>
      <c r="K4026" s="2" t="s">
        <v>422</v>
      </c>
      <c r="L4026" s="2" t="s">
        <v>41</v>
      </c>
      <c r="N4026" s="2" t="s">
        <v>3037</v>
      </c>
      <c r="O4026" s="2" t="s">
        <v>43</v>
      </c>
      <c r="P4026" s="2" t="s">
        <v>59</v>
      </c>
      <c r="Q4026" s="2" t="s">
        <v>60</v>
      </c>
      <c r="R4026" s="2">
        <v>300</v>
      </c>
      <c r="S4026" s="2">
        <v>39</v>
      </c>
      <c r="T4026" s="2">
        <v>8.9700000000000006</v>
      </c>
      <c r="U4026" s="2">
        <v>47.97</v>
      </c>
      <c r="V4026" s="2">
        <f>0.0914*R4026</f>
        <v>27.419999999999998</v>
      </c>
      <c r="W4026" s="5">
        <f t="shared" si="447"/>
        <v>0.29692307692307696</v>
      </c>
      <c r="Y4026" s="2" t="s">
        <v>3256</v>
      </c>
      <c r="Z4026" s="2" t="s">
        <v>46</v>
      </c>
      <c r="AA4026" s="2" t="s">
        <v>61</v>
      </c>
      <c r="AB4026" s="2" t="s">
        <v>58</v>
      </c>
      <c r="AE4026" s="2">
        <f t="shared" si="439"/>
        <v>0</v>
      </c>
      <c r="AF4026" s="2">
        <v>9.14</v>
      </c>
      <c r="AG4026" s="2">
        <v>16</v>
      </c>
      <c r="AI4026" s="2">
        <f t="shared" si="440"/>
        <v>0</v>
      </c>
      <c r="AJ4026" s="2">
        <f t="shared" si="445"/>
        <v>11.580000000000002</v>
      </c>
      <c r="AK4026" s="5">
        <f t="shared" si="446"/>
        <v>0.29692307692307696</v>
      </c>
    </row>
    <row r="4027" spans="1:37" x14ac:dyDescent="0.2">
      <c r="A4027" s="2">
        <v>2026</v>
      </c>
      <c r="B4027" s="2">
        <v>5</v>
      </c>
      <c r="C4027" s="2" t="s">
        <v>623</v>
      </c>
      <c r="D4027" s="2" t="s">
        <v>38</v>
      </c>
      <c r="E4027" s="2" t="s">
        <v>39</v>
      </c>
      <c r="F4027" s="2">
        <v>513759654</v>
      </c>
      <c r="G4027" s="2" t="s">
        <v>41</v>
      </c>
      <c r="H4027" s="2" t="s">
        <v>624</v>
      </c>
      <c r="I4027" s="2" t="s">
        <v>625</v>
      </c>
      <c r="K4027" s="2" t="s">
        <v>422</v>
      </c>
      <c r="L4027" s="2" t="s">
        <v>41</v>
      </c>
      <c r="O4027" s="2" t="s">
        <v>43</v>
      </c>
      <c r="P4027" s="2" t="s">
        <v>62</v>
      </c>
      <c r="Q4027" s="2" t="s">
        <v>63</v>
      </c>
      <c r="R4027" s="2">
        <v>300</v>
      </c>
      <c r="S4027" s="2">
        <v>39</v>
      </c>
      <c r="T4027" s="2">
        <v>8.9700000000000006</v>
      </c>
      <c r="U4027" s="2">
        <v>47.97</v>
      </c>
      <c r="V4027" s="2">
        <f>0.082*R4027</f>
        <v>24.6</v>
      </c>
      <c r="W4027" s="5">
        <f t="shared" si="447"/>
        <v>0.3692307692307692</v>
      </c>
      <c r="Y4027" s="2" t="s">
        <v>3256</v>
      </c>
      <c r="Z4027" s="2" t="s">
        <v>46</v>
      </c>
      <c r="AA4027" s="2" t="s">
        <v>61</v>
      </c>
      <c r="AB4027" s="2" t="s">
        <v>58</v>
      </c>
      <c r="AE4027" s="2">
        <f t="shared" si="439"/>
        <v>0</v>
      </c>
      <c r="AF4027" s="2">
        <v>8.1999999999999993</v>
      </c>
      <c r="AG4027" s="2">
        <v>13</v>
      </c>
      <c r="AI4027" s="2">
        <f t="shared" si="440"/>
        <v>0</v>
      </c>
      <c r="AJ4027" s="2">
        <f t="shared" si="445"/>
        <v>14.399999999999999</v>
      </c>
      <c r="AK4027" s="5">
        <f t="shared" si="446"/>
        <v>0.3692307692307692</v>
      </c>
    </row>
    <row r="4028" spans="1:37" x14ac:dyDescent="0.2">
      <c r="A4028" s="2">
        <v>2026</v>
      </c>
      <c r="B4028" s="2">
        <v>5</v>
      </c>
      <c r="C4028" s="2" t="s">
        <v>623</v>
      </c>
      <c r="D4028" s="2" t="s">
        <v>38</v>
      </c>
      <c r="E4028" s="2" t="s">
        <v>39</v>
      </c>
      <c r="F4028" s="2">
        <v>513759654</v>
      </c>
      <c r="G4028" s="2" t="s">
        <v>41</v>
      </c>
      <c r="H4028" s="2" t="s">
        <v>624</v>
      </c>
      <c r="I4028" s="2" t="s">
        <v>625</v>
      </c>
      <c r="K4028" s="2" t="s">
        <v>422</v>
      </c>
      <c r="L4028" s="2" t="s">
        <v>41</v>
      </c>
      <c r="N4028" s="2" t="s">
        <v>3038</v>
      </c>
      <c r="O4028" s="2" t="s">
        <v>43</v>
      </c>
      <c r="P4028" s="2" t="s">
        <v>3039</v>
      </c>
      <c r="Q4028" s="2" t="s">
        <v>3040</v>
      </c>
      <c r="R4028" s="2">
        <v>12</v>
      </c>
      <c r="S4028" s="2">
        <v>28.8</v>
      </c>
      <c r="T4028" s="2">
        <v>6.6240000000000014</v>
      </c>
      <c r="U4028" s="2">
        <v>35.423999999999999</v>
      </c>
      <c r="V4028" s="2">
        <f>0.903*R4028</f>
        <v>10.836</v>
      </c>
      <c r="W4028" s="5">
        <f t="shared" si="447"/>
        <v>0.62374999999999992</v>
      </c>
      <c r="Y4028" s="2" t="s">
        <v>3256</v>
      </c>
      <c r="Z4028" s="2" t="s">
        <v>46</v>
      </c>
      <c r="AA4028" s="2" t="s">
        <v>61</v>
      </c>
      <c r="AB4028" s="2" t="s">
        <v>58</v>
      </c>
      <c r="AE4028" s="2">
        <f t="shared" si="439"/>
        <v>0</v>
      </c>
      <c r="AF4028" s="2">
        <v>0.90300000000000002</v>
      </c>
      <c r="AG4028" s="2">
        <v>2.4</v>
      </c>
      <c r="AI4028" s="2">
        <f t="shared" si="440"/>
        <v>0</v>
      </c>
      <c r="AJ4028" s="2">
        <f t="shared" si="445"/>
        <v>17.963999999999999</v>
      </c>
      <c r="AK4028" s="5">
        <f t="shared" si="446"/>
        <v>0.62374999999999992</v>
      </c>
    </row>
    <row r="4029" spans="1:37" x14ac:dyDescent="0.2">
      <c r="A4029" s="2">
        <v>2026</v>
      </c>
      <c r="B4029" s="2">
        <v>5</v>
      </c>
      <c r="C4029" s="2" t="s">
        <v>623</v>
      </c>
      <c r="D4029" s="2" t="s">
        <v>38</v>
      </c>
      <c r="E4029" s="2" t="s">
        <v>39</v>
      </c>
      <c r="F4029" s="2">
        <v>513759654</v>
      </c>
      <c r="G4029" s="2" t="s">
        <v>41</v>
      </c>
      <c r="H4029" s="2" t="s">
        <v>624</v>
      </c>
      <c r="I4029" s="2" t="s">
        <v>625</v>
      </c>
      <c r="K4029" s="2" t="s">
        <v>422</v>
      </c>
      <c r="L4029" s="2" t="s">
        <v>41</v>
      </c>
      <c r="N4029" s="2" t="s">
        <v>3038</v>
      </c>
      <c r="O4029" s="2" t="s">
        <v>43</v>
      </c>
      <c r="P4029" s="2" t="s">
        <v>3041</v>
      </c>
      <c r="Q4029" s="2" t="s">
        <v>3042</v>
      </c>
      <c r="R4029" s="2">
        <v>12</v>
      </c>
      <c r="S4029" s="2">
        <v>28.8</v>
      </c>
      <c r="T4029" s="2">
        <v>6.6240000000000014</v>
      </c>
      <c r="U4029" s="2">
        <v>35.423999999999999</v>
      </c>
      <c r="V4029" s="2">
        <f>0.902*R4029</f>
        <v>10.824</v>
      </c>
      <c r="W4029" s="5">
        <f t="shared" si="447"/>
        <v>0.62416666666666665</v>
      </c>
      <c r="Y4029" s="2" t="s">
        <v>3256</v>
      </c>
      <c r="Z4029" s="2" t="s">
        <v>46</v>
      </c>
      <c r="AA4029" s="2" t="s">
        <v>61</v>
      </c>
      <c r="AB4029" s="2" t="s">
        <v>58</v>
      </c>
      <c r="AE4029" s="2">
        <f t="shared" si="439"/>
        <v>0</v>
      </c>
      <c r="AF4029" s="2">
        <v>0.90200000000000002</v>
      </c>
      <c r="AG4029" s="2">
        <v>2.8</v>
      </c>
      <c r="AI4029" s="2">
        <f t="shared" si="440"/>
        <v>0</v>
      </c>
      <c r="AJ4029" s="2">
        <f t="shared" si="445"/>
        <v>17.975999999999999</v>
      </c>
      <c r="AK4029" s="5">
        <f t="shared" si="446"/>
        <v>0.62416666666666665</v>
      </c>
    </row>
    <row r="4030" spans="1:37" x14ac:dyDescent="0.2">
      <c r="A4030" s="2">
        <v>2026</v>
      </c>
      <c r="B4030" s="2">
        <v>5</v>
      </c>
      <c r="C4030" s="2" t="s">
        <v>630</v>
      </c>
      <c r="D4030" s="2" t="s">
        <v>38</v>
      </c>
      <c r="E4030" s="2" t="s">
        <v>39</v>
      </c>
      <c r="F4030" s="2" t="s">
        <v>631</v>
      </c>
      <c r="G4030" s="2" t="s">
        <v>40</v>
      </c>
      <c r="H4030" s="2" t="s">
        <v>632</v>
      </c>
      <c r="I4030" s="2" t="s">
        <v>633</v>
      </c>
      <c r="K4030" s="2" t="s">
        <v>632</v>
      </c>
      <c r="L4030" s="2" t="s">
        <v>40</v>
      </c>
      <c r="N4030" s="2" t="s">
        <v>3043</v>
      </c>
      <c r="O4030" s="2" t="s">
        <v>115</v>
      </c>
      <c r="P4030" s="2" t="s">
        <v>3044</v>
      </c>
      <c r="Q4030" s="2" t="s">
        <v>3045</v>
      </c>
      <c r="R4030" s="2">
        <v>2</v>
      </c>
      <c r="S4030" s="2">
        <v>351.42</v>
      </c>
      <c r="T4030" s="2">
        <v>80.826600000000013</v>
      </c>
      <c r="U4030" s="2">
        <v>432.24660000000011</v>
      </c>
      <c r="V4030" s="2">
        <f>106.17*R4030</f>
        <v>212.34</v>
      </c>
      <c r="W4030" s="5">
        <f t="shared" si="447"/>
        <v>0.39576575038415573</v>
      </c>
      <c r="Y4030" s="2" t="s">
        <v>118</v>
      </c>
      <c r="Z4030" s="2" t="s">
        <v>583</v>
      </c>
      <c r="AA4030" s="2" t="s">
        <v>120</v>
      </c>
      <c r="AB4030" s="2" t="s">
        <v>115</v>
      </c>
      <c r="AE4030" s="2">
        <f t="shared" si="439"/>
        <v>0</v>
      </c>
      <c r="AF4030" s="2">
        <f>104.4+1.77</f>
        <v>106.17</v>
      </c>
      <c r="AI4030" s="2">
        <f t="shared" si="440"/>
        <v>0</v>
      </c>
      <c r="AJ4030" s="2">
        <f t="shared" si="445"/>
        <v>139.08000000000001</v>
      </c>
      <c r="AK4030" s="5">
        <f t="shared" si="446"/>
        <v>0.39576575038415573</v>
      </c>
    </row>
    <row r="4031" spans="1:37" x14ac:dyDescent="0.2">
      <c r="A4031" s="2">
        <v>2026</v>
      </c>
      <c r="B4031" s="2">
        <v>5</v>
      </c>
      <c r="C4031" s="2" t="s">
        <v>630</v>
      </c>
      <c r="D4031" s="2" t="s">
        <v>38</v>
      </c>
      <c r="E4031" s="2" t="s">
        <v>39</v>
      </c>
      <c r="F4031" s="2" t="s">
        <v>631</v>
      </c>
      <c r="G4031" s="2" t="s">
        <v>40</v>
      </c>
      <c r="H4031" s="2" t="s">
        <v>632</v>
      </c>
      <c r="I4031" s="2" t="s">
        <v>633</v>
      </c>
      <c r="K4031" s="2" t="s">
        <v>632</v>
      </c>
      <c r="L4031" s="2" t="s">
        <v>40</v>
      </c>
      <c r="N4031" s="2" t="s">
        <v>3046</v>
      </c>
      <c r="O4031" s="2" t="s">
        <v>115</v>
      </c>
      <c r="P4031" s="2" t="s">
        <v>911</v>
      </c>
      <c r="Q4031" s="2" t="s">
        <v>912</v>
      </c>
      <c r="R4031" s="2">
        <v>1</v>
      </c>
      <c r="S4031" s="2">
        <v>465.7</v>
      </c>
      <c r="T4031" s="2">
        <v>107.111</v>
      </c>
      <c r="U4031" s="2">
        <v>572.81100000000004</v>
      </c>
      <c r="V4031" s="2">
        <v>342.22</v>
      </c>
      <c r="W4031" s="5">
        <f t="shared" si="447"/>
        <v>0.26514923770667803</v>
      </c>
      <c r="Y4031" s="2" t="s">
        <v>118</v>
      </c>
      <c r="Z4031" s="2" t="s">
        <v>182</v>
      </c>
      <c r="AE4031" s="2">
        <f t="shared" si="439"/>
        <v>0</v>
      </c>
      <c r="AF4031" s="2">
        <v>342.22</v>
      </c>
      <c r="AI4031" s="2">
        <f t="shared" si="440"/>
        <v>0</v>
      </c>
      <c r="AJ4031" s="2">
        <f t="shared" si="445"/>
        <v>123.47999999999996</v>
      </c>
      <c r="AK4031" s="5">
        <f t="shared" si="446"/>
        <v>0.26514923770667803</v>
      </c>
    </row>
    <row r="4032" spans="1:37" x14ac:dyDescent="0.2">
      <c r="A4032" s="2">
        <v>2026</v>
      </c>
      <c r="B4032" s="2">
        <v>5</v>
      </c>
      <c r="C4032" s="2" t="s">
        <v>3047</v>
      </c>
      <c r="L4032" s="2" t="s">
        <v>81</v>
      </c>
      <c r="O4032" s="2" t="s">
        <v>73</v>
      </c>
      <c r="P4032" s="2" t="s">
        <v>74</v>
      </c>
      <c r="Q4032" s="2" t="s">
        <v>75</v>
      </c>
      <c r="R4032" s="2">
        <v>1</v>
      </c>
      <c r="S4032" s="2">
        <v>220</v>
      </c>
      <c r="T4032" s="2">
        <v>50.6</v>
      </c>
      <c r="U4032" s="2">
        <v>270.60000000000002</v>
      </c>
      <c r="V4032" s="2">
        <v>125.51600000000001</v>
      </c>
      <c r="W4032" s="5">
        <f t="shared" si="447"/>
        <v>0.42947272727272723</v>
      </c>
      <c r="Y4032" s="2" t="s">
        <v>3256</v>
      </c>
      <c r="Z4032" s="2" t="s">
        <v>76</v>
      </c>
      <c r="AA4032" s="2" t="s">
        <v>77</v>
      </c>
      <c r="AB4032" s="2" t="s">
        <v>78</v>
      </c>
      <c r="AE4032" s="2">
        <f t="shared" si="439"/>
        <v>0</v>
      </c>
      <c r="AF4032" s="2">
        <v>125.51600000000001</v>
      </c>
      <c r="AG4032" s="2">
        <v>220</v>
      </c>
      <c r="AI4032" s="2">
        <f t="shared" si="440"/>
        <v>0</v>
      </c>
      <c r="AJ4032" s="2">
        <f t="shared" si="445"/>
        <v>94.483999999999995</v>
      </c>
      <c r="AK4032" s="5">
        <f t="shared" si="446"/>
        <v>0.42947272727272723</v>
      </c>
    </row>
    <row r="4033" spans="1:37" x14ac:dyDescent="0.2">
      <c r="A4033" s="2">
        <v>2026</v>
      </c>
      <c r="B4033" s="2">
        <v>5</v>
      </c>
      <c r="C4033" s="2" t="s">
        <v>3047</v>
      </c>
      <c r="O4033" s="2" t="s">
        <v>94</v>
      </c>
      <c r="P4033" s="2" t="s">
        <v>95</v>
      </c>
      <c r="Q4033" s="2" t="s">
        <v>96</v>
      </c>
      <c r="R4033" s="2">
        <v>1</v>
      </c>
      <c r="S4033" s="2">
        <v>1.48</v>
      </c>
      <c r="T4033" s="2">
        <v>0.34039999999999998</v>
      </c>
      <c r="U4033" s="2">
        <v>1.8204</v>
      </c>
      <c r="V4033" s="2">
        <v>1.48</v>
      </c>
      <c r="W4033" s="5">
        <f t="shared" si="447"/>
        <v>0</v>
      </c>
      <c r="Y4033" s="2" t="s">
        <v>3256</v>
      </c>
      <c r="Z4033" s="2" t="s">
        <v>97</v>
      </c>
      <c r="AA4033" s="2" t="s">
        <v>77</v>
      </c>
      <c r="AB4033" s="2" t="s">
        <v>94</v>
      </c>
      <c r="AE4033" s="2">
        <f t="shared" si="439"/>
        <v>0</v>
      </c>
      <c r="AI4033" s="2">
        <f>AH4033*S4033</f>
        <v>0</v>
      </c>
      <c r="AJ4033" s="2">
        <f t="shared" si="445"/>
        <v>0</v>
      </c>
      <c r="AK4033" s="5">
        <f t="shared" si="446"/>
        <v>0</v>
      </c>
    </row>
    <row r="4034" spans="1:37" x14ac:dyDescent="0.2">
      <c r="A4034" s="2">
        <v>2026</v>
      </c>
      <c r="B4034" s="2">
        <v>5</v>
      </c>
      <c r="C4034" s="2" t="s">
        <v>3048</v>
      </c>
      <c r="L4034" s="2" t="s">
        <v>40</v>
      </c>
      <c r="N4034" s="2" t="s">
        <v>3049</v>
      </c>
      <c r="O4034" s="2" t="s">
        <v>115</v>
      </c>
      <c r="P4034" s="2" t="s">
        <v>180</v>
      </c>
      <c r="Q4034" s="2" t="s">
        <v>181</v>
      </c>
      <c r="R4034" s="2">
        <v>1</v>
      </c>
      <c r="S4034" s="2">
        <v>699.3</v>
      </c>
      <c r="T4034" s="2">
        <v>160.839</v>
      </c>
      <c r="U4034" s="2">
        <v>860.1389999999999</v>
      </c>
      <c r="V4034" s="2">
        <v>346.57</v>
      </c>
      <c r="W4034" s="5">
        <f t="shared" si="447"/>
        <v>0.50440440440440437</v>
      </c>
      <c r="Y4034" s="2" t="s">
        <v>118</v>
      </c>
      <c r="Z4034" s="2" t="s">
        <v>182</v>
      </c>
      <c r="AE4034" s="2">
        <f t="shared" si="439"/>
        <v>0</v>
      </c>
      <c r="AI4034" s="2">
        <f t="shared" si="440"/>
        <v>0</v>
      </c>
      <c r="AJ4034" s="2">
        <f t="shared" si="445"/>
        <v>352.72999999999996</v>
      </c>
      <c r="AK4034" s="5">
        <f t="shared" si="446"/>
        <v>0.50440440440440437</v>
      </c>
    </row>
    <row r="4035" spans="1:37" x14ac:dyDescent="0.2">
      <c r="A4035" s="2">
        <v>2026</v>
      </c>
      <c r="B4035" s="2">
        <v>5</v>
      </c>
      <c r="C4035" s="2" t="s">
        <v>3048</v>
      </c>
      <c r="L4035" s="2" t="s">
        <v>40</v>
      </c>
      <c r="O4035" s="2" t="s">
        <v>188</v>
      </c>
      <c r="P4035" s="2" t="s">
        <v>189</v>
      </c>
      <c r="Q4035" s="2" t="s">
        <v>190</v>
      </c>
      <c r="R4035" s="2">
        <v>1</v>
      </c>
      <c r="S4035" s="2">
        <v>175</v>
      </c>
      <c r="T4035" s="2">
        <v>40.25</v>
      </c>
      <c r="U4035" s="2">
        <v>215.25</v>
      </c>
      <c r="V4035" s="2">
        <f>S4035*40%</f>
        <v>70</v>
      </c>
      <c r="W4035" s="5">
        <f t="shared" si="447"/>
        <v>0.6</v>
      </c>
      <c r="Y4035" s="2" t="s">
        <v>118</v>
      </c>
      <c r="Z4035" s="2" t="s">
        <v>191</v>
      </c>
      <c r="AE4035" s="2">
        <f t="shared" ref="AE4035:AE4042" si="448">AI4035</f>
        <v>0</v>
      </c>
      <c r="AF4035" s="2">
        <f>V4035</f>
        <v>70</v>
      </c>
      <c r="AI4035" s="2">
        <f t="shared" ref="AI4035:AI4044" si="449">AH4035*S4035</f>
        <v>0</v>
      </c>
      <c r="AJ4035" s="2">
        <f t="shared" si="445"/>
        <v>105</v>
      </c>
      <c r="AK4035" s="5">
        <f t="shared" si="446"/>
        <v>0.6</v>
      </c>
    </row>
    <row r="4036" spans="1:37" x14ac:dyDescent="0.2">
      <c r="A4036" s="2">
        <v>2026</v>
      </c>
      <c r="B4036" s="2">
        <v>5</v>
      </c>
      <c r="C4036" s="2" t="s">
        <v>3048</v>
      </c>
      <c r="L4036" s="2" t="s">
        <v>40</v>
      </c>
      <c r="O4036" s="2" t="s">
        <v>188</v>
      </c>
      <c r="P4036" s="2" t="s">
        <v>192</v>
      </c>
      <c r="Q4036" s="2" t="s">
        <v>191</v>
      </c>
      <c r="R4036" s="2">
        <v>4</v>
      </c>
      <c r="S4036" s="2">
        <v>220</v>
      </c>
      <c r="T4036" s="2">
        <v>50.6</v>
      </c>
      <c r="U4036" s="2">
        <v>270.60000000000002</v>
      </c>
      <c r="V4036" s="2">
        <f>S4036*50%</f>
        <v>110</v>
      </c>
      <c r="W4036" s="5">
        <f t="shared" si="447"/>
        <v>0.5</v>
      </c>
      <c r="Y4036" s="2" t="s">
        <v>118</v>
      </c>
      <c r="Z4036" s="2" t="s">
        <v>191</v>
      </c>
      <c r="AE4036" s="2">
        <f t="shared" si="448"/>
        <v>0</v>
      </c>
      <c r="AF4036" s="2">
        <f>V4036</f>
        <v>110</v>
      </c>
      <c r="AI4036" s="2">
        <f t="shared" si="449"/>
        <v>0</v>
      </c>
      <c r="AJ4036" s="2">
        <f t="shared" si="445"/>
        <v>110</v>
      </c>
      <c r="AK4036" s="5">
        <f t="shared" si="446"/>
        <v>0.5</v>
      </c>
    </row>
    <row r="4037" spans="1:37" x14ac:dyDescent="0.2">
      <c r="A4037" s="2">
        <v>2026</v>
      </c>
      <c r="B4037" s="2">
        <v>5</v>
      </c>
      <c r="C4037" s="2" t="s">
        <v>666</v>
      </c>
      <c r="D4037" s="2" t="s">
        <v>38</v>
      </c>
      <c r="E4037" s="2" t="s">
        <v>39</v>
      </c>
      <c r="F4037" s="2">
        <v>510651810</v>
      </c>
      <c r="G4037" s="2" t="s">
        <v>40</v>
      </c>
      <c r="H4037" s="2" t="s">
        <v>667</v>
      </c>
      <c r="I4037" s="2" t="s">
        <v>668</v>
      </c>
      <c r="K4037" s="2" t="s">
        <v>345</v>
      </c>
      <c r="L4037" s="2" t="s">
        <v>81</v>
      </c>
      <c r="N4037" s="2" t="s">
        <v>3050</v>
      </c>
      <c r="O4037" s="2" t="s">
        <v>73</v>
      </c>
      <c r="P4037" s="2" t="s">
        <v>3051</v>
      </c>
      <c r="Q4037" s="2" t="s">
        <v>332</v>
      </c>
      <c r="R4037" s="2">
        <v>1</v>
      </c>
      <c r="S4037" s="2">
        <v>193</v>
      </c>
      <c r="T4037" s="2">
        <v>44.39</v>
      </c>
      <c r="U4037" s="2">
        <v>237.39</v>
      </c>
      <c r="V4037" s="2">
        <v>116.87</v>
      </c>
      <c r="W4037" s="5">
        <f t="shared" si="447"/>
        <v>0.39445595854922277</v>
      </c>
      <c r="Y4037" s="2" t="s">
        <v>3256</v>
      </c>
      <c r="Z4037" s="2" t="s">
        <v>76</v>
      </c>
      <c r="AA4037" s="2" t="s">
        <v>77</v>
      </c>
      <c r="AB4037" s="2" t="s">
        <v>78</v>
      </c>
      <c r="AE4037" s="2">
        <f t="shared" si="448"/>
        <v>0</v>
      </c>
      <c r="AF4037" s="2">
        <v>125.51600000000001</v>
      </c>
      <c r="AG4037" s="2">
        <v>220</v>
      </c>
      <c r="AI4037" s="2">
        <f t="shared" si="449"/>
        <v>0</v>
      </c>
      <c r="AJ4037" s="2">
        <f t="shared" si="445"/>
        <v>76.13</v>
      </c>
      <c r="AK4037" s="5">
        <f t="shared" si="446"/>
        <v>0.39445595854922277</v>
      </c>
    </row>
    <row r="4038" spans="1:37" x14ac:dyDescent="0.2">
      <c r="A4038" s="2">
        <v>2026</v>
      </c>
      <c r="B4038" s="2">
        <v>5</v>
      </c>
      <c r="C4038" s="2" t="s">
        <v>666</v>
      </c>
      <c r="D4038" s="2" t="s">
        <v>38</v>
      </c>
      <c r="E4038" s="2" t="s">
        <v>39</v>
      </c>
      <c r="F4038" s="2">
        <v>510651810</v>
      </c>
      <c r="G4038" s="2" t="s">
        <v>40</v>
      </c>
      <c r="H4038" s="2" t="s">
        <v>667</v>
      </c>
      <c r="I4038" s="2" t="s">
        <v>668</v>
      </c>
      <c r="K4038" s="2" t="s">
        <v>345</v>
      </c>
      <c r="L4038" s="2" t="s">
        <v>81</v>
      </c>
      <c r="O4038" s="2" t="s">
        <v>73</v>
      </c>
      <c r="P4038" s="2" t="s">
        <v>326</v>
      </c>
      <c r="Q4038" s="2" t="s">
        <v>80</v>
      </c>
      <c r="R4038" s="2">
        <v>1</v>
      </c>
      <c r="S4038" s="2">
        <v>220</v>
      </c>
      <c r="T4038" s="2">
        <v>50.6</v>
      </c>
      <c r="U4038" s="2">
        <v>270.60000000000002</v>
      </c>
      <c r="V4038" s="2">
        <f>110.68*R4038</f>
        <v>110.68</v>
      </c>
      <c r="W4038" s="5">
        <f t="shared" si="447"/>
        <v>0.49690909090909086</v>
      </c>
      <c r="Y4038" s="2" t="s">
        <v>3256</v>
      </c>
      <c r="Z4038" s="2" t="s">
        <v>76</v>
      </c>
      <c r="AA4038" s="2" t="s">
        <v>77</v>
      </c>
      <c r="AB4038" s="2" t="s">
        <v>78</v>
      </c>
      <c r="AE4038" s="2">
        <f t="shared" si="448"/>
        <v>0</v>
      </c>
      <c r="AF4038" s="2">
        <v>110.68</v>
      </c>
      <c r="AG4038" s="2">
        <v>210</v>
      </c>
      <c r="AI4038" s="2">
        <f>AH4038*S4038</f>
        <v>0</v>
      </c>
      <c r="AJ4038" s="2">
        <f>S4038-V4038</f>
        <v>109.32</v>
      </c>
      <c r="AK4038" s="5">
        <f>(S4038-V4038)/S4038</f>
        <v>0.49690909090909086</v>
      </c>
    </row>
    <row r="4039" spans="1:37" x14ac:dyDescent="0.2">
      <c r="A4039" s="2">
        <v>2026</v>
      </c>
      <c r="B4039" s="2">
        <v>5</v>
      </c>
      <c r="C4039" s="2" t="s">
        <v>666</v>
      </c>
      <c r="D4039" s="2" t="s">
        <v>38</v>
      </c>
      <c r="E4039" s="2" t="s">
        <v>39</v>
      </c>
      <c r="F4039" s="2">
        <v>510651810</v>
      </c>
      <c r="G4039" s="2" t="s">
        <v>40</v>
      </c>
      <c r="H4039" s="2" t="s">
        <v>667</v>
      </c>
      <c r="I4039" s="2" t="s">
        <v>668</v>
      </c>
      <c r="K4039" s="2" t="s">
        <v>345</v>
      </c>
      <c r="L4039" s="2" t="s">
        <v>81</v>
      </c>
      <c r="O4039" s="2" t="s">
        <v>1047</v>
      </c>
      <c r="P4039" s="2" t="s">
        <v>3052</v>
      </c>
      <c r="Q4039" s="2" t="s">
        <v>3053</v>
      </c>
      <c r="R4039" s="2">
        <v>1</v>
      </c>
      <c r="S4039" s="2">
        <v>220</v>
      </c>
      <c r="T4039" s="2">
        <f>S4039*23%</f>
        <v>50.6</v>
      </c>
      <c r="U4039" s="2">
        <f>S4039+T4039</f>
        <v>270.60000000000002</v>
      </c>
      <c r="W4039" s="5">
        <f t="shared" si="447"/>
        <v>1</v>
      </c>
      <c r="Y4039" s="2" t="s">
        <v>3256</v>
      </c>
      <c r="Z4039" s="2" t="s">
        <v>76</v>
      </c>
      <c r="AA4039" s="2" t="s">
        <v>77</v>
      </c>
      <c r="AB4039" s="2" t="s">
        <v>1047</v>
      </c>
      <c r="AE4039" s="2">
        <f t="shared" si="448"/>
        <v>0</v>
      </c>
      <c r="AI4039" s="2">
        <f>AH4039*S4039</f>
        <v>0</v>
      </c>
      <c r="AJ4039" s="2">
        <f>S4039-V4039</f>
        <v>220</v>
      </c>
      <c r="AK4039" s="5">
        <f>(S4039-V4039)/S4039</f>
        <v>1</v>
      </c>
    </row>
    <row r="4040" spans="1:37" x14ac:dyDescent="0.2">
      <c r="A4040" s="2">
        <v>2026</v>
      </c>
      <c r="B4040" s="2">
        <v>5</v>
      </c>
      <c r="C4040" s="2" t="s">
        <v>666</v>
      </c>
      <c r="D4040" s="2" t="s">
        <v>38</v>
      </c>
      <c r="E4040" s="2" t="s">
        <v>39</v>
      </c>
      <c r="F4040" s="2">
        <v>510651810</v>
      </c>
      <c r="G4040" s="2" t="s">
        <v>40</v>
      </c>
      <c r="H4040" s="2" t="s">
        <v>667</v>
      </c>
      <c r="I4040" s="2" t="s">
        <v>668</v>
      </c>
      <c r="K4040" s="2" t="s">
        <v>345</v>
      </c>
      <c r="L4040" s="2" t="s">
        <v>81</v>
      </c>
      <c r="O4040" s="2" t="s">
        <v>94</v>
      </c>
      <c r="P4040" s="2" t="s">
        <v>95</v>
      </c>
      <c r="Q4040" s="2" t="s">
        <v>96</v>
      </c>
      <c r="R4040" s="2">
        <v>3</v>
      </c>
      <c r="S4040" s="2">
        <v>4.4400000000000004</v>
      </c>
      <c r="T4040" s="2">
        <v>1.0212000000000001</v>
      </c>
      <c r="U4040" s="2">
        <v>5.4612000000000007</v>
      </c>
      <c r="V4040" s="2">
        <f>1.48*R4040</f>
        <v>4.4399999999999995</v>
      </c>
      <c r="W4040" s="5">
        <f t="shared" si="447"/>
        <v>2.000401846171453E-16</v>
      </c>
      <c r="Y4040" s="2" t="s">
        <v>3256</v>
      </c>
      <c r="Z4040" s="2" t="s">
        <v>97</v>
      </c>
      <c r="AA4040" s="2" t="s">
        <v>77</v>
      </c>
      <c r="AB4040" s="2" t="s">
        <v>94</v>
      </c>
      <c r="AE4040" s="2">
        <f t="shared" si="448"/>
        <v>0</v>
      </c>
      <c r="AI4040" s="2">
        <f>AH4040*S4040</f>
        <v>0</v>
      </c>
      <c r="AJ4040" s="2">
        <f>S4040-V4040</f>
        <v>0</v>
      </c>
      <c r="AK4040" s="5">
        <f>(S4040-V4040)/S4040</f>
        <v>2.000401846171453E-16</v>
      </c>
    </row>
    <row r="4041" spans="1:37" x14ac:dyDescent="0.2">
      <c r="A4041" s="2">
        <v>2026</v>
      </c>
      <c r="B4041" s="2">
        <v>5</v>
      </c>
      <c r="C4041" s="2" t="s">
        <v>2386</v>
      </c>
      <c r="D4041" s="2" t="s">
        <v>109</v>
      </c>
      <c r="E4041" s="2" t="s">
        <v>39</v>
      </c>
      <c r="F4041" s="2">
        <v>503554952</v>
      </c>
      <c r="G4041" s="2" t="s">
        <v>41</v>
      </c>
      <c r="H4041" s="2" t="s">
        <v>2387</v>
      </c>
      <c r="I4041" s="2" t="s">
        <v>2388</v>
      </c>
      <c r="J4041" s="2">
        <v>963062174</v>
      </c>
      <c r="K4041" s="2" t="s">
        <v>422</v>
      </c>
      <c r="L4041" s="2" t="s">
        <v>41</v>
      </c>
      <c r="N4041" s="2" t="s">
        <v>3054</v>
      </c>
      <c r="O4041" s="2" t="s">
        <v>283</v>
      </c>
      <c r="P4041" s="2" t="s">
        <v>3055</v>
      </c>
      <c r="Q4041" s="2" t="s">
        <v>3056</v>
      </c>
      <c r="R4041" s="2">
        <v>1</v>
      </c>
      <c r="S4041" s="2">
        <v>240</v>
      </c>
      <c r="T4041" s="2">
        <v>55.2</v>
      </c>
      <c r="U4041" s="2">
        <v>295.2</v>
      </c>
      <c r="V4041" s="2">
        <v>285</v>
      </c>
      <c r="W4041" s="5">
        <f t="shared" si="447"/>
        <v>-0.1875</v>
      </c>
      <c r="Y4041" s="2" t="s">
        <v>105</v>
      </c>
      <c r="Z4041" s="2" t="s">
        <v>389</v>
      </c>
      <c r="AA4041" s="2" t="s">
        <v>390</v>
      </c>
      <c r="AB4041" s="2" t="s">
        <v>391</v>
      </c>
      <c r="AE4041" s="2">
        <f t="shared" si="448"/>
        <v>0</v>
      </c>
      <c r="AF4041" s="2">
        <v>285</v>
      </c>
      <c r="AI4041" s="2">
        <f t="shared" si="449"/>
        <v>0</v>
      </c>
      <c r="AJ4041" s="2">
        <f t="shared" si="445"/>
        <v>-45</v>
      </c>
      <c r="AK4041" s="5">
        <f t="shared" si="446"/>
        <v>-0.1875</v>
      </c>
    </row>
    <row r="4042" spans="1:37" x14ac:dyDescent="0.2">
      <c r="A4042" s="2">
        <v>2026</v>
      </c>
      <c r="B4042" s="2">
        <v>5</v>
      </c>
      <c r="C4042" s="2" t="s">
        <v>2386</v>
      </c>
      <c r="D4042" s="2" t="s">
        <v>109</v>
      </c>
      <c r="E4042" s="2" t="s">
        <v>39</v>
      </c>
      <c r="F4042" s="2">
        <v>503554952</v>
      </c>
      <c r="G4042" s="2" t="s">
        <v>41</v>
      </c>
      <c r="H4042" s="2" t="s">
        <v>2387</v>
      </c>
      <c r="I4042" s="2" t="s">
        <v>2388</v>
      </c>
      <c r="J4042" s="2">
        <v>963062174</v>
      </c>
      <c r="K4042" s="2" t="s">
        <v>422</v>
      </c>
      <c r="L4042" s="2" t="s">
        <v>41</v>
      </c>
      <c r="N4042" s="2" t="s">
        <v>3054</v>
      </c>
      <c r="O4042" s="2" t="s">
        <v>43</v>
      </c>
      <c r="P4042" s="2" t="s">
        <v>55</v>
      </c>
      <c r="Q4042" s="2" t="s">
        <v>56</v>
      </c>
      <c r="R4042" s="2">
        <v>4</v>
      </c>
      <c r="S4042" s="2">
        <v>68</v>
      </c>
      <c r="T4042" s="2">
        <v>15.64</v>
      </c>
      <c r="U4042" s="2">
        <v>83.64</v>
      </c>
      <c r="V4042" s="2">
        <f>10.6*R4042</f>
        <v>42.4</v>
      </c>
      <c r="W4042" s="5">
        <f t="shared" si="447"/>
        <v>0.37647058823529411</v>
      </c>
      <c r="Y4042" s="2" t="s">
        <v>3256</v>
      </c>
      <c r="Z4042" s="2" t="s">
        <v>46</v>
      </c>
      <c r="AA4042" s="2" t="s">
        <v>57</v>
      </c>
      <c r="AB4042" s="2" t="s">
        <v>58</v>
      </c>
      <c r="AE4042" s="2">
        <f t="shared" si="448"/>
        <v>0</v>
      </c>
      <c r="AF4042" s="2">
        <v>10.6</v>
      </c>
      <c r="AG4042" s="2">
        <v>18</v>
      </c>
      <c r="AI4042" s="2">
        <f t="shared" si="449"/>
        <v>0</v>
      </c>
      <c r="AJ4042" s="2">
        <f t="shared" si="445"/>
        <v>25.6</v>
      </c>
      <c r="AK4042" s="5">
        <f t="shared" si="446"/>
        <v>0.37647058823529411</v>
      </c>
    </row>
    <row r="4043" spans="1:37" x14ac:dyDescent="0.2">
      <c r="A4043" s="2">
        <v>2026</v>
      </c>
      <c r="B4043" s="2">
        <v>5</v>
      </c>
      <c r="C4043" s="2" t="s">
        <v>466</v>
      </c>
      <c r="D4043" s="2" t="s">
        <v>109</v>
      </c>
      <c r="E4043" s="2" t="s">
        <v>39</v>
      </c>
      <c r="F4043" s="2">
        <v>506531031</v>
      </c>
      <c r="G4043" s="2" t="s">
        <v>110</v>
      </c>
      <c r="H4043" s="2" t="s">
        <v>467</v>
      </c>
      <c r="I4043" s="2" t="s">
        <v>468</v>
      </c>
      <c r="K4043" s="2" t="s">
        <v>113</v>
      </c>
      <c r="N4043" s="2" t="s">
        <v>3057</v>
      </c>
      <c r="O4043" s="2" t="s">
        <v>115</v>
      </c>
      <c r="P4043" s="2" t="s">
        <v>1594</v>
      </c>
      <c r="Q4043" s="2" t="s">
        <v>1595</v>
      </c>
      <c r="R4043" s="2">
        <v>1</v>
      </c>
      <c r="S4043" s="2">
        <v>5490</v>
      </c>
      <c r="T4043" s="2">
        <f>S4043*23%</f>
        <v>1262.7</v>
      </c>
      <c r="U4043" s="2">
        <f>S4043+T4043</f>
        <v>6752.7</v>
      </c>
      <c r="V4043" s="2">
        <v>5064.2299999999996</v>
      </c>
      <c r="W4043" s="5">
        <f t="shared" si="447"/>
        <v>7.7553734061930862E-2</v>
      </c>
      <c r="Y4043" s="2" t="s">
        <v>105</v>
      </c>
      <c r="Z4043" s="2" t="s">
        <v>151</v>
      </c>
      <c r="AA4043" s="2" t="s">
        <v>152</v>
      </c>
      <c r="AB4043" s="2" t="s">
        <v>115</v>
      </c>
      <c r="AE4043" s="2">
        <v>0</v>
      </c>
      <c r="AF4043" s="2">
        <f>4893.23+171</f>
        <v>5064.2299999999996</v>
      </c>
      <c r="AI4043" s="2">
        <f t="shared" si="449"/>
        <v>0</v>
      </c>
      <c r="AJ4043" s="2">
        <f t="shared" si="445"/>
        <v>425.77000000000044</v>
      </c>
      <c r="AK4043" s="5">
        <f t="shared" si="446"/>
        <v>7.7553734061930862E-2</v>
      </c>
    </row>
    <row r="4044" spans="1:37" x14ac:dyDescent="0.2">
      <c r="A4044" s="2">
        <v>2026</v>
      </c>
      <c r="B4044" s="2">
        <v>2</v>
      </c>
      <c r="C4044" s="2" t="s">
        <v>520</v>
      </c>
      <c r="D4044" s="2" t="s">
        <v>38</v>
      </c>
      <c r="E4044" s="2" t="s">
        <v>39</v>
      </c>
      <c r="F4044" s="2">
        <v>514232749</v>
      </c>
      <c r="G4044" s="2" t="s">
        <v>40</v>
      </c>
      <c r="H4044" s="2" t="s">
        <v>280</v>
      </c>
      <c r="I4044" s="2" t="s">
        <v>521</v>
      </c>
      <c r="J4044" s="2">
        <v>967657430</v>
      </c>
      <c r="K4044" s="2" t="s">
        <v>202</v>
      </c>
      <c r="L4044" s="2" t="s">
        <v>40</v>
      </c>
      <c r="N4044" s="2" t="s">
        <v>3058</v>
      </c>
      <c r="O4044" s="2" t="s">
        <v>188</v>
      </c>
      <c r="P4044" s="2" t="s">
        <v>189</v>
      </c>
      <c r="Q4044" s="2" t="s">
        <v>190</v>
      </c>
      <c r="R4044" s="2">
        <v>1</v>
      </c>
      <c r="S4044" s="2">
        <v>73</v>
      </c>
      <c r="T4044" s="2">
        <f>S4044*23%</f>
        <v>16.79</v>
      </c>
      <c r="U4044" s="2">
        <f>S4044+T4044</f>
        <v>89.789999999999992</v>
      </c>
      <c r="V4044" s="2">
        <f>S4044*40%</f>
        <v>29.200000000000003</v>
      </c>
      <c r="W4044" s="5">
        <f t="shared" si="447"/>
        <v>0.6</v>
      </c>
      <c r="Y4044" s="2" t="s">
        <v>118</v>
      </c>
      <c r="Z4044" s="2" t="s">
        <v>191</v>
      </c>
      <c r="AE4044" s="2">
        <f>AI4044</f>
        <v>0</v>
      </c>
      <c r="AF4044" s="2">
        <f>V4044</f>
        <v>29.200000000000003</v>
      </c>
      <c r="AI4044" s="2">
        <f t="shared" si="449"/>
        <v>0</v>
      </c>
      <c r="AJ4044" s="2">
        <f t="shared" si="445"/>
        <v>43.8</v>
      </c>
      <c r="AK4044" s="5">
        <f t="shared" si="446"/>
        <v>0.6</v>
      </c>
    </row>
    <row r="4045" spans="1:37" x14ac:dyDescent="0.2">
      <c r="A4045" s="2">
        <v>2026</v>
      </c>
      <c r="B4045" s="2">
        <v>2</v>
      </c>
      <c r="C4045" s="2" t="s">
        <v>520</v>
      </c>
      <c r="D4045" s="2" t="s">
        <v>38</v>
      </c>
      <c r="E4045" s="2" t="s">
        <v>39</v>
      </c>
      <c r="F4045" s="2">
        <v>514232749</v>
      </c>
      <c r="G4045" s="2" t="s">
        <v>40</v>
      </c>
      <c r="H4045" s="2" t="s">
        <v>280</v>
      </c>
      <c r="I4045" s="2" t="s">
        <v>521</v>
      </c>
      <c r="J4045" s="2">
        <v>967657430</v>
      </c>
      <c r="K4045" s="2" t="s">
        <v>202</v>
      </c>
      <c r="L4045" s="2" t="s">
        <v>40</v>
      </c>
      <c r="N4045" s="2" t="s">
        <v>3058</v>
      </c>
      <c r="O4045" s="2" t="s">
        <v>188</v>
      </c>
      <c r="P4045" s="2" t="s">
        <v>192</v>
      </c>
      <c r="Q4045" s="2" t="s">
        <v>191</v>
      </c>
      <c r="R4045" s="2">
        <v>1.5</v>
      </c>
      <c r="S4045" s="2">
        <v>55</v>
      </c>
      <c r="T4045" s="2">
        <f>S4045*23%</f>
        <v>12.65</v>
      </c>
      <c r="U4045" s="2">
        <f>S4045+T4045</f>
        <v>67.650000000000006</v>
      </c>
      <c r="V4045" s="2">
        <f>S4045*50%</f>
        <v>27.5</v>
      </c>
      <c r="W4045" s="5">
        <f t="shared" si="447"/>
        <v>0.5</v>
      </c>
      <c r="Y4045" s="2" t="s">
        <v>118</v>
      </c>
      <c r="Z4045" s="2" t="s">
        <v>191</v>
      </c>
      <c r="AE4045" s="2">
        <f>AI4045</f>
        <v>0</v>
      </c>
      <c r="AF4045" s="2">
        <f>V4045</f>
        <v>27.5</v>
      </c>
      <c r="AI4045" s="2">
        <f>AH4045*S4045</f>
        <v>0</v>
      </c>
      <c r="AJ4045" s="2">
        <f>S4045-V4045</f>
        <v>27.5</v>
      </c>
      <c r="AK4045" s="5">
        <f>(S4045-V4045)/S4045</f>
        <v>0.5</v>
      </c>
    </row>
    <row r="4046" spans="1:37" x14ac:dyDescent="0.2">
      <c r="A4046" s="8">
        <v>2026</v>
      </c>
      <c r="B4046" s="8">
        <v>6</v>
      </c>
      <c r="C4046" s="2" t="s">
        <v>37</v>
      </c>
      <c r="D4046" s="2" t="s">
        <v>38</v>
      </c>
      <c r="E4046" s="2" t="s">
        <v>39</v>
      </c>
      <c r="G4046" s="2" t="s">
        <v>40</v>
      </c>
      <c r="O4046" s="2" t="s">
        <v>73</v>
      </c>
      <c r="P4046" s="2" t="s">
        <v>203</v>
      </c>
      <c r="Q4046" s="2" t="s">
        <v>198</v>
      </c>
      <c r="R4046" s="8">
        <v>1</v>
      </c>
      <c r="S4046" s="10">
        <v>260</v>
      </c>
      <c r="T4046" s="2">
        <f>S4046*23%</f>
        <v>59.800000000000004</v>
      </c>
      <c r="U4046" s="10">
        <f>S4046+T4046</f>
        <v>319.8</v>
      </c>
      <c r="V4046" s="2">
        <v>152.85</v>
      </c>
      <c r="W4046" s="5">
        <f t="shared" si="447"/>
        <v>0.41211538461538466</v>
      </c>
      <c r="Y4046" s="2" t="s">
        <v>3256</v>
      </c>
      <c r="Z4046" s="2" t="s">
        <v>76</v>
      </c>
      <c r="AA4046" s="2" t="s">
        <v>77</v>
      </c>
      <c r="AB4046" s="2" t="s">
        <v>78</v>
      </c>
      <c r="AE4046" s="2">
        <f>AI4046</f>
        <v>0</v>
      </c>
      <c r="AF4046" s="2">
        <v>152.85</v>
      </c>
      <c r="AG4046" s="2">
        <v>260</v>
      </c>
      <c r="AH4046" s="2"/>
      <c r="AI4046" s="2">
        <f>AH4046*S4046</f>
        <v>0</v>
      </c>
      <c r="AJ4046" s="2">
        <f>S4046-V4046</f>
        <v>107.15</v>
      </c>
      <c r="AK4046" s="5">
        <f>(S4046-V4046)/S4046</f>
        <v>0.41211538461538466</v>
      </c>
    </row>
    <row r="4047" spans="1:37" x14ac:dyDescent="0.2">
      <c r="A4047" s="8">
        <v>2026</v>
      </c>
      <c r="B4047" s="8">
        <v>6</v>
      </c>
      <c r="C4047" s="2" t="s">
        <v>37</v>
      </c>
      <c r="D4047" s="2" t="s">
        <v>38</v>
      </c>
      <c r="E4047" s="2" t="s">
        <v>39</v>
      </c>
      <c r="G4047" s="2" t="s">
        <v>40</v>
      </c>
      <c r="O4047" s="2" t="s">
        <v>94</v>
      </c>
      <c r="P4047" s="2" t="s">
        <v>95</v>
      </c>
      <c r="Q4047" s="2" t="s">
        <v>96</v>
      </c>
      <c r="R4047" s="9">
        <v>1</v>
      </c>
      <c r="S4047" s="10">
        <v>1.48</v>
      </c>
      <c r="T4047" s="2">
        <f>S4047*23%</f>
        <v>0.34040000000000004</v>
      </c>
      <c r="U4047" s="10">
        <f>S4047+T4047</f>
        <v>1.8204</v>
      </c>
      <c r="V4047" s="2">
        <f>1.48*R4047</f>
        <v>1.48</v>
      </c>
      <c r="W4047" s="5">
        <f t="shared" si="447"/>
        <v>0</v>
      </c>
      <c r="Y4047" s="2" t="s">
        <v>3256</v>
      </c>
      <c r="Z4047" s="2" t="s">
        <v>97</v>
      </c>
      <c r="AA4047" s="2" t="s">
        <v>77</v>
      </c>
      <c r="AB4047" s="2" t="s">
        <v>94</v>
      </c>
      <c r="AE4047" s="2">
        <f>AI4047</f>
        <v>0</v>
      </c>
      <c r="AF4047" s="2">
        <v>1.48</v>
      </c>
      <c r="AG4047" s="2">
        <v>1.48</v>
      </c>
      <c r="AH4047" s="2"/>
      <c r="AI4047" s="2">
        <f>AH4047*S4047</f>
        <v>0</v>
      </c>
      <c r="AJ4047" s="2">
        <f>S4047-V4047</f>
        <v>0</v>
      </c>
      <c r="AK4047" s="5">
        <f>(S4047-V4047)/S4047</f>
        <v>0</v>
      </c>
    </row>
    <row r="4048" spans="1:37" x14ac:dyDescent="0.2">
      <c r="A4048" s="8">
        <v>2026</v>
      </c>
      <c r="B4048" s="8">
        <v>6</v>
      </c>
      <c r="C4048" s="2" t="s">
        <v>1462</v>
      </c>
      <c r="O4048" s="2" t="s">
        <v>115</v>
      </c>
      <c r="P4048" s="2" t="s">
        <v>1088</v>
      </c>
      <c r="Q4048" s="2" t="s">
        <v>1089</v>
      </c>
      <c r="R4048" s="9">
        <v>1</v>
      </c>
      <c r="S4048" s="10">
        <v>77.48</v>
      </c>
      <c r="W4048" s="2"/>
      <c r="Y4048" s="2" t="s">
        <v>118</v>
      </c>
      <c r="AH4048" s="2"/>
      <c r="AK4048" s="2"/>
    </row>
    <row r="4049" spans="1:37" x14ac:dyDescent="0.2">
      <c r="A4049" s="8">
        <v>2026</v>
      </c>
      <c r="B4049" s="8">
        <v>6</v>
      </c>
      <c r="C4049" s="2" t="s">
        <v>1462</v>
      </c>
      <c r="O4049" s="2" t="s">
        <v>115</v>
      </c>
      <c r="P4049" s="2" t="s">
        <v>2502</v>
      </c>
      <c r="Q4049" s="2" t="s">
        <v>1399</v>
      </c>
      <c r="R4049" s="9">
        <v>1</v>
      </c>
      <c r="S4049" s="10">
        <v>466.58</v>
      </c>
      <c r="W4049" s="2"/>
      <c r="Y4049" s="2" t="s">
        <v>118</v>
      </c>
      <c r="AH4049" s="2"/>
      <c r="AK4049" s="2"/>
    </row>
    <row r="4050" spans="1:37" x14ac:dyDescent="0.2">
      <c r="A4050" s="8">
        <v>2026</v>
      </c>
      <c r="B4050" s="8">
        <v>6</v>
      </c>
      <c r="C4050" s="2" t="s">
        <v>1462</v>
      </c>
      <c r="L4050" s="2" t="s">
        <v>40</v>
      </c>
      <c r="O4050" s="2" t="s">
        <v>188</v>
      </c>
      <c r="P4050" s="2" t="s">
        <v>189</v>
      </c>
      <c r="Q4050" s="2" t="s">
        <v>190</v>
      </c>
      <c r="R4050" s="9">
        <v>1</v>
      </c>
      <c r="S4050" s="10">
        <v>125</v>
      </c>
      <c r="T4050" s="2">
        <f t="shared" ref="T4050:T4064" si="450">S4050*23%</f>
        <v>28.75</v>
      </c>
      <c r="U4050" s="2">
        <f t="shared" ref="U4050:U4064" si="451">S4050+T4050</f>
        <v>153.75</v>
      </c>
      <c r="V4050" s="2">
        <f>S4050*40%</f>
        <v>50</v>
      </c>
      <c r="W4050" s="5">
        <f>(S4050-V4050)/S4050</f>
        <v>0.6</v>
      </c>
      <c r="Y4050" s="2" t="s">
        <v>118</v>
      </c>
      <c r="Z4050" s="2" t="s">
        <v>191</v>
      </c>
      <c r="AF4050" s="2">
        <f>V4050</f>
        <v>50</v>
      </c>
      <c r="AH4050" s="2"/>
      <c r="AI4050" s="2">
        <f>AH4050*S4050</f>
        <v>0</v>
      </c>
      <c r="AJ4050" s="2">
        <f>S4050-V4050</f>
        <v>75</v>
      </c>
      <c r="AK4050" s="5">
        <f>(S4050-V4050)/S4050</f>
        <v>0.6</v>
      </c>
    </row>
    <row r="4051" spans="1:37" x14ac:dyDescent="0.2">
      <c r="A4051" s="8">
        <v>2026</v>
      </c>
      <c r="B4051" s="8">
        <v>6</v>
      </c>
      <c r="C4051" s="2" t="s">
        <v>1462</v>
      </c>
      <c r="L4051" s="2" t="s">
        <v>40</v>
      </c>
      <c r="O4051" s="2" t="s">
        <v>188</v>
      </c>
      <c r="P4051" s="2" t="s">
        <v>192</v>
      </c>
      <c r="Q4051" s="2" t="s">
        <v>191</v>
      </c>
      <c r="R4051" s="9">
        <v>2</v>
      </c>
      <c r="S4051" s="10">
        <v>110</v>
      </c>
      <c r="T4051" s="2">
        <f t="shared" si="450"/>
        <v>25.3</v>
      </c>
      <c r="U4051" s="2">
        <f t="shared" si="451"/>
        <v>135.30000000000001</v>
      </c>
      <c r="V4051" s="2">
        <f>S4051*50%</f>
        <v>55</v>
      </c>
      <c r="W4051" s="5">
        <f>(S4051-V4051)/S4051</f>
        <v>0.5</v>
      </c>
      <c r="Y4051" s="2" t="s">
        <v>118</v>
      </c>
      <c r="Z4051" s="2" t="s">
        <v>191</v>
      </c>
      <c r="AE4051" s="2">
        <f>AI4051</f>
        <v>0</v>
      </c>
      <c r="AF4051" s="2">
        <f>V4051</f>
        <v>55</v>
      </c>
      <c r="AH4051" s="2"/>
      <c r="AI4051" s="2">
        <f>AH4051*S4051</f>
        <v>0</v>
      </c>
      <c r="AJ4051" s="2">
        <f>S4051-V4051</f>
        <v>55</v>
      </c>
      <c r="AK4051" s="5">
        <f>(S4051-V4051)/S4051</f>
        <v>0.5</v>
      </c>
    </row>
    <row r="4052" spans="1:37" x14ac:dyDescent="0.2">
      <c r="A4052" s="8">
        <v>2026</v>
      </c>
      <c r="B4052" s="8">
        <v>6</v>
      </c>
      <c r="C4052" s="2" t="s">
        <v>1333</v>
      </c>
      <c r="O4052" s="2" t="s">
        <v>43</v>
      </c>
      <c r="P4052" s="2" t="s">
        <v>55</v>
      </c>
      <c r="Q4052" s="2" t="s">
        <v>56</v>
      </c>
      <c r="R4052" s="9">
        <v>1</v>
      </c>
      <c r="S4052" s="10">
        <v>18</v>
      </c>
      <c r="T4052" s="2">
        <f t="shared" si="450"/>
        <v>4.1400000000000006</v>
      </c>
      <c r="U4052" s="10">
        <f t="shared" si="451"/>
        <v>22.14</v>
      </c>
      <c r="W4052" s="5">
        <f>(S4052-V4052)/S4052</f>
        <v>1</v>
      </c>
      <c r="Y4052" s="2" t="s">
        <v>3256</v>
      </c>
      <c r="Z4052" s="2" t="s">
        <v>46</v>
      </c>
      <c r="AA4052" s="2" t="s">
        <v>57</v>
      </c>
      <c r="AB4052" s="2" t="s">
        <v>58</v>
      </c>
      <c r="AH4052" s="2"/>
      <c r="AK4052" s="2"/>
    </row>
    <row r="4053" spans="1:37" x14ac:dyDescent="0.2">
      <c r="A4053" s="8">
        <v>2026</v>
      </c>
      <c r="B4053" s="8">
        <v>6</v>
      </c>
      <c r="C4053" s="2" t="s">
        <v>1333</v>
      </c>
      <c r="O4053" s="2" t="s">
        <v>43</v>
      </c>
      <c r="P4053" s="2" t="s">
        <v>62</v>
      </c>
      <c r="Q4053" s="2" t="s">
        <v>63</v>
      </c>
      <c r="R4053" s="9">
        <v>100</v>
      </c>
      <c r="S4053" s="10">
        <v>13</v>
      </c>
      <c r="T4053" s="2">
        <f t="shared" si="450"/>
        <v>2.99</v>
      </c>
      <c r="U4053" s="10">
        <f t="shared" si="451"/>
        <v>15.99</v>
      </c>
      <c r="W4053" s="5">
        <f>(S4053-V4053)/S4053</f>
        <v>1</v>
      </c>
      <c r="Y4053" s="2" t="s">
        <v>3256</v>
      </c>
      <c r="Z4053" s="2" t="s">
        <v>46</v>
      </c>
      <c r="AA4053" s="2" t="s">
        <v>61</v>
      </c>
      <c r="AB4053" s="2" t="s">
        <v>58</v>
      </c>
      <c r="AH4053" s="2"/>
      <c r="AK4053" s="2"/>
    </row>
    <row r="4054" spans="1:37" x14ac:dyDescent="0.2">
      <c r="A4054" s="8">
        <v>2026</v>
      </c>
      <c r="B4054" s="8">
        <v>6</v>
      </c>
      <c r="C4054" s="2" t="s">
        <v>1333</v>
      </c>
      <c r="O4054" s="2" t="s">
        <v>43</v>
      </c>
      <c r="P4054" s="2" t="s">
        <v>66</v>
      </c>
      <c r="Q4054" s="2" t="s">
        <v>67</v>
      </c>
      <c r="R4054" s="9">
        <v>1</v>
      </c>
      <c r="S4054" s="10">
        <v>20</v>
      </c>
      <c r="T4054" s="2">
        <f t="shared" si="450"/>
        <v>4.6000000000000005</v>
      </c>
      <c r="U4054" s="10">
        <f t="shared" si="451"/>
        <v>24.6</v>
      </c>
      <c r="W4054" s="5">
        <f>(S4054-V4054)/S4054</f>
        <v>1</v>
      </c>
      <c r="Y4054" s="2" t="s">
        <v>3256</v>
      </c>
      <c r="Z4054" s="2" t="s">
        <v>46</v>
      </c>
      <c r="AA4054" s="2" t="s">
        <v>68</v>
      </c>
      <c r="AB4054" s="2" t="s">
        <v>58</v>
      </c>
      <c r="AH4054" s="2"/>
      <c r="AK4054" s="2"/>
    </row>
    <row r="4055" spans="1:37" x14ac:dyDescent="0.2">
      <c r="A4055" s="8">
        <v>2026</v>
      </c>
      <c r="B4055" s="8">
        <v>6</v>
      </c>
      <c r="C4055" s="2" t="s">
        <v>3124</v>
      </c>
      <c r="O4055" s="2" t="s">
        <v>1047</v>
      </c>
      <c r="P4055" s="2" t="s">
        <v>3059</v>
      </c>
      <c r="Q4055" s="2" t="s">
        <v>3060</v>
      </c>
      <c r="R4055" s="9">
        <v>1</v>
      </c>
      <c r="S4055" s="10">
        <v>280</v>
      </c>
      <c r="T4055" s="2">
        <f t="shared" si="450"/>
        <v>64.400000000000006</v>
      </c>
      <c r="U4055" s="2">
        <f t="shared" si="451"/>
        <v>344.4</v>
      </c>
      <c r="W4055" s="5">
        <f t="shared" ref="W4055:W4060" si="452">(S4055-V4055)/S4055</f>
        <v>1</v>
      </c>
      <c r="Y4055" s="2" t="s">
        <v>3256</v>
      </c>
      <c r="Z4055" s="2" t="s">
        <v>76</v>
      </c>
      <c r="AA4055" s="2" t="s">
        <v>77</v>
      </c>
      <c r="AB4055" s="2" t="s">
        <v>1047</v>
      </c>
      <c r="AE4055" s="2">
        <f>AI4055</f>
        <v>0</v>
      </c>
      <c r="AH4055" s="2"/>
      <c r="AI4055" s="2">
        <f>AH4055*S4055</f>
        <v>0</v>
      </c>
      <c r="AJ4055" s="2">
        <f>S4055-V4055</f>
        <v>280</v>
      </c>
      <c r="AK4055" s="5">
        <f>(S4055-V4055)/S4055</f>
        <v>1</v>
      </c>
    </row>
    <row r="4056" spans="1:37" x14ac:dyDescent="0.2">
      <c r="A4056" s="8">
        <v>2026</v>
      </c>
      <c r="B4056" s="8">
        <v>6</v>
      </c>
      <c r="C4056" s="2" t="s">
        <v>3124</v>
      </c>
      <c r="O4056" s="2" t="s">
        <v>94</v>
      </c>
      <c r="P4056" s="2" t="s">
        <v>95</v>
      </c>
      <c r="Q4056" s="2" t="s">
        <v>96</v>
      </c>
      <c r="R4056" s="9">
        <v>1</v>
      </c>
      <c r="S4056" s="10">
        <v>1.48</v>
      </c>
      <c r="T4056" s="2">
        <f t="shared" si="450"/>
        <v>0.34040000000000004</v>
      </c>
      <c r="U4056" s="10">
        <f t="shared" si="451"/>
        <v>1.8204</v>
      </c>
      <c r="V4056" s="2">
        <f>1.48*R4056</f>
        <v>1.48</v>
      </c>
      <c r="W4056" s="5">
        <f t="shared" si="452"/>
        <v>0</v>
      </c>
      <c r="Y4056" s="2" t="s">
        <v>3256</v>
      </c>
      <c r="Z4056" s="2" t="s">
        <v>97</v>
      </c>
      <c r="AA4056" s="2" t="s">
        <v>77</v>
      </c>
      <c r="AB4056" s="2" t="s">
        <v>94</v>
      </c>
      <c r="AE4056" s="2">
        <f>AI4056</f>
        <v>0</v>
      </c>
      <c r="AF4056" s="2">
        <v>1.48</v>
      </c>
      <c r="AG4056" s="2">
        <v>1.48</v>
      </c>
      <c r="AH4056" s="2"/>
      <c r="AI4056" s="2">
        <f>AH4056*S4056</f>
        <v>0</v>
      </c>
      <c r="AJ4056" s="2">
        <f>S4056-V4056</f>
        <v>0</v>
      </c>
      <c r="AK4056" s="5">
        <f>(S4056-V4056)/S4056</f>
        <v>0</v>
      </c>
    </row>
    <row r="4057" spans="1:37" x14ac:dyDescent="0.2">
      <c r="A4057" s="8">
        <v>2026</v>
      </c>
      <c r="B4057" s="8">
        <v>6</v>
      </c>
      <c r="C4057" s="2" t="s">
        <v>279</v>
      </c>
      <c r="O4057" s="2" t="s">
        <v>43</v>
      </c>
      <c r="P4057" s="2" t="s">
        <v>239</v>
      </c>
      <c r="Q4057" s="2" t="s">
        <v>240</v>
      </c>
      <c r="R4057" s="9">
        <v>1</v>
      </c>
      <c r="S4057" s="10">
        <v>21</v>
      </c>
      <c r="T4057" s="2">
        <f t="shared" si="450"/>
        <v>4.83</v>
      </c>
      <c r="U4057" s="10">
        <f t="shared" si="451"/>
        <v>25.83</v>
      </c>
      <c r="W4057" s="5">
        <f t="shared" si="452"/>
        <v>1</v>
      </c>
      <c r="Y4057" s="2" t="s">
        <v>3256</v>
      </c>
      <c r="Z4057" s="2" t="s">
        <v>46</v>
      </c>
      <c r="AA4057" s="2" t="s">
        <v>57</v>
      </c>
      <c r="AB4057" s="2" t="s">
        <v>58</v>
      </c>
      <c r="AH4057" s="2"/>
      <c r="AK4057" s="2"/>
    </row>
    <row r="4058" spans="1:37" x14ac:dyDescent="0.2">
      <c r="A4058" s="8">
        <v>2026</v>
      </c>
      <c r="B4058" s="8">
        <v>6</v>
      </c>
      <c r="C4058" s="2" t="s">
        <v>279</v>
      </c>
      <c r="O4058" s="2" t="s">
        <v>43</v>
      </c>
      <c r="P4058" s="2" t="s">
        <v>243</v>
      </c>
      <c r="Q4058" s="2" t="s">
        <v>244</v>
      </c>
      <c r="R4058" s="9">
        <v>1</v>
      </c>
      <c r="S4058" s="10">
        <v>30</v>
      </c>
      <c r="T4058" s="2">
        <f t="shared" si="450"/>
        <v>6.9</v>
      </c>
      <c r="U4058" s="10">
        <f t="shared" si="451"/>
        <v>36.9</v>
      </c>
      <c r="W4058" s="5">
        <f t="shared" si="452"/>
        <v>1</v>
      </c>
      <c r="Y4058" s="2" t="s">
        <v>3256</v>
      </c>
      <c r="Z4058" s="2" t="s">
        <v>46</v>
      </c>
      <c r="AA4058" s="2" t="s">
        <v>57</v>
      </c>
      <c r="AB4058" s="2" t="s">
        <v>58</v>
      </c>
      <c r="AH4058" s="2"/>
      <c r="AK4058" s="2"/>
    </row>
    <row r="4059" spans="1:37" x14ac:dyDescent="0.2">
      <c r="A4059" s="8">
        <v>2026</v>
      </c>
      <c r="B4059" s="8">
        <v>6</v>
      </c>
      <c r="C4059" s="2" t="s">
        <v>279</v>
      </c>
      <c r="O4059" s="2" t="s">
        <v>43</v>
      </c>
      <c r="P4059" s="2" t="s">
        <v>247</v>
      </c>
      <c r="Q4059" s="2" t="s">
        <v>248</v>
      </c>
      <c r="R4059" s="9">
        <v>1</v>
      </c>
      <c r="S4059" s="10">
        <v>19.8</v>
      </c>
      <c r="T4059" s="2">
        <f t="shared" si="450"/>
        <v>4.5540000000000003</v>
      </c>
      <c r="U4059" s="10">
        <f t="shared" si="451"/>
        <v>24.353999999999999</v>
      </c>
      <c r="W4059" s="5">
        <f t="shared" si="452"/>
        <v>1</v>
      </c>
      <c r="Y4059" s="2" t="s">
        <v>3256</v>
      </c>
      <c r="Z4059" s="2" t="s">
        <v>46</v>
      </c>
      <c r="AA4059" s="2" t="s">
        <v>57</v>
      </c>
      <c r="AB4059" s="2" t="s">
        <v>58</v>
      </c>
      <c r="AH4059" s="2"/>
      <c r="AK4059" s="2"/>
    </row>
    <row r="4060" spans="1:37" x14ac:dyDescent="0.2">
      <c r="A4060" s="8">
        <v>2026</v>
      </c>
      <c r="B4060" s="8">
        <v>6</v>
      </c>
      <c r="C4060" s="2" t="s">
        <v>279</v>
      </c>
      <c r="O4060" s="2" t="s">
        <v>43</v>
      </c>
      <c r="P4060" s="2" t="s">
        <v>55</v>
      </c>
      <c r="Q4060" s="2" t="s">
        <v>56</v>
      </c>
      <c r="R4060" s="9">
        <v>2</v>
      </c>
      <c r="S4060" s="10">
        <v>36</v>
      </c>
      <c r="T4060" s="2">
        <f t="shared" si="450"/>
        <v>8.2800000000000011</v>
      </c>
      <c r="U4060" s="10">
        <f t="shared" si="451"/>
        <v>44.28</v>
      </c>
      <c r="W4060" s="5">
        <f t="shared" si="452"/>
        <v>1</v>
      </c>
      <c r="Y4060" s="2" t="s">
        <v>3256</v>
      </c>
      <c r="Z4060" s="2" t="s">
        <v>46</v>
      </c>
      <c r="AA4060" s="2" t="s">
        <v>57</v>
      </c>
      <c r="AB4060" s="2" t="s">
        <v>58</v>
      </c>
      <c r="AH4060" s="2"/>
      <c r="AK4060" s="2"/>
    </row>
    <row r="4061" spans="1:37" x14ac:dyDescent="0.2">
      <c r="A4061" s="8">
        <v>2026</v>
      </c>
      <c r="B4061" s="8">
        <v>6</v>
      </c>
      <c r="C4061" s="2" t="s">
        <v>1159</v>
      </c>
      <c r="O4061" s="2" t="s">
        <v>73</v>
      </c>
      <c r="P4061" s="2" t="s">
        <v>488</v>
      </c>
      <c r="Q4061" s="2" t="s">
        <v>75</v>
      </c>
      <c r="R4061" s="9">
        <v>1</v>
      </c>
      <c r="S4061" s="10">
        <v>220</v>
      </c>
      <c r="T4061" s="2">
        <f t="shared" si="450"/>
        <v>50.6</v>
      </c>
      <c r="U4061" s="10">
        <f t="shared" si="451"/>
        <v>270.60000000000002</v>
      </c>
      <c r="V4061" s="2">
        <v>131.93</v>
      </c>
      <c r="W4061" s="5">
        <f>(S4061-V4061)/S4061</f>
        <v>0.4003181818181818</v>
      </c>
      <c r="Y4061" s="2" t="s">
        <v>3256</v>
      </c>
      <c r="Z4061" s="2" t="s">
        <v>76</v>
      </c>
      <c r="AA4061" s="2" t="s">
        <v>77</v>
      </c>
      <c r="AB4061" s="2" t="s">
        <v>78</v>
      </c>
      <c r="AE4061" s="2">
        <f>AI4061</f>
        <v>0</v>
      </c>
      <c r="AF4061" s="2">
        <v>131.93</v>
      </c>
      <c r="AG4061" s="2">
        <v>220</v>
      </c>
      <c r="AH4061" s="2"/>
      <c r="AI4061" s="2">
        <f>AH4061*S4061</f>
        <v>0</v>
      </c>
      <c r="AJ4061" s="2">
        <f>S4061-V4061</f>
        <v>88.07</v>
      </c>
      <c r="AK4061" s="5">
        <f>(S4061-V4061)/S4061</f>
        <v>0.4003181818181818</v>
      </c>
    </row>
    <row r="4062" spans="1:37" x14ac:dyDescent="0.2">
      <c r="A4062" s="8">
        <v>2026</v>
      </c>
      <c r="B4062" s="8">
        <v>6</v>
      </c>
      <c r="C4062" s="2" t="s">
        <v>1159</v>
      </c>
      <c r="O4062" s="2" t="s">
        <v>94</v>
      </c>
      <c r="P4062" s="2" t="s">
        <v>95</v>
      </c>
      <c r="Q4062" s="2" t="s">
        <v>96</v>
      </c>
      <c r="R4062" s="9">
        <v>1</v>
      </c>
      <c r="S4062" s="10">
        <v>1.48</v>
      </c>
      <c r="T4062" s="2">
        <f t="shared" si="450"/>
        <v>0.34040000000000004</v>
      </c>
      <c r="U4062" s="10">
        <f t="shared" si="451"/>
        <v>1.8204</v>
      </c>
      <c r="V4062" s="2">
        <f>1.48*R4062</f>
        <v>1.48</v>
      </c>
      <c r="W4062" s="5">
        <f>(S4062-V4062)/S4062</f>
        <v>0</v>
      </c>
      <c r="Y4062" s="2" t="s">
        <v>3256</v>
      </c>
      <c r="Z4062" s="2" t="s">
        <v>97</v>
      </c>
      <c r="AA4062" s="2" t="s">
        <v>77</v>
      </c>
      <c r="AB4062" s="2" t="s">
        <v>94</v>
      </c>
      <c r="AE4062" s="2">
        <f>AI4062</f>
        <v>0</v>
      </c>
      <c r="AF4062" s="2">
        <v>1.48</v>
      </c>
      <c r="AG4062" s="2">
        <v>1.48</v>
      </c>
      <c r="AH4062" s="2"/>
      <c r="AI4062" s="2">
        <f>AH4062*S4062</f>
        <v>0</v>
      </c>
      <c r="AJ4062" s="2">
        <f>S4062-V4062</f>
        <v>0</v>
      </c>
      <c r="AK4062" s="5">
        <f>(S4062-V4062)/S4062</f>
        <v>0</v>
      </c>
    </row>
    <row r="4063" spans="1:37" x14ac:dyDescent="0.2">
      <c r="A4063" s="8">
        <v>2026</v>
      </c>
      <c r="B4063" s="8">
        <v>6</v>
      </c>
      <c r="C4063" s="2" t="s">
        <v>693</v>
      </c>
      <c r="L4063" s="2" t="s">
        <v>40</v>
      </c>
      <c r="O4063" s="2" t="s">
        <v>188</v>
      </c>
      <c r="P4063" s="2" t="s">
        <v>189</v>
      </c>
      <c r="Q4063" s="2" t="s">
        <v>190</v>
      </c>
      <c r="R4063" s="9">
        <v>1</v>
      </c>
      <c r="S4063" s="10">
        <v>60</v>
      </c>
      <c r="T4063" s="2">
        <f t="shared" si="450"/>
        <v>13.8</v>
      </c>
      <c r="U4063" s="2">
        <f t="shared" si="451"/>
        <v>73.8</v>
      </c>
      <c r="V4063" s="2">
        <f>S4063*40%</f>
        <v>24</v>
      </c>
      <c r="W4063" s="5">
        <f>(S4063-V4063)/S4063</f>
        <v>0.6</v>
      </c>
      <c r="Y4063" s="2" t="s">
        <v>118</v>
      </c>
      <c r="Z4063" s="2" t="s">
        <v>191</v>
      </c>
      <c r="AF4063" s="2">
        <f>V4063</f>
        <v>24</v>
      </c>
      <c r="AH4063" s="2"/>
      <c r="AI4063" s="2">
        <f>AH4063*S4063</f>
        <v>0</v>
      </c>
      <c r="AJ4063" s="2">
        <f>S4063-V4063</f>
        <v>36</v>
      </c>
      <c r="AK4063" s="5">
        <f>(S4063-V4063)/S4063</f>
        <v>0.6</v>
      </c>
    </row>
    <row r="4064" spans="1:37" x14ac:dyDescent="0.2">
      <c r="A4064" s="8">
        <v>2026</v>
      </c>
      <c r="B4064" s="8">
        <v>6</v>
      </c>
      <c r="C4064" s="2" t="s">
        <v>693</v>
      </c>
      <c r="L4064" s="2" t="s">
        <v>40</v>
      </c>
      <c r="O4064" s="2" t="s">
        <v>188</v>
      </c>
      <c r="P4064" s="2" t="s">
        <v>192</v>
      </c>
      <c r="Q4064" s="2" t="s">
        <v>191</v>
      </c>
      <c r="R4064" s="9">
        <v>1</v>
      </c>
      <c r="S4064" s="10">
        <v>55</v>
      </c>
      <c r="T4064" s="2">
        <f t="shared" si="450"/>
        <v>12.65</v>
      </c>
      <c r="U4064" s="2">
        <f t="shared" si="451"/>
        <v>67.650000000000006</v>
      </c>
      <c r="V4064" s="2">
        <f>S4064*50%</f>
        <v>27.5</v>
      </c>
      <c r="W4064" s="5">
        <f>(S4064-V4064)/S4064</f>
        <v>0.5</v>
      </c>
      <c r="Y4064" s="2" t="s">
        <v>118</v>
      </c>
      <c r="Z4064" s="2" t="s">
        <v>191</v>
      </c>
      <c r="AE4064" s="2">
        <f>AI4064</f>
        <v>0</v>
      </c>
      <c r="AF4064" s="2">
        <f>V4064</f>
        <v>27.5</v>
      </c>
      <c r="AH4064" s="2"/>
      <c r="AI4064" s="2">
        <f>AH4064*S4064</f>
        <v>0</v>
      </c>
      <c r="AJ4064" s="2">
        <f>S4064-V4064</f>
        <v>27.5</v>
      </c>
      <c r="AK4064" s="5">
        <f>(S4064-V4064)/S4064</f>
        <v>0.5</v>
      </c>
    </row>
    <row r="4065" spans="1:37" x14ac:dyDescent="0.2">
      <c r="A4065" s="8">
        <v>2026</v>
      </c>
      <c r="B4065" s="8">
        <v>6</v>
      </c>
      <c r="C4065" s="2" t="s">
        <v>695</v>
      </c>
      <c r="O4065" s="2" t="s">
        <v>115</v>
      </c>
      <c r="P4065" s="2" t="s">
        <v>911</v>
      </c>
      <c r="Q4065" s="2" t="s">
        <v>912</v>
      </c>
      <c r="R4065" s="9">
        <v>1</v>
      </c>
      <c r="S4065" s="10">
        <v>699.3</v>
      </c>
      <c r="W4065" s="2"/>
      <c r="Y4065" s="2" t="s">
        <v>118</v>
      </c>
      <c r="AH4065" s="2"/>
      <c r="AK4065" s="2"/>
    </row>
    <row r="4066" spans="1:37" x14ac:dyDescent="0.2">
      <c r="A4066" s="8">
        <v>2026</v>
      </c>
      <c r="B4066" s="8">
        <v>6</v>
      </c>
      <c r="C4066" s="2" t="s">
        <v>1996</v>
      </c>
      <c r="O4066" s="2" t="s">
        <v>283</v>
      </c>
      <c r="P4066" s="2" t="s">
        <v>532</v>
      </c>
      <c r="Q4066" s="2" t="s">
        <v>533</v>
      </c>
      <c r="R4066" s="9">
        <v>1</v>
      </c>
      <c r="S4066" s="10">
        <v>399</v>
      </c>
      <c r="W4066" s="2"/>
      <c r="Y4066" s="2" t="s">
        <v>3256</v>
      </c>
      <c r="AH4066" s="2"/>
      <c r="AK4066" s="2"/>
    </row>
    <row r="4067" spans="1:37" x14ac:dyDescent="0.2">
      <c r="A4067" s="8">
        <v>2026</v>
      </c>
      <c r="B4067" s="8">
        <v>6</v>
      </c>
      <c r="C4067" s="2" t="s">
        <v>1177</v>
      </c>
      <c r="O4067" s="2" t="s">
        <v>43</v>
      </c>
      <c r="P4067" s="2" t="s">
        <v>979</v>
      </c>
      <c r="Q4067" s="2" t="s">
        <v>980</v>
      </c>
      <c r="R4067" s="9">
        <v>4</v>
      </c>
      <c r="S4067" s="10">
        <v>116</v>
      </c>
      <c r="T4067" s="2">
        <f t="shared" ref="T4067:T4072" si="453">S4067*23%</f>
        <v>26.68</v>
      </c>
      <c r="U4067" s="10">
        <f t="shared" ref="U4067:U4072" si="454">S4067+T4067</f>
        <v>142.68</v>
      </c>
      <c r="W4067" s="5">
        <f>(S4067-V4067)/S4067</f>
        <v>1</v>
      </c>
      <c r="Y4067" s="2" t="s">
        <v>3256</v>
      </c>
      <c r="Z4067" s="2" t="s">
        <v>46</v>
      </c>
      <c r="AA4067" s="2" t="s">
        <v>61</v>
      </c>
      <c r="AB4067" s="2" t="s">
        <v>58</v>
      </c>
      <c r="AH4067" s="2"/>
      <c r="AK4067" s="2"/>
    </row>
    <row r="4068" spans="1:37" x14ac:dyDescent="0.2">
      <c r="A4068" s="2">
        <v>2026</v>
      </c>
      <c r="B4068" s="2">
        <v>4</v>
      </c>
      <c r="C4068" s="2" t="s">
        <v>3292</v>
      </c>
      <c r="D4068" s="2" t="s">
        <v>38</v>
      </c>
      <c r="F4068" s="2">
        <v>500844321</v>
      </c>
      <c r="G4068" s="2" t="s">
        <v>40</v>
      </c>
      <c r="H4068" s="2" t="s">
        <v>340</v>
      </c>
      <c r="I4068" s="2" t="s">
        <v>2668</v>
      </c>
      <c r="K4068" s="2" t="s">
        <v>340</v>
      </c>
      <c r="L4068" s="2" t="s">
        <v>291</v>
      </c>
      <c r="N4068" s="2" t="s">
        <v>3291</v>
      </c>
      <c r="O4068" s="2" t="s">
        <v>115</v>
      </c>
      <c r="P4068" s="2" t="s">
        <v>416</v>
      </c>
      <c r="Q4068" s="2" t="s">
        <v>417</v>
      </c>
      <c r="R4068" s="9">
        <v>1</v>
      </c>
      <c r="S4068" s="10">
        <v>19900</v>
      </c>
      <c r="T4068" s="2">
        <f t="shared" si="453"/>
        <v>4577</v>
      </c>
      <c r="U4068" s="2">
        <f t="shared" si="454"/>
        <v>24477</v>
      </c>
      <c r="V4068" s="2">
        <f>10699.41+285.74</f>
        <v>10985.15</v>
      </c>
      <c r="W4068" s="5">
        <f t="shared" ref="W4068" si="455">(S4068-V4068)/S4068</f>
        <v>0.44798241206030154</v>
      </c>
      <c r="Y4068" s="2" t="s">
        <v>105</v>
      </c>
      <c r="Z4068" s="2" t="s">
        <v>418</v>
      </c>
      <c r="AA4068" s="2" t="s">
        <v>152</v>
      </c>
      <c r="AB4068" s="2" t="s">
        <v>115</v>
      </c>
      <c r="AH4068" s="2"/>
      <c r="AK4068" s="2"/>
    </row>
    <row r="4069" spans="1:37" x14ac:dyDescent="0.2">
      <c r="A4069" s="8">
        <v>2026</v>
      </c>
      <c r="B4069" s="8">
        <v>6</v>
      </c>
      <c r="C4069" s="2" t="s">
        <v>3288</v>
      </c>
      <c r="D4069" s="2" t="s">
        <v>38</v>
      </c>
      <c r="F4069" s="2">
        <v>500844321</v>
      </c>
      <c r="G4069" s="2" t="s">
        <v>40</v>
      </c>
      <c r="H4069" s="2" t="s">
        <v>340</v>
      </c>
      <c r="I4069" s="2" t="s">
        <v>2668</v>
      </c>
      <c r="K4069" s="2" t="s">
        <v>422</v>
      </c>
      <c r="L4069" s="2" t="s">
        <v>41</v>
      </c>
      <c r="N4069" s="2" t="s">
        <v>3293</v>
      </c>
      <c r="O4069" s="2" t="s">
        <v>115</v>
      </c>
      <c r="P4069" s="2" t="s">
        <v>963</v>
      </c>
      <c r="Q4069" s="2" t="s">
        <v>964</v>
      </c>
      <c r="R4069" s="9">
        <v>1</v>
      </c>
      <c r="S4069" s="10">
        <v>8930</v>
      </c>
      <c r="T4069" s="2">
        <f t="shared" si="453"/>
        <v>2053.9</v>
      </c>
      <c r="U4069" s="10">
        <f t="shared" si="454"/>
        <v>10983.9</v>
      </c>
      <c r="V4069" s="2">
        <f>6348.73+221.85</f>
        <v>6570.58</v>
      </c>
      <c r="W4069" s="5">
        <f t="shared" ref="W4069:W4070" si="456">(S4069-V4069)/S4069</f>
        <v>0.2642127659574468</v>
      </c>
      <c r="Y4069" s="2" t="s">
        <v>105</v>
      </c>
      <c r="Z4069" s="2" t="s">
        <v>621</v>
      </c>
      <c r="AA4069" s="2" t="s">
        <v>3294</v>
      </c>
      <c r="AB4069" s="2" t="s">
        <v>115</v>
      </c>
      <c r="AH4069" s="2"/>
      <c r="AK4069" s="2"/>
    </row>
    <row r="4070" spans="1:37" x14ac:dyDescent="0.2">
      <c r="A4070" s="8">
        <v>2026</v>
      </c>
      <c r="B4070" s="8">
        <v>6</v>
      </c>
      <c r="C4070" s="2" t="s">
        <v>3288</v>
      </c>
      <c r="D4070" s="2" t="s">
        <v>38</v>
      </c>
      <c r="F4070" s="2">
        <v>500844321</v>
      </c>
      <c r="G4070" s="2" t="s">
        <v>40</v>
      </c>
      <c r="H4070" s="2" t="s">
        <v>340</v>
      </c>
      <c r="I4070" s="2" t="s">
        <v>2668</v>
      </c>
      <c r="K4070" s="2" t="s">
        <v>422</v>
      </c>
      <c r="L4070" s="2" t="s">
        <v>41</v>
      </c>
      <c r="N4070" s="2" t="s">
        <v>3293</v>
      </c>
      <c r="O4070" s="2" t="s">
        <v>115</v>
      </c>
      <c r="P4070" s="2" t="s">
        <v>1594</v>
      </c>
      <c r="Q4070" s="2" t="s">
        <v>1595</v>
      </c>
      <c r="R4070" s="9">
        <v>1</v>
      </c>
      <c r="S4070" s="10">
        <v>6990</v>
      </c>
      <c r="T4070" s="2">
        <f t="shared" si="453"/>
        <v>1607.7</v>
      </c>
      <c r="U4070" s="10">
        <f t="shared" si="454"/>
        <v>8597.7000000000007</v>
      </c>
      <c r="V4070" s="2">
        <f>4893.23+171</f>
        <v>5064.2299999999996</v>
      </c>
      <c r="W4070" s="5">
        <f t="shared" si="456"/>
        <v>0.27550357653791135</v>
      </c>
      <c r="Y4070" s="2" t="s">
        <v>105</v>
      </c>
      <c r="Z4070" s="2" t="s">
        <v>151</v>
      </c>
      <c r="AA4070" s="2" t="s">
        <v>152</v>
      </c>
      <c r="AB4070" s="2" t="s">
        <v>115</v>
      </c>
      <c r="AH4070" s="2"/>
      <c r="AK4070" s="2"/>
    </row>
    <row r="4071" spans="1:37" x14ac:dyDescent="0.2">
      <c r="A4071" s="8">
        <v>2026</v>
      </c>
      <c r="B4071" s="8">
        <v>6</v>
      </c>
      <c r="C4071" s="2" t="s">
        <v>3128</v>
      </c>
      <c r="L4071" s="2" t="s">
        <v>40</v>
      </c>
      <c r="O4071" s="2" t="s">
        <v>188</v>
      </c>
      <c r="P4071" s="2" t="s">
        <v>189</v>
      </c>
      <c r="Q4071" s="2" t="s">
        <v>190</v>
      </c>
      <c r="R4071" s="9">
        <v>1</v>
      </c>
      <c r="S4071" s="10">
        <v>314</v>
      </c>
      <c r="T4071" s="2">
        <f t="shared" si="453"/>
        <v>72.22</v>
      </c>
      <c r="U4071" s="2">
        <f t="shared" si="454"/>
        <v>386.22</v>
      </c>
      <c r="V4071" s="2">
        <f>S4071*40%</f>
        <v>125.60000000000001</v>
      </c>
      <c r="W4071" s="5">
        <f>(S4071-V4071)/S4071</f>
        <v>0.6</v>
      </c>
      <c r="Y4071" s="2" t="s">
        <v>118</v>
      </c>
      <c r="Z4071" s="2" t="s">
        <v>191</v>
      </c>
      <c r="AF4071" s="2">
        <f>V4071</f>
        <v>125.60000000000001</v>
      </c>
      <c r="AH4071" s="2"/>
      <c r="AI4071" s="2">
        <f>AH4071*S4071</f>
        <v>0</v>
      </c>
      <c r="AJ4071" s="2">
        <f>S4071-V4071</f>
        <v>188.39999999999998</v>
      </c>
      <c r="AK4071" s="5">
        <f>(S4071-V4071)/S4071</f>
        <v>0.6</v>
      </c>
    </row>
    <row r="4072" spans="1:37" x14ac:dyDescent="0.2">
      <c r="A4072" s="8">
        <v>2026</v>
      </c>
      <c r="B4072" s="8">
        <v>6</v>
      </c>
      <c r="C4072" s="2" t="s">
        <v>3128</v>
      </c>
      <c r="L4072" s="2" t="s">
        <v>40</v>
      </c>
      <c r="O4072" s="2" t="s">
        <v>188</v>
      </c>
      <c r="P4072" s="2" t="s">
        <v>192</v>
      </c>
      <c r="Q4072" s="2" t="s">
        <v>191</v>
      </c>
      <c r="R4072" s="9">
        <v>4</v>
      </c>
      <c r="S4072" s="10">
        <v>220</v>
      </c>
      <c r="T4072" s="2">
        <f t="shared" si="453"/>
        <v>50.6</v>
      </c>
      <c r="U4072" s="2">
        <f t="shared" si="454"/>
        <v>270.60000000000002</v>
      </c>
      <c r="V4072" s="2">
        <f>S4072*50%</f>
        <v>110</v>
      </c>
      <c r="W4072" s="5">
        <f>(S4072-V4072)/S4072</f>
        <v>0.5</v>
      </c>
      <c r="Y4072" s="2" t="s">
        <v>118</v>
      </c>
      <c r="Z4072" s="2" t="s">
        <v>191</v>
      </c>
      <c r="AE4072" s="2">
        <f>AI4072</f>
        <v>0</v>
      </c>
      <c r="AF4072" s="2">
        <f>V4072</f>
        <v>110</v>
      </c>
      <c r="AH4072" s="2"/>
      <c r="AI4072" s="2">
        <f>AH4072*S4072</f>
        <v>0</v>
      </c>
      <c r="AJ4072" s="2">
        <f>S4072-V4072</f>
        <v>110</v>
      </c>
      <c r="AK4072" s="5">
        <f>(S4072-V4072)/S4072</f>
        <v>0.5</v>
      </c>
    </row>
    <row r="4073" spans="1:37" x14ac:dyDescent="0.2">
      <c r="A4073" s="8">
        <v>2026</v>
      </c>
      <c r="B4073" s="8">
        <v>6</v>
      </c>
      <c r="C4073" s="2" t="s">
        <v>3128</v>
      </c>
      <c r="O4073" s="2" t="s">
        <v>40</v>
      </c>
      <c r="P4073" s="2" t="s">
        <v>364</v>
      </c>
      <c r="Q4073" s="2" t="s">
        <v>365</v>
      </c>
      <c r="R4073" s="9">
        <v>1</v>
      </c>
      <c r="S4073" s="10">
        <v>100</v>
      </c>
      <c r="W4073" s="2"/>
      <c r="AH4073" s="2"/>
      <c r="AK4073" s="2"/>
    </row>
    <row r="4074" spans="1:37" x14ac:dyDescent="0.2">
      <c r="A4074" s="8">
        <v>2026</v>
      </c>
      <c r="B4074" s="8">
        <v>6</v>
      </c>
      <c r="C4074" s="2" t="s">
        <v>2145</v>
      </c>
      <c r="O4074" s="2" t="s">
        <v>1047</v>
      </c>
      <c r="P4074" s="2" t="s">
        <v>3061</v>
      </c>
      <c r="Q4074" s="2" t="s">
        <v>3062</v>
      </c>
      <c r="R4074" s="9">
        <v>4</v>
      </c>
      <c r="S4074" s="10">
        <v>560.97</v>
      </c>
      <c r="T4074" s="2">
        <f>S4074*23%</f>
        <v>129.0231</v>
      </c>
      <c r="U4074" s="2">
        <f>S4074+T4074</f>
        <v>689.99310000000003</v>
      </c>
      <c r="W4074" s="5">
        <f>(S4074-V4074)/S4074</f>
        <v>1</v>
      </c>
      <c r="Y4074" s="2" t="s">
        <v>3256</v>
      </c>
      <c r="Z4074" s="2" t="s">
        <v>1050</v>
      </c>
      <c r="AA4074" s="2" t="s">
        <v>1280</v>
      </c>
      <c r="AB4074" s="2" t="s">
        <v>1047</v>
      </c>
      <c r="AE4074" s="2">
        <f>AI4074</f>
        <v>0</v>
      </c>
      <c r="AH4074" s="2"/>
      <c r="AI4074" s="2">
        <f>AH4074*S4074</f>
        <v>0</v>
      </c>
      <c r="AJ4074" s="2">
        <f>S4074-V4074</f>
        <v>560.97</v>
      </c>
      <c r="AK4074" s="5">
        <f>(S4074-V4074)/S4074</f>
        <v>1</v>
      </c>
    </row>
    <row r="4075" spans="1:37" x14ac:dyDescent="0.2">
      <c r="A4075" s="8">
        <v>2026</v>
      </c>
      <c r="B4075" s="8">
        <v>6</v>
      </c>
      <c r="C4075" s="2" t="s">
        <v>333</v>
      </c>
      <c r="O4075" s="2" t="s">
        <v>43</v>
      </c>
      <c r="P4075" s="2" t="s">
        <v>64</v>
      </c>
      <c r="Q4075" s="2" t="s">
        <v>65</v>
      </c>
      <c r="R4075" s="9">
        <v>20</v>
      </c>
      <c r="S4075" s="10">
        <v>36</v>
      </c>
      <c r="T4075" s="2">
        <f>S4075*23%</f>
        <v>8.2800000000000011</v>
      </c>
      <c r="U4075" s="10">
        <f>S4075+T4075</f>
        <v>44.28</v>
      </c>
      <c r="W4075" s="5">
        <f>(S4075-V4075)/S4075</f>
        <v>1</v>
      </c>
      <c r="Y4075" s="2" t="s">
        <v>3256</v>
      </c>
      <c r="Z4075" s="2" t="s">
        <v>46</v>
      </c>
      <c r="AA4075" s="2" t="s">
        <v>61</v>
      </c>
      <c r="AB4075" s="2" t="s">
        <v>58</v>
      </c>
      <c r="AH4075" s="2"/>
      <c r="AK4075" s="2"/>
    </row>
    <row r="4076" spans="1:37" x14ac:dyDescent="0.2">
      <c r="A4076" s="8">
        <v>2026</v>
      </c>
      <c r="B4076" s="8">
        <v>6</v>
      </c>
      <c r="C4076" s="2" t="s">
        <v>3122</v>
      </c>
      <c r="O4076" s="2" t="s">
        <v>115</v>
      </c>
      <c r="P4076" s="2" t="s">
        <v>840</v>
      </c>
      <c r="Q4076" s="2" t="s">
        <v>841</v>
      </c>
      <c r="R4076" s="9">
        <v>1</v>
      </c>
      <c r="S4076" s="10">
        <v>0</v>
      </c>
      <c r="W4076" s="2"/>
      <c r="Y4076" s="2" t="s">
        <v>118</v>
      </c>
      <c r="AH4076" s="2"/>
      <c r="AK4076" s="2"/>
    </row>
    <row r="4077" spans="1:37" x14ac:dyDescent="0.2">
      <c r="A4077" s="8">
        <v>2026</v>
      </c>
      <c r="B4077" s="8">
        <v>6</v>
      </c>
      <c r="C4077" s="2" t="s">
        <v>3122</v>
      </c>
      <c r="O4077" s="2" t="s">
        <v>115</v>
      </c>
      <c r="P4077" s="2" t="s">
        <v>2136</v>
      </c>
      <c r="Q4077" s="2" t="s">
        <v>2137</v>
      </c>
      <c r="R4077" s="9">
        <v>1</v>
      </c>
      <c r="S4077" s="10">
        <v>700</v>
      </c>
      <c r="W4077" s="2"/>
      <c r="AH4077" s="2"/>
      <c r="AK4077" s="2"/>
    </row>
    <row r="4078" spans="1:37" x14ac:dyDescent="0.2">
      <c r="A4078" s="8">
        <v>2026</v>
      </c>
      <c r="B4078" s="8">
        <v>6</v>
      </c>
      <c r="C4078" s="2" t="s">
        <v>3122</v>
      </c>
      <c r="O4078" s="2" t="s">
        <v>115</v>
      </c>
      <c r="P4078" s="2" t="s">
        <v>1192</v>
      </c>
      <c r="Q4078" s="2" t="s">
        <v>1193</v>
      </c>
      <c r="R4078" s="9">
        <v>1</v>
      </c>
      <c r="S4078" s="10">
        <v>11500</v>
      </c>
      <c r="W4078" s="2"/>
      <c r="AH4078" s="2"/>
      <c r="AK4078" s="2"/>
    </row>
    <row r="4079" spans="1:37" x14ac:dyDescent="0.2">
      <c r="A4079" s="8">
        <v>2026</v>
      </c>
      <c r="B4079" s="8">
        <v>6</v>
      </c>
      <c r="C4079" s="2" t="s">
        <v>3123</v>
      </c>
      <c r="O4079" s="2" t="s">
        <v>115</v>
      </c>
      <c r="P4079" s="2" t="s">
        <v>416</v>
      </c>
      <c r="Q4079" s="2" t="s">
        <v>417</v>
      </c>
      <c r="R4079" s="9">
        <v>1</v>
      </c>
      <c r="S4079" s="10">
        <v>15000</v>
      </c>
      <c r="W4079" s="2"/>
      <c r="AH4079" s="2"/>
      <c r="AK4079" s="2"/>
    </row>
    <row r="4080" spans="1:37" x14ac:dyDescent="0.2">
      <c r="A4080" s="8">
        <v>2026</v>
      </c>
      <c r="B4080" s="8">
        <v>6</v>
      </c>
      <c r="C4080" s="2" t="s">
        <v>1365</v>
      </c>
      <c r="D4080" s="2" t="s">
        <v>758</v>
      </c>
      <c r="E4080" s="2" t="s">
        <v>39</v>
      </c>
      <c r="F4080" s="2">
        <v>518238334</v>
      </c>
      <c r="G4080" s="2" t="s">
        <v>41</v>
      </c>
      <c r="H4080" s="2" t="s">
        <v>768</v>
      </c>
      <c r="I4080" s="2" t="s">
        <v>1366</v>
      </c>
      <c r="K4080" s="2" t="s">
        <v>422</v>
      </c>
      <c r="L4080" s="2" t="s">
        <v>41</v>
      </c>
      <c r="O4080" s="2" t="s">
        <v>43</v>
      </c>
      <c r="P4080" s="2" t="s">
        <v>2945</v>
      </c>
      <c r="Q4080" s="2" t="s">
        <v>270</v>
      </c>
      <c r="R4080" s="9">
        <v>1</v>
      </c>
      <c r="S4080" s="10">
        <v>10.8</v>
      </c>
      <c r="T4080" s="2">
        <f t="shared" ref="T4080:T4106" si="457">S4080*23%</f>
        <v>2.4840000000000004</v>
      </c>
      <c r="U4080" s="10">
        <f t="shared" ref="U4080:U4106" si="458">S4080+T4080</f>
        <v>13.284000000000001</v>
      </c>
      <c r="W4080" s="5">
        <f t="shared" ref="W4080:W4106" si="459">(S4080-V4080)/S4080</f>
        <v>1</v>
      </c>
      <c r="Y4080" s="2" t="s">
        <v>3256</v>
      </c>
      <c r="Z4080" s="2" t="s">
        <v>46</v>
      </c>
      <c r="AH4080" s="2"/>
      <c r="AK4080" s="2"/>
    </row>
    <row r="4081" spans="1:37" x14ac:dyDescent="0.2">
      <c r="A4081" s="8">
        <v>2026</v>
      </c>
      <c r="B4081" s="8">
        <v>6</v>
      </c>
      <c r="C4081" s="2" t="s">
        <v>1365</v>
      </c>
      <c r="D4081" s="2" t="s">
        <v>758</v>
      </c>
      <c r="E4081" s="2" t="s">
        <v>39</v>
      </c>
      <c r="F4081" s="2">
        <v>518238334</v>
      </c>
      <c r="G4081" s="2" t="s">
        <v>41</v>
      </c>
      <c r="H4081" s="2" t="s">
        <v>768</v>
      </c>
      <c r="I4081" s="2" t="s">
        <v>1366</v>
      </c>
      <c r="K4081" s="2" t="s">
        <v>422</v>
      </c>
      <c r="L4081" s="2" t="s">
        <v>41</v>
      </c>
      <c r="O4081" s="2" t="s">
        <v>43</v>
      </c>
      <c r="P4081" s="2" t="s">
        <v>2946</v>
      </c>
      <c r="Q4081" s="2" t="s">
        <v>2947</v>
      </c>
      <c r="R4081" s="9">
        <v>1</v>
      </c>
      <c r="S4081" s="10">
        <v>3.6</v>
      </c>
      <c r="T4081" s="2">
        <f t="shared" si="457"/>
        <v>0.82800000000000007</v>
      </c>
      <c r="U4081" s="10">
        <f t="shared" si="458"/>
        <v>4.4279999999999999</v>
      </c>
      <c r="W4081" s="5">
        <f t="shared" si="459"/>
        <v>1</v>
      </c>
      <c r="Y4081" s="2" t="s">
        <v>3256</v>
      </c>
      <c r="Z4081" s="2" t="s">
        <v>46</v>
      </c>
      <c r="AH4081" s="2"/>
      <c r="AK4081" s="2"/>
    </row>
    <row r="4082" spans="1:37" x14ac:dyDescent="0.2">
      <c r="A4082" s="8">
        <v>2026</v>
      </c>
      <c r="B4082" s="8">
        <v>6</v>
      </c>
      <c r="C4082" s="2" t="s">
        <v>1365</v>
      </c>
      <c r="D4082" s="2" t="s">
        <v>758</v>
      </c>
      <c r="E4082" s="2" t="s">
        <v>39</v>
      </c>
      <c r="F4082" s="2">
        <v>518238334</v>
      </c>
      <c r="G4082" s="2" t="s">
        <v>41</v>
      </c>
      <c r="H4082" s="2" t="s">
        <v>768</v>
      </c>
      <c r="I4082" s="2" t="s">
        <v>1366</v>
      </c>
      <c r="K4082" s="2" t="s">
        <v>422</v>
      </c>
      <c r="L4082" s="2" t="s">
        <v>41</v>
      </c>
      <c r="O4082" s="2" t="s">
        <v>43</v>
      </c>
      <c r="P4082" s="2" t="s">
        <v>352</v>
      </c>
      <c r="Q4082" s="2" t="s">
        <v>353</v>
      </c>
      <c r="R4082" s="9">
        <v>1</v>
      </c>
      <c r="S4082" s="10">
        <v>21</v>
      </c>
      <c r="T4082" s="2">
        <f t="shared" si="457"/>
        <v>4.83</v>
      </c>
      <c r="U4082" s="10">
        <f t="shared" si="458"/>
        <v>25.83</v>
      </c>
      <c r="W4082" s="5">
        <f t="shared" si="459"/>
        <v>1</v>
      </c>
      <c r="Y4082" s="2" t="s">
        <v>3256</v>
      </c>
      <c r="Z4082" s="2" t="s">
        <v>46</v>
      </c>
      <c r="AH4082" s="2"/>
      <c r="AK4082" s="2"/>
    </row>
    <row r="4083" spans="1:37" x14ac:dyDescent="0.2">
      <c r="A4083" s="8">
        <v>2026</v>
      </c>
      <c r="B4083" s="8">
        <v>6</v>
      </c>
      <c r="C4083" s="2" t="s">
        <v>1365</v>
      </c>
      <c r="D4083" s="2" t="s">
        <v>758</v>
      </c>
      <c r="E4083" s="2" t="s">
        <v>39</v>
      </c>
      <c r="F4083" s="2">
        <v>518238334</v>
      </c>
      <c r="G4083" s="2" t="s">
        <v>41</v>
      </c>
      <c r="H4083" s="2" t="s">
        <v>768</v>
      </c>
      <c r="I4083" s="2" t="s">
        <v>1366</v>
      </c>
      <c r="K4083" s="2" t="s">
        <v>422</v>
      </c>
      <c r="L4083" s="2" t="s">
        <v>41</v>
      </c>
      <c r="O4083" s="2" t="s">
        <v>43</v>
      </c>
      <c r="P4083" s="2" t="s">
        <v>159</v>
      </c>
      <c r="Q4083" s="2" t="s">
        <v>160</v>
      </c>
      <c r="R4083" s="9">
        <v>1</v>
      </c>
      <c r="S4083" s="10">
        <v>21</v>
      </c>
      <c r="T4083" s="2">
        <f t="shared" si="457"/>
        <v>4.83</v>
      </c>
      <c r="U4083" s="10">
        <f t="shared" si="458"/>
        <v>25.83</v>
      </c>
      <c r="W4083" s="5">
        <f t="shared" si="459"/>
        <v>1</v>
      </c>
      <c r="Y4083" s="2" t="s">
        <v>3256</v>
      </c>
      <c r="Z4083" s="2" t="s">
        <v>46</v>
      </c>
      <c r="AH4083" s="2"/>
      <c r="AK4083" s="2"/>
    </row>
    <row r="4084" spans="1:37" x14ac:dyDescent="0.2">
      <c r="A4084" s="8">
        <v>2026</v>
      </c>
      <c r="B4084" s="8">
        <v>6</v>
      </c>
      <c r="C4084" s="2" t="s">
        <v>1365</v>
      </c>
      <c r="D4084" s="2" t="s">
        <v>758</v>
      </c>
      <c r="E4084" s="2" t="s">
        <v>39</v>
      </c>
      <c r="F4084" s="2">
        <v>518238334</v>
      </c>
      <c r="G4084" s="2" t="s">
        <v>41</v>
      </c>
      <c r="H4084" s="2" t="s">
        <v>768</v>
      </c>
      <c r="I4084" s="2" t="s">
        <v>1366</v>
      </c>
      <c r="K4084" s="2" t="s">
        <v>422</v>
      </c>
      <c r="L4084" s="2" t="s">
        <v>41</v>
      </c>
      <c r="O4084" s="2" t="s">
        <v>43</v>
      </c>
      <c r="P4084" s="2" t="s">
        <v>161</v>
      </c>
      <c r="Q4084" s="2" t="s">
        <v>162</v>
      </c>
      <c r="R4084" s="9">
        <v>1</v>
      </c>
      <c r="S4084" s="10">
        <v>9</v>
      </c>
      <c r="T4084" s="2">
        <f t="shared" si="457"/>
        <v>2.0700000000000003</v>
      </c>
      <c r="U4084" s="10">
        <f t="shared" si="458"/>
        <v>11.07</v>
      </c>
      <c r="W4084" s="5">
        <f t="shared" si="459"/>
        <v>1</v>
      </c>
      <c r="Y4084" s="2" t="s">
        <v>3256</v>
      </c>
      <c r="Z4084" s="2" t="s">
        <v>46</v>
      </c>
      <c r="AH4084" s="2"/>
      <c r="AK4084" s="2"/>
    </row>
    <row r="4085" spans="1:37" x14ac:dyDescent="0.2">
      <c r="A4085" s="8">
        <v>2026</v>
      </c>
      <c r="B4085" s="8">
        <v>6</v>
      </c>
      <c r="C4085" s="2" t="s">
        <v>1365</v>
      </c>
      <c r="D4085" s="2" t="s">
        <v>758</v>
      </c>
      <c r="E4085" s="2" t="s">
        <v>39</v>
      </c>
      <c r="F4085" s="2">
        <v>518238334</v>
      </c>
      <c r="G4085" s="2" t="s">
        <v>41</v>
      </c>
      <c r="H4085" s="2" t="s">
        <v>768</v>
      </c>
      <c r="I4085" s="2" t="s">
        <v>1366</v>
      </c>
      <c r="K4085" s="2" t="s">
        <v>422</v>
      </c>
      <c r="L4085" s="2" t="s">
        <v>41</v>
      </c>
      <c r="O4085" s="2" t="s">
        <v>43</v>
      </c>
      <c r="P4085" s="2" t="s">
        <v>235</v>
      </c>
      <c r="Q4085" s="2" t="s">
        <v>236</v>
      </c>
      <c r="R4085" s="9">
        <v>1</v>
      </c>
      <c r="S4085" s="10">
        <v>14.4</v>
      </c>
      <c r="T4085" s="2">
        <f t="shared" si="457"/>
        <v>3.3120000000000003</v>
      </c>
      <c r="U4085" s="10">
        <f t="shared" si="458"/>
        <v>17.712</v>
      </c>
      <c r="W4085" s="5">
        <f t="shared" si="459"/>
        <v>1</v>
      </c>
      <c r="Y4085" s="2" t="s">
        <v>3256</v>
      </c>
      <c r="Z4085" s="2" t="s">
        <v>46</v>
      </c>
      <c r="AA4085" s="2" t="s">
        <v>57</v>
      </c>
      <c r="AB4085" s="2" t="s">
        <v>58</v>
      </c>
      <c r="AH4085" s="2"/>
      <c r="AK4085" s="2"/>
    </row>
    <row r="4086" spans="1:37" x14ac:dyDescent="0.2">
      <c r="A4086" s="8">
        <v>2026</v>
      </c>
      <c r="B4086" s="8">
        <v>6</v>
      </c>
      <c r="C4086" s="2" t="s">
        <v>1365</v>
      </c>
      <c r="D4086" s="2" t="s">
        <v>758</v>
      </c>
      <c r="E4086" s="2" t="s">
        <v>39</v>
      </c>
      <c r="F4086" s="2">
        <v>518238334</v>
      </c>
      <c r="G4086" s="2" t="s">
        <v>41</v>
      </c>
      <c r="H4086" s="2" t="s">
        <v>768</v>
      </c>
      <c r="I4086" s="2" t="s">
        <v>1366</v>
      </c>
      <c r="K4086" s="2" t="s">
        <v>422</v>
      </c>
      <c r="L4086" s="2" t="s">
        <v>41</v>
      </c>
      <c r="O4086" s="2" t="s">
        <v>43</v>
      </c>
      <c r="P4086" s="2" t="s">
        <v>237</v>
      </c>
      <c r="Q4086" s="2" t="s">
        <v>238</v>
      </c>
      <c r="R4086" s="9">
        <v>1</v>
      </c>
      <c r="S4086" s="10">
        <v>17.399999999999999</v>
      </c>
      <c r="T4086" s="2">
        <f t="shared" si="457"/>
        <v>4.0019999999999998</v>
      </c>
      <c r="U4086" s="10">
        <f t="shared" si="458"/>
        <v>21.401999999999997</v>
      </c>
      <c r="W4086" s="5">
        <f t="shared" si="459"/>
        <v>1</v>
      </c>
      <c r="Y4086" s="2" t="s">
        <v>3256</v>
      </c>
      <c r="Z4086" s="2" t="s">
        <v>46</v>
      </c>
      <c r="AA4086" s="2" t="s">
        <v>57</v>
      </c>
      <c r="AB4086" s="2" t="s">
        <v>58</v>
      </c>
      <c r="AH4086" s="2"/>
      <c r="AK4086" s="2"/>
    </row>
    <row r="4087" spans="1:37" x14ac:dyDescent="0.2">
      <c r="A4087" s="8">
        <v>2026</v>
      </c>
      <c r="B4087" s="8">
        <v>6</v>
      </c>
      <c r="C4087" s="2" t="s">
        <v>1365</v>
      </c>
      <c r="D4087" s="2" t="s">
        <v>758</v>
      </c>
      <c r="E4087" s="2" t="s">
        <v>39</v>
      </c>
      <c r="F4087" s="2">
        <v>518238334</v>
      </c>
      <c r="G4087" s="2" t="s">
        <v>41</v>
      </c>
      <c r="H4087" s="2" t="s">
        <v>768</v>
      </c>
      <c r="I4087" s="2" t="s">
        <v>1366</v>
      </c>
      <c r="K4087" s="2" t="s">
        <v>422</v>
      </c>
      <c r="L4087" s="2" t="s">
        <v>41</v>
      </c>
      <c r="O4087" s="2" t="s">
        <v>43</v>
      </c>
      <c r="P4087" s="2" t="s">
        <v>239</v>
      </c>
      <c r="Q4087" s="2" t="s">
        <v>240</v>
      </c>
      <c r="R4087" s="9">
        <v>1</v>
      </c>
      <c r="S4087" s="10">
        <v>21</v>
      </c>
      <c r="T4087" s="2">
        <f t="shared" si="457"/>
        <v>4.83</v>
      </c>
      <c r="U4087" s="10">
        <f t="shared" si="458"/>
        <v>25.83</v>
      </c>
      <c r="W4087" s="5">
        <f t="shared" si="459"/>
        <v>1</v>
      </c>
      <c r="Y4087" s="2" t="s">
        <v>3256</v>
      </c>
      <c r="Z4087" s="2" t="s">
        <v>46</v>
      </c>
      <c r="AA4087" s="2" t="s">
        <v>57</v>
      </c>
      <c r="AB4087" s="2" t="s">
        <v>58</v>
      </c>
      <c r="AH4087" s="2"/>
      <c r="AK4087" s="2"/>
    </row>
    <row r="4088" spans="1:37" x14ac:dyDescent="0.2">
      <c r="A4088" s="8">
        <v>2026</v>
      </c>
      <c r="B4088" s="8">
        <v>6</v>
      </c>
      <c r="C4088" s="2" t="s">
        <v>1365</v>
      </c>
      <c r="D4088" s="2" t="s">
        <v>758</v>
      </c>
      <c r="E4088" s="2" t="s">
        <v>39</v>
      </c>
      <c r="F4088" s="2">
        <v>518238334</v>
      </c>
      <c r="G4088" s="2" t="s">
        <v>41</v>
      </c>
      <c r="H4088" s="2" t="s">
        <v>768</v>
      </c>
      <c r="I4088" s="2" t="s">
        <v>1366</v>
      </c>
      <c r="K4088" s="2" t="s">
        <v>422</v>
      </c>
      <c r="L4088" s="2" t="s">
        <v>41</v>
      </c>
      <c r="O4088" s="2" t="s">
        <v>43</v>
      </c>
      <c r="P4088" s="2" t="s">
        <v>241</v>
      </c>
      <c r="Q4088" s="2" t="s">
        <v>242</v>
      </c>
      <c r="R4088" s="9">
        <v>1</v>
      </c>
      <c r="S4088" s="10">
        <v>25.2</v>
      </c>
      <c r="T4088" s="2">
        <f t="shared" si="457"/>
        <v>5.7960000000000003</v>
      </c>
      <c r="U4088" s="10">
        <f t="shared" si="458"/>
        <v>30.995999999999999</v>
      </c>
      <c r="W4088" s="5">
        <f t="shared" si="459"/>
        <v>1</v>
      </c>
      <c r="Y4088" s="2" t="s">
        <v>3256</v>
      </c>
      <c r="Z4088" s="2" t="s">
        <v>46</v>
      </c>
      <c r="AA4088" s="2" t="s">
        <v>57</v>
      </c>
      <c r="AB4088" s="2" t="s">
        <v>58</v>
      </c>
      <c r="AH4088" s="2"/>
      <c r="AK4088" s="2"/>
    </row>
    <row r="4089" spans="1:37" x14ac:dyDescent="0.2">
      <c r="A4089" s="8">
        <v>2026</v>
      </c>
      <c r="B4089" s="8">
        <v>6</v>
      </c>
      <c r="C4089" s="2" t="s">
        <v>1365</v>
      </c>
      <c r="D4089" s="2" t="s">
        <v>758</v>
      </c>
      <c r="E4089" s="2" t="s">
        <v>39</v>
      </c>
      <c r="F4089" s="2">
        <v>518238334</v>
      </c>
      <c r="G4089" s="2" t="s">
        <v>41</v>
      </c>
      <c r="H4089" s="2" t="s">
        <v>768</v>
      </c>
      <c r="I4089" s="2" t="s">
        <v>1366</v>
      </c>
      <c r="K4089" s="2" t="s">
        <v>422</v>
      </c>
      <c r="L4089" s="2" t="s">
        <v>41</v>
      </c>
      <c r="O4089" s="2" t="s">
        <v>43</v>
      </c>
      <c r="P4089" s="2" t="s">
        <v>243</v>
      </c>
      <c r="Q4089" s="2" t="s">
        <v>244</v>
      </c>
      <c r="R4089" s="9">
        <v>1</v>
      </c>
      <c r="S4089" s="10">
        <v>30</v>
      </c>
      <c r="T4089" s="2">
        <f t="shared" si="457"/>
        <v>6.9</v>
      </c>
      <c r="U4089" s="10">
        <f t="shared" si="458"/>
        <v>36.9</v>
      </c>
      <c r="W4089" s="5">
        <f t="shared" si="459"/>
        <v>1</v>
      </c>
      <c r="Y4089" s="2" t="s">
        <v>3256</v>
      </c>
      <c r="Z4089" s="2" t="s">
        <v>46</v>
      </c>
      <c r="AA4089" s="2" t="s">
        <v>57</v>
      </c>
      <c r="AB4089" s="2" t="s">
        <v>58</v>
      </c>
      <c r="AH4089" s="2"/>
      <c r="AK4089" s="2"/>
    </row>
    <row r="4090" spans="1:37" x14ac:dyDescent="0.2">
      <c r="A4090" s="8">
        <v>2026</v>
      </c>
      <c r="B4090" s="8">
        <v>6</v>
      </c>
      <c r="C4090" s="2" t="s">
        <v>1365</v>
      </c>
      <c r="D4090" s="2" t="s">
        <v>758</v>
      </c>
      <c r="E4090" s="2" t="s">
        <v>39</v>
      </c>
      <c r="F4090" s="2">
        <v>518238334</v>
      </c>
      <c r="G4090" s="2" t="s">
        <v>41</v>
      </c>
      <c r="H4090" s="2" t="s">
        <v>768</v>
      </c>
      <c r="I4090" s="2" t="s">
        <v>1366</v>
      </c>
      <c r="K4090" s="2" t="s">
        <v>422</v>
      </c>
      <c r="L4090" s="2" t="s">
        <v>41</v>
      </c>
      <c r="O4090" s="2" t="s">
        <v>43</v>
      </c>
      <c r="P4090" s="2" t="s">
        <v>245</v>
      </c>
      <c r="Q4090" s="2" t="s">
        <v>246</v>
      </c>
      <c r="R4090" s="9">
        <v>1</v>
      </c>
      <c r="S4090" s="10">
        <v>18</v>
      </c>
      <c r="T4090" s="2">
        <f t="shared" si="457"/>
        <v>4.1400000000000006</v>
      </c>
      <c r="U4090" s="10">
        <f t="shared" si="458"/>
        <v>22.14</v>
      </c>
      <c r="W4090" s="5">
        <f t="shared" si="459"/>
        <v>1</v>
      </c>
      <c r="Y4090" s="2" t="s">
        <v>3256</v>
      </c>
      <c r="Z4090" s="2" t="s">
        <v>46</v>
      </c>
      <c r="AA4090" s="2" t="s">
        <v>57</v>
      </c>
      <c r="AB4090" s="2" t="s">
        <v>58</v>
      </c>
      <c r="AH4090" s="2"/>
      <c r="AK4090" s="2"/>
    </row>
    <row r="4091" spans="1:37" x14ac:dyDescent="0.2">
      <c r="A4091" s="8">
        <v>2026</v>
      </c>
      <c r="B4091" s="8">
        <v>6</v>
      </c>
      <c r="C4091" s="2" t="s">
        <v>1365</v>
      </c>
      <c r="D4091" s="2" t="s">
        <v>758</v>
      </c>
      <c r="E4091" s="2" t="s">
        <v>39</v>
      </c>
      <c r="F4091" s="2">
        <v>518238334</v>
      </c>
      <c r="G4091" s="2" t="s">
        <v>41</v>
      </c>
      <c r="H4091" s="2" t="s">
        <v>768</v>
      </c>
      <c r="I4091" s="2" t="s">
        <v>1366</v>
      </c>
      <c r="K4091" s="2" t="s">
        <v>422</v>
      </c>
      <c r="L4091" s="2" t="s">
        <v>41</v>
      </c>
      <c r="O4091" s="2" t="s">
        <v>43</v>
      </c>
      <c r="P4091" s="2" t="s">
        <v>247</v>
      </c>
      <c r="Q4091" s="2" t="s">
        <v>248</v>
      </c>
      <c r="R4091" s="9">
        <v>1</v>
      </c>
      <c r="S4091" s="10">
        <v>19.8</v>
      </c>
      <c r="T4091" s="2">
        <f t="shared" si="457"/>
        <v>4.5540000000000003</v>
      </c>
      <c r="U4091" s="10">
        <f t="shared" si="458"/>
        <v>24.353999999999999</v>
      </c>
      <c r="W4091" s="5">
        <f t="shared" si="459"/>
        <v>1</v>
      </c>
      <c r="Y4091" s="2" t="s">
        <v>3256</v>
      </c>
      <c r="Z4091" s="2" t="s">
        <v>46</v>
      </c>
      <c r="AA4091" s="2" t="s">
        <v>57</v>
      </c>
      <c r="AB4091" s="2" t="s">
        <v>58</v>
      </c>
      <c r="AH4091" s="2"/>
      <c r="AK4091" s="2"/>
    </row>
    <row r="4092" spans="1:37" x14ac:dyDescent="0.2">
      <c r="A4092" s="8">
        <v>2026</v>
      </c>
      <c r="B4092" s="8">
        <v>6</v>
      </c>
      <c r="C4092" s="2" t="s">
        <v>1365</v>
      </c>
      <c r="D4092" s="2" t="s">
        <v>758</v>
      </c>
      <c r="E4092" s="2" t="s">
        <v>39</v>
      </c>
      <c r="F4092" s="2">
        <v>518238334</v>
      </c>
      <c r="G4092" s="2" t="s">
        <v>41</v>
      </c>
      <c r="H4092" s="2" t="s">
        <v>768</v>
      </c>
      <c r="I4092" s="2" t="s">
        <v>1366</v>
      </c>
      <c r="K4092" s="2" t="s">
        <v>422</v>
      </c>
      <c r="L4092" s="2" t="s">
        <v>41</v>
      </c>
      <c r="O4092" s="2" t="s">
        <v>43</v>
      </c>
      <c r="P4092" s="2" t="s">
        <v>286</v>
      </c>
      <c r="Q4092" s="2" t="s">
        <v>287</v>
      </c>
      <c r="R4092" s="9">
        <v>1</v>
      </c>
      <c r="S4092" s="10">
        <v>22.8</v>
      </c>
      <c r="T4092" s="2">
        <f t="shared" si="457"/>
        <v>5.2440000000000007</v>
      </c>
      <c r="U4092" s="10">
        <f t="shared" si="458"/>
        <v>28.044</v>
      </c>
      <c r="W4092" s="5">
        <f t="shared" si="459"/>
        <v>1</v>
      </c>
      <c r="Y4092" s="2" t="s">
        <v>3256</v>
      </c>
      <c r="Z4092" s="2" t="s">
        <v>46</v>
      </c>
      <c r="AA4092" s="2" t="s">
        <v>57</v>
      </c>
      <c r="AB4092" s="2" t="s">
        <v>58</v>
      </c>
      <c r="AH4092" s="2"/>
      <c r="AK4092" s="2"/>
    </row>
    <row r="4093" spans="1:37" x14ac:dyDescent="0.2">
      <c r="A4093" s="8">
        <v>2026</v>
      </c>
      <c r="B4093" s="8">
        <v>6</v>
      </c>
      <c r="C4093" s="2" t="s">
        <v>1365</v>
      </c>
      <c r="D4093" s="2" t="s">
        <v>758</v>
      </c>
      <c r="E4093" s="2" t="s">
        <v>39</v>
      </c>
      <c r="F4093" s="2">
        <v>518238334</v>
      </c>
      <c r="G4093" s="2" t="s">
        <v>41</v>
      </c>
      <c r="H4093" s="2" t="s">
        <v>768</v>
      </c>
      <c r="I4093" s="2" t="s">
        <v>1366</v>
      </c>
      <c r="K4093" s="2" t="s">
        <v>422</v>
      </c>
      <c r="L4093" s="2" t="s">
        <v>41</v>
      </c>
      <c r="O4093" s="2" t="s">
        <v>43</v>
      </c>
      <c r="P4093" s="2" t="s">
        <v>249</v>
      </c>
      <c r="Q4093" s="2" t="s">
        <v>250</v>
      </c>
      <c r="R4093" s="9">
        <v>1</v>
      </c>
      <c r="S4093" s="10">
        <v>24</v>
      </c>
      <c r="T4093" s="2">
        <f t="shared" si="457"/>
        <v>5.5200000000000005</v>
      </c>
      <c r="U4093" s="10">
        <f t="shared" si="458"/>
        <v>29.52</v>
      </c>
      <c r="W4093" s="5">
        <f t="shared" si="459"/>
        <v>1</v>
      </c>
      <c r="Y4093" s="2" t="s">
        <v>3256</v>
      </c>
      <c r="Z4093" s="2" t="s">
        <v>46</v>
      </c>
      <c r="AA4093" s="2" t="s">
        <v>57</v>
      </c>
      <c r="AB4093" s="2" t="s">
        <v>58</v>
      </c>
      <c r="AH4093" s="2"/>
      <c r="AK4093" s="2"/>
    </row>
    <row r="4094" spans="1:37" x14ac:dyDescent="0.2">
      <c r="A4094" s="8">
        <v>2026</v>
      </c>
      <c r="B4094" s="8">
        <v>6</v>
      </c>
      <c r="C4094" s="2" t="s">
        <v>1365</v>
      </c>
      <c r="D4094" s="2" t="s">
        <v>758</v>
      </c>
      <c r="E4094" s="2" t="s">
        <v>39</v>
      </c>
      <c r="F4094" s="2">
        <v>518238334</v>
      </c>
      <c r="G4094" s="2" t="s">
        <v>41</v>
      </c>
      <c r="H4094" s="2" t="s">
        <v>768</v>
      </c>
      <c r="I4094" s="2" t="s">
        <v>1366</v>
      </c>
      <c r="K4094" s="2" t="s">
        <v>422</v>
      </c>
      <c r="L4094" s="2" t="s">
        <v>41</v>
      </c>
      <c r="O4094" s="2" t="s">
        <v>43</v>
      </c>
      <c r="P4094" s="2" t="s">
        <v>55</v>
      </c>
      <c r="Q4094" s="2" t="s">
        <v>56</v>
      </c>
      <c r="R4094" s="9">
        <v>1</v>
      </c>
      <c r="S4094" s="10">
        <v>0</v>
      </c>
      <c r="T4094" s="2">
        <f t="shared" si="457"/>
        <v>0</v>
      </c>
      <c r="U4094" s="10">
        <f t="shared" si="458"/>
        <v>0</v>
      </c>
      <c r="W4094" s="5">
        <v>0</v>
      </c>
      <c r="Y4094" s="2" t="s">
        <v>3256</v>
      </c>
      <c r="Z4094" s="2" t="s">
        <v>46</v>
      </c>
      <c r="AA4094" s="2" t="s">
        <v>57</v>
      </c>
      <c r="AB4094" s="2" t="s">
        <v>58</v>
      </c>
      <c r="AH4094" s="2"/>
      <c r="AK4094" s="2"/>
    </row>
    <row r="4095" spans="1:37" x14ac:dyDescent="0.2">
      <c r="A4095" s="8">
        <v>2026</v>
      </c>
      <c r="B4095" s="8">
        <v>6</v>
      </c>
      <c r="C4095" s="2" t="s">
        <v>1365</v>
      </c>
      <c r="D4095" s="2" t="s">
        <v>758</v>
      </c>
      <c r="E4095" s="2" t="s">
        <v>39</v>
      </c>
      <c r="F4095" s="2">
        <v>518238334</v>
      </c>
      <c r="G4095" s="2" t="s">
        <v>41</v>
      </c>
      <c r="H4095" s="2" t="s">
        <v>768</v>
      </c>
      <c r="I4095" s="2" t="s">
        <v>1366</v>
      </c>
      <c r="K4095" s="2" t="s">
        <v>422</v>
      </c>
      <c r="L4095" s="2" t="s">
        <v>41</v>
      </c>
      <c r="O4095" s="2" t="s">
        <v>43</v>
      </c>
      <c r="P4095" s="2" t="s">
        <v>59</v>
      </c>
      <c r="Q4095" s="2" t="s">
        <v>60</v>
      </c>
      <c r="R4095" s="9">
        <v>100</v>
      </c>
      <c r="S4095" s="10">
        <v>14</v>
      </c>
      <c r="T4095" s="2">
        <f t="shared" si="457"/>
        <v>3.22</v>
      </c>
      <c r="U4095" s="10">
        <f t="shared" si="458"/>
        <v>17.22</v>
      </c>
      <c r="V4095" s="2">
        <f>0.0914*R4095</f>
        <v>9.1399999999999988</v>
      </c>
      <c r="W4095" s="5">
        <f t="shared" si="459"/>
        <v>0.34714285714285725</v>
      </c>
      <c r="Y4095" s="2" t="s">
        <v>3256</v>
      </c>
      <c r="Z4095" s="2" t="s">
        <v>46</v>
      </c>
      <c r="AA4095" s="2" t="s">
        <v>61</v>
      </c>
      <c r="AB4095" s="2" t="s">
        <v>58</v>
      </c>
      <c r="AE4095" s="2">
        <f>AI4095</f>
        <v>0</v>
      </c>
      <c r="AF4095" s="2">
        <v>9.14</v>
      </c>
      <c r="AG4095" s="2">
        <v>16</v>
      </c>
      <c r="AH4095" s="2"/>
      <c r="AK4095" s="2"/>
    </row>
    <row r="4096" spans="1:37" x14ac:dyDescent="0.2">
      <c r="A4096" s="8">
        <v>2026</v>
      </c>
      <c r="B4096" s="8">
        <v>6</v>
      </c>
      <c r="C4096" s="2" t="s">
        <v>1365</v>
      </c>
      <c r="D4096" s="2" t="s">
        <v>758</v>
      </c>
      <c r="E4096" s="2" t="s">
        <v>39</v>
      </c>
      <c r="F4096" s="2">
        <v>518238334</v>
      </c>
      <c r="G4096" s="2" t="s">
        <v>41</v>
      </c>
      <c r="H4096" s="2" t="s">
        <v>768</v>
      </c>
      <c r="I4096" s="2" t="s">
        <v>1366</v>
      </c>
      <c r="K4096" s="2" t="s">
        <v>422</v>
      </c>
      <c r="L4096" s="2" t="s">
        <v>41</v>
      </c>
      <c r="O4096" s="2" t="s">
        <v>43</v>
      </c>
      <c r="P4096" s="2" t="s">
        <v>62</v>
      </c>
      <c r="Q4096" s="2" t="s">
        <v>63</v>
      </c>
      <c r="R4096" s="9">
        <v>100</v>
      </c>
      <c r="S4096" s="10">
        <v>13</v>
      </c>
      <c r="T4096" s="2">
        <f t="shared" si="457"/>
        <v>2.99</v>
      </c>
      <c r="U4096" s="10">
        <f t="shared" si="458"/>
        <v>15.99</v>
      </c>
      <c r="W4096" s="5">
        <f t="shared" si="459"/>
        <v>1</v>
      </c>
      <c r="Y4096" s="2" t="s">
        <v>3256</v>
      </c>
      <c r="Z4096" s="2" t="s">
        <v>46</v>
      </c>
      <c r="AA4096" s="2" t="s">
        <v>61</v>
      </c>
      <c r="AB4096" s="2" t="s">
        <v>58</v>
      </c>
      <c r="AH4096" s="2"/>
      <c r="AK4096" s="2"/>
    </row>
    <row r="4097" spans="1:37" x14ac:dyDescent="0.2">
      <c r="A4097" s="8">
        <v>2026</v>
      </c>
      <c r="B4097" s="8">
        <v>6</v>
      </c>
      <c r="C4097" s="2" t="s">
        <v>1365</v>
      </c>
      <c r="D4097" s="2" t="s">
        <v>758</v>
      </c>
      <c r="E4097" s="2" t="s">
        <v>39</v>
      </c>
      <c r="F4097" s="2">
        <v>518238334</v>
      </c>
      <c r="G4097" s="2" t="s">
        <v>41</v>
      </c>
      <c r="H4097" s="2" t="s">
        <v>768</v>
      </c>
      <c r="I4097" s="2" t="s">
        <v>1366</v>
      </c>
      <c r="K4097" s="2" t="s">
        <v>422</v>
      </c>
      <c r="L4097" s="2" t="s">
        <v>41</v>
      </c>
      <c r="O4097" s="2" t="s">
        <v>43</v>
      </c>
      <c r="P4097" s="2" t="s">
        <v>255</v>
      </c>
      <c r="Q4097" s="2" t="s">
        <v>256</v>
      </c>
      <c r="R4097" s="9">
        <v>100</v>
      </c>
      <c r="S4097" s="10">
        <v>14</v>
      </c>
      <c r="T4097" s="2">
        <f t="shared" si="457"/>
        <v>3.22</v>
      </c>
      <c r="U4097" s="10">
        <f t="shared" si="458"/>
        <v>17.22</v>
      </c>
      <c r="W4097" s="5">
        <f t="shared" si="459"/>
        <v>1</v>
      </c>
      <c r="Y4097" s="2" t="s">
        <v>3256</v>
      </c>
      <c r="Z4097" s="2" t="s">
        <v>46</v>
      </c>
      <c r="AA4097" s="2" t="s">
        <v>61</v>
      </c>
      <c r="AB4097" s="2" t="s">
        <v>58</v>
      </c>
      <c r="AH4097" s="2"/>
      <c r="AK4097" s="2"/>
    </row>
    <row r="4098" spans="1:37" x14ac:dyDescent="0.2">
      <c r="A4098" s="8">
        <v>2026</v>
      </c>
      <c r="B4098" s="8">
        <v>6</v>
      </c>
      <c r="C4098" s="2" t="s">
        <v>1365</v>
      </c>
      <c r="D4098" s="2" t="s">
        <v>758</v>
      </c>
      <c r="E4098" s="2" t="s">
        <v>39</v>
      </c>
      <c r="F4098" s="2">
        <v>518238334</v>
      </c>
      <c r="G4098" s="2" t="s">
        <v>41</v>
      </c>
      <c r="H4098" s="2" t="s">
        <v>768</v>
      </c>
      <c r="I4098" s="2" t="s">
        <v>1366</v>
      </c>
      <c r="K4098" s="2" t="s">
        <v>422</v>
      </c>
      <c r="L4098" s="2" t="s">
        <v>41</v>
      </c>
      <c r="O4098" s="2" t="s">
        <v>43</v>
      </c>
      <c r="P4098" s="2" t="s">
        <v>2987</v>
      </c>
      <c r="Q4098" s="2" t="s">
        <v>2988</v>
      </c>
      <c r="R4098" s="9">
        <v>1</v>
      </c>
      <c r="S4098" s="10">
        <v>0</v>
      </c>
      <c r="T4098" s="2">
        <f t="shared" si="457"/>
        <v>0</v>
      </c>
      <c r="U4098" s="10">
        <f t="shared" si="458"/>
        <v>0</v>
      </c>
      <c r="W4098" s="5">
        <v>0</v>
      </c>
      <c r="Y4098" s="2" t="s">
        <v>3256</v>
      </c>
      <c r="Z4098" s="2" t="s">
        <v>46</v>
      </c>
      <c r="AH4098" s="2"/>
      <c r="AK4098" s="2"/>
    </row>
    <row r="4099" spans="1:37" x14ac:dyDescent="0.2">
      <c r="A4099" s="8">
        <v>2026</v>
      </c>
      <c r="B4099" s="8">
        <v>6</v>
      </c>
      <c r="C4099" s="2" t="s">
        <v>1365</v>
      </c>
      <c r="D4099" s="2" t="s">
        <v>758</v>
      </c>
      <c r="E4099" s="2" t="s">
        <v>39</v>
      </c>
      <c r="F4099" s="2">
        <v>518238334</v>
      </c>
      <c r="G4099" s="2" t="s">
        <v>41</v>
      </c>
      <c r="H4099" s="2" t="s">
        <v>768</v>
      </c>
      <c r="I4099" s="2" t="s">
        <v>1366</v>
      </c>
      <c r="K4099" s="2" t="s">
        <v>422</v>
      </c>
      <c r="L4099" s="2" t="s">
        <v>41</v>
      </c>
      <c r="O4099" s="2" t="s">
        <v>43</v>
      </c>
      <c r="P4099" s="2" t="s">
        <v>2989</v>
      </c>
      <c r="Q4099" s="2" t="s">
        <v>2990</v>
      </c>
      <c r="R4099" s="9">
        <v>2</v>
      </c>
      <c r="S4099" s="10">
        <v>40</v>
      </c>
      <c r="T4099" s="2">
        <f t="shared" si="457"/>
        <v>9.2000000000000011</v>
      </c>
      <c r="U4099" s="10">
        <f t="shared" si="458"/>
        <v>49.2</v>
      </c>
      <c r="W4099" s="5">
        <f t="shared" si="459"/>
        <v>1</v>
      </c>
      <c r="Y4099" s="2" t="s">
        <v>3256</v>
      </c>
      <c r="Z4099" s="2" t="s">
        <v>46</v>
      </c>
      <c r="AA4099" s="2" t="s">
        <v>57</v>
      </c>
      <c r="AB4099" s="2" t="s">
        <v>58</v>
      </c>
      <c r="AH4099" s="2"/>
      <c r="AK4099" s="2"/>
    </row>
    <row r="4100" spans="1:37" x14ac:dyDescent="0.2">
      <c r="A4100" s="8">
        <v>2026</v>
      </c>
      <c r="B4100" s="8">
        <v>6</v>
      </c>
      <c r="C4100" s="2" t="s">
        <v>1365</v>
      </c>
      <c r="D4100" s="2" t="s">
        <v>758</v>
      </c>
      <c r="E4100" s="2" t="s">
        <v>39</v>
      </c>
      <c r="F4100" s="2">
        <v>518238334</v>
      </c>
      <c r="G4100" s="2" t="s">
        <v>41</v>
      </c>
      <c r="H4100" s="2" t="s">
        <v>768</v>
      </c>
      <c r="I4100" s="2" t="s">
        <v>1366</v>
      </c>
      <c r="K4100" s="2" t="s">
        <v>422</v>
      </c>
      <c r="L4100" s="2" t="s">
        <v>41</v>
      </c>
      <c r="O4100" s="2" t="s">
        <v>43</v>
      </c>
      <c r="P4100" s="2" t="s">
        <v>257</v>
      </c>
      <c r="Q4100" s="2" t="s">
        <v>258</v>
      </c>
      <c r="R4100" s="9">
        <v>1</v>
      </c>
      <c r="S4100" s="10">
        <v>3</v>
      </c>
      <c r="T4100" s="2">
        <f t="shared" si="457"/>
        <v>0.69000000000000006</v>
      </c>
      <c r="U4100" s="10">
        <f t="shared" si="458"/>
        <v>3.69</v>
      </c>
      <c r="W4100" s="5">
        <f t="shared" si="459"/>
        <v>1</v>
      </c>
      <c r="Y4100" s="2" t="s">
        <v>3256</v>
      </c>
      <c r="Z4100" s="2" t="s">
        <v>46</v>
      </c>
      <c r="AH4100" s="2"/>
      <c r="AK4100" s="2"/>
    </row>
    <row r="4101" spans="1:37" x14ac:dyDescent="0.2">
      <c r="A4101" s="8">
        <v>2026</v>
      </c>
      <c r="B4101" s="8">
        <v>6</v>
      </c>
      <c r="C4101" s="2" t="s">
        <v>1365</v>
      </c>
      <c r="D4101" s="2" t="s">
        <v>758</v>
      </c>
      <c r="E4101" s="2" t="s">
        <v>39</v>
      </c>
      <c r="F4101" s="2">
        <v>518238334</v>
      </c>
      <c r="G4101" s="2" t="s">
        <v>41</v>
      </c>
      <c r="H4101" s="2" t="s">
        <v>768</v>
      </c>
      <c r="I4101" s="2" t="s">
        <v>1366</v>
      </c>
      <c r="K4101" s="2" t="s">
        <v>422</v>
      </c>
      <c r="L4101" s="2" t="s">
        <v>41</v>
      </c>
      <c r="O4101" s="2" t="s">
        <v>43</v>
      </c>
      <c r="P4101" s="2" t="s">
        <v>163</v>
      </c>
      <c r="Q4101" s="2" t="s">
        <v>164</v>
      </c>
      <c r="R4101" s="9">
        <v>1</v>
      </c>
      <c r="S4101" s="10">
        <v>21</v>
      </c>
      <c r="T4101" s="2">
        <f t="shared" si="457"/>
        <v>4.83</v>
      </c>
      <c r="U4101" s="10">
        <f t="shared" si="458"/>
        <v>25.83</v>
      </c>
      <c r="W4101" s="5">
        <f t="shared" si="459"/>
        <v>1</v>
      </c>
      <c r="Y4101" s="2" t="s">
        <v>3256</v>
      </c>
      <c r="Z4101" s="2" t="s">
        <v>46</v>
      </c>
      <c r="AH4101" s="2"/>
      <c r="AK4101" s="2"/>
    </row>
    <row r="4102" spans="1:37" x14ac:dyDescent="0.2">
      <c r="A4102" s="8">
        <v>2026</v>
      </c>
      <c r="B4102" s="8">
        <v>6</v>
      </c>
      <c r="C4102" s="2" t="s">
        <v>1365</v>
      </c>
      <c r="D4102" s="2" t="s">
        <v>758</v>
      </c>
      <c r="E4102" s="2" t="s">
        <v>39</v>
      </c>
      <c r="F4102" s="2">
        <v>518238334</v>
      </c>
      <c r="G4102" s="2" t="s">
        <v>41</v>
      </c>
      <c r="H4102" s="2" t="s">
        <v>768</v>
      </c>
      <c r="I4102" s="2" t="s">
        <v>1366</v>
      </c>
      <c r="K4102" s="2" t="s">
        <v>422</v>
      </c>
      <c r="L4102" s="2" t="s">
        <v>41</v>
      </c>
      <c r="O4102" s="2" t="s">
        <v>43</v>
      </c>
      <c r="P4102" s="2" t="s">
        <v>64</v>
      </c>
      <c r="Q4102" s="2" t="s">
        <v>65</v>
      </c>
      <c r="R4102" s="9">
        <v>8</v>
      </c>
      <c r="S4102" s="10">
        <v>14.4</v>
      </c>
      <c r="T4102" s="2">
        <f t="shared" si="457"/>
        <v>3.3120000000000003</v>
      </c>
      <c r="U4102" s="10">
        <f t="shared" si="458"/>
        <v>17.712</v>
      </c>
      <c r="W4102" s="5">
        <f t="shared" si="459"/>
        <v>1</v>
      </c>
      <c r="Y4102" s="2" t="s">
        <v>3256</v>
      </c>
      <c r="Z4102" s="2" t="s">
        <v>46</v>
      </c>
      <c r="AA4102" s="2" t="s">
        <v>61</v>
      </c>
      <c r="AB4102" s="2" t="s">
        <v>58</v>
      </c>
      <c r="AH4102" s="2"/>
      <c r="AK4102" s="2"/>
    </row>
    <row r="4103" spans="1:37" x14ac:dyDescent="0.2">
      <c r="A4103" s="8">
        <v>2026</v>
      </c>
      <c r="B4103" s="8">
        <v>6</v>
      </c>
      <c r="C4103" s="2" t="s">
        <v>1365</v>
      </c>
      <c r="D4103" s="2" t="s">
        <v>758</v>
      </c>
      <c r="E4103" s="2" t="s">
        <v>39</v>
      </c>
      <c r="F4103" s="2">
        <v>518238334</v>
      </c>
      <c r="G4103" s="2" t="s">
        <v>41</v>
      </c>
      <c r="H4103" s="2" t="s">
        <v>768</v>
      </c>
      <c r="I4103" s="2" t="s">
        <v>1366</v>
      </c>
      <c r="K4103" s="2" t="s">
        <v>422</v>
      </c>
      <c r="L4103" s="2" t="s">
        <v>41</v>
      </c>
      <c r="O4103" s="2" t="s">
        <v>43</v>
      </c>
      <c r="P4103" s="2" t="s">
        <v>584</v>
      </c>
      <c r="Q4103" s="2" t="s">
        <v>585</v>
      </c>
      <c r="R4103" s="9">
        <v>4</v>
      </c>
      <c r="S4103" s="10">
        <v>12</v>
      </c>
      <c r="T4103" s="2">
        <f t="shared" si="457"/>
        <v>2.7600000000000002</v>
      </c>
      <c r="U4103" s="10">
        <f t="shared" si="458"/>
        <v>14.76</v>
      </c>
      <c r="W4103" s="5">
        <f t="shared" si="459"/>
        <v>1</v>
      </c>
      <c r="Y4103" s="2" t="s">
        <v>3256</v>
      </c>
      <c r="Z4103" s="2" t="s">
        <v>46</v>
      </c>
      <c r="AA4103" s="2" t="s">
        <v>61</v>
      </c>
      <c r="AB4103" s="2" t="s">
        <v>58</v>
      </c>
      <c r="AH4103" s="2"/>
      <c r="AK4103" s="2"/>
    </row>
    <row r="4104" spans="1:37" x14ac:dyDescent="0.2">
      <c r="A4104" s="8">
        <v>2026</v>
      </c>
      <c r="B4104" s="8">
        <v>6</v>
      </c>
      <c r="C4104" s="2" t="s">
        <v>1365</v>
      </c>
      <c r="D4104" s="2" t="s">
        <v>758</v>
      </c>
      <c r="E4104" s="2" t="s">
        <v>39</v>
      </c>
      <c r="F4104" s="2">
        <v>518238334</v>
      </c>
      <c r="G4104" s="2" t="s">
        <v>41</v>
      </c>
      <c r="H4104" s="2" t="s">
        <v>768</v>
      </c>
      <c r="I4104" s="2" t="s">
        <v>1366</v>
      </c>
      <c r="K4104" s="2" t="s">
        <v>422</v>
      </c>
      <c r="L4104" s="2" t="s">
        <v>41</v>
      </c>
      <c r="O4104" s="2" t="s">
        <v>43</v>
      </c>
      <c r="P4104" s="2" t="s">
        <v>509</v>
      </c>
      <c r="Q4104" s="2" t="s">
        <v>510</v>
      </c>
      <c r="R4104" s="9">
        <v>10</v>
      </c>
      <c r="S4104" s="10">
        <v>12</v>
      </c>
      <c r="T4104" s="2">
        <f t="shared" si="457"/>
        <v>2.7600000000000002</v>
      </c>
      <c r="U4104" s="10">
        <f t="shared" si="458"/>
        <v>14.76</v>
      </c>
      <c r="W4104" s="5">
        <f t="shared" si="459"/>
        <v>1</v>
      </c>
      <c r="Y4104" s="2" t="s">
        <v>3256</v>
      </c>
      <c r="Z4104" s="2" t="s">
        <v>46</v>
      </c>
      <c r="AA4104" s="2" t="s">
        <v>61</v>
      </c>
      <c r="AB4104" s="2" t="s">
        <v>58</v>
      </c>
      <c r="AH4104" s="2"/>
      <c r="AK4104" s="2"/>
    </row>
    <row r="4105" spans="1:37" x14ac:dyDescent="0.2">
      <c r="A4105" s="8">
        <v>2026</v>
      </c>
      <c r="B4105" s="8">
        <v>6</v>
      </c>
      <c r="C4105" s="2" t="s">
        <v>1365</v>
      </c>
      <c r="D4105" s="2" t="s">
        <v>758</v>
      </c>
      <c r="E4105" s="2" t="s">
        <v>39</v>
      </c>
      <c r="F4105" s="2">
        <v>518238334</v>
      </c>
      <c r="G4105" s="2" t="s">
        <v>41</v>
      </c>
      <c r="H4105" s="2" t="s">
        <v>768</v>
      </c>
      <c r="I4105" s="2" t="s">
        <v>1366</v>
      </c>
      <c r="K4105" s="2" t="s">
        <v>422</v>
      </c>
      <c r="L4105" s="2" t="s">
        <v>41</v>
      </c>
      <c r="O4105" s="2" t="s">
        <v>43</v>
      </c>
      <c r="P4105" s="2" t="s">
        <v>66</v>
      </c>
      <c r="Q4105" s="2" t="s">
        <v>67</v>
      </c>
      <c r="R4105" s="9">
        <v>1</v>
      </c>
      <c r="S4105" s="10">
        <v>23</v>
      </c>
      <c r="T4105" s="2">
        <f t="shared" si="457"/>
        <v>5.29</v>
      </c>
      <c r="U4105" s="10">
        <f t="shared" si="458"/>
        <v>28.29</v>
      </c>
      <c r="W4105" s="5">
        <f t="shared" si="459"/>
        <v>1</v>
      </c>
      <c r="Y4105" s="2" t="s">
        <v>3256</v>
      </c>
      <c r="Z4105" s="2" t="s">
        <v>46</v>
      </c>
      <c r="AA4105" s="2" t="s">
        <v>68</v>
      </c>
      <c r="AB4105" s="2" t="s">
        <v>58</v>
      </c>
      <c r="AH4105" s="2"/>
      <c r="AK4105" s="2"/>
    </row>
    <row r="4106" spans="1:37" x14ac:dyDescent="0.2">
      <c r="A4106" s="8">
        <v>2026</v>
      </c>
      <c r="B4106" s="8">
        <v>6</v>
      </c>
      <c r="C4106" s="2" t="s">
        <v>1365</v>
      </c>
      <c r="D4106" s="2" t="s">
        <v>758</v>
      </c>
      <c r="E4106" s="2" t="s">
        <v>39</v>
      </c>
      <c r="F4106" s="2">
        <v>518238334</v>
      </c>
      <c r="G4106" s="2" t="s">
        <v>41</v>
      </c>
      <c r="H4106" s="2" t="s">
        <v>768</v>
      </c>
      <c r="I4106" s="2" t="s">
        <v>1366</v>
      </c>
      <c r="K4106" s="2" t="s">
        <v>422</v>
      </c>
      <c r="L4106" s="2" t="s">
        <v>41</v>
      </c>
      <c r="O4106" s="2" t="s">
        <v>43</v>
      </c>
      <c r="P4106" s="2" t="s">
        <v>3063</v>
      </c>
      <c r="Q4106" s="2" t="s">
        <v>3064</v>
      </c>
      <c r="R4106" s="9">
        <v>1</v>
      </c>
      <c r="S4106" s="10">
        <v>7.8</v>
      </c>
      <c r="T4106" s="2">
        <f t="shared" si="457"/>
        <v>1.794</v>
      </c>
      <c r="U4106" s="10">
        <f t="shared" si="458"/>
        <v>9.5939999999999994</v>
      </c>
      <c r="W4106" s="5">
        <f t="shared" si="459"/>
        <v>1</v>
      </c>
      <c r="Y4106" s="2" t="s">
        <v>3256</v>
      </c>
      <c r="Z4106" s="2" t="s">
        <v>46</v>
      </c>
      <c r="AH4106" s="2"/>
      <c r="AK4106" s="2"/>
    </row>
    <row r="4107" spans="1:37" x14ac:dyDescent="0.2">
      <c r="A4107" s="8">
        <v>2026</v>
      </c>
      <c r="B4107" s="8">
        <v>6</v>
      </c>
      <c r="C4107" s="2" t="s">
        <v>1365</v>
      </c>
      <c r="O4107" s="2" t="s">
        <v>85</v>
      </c>
      <c r="P4107" s="2" t="s">
        <v>1990</v>
      </c>
      <c r="Q4107" s="2" t="s">
        <v>1991</v>
      </c>
      <c r="R4107" s="9">
        <v>1</v>
      </c>
      <c r="S4107" s="10">
        <v>12</v>
      </c>
      <c r="W4107" s="2"/>
      <c r="Y4107" s="2" t="s">
        <v>3256</v>
      </c>
      <c r="AH4107" s="2"/>
      <c r="AK4107" s="2"/>
    </row>
    <row r="4108" spans="1:37" x14ac:dyDescent="0.2">
      <c r="A4108" s="8">
        <v>2026</v>
      </c>
      <c r="B4108" s="8">
        <v>6</v>
      </c>
      <c r="C4108" s="2" t="s">
        <v>1365</v>
      </c>
      <c r="O4108" s="2" t="s">
        <v>85</v>
      </c>
      <c r="P4108" s="2" t="s">
        <v>271</v>
      </c>
      <c r="Q4108" s="2" t="s">
        <v>272</v>
      </c>
      <c r="R4108" s="9">
        <v>1</v>
      </c>
      <c r="S4108" s="10">
        <v>12</v>
      </c>
      <c r="W4108" s="2"/>
      <c r="Y4108" s="2" t="s">
        <v>3256</v>
      </c>
      <c r="AH4108" s="2"/>
      <c r="AK4108" s="2"/>
    </row>
    <row r="4109" spans="1:37" x14ac:dyDescent="0.2">
      <c r="A4109" s="8">
        <v>2026</v>
      </c>
      <c r="B4109" s="8">
        <v>6</v>
      </c>
      <c r="C4109" s="2" t="s">
        <v>1365</v>
      </c>
      <c r="O4109" s="2" t="s">
        <v>85</v>
      </c>
      <c r="P4109" s="2" t="s">
        <v>3065</v>
      </c>
      <c r="Q4109" s="2" t="s">
        <v>3066</v>
      </c>
      <c r="R4109" s="9">
        <v>1</v>
      </c>
      <c r="S4109" s="10">
        <v>3</v>
      </c>
      <c r="W4109" s="2"/>
      <c r="Y4109" s="2" t="s">
        <v>3256</v>
      </c>
      <c r="AH4109" s="2"/>
      <c r="AK4109" s="2"/>
    </row>
    <row r="4110" spans="1:37" x14ac:dyDescent="0.2">
      <c r="A4110" s="8">
        <v>2026</v>
      </c>
      <c r="B4110" s="8">
        <v>6</v>
      </c>
      <c r="C4110" s="2" t="s">
        <v>2579</v>
      </c>
      <c r="O4110" s="2" t="s">
        <v>115</v>
      </c>
      <c r="P4110" s="2" t="s">
        <v>3067</v>
      </c>
      <c r="Q4110" s="2" t="s">
        <v>3068</v>
      </c>
      <c r="R4110" s="9">
        <v>1</v>
      </c>
      <c r="S4110" s="10">
        <v>140.37</v>
      </c>
      <c r="W4110" s="2"/>
      <c r="AH4110" s="2"/>
      <c r="AK4110" s="2"/>
    </row>
    <row r="4111" spans="1:37" x14ac:dyDescent="0.2">
      <c r="A4111" s="8">
        <v>2026</v>
      </c>
      <c r="B4111" s="8">
        <v>6</v>
      </c>
      <c r="C4111" s="2" t="s">
        <v>2579</v>
      </c>
      <c r="L4111" s="2" t="s">
        <v>40</v>
      </c>
      <c r="O4111" s="2" t="s">
        <v>188</v>
      </c>
      <c r="P4111" s="2" t="s">
        <v>189</v>
      </c>
      <c r="Q4111" s="2" t="s">
        <v>190</v>
      </c>
      <c r="R4111" s="9">
        <v>1</v>
      </c>
      <c r="S4111" s="10">
        <v>333</v>
      </c>
      <c r="T4111" s="2">
        <f>S4111*23%</f>
        <v>76.59</v>
      </c>
      <c r="U4111" s="2">
        <f>S4111+T4111</f>
        <v>409.59000000000003</v>
      </c>
      <c r="V4111" s="2">
        <f>S4111*40%</f>
        <v>133.20000000000002</v>
      </c>
      <c r="W4111" s="5">
        <f>(S4111-V4111)/S4111</f>
        <v>0.6</v>
      </c>
      <c r="Y4111" s="2" t="s">
        <v>118</v>
      </c>
      <c r="Z4111" s="2" t="s">
        <v>191</v>
      </c>
      <c r="AF4111" s="2">
        <f>V4111</f>
        <v>133.20000000000002</v>
      </c>
      <c r="AH4111" s="2"/>
      <c r="AI4111" s="2">
        <f>AH4111*S4111</f>
        <v>0</v>
      </c>
      <c r="AJ4111" s="2">
        <f>S4111-V4111</f>
        <v>199.79999999999998</v>
      </c>
      <c r="AK4111" s="5">
        <f>(S4111-V4111)/S4111</f>
        <v>0.6</v>
      </c>
    </row>
    <row r="4112" spans="1:37" x14ac:dyDescent="0.2">
      <c r="A4112" s="8">
        <v>2026</v>
      </c>
      <c r="B4112" s="8">
        <v>6</v>
      </c>
      <c r="C4112" s="2" t="s">
        <v>2579</v>
      </c>
      <c r="L4112" s="2" t="s">
        <v>40</v>
      </c>
      <c r="O4112" s="2" t="s">
        <v>188</v>
      </c>
      <c r="P4112" s="2" t="s">
        <v>192</v>
      </c>
      <c r="Q4112" s="2" t="s">
        <v>191</v>
      </c>
      <c r="R4112" s="9">
        <v>2</v>
      </c>
      <c r="S4112" s="10">
        <v>110</v>
      </c>
      <c r="T4112" s="2">
        <f>S4112*23%</f>
        <v>25.3</v>
      </c>
      <c r="U4112" s="2">
        <f>S4112+T4112</f>
        <v>135.30000000000001</v>
      </c>
      <c r="V4112" s="2">
        <f>S4112*50%</f>
        <v>55</v>
      </c>
      <c r="W4112" s="5">
        <f>(S4112-V4112)/S4112</f>
        <v>0.5</v>
      </c>
      <c r="Y4112" s="2" t="s">
        <v>118</v>
      </c>
      <c r="Z4112" s="2" t="s">
        <v>191</v>
      </c>
      <c r="AE4112" s="2">
        <f>AI4112</f>
        <v>0</v>
      </c>
      <c r="AF4112" s="2">
        <f>V4112</f>
        <v>55</v>
      </c>
      <c r="AH4112" s="2"/>
      <c r="AI4112" s="2">
        <f>AH4112*S4112</f>
        <v>0</v>
      </c>
      <c r="AJ4112" s="2">
        <f>S4112-V4112</f>
        <v>55</v>
      </c>
      <c r="AK4112" s="5">
        <f>(S4112-V4112)/S4112</f>
        <v>0.5</v>
      </c>
    </row>
    <row r="4113" spans="1:37" x14ac:dyDescent="0.2">
      <c r="A4113" s="8">
        <v>2026</v>
      </c>
      <c r="B4113" s="8">
        <v>6</v>
      </c>
      <c r="C4113" s="2" t="s">
        <v>755</v>
      </c>
      <c r="O4113" s="2" t="s">
        <v>115</v>
      </c>
      <c r="P4113" s="2" t="s">
        <v>3069</v>
      </c>
      <c r="Q4113" s="2" t="s">
        <v>3070</v>
      </c>
      <c r="R4113" s="9">
        <v>1</v>
      </c>
      <c r="S4113" s="10">
        <v>76.150000000000006</v>
      </c>
      <c r="W4113" s="2"/>
      <c r="AH4113" s="2"/>
      <c r="AK4113" s="2"/>
    </row>
    <row r="4114" spans="1:37" x14ac:dyDescent="0.2">
      <c r="A4114" s="8">
        <v>2026</v>
      </c>
      <c r="B4114" s="8">
        <v>6</v>
      </c>
      <c r="C4114" s="2" t="s">
        <v>755</v>
      </c>
      <c r="O4114" s="2" t="s">
        <v>115</v>
      </c>
      <c r="P4114" s="2" t="s">
        <v>180</v>
      </c>
      <c r="Q4114" s="2" t="s">
        <v>181</v>
      </c>
      <c r="R4114" s="9">
        <v>2</v>
      </c>
      <c r="S4114" s="10">
        <v>1198.8</v>
      </c>
      <c r="W4114" s="2"/>
      <c r="AH4114" s="2"/>
      <c r="AK4114" s="2"/>
    </row>
    <row r="4115" spans="1:37" x14ac:dyDescent="0.2">
      <c r="A4115" s="8">
        <v>2026</v>
      </c>
      <c r="B4115" s="8">
        <v>6</v>
      </c>
      <c r="C4115" s="2" t="s">
        <v>755</v>
      </c>
      <c r="O4115" s="2" t="s">
        <v>115</v>
      </c>
      <c r="P4115" s="2" t="s">
        <v>471</v>
      </c>
      <c r="Q4115" s="2" t="s">
        <v>472</v>
      </c>
      <c r="R4115" s="9">
        <v>1</v>
      </c>
      <c r="S4115" s="10">
        <v>418.99</v>
      </c>
      <c r="W4115" s="2"/>
      <c r="AH4115" s="2"/>
      <c r="AK4115" s="2"/>
    </row>
    <row r="4116" spans="1:37" x14ac:dyDescent="0.2">
      <c r="A4116" s="8">
        <v>2026</v>
      </c>
      <c r="B4116" s="8">
        <v>6</v>
      </c>
      <c r="C4116" s="2" t="s">
        <v>755</v>
      </c>
      <c r="O4116" s="2" t="s">
        <v>115</v>
      </c>
      <c r="P4116" s="2" t="s">
        <v>2233</v>
      </c>
      <c r="Q4116" s="2" t="s">
        <v>2234</v>
      </c>
      <c r="R4116" s="9">
        <v>1</v>
      </c>
      <c r="S4116" s="10">
        <v>131.16</v>
      </c>
      <c r="W4116" s="2"/>
      <c r="AH4116" s="2"/>
      <c r="AK4116" s="2"/>
    </row>
    <row r="4117" spans="1:37" x14ac:dyDescent="0.2">
      <c r="A4117" s="8">
        <v>2026</v>
      </c>
      <c r="B4117" s="8">
        <v>6</v>
      </c>
      <c r="C4117" s="2" t="s">
        <v>755</v>
      </c>
      <c r="L4117" s="2" t="s">
        <v>40</v>
      </c>
      <c r="O4117" s="2" t="s">
        <v>188</v>
      </c>
      <c r="P4117" s="2" t="s">
        <v>189</v>
      </c>
      <c r="Q4117" s="2" t="s">
        <v>190</v>
      </c>
      <c r="R4117" s="9">
        <v>1</v>
      </c>
      <c r="S4117" s="10">
        <v>238</v>
      </c>
      <c r="T4117" s="2">
        <f>S4117*23%</f>
        <v>54.74</v>
      </c>
      <c r="U4117" s="2">
        <f>S4117+T4117</f>
        <v>292.74</v>
      </c>
      <c r="V4117" s="2">
        <f>S4117*40%</f>
        <v>95.2</v>
      </c>
      <c r="W4117" s="5">
        <f>(S4117-V4117)/S4117</f>
        <v>0.60000000000000009</v>
      </c>
      <c r="Y4117" s="2" t="s">
        <v>118</v>
      </c>
      <c r="Z4117" s="2" t="s">
        <v>191</v>
      </c>
      <c r="AF4117" s="2">
        <f>V4117</f>
        <v>95.2</v>
      </c>
      <c r="AH4117" s="2"/>
      <c r="AI4117" s="2">
        <f>AH4117*S4117</f>
        <v>0</v>
      </c>
      <c r="AJ4117" s="2">
        <f>S4117-V4117</f>
        <v>142.80000000000001</v>
      </c>
      <c r="AK4117" s="5">
        <f>(S4117-V4117)/S4117</f>
        <v>0.60000000000000009</v>
      </c>
    </row>
    <row r="4118" spans="1:37" x14ac:dyDescent="0.2">
      <c r="A4118" s="8">
        <v>2026</v>
      </c>
      <c r="B4118" s="8">
        <v>6</v>
      </c>
      <c r="C4118" s="2" t="s">
        <v>755</v>
      </c>
      <c r="L4118" s="2" t="s">
        <v>40</v>
      </c>
      <c r="O4118" s="2" t="s">
        <v>188</v>
      </c>
      <c r="P4118" s="2" t="s">
        <v>192</v>
      </c>
      <c r="Q4118" s="2" t="s">
        <v>191</v>
      </c>
      <c r="R4118" s="9">
        <v>1</v>
      </c>
      <c r="S4118" s="10">
        <v>55</v>
      </c>
      <c r="T4118" s="2">
        <f>S4118*23%</f>
        <v>12.65</v>
      </c>
      <c r="U4118" s="2">
        <f>S4118+T4118</f>
        <v>67.650000000000006</v>
      </c>
      <c r="V4118" s="2">
        <f>S4118*50%</f>
        <v>27.5</v>
      </c>
      <c r="W4118" s="5">
        <f>(S4118-V4118)/S4118</f>
        <v>0.5</v>
      </c>
      <c r="Y4118" s="2" t="s">
        <v>118</v>
      </c>
      <c r="Z4118" s="2" t="s">
        <v>191</v>
      </c>
      <c r="AE4118" s="2">
        <f>AI4118</f>
        <v>0</v>
      </c>
      <c r="AF4118" s="2">
        <f>V4118</f>
        <v>27.5</v>
      </c>
      <c r="AH4118" s="2"/>
      <c r="AI4118" s="2">
        <f>AH4118*S4118</f>
        <v>0</v>
      </c>
      <c r="AJ4118" s="2">
        <f>S4118-V4118</f>
        <v>27.5</v>
      </c>
      <c r="AK4118" s="5">
        <f>(S4118-V4118)/S4118</f>
        <v>0.5</v>
      </c>
    </row>
    <row r="4119" spans="1:37" x14ac:dyDescent="0.2">
      <c r="A4119" s="8">
        <v>2026</v>
      </c>
      <c r="B4119" s="8">
        <v>6</v>
      </c>
      <c r="C4119" s="2" t="s">
        <v>1540</v>
      </c>
      <c r="O4119" s="2" t="s">
        <v>283</v>
      </c>
      <c r="P4119" s="2" t="s">
        <v>3071</v>
      </c>
      <c r="Q4119" s="2" t="s">
        <v>3072</v>
      </c>
      <c r="R4119" s="9">
        <v>1</v>
      </c>
      <c r="S4119" s="10">
        <v>17.5</v>
      </c>
      <c r="W4119" s="2"/>
      <c r="AH4119" s="2"/>
      <c r="AK4119" s="2"/>
    </row>
    <row r="4120" spans="1:37" x14ac:dyDescent="0.2">
      <c r="A4120" s="8">
        <v>2026</v>
      </c>
      <c r="B4120" s="8">
        <v>6</v>
      </c>
      <c r="C4120" s="2" t="s">
        <v>1540</v>
      </c>
      <c r="O4120" s="2" t="s">
        <v>170</v>
      </c>
      <c r="P4120" s="2" t="s">
        <v>171</v>
      </c>
      <c r="Q4120" s="2" t="s">
        <v>171</v>
      </c>
      <c r="R4120" s="9">
        <v>1</v>
      </c>
      <c r="S4120" s="10">
        <v>8</v>
      </c>
      <c r="W4120" s="2"/>
      <c r="Y4120" s="2" t="s">
        <v>170</v>
      </c>
      <c r="AH4120" s="2"/>
      <c r="AK4120" s="2"/>
    </row>
    <row r="4121" spans="1:37" x14ac:dyDescent="0.2">
      <c r="A4121" s="8">
        <v>2026</v>
      </c>
      <c r="B4121" s="8">
        <v>6</v>
      </c>
      <c r="C4121" s="2" t="s">
        <v>2535</v>
      </c>
      <c r="P4121" s="2" t="s">
        <v>2997</v>
      </c>
      <c r="Q4121" s="2" t="s">
        <v>2998</v>
      </c>
      <c r="R4121" s="9">
        <v>1</v>
      </c>
      <c r="S4121" s="10">
        <v>2460</v>
      </c>
      <c r="W4121" s="2"/>
      <c r="Y4121" s="2" t="s">
        <v>105</v>
      </c>
      <c r="AH4121" s="2"/>
      <c r="AK4121" s="2"/>
    </row>
    <row r="4122" spans="1:37" x14ac:dyDescent="0.2">
      <c r="A4122" s="8">
        <v>2026</v>
      </c>
      <c r="B4122" s="8">
        <v>6</v>
      </c>
      <c r="C4122" s="2" t="s">
        <v>360</v>
      </c>
      <c r="D4122" s="2" t="s">
        <v>109</v>
      </c>
      <c r="E4122" s="2" t="s">
        <v>39</v>
      </c>
      <c r="F4122" s="2">
        <v>503413909</v>
      </c>
      <c r="G4122" s="2" t="s">
        <v>110</v>
      </c>
      <c r="H4122" s="2" t="s">
        <v>361</v>
      </c>
      <c r="I4122" s="2" t="s">
        <v>362</v>
      </c>
      <c r="K4122" s="2" t="s">
        <v>361</v>
      </c>
      <c r="O4122" s="2" t="s">
        <v>283</v>
      </c>
      <c r="P4122" s="2" t="s">
        <v>3073</v>
      </c>
      <c r="Q4122" s="2" t="s">
        <v>3074</v>
      </c>
      <c r="R4122" s="9">
        <v>2</v>
      </c>
      <c r="S4122" s="10">
        <v>17.8</v>
      </c>
      <c r="W4122" s="2"/>
      <c r="AH4122" s="2"/>
      <c r="AK4122" s="2"/>
    </row>
    <row r="4123" spans="1:37" x14ac:dyDescent="0.2">
      <c r="A4123" s="8">
        <v>2026</v>
      </c>
      <c r="B4123" s="8">
        <v>6</v>
      </c>
      <c r="C4123" s="2" t="s">
        <v>360</v>
      </c>
      <c r="D4123" s="2" t="s">
        <v>109</v>
      </c>
      <c r="E4123" s="2" t="s">
        <v>39</v>
      </c>
      <c r="F4123" s="2">
        <v>503413909</v>
      </c>
      <c r="G4123" s="2" t="s">
        <v>110</v>
      </c>
      <c r="H4123" s="2" t="s">
        <v>361</v>
      </c>
      <c r="I4123" s="2" t="s">
        <v>362</v>
      </c>
      <c r="K4123" s="2" t="s">
        <v>361</v>
      </c>
      <c r="O4123" s="2" t="s">
        <v>283</v>
      </c>
      <c r="P4123" s="2" t="s">
        <v>1798</v>
      </c>
      <c r="Q4123" s="2" t="s">
        <v>1799</v>
      </c>
      <c r="R4123" s="9">
        <v>1</v>
      </c>
      <c r="S4123" s="10">
        <v>2150</v>
      </c>
      <c r="W4123" s="2"/>
      <c r="Y4123" s="2" t="s">
        <v>105</v>
      </c>
      <c r="AH4123" s="2"/>
      <c r="AK4123" s="2"/>
    </row>
    <row r="4124" spans="1:37" x14ac:dyDescent="0.2">
      <c r="A4124" s="8">
        <v>2026</v>
      </c>
      <c r="B4124" s="8">
        <v>6</v>
      </c>
      <c r="C4124" s="2" t="s">
        <v>360</v>
      </c>
      <c r="D4124" s="2" t="s">
        <v>109</v>
      </c>
      <c r="E4124" s="2" t="s">
        <v>39</v>
      </c>
      <c r="F4124" s="2">
        <v>503413909</v>
      </c>
      <c r="G4124" s="2" t="s">
        <v>110</v>
      </c>
      <c r="H4124" s="2" t="s">
        <v>361</v>
      </c>
      <c r="I4124" s="2" t="s">
        <v>362</v>
      </c>
      <c r="K4124" s="2" t="s">
        <v>361</v>
      </c>
      <c r="O4124" s="2" t="s">
        <v>283</v>
      </c>
      <c r="P4124" s="2" t="s">
        <v>1338</v>
      </c>
      <c r="Q4124" s="2" t="s">
        <v>1339</v>
      </c>
      <c r="R4124" s="9">
        <v>1</v>
      </c>
      <c r="S4124" s="10">
        <v>2190</v>
      </c>
      <c r="W4124" s="2"/>
      <c r="Y4124" s="2" t="s">
        <v>105</v>
      </c>
      <c r="AH4124" s="2"/>
      <c r="AK4124" s="2"/>
    </row>
    <row r="4125" spans="1:37" x14ac:dyDescent="0.2">
      <c r="A4125" s="8">
        <v>2026</v>
      </c>
      <c r="B4125" s="8">
        <v>6</v>
      </c>
      <c r="C4125" s="2" t="s">
        <v>360</v>
      </c>
      <c r="D4125" s="2" t="s">
        <v>109</v>
      </c>
      <c r="E4125" s="2" t="s">
        <v>39</v>
      </c>
      <c r="F4125" s="2">
        <v>503413909</v>
      </c>
      <c r="G4125" s="2" t="s">
        <v>110</v>
      </c>
      <c r="H4125" s="2" t="s">
        <v>361</v>
      </c>
      <c r="I4125" s="2" t="s">
        <v>362</v>
      </c>
      <c r="K4125" s="2" t="s">
        <v>361</v>
      </c>
      <c r="O4125" s="2" t="s">
        <v>40</v>
      </c>
      <c r="P4125" s="2" t="s">
        <v>364</v>
      </c>
      <c r="Q4125" s="2" t="s">
        <v>365</v>
      </c>
      <c r="R4125" s="9">
        <v>4</v>
      </c>
      <c r="S4125" s="10">
        <v>701.35</v>
      </c>
      <c r="W4125" s="2"/>
      <c r="AH4125" s="2"/>
      <c r="AK4125" s="2"/>
    </row>
    <row r="4126" spans="1:37" x14ac:dyDescent="0.2">
      <c r="A4126" s="8">
        <v>2026</v>
      </c>
      <c r="B4126" s="8">
        <v>6</v>
      </c>
      <c r="C4126" s="2" t="s">
        <v>2966</v>
      </c>
      <c r="O4126" s="2" t="s">
        <v>73</v>
      </c>
      <c r="P4126" s="2" t="s">
        <v>1143</v>
      </c>
      <c r="Q4126" s="2" t="s">
        <v>538</v>
      </c>
      <c r="R4126" s="9">
        <v>1</v>
      </c>
      <c r="S4126" s="10">
        <v>230</v>
      </c>
      <c r="T4126" s="2">
        <f>S4126*23%</f>
        <v>52.900000000000006</v>
      </c>
      <c r="U4126" s="10">
        <f>S4126+T4126</f>
        <v>282.89999999999998</v>
      </c>
      <c r="W4126" s="5">
        <f>(S4126-V4126)/S4126</f>
        <v>1</v>
      </c>
      <c r="Y4126" s="2" t="s">
        <v>3256</v>
      </c>
      <c r="Z4126" s="2" t="s">
        <v>76</v>
      </c>
      <c r="AA4126" s="2" t="s">
        <v>77</v>
      </c>
      <c r="AB4126" s="2" t="s">
        <v>78</v>
      </c>
      <c r="AE4126" s="2">
        <f>AI4126</f>
        <v>0</v>
      </c>
      <c r="AF4126" s="2">
        <v>125.51600000000001</v>
      </c>
      <c r="AG4126" s="2">
        <v>220</v>
      </c>
      <c r="AH4126" s="2"/>
      <c r="AI4126" s="2">
        <f>AH4126*S4126</f>
        <v>0</v>
      </c>
      <c r="AJ4126" s="2">
        <f>S4126-V4126</f>
        <v>230</v>
      </c>
      <c r="AK4126" s="5">
        <f>(S4126-V4126)/S4126</f>
        <v>1</v>
      </c>
    </row>
    <row r="4127" spans="1:37" x14ac:dyDescent="0.2">
      <c r="A4127" s="8">
        <v>2026</v>
      </c>
      <c r="B4127" s="8">
        <v>6</v>
      </c>
      <c r="C4127" s="2" t="s">
        <v>2966</v>
      </c>
      <c r="O4127" s="2" t="s">
        <v>94</v>
      </c>
      <c r="P4127" s="2" t="s">
        <v>95</v>
      </c>
      <c r="Q4127" s="2" t="s">
        <v>96</v>
      </c>
      <c r="R4127" s="9">
        <v>1</v>
      </c>
      <c r="S4127" s="10">
        <v>1.48</v>
      </c>
      <c r="T4127" s="2">
        <f>S4127*23%</f>
        <v>0.34040000000000004</v>
      </c>
      <c r="U4127" s="10">
        <f>S4127+T4127</f>
        <v>1.8204</v>
      </c>
      <c r="V4127" s="2">
        <f>1.48*R4127</f>
        <v>1.48</v>
      </c>
      <c r="W4127" s="5">
        <f>(S4127-V4127)/S4127</f>
        <v>0</v>
      </c>
      <c r="Y4127" s="2" t="s">
        <v>3256</v>
      </c>
      <c r="Z4127" s="2" t="s">
        <v>97</v>
      </c>
      <c r="AA4127" s="2" t="s">
        <v>77</v>
      </c>
      <c r="AB4127" s="2" t="s">
        <v>94</v>
      </c>
      <c r="AE4127" s="2">
        <f>AI4127</f>
        <v>0</v>
      </c>
      <c r="AF4127" s="2">
        <v>1.48</v>
      </c>
      <c r="AG4127" s="2">
        <v>1.48</v>
      </c>
      <c r="AH4127" s="2"/>
      <c r="AI4127" s="2">
        <f>AH4127*S4127</f>
        <v>0</v>
      </c>
      <c r="AJ4127" s="2">
        <f>S4127-V4127</f>
        <v>0</v>
      </c>
      <c r="AK4127" s="5">
        <f>(S4127-V4127)/S4127</f>
        <v>0</v>
      </c>
    </row>
    <row r="4128" spans="1:37" x14ac:dyDescent="0.2">
      <c r="A4128" s="8">
        <v>2026</v>
      </c>
      <c r="B4128" s="8">
        <v>6</v>
      </c>
      <c r="C4128" s="2" t="s">
        <v>3129</v>
      </c>
      <c r="O4128" s="2" t="s">
        <v>115</v>
      </c>
      <c r="P4128" s="2" t="s">
        <v>963</v>
      </c>
      <c r="Q4128" s="2" t="s">
        <v>964</v>
      </c>
      <c r="R4128" s="9">
        <v>1</v>
      </c>
      <c r="S4128" s="10">
        <v>8930</v>
      </c>
      <c r="W4128" s="2"/>
      <c r="AH4128" s="2"/>
      <c r="AK4128" s="2"/>
    </row>
    <row r="4129" spans="1:37" x14ac:dyDescent="0.2">
      <c r="A4129" s="8">
        <v>2026</v>
      </c>
      <c r="B4129" s="8">
        <v>6</v>
      </c>
      <c r="C4129" s="2" t="s">
        <v>3129</v>
      </c>
      <c r="O4129" s="2" t="s">
        <v>115</v>
      </c>
      <c r="P4129" s="2" t="s">
        <v>1594</v>
      </c>
      <c r="Q4129" s="2" t="s">
        <v>1595</v>
      </c>
      <c r="R4129" s="9">
        <v>1</v>
      </c>
      <c r="S4129" s="10">
        <v>7490</v>
      </c>
      <c r="W4129" s="2"/>
      <c r="AH4129" s="2"/>
      <c r="AK4129" s="2"/>
    </row>
    <row r="4130" spans="1:37" x14ac:dyDescent="0.2">
      <c r="A4130" s="8">
        <v>2026</v>
      </c>
      <c r="B4130" s="8">
        <v>6</v>
      </c>
      <c r="C4130" s="2" t="s">
        <v>384</v>
      </c>
      <c r="P4130" s="2" t="s">
        <v>3075</v>
      </c>
      <c r="Q4130" s="2" t="s">
        <v>3076</v>
      </c>
      <c r="R4130" s="9">
        <v>1</v>
      </c>
      <c r="S4130" s="10">
        <v>10</v>
      </c>
      <c r="W4130" s="2"/>
      <c r="AH4130" s="2"/>
      <c r="AK4130" s="2"/>
    </row>
    <row r="4131" spans="1:37" x14ac:dyDescent="0.2">
      <c r="A4131" s="8">
        <v>2026</v>
      </c>
      <c r="B4131" s="8">
        <v>6</v>
      </c>
      <c r="C4131" s="2" t="s">
        <v>384</v>
      </c>
      <c r="O4131" s="2" t="s">
        <v>167</v>
      </c>
      <c r="P4131" s="2" t="s">
        <v>2203</v>
      </c>
      <c r="Q4131" s="2" t="s">
        <v>2204</v>
      </c>
      <c r="R4131" s="9">
        <v>4</v>
      </c>
      <c r="S4131" s="10">
        <v>12</v>
      </c>
      <c r="T4131" s="2">
        <f>S4131*23%</f>
        <v>2.7600000000000002</v>
      </c>
      <c r="U4131" s="10">
        <f>S4131+T4131</f>
        <v>14.76</v>
      </c>
      <c r="W4131" s="5">
        <f>(S4131-V4131)/S4131</f>
        <v>1</v>
      </c>
      <c r="Y4131" s="2" t="s">
        <v>3256</v>
      </c>
      <c r="Z4131" s="2" t="s">
        <v>88</v>
      </c>
      <c r="AA4131" s="2" t="s">
        <v>120</v>
      </c>
      <c r="AB4131" s="2" t="s">
        <v>167</v>
      </c>
      <c r="AE4131" s="2">
        <f>AI4131</f>
        <v>0</v>
      </c>
      <c r="AH4131" s="2"/>
      <c r="AI4131" s="2">
        <f>AH4131*S4131</f>
        <v>0</v>
      </c>
      <c r="AJ4131" s="2">
        <f>S4131-V4131</f>
        <v>12</v>
      </c>
      <c r="AK4131" s="5">
        <f>(S4131-V4131)/S4131</f>
        <v>1</v>
      </c>
    </row>
    <row r="4132" spans="1:37" x14ac:dyDescent="0.2">
      <c r="A4132" s="8">
        <v>2026</v>
      </c>
      <c r="B4132" s="8">
        <v>6</v>
      </c>
      <c r="C4132" s="2" t="s">
        <v>384</v>
      </c>
      <c r="O4132" s="2" t="s">
        <v>167</v>
      </c>
      <c r="P4132" s="2" t="s">
        <v>3077</v>
      </c>
      <c r="Q4132" s="2" t="s">
        <v>3078</v>
      </c>
      <c r="R4132" s="9">
        <v>2</v>
      </c>
      <c r="S4132" s="10">
        <v>4</v>
      </c>
      <c r="T4132" s="2">
        <f>S4132*23%</f>
        <v>0.92</v>
      </c>
      <c r="U4132" s="10">
        <f>S4132+T4132</f>
        <v>4.92</v>
      </c>
      <c r="W4132" s="5">
        <f>(S4132-V4132)/S4132</f>
        <v>1</v>
      </c>
      <c r="Y4132" s="2" t="s">
        <v>3256</v>
      </c>
      <c r="Z4132" s="2" t="s">
        <v>88</v>
      </c>
      <c r="AA4132" s="2" t="s">
        <v>120</v>
      </c>
      <c r="AB4132" s="2" t="s">
        <v>167</v>
      </c>
      <c r="AE4132" s="2">
        <f>AI4132</f>
        <v>0</v>
      </c>
      <c r="AH4132" s="2"/>
      <c r="AI4132" s="2">
        <f>AH4132*S4132</f>
        <v>0</v>
      </c>
      <c r="AJ4132" s="2">
        <f>S4132-V4132</f>
        <v>4</v>
      </c>
      <c r="AK4132" s="5">
        <f>(S4132-V4132)/S4132</f>
        <v>1</v>
      </c>
    </row>
    <row r="4133" spans="1:37" x14ac:dyDescent="0.2">
      <c r="A4133" s="8">
        <v>2026</v>
      </c>
      <c r="B4133" s="8">
        <v>6</v>
      </c>
      <c r="C4133" s="2" t="s">
        <v>384</v>
      </c>
      <c r="O4133" s="2" t="s">
        <v>170</v>
      </c>
      <c r="P4133" s="2" t="s">
        <v>171</v>
      </c>
      <c r="Q4133" s="2" t="s">
        <v>171</v>
      </c>
      <c r="R4133" s="9">
        <v>1</v>
      </c>
      <c r="S4133" s="10">
        <v>5</v>
      </c>
      <c r="W4133" s="2"/>
      <c r="Y4133" s="2" t="s">
        <v>170</v>
      </c>
      <c r="AH4133" s="2"/>
      <c r="AK4133" s="2"/>
    </row>
    <row r="4134" spans="1:37" x14ac:dyDescent="0.2">
      <c r="A4134" s="8">
        <v>2026</v>
      </c>
      <c r="B4134" s="8">
        <v>6</v>
      </c>
      <c r="C4134" s="2" t="s">
        <v>384</v>
      </c>
      <c r="O4134" s="2" t="s">
        <v>188</v>
      </c>
      <c r="P4134" s="2" t="s">
        <v>1318</v>
      </c>
      <c r="Q4134" s="2" t="s">
        <v>1319</v>
      </c>
      <c r="R4134" s="9">
        <v>1</v>
      </c>
      <c r="S4134" s="10">
        <v>50.85</v>
      </c>
      <c r="T4134" s="2">
        <f>S4134*23%</f>
        <v>11.695500000000001</v>
      </c>
      <c r="U4134" s="2">
        <f>S4134+T4134</f>
        <v>62.545500000000004</v>
      </c>
      <c r="W4134" s="5">
        <f>(S4134-V4134)/S4134</f>
        <v>1</v>
      </c>
      <c r="Y4134" s="2" t="s">
        <v>118</v>
      </c>
      <c r="Z4134" s="2" t="s">
        <v>1320</v>
      </c>
      <c r="AH4134" s="2"/>
      <c r="AK4134" s="2"/>
    </row>
    <row r="4135" spans="1:37" x14ac:dyDescent="0.2">
      <c r="A4135" s="8">
        <v>2026</v>
      </c>
      <c r="B4135" s="8">
        <v>6</v>
      </c>
      <c r="C4135" s="2" t="s">
        <v>781</v>
      </c>
      <c r="O4135" s="2" t="s">
        <v>115</v>
      </c>
      <c r="P4135" s="2" t="s">
        <v>1894</v>
      </c>
      <c r="Q4135" s="2" t="s">
        <v>1895</v>
      </c>
      <c r="R4135" s="9">
        <v>1</v>
      </c>
      <c r="S4135" s="10">
        <v>219.45</v>
      </c>
      <c r="W4135" s="2"/>
      <c r="AH4135" s="2"/>
      <c r="AK4135" s="2"/>
    </row>
    <row r="4136" spans="1:37" x14ac:dyDescent="0.2">
      <c r="A4136" s="8">
        <v>2026</v>
      </c>
      <c r="B4136" s="8">
        <v>6</v>
      </c>
      <c r="C4136" s="2" t="s">
        <v>781</v>
      </c>
      <c r="L4136" s="2" t="s">
        <v>40</v>
      </c>
      <c r="O4136" s="2" t="s">
        <v>188</v>
      </c>
      <c r="P4136" s="2" t="s">
        <v>189</v>
      </c>
      <c r="Q4136" s="2" t="s">
        <v>190</v>
      </c>
      <c r="R4136" s="9">
        <v>1</v>
      </c>
      <c r="S4136" s="10">
        <v>60</v>
      </c>
      <c r="T4136" s="2">
        <f t="shared" ref="T4136:T4146" si="460">S4136*23%</f>
        <v>13.8</v>
      </c>
      <c r="U4136" s="2">
        <f t="shared" ref="U4136:U4146" si="461">S4136+T4136</f>
        <v>73.8</v>
      </c>
      <c r="V4136" s="2">
        <f>S4136*40%</f>
        <v>24</v>
      </c>
      <c r="W4136" s="5">
        <f t="shared" ref="W4136:W4141" si="462">(S4136-V4136)/S4136</f>
        <v>0.6</v>
      </c>
      <c r="Y4136" s="2" t="s">
        <v>118</v>
      </c>
      <c r="Z4136" s="2" t="s">
        <v>191</v>
      </c>
      <c r="AF4136" s="2">
        <f>V4136</f>
        <v>24</v>
      </c>
      <c r="AH4136" s="2"/>
      <c r="AI4136" s="2">
        <f>AH4136*S4136</f>
        <v>0</v>
      </c>
      <c r="AJ4136" s="2">
        <f>S4136-V4136</f>
        <v>36</v>
      </c>
      <c r="AK4136" s="5">
        <f>(S4136-V4136)/S4136</f>
        <v>0.6</v>
      </c>
    </row>
    <row r="4137" spans="1:37" x14ac:dyDescent="0.2">
      <c r="A4137" s="8">
        <v>2026</v>
      </c>
      <c r="B4137" s="8">
        <v>6</v>
      </c>
      <c r="C4137" s="2" t="s">
        <v>781</v>
      </c>
      <c r="L4137" s="2" t="s">
        <v>40</v>
      </c>
      <c r="O4137" s="2" t="s">
        <v>188</v>
      </c>
      <c r="P4137" s="2" t="s">
        <v>192</v>
      </c>
      <c r="Q4137" s="2" t="s">
        <v>191</v>
      </c>
      <c r="R4137" s="9">
        <v>1</v>
      </c>
      <c r="S4137" s="10">
        <v>55</v>
      </c>
      <c r="T4137" s="2">
        <f t="shared" si="460"/>
        <v>12.65</v>
      </c>
      <c r="U4137" s="2">
        <f t="shared" si="461"/>
        <v>67.650000000000006</v>
      </c>
      <c r="V4137" s="2">
        <f>S4137*50%</f>
        <v>27.5</v>
      </c>
      <c r="W4137" s="5">
        <f t="shared" si="462"/>
        <v>0.5</v>
      </c>
      <c r="Y4137" s="2" t="s">
        <v>118</v>
      </c>
      <c r="Z4137" s="2" t="s">
        <v>191</v>
      </c>
      <c r="AE4137" s="2">
        <f>AI4137</f>
        <v>0</v>
      </c>
      <c r="AF4137" s="2">
        <f>V4137</f>
        <v>27.5</v>
      </c>
      <c r="AH4137" s="2"/>
      <c r="AI4137" s="2">
        <f>AH4137*S4137</f>
        <v>0</v>
      </c>
      <c r="AJ4137" s="2">
        <f>S4137-V4137</f>
        <v>27.5</v>
      </c>
      <c r="AK4137" s="5">
        <f>(S4137-V4137)/S4137</f>
        <v>0.5</v>
      </c>
    </row>
    <row r="4138" spans="1:37" x14ac:dyDescent="0.2">
      <c r="A4138" s="8">
        <v>2026</v>
      </c>
      <c r="B4138" s="8">
        <v>6</v>
      </c>
      <c r="C4138" s="2" t="s">
        <v>2600</v>
      </c>
      <c r="L4138" s="2" t="s">
        <v>81</v>
      </c>
      <c r="O4138" s="2" t="s">
        <v>1047</v>
      </c>
      <c r="P4138" s="2" t="s">
        <v>2911</v>
      </c>
      <c r="Q4138" s="2" t="s">
        <v>2912</v>
      </c>
      <c r="R4138" s="9">
        <v>1</v>
      </c>
      <c r="S4138" s="10">
        <v>223.1</v>
      </c>
      <c r="T4138" s="2">
        <f t="shared" si="460"/>
        <v>51.313000000000002</v>
      </c>
      <c r="U4138" s="2">
        <f t="shared" si="461"/>
        <v>274.41300000000001</v>
      </c>
      <c r="W4138" s="5">
        <f t="shared" si="462"/>
        <v>1</v>
      </c>
      <c r="Y4138" s="2" t="s">
        <v>3256</v>
      </c>
      <c r="Z4138" s="2" t="s">
        <v>76</v>
      </c>
      <c r="AA4138" s="2" t="s">
        <v>77</v>
      </c>
      <c r="AB4138" s="2" t="s">
        <v>1047</v>
      </c>
      <c r="AE4138" s="2">
        <f>AI4138</f>
        <v>0</v>
      </c>
      <c r="AH4138" s="2"/>
      <c r="AI4138" s="2">
        <f>AH4138*S4138</f>
        <v>0</v>
      </c>
      <c r="AJ4138" s="2">
        <f>S4138-V4138</f>
        <v>223.1</v>
      </c>
      <c r="AK4138" s="5">
        <f>(S4138-V4138)/S4138</f>
        <v>1</v>
      </c>
    </row>
    <row r="4139" spans="1:37" x14ac:dyDescent="0.2">
      <c r="A4139" s="8">
        <v>2026</v>
      </c>
      <c r="B4139" s="8">
        <v>6</v>
      </c>
      <c r="C4139" s="2" t="s">
        <v>2600</v>
      </c>
      <c r="O4139" s="2" t="s">
        <v>94</v>
      </c>
      <c r="P4139" s="2" t="s">
        <v>95</v>
      </c>
      <c r="Q4139" s="2" t="s">
        <v>96</v>
      </c>
      <c r="R4139" s="9">
        <v>1</v>
      </c>
      <c r="S4139" s="10">
        <v>1.48</v>
      </c>
      <c r="T4139" s="2">
        <f t="shared" si="460"/>
        <v>0.34040000000000004</v>
      </c>
      <c r="U4139" s="10">
        <f t="shared" si="461"/>
        <v>1.8204</v>
      </c>
      <c r="V4139" s="2">
        <f>1.48*R4139</f>
        <v>1.48</v>
      </c>
      <c r="W4139" s="5">
        <f t="shared" si="462"/>
        <v>0</v>
      </c>
      <c r="Y4139" s="2" t="s">
        <v>3256</v>
      </c>
      <c r="Z4139" s="2" t="s">
        <v>97</v>
      </c>
      <c r="AA4139" s="2" t="s">
        <v>77</v>
      </c>
      <c r="AB4139" s="2" t="s">
        <v>94</v>
      </c>
      <c r="AE4139" s="2">
        <f>AI4139</f>
        <v>0</v>
      </c>
      <c r="AF4139" s="2">
        <v>1.48</v>
      </c>
      <c r="AG4139" s="2">
        <v>1.48</v>
      </c>
      <c r="AH4139" s="2"/>
      <c r="AI4139" s="2">
        <f>AH4139*S4139</f>
        <v>0</v>
      </c>
      <c r="AJ4139" s="2">
        <f>S4139-V4139</f>
        <v>0</v>
      </c>
      <c r="AK4139" s="5">
        <f>(S4139-V4139)/S4139</f>
        <v>0</v>
      </c>
    </row>
    <row r="4140" spans="1:37" x14ac:dyDescent="0.2">
      <c r="A4140" s="8">
        <v>2026</v>
      </c>
      <c r="B4140" s="8">
        <v>6</v>
      </c>
      <c r="C4140" s="2" t="s">
        <v>787</v>
      </c>
      <c r="O4140" s="2" t="s">
        <v>43</v>
      </c>
      <c r="P4140" s="2" t="s">
        <v>55</v>
      </c>
      <c r="Q4140" s="2" t="s">
        <v>56</v>
      </c>
      <c r="R4140" s="9">
        <v>1</v>
      </c>
      <c r="S4140" s="10">
        <v>18</v>
      </c>
      <c r="T4140" s="2">
        <f t="shared" si="460"/>
        <v>4.1400000000000006</v>
      </c>
      <c r="U4140" s="10">
        <f t="shared" si="461"/>
        <v>22.14</v>
      </c>
      <c r="W4140" s="5">
        <f t="shared" si="462"/>
        <v>1</v>
      </c>
      <c r="Y4140" s="2" t="s">
        <v>3256</v>
      </c>
      <c r="Z4140" s="2" t="s">
        <v>46</v>
      </c>
      <c r="AA4140" s="2" t="s">
        <v>57</v>
      </c>
      <c r="AB4140" s="2" t="s">
        <v>58</v>
      </c>
      <c r="AH4140" s="2"/>
      <c r="AK4140" s="2"/>
    </row>
    <row r="4141" spans="1:37" x14ac:dyDescent="0.2">
      <c r="A4141" s="8">
        <v>2026</v>
      </c>
      <c r="B4141" s="8">
        <v>6</v>
      </c>
      <c r="C4141" s="2" t="s">
        <v>790</v>
      </c>
      <c r="O4141" s="2" t="s">
        <v>43</v>
      </c>
      <c r="P4141" s="2" t="s">
        <v>352</v>
      </c>
      <c r="Q4141" s="2" t="s">
        <v>353</v>
      </c>
      <c r="R4141" s="9">
        <v>1</v>
      </c>
      <c r="S4141" s="10">
        <v>21</v>
      </c>
      <c r="T4141" s="2">
        <f t="shared" si="460"/>
        <v>4.83</v>
      </c>
      <c r="U4141" s="10">
        <f t="shared" si="461"/>
        <v>25.83</v>
      </c>
      <c r="W4141" s="5">
        <f t="shared" si="462"/>
        <v>1</v>
      </c>
      <c r="Y4141" s="2" t="s">
        <v>3256</v>
      </c>
      <c r="Z4141" s="2" t="s">
        <v>46</v>
      </c>
      <c r="AH4141" s="2"/>
      <c r="AK4141" s="2"/>
    </row>
    <row r="4142" spans="1:37" x14ac:dyDescent="0.2">
      <c r="A4142" s="8">
        <v>2026</v>
      </c>
      <c r="B4142" s="8">
        <v>6</v>
      </c>
      <c r="C4142" s="2" t="s">
        <v>2028</v>
      </c>
      <c r="O4142" s="2" t="s">
        <v>73</v>
      </c>
      <c r="P4142" s="2" t="s">
        <v>919</v>
      </c>
      <c r="Q4142" s="2" t="s">
        <v>75</v>
      </c>
      <c r="R4142" s="9">
        <v>1</v>
      </c>
      <c r="S4142" s="10">
        <v>230</v>
      </c>
      <c r="T4142" s="2">
        <f t="shared" si="460"/>
        <v>52.900000000000006</v>
      </c>
      <c r="U4142" s="10">
        <f t="shared" si="461"/>
        <v>282.89999999999998</v>
      </c>
      <c r="W4142" s="5">
        <f>(S4142-V4142)/S4142</f>
        <v>1</v>
      </c>
      <c r="Y4142" s="2" t="s">
        <v>3256</v>
      </c>
      <c r="Z4142" s="2" t="s">
        <v>76</v>
      </c>
      <c r="AA4142" s="2" t="s">
        <v>77</v>
      </c>
      <c r="AB4142" s="2" t="s">
        <v>78</v>
      </c>
      <c r="AE4142" s="2">
        <f>AI4142</f>
        <v>0</v>
      </c>
      <c r="AF4142" s="2">
        <v>125.51600000000001</v>
      </c>
      <c r="AG4142" s="2">
        <v>220</v>
      </c>
      <c r="AH4142" s="2"/>
      <c r="AI4142" s="2">
        <f>AH4142*S4142</f>
        <v>0</v>
      </c>
      <c r="AJ4142" s="2">
        <f>S4142-V4142</f>
        <v>230</v>
      </c>
      <c r="AK4142" s="5">
        <f>(S4142-V4142)/S4142</f>
        <v>1</v>
      </c>
    </row>
    <row r="4143" spans="1:37" x14ac:dyDescent="0.2">
      <c r="A4143" s="8">
        <v>2026</v>
      </c>
      <c r="B4143" s="8">
        <v>6</v>
      </c>
      <c r="C4143" s="2" t="s">
        <v>2028</v>
      </c>
      <c r="O4143" s="2" t="s">
        <v>94</v>
      </c>
      <c r="P4143" s="2" t="s">
        <v>95</v>
      </c>
      <c r="Q4143" s="2" t="s">
        <v>96</v>
      </c>
      <c r="R4143" s="9">
        <v>1</v>
      </c>
      <c r="S4143" s="10">
        <v>1.48</v>
      </c>
      <c r="T4143" s="2">
        <f t="shared" si="460"/>
        <v>0.34040000000000004</v>
      </c>
      <c r="U4143" s="10">
        <f t="shared" si="461"/>
        <v>1.8204</v>
      </c>
      <c r="V4143" s="2">
        <f>1.48*R4143</f>
        <v>1.48</v>
      </c>
      <c r="W4143" s="5">
        <f>(S4143-V4143)/S4143</f>
        <v>0</v>
      </c>
      <c r="Y4143" s="2" t="s">
        <v>3256</v>
      </c>
      <c r="Z4143" s="2" t="s">
        <v>97</v>
      </c>
      <c r="AA4143" s="2" t="s">
        <v>77</v>
      </c>
      <c r="AB4143" s="2" t="s">
        <v>94</v>
      </c>
      <c r="AE4143" s="2">
        <f>AI4143</f>
        <v>0</v>
      </c>
      <c r="AF4143" s="2">
        <v>1.48</v>
      </c>
      <c r="AG4143" s="2">
        <v>1.48</v>
      </c>
      <c r="AH4143" s="2"/>
      <c r="AI4143" s="2">
        <f>AH4143*S4143</f>
        <v>0</v>
      </c>
      <c r="AJ4143" s="2">
        <f>S4143-V4143</f>
        <v>0</v>
      </c>
      <c r="AK4143" s="5">
        <f>(S4143-V4143)/S4143</f>
        <v>0</v>
      </c>
    </row>
    <row r="4144" spans="1:37" x14ac:dyDescent="0.2">
      <c r="A4144" s="8">
        <v>2026</v>
      </c>
      <c r="B4144" s="8">
        <v>6</v>
      </c>
      <c r="C4144" s="2" t="s">
        <v>1018</v>
      </c>
      <c r="L4144" s="2" t="s">
        <v>81</v>
      </c>
      <c r="O4144" s="2" t="s">
        <v>73</v>
      </c>
      <c r="P4144" s="2" t="s">
        <v>3079</v>
      </c>
      <c r="Q4144" s="2" t="s">
        <v>208</v>
      </c>
      <c r="R4144" s="9">
        <v>1</v>
      </c>
      <c r="S4144" s="10">
        <v>400</v>
      </c>
      <c r="T4144" s="2">
        <f t="shared" si="460"/>
        <v>92</v>
      </c>
      <c r="U4144" s="10">
        <f t="shared" si="461"/>
        <v>492</v>
      </c>
      <c r="W4144" s="5">
        <f>(S4144-V4144)/S4144</f>
        <v>1</v>
      </c>
      <c r="Y4144" s="2" t="s">
        <v>3256</v>
      </c>
      <c r="Z4144" s="2" t="s">
        <v>76</v>
      </c>
      <c r="AA4144" s="2" t="s">
        <v>77</v>
      </c>
      <c r="AB4144" s="2" t="s">
        <v>78</v>
      </c>
      <c r="AE4144" s="2">
        <f>AI4144</f>
        <v>0</v>
      </c>
      <c r="AF4144" s="2">
        <v>125.51600000000001</v>
      </c>
      <c r="AG4144" s="2">
        <v>220</v>
      </c>
      <c r="AH4144" s="2"/>
      <c r="AI4144" s="2">
        <f>AH4144*S4144</f>
        <v>0</v>
      </c>
      <c r="AJ4144" s="2">
        <f>S4144-V4144</f>
        <v>400</v>
      </c>
      <c r="AK4144" s="5">
        <f>(S4144-V4144)/S4144</f>
        <v>1</v>
      </c>
    </row>
    <row r="4145" spans="1:37" x14ac:dyDescent="0.2">
      <c r="A4145" s="8">
        <v>2026</v>
      </c>
      <c r="B4145" s="8">
        <v>6</v>
      </c>
      <c r="C4145" s="2" t="s">
        <v>1018</v>
      </c>
      <c r="O4145" s="2" t="s">
        <v>94</v>
      </c>
      <c r="P4145" s="2" t="s">
        <v>95</v>
      </c>
      <c r="Q4145" s="2" t="s">
        <v>96</v>
      </c>
      <c r="R4145" s="9">
        <v>1</v>
      </c>
      <c r="S4145" s="10">
        <v>1.48</v>
      </c>
      <c r="T4145" s="2">
        <f t="shared" si="460"/>
        <v>0.34040000000000004</v>
      </c>
      <c r="U4145" s="10">
        <f t="shared" si="461"/>
        <v>1.8204</v>
      </c>
      <c r="V4145" s="2">
        <f>1.48*R4145</f>
        <v>1.48</v>
      </c>
      <c r="W4145" s="5">
        <f>(S4145-V4145)/S4145</f>
        <v>0</v>
      </c>
      <c r="Y4145" s="2" t="s">
        <v>3256</v>
      </c>
      <c r="Z4145" s="2" t="s">
        <v>97</v>
      </c>
      <c r="AA4145" s="2" t="s">
        <v>77</v>
      </c>
      <c r="AB4145" s="2" t="s">
        <v>94</v>
      </c>
      <c r="AE4145" s="2">
        <f>AI4145</f>
        <v>0</v>
      </c>
      <c r="AF4145" s="2">
        <v>1.48</v>
      </c>
      <c r="AG4145" s="2">
        <v>1.48</v>
      </c>
      <c r="AH4145" s="2"/>
      <c r="AI4145" s="2">
        <f>AH4145*S4145</f>
        <v>0</v>
      </c>
      <c r="AJ4145" s="2">
        <f>S4145-V4145</f>
        <v>0</v>
      </c>
      <c r="AK4145" s="5">
        <f>(S4145-V4145)/S4145</f>
        <v>0</v>
      </c>
    </row>
    <row r="4146" spans="1:37" x14ac:dyDescent="0.2">
      <c r="A4146" s="8">
        <v>2026</v>
      </c>
      <c r="B4146" s="8">
        <v>6</v>
      </c>
      <c r="C4146" s="2" t="s">
        <v>396</v>
      </c>
      <c r="D4146" s="2" t="s">
        <v>109</v>
      </c>
      <c r="E4146" s="2" t="s">
        <v>397</v>
      </c>
      <c r="F4146" s="2">
        <v>501787160</v>
      </c>
      <c r="G4146" s="2" t="s">
        <v>41</v>
      </c>
      <c r="H4146" s="2" t="s">
        <v>398</v>
      </c>
      <c r="I4146" s="2" t="s">
        <v>399</v>
      </c>
      <c r="K4146" s="2" t="s">
        <v>400</v>
      </c>
      <c r="O4146" s="2" t="s">
        <v>283</v>
      </c>
      <c r="P4146" s="2" t="s">
        <v>404</v>
      </c>
      <c r="Q4146" s="2" t="s">
        <v>405</v>
      </c>
      <c r="R4146" s="9">
        <v>20</v>
      </c>
      <c r="S4146" s="10">
        <v>400</v>
      </c>
      <c r="T4146" s="2">
        <f t="shared" si="460"/>
        <v>92</v>
      </c>
      <c r="U4146" s="10">
        <f t="shared" si="461"/>
        <v>492</v>
      </c>
      <c r="V4146" s="2">
        <v>290</v>
      </c>
      <c r="W4146" s="5">
        <f>(S4146-V4146)/S4146</f>
        <v>0.27500000000000002</v>
      </c>
      <c r="Y4146" s="2" t="s">
        <v>3256</v>
      </c>
      <c r="Z4146" s="2" t="s">
        <v>46</v>
      </c>
      <c r="AA4146" s="2" t="s">
        <v>61</v>
      </c>
      <c r="AB4146" s="2" t="s">
        <v>403</v>
      </c>
      <c r="AH4146" s="2"/>
      <c r="AK4146" s="2"/>
    </row>
    <row r="4147" spans="1:37" x14ac:dyDescent="0.2">
      <c r="A4147" s="8">
        <v>2026</v>
      </c>
      <c r="B4147" s="8">
        <v>6</v>
      </c>
      <c r="C4147" s="2" t="s">
        <v>414</v>
      </c>
      <c r="D4147" s="2" t="s">
        <v>38</v>
      </c>
      <c r="F4147" s="2">
        <v>508259509</v>
      </c>
      <c r="G4147" s="2" t="s">
        <v>40</v>
      </c>
      <c r="H4147" s="2" t="s">
        <v>340</v>
      </c>
      <c r="K4147" s="2" t="s">
        <v>340</v>
      </c>
      <c r="L4147" s="2" t="s">
        <v>40</v>
      </c>
      <c r="N4147" s="2" t="s">
        <v>3194</v>
      </c>
      <c r="O4147" s="2" t="s">
        <v>115</v>
      </c>
      <c r="P4147" s="2" t="s">
        <v>288</v>
      </c>
      <c r="Q4147" s="2" t="s">
        <v>289</v>
      </c>
      <c r="R4147" s="9">
        <v>1</v>
      </c>
      <c r="S4147" s="10">
        <v>5590</v>
      </c>
      <c r="T4147" s="2">
        <f>S4147*23%</f>
        <v>1285.7</v>
      </c>
      <c r="U4147" s="10">
        <f>S4147+T4147</f>
        <v>6875.7</v>
      </c>
      <c r="V4147" s="2">
        <v>4275.9799999999996</v>
      </c>
      <c r="W4147" s="5">
        <f t="shared" ref="W4147:W4150" si="463">(S4147-V4147)/S4147</f>
        <v>0.23506618962432924</v>
      </c>
      <c r="Y4147" s="2" t="s">
        <v>105</v>
      </c>
      <c r="Z4147" s="2" t="s">
        <v>621</v>
      </c>
      <c r="AA4147" s="2" t="s">
        <v>3195</v>
      </c>
      <c r="AB4147" s="2" t="s">
        <v>115</v>
      </c>
      <c r="AE4147" s="2">
        <f t="shared" ref="AE4147:AE4150" si="464">AI4147</f>
        <v>0</v>
      </c>
      <c r="AF4147" s="2">
        <f>4131.6+144.38</f>
        <v>4275.9800000000005</v>
      </c>
      <c r="AH4147" s="2"/>
      <c r="AI4147" s="2">
        <f t="shared" ref="AI4147:AI4150" si="465">AH4147*S4147</f>
        <v>0</v>
      </c>
      <c r="AJ4147" s="2">
        <f t="shared" ref="AJ4147:AJ4150" si="466">S4147-V4147</f>
        <v>1314.0200000000004</v>
      </c>
      <c r="AK4147" s="5">
        <f t="shared" ref="AK4147:AK4150" si="467">(S4147-V4147)/S4147</f>
        <v>0.23506618962432924</v>
      </c>
    </row>
    <row r="4148" spans="1:37" x14ac:dyDescent="0.2">
      <c r="A4148" s="8">
        <v>2026</v>
      </c>
      <c r="B4148" s="8">
        <v>6</v>
      </c>
      <c r="C4148" s="2" t="s">
        <v>414</v>
      </c>
      <c r="D4148" s="2" t="s">
        <v>38</v>
      </c>
      <c r="F4148" s="2">
        <v>508259509</v>
      </c>
      <c r="G4148" s="2" t="s">
        <v>40</v>
      </c>
      <c r="H4148" s="2" t="s">
        <v>340</v>
      </c>
      <c r="K4148" s="2" t="s">
        <v>340</v>
      </c>
      <c r="L4148" s="2" t="s">
        <v>40</v>
      </c>
      <c r="N4148" s="2" t="s">
        <v>3194</v>
      </c>
      <c r="O4148" s="2" t="s">
        <v>115</v>
      </c>
      <c r="P4148" s="2" t="s">
        <v>844</v>
      </c>
      <c r="Q4148" s="2" t="s">
        <v>845</v>
      </c>
      <c r="R4148" s="9">
        <v>1</v>
      </c>
      <c r="S4148" s="10">
        <v>4440</v>
      </c>
      <c r="T4148" s="2">
        <f t="shared" ref="T4148:T4150" si="468">S4148*23%</f>
        <v>1021.2</v>
      </c>
      <c r="U4148" s="10">
        <f t="shared" ref="U4148:U4150" si="469">S4148+T4148</f>
        <v>5461.2</v>
      </c>
      <c r="V4148" s="2">
        <v>3345.125</v>
      </c>
      <c r="W4148" s="5">
        <f t="shared" si="463"/>
        <v>0.24659346846846847</v>
      </c>
      <c r="Y4148" s="2" t="s">
        <v>105</v>
      </c>
      <c r="Z4148" s="2" t="s">
        <v>151</v>
      </c>
      <c r="AA4148" s="2" t="s">
        <v>152</v>
      </c>
      <c r="AB4148" s="2" t="s">
        <v>115</v>
      </c>
      <c r="AE4148" s="2">
        <f t="shared" si="464"/>
        <v>0</v>
      </c>
      <c r="AF4148" s="2">
        <v>3345.125</v>
      </c>
      <c r="AH4148" s="2"/>
      <c r="AI4148" s="2">
        <f t="shared" si="465"/>
        <v>0</v>
      </c>
      <c r="AJ4148" s="2">
        <f t="shared" si="466"/>
        <v>1094.875</v>
      </c>
      <c r="AK4148" s="5">
        <f t="shared" si="467"/>
        <v>0.24659346846846847</v>
      </c>
    </row>
    <row r="4149" spans="1:37" x14ac:dyDescent="0.2">
      <c r="A4149" s="8">
        <v>2026</v>
      </c>
      <c r="B4149" s="8">
        <v>6</v>
      </c>
      <c r="C4149" s="2" t="s">
        <v>414</v>
      </c>
      <c r="D4149" s="2" t="s">
        <v>38</v>
      </c>
      <c r="F4149" s="2">
        <v>508259509</v>
      </c>
      <c r="G4149" s="2" t="s">
        <v>40</v>
      </c>
      <c r="H4149" s="2" t="s">
        <v>340</v>
      </c>
      <c r="K4149" s="2" t="s">
        <v>340</v>
      </c>
      <c r="L4149" s="2" t="s">
        <v>40</v>
      </c>
      <c r="N4149" s="2" t="s">
        <v>3194</v>
      </c>
      <c r="O4149" s="2" t="s">
        <v>1624</v>
      </c>
      <c r="P4149" s="2" t="s">
        <v>3080</v>
      </c>
      <c r="Q4149" s="2" t="s">
        <v>3081</v>
      </c>
      <c r="R4149" s="9">
        <v>2</v>
      </c>
      <c r="S4149" s="10">
        <v>10000</v>
      </c>
      <c r="T4149" s="2">
        <f t="shared" si="468"/>
        <v>2300</v>
      </c>
      <c r="U4149" s="10">
        <f t="shared" si="469"/>
        <v>12300</v>
      </c>
      <c r="V4149" s="2">
        <f>3681.98*2</f>
        <v>7363.96</v>
      </c>
      <c r="W4149" s="5">
        <f t="shared" si="463"/>
        <v>0.263604</v>
      </c>
      <c r="Y4149" s="2" t="s">
        <v>105</v>
      </c>
      <c r="Z4149" s="2" t="s">
        <v>265</v>
      </c>
      <c r="AA4149" s="2" t="s">
        <v>3196</v>
      </c>
      <c r="AB4149" s="2" t="s">
        <v>1624</v>
      </c>
      <c r="AE4149" s="2">
        <f t="shared" si="464"/>
        <v>0</v>
      </c>
      <c r="AF4149" s="2">
        <v>3681.98</v>
      </c>
      <c r="AH4149" s="2"/>
      <c r="AI4149" s="2">
        <f t="shared" si="465"/>
        <v>0</v>
      </c>
      <c r="AJ4149" s="2">
        <f t="shared" si="466"/>
        <v>2636.04</v>
      </c>
      <c r="AK4149" s="5">
        <f t="shared" si="467"/>
        <v>0.263604</v>
      </c>
    </row>
    <row r="4150" spans="1:37" x14ac:dyDescent="0.2">
      <c r="A4150" s="8">
        <v>2026</v>
      </c>
      <c r="B4150" s="8">
        <v>6</v>
      </c>
      <c r="C4150" s="2" t="s">
        <v>414</v>
      </c>
      <c r="D4150" s="2" t="s">
        <v>38</v>
      </c>
      <c r="F4150" s="2">
        <v>508259509</v>
      </c>
      <c r="G4150" s="2" t="s">
        <v>40</v>
      </c>
      <c r="H4150" s="2" t="s">
        <v>340</v>
      </c>
      <c r="K4150" s="2" t="s">
        <v>340</v>
      </c>
      <c r="L4150" s="2" t="s">
        <v>40</v>
      </c>
      <c r="N4150" s="2" t="s">
        <v>3194</v>
      </c>
      <c r="O4150" s="2" t="s">
        <v>102</v>
      </c>
      <c r="P4150" s="2" t="s">
        <v>1105</v>
      </c>
      <c r="Q4150" s="2" t="s">
        <v>1106</v>
      </c>
      <c r="R4150" s="9">
        <v>1</v>
      </c>
      <c r="S4150" s="10">
        <v>2620</v>
      </c>
      <c r="T4150" s="2">
        <f t="shared" si="468"/>
        <v>602.6</v>
      </c>
      <c r="U4150" s="10">
        <f t="shared" si="469"/>
        <v>3222.6</v>
      </c>
      <c r="V4150" s="2">
        <v>1978.46</v>
      </c>
      <c r="W4150" s="5">
        <f t="shared" si="463"/>
        <v>0.24486259541984731</v>
      </c>
      <c r="Y4150" s="2" t="s">
        <v>105</v>
      </c>
      <c r="Z4150" s="2" t="s">
        <v>106</v>
      </c>
      <c r="AA4150" s="2" t="s">
        <v>107</v>
      </c>
      <c r="AB4150" s="2" t="s">
        <v>102</v>
      </c>
      <c r="AE4150" s="2">
        <f t="shared" si="464"/>
        <v>0</v>
      </c>
      <c r="AF4150" s="2">
        <v>1978.46</v>
      </c>
      <c r="AH4150" s="2"/>
      <c r="AI4150" s="2">
        <f t="shared" si="465"/>
        <v>0</v>
      </c>
      <c r="AJ4150" s="2">
        <f t="shared" si="466"/>
        <v>641.54</v>
      </c>
      <c r="AK4150" s="5">
        <f t="shared" si="467"/>
        <v>0.24486259541984731</v>
      </c>
    </row>
    <row r="4151" spans="1:37" x14ac:dyDescent="0.2">
      <c r="A4151" s="8">
        <v>2026</v>
      </c>
      <c r="B4151" s="8">
        <v>6</v>
      </c>
      <c r="C4151" s="2" t="s">
        <v>803</v>
      </c>
      <c r="O4151" s="2" t="s">
        <v>283</v>
      </c>
      <c r="P4151" s="2" t="s">
        <v>1563</v>
      </c>
      <c r="Q4151" s="2" t="s">
        <v>1564</v>
      </c>
      <c r="R4151" s="9">
        <v>1</v>
      </c>
      <c r="S4151" s="10">
        <v>499</v>
      </c>
      <c r="W4151" s="2"/>
      <c r="Y4151" s="2" t="s">
        <v>105</v>
      </c>
      <c r="AH4151" s="2"/>
      <c r="AK4151" s="2"/>
    </row>
    <row r="4152" spans="1:37" x14ac:dyDescent="0.2">
      <c r="A4152" s="8">
        <v>2026</v>
      </c>
      <c r="B4152" s="8">
        <v>6</v>
      </c>
      <c r="C4152" s="2" t="s">
        <v>803</v>
      </c>
      <c r="O4152" s="2" t="s">
        <v>283</v>
      </c>
      <c r="P4152" s="2" t="s">
        <v>401</v>
      </c>
      <c r="Q4152" s="2" t="s">
        <v>402</v>
      </c>
      <c r="R4152" s="9">
        <v>2</v>
      </c>
      <c r="S4152" s="10">
        <v>0</v>
      </c>
      <c r="W4152" s="2"/>
      <c r="Y4152" s="2" t="s">
        <v>3256</v>
      </c>
      <c r="AH4152" s="2"/>
      <c r="AK4152" s="2"/>
    </row>
    <row r="4153" spans="1:37" x14ac:dyDescent="0.2">
      <c r="A4153" s="8">
        <v>2026</v>
      </c>
      <c r="B4153" s="8">
        <v>6</v>
      </c>
      <c r="C4153" s="2" t="s">
        <v>803</v>
      </c>
      <c r="O4153" s="2" t="s">
        <v>283</v>
      </c>
      <c r="P4153" s="2" t="s">
        <v>404</v>
      </c>
      <c r="Q4153" s="2" t="s">
        <v>405</v>
      </c>
      <c r="R4153" s="9">
        <v>2</v>
      </c>
      <c r="S4153" s="10">
        <v>0</v>
      </c>
      <c r="W4153" s="2"/>
      <c r="Y4153" s="2" t="s">
        <v>3256</v>
      </c>
      <c r="AH4153" s="2"/>
      <c r="AK4153" s="2"/>
    </row>
    <row r="4154" spans="1:37" x14ac:dyDescent="0.2">
      <c r="A4154" s="8">
        <v>2026</v>
      </c>
      <c r="B4154" s="8">
        <v>6</v>
      </c>
      <c r="C4154" s="2" t="s">
        <v>419</v>
      </c>
      <c r="D4154" s="2" t="s">
        <v>38</v>
      </c>
      <c r="E4154" s="2" t="s">
        <v>39</v>
      </c>
      <c r="F4154" s="2">
        <v>219908800</v>
      </c>
      <c r="G4154" s="2" t="s">
        <v>41</v>
      </c>
      <c r="H4154" s="2" t="s">
        <v>420</v>
      </c>
      <c r="I4154" s="2" t="s">
        <v>421</v>
      </c>
      <c r="K4154" s="2" t="s">
        <v>422</v>
      </c>
      <c r="O4154" s="2" t="s">
        <v>43</v>
      </c>
      <c r="P4154" s="2" t="s">
        <v>55</v>
      </c>
      <c r="Q4154" s="2" t="s">
        <v>56</v>
      </c>
      <c r="R4154" s="9">
        <v>2</v>
      </c>
      <c r="S4154" s="10">
        <v>36</v>
      </c>
      <c r="T4154" s="2">
        <f>S4154*23%</f>
        <v>8.2800000000000011</v>
      </c>
      <c r="U4154" s="10">
        <f>S4154+T4154</f>
        <v>44.28</v>
      </c>
      <c r="W4154" s="5">
        <f>(S4154-V4154)/S4154</f>
        <v>1</v>
      </c>
      <c r="Y4154" s="2" t="s">
        <v>3256</v>
      </c>
      <c r="Z4154" s="2" t="s">
        <v>46</v>
      </c>
      <c r="AA4154" s="2" t="s">
        <v>57</v>
      </c>
      <c r="AB4154" s="2" t="s">
        <v>58</v>
      </c>
      <c r="AH4154" s="2"/>
      <c r="AK4154" s="2"/>
    </row>
    <row r="4155" spans="1:37" x14ac:dyDescent="0.2">
      <c r="A4155" s="8">
        <v>2026</v>
      </c>
      <c r="B4155" s="8">
        <v>6</v>
      </c>
      <c r="C4155" s="2" t="s">
        <v>419</v>
      </c>
      <c r="D4155" s="2" t="s">
        <v>38</v>
      </c>
      <c r="E4155" s="2" t="s">
        <v>39</v>
      </c>
      <c r="F4155" s="2">
        <v>219908800</v>
      </c>
      <c r="G4155" s="2" t="s">
        <v>41</v>
      </c>
      <c r="H4155" s="2" t="s">
        <v>420</v>
      </c>
      <c r="I4155" s="2" t="s">
        <v>421</v>
      </c>
      <c r="K4155" s="2" t="s">
        <v>422</v>
      </c>
      <c r="O4155" s="2" t="s">
        <v>170</v>
      </c>
      <c r="P4155" s="2" t="s">
        <v>171</v>
      </c>
      <c r="Q4155" s="2" t="s">
        <v>171</v>
      </c>
      <c r="R4155" s="9">
        <v>1</v>
      </c>
      <c r="S4155" s="10">
        <v>8</v>
      </c>
      <c r="W4155" s="2"/>
      <c r="AH4155" s="2"/>
      <c r="AK4155" s="2"/>
    </row>
    <row r="4156" spans="1:37" x14ac:dyDescent="0.2">
      <c r="A4156" s="8">
        <v>2026</v>
      </c>
      <c r="B4156" s="8">
        <v>6</v>
      </c>
      <c r="C4156" s="2" t="s">
        <v>1024</v>
      </c>
      <c r="O4156" s="2" t="s">
        <v>43</v>
      </c>
      <c r="P4156" s="2" t="s">
        <v>352</v>
      </c>
      <c r="Q4156" s="2" t="s">
        <v>353</v>
      </c>
      <c r="R4156" s="9">
        <v>3</v>
      </c>
      <c r="S4156" s="10">
        <v>63</v>
      </c>
      <c r="T4156" s="2">
        <f>S4156*23%</f>
        <v>14.49</v>
      </c>
      <c r="U4156" s="10">
        <f>S4156+T4156</f>
        <v>77.489999999999995</v>
      </c>
      <c r="W4156" s="5">
        <f>(S4156-V4156)/S4156</f>
        <v>1</v>
      </c>
      <c r="Y4156" s="2" t="s">
        <v>3256</v>
      </c>
      <c r="Z4156" s="2" t="s">
        <v>46</v>
      </c>
      <c r="AH4156" s="2"/>
      <c r="AK4156" s="2"/>
    </row>
    <row r="4157" spans="1:37" x14ac:dyDescent="0.2">
      <c r="A4157" s="8">
        <v>2026</v>
      </c>
      <c r="B4157" s="8">
        <v>6</v>
      </c>
      <c r="C4157" s="2" t="s">
        <v>1024</v>
      </c>
      <c r="O4157" s="2" t="s">
        <v>43</v>
      </c>
      <c r="P4157" s="2" t="s">
        <v>161</v>
      </c>
      <c r="Q4157" s="2" t="s">
        <v>162</v>
      </c>
      <c r="R4157" s="9">
        <v>3</v>
      </c>
      <c r="S4157" s="10">
        <v>27</v>
      </c>
      <c r="T4157" s="2">
        <f>S4157*23%</f>
        <v>6.21</v>
      </c>
      <c r="U4157" s="10">
        <f>S4157+T4157</f>
        <v>33.21</v>
      </c>
      <c r="W4157" s="5">
        <f>(S4157-V4157)/S4157</f>
        <v>1</v>
      </c>
      <c r="Y4157" s="2" t="s">
        <v>3256</v>
      </c>
      <c r="Z4157" s="2" t="s">
        <v>46</v>
      </c>
      <c r="AH4157" s="2"/>
      <c r="AK4157" s="2"/>
    </row>
    <row r="4158" spans="1:37" x14ac:dyDescent="0.2">
      <c r="A4158" s="8">
        <v>2026</v>
      </c>
      <c r="B4158" s="8">
        <v>6</v>
      </c>
      <c r="C4158" s="2" t="s">
        <v>1383</v>
      </c>
      <c r="O4158" s="2" t="s">
        <v>115</v>
      </c>
      <c r="P4158" s="2" t="s">
        <v>375</v>
      </c>
      <c r="Q4158" s="2" t="s">
        <v>376</v>
      </c>
      <c r="R4158" s="9">
        <v>1</v>
      </c>
      <c r="S4158" s="10">
        <v>41.96</v>
      </c>
      <c r="W4158" s="2"/>
      <c r="AH4158" s="2"/>
      <c r="AK4158" s="2"/>
    </row>
    <row r="4159" spans="1:37" x14ac:dyDescent="0.2">
      <c r="A4159" s="8">
        <v>2026</v>
      </c>
      <c r="B4159" s="8">
        <v>6</v>
      </c>
      <c r="C4159" s="2" t="s">
        <v>1569</v>
      </c>
      <c r="O4159" s="2" t="s">
        <v>283</v>
      </c>
      <c r="P4159" s="2" t="s">
        <v>401</v>
      </c>
      <c r="Q4159" s="2" t="s">
        <v>402</v>
      </c>
      <c r="R4159" s="9">
        <v>20</v>
      </c>
      <c r="S4159" s="10">
        <v>400</v>
      </c>
      <c r="W4159" s="2"/>
      <c r="Y4159" s="2" t="s">
        <v>3256</v>
      </c>
      <c r="AH4159" s="2"/>
      <c r="AK4159" s="2"/>
    </row>
    <row r="4160" spans="1:37" x14ac:dyDescent="0.2">
      <c r="A4160" s="8">
        <v>2026</v>
      </c>
      <c r="B4160" s="8">
        <v>6</v>
      </c>
      <c r="C4160" s="2" t="s">
        <v>1569</v>
      </c>
      <c r="O4160" s="2" t="s">
        <v>283</v>
      </c>
      <c r="P4160" s="2" t="s">
        <v>404</v>
      </c>
      <c r="Q4160" s="2" t="s">
        <v>405</v>
      </c>
      <c r="R4160" s="9">
        <v>20</v>
      </c>
      <c r="S4160" s="10">
        <v>400</v>
      </c>
      <c r="W4160" s="2"/>
      <c r="Y4160" s="2" t="s">
        <v>3256</v>
      </c>
      <c r="AH4160" s="2"/>
      <c r="AK4160" s="2"/>
    </row>
    <row r="4161" spans="1:37" x14ac:dyDescent="0.2">
      <c r="A4161" s="8">
        <v>2026</v>
      </c>
      <c r="B4161" s="8">
        <v>6</v>
      </c>
      <c r="C4161" s="2" t="s">
        <v>1386</v>
      </c>
      <c r="D4161" s="2" t="s">
        <v>38</v>
      </c>
      <c r="E4161" s="2" t="s">
        <v>39</v>
      </c>
      <c r="F4161" s="2">
        <v>503116670</v>
      </c>
      <c r="G4161" s="2" t="s">
        <v>41</v>
      </c>
      <c r="H4161" s="2" t="s">
        <v>1387</v>
      </c>
      <c r="I4161" s="2" t="s">
        <v>1388</v>
      </c>
      <c r="J4161" s="2">
        <v>962004640</v>
      </c>
      <c r="K4161" s="2" t="s">
        <v>422</v>
      </c>
      <c r="L4161" s="2" t="s">
        <v>81</v>
      </c>
      <c r="N4161" s="2" t="s">
        <v>3224</v>
      </c>
      <c r="O4161" s="2" t="s">
        <v>73</v>
      </c>
      <c r="P4161" s="2" t="s">
        <v>537</v>
      </c>
      <c r="Q4161" s="2" t="s">
        <v>538</v>
      </c>
      <c r="R4161" s="9">
        <v>1</v>
      </c>
      <c r="S4161" s="10">
        <v>200</v>
      </c>
      <c r="T4161" s="2">
        <f t="shared" ref="T4161:T4166" si="470">S4161*23%</f>
        <v>46</v>
      </c>
      <c r="U4161" s="10">
        <f t="shared" ref="U4161:U4166" si="471">S4161+T4161</f>
        <v>246</v>
      </c>
      <c r="V4161" s="2">
        <f>110.125+11.77</f>
        <v>121.895</v>
      </c>
      <c r="W4161" s="5">
        <f t="shared" ref="W4161:W4166" si="472">(S4161-V4161)/S4161</f>
        <v>0.39052500000000001</v>
      </c>
      <c r="Y4161" s="2" t="s">
        <v>3256</v>
      </c>
      <c r="Z4161" s="2" t="s">
        <v>76</v>
      </c>
      <c r="AA4161" s="2" t="s">
        <v>77</v>
      </c>
      <c r="AB4161" s="2" t="s">
        <v>78</v>
      </c>
      <c r="AE4161" s="2">
        <f>AI4161</f>
        <v>0</v>
      </c>
      <c r="AF4161" s="2">
        <f>110.125+11.77</f>
        <v>121.895</v>
      </c>
      <c r="AG4161" s="2">
        <v>220</v>
      </c>
      <c r="AH4161" s="2"/>
      <c r="AI4161" s="2">
        <f t="shared" ref="AI4161:AI4166" si="473">AH4161*S4161</f>
        <v>0</v>
      </c>
      <c r="AJ4161" s="2">
        <f t="shared" ref="AJ4161:AJ4166" si="474">S4161-V4161</f>
        <v>78.105000000000004</v>
      </c>
      <c r="AK4161" s="5">
        <f t="shared" ref="AK4161:AK4166" si="475">(S4161-V4161)/S4161</f>
        <v>0.39052500000000001</v>
      </c>
    </row>
    <row r="4162" spans="1:37" x14ac:dyDescent="0.2">
      <c r="A4162" s="8">
        <v>2026</v>
      </c>
      <c r="B4162" s="8">
        <v>6</v>
      </c>
      <c r="C4162" s="2" t="s">
        <v>1386</v>
      </c>
      <c r="D4162" s="2" t="s">
        <v>38</v>
      </c>
      <c r="E4162" s="2" t="s">
        <v>39</v>
      </c>
      <c r="F4162" s="2">
        <v>503116670</v>
      </c>
      <c r="G4162" s="2" t="s">
        <v>41</v>
      </c>
      <c r="H4162" s="2" t="s">
        <v>1387</v>
      </c>
      <c r="I4162" s="2" t="s">
        <v>1388</v>
      </c>
      <c r="J4162" s="2">
        <v>962004640</v>
      </c>
      <c r="K4162" s="2" t="s">
        <v>422</v>
      </c>
      <c r="L4162" s="2" t="s">
        <v>81</v>
      </c>
      <c r="O4162" s="2" t="s">
        <v>94</v>
      </c>
      <c r="P4162" s="2" t="s">
        <v>95</v>
      </c>
      <c r="Q4162" s="2" t="s">
        <v>96</v>
      </c>
      <c r="R4162" s="9">
        <v>1</v>
      </c>
      <c r="S4162" s="10">
        <v>1.48</v>
      </c>
      <c r="T4162" s="2">
        <f t="shared" si="470"/>
        <v>0.34040000000000004</v>
      </c>
      <c r="U4162" s="10">
        <f t="shared" si="471"/>
        <v>1.8204</v>
      </c>
      <c r="V4162" s="2">
        <f>1.48*R4162</f>
        <v>1.48</v>
      </c>
      <c r="W4162" s="5">
        <f t="shared" si="472"/>
        <v>0</v>
      </c>
      <c r="Y4162" s="2" t="s">
        <v>3256</v>
      </c>
      <c r="Z4162" s="2" t="s">
        <v>97</v>
      </c>
      <c r="AA4162" s="2" t="s">
        <v>77</v>
      </c>
      <c r="AB4162" s="2" t="s">
        <v>94</v>
      </c>
      <c r="AE4162" s="2">
        <f>AI4162</f>
        <v>0</v>
      </c>
      <c r="AF4162" s="2">
        <v>1.48</v>
      </c>
      <c r="AG4162" s="2">
        <v>1.48</v>
      </c>
      <c r="AH4162" s="2"/>
      <c r="AI4162" s="2">
        <f t="shared" si="473"/>
        <v>0</v>
      </c>
      <c r="AJ4162" s="2">
        <f t="shared" si="474"/>
        <v>0</v>
      </c>
      <c r="AK4162" s="5">
        <f t="shared" si="475"/>
        <v>0</v>
      </c>
    </row>
    <row r="4163" spans="1:37" x14ac:dyDescent="0.2">
      <c r="A4163" s="8">
        <v>2026</v>
      </c>
      <c r="B4163" s="8">
        <v>6</v>
      </c>
      <c r="C4163" s="2" t="s">
        <v>3125</v>
      </c>
      <c r="L4163" s="2" t="s">
        <v>40</v>
      </c>
      <c r="O4163" s="2" t="s">
        <v>188</v>
      </c>
      <c r="P4163" s="2" t="s">
        <v>189</v>
      </c>
      <c r="Q4163" s="2" t="s">
        <v>190</v>
      </c>
      <c r="R4163" s="9">
        <v>1</v>
      </c>
      <c r="S4163" s="10">
        <v>137</v>
      </c>
      <c r="T4163" s="2">
        <f t="shared" si="470"/>
        <v>31.51</v>
      </c>
      <c r="U4163" s="2">
        <f t="shared" si="471"/>
        <v>168.51</v>
      </c>
      <c r="V4163" s="2">
        <f>S4163*40%</f>
        <v>54.800000000000004</v>
      </c>
      <c r="W4163" s="5">
        <f t="shared" si="472"/>
        <v>0.59999999999999987</v>
      </c>
      <c r="Y4163" s="2" t="s">
        <v>118</v>
      </c>
      <c r="Z4163" s="2" t="s">
        <v>191</v>
      </c>
      <c r="AF4163" s="2">
        <f>V4163</f>
        <v>54.800000000000004</v>
      </c>
      <c r="AH4163" s="2"/>
      <c r="AI4163" s="2">
        <f t="shared" si="473"/>
        <v>0</v>
      </c>
      <c r="AJ4163" s="2">
        <f t="shared" si="474"/>
        <v>82.199999999999989</v>
      </c>
      <c r="AK4163" s="5">
        <f t="shared" si="475"/>
        <v>0.59999999999999987</v>
      </c>
    </row>
    <row r="4164" spans="1:37" x14ac:dyDescent="0.2">
      <c r="A4164" s="8">
        <v>2026</v>
      </c>
      <c r="B4164" s="8">
        <v>6</v>
      </c>
      <c r="C4164" s="2" t="s">
        <v>3125</v>
      </c>
      <c r="L4164" s="2" t="s">
        <v>40</v>
      </c>
      <c r="O4164" s="2" t="s">
        <v>188</v>
      </c>
      <c r="P4164" s="2" t="s">
        <v>192</v>
      </c>
      <c r="Q4164" s="2" t="s">
        <v>191</v>
      </c>
      <c r="R4164" s="9">
        <v>1.5</v>
      </c>
      <c r="S4164" s="10">
        <v>82.5</v>
      </c>
      <c r="T4164" s="2">
        <f t="shared" si="470"/>
        <v>18.975000000000001</v>
      </c>
      <c r="U4164" s="2">
        <f t="shared" si="471"/>
        <v>101.47499999999999</v>
      </c>
      <c r="V4164" s="2">
        <f>S4164*50%</f>
        <v>41.25</v>
      </c>
      <c r="W4164" s="5">
        <f t="shared" si="472"/>
        <v>0.5</v>
      </c>
      <c r="Y4164" s="2" t="s">
        <v>118</v>
      </c>
      <c r="Z4164" s="2" t="s">
        <v>191</v>
      </c>
      <c r="AE4164" s="2">
        <f>AI4164</f>
        <v>0</v>
      </c>
      <c r="AF4164" s="2">
        <f>V4164</f>
        <v>41.25</v>
      </c>
      <c r="AH4164" s="2"/>
      <c r="AI4164" s="2">
        <f t="shared" si="473"/>
        <v>0</v>
      </c>
      <c r="AJ4164" s="2">
        <f t="shared" si="474"/>
        <v>41.25</v>
      </c>
      <c r="AK4164" s="5">
        <f t="shared" si="475"/>
        <v>0.5</v>
      </c>
    </row>
    <row r="4165" spans="1:37" x14ac:dyDescent="0.2">
      <c r="A4165" s="8">
        <v>2026</v>
      </c>
      <c r="B4165" s="8">
        <v>6</v>
      </c>
      <c r="C4165" s="2" t="s">
        <v>1251</v>
      </c>
      <c r="O4165" s="2" t="s">
        <v>73</v>
      </c>
      <c r="P4165" s="2" t="s">
        <v>382</v>
      </c>
      <c r="Q4165" s="2" t="s">
        <v>383</v>
      </c>
      <c r="R4165" s="9">
        <v>1</v>
      </c>
      <c r="S4165" s="10">
        <v>270</v>
      </c>
      <c r="T4165" s="2">
        <f t="shared" si="470"/>
        <v>62.1</v>
      </c>
      <c r="U4165" s="10">
        <f t="shared" si="471"/>
        <v>332.1</v>
      </c>
      <c r="W4165" s="5">
        <f t="shared" si="472"/>
        <v>1</v>
      </c>
      <c r="Y4165" s="2" t="s">
        <v>3256</v>
      </c>
      <c r="Z4165" s="2" t="s">
        <v>76</v>
      </c>
      <c r="AA4165" s="2" t="s">
        <v>77</v>
      </c>
      <c r="AB4165" s="2" t="s">
        <v>78</v>
      </c>
      <c r="AE4165" s="2">
        <f>AI4165</f>
        <v>0</v>
      </c>
      <c r="AF4165" s="2">
        <v>125.51600000000001</v>
      </c>
      <c r="AG4165" s="2">
        <v>220</v>
      </c>
      <c r="AH4165" s="2"/>
      <c r="AI4165" s="2">
        <f t="shared" si="473"/>
        <v>0</v>
      </c>
      <c r="AJ4165" s="2">
        <f t="shared" si="474"/>
        <v>270</v>
      </c>
      <c r="AK4165" s="5">
        <f t="shared" si="475"/>
        <v>1</v>
      </c>
    </row>
    <row r="4166" spans="1:37" x14ac:dyDescent="0.2">
      <c r="A4166" s="8">
        <v>2026</v>
      </c>
      <c r="B4166" s="8">
        <v>6</v>
      </c>
      <c r="C4166" s="2" t="s">
        <v>1251</v>
      </c>
      <c r="O4166" s="2" t="s">
        <v>94</v>
      </c>
      <c r="P4166" s="2" t="s">
        <v>95</v>
      </c>
      <c r="Q4166" s="2" t="s">
        <v>96</v>
      </c>
      <c r="R4166" s="9">
        <v>1</v>
      </c>
      <c r="S4166" s="10">
        <v>1.48</v>
      </c>
      <c r="T4166" s="2">
        <f t="shared" si="470"/>
        <v>0.34040000000000004</v>
      </c>
      <c r="U4166" s="10">
        <f t="shared" si="471"/>
        <v>1.8204</v>
      </c>
      <c r="V4166" s="2">
        <f>1.48*R4166</f>
        <v>1.48</v>
      </c>
      <c r="W4166" s="5">
        <f t="shared" si="472"/>
        <v>0</v>
      </c>
      <c r="Y4166" s="2" t="s">
        <v>3256</v>
      </c>
      <c r="Z4166" s="2" t="s">
        <v>97</v>
      </c>
      <c r="AA4166" s="2" t="s">
        <v>77</v>
      </c>
      <c r="AB4166" s="2" t="s">
        <v>94</v>
      </c>
      <c r="AE4166" s="2">
        <f>AI4166</f>
        <v>0</v>
      </c>
      <c r="AF4166" s="2">
        <v>1.48</v>
      </c>
      <c r="AG4166" s="2">
        <v>1.48</v>
      </c>
      <c r="AH4166" s="2"/>
      <c r="AI4166" s="2">
        <f t="shared" si="473"/>
        <v>0</v>
      </c>
      <c r="AJ4166" s="2">
        <f t="shared" si="474"/>
        <v>0</v>
      </c>
      <c r="AK4166" s="5">
        <f t="shared" si="475"/>
        <v>0</v>
      </c>
    </row>
    <row r="4167" spans="1:37" x14ac:dyDescent="0.2">
      <c r="A4167" s="8">
        <v>2026</v>
      </c>
      <c r="B4167" s="8">
        <v>6</v>
      </c>
      <c r="C4167" s="2" t="s">
        <v>455</v>
      </c>
      <c r="O4167" s="2" t="s">
        <v>115</v>
      </c>
      <c r="P4167" s="2" t="s">
        <v>785</v>
      </c>
      <c r="Q4167" s="2" t="s">
        <v>786</v>
      </c>
      <c r="R4167" s="9">
        <v>2</v>
      </c>
      <c r="S4167" s="10">
        <v>134.72</v>
      </c>
      <c r="W4167" s="2"/>
      <c r="AH4167" s="2"/>
      <c r="AK4167" s="2"/>
    </row>
    <row r="4168" spans="1:37" x14ac:dyDescent="0.2">
      <c r="A4168" s="8">
        <v>2026</v>
      </c>
      <c r="B4168" s="8">
        <v>6</v>
      </c>
      <c r="C4168" s="2" t="s">
        <v>455</v>
      </c>
      <c r="L4168" s="2" t="s">
        <v>40</v>
      </c>
      <c r="O4168" s="2" t="s">
        <v>188</v>
      </c>
      <c r="P4168" s="2" t="s">
        <v>189</v>
      </c>
      <c r="Q4168" s="2" t="s">
        <v>190</v>
      </c>
      <c r="R4168" s="9">
        <v>4</v>
      </c>
      <c r="S4168" s="10">
        <v>601.5</v>
      </c>
      <c r="T4168" s="2">
        <f>S4168*23%</f>
        <v>138.345</v>
      </c>
      <c r="U4168" s="2">
        <f>S4168+T4168</f>
        <v>739.84500000000003</v>
      </c>
      <c r="V4168" s="2">
        <f>S4168*40%</f>
        <v>240.60000000000002</v>
      </c>
      <c r="W4168" s="5">
        <f>(S4168-V4168)/S4168</f>
        <v>0.6</v>
      </c>
      <c r="Y4168" s="2" t="s">
        <v>118</v>
      </c>
      <c r="Z4168" s="2" t="s">
        <v>191</v>
      </c>
      <c r="AF4168" s="2">
        <f>V4168</f>
        <v>240.60000000000002</v>
      </c>
      <c r="AH4168" s="2"/>
      <c r="AI4168" s="2">
        <f>AH4168*S4168</f>
        <v>0</v>
      </c>
      <c r="AJ4168" s="2">
        <f>S4168-V4168</f>
        <v>360.9</v>
      </c>
      <c r="AK4168" s="5">
        <f>(S4168-V4168)/S4168</f>
        <v>0.6</v>
      </c>
    </row>
    <row r="4169" spans="1:37" x14ac:dyDescent="0.2">
      <c r="A4169" s="8">
        <v>2026</v>
      </c>
      <c r="B4169" s="8">
        <v>6</v>
      </c>
      <c r="C4169" s="2" t="s">
        <v>455</v>
      </c>
      <c r="L4169" s="2" t="s">
        <v>40</v>
      </c>
      <c r="O4169" s="2" t="s">
        <v>188</v>
      </c>
      <c r="P4169" s="2" t="s">
        <v>192</v>
      </c>
      <c r="Q4169" s="2" t="s">
        <v>191</v>
      </c>
      <c r="R4169" s="9">
        <v>7.5</v>
      </c>
      <c r="S4169" s="10">
        <v>371.25</v>
      </c>
      <c r="T4169" s="2">
        <f>S4169*23%</f>
        <v>85.387500000000003</v>
      </c>
      <c r="U4169" s="2">
        <f>S4169+T4169</f>
        <v>456.63749999999999</v>
      </c>
      <c r="V4169" s="2">
        <f>S4169*50%</f>
        <v>185.625</v>
      </c>
      <c r="W4169" s="5">
        <f>(S4169-V4169)/S4169</f>
        <v>0.5</v>
      </c>
      <c r="Y4169" s="2" t="s">
        <v>118</v>
      </c>
      <c r="Z4169" s="2" t="s">
        <v>191</v>
      </c>
      <c r="AE4169" s="2">
        <f>AI4169</f>
        <v>0</v>
      </c>
      <c r="AF4169" s="2">
        <f>V4169</f>
        <v>185.625</v>
      </c>
      <c r="AH4169" s="2"/>
      <c r="AI4169" s="2">
        <f>AH4169*S4169</f>
        <v>0</v>
      </c>
      <c r="AJ4169" s="2">
        <f>S4169-V4169</f>
        <v>185.625</v>
      </c>
      <c r="AK4169" s="5">
        <f>(S4169-V4169)/S4169</f>
        <v>0.5</v>
      </c>
    </row>
    <row r="4170" spans="1:37" x14ac:dyDescent="0.2">
      <c r="A4170" s="8">
        <v>2026</v>
      </c>
      <c r="B4170" s="8">
        <v>6</v>
      </c>
      <c r="C4170" s="2" t="s">
        <v>455</v>
      </c>
      <c r="O4170" s="2" t="s">
        <v>40</v>
      </c>
      <c r="P4170" s="2" t="s">
        <v>364</v>
      </c>
      <c r="Q4170" s="2" t="s">
        <v>365</v>
      </c>
      <c r="R4170" s="9">
        <v>1</v>
      </c>
      <c r="S4170" s="10">
        <v>27</v>
      </c>
      <c r="W4170" s="2"/>
      <c r="AH4170" s="2"/>
      <c r="AK4170" s="2"/>
    </row>
    <row r="4171" spans="1:37" x14ac:dyDescent="0.2">
      <c r="A4171" s="8">
        <v>2026</v>
      </c>
      <c r="B4171" s="8">
        <v>6</v>
      </c>
      <c r="C4171" s="2" t="s">
        <v>462</v>
      </c>
      <c r="O4171" s="2" t="s">
        <v>283</v>
      </c>
      <c r="P4171" s="2" t="s">
        <v>404</v>
      </c>
      <c r="Q4171" s="2" t="s">
        <v>405</v>
      </c>
      <c r="R4171" s="9">
        <v>8</v>
      </c>
      <c r="S4171" s="10">
        <v>192</v>
      </c>
      <c r="W4171" s="2"/>
      <c r="Y4171" s="2" t="s">
        <v>3256</v>
      </c>
      <c r="AH4171" s="2"/>
      <c r="AK4171" s="2"/>
    </row>
    <row r="4172" spans="1:37" x14ac:dyDescent="0.2">
      <c r="A4172" s="8">
        <v>2026</v>
      </c>
      <c r="B4172" s="8">
        <v>6</v>
      </c>
      <c r="C4172" s="2" t="s">
        <v>462</v>
      </c>
      <c r="O4172" s="2" t="s">
        <v>43</v>
      </c>
      <c r="P4172" s="2" t="s">
        <v>255</v>
      </c>
      <c r="Q4172" s="2" t="s">
        <v>256</v>
      </c>
      <c r="R4172" s="9">
        <v>500</v>
      </c>
      <c r="S4172" s="10">
        <v>70</v>
      </c>
      <c r="T4172" s="2">
        <f>S4172*23%</f>
        <v>16.100000000000001</v>
      </c>
      <c r="U4172" s="10">
        <f>S4172+T4172</f>
        <v>86.1</v>
      </c>
      <c r="W4172" s="5">
        <f>(S4172-V4172)/S4172</f>
        <v>1</v>
      </c>
      <c r="Y4172" s="2" t="s">
        <v>3256</v>
      </c>
      <c r="Z4172" s="2" t="s">
        <v>46</v>
      </c>
      <c r="AA4172" s="2" t="s">
        <v>61</v>
      </c>
      <c r="AB4172" s="2" t="s">
        <v>58</v>
      </c>
      <c r="AH4172" s="2"/>
      <c r="AK4172" s="2"/>
    </row>
    <row r="4173" spans="1:37" x14ac:dyDescent="0.2">
      <c r="A4173" s="8">
        <v>2026</v>
      </c>
      <c r="B4173" s="8">
        <v>6</v>
      </c>
      <c r="C4173" s="2" t="s">
        <v>2165</v>
      </c>
      <c r="O4173" s="2" t="s">
        <v>73</v>
      </c>
      <c r="P4173" s="2" t="s">
        <v>838</v>
      </c>
      <c r="Q4173" s="2" t="s">
        <v>75</v>
      </c>
      <c r="R4173" s="9">
        <v>1</v>
      </c>
      <c r="S4173" s="10">
        <v>200</v>
      </c>
      <c r="T4173" s="2">
        <f>S4173*23%</f>
        <v>46</v>
      </c>
      <c r="U4173" s="10">
        <f>S4173+T4173</f>
        <v>246</v>
      </c>
      <c r="V4173" s="2">
        <v>120.636</v>
      </c>
      <c r="W4173" s="5">
        <f>(S4173-V4173)/S4173</f>
        <v>0.39682000000000001</v>
      </c>
      <c r="Y4173" s="2" t="s">
        <v>3256</v>
      </c>
      <c r="Z4173" s="2" t="s">
        <v>76</v>
      </c>
      <c r="AA4173" s="2" t="s">
        <v>77</v>
      </c>
      <c r="AB4173" s="2" t="s">
        <v>78</v>
      </c>
      <c r="AE4173" s="2">
        <f>AI4173</f>
        <v>0</v>
      </c>
      <c r="AF4173" s="2">
        <v>125.51600000000001</v>
      </c>
      <c r="AG4173" s="2">
        <v>220</v>
      </c>
      <c r="AH4173" s="2"/>
      <c r="AI4173" s="2">
        <f>AH4173*S4173</f>
        <v>0</v>
      </c>
      <c r="AJ4173" s="2">
        <f>S4173-V4173</f>
        <v>79.364000000000004</v>
      </c>
      <c r="AK4173" s="5">
        <f>(S4173-V4173)/S4173</f>
        <v>0.39682000000000001</v>
      </c>
    </row>
    <row r="4174" spans="1:37" x14ac:dyDescent="0.2">
      <c r="A4174" s="8">
        <v>2026</v>
      </c>
      <c r="B4174" s="8">
        <v>6</v>
      </c>
      <c r="C4174" s="2" t="s">
        <v>2165</v>
      </c>
      <c r="O4174" s="2" t="s">
        <v>170</v>
      </c>
      <c r="P4174" s="2" t="s">
        <v>171</v>
      </c>
      <c r="Q4174" s="2" t="s">
        <v>171</v>
      </c>
      <c r="R4174" s="9">
        <v>1</v>
      </c>
      <c r="S4174" s="10">
        <v>30</v>
      </c>
      <c r="W4174" s="2"/>
      <c r="AH4174" s="2"/>
      <c r="AK4174" s="2"/>
    </row>
    <row r="4175" spans="1:37" x14ac:dyDescent="0.2">
      <c r="A4175" s="8">
        <v>2026</v>
      </c>
      <c r="B4175" s="8">
        <v>6</v>
      </c>
      <c r="C4175" s="2" t="s">
        <v>2165</v>
      </c>
      <c r="O4175" s="2" t="s">
        <v>94</v>
      </c>
      <c r="P4175" s="2" t="s">
        <v>95</v>
      </c>
      <c r="Q4175" s="2" t="s">
        <v>96</v>
      </c>
      <c r="R4175" s="9">
        <v>1</v>
      </c>
      <c r="S4175" s="10">
        <v>1.48</v>
      </c>
      <c r="T4175" s="2">
        <f t="shared" ref="T4175:T4181" si="476">S4175*23%</f>
        <v>0.34040000000000004</v>
      </c>
      <c r="U4175" s="10">
        <f>S4175+T4175</f>
        <v>1.8204</v>
      </c>
      <c r="V4175" s="2">
        <f>1.48*R4175</f>
        <v>1.48</v>
      </c>
      <c r="W4175" s="5">
        <f>(S4175-V4175)/S4175</f>
        <v>0</v>
      </c>
      <c r="Y4175" s="2" t="s">
        <v>3256</v>
      </c>
      <c r="Z4175" s="2" t="s">
        <v>97</v>
      </c>
      <c r="AA4175" s="2" t="s">
        <v>77</v>
      </c>
      <c r="AB4175" s="2" t="s">
        <v>94</v>
      </c>
      <c r="AE4175" s="2">
        <f>AI4175</f>
        <v>0</v>
      </c>
      <c r="AF4175" s="2">
        <v>1.48</v>
      </c>
      <c r="AG4175" s="2">
        <v>1.48</v>
      </c>
      <c r="AH4175" s="2"/>
      <c r="AI4175" s="2">
        <f>AH4175*S4175</f>
        <v>0</v>
      </c>
      <c r="AJ4175" s="2">
        <f>S4175-V4175</f>
        <v>0</v>
      </c>
      <c r="AK4175" s="5">
        <f>(S4175-V4175)/S4175</f>
        <v>0</v>
      </c>
    </row>
    <row r="4176" spans="1:37" x14ac:dyDescent="0.2">
      <c r="A4176" s="8">
        <v>2026</v>
      </c>
      <c r="B4176" s="8">
        <v>6</v>
      </c>
      <c r="C4176" s="2" t="s">
        <v>473</v>
      </c>
      <c r="D4176" s="2" t="s">
        <v>38</v>
      </c>
      <c r="E4176" s="2" t="s">
        <v>474</v>
      </c>
      <c r="F4176" s="2">
        <v>513626930</v>
      </c>
      <c r="G4176" s="2" t="s">
        <v>40</v>
      </c>
      <c r="H4176" s="2" t="s">
        <v>340</v>
      </c>
      <c r="I4176" s="2" t="s">
        <v>475</v>
      </c>
      <c r="K4176" s="2" t="s">
        <v>340</v>
      </c>
      <c r="L4176" s="2" t="s">
        <v>40</v>
      </c>
      <c r="N4176" s="2" t="s">
        <v>3257</v>
      </c>
      <c r="P4176" s="2" t="s">
        <v>2997</v>
      </c>
      <c r="Q4176" s="2" t="s">
        <v>2998</v>
      </c>
      <c r="R4176" s="9">
        <v>-1</v>
      </c>
      <c r="S4176" s="10">
        <v>-2460</v>
      </c>
      <c r="T4176" s="2">
        <f t="shared" si="476"/>
        <v>-565.80000000000007</v>
      </c>
      <c r="U4176" s="10">
        <f>S4176+T4176</f>
        <v>-3025.8</v>
      </c>
      <c r="W4176" s="2"/>
      <c r="Y4176" s="2" t="s">
        <v>105</v>
      </c>
      <c r="AH4176" s="2"/>
      <c r="AK4176" s="2"/>
    </row>
    <row r="4177" spans="1:37" x14ac:dyDescent="0.2">
      <c r="A4177" s="8">
        <v>2026</v>
      </c>
      <c r="B4177" s="8">
        <v>6</v>
      </c>
      <c r="C4177" s="2" t="s">
        <v>473</v>
      </c>
      <c r="D4177" s="2" t="s">
        <v>38</v>
      </c>
      <c r="E4177" s="2" t="s">
        <v>474</v>
      </c>
      <c r="F4177" s="2">
        <v>513626930</v>
      </c>
      <c r="G4177" s="2" t="s">
        <v>40</v>
      </c>
      <c r="H4177" s="2" t="s">
        <v>340</v>
      </c>
      <c r="I4177" s="2" t="s">
        <v>475</v>
      </c>
      <c r="K4177" s="2" t="s">
        <v>340</v>
      </c>
      <c r="L4177" s="2" t="s">
        <v>40</v>
      </c>
      <c r="N4177" s="2" t="s">
        <v>3259</v>
      </c>
      <c r="O4177" s="2" t="s">
        <v>1203</v>
      </c>
      <c r="P4177" s="2" t="s">
        <v>3082</v>
      </c>
      <c r="Q4177" s="2" t="s">
        <v>3083</v>
      </c>
      <c r="R4177" s="9">
        <v>1</v>
      </c>
      <c r="S4177" s="10">
        <v>5990</v>
      </c>
      <c r="T4177" s="2">
        <f t="shared" si="476"/>
        <v>1377.7</v>
      </c>
      <c r="U4177" s="10">
        <f>T4177+S4177</f>
        <v>7367.7</v>
      </c>
      <c r="W4177" s="2"/>
      <c r="Y4177" s="2" t="s">
        <v>105</v>
      </c>
      <c r="AH4177" s="2"/>
      <c r="AK4177" s="2"/>
    </row>
    <row r="4178" spans="1:37" x14ac:dyDescent="0.2">
      <c r="A4178" s="8">
        <v>2026</v>
      </c>
      <c r="B4178" s="8">
        <v>6</v>
      </c>
      <c r="C4178" s="2" t="s">
        <v>846</v>
      </c>
      <c r="D4178" s="2" t="s">
        <v>109</v>
      </c>
      <c r="E4178" s="2" t="s">
        <v>847</v>
      </c>
      <c r="F4178" s="2">
        <v>504981285</v>
      </c>
      <c r="G4178" s="2" t="s">
        <v>291</v>
      </c>
      <c r="H4178" s="2" t="s">
        <v>848</v>
      </c>
      <c r="I4178" s="2" t="s">
        <v>849</v>
      </c>
      <c r="J4178" s="2">
        <v>932209225</v>
      </c>
      <c r="K4178" s="2" t="s">
        <v>340</v>
      </c>
      <c r="L4178" s="2" t="s">
        <v>40</v>
      </c>
      <c r="O4178" s="2" t="s">
        <v>188</v>
      </c>
      <c r="P4178" s="2" t="s">
        <v>189</v>
      </c>
      <c r="Q4178" s="2" t="s">
        <v>190</v>
      </c>
      <c r="R4178" s="9">
        <v>1</v>
      </c>
      <c r="S4178" s="10">
        <v>60</v>
      </c>
      <c r="T4178" s="2">
        <f t="shared" si="476"/>
        <v>13.8</v>
      </c>
      <c r="U4178" s="2">
        <f>S4178+T4178</f>
        <v>73.8</v>
      </c>
      <c r="V4178" s="2">
        <f>S4178*40%</f>
        <v>24</v>
      </c>
      <c r="W4178" s="5">
        <f>(S4178-V4178)/S4178</f>
        <v>0.6</v>
      </c>
      <c r="Y4178" s="2" t="s">
        <v>118</v>
      </c>
      <c r="Z4178" s="2" t="s">
        <v>191</v>
      </c>
      <c r="AF4178" s="2">
        <f>V4178</f>
        <v>24</v>
      </c>
      <c r="AH4178" s="2"/>
      <c r="AI4178" s="2">
        <f>AH4178*S4178</f>
        <v>0</v>
      </c>
      <c r="AJ4178" s="2">
        <f>S4178-V4178</f>
        <v>36</v>
      </c>
      <c r="AK4178" s="5">
        <f>(S4178-V4178)/S4178</f>
        <v>0.6</v>
      </c>
    </row>
    <row r="4179" spans="1:37" x14ac:dyDescent="0.2">
      <c r="A4179" s="8">
        <v>2026</v>
      </c>
      <c r="B4179" s="8">
        <v>6</v>
      </c>
      <c r="C4179" s="2" t="s">
        <v>846</v>
      </c>
      <c r="D4179" s="2" t="s">
        <v>109</v>
      </c>
      <c r="E4179" s="2" t="s">
        <v>847</v>
      </c>
      <c r="F4179" s="2">
        <v>504981285</v>
      </c>
      <c r="G4179" s="2" t="s">
        <v>291</v>
      </c>
      <c r="H4179" s="2" t="s">
        <v>848</v>
      </c>
      <c r="I4179" s="2" t="s">
        <v>849</v>
      </c>
      <c r="J4179" s="2">
        <v>932209225</v>
      </c>
      <c r="K4179" s="2" t="s">
        <v>340</v>
      </c>
      <c r="L4179" s="2" t="s">
        <v>40</v>
      </c>
      <c r="O4179" s="2" t="s">
        <v>188</v>
      </c>
      <c r="P4179" s="2" t="s">
        <v>192</v>
      </c>
      <c r="Q4179" s="2" t="s">
        <v>191</v>
      </c>
      <c r="R4179" s="9">
        <v>2</v>
      </c>
      <c r="S4179" s="10">
        <v>110</v>
      </c>
      <c r="T4179" s="2">
        <f t="shared" si="476"/>
        <v>25.3</v>
      </c>
      <c r="U4179" s="2">
        <f>S4179+T4179</f>
        <v>135.30000000000001</v>
      </c>
      <c r="V4179" s="2">
        <f>S4179*50%</f>
        <v>55</v>
      </c>
      <c r="W4179" s="5">
        <f>(S4179-V4179)/S4179</f>
        <v>0.5</v>
      </c>
      <c r="Y4179" s="2" t="s">
        <v>118</v>
      </c>
      <c r="Z4179" s="2" t="s">
        <v>191</v>
      </c>
      <c r="AE4179" s="2">
        <f>AI4179</f>
        <v>0</v>
      </c>
      <c r="AF4179" s="2">
        <f>V4179</f>
        <v>55</v>
      </c>
      <c r="AH4179" s="2"/>
      <c r="AI4179" s="2">
        <f>AH4179*S4179</f>
        <v>0</v>
      </c>
      <c r="AJ4179" s="2">
        <f>S4179-V4179</f>
        <v>55</v>
      </c>
      <c r="AK4179" s="5">
        <f>(S4179-V4179)/S4179</f>
        <v>0.5</v>
      </c>
    </row>
    <row r="4180" spans="1:37" x14ac:dyDescent="0.2">
      <c r="A4180" s="8">
        <v>2026</v>
      </c>
      <c r="B4180" s="8">
        <v>6</v>
      </c>
      <c r="C4180" s="2" t="s">
        <v>3135</v>
      </c>
      <c r="L4180" s="2" t="s">
        <v>40</v>
      </c>
      <c r="O4180" s="2" t="s">
        <v>188</v>
      </c>
      <c r="P4180" s="2" t="s">
        <v>189</v>
      </c>
      <c r="Q4180" s="2" t="s">
        <v>190</v>
      </c>
      <c r="R4180" s="9">
        <v>2</v>
      </c>
      <c r="S4180" s="10">
        <v>92</v>
      </c>
      <c r="T4180" s="2">
        <f t="shared" si="476"/>
        <v>21.16</v>
      </c>
      <c r="U4180" s="2">
        <f>S4180+T4180</f>
        <v>113.16</v>
      </c>
      <c r="V4180" s="2">
        <f>S4180*40%</f>
        <v>36.800000000000004</v>
      </c>
      <c r="W4180" s="5">
        <f>(S4180-V4180)/S4180</f>
        <v>0.6</v>
      </c>
      <c r="Y4180" s="2" t="s">
        <v>118</v>
      </c>
      <c r="Z4180" s="2" t="s">
        <v>191</v>
      </c>
      <c r="AF4180" s="2">
        <f>V4180</f>
        <v>36.800000000000004</v>
      </c>
      <c r="AH4180" s="2"/>
      <c r="AI4180" s="2">
        <f>AH4180*S4180</f>
        <v>0</v>
      </c>
      <c r="AJ4180" s="2">
        <f>S4180-V4180</f>
        <v>55.199999999999996</v>
      </c>
      <c r="AK4180" s="5">
        <f>(S4180-V4180)/S4180</f>
        <v>0.6</v>
      </c>
    </row>
    <row r="4181" spans="1:37" x14ac:dyDescent="0.2">
      <c r="A4181" s="8">
        <v>2026</v>
      </c>
      <c r="B4181" s="8">
        <v>6</v>
      </c>
      <c r="C4181" s="2" t="s">
        <v>3135</v>
      </c>
      <c r="L4181" s="2" t="s">
        <v>40</v>
      </c>
      <c r="O4181" s="2" t="s">
        <v>188</v>
      </c>
      <c r="P4181" s="2" t="s">
        <v>192</v>
      </c>
      <c r="Q4181" s="2" t="s">
        <v>191</v>
      </c>
      <c r="R4181" s="9">
        <v>2</v>
      </c>
      <c r="S4181" s="10">
        <v>55</v>
      </c>
      <c r="T4181" s="2">
        <f t="shared" si="476"/>
        <v>12.65</v>
      </c>
      <c r="U4181" s="2">
        <f>S4181+T4181</f>
        <v>67.650000000000006</v>
      </c>
      <c r="V4181" s="2">
        <f>S4181*50%</f>
        <v>27.5</v>
      </c>
      <c r="W4181" s="5">
        <f>(S4181-V4181)/S4181</f>
        <v>0.5</v>
      </c>
      <c r="Y4181" s="2" t="s">
        <v>118</v>
      </c>
      <c r="Z4181" s="2" t="s">
        <v>191</v>
      </c>
      <c r="AE4181" s="2">
        <f>AI4181</f>
        <v>0</v>
      </c>
      <c r="AF4181" s="2">
        <f>V4181</f>
        <v>27.5</v>
      </c>
      <c r="AH4181" s="2"/>
      <c r="AI4181" s="2">
        <f>AH4181*S4181</f>
        <v>0</v>
      </c>
      <c r="AJ4181" s="2">
        <f>S4181-V4181</f>
        <v>27.5</v>
      </c>
      <c r="AK4181" s="5">
        <f>(S4181-V4181)/S4181</f>
        <v>0.5</v>
      </c>
    </row>
    <row r="4182" spans="1:37" x14ac:dyDescent="0.2">
      <c r="A4182" s="8">
        <v>2026</v>
      </c>
      <c r="B4182" s="8">
        <v>6</v>
      </c>
      <c r="C4182" s="2" t="s">
        <v>3135</v>
      </c>
      <c r="O4182" s="2" t="s">
        <v>40</v>
      </c>
      <c r="P4182" s="2" t="s">
        <v>364</v>
      </c>
      <c r="Q4182" s="2" t="s">
        <v>365</v>
      </c>
      <c r="R4182" s="9">
        <v>1</v>
      </c>
      <c r="S4182" s="10">
        <v>99.93</v>
      </c>
      <c r="W4182" s="2"/>
      <c r="AH4182" s="2"/>
      <c r="AK4182" s="2"/>
    </row>
    <row r="4183" spans="1:37" x14ac:dyDescent="0.2">
      <c r="A4183" s="8">
        <v>2026</v>
      </c>
      <c r="B4183" s="8">
        <v>6</v>
      </c>
      <c r="C4183" s="2" t="s">
        <v>1926</v>
      </c>
      <c r="O4183" s="2" t="s">
        <v>283</v>
      </c>
      <c r="P4183" s="2" t="s">
        <v>401</v>
      </c>
      <c r="Q4183" s="2" t="s">
        <v>402</v>
      </c>
      <c r="R4183" s="9">
        <v>4</v>
      </c>
      <c r="S4183" s="10">
        <v>100</v>
      </c>
      <c r="W4183" s="2"/>
      <c r="Y4183" s="2" t="s">
        <v>3256</v>
      </c>
      <c r="AH4183" s="2"/>
      <c r="AK4183" s="2"/>
    </row>
    <row r="4184" spans="1:37" x14ac:dyDescent="0.2">
      <c r="A4184" s="8">
        <v>2026</v>
      </c>
      <c r="B4184" s="8">
        <v>6</v>
      </c>
      <c r="C4184" s="2" t="s">
        <v>1926</v>
      </c>
      <c r="O4184" s="2" t="s">
        <v>283</v>
      </c>
      <c r="P4184" s="2" t="s">
        <v>404</v>
      </c>
      <c r="Q4184" s="2" t="s">
        <v>405</v>
      </c>
      <c r="R4184" s="9">
        <v>4</v>
      </c>
      <c r="S4184" s="10">
        <v>100</v>
      </c>
      <c r="W4184" s="2"/>
      <c r="Y4184" s="2" t="s">
        <v>3256</v>
      </c>
      <c r="AH4184" s="2"/>
      <c r="AK4184" s="2"/>
    </row>
    <row r="4185" spans="1:37" x14ac:dyDescent="0.2">
      <c r="A4185" s="8">
        <v>2026</v>
      </c>
      <c r="B4185" s="8">
        <v>6</v>
      </c>
      <c r="C4185" s="2" t="s">
        <v>492</v>
      </c>
      <c r="O4185" s="2" t="s">
        <v>40</v>
      </c>
      <c r="P4185" s="2" t="s">
        <v>495</v>
      </c>
      <c r="Q4185" s="2" t="s">
        <v>496</v>
      </c>
      <c r="R4185" s="9">
        <v>1</v>
      </c>
      <c r="S4185" s="10">
        <v>678.91</v>
      </c>
      <c r="W4185" s="2"/>
      <c r="AH4185" s="2"/>
      <c r="AK4185" s="2"/>
    </row>
    <row r="4186" spans="1:37" x14ac:dyDescent="0.2">
      <c r="A4186" s="8">
        <v>2026</v>
      </c>
      <c r="B4186" s="8">
        <v>6</v>
      </c>
      <c r="C4186" s="2" t="s">
        <v>3136</v>
      </c>
      <c r="L4186" s="2" t="s">
        <v>40</v>
      </c>
      <c r="O4186" s="2" t="s">
        <v>188</v>
      </c>
      <c r="P4186" s="2" t="s">
        <v>189</v>
      </c>
      <c r="Q4186" s="2" t="s">
        <v>190</v>
      </c>
      <c r="R4186" s="9">
        <v>1</v>
      </c>
      <c r="S4186" s="10">
        <v>60</v>
      </c>
      <c r="T4186" s="2">
        <f>S4186*23%</f>
        <v>13.8</v>
      </c>
      <c r="U4186" s="2">
        <f>S4186+T4186</f>
        <v>73.8</v>
      </c>
      <c r="V4186" s="2">
        <f>S4186*40%</f>
        <v>24</v>
      </c>
      <c r="W4186" s="5">
        <f>(S4186-V4186)/S4186</f>
        <v>0.6</v>
      </c>
      <c r="Y4186" s="2" t="s">
        <v>118</v>
      </c>
      <c r="Z4186" s="2" t="s">
        <v>191</v>
      </c>
      <c r="AF4186" s="2">
        <f>V4186</f>
        <v>24</v>
      </c>
      <c r="AH4186" s="2"/>
      <c r="AI4186" s="2">
        <f>AH4186*S4186</f>
        <v>0</v>
      </c>
      <c r="AJ4186" s="2">
        <f>S4186-V4186</f>
        <v>36</v>
      </c>
      <c r="AK4186" s="5">
        <f>(S4186-V4186)/S4186</f>
        <v>0.6</v>
      </c>
    </row>
    <row r="4187" spans="1:37" x14ac:dyDescent="0.2">
      <c r="A4187" s="8">
        <v>2026</v>
      </c>
      <c r="B4187" s="8">
        <v>6</v>
      </c>
      <c r="C4187" s="2" t="s">
        <v>3136</v>
      </c>
      <c r="L4187" s="2" t="s">
        <v>40</v>
      </c>
      <c r="O4187" s="2" t="s">
        <v>188</v>
      </c>
      <c r="P4187" s="2" t="s">
        <v>192</v>
      </c>
      <c r="Q4187" s="2" t="s">
        <v>191</v>
      </c>
      <c r="R4187" s="9">
        <v>4</v>
      </c>
      <c r="S4187" s="10">
        <v>220</v>
      </c>
      <c r="T4187" s="2">
        <f>S4187*23%</f>
        <v>50.6</v>
      </c>
      <c r="U4187" s="2">
        <f>S4187+T4187</f>
        <v>270.60000000000002</v>
      </c>
      <c r="V4187" s="2">
        <f>S4187*50%</f>
        <v>110</v>
      </c>
      <c r="W4187" s="5">
        <f>(S4187-V4187)/S4187</f>
        <v>0.5</v>
      </c>
      <c r="Y4187" s="2" t="s">
        <v>118</v>
      </c>
      <c r="Z4187" s="2" t="s">
        <v>191</v>
      </c>
      <c r="AE4187" s="2">
        <f>AI4187</f>
        <v>0</v>
      </c>
      <c r="AF4187" s="2">
        <f>V4187</f>
        <v>110</v>
      </c>
      <c r="AH4187" s="2"/>
      <c r="AI4187" s="2">
        <f>AH4187*S4187</f>
        <v>0</v>
      </c>
      <c r="AJ4187" s="2">
        <f>S4187-V4187</f>
        <v>110</v>
      </c>
      <c r="AK4187" s="5">
        <f>(S4187-V4187)/S4187</f>
        <v>0.5</v>
      </c>
    </row>
    <row r="4188" spans="1:37" x14ac:dyDescent="0.2">
      <c r="A4188" s="8">
        <v>2026</v>
      </c>
      <c r="B4188" s="8">
        <v>6</v>
      </c>
      <c r="C4188" s="2" t="s">
        <v>1409</v>
      </c>
      <c r="D4188" s="2" t="s">
        <v>38</v>
      </c>
      <c r="E4188" s="2" t="s">
        <v>39</v>
      </c>
      <c r="F4188" s="2">
        <v>509014313</v>
      </c>
      <c r="G4188" s="2" t="s">
        <v>40</v>
      </c>
      <c r="H4188" s="2" t="s">
        <v>3246</v>
      </c>
      <c r="I4188" s="2" t="s">
        <v>3245</v>
      </c>
      <c r="J4188" s="2">
        <v>913814877</v>
      </c>
      <c r="K4188" s="2" t="s">
        <v>202</v>
      </c>
      <c r="L4188" s="2" t="s">
        <v>81</v>
      </c>
      <c r="N4188" s="2" t="s">
        <v>3244</v>
      </c>
      <c r="O4188" s="2" t="s">
        <v>43</v>
      </c>
      <c r="P4188" s="2" t="s">
        <v>55</v>
      </c>
      <c r="Q4188" s="2" t="s">
        <v>56</v>
      </c>
      <c r="R4188" s="9">
        <v>3</v>
      </c>
      <c r="S4188" s="10">
        <v>54</v>
      </c>
      <c r="T4188" s="2">
        <f>S4188*23%</f>
        <v>12.42</v>
      </c>
      <c r="U4188" s="10">
        <f>S4188+T4188</f>
        <v>66.42</v>
      </c>
      <c r="V4188" s="2">
        <f>10.6*R4188</f>
        <v>31.799999999999997</v>
      </c>
      <c r="W4188" s="5">
        <f>(S4188-V4188)/S4188</f>
        <v>0.41111111111111115</v>
      </c>
      <c r="Y4188" s="2" t="s">
        <v>3256</v>
      </c>
      <c r="Z4188" s="2" t="s">
        <v>46</v>
      </c>
      <c r="AA4188" s="2" t="s">
        <v>57</v>
      </c>
      <c r="AB4188" s="2" t="s">
        <v>58</v>
      </c>
      <c r="AE4188" s="2">
        <f>AI4188</f>
        <v>0</v>
      </c>
      <c r="AF4188" s="2">
        <v>10.6</v>
      </c>
      <c r="AH4188" s="2"/>
      <c r="AI4188" s="2">
        <f>AH4188*S4188</f>
        <v>0</v>
      </c>
      <c r="AJ4188" s="2">
        <f>S4188-V4188</f>
        <v>22.200000000000003</v>
      </c>
      <c r="AK4188" s="5">
        <f>(S4188-V4188)/S4188</f>
        <v>0.41111111111111115</v>
      </c>
    </row>
    <row r="4189" spans="1:37" x14ac:dyDescent="0.2">
      <c r="A4189" s="8">
        <v>2026</v>
      </c>
      <c r="B4189" s="8">
        <v>6</v>
      </c>
      <c r="C4189" s="2" t="s">
        <v>1409</v>
      </c>
      <c r="D4189" s="2" t="s">
        <v>38</v>
      </c>
      <c r="E4189" s="2" t="s">
        <v>39</v>
      </c>
      <c r="F4189" s="2">
        <v>509014313</v>
      </c>
      <c r="G4189" s="2" t="s">
        <v>40</v>
      </c>
      <c r="H4189" s="2" t="s">
        <v>3246</v>
      </c>
      <c r="I4189" s="2" t="s">
        <v>3245</v>
      </c>
      <c r="J4189" s="2">
        <v>913814877</v>
      </c>
      <c r="K4189" s="2" t="s">
        <v>202</v>
      </c>
      <c r="L4189" s="2" t="s">
        <v>81</v>
      </c>
      <c r="N4189" s="2" t="s">
        <v>3244</v>
      </c>
      <c r="O4189" s="2" t="s">
        <v>170</v>
      </c>
      <c r="P4189" s="2" t="s">
        <v>171</v>
      </c>
      <c r="Q4189" s="2" t="s">
        <v>171</v>
      </c>
      <c r="R4189" s="9">
        <v>1</v>
      </c>
      <c r="S4189" s="10">
        <v>8</v>
      </c>
      <c r="T4189" s="2">
        <f>S4189*23%</f>
        <v>1.84</v>
      </c>
      <c r="U4189" s="10">
        <f>S4189+T4189</f>
        <v>9.84</v>
      </c>
      <c r="W4189" s="5">
        <f>(S4189-V4189)/S4189</f>
        <v>1</v>
      </c>
      <c r="Y4189" s="2" t="s">
        <v>170</v>
      </c>
      <c r="Z4189" s="2" t="s">
        <v>170</v>
      </c>
      <c r="AH4189" s="2"/>
      <c r="AK4189" s="2"/>
    </row>
    <row r="4190" spans="1:37" x14ac:dyDescent="0.2">
      <c r="A4190" s="8">
        <v>2026</v>
      </c>
      <c r="B4190" s="8">
        <v>6</v>
      </c>
      <c r="C4190" s="2" t="s">
        <v>2454</v>
      </c>
      <c r="O4190" s="2" t="s">
        <v>43</v>
      </c>
      <c r="P4190" s="2" t="s">
        <v>2891</v>
      </c>
      <c r="Q4190" s="2" t="s">
        <v>2892</v>
      </c>
      <c r="R4190" s="9">
        <v>2</v>
      </c>
      <c r="S4190" s="10">
        <v>100</v>
      </c>
      <c r="T4190" s="2">
        <f>S4190*23%</f>
        <v>23</v>
      </c>
      <c r="U4190" s="10">
        <f>S4190+T4190</f>
        <v>123</v>
      </c>
      <c r="W4190" s="5">
        <f>(S4190-V4190)/S4190</f>
        <v>1</v>
      </c>
      <c r="Y4190" s="2" t="s">
        <v>3256</v>
      </c>
      <c r="Z4190" s="2" t="s">
        <v>46</v>
      </c>
      <c r="AH4190" s="2"/>
      <c r="AK4190" s="2"/>
    </row>
    <row r="4191" spans="1:37" x14ac:dyDescent="0.2">
      <c r="A4191" s="8">
        <v>2026</v>
      </c>
      <c r="B4191" s="8">
        <v>6</v>
      </c>
      <c r="C4191" s="2" t="s">
        <v>2454</v>
      </c>
      <c r="O4191" s="2" t="s">
        <v>170</v>
      </c>
      <c r="P4191" s="2" t="s">
        <v>171</v>
      </c>
      <c r="Q4191" s="2" t="s">
        <v>171</v>
      </c>
      <c r="R4191" s="9">
        <v>1</v>
      </c>
      <c r="S4191" s="10">
        <v>8</v>
      </c>
      <c r="W4191" s="2"/>
      <c r="Y4191" s="2" t="s">
        <v>170</v>
      </c>
      <c r="AH4191" s="2"/>
      <c r="AK4191" s="2"/>
    </row>
    <row r="4192" spans="1:37" x14ac:dyDescent="0.2">
      <c r="A4192" s="8">
        <v>2026</v>
      </c>
      <c r="B4192" s="8">
        <v>6</v>
      </c>
      <c r="C4192" s="2" t="s">
        <v>3004</v>
      </c>
      <c r="D4192" s="2" t="s">
        <v>109</v>
      </c>
      <c r="E4192" s="2" t="s">
        <v>39</v>
      </c>
      <c r="F4192" s="2">
        <v>510594778</v>
      </c>
      <c r="G4192" s="2" t="s">
        <v>41</v>
      </c>
      <c r="H4192" s="2" t="s">
        <v>3005</v>
      </c>
      <c r="I4192" s="2" t="s">
        <v>1111</v>
      </c>
      <c r="J4192" s="2">
        <v>934645042</v>
      </c>
      <c r="K4192" s="2" t="s">
        <v>100</v>
      </c>
      <c r="O4192" s="2" t="s">
        <v>115</v>
      </c>
      <c r="P4192" s="2" t="s">
        <v>797</v>
      </c>
      <c r="Q4192" s="2" t="s">
        <v>798</v>
      </c>
      <c r="R4192" s="9">
        <v>-1</v>
      </c>
      <c r="S4192" s="10">
        <v>-187.92</v>
      </c>
      <c r="W4192" s="2"/>
      <c r="AH4192" s="2"/>
      <c r="AK4192" s="2"/>
    </row>
    <row r="4193" spans="1:37" x14ac:dyDescent="0.2">
      <c r="A4193" s="8">
        <v>2026</v>
      </c>
      <c r="B4193" s="8">
        <v>6</v>
      </c>
      <c r="C4193" s="2" t="s">
        <v>3004</v>
      </c>
      <c r="D4193" s="2" t="s">
        <v>109</v>
      </c>
      <c r="E4193" s="2" t="s">
        <v>39</v>
      </c>
      <c r="F4193" s="2">
        <v>510594778</v>
      </c>
      <c r="G4193" s="2" t="s">
        <v>41</v>
      </c>
      <c r="H4193" s="2" t="s">
        <v>3005</v>
      </c>
      <c r="I4193" s="2" t="s">
        <v>1111</v>
      </c>
      <c r="J4193" s="2">
        <v>934645042</v>
      </c>
      <c r="K4193" s="2" t="s">
        <v>100</v>
      </c>
      <c r="O4193" s="2" t="s">
        <v>115</v>
      </c>
      <c r="P4193" s="2" t="s">
        <v>801</v>
      </c>
      <c r="Q4193" s="2" t="s">
        <v>3007</v>
      </c>
      <c r="R4193" s="9">
        <v>-1</v>
      </c>
      <c r="S4193" s="10">
        <v>-28.38</v>
      </c>
      <c r="W4193" s="2"/>
      <c r="AH4193" s="2"/>
      <c r="AK4193" s="2"/>
    </row>
    <row r="4194" spans="1:37" x14ac:dyDescent="0.2">
      <c r="A4194" s="8">
        <v>2026</v>
      </c>
      <c r="B4194" s="8">
        <v>6</v>
      </c>
      <c r="C4194" s="2" t="s">
        <v>3004</v>
      </c>
      <c r="D4194" s="2" t="s">
        <v>109</v>
      </c>
      <c r="E4194" s="2" t="s">
        <v>39</v>
      </c>
      <c r="F4194" s="2">
        <v>510594778</v>
      </c>
      <c r="G4194" s="2" t="s">
        <v>41</v>
      </c>
      <c r="H4194" s="2" t="s">
        <v>3005</v>
      </c>
      <c r="I4194" s="2" t="s">
        <v>1111</v>
      </c>
      <c r="J4194" s="2">
        <v>934645042</v>
      </c>
      <c r="K4194" s="2" t="s">
        <v>100</v>
      </c>
      <c r="L4194" s="2" t="s">
        <v>40</v>
      </c>
      <c r="O4194" s="2" t="s">
        <v>188</v>
      </c>
      <c r="P4194" s="2" t="s">
        <v>189</v>
      </c>
      <c r="Q4194" s="2" t="s">
        <v>190</v>
      </c>
      <c r="R4194" s="9">
        <v>-1</v>
      </c>
      <c r="S4194" s="10">
        <v>-94</v>
      </c>
      <c r="T4194" s="2">
        <f>S4194*23%</f>
        <v>-21.62</v>
      </c>
      <c r="U4194" s="2">
        <f>S4194+T4194</f>
        <v>-115.62</v>
      </c>
      <c r="W4194" s="5">
        <f>(S4194-V4194)/S4194</f>
        <v>1</v>
      </c>
      <c r="Y4194" s="2" t="s">
        <v>118</v>
      </c>
      <c r="Z4194" s="2" t="s">
        <v>191</v>
      </c>
      <c r="AF4194" s="2">
        <f>V4194</f>
        <v>0</v>
      </c>
      <c r="AH4194" s="2"/>
      <c r="AI4194" s="2">
        <f>AH4194*S4194</f>
        <v>0</v>
      </c>
      <c r="AJ4194" s="2">
        <f>S4194-V4194</f>
        <v>-94</v>
      </c>
      <c r="AK4194" s="5">
        <f>(S4194-V4194)/S4194</f>
        <v>1</v>
      </c>
    </row>
    <row r="4195" spans="1:37" x14ac:dyDescent="0.2">
      <c r="A4195" s="8">
        <v>2026</v>
      </c>
      <c r="B4195" s="8">
        <v>6</v>
      </c>
      <c r="C4195" s="2" t="s">
        <v>3004</v>
      </c>
      <c r="D4195" s="2" t="s">
        <v>109</v>
      </c>
      <c r="E4195" s="2" t="s">
        <v>39</v>
      </c>
      <c r="F4195" s="2">
        <v>510594778</v>
      </c>
      <c r="G4195" s="2" t="s">
        <v>41</v>
      </c>
      <c r="H4195" s="2" t="s">
        <v>3005</v>
      </c>
      <c r="I4195" s="2" t="s">
        <v>1111</v>
      </c>
      <c r="J4195" s="2">
        <v>934645042</v>
      </c>
      <c r="K4195" s="2" t="s">
        <v>100</v>
      </c>
      <c r="L4195" s="2" t="s">
        <v>40</v>
      </c>
      <c r="O4195" s="2" t="s">
        <v>188</v>
      </c>
      <c r="P4195" s="2" t="s">
        <v>192</v>
      </c>
      <c r="Q4195" s="2" t="s">
        <v>191</v>
      </c>
      <c r="R4195" s="9">
        <v>-1</v>
      </c>
      <c r="S4195" s="10">
        <v>-55</v>
      </c>
      <c r="T4195" s="2">
        <f>S4195*23%</f>
        <v>-12.65</v>
      </c>
      <c r="U4195" s="2">
        <f>S4195+T4195</f>
        <v>-67.650000000000006</v>
      </c>
      <c r="W4195" s="5">
        <v>0</v>
      </c>
      <c r="Y4195" s="2" t="s">
        <v>118</v>
      </c>
      <c r="Z4195" s="2" t="s">
        <v>191</v>
      </c>
      <c r="AE4195" s="2">
        <f>AI4195</f>
        <v>0</v>
      </c>
      <c r="AF4195" s="2">
        <f>V4195</f>
        <v>0</v>
      </c>
      <c r="AH4195" s="2"/>
      <c r="AI4195" s="2">
        <f>AH4195*S4195</f>
        <v>0</v>
      </c>
      <c r="AJ4195" s="2">
        <f>S4195-V4195</f>
        <v>-55</v>
      </c>
      <c r="AK4195" s="5">
        <f>(S4195-V4195)/S4195</f>
        <v>1</v>
      </c>
    </row>
    <row r="4196" spans="1:37" x14ac:dyDescent="0.2">
      <c r="A4196" s="8">
        <v>2026</v>
      </c>
      <c r="B4196" s="8">
        <v>6</v>
      </c>
      <c r="C4196" s="2" t="s">
        <v>3004</v>
      </c>
      <c r="D4196" s="2" t="s">
        <v>109</v>
      </c>
      <c r="E4196" s="2" t="s">
        <v>39</v>
      </c>
      <c r="F4196" s="2">
        <v>510594778</v>
      </c>
      <c r="G4196" s="2" t="s">
        <v>41</v>
      </c>
      <c r="H4196" s="2" t="s">
        <v>3005</v>
      </c>
      <c r="I4196" s="2" t="s">
        <v>1111</v>
      </c>
      <c r="J4196" s="2">
        <v>934645042</v>
      </c>
      <c r="K4196" s="2" t="s">
        <v>100</v>
      </c>
      <c r="O4196" s="2" t="s">
        <v>40</v>
      </c>
      <c r="P4196" s="2" t="s">
        <v>364</v>
      </c>
      <c r="Q4196" s="2" t="s">
        <v>365</v>
      </c>
      <c r="R4196" s="9">
        <v>-1</v>
      </c>
      <c r="S4196" s="10">
        <v>-87.5</v>
      </c>
      <c r="W4196" s="2"/>
      <c r="AH4196" s="2"/>
      <c r="AK4196" s="2"/>
    </row>
    <row r="4197" spans="1:37" x14ac:dyDescent="0.2">
      <c r="A4197" s="8">
        <v>2026</v>
      </c>
      <c r="B4197" s="8">
        <v>6</v>
      </c>
      <c r="C4197" s="2" t="s">
        <v>860</v>
      </c>
      <c r="D4197" s="2" t="s">
        <v>109</v>
      </c>
      <c r="E4197" s="2" t="s">
        <v>39</v>
      </c>
      <c r="F4197" s="2">
        <v>505128128</v>
      </c>
      <c r="G4197" s="2" t="s">
        <v>41</v>
      </c>
      <c r="H4197" s="2" t="s">
        <v>861</v>
      </c>
      <c r="I4197" s="2" t="s">
        <v>862</v>
      </c>
      <c r="J4197" s="2">
        <v>917665950</v>
      </c>
      <c r="K4197" s="2" t="s">
        <v>100</v>
      </c>
      <c r="O4197" s="2" t="s">
        <v>43</v>
      </c>
      <c r="P4197" s="2" t="s">
        <v>49</v>
      </c>
      <c r="Q4197" s="2" t="s">
        <v>50</v>
      </c>
      <c r="R4197" s="9">
        <v>4</v>
      </c>
      <c r="S4197" s="10">
        <v>48</v>
      </c>
      <c r="T4197" s="2">
        <f>S4197*23%</f>
        <v>11.040000000000001</v>
      </c>
      <c r="U4197" s="10">
        <f>S4197+T4197</f>
        <v>59.04</v>
      </c>
      <c r="V4197" s="2">
        <f>6.6267*R4197</f>
        <v>26.506799999999998</v>
      </c>
      <c r="W4197" s="5">
        <f>(S4197-V4197)/S4197</f>
        <v>0.44777500000000003</v>
      </c>
      <c r="Y4197" s="2" t="s">
        <v>3256</v>
      </c>
      <c r="Z4197" s="2" t="s">
        <v>46</v>
      </c>
      <c r="AA4197" s="2" t="s">
        <v>47</v>
      </c>
      <c r="AB4197" s="2" t="s">
        <v>48</v>
      </c>
      <c r="AE4197" s="2">
        <f>AI4197</f>
        <v>0</v>
      </c>
      <c r="AF4197" s="2">
        <v>6.6266999999999996</v>
      </c>
      <c r="AG4197" s="2">
        <v>12</v>
      </c>
      <c r="AH4197" s="2"/>
      <c r="AI4197" s="2">
        <f>AH4197*S4197</f>
        <v>0</v>
      </c>
      <c r="AJ4197" s="2">
        <f>S4197-V4197</f>
        <v>21.493200000000002</v>
      </c>
      <c r="AK4197" s="5">
        <f>(S4197-V4197)/S4197</f>
        <v>0.44777500000000003</v>
      </c>
    </row>
    <row r="4198" spans="1:37" x14ac:dyDescent="0.2">
      <c r="A4198" s="8">
        <v>2026</v>
      </c>
      <c r="B4198" s="8">
        <v>6</v>
      </c>
      <c r="C4198" s="2" t="s">
        <v>1062</v>
      </c>
      <c r="D4198" s="2" t="s">
        <v>184</v>
      </c>
      <c r="E4198" s="2" t="s">
        <v>1063</v>
      </c>
      <c r="F4198" s="2">
        <v>500199523</v>
      </c>
      <c r="G4198" s="2" t="s">
        <v>291</v>
      </c>
      <c r="H4198" s="2" t="s">
        <v>294</v>
      </c>
      <c r="I4198" s="2" t="s">
        <v>1064</v>
      </c>
      <c r="K4198" s="2" t="s">
        <v>294</v>
      </c>
      <c r="L4198" s="2" t="s">
        <v>81</v>
      </c>
      <c r="O4198" s="2" t="s">
        <v>73</v>
      </c>
      <c r="P4198" s="2" t="s">
        <v>326</v>
      </c>
      <c r="Q4198" s="2" t="s">
        <v>80</v>
      </c>
      <c r="R4198" s="9">
        <v>1</v>
      </c>
      <c r="S4198" s="10">
        <v>220</v>
      </c>
      <c r="T4198" s="2">
        <f>S4198*23%</f>
        <v>50.6</v>
      </c>
      <c r="U4198" s="10">
        <f>S4198+T4198</f>
        <v>270.60000000000002</v>
      </c>
      <c r="V4198" s="2">
        <f>110.68*R4198</f>
        <v>110.68</v>
      </c>
      <c r="W4198" s="5">
        <f>(S4198-V4198)/S4198</f>
        <v>0.49690909090909086</v>
      </c>
      <c r="Y4198" s="2" t="s">
        <v>3256</v>
      </c>
      <c r="Z4198" s="2" t="s">
        <v>76</v>
      </c>
      <c r="AA4198" s="2" t="s">
        <v>77</v>
      </c>
      <c r="AB4198" s="2" t="s">
        <v>78</v>
      </c>
      <c r="AE4198" s="2">
        <f>AI4198</f>
        <v>0</v>
      </c>
      <c r="AF4198" s="2">
        <v>110.68</v>
      </c>
      <c r="AG4198" s="2">
        <v>210</v>
      </c>
      <c r="AH4198" s="2"/>
      <c r="AI4198" s="2">
        <f>AH4198*S4198</f>
        <v>0</v>
      </c>
      <c r="AJ4198" s="2">
        <f>S4198-V4198</f>
        <v>109.32</v>
      </c>
      <c r="AK4198" s="5">
        <f>(S4198-V4198)/S4198</f>
        <v>0.49690909090909086</v>
      </c>
    </row>
    <row r="4199" spans="1:37" x14ac:dyDescent="0.2">
      <c r="A4199" s="8">
        <v>2026</v>
      </c>
      <c r="B4199" s="8">
        <v>6</v>
      </c>
      <c r="C4199" s="2" t="s">
        <v>1062</v>
      </c>
      <c r="D4199" s="2" t="s">
        <v>184</v>
      </c>
      <c r="E4199" s="2" t="s">
        <v>1063</v>
      </c>
      <c r="F4199" s="2">
        <v>500199523</v>
      </c>
      <c r="G4199" s="2" t="s">
        <v>291</v>
      </c>
      <c r="H4199" s="2" t="s">
        <v>294</v>
      </c>
      <c r="I4199" s="2" t="s">
        <v>1064</v>
      </c>
      <c r="K4199" s="2" t="s">
        <v>294</v>
      </c>
      <c r="L4199" s="2" t="s">
        <v>81</v>
      </c>
      <c r="O4199" s="2" t="s">
        <v>94</v>
      </c>
      <c r="P4199" s="2" t="s">
        <v>95</v>
      </c>
      <c r="Q4199" s="2" t="s">
        <v>96</v>
      </c>
      <c r="R4199" s="9">
        <v>1</v>
      </c>
      <c r="S4199" s="10">
        <v>1.48</v>
      </c>
      <c r="T4199" s="2">
        <f>S4199*23%</f>
        <v>0.34040000000000004</v>
      </c>
      <c r="U4199" s="10">
        <f>S4199+T4199</f>
        <v>1.8204</v>
      </c>
      <c r="V4199" s="2">
        <f>1.48*R4199</f>
        <v>1.48</v>
      </c>
      <c r="W4199" s="5">
        <f>(S4199-V4199)/S4199</f>
        <v>0</v>
      </c>
      <c r="Y4199" s="2" t="s">
        <v>3256</v>
      </c>
      <c r="Z4199" s="2" t="s">
        <v>97</v>
      </c>
      <c r="AA4199" s="2" t="s">
        <v>77</v>
      </c>
      <c r="AB4199" s="2" t="s">
        <v>94</v>
      </c>
      <c r="AE4199" s="2">
        <f>AI4199</f>
        <v>0</v>
      </c>
      <c r="AF4199" s="2">
        <v>1.48</v>
      </c>
      <c r="AG4199" s="2">
        <v>1.48</v>
      </c>
      <c r="AH4199" s="2"/>
      <c r="AI4199" s="2">
        <f>AH4199*S4199</f>
        <v>0</v>
      </c>
      <c r="AJ4199" s="2">
        <f>S4199-V4199</f>
        <v>0</v>
      </c>
      <c r="AK4199" s="5">
        <f>(S4199-V4199)/S4199</f>
        <v>0</v>
      </c>
    </row>
    <row r="4200" spans="1:37" x14ac:dyDescent="0.2">
      <c r="A4200" s="8">
        <v>2026</v>
      </c>
      <c r="B4200" s="8">
        <v>6</v>
      </c>
      <c r="C4200" s="2" t="s">
        <v>504</v>
      </c>
      <c r="D4200" s="2" t="s">
        <v>38</v>
      </c>
      <c r="E4200" s="2" t="s">
        <v>39</v>
      </c>
      <c r="F4200" s="2">
        <v>513244468</v>
      </c>
      <c r="G4200" s="2" t="s">
        <v>41</v>
      </c>
      <c r="H4200" s="2" t="s">
        <v>505</v>
      </c>
      <c r="I4200" s="2" t="s">
        <v>506</v>
      </c>
      <c r="J4200" s="2">
        <v>918010109</v>
      </c>
      <c r="K4200" s="2" t="s">
        <v>100</v>
      </c>
      <c r="O4200" s="2" t="s">
        <v>40</v>
      </c>
      <c r="P4200" s="2" t="s">
        <v>141</v>
      </c>
      <c r="Q4200" s="2" t="s">
        <v>142</v>
      </c>
      <c r="R4200" s="9">
        <v>-2</v>
      </c>
      <c r="S4200" s="10">
        <v>-318.08999999999997</v>
      </c>
      <c r="W4200" s="2"/>
      <c r="AH4200" s="2"/>
      <c r="AK4200" s="2"/>
    </row>
    <row r="4201" spans="1:37" x14ac:dyDescent="0.2">
      <c r="A4201" s="8">
        <v>2026</v>
      </c>
      <c r="B4201" s="8">
        <v>6</v>
      </c>
      <c r="C4201" s="2" t="s">
        <v>504</v>
      </c>
      <c r="D4201" s="2" t="s">
        <v>38</v>
      </c>
      <c r="E4201" s="2" t="s">
        <v>39</v>
      </c>
      <c r="F4201" s="2">
        <v>513244468</v>
      </c>
      <c r="G4201" s="2" t="s">
        <v>41</v>
      </c>
      <c r="H4201" s="2" t="s">
        <v>505</v>
      </c>
      <c r="I4201" s="2" t="s">
        <v>506</v>
      </c>
      <c r="J4201" s="2">
        <v>918010109</v>
      </c>
      <c r="K4201" s="2" t="s">
        <v>100</v>
      </c>
      <c r="O4201" s="2" t="s">
        <v>40</v>
      </c>
      <c r="P4201" s="2" t="s">
        <v>364</v>
      </c>
      <c r="Q4201" s="2" t="s">
        <v>365</v>
      </c>
      <c r="R4201" s="9">
        <v>1</v>
      </c>
      <c r="S4201" s="10">
        <v>65.3</v>
      </c>
      <c r="W4201" s="2"/>
      <c r="AH4201" s="2"/>
      <c r="AK4201" s="2"/>
    </row>
    <row r="4202" spans="1:37" x14ac:dyDescent="0.2">
      <c r="A4202" s="8">
        <v>2026</v>
      </c>
      <c r="B4202" s="8">
        <v>6</v>
      </c>
      <c r="C4202" s="2" t="s">
        <v>3133</v>
      </c>
      <c r="O4202" s="2" t="s">
        <v>40</v>
      </c>
      <c r="P4202" s="2" t="s">
        <v>3084</v>
      </c>
      <c r="Q4202" s="2" t="s">
        <v>3085</v>
      </c>
      <c r="R4202" s="9">
        <v>11601</v>
      </c>
      <c r="S4202" s="10">
        <v>2098.09</v>
      </c>
      <c r="W4202" s="2"/>
      <c r="Y4202" s="2" t="s">
        <v>120</v>
      </c>
      <c r="Z4202" s="2" t="s">
        <v>3323</v>
      </c>
      <c r="AH4202" s="2"/>
      <c r="AK4202" s="2"/>
    </row>
    <row r="4203" spans="1:37" x14ac:dyDescent="0.2">
      <c r="A4203" s="8">
        <v>2026</v>
      </c>
      <c r="B4203" s="8">
        <v>6</v>
      </c>
      <c r="C4203" s="2" t="s">
        <v>511</v>
      </c>
      <c r="D4203" s="2" t="s">
        <v>38</v>
      </c>
      <c r="E4203" s="2" t="s">
        <v>39</v>
      </c>
      <c r="F4203" s="2">
        <v>514446170</v>
      </c>
      <c r="G4203" s="2" t="s">
        <v>41</v>
      </c>
      <c r="H4203" s="2" t="s">
        <v>178</v>
      </c>
      <c r="I4203" s="2" t="s">
        <v>3158</v>
      </c>
      <c r="K4203" s="2" t="s">
        <v>178</v>
      </c>
      <c r="L4203" s="2" t="s">
        <v>41</v>
      </c>
      <c r="N4203" s="2" t="s">
        <v>3168</v>
      </c>
      <c r="O4203" s="2" t="s">
        <v>115</v>
      </c>
      <c r="P4203" s="2" t="s">
        <v>1108</v>
      </c>
      <c r="Q4203" s="2" t="s">
        <v>1109</v>
      </c>
      <c r="R4203" s="9">
        <v>1</v>
      </c>
      <c r="S4203" s="10">
        <v>184.34</v>
      </c>
      <c r="T4203" s="2">
        <f t="shared" ref="T4203:T4210" si="477">S4203*23%</f>
        <v>42.398200000000003</v>
      </c>
      <c r="U4203" s="10">
        <f t="shared" ref="U4203:U4211" si="478">S4203+T4203</f>
        <v>226.73820000000001</v>
      </c>
      <c r="W4203" s="5">
        <f>(S4203-V4203)/S4203</f>
        <v>1</v>
      </c>
      <c r="AH4203" s="2"/>
      <c r="AK4203" s="2"/>
    </row>
    <row r="4204" spans="1:37" x14ac:dyDescent="0.2">
      <c r="A4204" s="8">
        <v>2026</v>
      </c>
      <c r="B4204" s="8">
        <v>6</v>
      </c>
      <c r="C4204" s="2" t="s">
        <v>511</v>
      </c>
      <c r="D4204" s="2" t="s">
        <v>38</v>
      </c>
      <c r="E4204" s="2" t="s">
        <v>39</v>
      </c>
      <c r="F4204" s="2">
        <v>514446170</v>
      </c>
      <c r="G4204" s="2" t="s">
        <v>41</v>
      </c>
      <c r="H4204" s="2" t="s">
        <v>178</v>
      </c>
      <c r="I4204" s="2" t="s">
        <v>3158</v>
      </c>
      <c r="K4204" s="2" t="s">
        <v>178</v>
      </c>
      <c r="L4204" s="2" t="s">
        <v>41</v>
      </c>
      <c r="N4204" s="2" t="s">
        <v>3169</v>
      </c>
      <c r="O4204" s="2" t="s">
        <v>43</v>
      </c>
      <c r="P4204" s="2" t="s">
        <v>49</v>
      </c>
      <c r="Q4204" s="2" t="s">
        <v>50</v>
      </c>
      <c r="R4204" s="9">
        <v>2</v>
      </c>
      <c r="S4204" s="10">
        <v>26</v>
      </c>
      <c r="T4204" s="2">
        <f t="shared" si="477"/>
        <v>5.98</v>
      </c>
      <c r="U4204" s="10">
        <f t="shared" si="478"/>
        <v>31.98</v>
      </c>
      <c r="V4204" s="2">
        <f>6.6267*R4204</f>
        <v>13.253399999999999</v>
      </c>
      <c r="W4204" s="5">
        <f>(S4204-V4204)/S4204</f>
        <v>0.49025384615384621</v>
      </c>
      <c r="Y4204" s="2" t="s">
        <v>3256</v>
      </c>
      <c r="Z4204" s="2" t="s">
        <v>46</v>
      </c>
      <c r="AA4204" s="2" t="s">
        <v>47</v>
      </c>
      <c r="AB4204" s="2" t="s">
        <v>48</v>
      </c>
      <c r="AE4204" s="2">
        <f>AI4204</f>
        <v>0</v>
      </c>
      <c r="AF4204" s="2">
        <v>6.6266999999999996</v>
      </c>
      <c r="AG4204" s="2">
        <v>12</v>
      </c>
      <c r="AH4204" s="2"/>
      <c r="AI4204" s="2">
        <f t="shared" ref="AI4204:AI4210" si="479">AH4204*S4204</f>
        <v>0</v>
      </c>
      <c r="AJ4204" s="2">
        <f t="shared" ref="AJ4204:AJ4210" si="480">S4204-V4204</f>
        <v>12.746600000000001</v>
      </c>
      <c r="AK4204" s="5">
        <f>(S4204-V4204)/S4204</f>
        <v>0.49025384615384621</v>
      </c>
    </row>
    <row r="4205" spans="1:37" x14ac:dyDescent="0.2">
      <c r="A4205" s="8">
        <v>2026</v>
      </c>
      <c r="B4205" s="8">
        <v>6</v>
      </c>
      <c r="C4205" s="2" t="s">
        <v>511</v>
      </c>
      <c r="D4205" s="2" t="s">
        <v>38</v>
      </c>
      <c r="E4205" s="2" t="s">
        <v>39</v>
      </c>
      <c r="F4205" s="2">
        <v>514446170</v>
      </c>
      <c r="G4205" s="2" t="s">
        <v>41</v>
      </c>
      <c r="H4205" s="2" t="s">
        <v>178</v>
      </c>
      <c r="I4205" s="2" t="s">
        <v>3158</v>
      </c>
      <c r="K4205" s="2" t="s">
        <v>178</v>
      </c>
      <c r="L4205" s="2" t="s">
        <v>41</v>
      </c>
      <c r="N4205" s="2" t="s">
        <v>3167</v>
      </c>
      <c r="O4205" s="2" t="s">
        <v>167</v>
      </c>
      <c r="P4205" s="2" t="s">
        <v>3086</v>
      </c>
      <c r="Q4205" s="2" t="s">
        <v>3087</v>
      </c>
      <c r="R4205" s="9">
        <v>6</v>
      </c>
      <c r="S4205" s="10">
        <v>8.82</v>
      </c>
      <c r="T4205" s="2">
        <f t="shared" si="477"/>
        <v>2.0286</v>
      </c>
      <c r="U4205" s="10">
        <f t="shared" si="478"/>
        <v>10.848600000000001</v>
      </c>
      <c r="W4205" s="5">
        <f>(S4205-V4205)/S4205</f>
        <v>1</v>
      </c>
      <c r="Y4205" s="2" t="s">
        <v>3256</v>
      </c>
      <c r="Z4205" s="2" t="s">
        <v>88</v>
      </c>
      <c r="AA4205" s="2" t="s">
        <v>120</v>
      </c>
      <c r="AB4205" s="2" t="s">
        <v>167</v>
      </c>
      <c r="AE4205" s="2">
        <f>AI4205</f>
        <v>0</v>
      </c>
      <c r="AH4205" s="2"/>
      <c r="AI4205" s="2">
        <f t="shared" si="479"/>
        <v>0</v>
      </c>
      <c r="AJ4205" s="2">
        <f t="shared" si="480"/>
        <v>8.82</v>
      </c>
      <c r="AK4205" s="5">
        <f>(S4205-V4205)/S4205</f>
        <v>1</v>
      </c>
    </row>
    <row r="4206" spans="1:37" x14ac:dyDescent="0.2">
      <c r="A4206" s="8">
        <v>2026</v>
      </c>
      <c r="B4206" s="8">
        <v>6</v>
      </c>
      <c r="C4206" s="2" t="s">
        <v>511</v>
      </c>
      <c r="D4206" s="2" t="s">
        <v>38</v>
      </c>
      <c r="E4206" s="2" t="s">
        <v>39</v>
      </c>
      <c r="F4206" s="2">
        <v>514446170</v>
      </c>
      <c r="G4206" s="2" t="s">
        <v>41</v>
      </c>
      <c r="H4206" s="2" t="s">
        <v>178</v>
      </c>
      <c r="I4206" s="2" t="s">
        <v>3158</v>
      </c>
      <c r="K4206" s="2" t="s">
        <v>178</v>
      </c>
      <c r="L4206" s="2" t="s">
        <v>41</v>
      </c>
      <c r="N4206" s="2" t="s">
        <v>3167</v>
      </c>
      <c r="O4206" s="2" t="s">
        <v>167</v>
      </c>
      <c r="P4206" s="2" t="s">
        <v>1055</v>
      </c>
      <c r="Q4206" s="2" t="s">
        <v>1056</v>
      </c>
      <c r="R4206" s="9">
        <v>6</v>
      </c>
      <c r="S4206" s="10">
        <v>14.7</v>
      </c>
      <c r="T4206" s="2">
        <f t="shared" si="477"/>
        <v>3.3809999999999998</v>
      </c>
      <c r="U4206" s="10">
        <f t="shared" si="478"/>
        <v>18.081</v>
      </c>
      <c r="W4206" s="5">
        <f>(S4206-V4206)/S4206</f>
        <v>1</v>
      </c>
      <c r="Y4206" s="2" t="s">
        <v>3256</v>
      </c>
      <c r="Z4206" s="2" t="s">
        <v>88</v>
      </c>
      <c r="AA4206" s="2" t="s">
        <v>120</v>
      </c>
      <c r="AB4206" s="2" t="s">
        <v>167</v>
      </c>
      <c r="AE4206" s="2">
        <f>AI4206</f>
        <v>0</v>
      </c>
      <c r="AH4206" s="2"/>
      <c r="AI4206" s="2">
        <f t="shared" si="479"/>
        <v>0</v>
      </c>
      <c r="AJ4206" s="2">
        <f t="shared" si="480"/>
        <v>14.7</v>
      </c>
      <c r="AK4206" s="5">
        <f>(S4206-V4206)/S4206</f>
        <v>1</v>
      </c>
    </row>
    <row r="4207" spans="1:37" x14ac:dyDescent="0.2">
      <c r="A4207" s="8">
        <v>2026</v>
      </c>
      <c r="B4207" s="8">
        <v>6</v>
      </c>
      <c r="C4207" s="2" t="s">
        <v>511</v>
      </c>
      <c r="D4207" s="2" t="s">
        <v>38</v>
      </c>
      <c r="E4207" s="2" t="s">
        <v>39</v>
      </c>
      <c r="F4207" s="2">
        <v>514446170</v>
      </c>
      <c r="G4207" s="2" t="s">
        <v>41</v>
      </c>
      <c r="H4207" s="2" t="s">
        <v>178</v>
      </c>
      <c r="I4207" s="2" t="s">
        <v>3158</v>
      </c>
      <c r="K4207" s="2" t="s">
        <v>178</v>
      </c>
      <c r="L4207" s="2" t="s">
        <v>40</v>
      </c>
      <c r="N4207" s="2" t="s">
        <v>3168</v>
      </c>
      <c r="O4207" s="2" t="s">
        <v>188</v>
      </c>
      <c r="P4207" s="2" t="s">
        <v>189</v>
      </c>
      <c r="Q4207" s="2" t="s">
        <v>190</v>
      </c>
      <c r="R4207" s="9">
        <v>1</v>
      </c>
      <c r="S4207" s="10">
        <v>0</v>
      </c>
      <c r="T4207" s="2">
        <f t="shared" si="477"/>
        <v>0</v>
      </c>
      <c r="U4207" s="2">
        <f t="shared" si="478"/>
        <v>0</v>
      </c>
      <c r="W4207" s="5">
        <v>0</v>
      </c>
      <c r="Y4207" s="2" t="s">
        <v>118</v>
      </c>
      <c r="Z4207" s="2" t="s">
        <v>191</v>
      </c>
      <c r="AF4207" s="2">
        <f>V4207</f>
        <v>0</v>
      </c>
      <c r="AH4207" s="2"/>
      <c r="AI4207" s="2">
        <f t="shared" si="479"/>
        <v>0</v>
      </c>
      <c r="AJ4207" s="2">
        <f t="shared" si="480"/>
        <v>0</v>
      </c>
      <c r="AK4207" s="5">
        <v>0</v>
      </c>
    </row>
    <row r="4208" spans="1:37" x14ac:dyDescent="0.2">
      <c r="A4208" s="8">
        <v>2026</v>
      </c>
      <c r="B4208" s="8">
        <v>6</v>
      </c>
      <c r="C4208" s="2" t="s">
        <v>511</v>
      </c>
      <c r="D4208" s="2" t="s">
        <v>38</v>
      </c>
      <c r="E4208" s="2" t="s">
        <v>39</v>
      </c>
      <c r="F4208" s="2">
        <v>514446170</v>
      </c>
      <c r="G4208" s="2" t="s">
        <v>41</v>
      </c>
      <c r="H4208" s="2" t="s">
        <v>178</v>
      </c>
      <c r="I4208" s="2" t="s">
        <v>3158</v>
      </c>
      <c r="K4208" s="2" t="s">
        <v>178</v>
      </c>
      <c r="L4208" s="2" t="s">
        <v>40</v>
      </c>
      <c r="N4208" s="2" t="s">
        <v>3168</v>
      </c>
      <c r="O4208" s="2" t="s">
        <v>188</v>
      </c>
      <c r="P4208" s="2" t="s">
        <v>192</v>
      </c>
      <c r="Q4208" s="2" t="s">
        <v>191</v>
      </c>
      <c r="R4208" s="9">
        <v>1</v>
      </c>
      <c r="S4208" s="10">
        <v>55</v>
      </c>
      <c r="T4208" s="2">
        <f t="shared" si="477"/>
        <v>12.65</v>
      </c>
      <c r="U4208" s="2">
        <f t="shared" si="478"/>
        <v>67.650000000000006</v>
      </c>
      <c r="V4208" s="2">
        <f>S4208*50%</f>
        <v>27.5</v>
      </c>
      <c r="W4208" s="5">
        <f>(S4208-V4208)/S4208</f>
        <v>0.5</v>
      </c>
      <c r="Y4208" s="2" t="s">
        <v>118</v>
      </c>
      <c r="Z4208" s="2" t="s">
        <v>191</v>
      </c>
      <c r="AE4208" s="2">
        <f>AI4208</f>
        <v>0</v>
      </c>
      <c r="AF4208" s="2">
        <f>V4208</f>
        <v>27.5</v>
      </c>
      <c r="AH4208" s="2"/>
      <c r="AI4208" s="2">
        <f t="shared" si="479"/>
        <v>0</v>
      </c>
      <c r="AJ4208" s="2">
        <f t="shared" si="480"/>
        <v>27.5</v>
      </c>
      <c r="AK4208" s="5">
        <f>(S4208-V4208)/S4208</f>
        <v>0.5</v>
      </c>
    </row>
    <row r="4209" spans="1:37" x14ac:dyDescent="0.2">
      <c r="A4209" s="8">
        <v>2026</v>
      </c>
      <c r="B4209" s="8">
        <v>6</v>
      </c>
      <c r="C4209" s="2" t="s">
        <v>3134</v>
      </c>
      <c r="L4209" s="2" t="s">
        <v>40</v>
      </c>
      <c r="O4209" s="2" t="s">
        <v>188</v>
      </c>
      <c r="P4209" s="2" t="s">
        <v>189</v>
      </c>
      <c r="Q4209" s="2" t="s">
        <v>190</v>
      </c>
      <c r="R4209" s="9">
        <v>1</v>
      </c>
      <c r="S4209" s="10">
        <v>125</v>
      </c>
      <c r="T4209" s="2">
        <f t="shared" si="477"/>
        <v>28.75</v>
      </c>
      <c r="U4209" s="2">
        <f t="shared" si="478"/>
        <v>153.75</v>
      </c>
      <c r="V4209" s="2">
        <f>S4209*40%</f>
        <v>50</v>
      </c>
      <c r="W4209" s="5">
        <f>(S4209-V4209)/S4209</f>
        <v>0.6</v>
      </c>
      <c r="Y4209" s="2" t="s">
        <v>118</v>
      </c>
      <c r="Z4209" s="2" t="s">
        <v>191</v>
      </c>
      <c r="AF4209" s="2">
        <f>V4209</f>
        <v>50</v>
      </c>
      <c r="AH4209" s="2"/>
      <c r="AI4209" s="2">
        <f t="shared" si="479"/>
        <v>0</v>
      </c>
      <c r="AJ4209" s="2">
        <f t="shared" si="480"/>
        <v>75</v>
      </c>
      <c r="AK4209" s="5">
        <f>(S4209-V4209)/S4209</f>
        <v>0.6</v>
      </c>
    </row>
    <row r="4210" spans="1:37" x14ac:dyDescent="0.2">
      <c r="A4210" s="8">
        <v>2026</v>
      </c>
      <c r="B4210" s="8">
        <v>6</v>
      </c>
      <c r="C4210" s="2" t="s">
        <v>3134</v>
      </c>
      <c r="L4210" s="2" t="s">
        <v>40</v>
      </c>
      <c r="O4210" s="2" t="s">
        <v>188</v>
      </c>
      <c r="P4210" s="2" t="s">
        <v>192</v>
      </c>
      <c r="Q4210" s="2" t="s">
        <v>191</v>
      </c>
      <c r="R4210" s="9">
        <v>1</v>
      </c>
      <c r="S4210" s="10">
        <v>55</v>
      </c>
      <c r="T4210" s="2">
        <f t="shared" si="477"/>
        <v>12.65</v>
      </c>
      <c r="U4210" s="2">
        <f t="shared" si="478"/>
        <v>67.650000000000006</v>
      </c>
      <c r="V4210" s="2">
        <f>S4210*50%</f>
        <v>27.5</v>
      </c>
      <c r="W4210" s="5">
        <f>(S4210-V4210)/S4210</f>
        <v>0.5</v>
      </c>
      <c r="Y4210" s="2" t="s">
        <v>118</v>
      </c>
      <c r="Z4210" s="2" t="s">
        <v>191</v>
      </c>
      <c r="AE4210" s="2">
        <f>AI4210</f>
        <v>0</v>
      </c>
      <c r="AF4210" s="2">
        <f>V4210</f>
        <v>27.5</v>
      </c>
      <c r="AH4210" s="2"/>
      <c r="AI4210" s="2">
        <f t="shared" si="479"/>
        <v>0</v>
      </c>
      <c r="AJ4210" s="2">
        <f t="shared" si="480"/>
        <v>27.5</v>
      </c>
      <c r="AK4210" s="5">
        <f>(S4210-V4210)/S4210</f>
        <v>0.5</v>
      </c>
    </row>
    <row r="4211" spans="1:37" x14ac:dyDescent="0.2">
      <c r="A4211" s="8">
        <v>2026</v>
      </c>
      <c r="B4211" s="8">
        <v>6</v>
      </c>
      <c r="C4211" s="2" t="s">
        <v>1737</v>
      </c>
      <c r="O4211" s="2" t="s">
        <v>283</v>
      </c>
      <c r="P4211" s="2" t="s">
        <v>1448</v>
      </c>
      <c r="Q4211" s="2" t="s">
        <v>1449</v>
      </c>
      <c r="R4211" s="9">
        <v>1</v>
      </c>
      <c r="S4211" s="10">
        <v>6.9</v>
      </c>
      <c r="T4211" s="2">
        <f>S4211*23%</f>
        <v>1.5870000000000002</v>
      </c>
      <c r="U4211" s="2">
        <f t="shared" si="478"/>
        <v>8.4870000000000001</v>
      </c>
      <c r="W4211" s="2"/>
      <c r="Y4211" s="2" t="s">
        <v>3256</v>
      </c>
      <c r="AH4211" s="2"/>
      <c r="AK4211" s="2"/>
    </row>
    <row r="4212" spans="1:37" x14ac:dyDescent="0.2">
      <c r="A4212" s="8">
        <v>2026</v>
      </c>
      <c r="B4212" s="8">
        <v>6</v>
      </c>
      <c r="C4212" s="2" t="s">
        <v>1737</v>
      </c>
      <c r="O4212" s="2" t="s">
        <v>2919</v>
      </c>
      <c r="P4212" s="2" t="s">
        <v>3088</v>
      </c>
      <c r="Q4212" s="2" t="s">
        <v>3089</v>
      </c>
      <c r="R4212" s="9">
        <v>1</v>
      </c>
      <c r="S4212" s="10">
        <v>7.24</v>
      </c>
      <c r="T4212" s="2">
        <f t="shared" ref="T4212:T4220" si="481">S4212*23%</f>
        <v>1.6652</v>
      </c>
      <c r="U4212" s="2">
        <f t="shared" ref="U4212:U4220" si="482">S4212+T4212</f>
        <v>8.9052000000000007</v>
      </c>
      <c r="W4212" s="2"/>
      <c r="Y4212" s="2" t="s">
        <v>3256</v>
      </c>
      <c r="AH4212" s="2"/>
      <c r="AK4212" s="2"/>
    </row>
    <row r="4213" spans="1:37" x14ac:dyDescent="0.2">
      <c r="A4213" s="8">
        <v>2026</v>
      </c>
      <c r="B4213" s="8">
        <v>6</v>
      </c>
      <c r="C4213" s="2" t="s">
        <v>1737</v>
      </c>
      <c r="O4213" s="2" t="s">
        <v>2919</v>
      </c>
      <c r="P4213" s="2" t="s">
        <v>3090</v>
      </c>
      <c r="Q4213" s="2" t="s">
        <v>3091</v>
      </c>
      <c r="R4213" s="9">
        <v>1</v>
      </c>
      <c r="S4213" s="10">
        <v>7.24</v>
      </c>
      <c r="T4213" s="2">
        <f t="shared" si="481"/>
        <v>1.6652</v>
      </c>
      <c r="U4213" s="2">
        <f t="shared" si="482"/>
        <v>8.9052000000000007</v>
      </c>
      <c r="W4213" s="2"/>
      <c r="Y4213" s="2" t="s">
        <v>3256</v>
      </c>
      <c r="AH4213" s="2"/>
      <c r="AK4213" s="2"/>
    </row>
    <row r="4214" spans="1:37" x14ac:dyDescent="0.2">
      <c r="A4214" s="8">
        <v>2026</v>
      </c>
      <c r="B4214" s="8">
        <v>6</v>
      </c>
      <c r="C4214" s="2" t="s">
        <v>1737</v>
      </c>
      <c r="O4214" s="2" t="s">
        <v>2919</v>
      </c>
      <c r="P4214" s="2" t="s">
        <v>3092</v>
      </c>
      <c r="Q4214" s="2" t="s">
        <v>3093</v>
      </c>
      <c r="R4214" s="9">
        <v>1</v>
      </c>
      <c r="S4214" s="10">
        <v>7.24</v>
      </c>
      <c r="T4214" s="2">
        <f t="shared" si="481"/>
        <v>1.6652</v>
      </c>
      <c r="U4214" s="2">
        <f t="shared" si="482"/>
        <v>8.9052000000000007</v>
      </c>
      <c r="W4214" s="2"/>
      <c r="Y4214" s="2" t="s">
        <v>3256</v>
      </c>
      <c r="AH4214" s="2"/>
      <c r="AK4214" s="2"/>
    </row>
    <row r="4215" spans="1:37" x14ac:dyDescent="0.2">
      <c r="A4215" s="8">
        <v>2026</v>
      </c>
      <c r="B4215" s="8">
        <v>6</v>
      </c>
      <c r="C4215" s="2" t="s">
        <v>1737</v>
      </c>
      <c r="O4215" s="2" t="s">
        <v>2919</v>
      </c>
      <c r="P4215" s="2" t="s">
        <v>3094</v>
      </c>
      <c r="Q4215" s="2" t="s">
        <v>3095</v>
      </c>
      <c r="R4215" s="9">
        <v>1</v>
      </c>
      <c r="S4215" s="10">
        <v>16.899999999999999</v>
      </c>
      <c r="T4215" s="2">
        <f t="shared" si="481"/>
        <v>3.887</v>
      </c>
      <c r="U4215" s="2">
        <f t="shared" si="482"/>
        <v>20.786999999999999</v>
      </c>
      <c r="W4215" s="2"/>
      <c r="Y4215" s="2" t="s">
        <v>3256</v>
      </c>
      <c r="AH4215" s="2"/>
      <c r="AK4215" s="2"/>
    </row>
    <row r="4216" spans="1:37" x14ac:dyDescent="0.2">
      <c r="A4216" s="8">
        <v>2026</v>
      </c>
      <c r="B4216" s="8">
        <v>6</v>
      </c>
      <c r="C4216" s="2" t="s">
        <v>1737</v>
      </c>
      <c r="O4216" s="2" t="s">
        <v>2919</v>
      </c>
      <c r="P4216" s="2" t="s">
        <v>3096</v>
      </c>
      <c r="Q4216" s="2" t="s">
        <v>3097</v>
      </c>
      <c r="R4216" s="9">
        <v>1</v>
      </c>
      <c r="S4216" s="10">
        <v>19</v>
      </c>
      <c r="T4216" s="2">
        <f t="shared" si="481"/>
        <v>4.37</v>
      </c>
      <c r="U4216" s="2">
        <f t="shared" si="482"/>
        <v>23.37</v>
      </c>
      <c r="W4216" s="2"/>
      <c r="Y4216" s="2" t="s">
        <v>3256</v>
      </c>
      <c r="AH4216" s="2"/>
      <c r="AK4216" s="2"/>
    </row>
    <row r="4217" spans="1:37" x14ac:dyDescent="0.2">
      <c r="A4217" s="8">
        <v>2026</v>
      </c>
      <c r="B4217" s="8">
        <v>6</v>
      </c>
      <c r="C4217" s="2" t="s">
        <v>1737</v>
      </c>
      <c r="O4217" s="2" t="s">
        <v>2919</v>
      </c>
      <c r="P4217" s="2" t="s">
        <v>3098</v>
      </c>
      <c r="Q4217" s="2" t="s">
        <v>3099</v>
      </c>
      <c r="R4217" s="9">
        <v>1</v>
      </c>
      <c r="S4217" s="10">
        <v>43.5</v>
      </c>
      <c r="T4217" s="2">
        <f t="shared" si="481"/>
        <v>10.005000000000001</v>
      </c>
      <c r="U4217" s="2">
        <f t="shared" si="482"/>
        <v>53.505000000000003</v>
      </c>
      <c r="W4217" s="2"/>
      <c r="Y4217" s="2" t="s">
        <v>3256</v>
      </c>
      <c r="AH4217" s="2"/>
      <c r="AK4217" s="2"/>
    </row>
    <row r="4218" spans="1:37" x14ac:dyDescent="0.2">
      <c r="A4218" s="8">
        <v>2026</v>
      </c>
      <c r="B4218" s="8">
        <v>6</v>
      </c>
      <c r="C4218" s="2" t="s">
        <v>1737</v>
      </c>
      <c r="O4218" s="2" t="s">
        <v>2919</v>
      </c>
      <c r="P4218" s="2" t="s">
        <v>3100</v>
      </c>
      <c r="Q4218" s="2" t="s">
        <v>3101</v>
      </c>
      <c r="R4218" s="9">
        <v>1</v>
      </c>
      <c r="S4218" s="10">
        <v>13.6</v>
      </c>
      <c r="T4218" s="2">
        <f t="shared" si="481"/>
        <v>3.1280000000000001</v>
      </c>
      <c r="U4218" s="2">
        <f t="shared" si="482"/>
        <v>16.728000000000002</v>
      </c>
      <c r="W4218" s="2"/>
      <c r="Y4218" s="2" t="s">
        <v>3256</v>
      </c>
      <c r="AH4218" s="2"/>
      <c r="AK4218" s="2"/>
    </row>
    <row r="4219" spans="1:37" x14ac:dyDescent="0.2">
      <c r="A4219" s="8">
        <v>2026</v>
      </c>
      <c r="B4219" s="8">
        <v>6</v>
      </c>
      <c r="C4219" s="2" t="s">
        <v>3132</v>
      </c>
      <c r="O4219" s="2" t="s">
        <v>69</v>
      </c>
      <c r="P4219" s="2" t="s">
        <v>3102</v>
      </c>
      <c r="Q4219" s="2" t="s">
        <v>3103</v>
      </c>
      <c r="R4219" s="9">
        <v>1</v>
      </c>
      <c r="S4219" s="10">
        <v>43</v>
      </c>
      <c r="T4219" s="2">
        <f t="shared" si="481"/>
        <v>9.89</v>
      </c>
      <c r="U4219" s="2">
        <f t="shared" si="482"/>
        <v>52.89</v>
      </c>
      <c r="W4219" s="2"/>
      <c r="Y4219" s="2" t="s">
        <v>3256</v>
      </c>
      <c r="AH4219" s="2"/>
      <c r="AK4219" s="2"/>
    </row>
    <row r="4220" spans="1:37" x14ac:dyDescent="0.2">
      <c r="A4220" s="8">
        <v>2026</v>
      </c>
      <c r="B4220" s="8">
        <v>6</v>
      </c>
      <c r="C4220" s="2" t="s">
        <v>3132</v>
      </c>
      <c r="O4220" s="2" t="s">
        <v>2919</v>
      </c>
      <c r="P4220" s="2" t="s">
        <v>3104</v>
      </c>
      <c r="Q4220" s="2" t="s">
        <v>3105</v>
      </c>
      <c r="R4220" s="9">
        <v>1</v>
      </c>
      <c r="S4220" s="10">
        <v>198</v>
      </c>
      <c r="T4220" s="2">
        <f t="shared" si="481"/>
        <v>45.54</v>
      </c>
      <c r="U4220" s="2">
        <f t="shared" si="482"/>
        <v>243.54</v>
      </c>
      <c r="W4220" s="2"/>
      <c r="Y4220" s="2" t="s">
        <v>3256</v>
      </c>
      <c r="AH4220" s="2"/>
      <c r="AK4220" s="2"/>
    </row>
    <row r="4221" spans="1:37" x14ac:dyDescent="0.2">
      <c r="A4221" s="8">
        <v>2026</v>
      </c>
      <c r="B4221" s="8">
        <v>6</v>
      </c>
      <c r="C4221" s="2" t="s">
        <v>3132</v>
      </c>
      <c r="O4221" s="2" t="s">
        <v>40</v>
      </c>
      <c r="P4221" s="2" t="s">
        <v>3106</v>
      </c>
      <c r="Q4221" s="2" t="s">
        <v>3107</v>
      </c>
      <c r="R4221" s="9">
        <v>1</v>
      </c>
      <c r="S4221" s="10">
        <v>3000</v>
      </c>
      <c r="W4221" s="2"/>
      <c r="Y4221" s="2" t="s">
        <v>105</v>
      </c>
      <c r="AH4221" s="2"/>
      <c r="AK4221" s="2"/>
    </row>
    <row r="4222" spans="1:37" x14ac:dyDescent="0.2">
      <c r="A4222" s="8">
        <v>2026</v>
      </c>
      <c r="B4222" s="8">
        <v>6</v>
      </c>
      <c r="C4222" s="2" t="s">
        <v>2067</v>
      </c>
      <c r="O4222" s="2" t="s">
        <v>1047</v>
      </c>
      <c r="P4222" s="2" t="s">
        <v>3108</v>
      </c>
      <c r="Q4222" s="2" t="s">
        <v>3109</v>
      </c>
      <c r="R4222" s="9">
        <v>1</v>
      </c>
      <c r="S4222" s="10">
        <v>240</v>
      </c>
      <c r="T4222" s="2">
        <f>S4222*23%</f>
        <v>55.2</v>
      </c>
      <c r="U4222" s="2">
        <f>S4222+T4222</f>
        <v>295.2</v>
      </c>
      <c r="W4222" s="5">
        <f>(S4222-V4222)/S4222</f>
        <v>1</v>
      </c>
      <c r="Y4222" s="2" t="s">
        <v>3256</v>
      </c>
      <c r="Z4222" s="2" t="s">
        <v>76</v>
      </c>
      <c r="AA4222" s="2" t="s">
        <v>77</v>
      </c>
      <c r="AB4222" s="2" t="s">
        <v>1047</v>
      </c>
      <c r="AE4222" s="2">
        <f>AI4222</f>
        <v>0</v>
      </c>
      <c r="AH4222" s="2"/>
      <c r="AI4222" s="2">
        <f>AH4222*S4222</f>
        <v>0</v>
      </c>
      <c r="AJ4222" s="2">
        <f>S4222-V4222</f>
        <v>240</v>
      </c>
      <c r="AK4222" s="5">
        <f>(S4222-V4222)/S4222</f>
        <v>1</v>
      </c>
    </row>
    <row r="4223" spans="1:37" x14ac:dyDescent="0.2">
      <c r="A4223" s="8">
        <v>2026</v>
      </c>
      <c r="B4223" s="8">
        <v>6</v>
      </c>
      <c r="C4223" s="2" t="s">
        <v>2067</v>
      </c>
      <c r="O4223" s="2" t="s">
        <v>170</v>
      </c>
      <c r="P4223" s="2" t="s">
        <v>171</v>
      </c>
      <c r="Q4223" s="2" t="s">
        <v>171</v>
      </c>
      <c r="R4223" s="9">
        <v>1</v>
      </c>
      <c r="S4223" s="10">
        <v>30</v>
      </c>
      <c r="W4223" s="2"/>
      <c r="AH4223" s="2"/>
      <c r="AK4223" s="2"/>
    </row>
    <row r="4224" spans="1:37" x14ac:dyDescent="0.2">
      <c r="A4224" s="8">
        <v>2026</v>
      </c>
      <c r="B4224" s="8">
        <v>6</v>
      </c>
      <c r="C4224" s="2" t="s">
        <v>2067</v>
      </c>
      <c r="O4224" s="2" t="s">
        <v>94</v>
      </c>
      <c r="P4224" s="2" t="s">
        <v>95</v>
      </c>
      <c r="Q4224" s="2" t="s">
        <v>96</v>
      </c>
      <c r="R4224" s="9">
        <v>1</v>
      </c>
      <c r="S4224" s="10">
        <v>1.48</v>
      </c>
      <c r="T4224" s="2">
        <f>S4224*23%</f>
        <v>0.34040000000000004</v>
      </c>
      <c r="U4224" s="10">
        <f>S4224+T4224</f>
        <v>1.8204</v>
      </c>
      <c r="V4224" s="2">
        <f>1.48*R4224</f>
        <v>1.48</v>
      </c>
      <c r="W4224" s="5">
        <f>(S4224-V4224)/S4224</f>
        <v>0</v>
      </c>
      <c r="Y4224" s="2" t="s">
        <v>3256</v>
      </c>
      <c r="Z4224" s="2" t="s">
        <v>97</v>
      </c>
      <c r="AA4224" s="2" t="s">
        <v>77</v>
      </c>
      <c r="AB4224" s="2" t="s">
        <v>94</v>
      </c>
      <c r="AE4224" s="2">
        <f>AI4224</f>
        <v>0</v>
      </c>
      <c r="AF4224" s="2">
        <v>1.48</v>
      </c>
      <c r="AG4224" s="2">
        <v>1.48</v>
      </c>
      <c r="AH4224" s="2"/>
      <c r="AI4224" s="2">
        <f>AH4224*S4224</f>
        <v>0</v>
      </c>
      <c r="AJ4224" s="2">
        <f>S4224-V4224</f>
        <v>0</v>
      </c>
      <c r="AK4224" s="5">
        <f>(S4224-V4224)/S4224</f>
        <v>0</v>
      </c>
    </row>
    <row r="4225" spans="1:37" x14ac:dyDescent="0.2">
      <c r="A4225" s="8">
        <v>2026</v>
      </c>
      <c r="B4225" s="8">
        <v>6</v>
      </c>
      <c r="C4225" s="2" t="s">
        <v>2069</v>
      </c>
      <c r="O4225" s="2" t="s">
        <v>115</v>
      </c>
      <c r="P4225" s="2" t="s">
        <v>2303</v>
      </c>
      <c r="Q4225" s="2" t="s">
        <v>2304</v>
      </c>
      <c r="R4225" s="9">
        <v>1</v>
      </c>
      <c r="S4225" s="10">
        <v>278.67</v>
      </c>
      <c r="W4225" s="2"/>
      <c r="AH4225" s="2"/>
      <c r="AK4225" s="2"/>
    </row>
    <row r="4226" spans="1:37" x14ac:dyDescent="0.2">
      <c r="A4226" s="8">
        <v>2026</v>
      </c>
      <c r="B4226" s="8">
        <v>6</v>
      </c>
      <c r="C4226" s="2" t="s">
        <v>2069</v>
      </c>
      <c r="L4226" s="2" t="s">
        <v>40</v>
      </c>
      <c r="O4226" s="2" t="s">
        <v>188</v>
      </c>
      <c r="P4226" s="2" t="s">
        <v>189</v>
      </c>
      <c r="Q4226" s="2" t="s">
        <v>190</v>
      </c>
      <c r="R4226" s="9">
        <v>1</v>
      </c>
      <c r="S4226" s="10">
        <v>147</v>
      </c>
      <c r="T4226" s="2">
        <f>S4226*23%</f>
        <v>33.81</v>
      </c>
      <c r="U4226" s="2">
        <f>S4226+T4226</f>
        <v>180.81</v>
      </c>
      <c r="V4226" s="2">
        <f>S4226*40%</f>
        <v>58.800000000000004</v>
      </c>
      <c r="W4226" s="5">
        <f>(S4226-V4226)/S4226</f>
        <v>0.6</v>
      </c>
      <c r="Y4226" s="2" t="s">
        <v>118</v>
      </c>
      <c r="Z4226" s="2" t="s">
        <v>191</v>
      </c>
      <c r="AF4226" s="2">
        <f>V4226</f>
        <v>58.800000000000004</v>
      </c>
      <c r="AH4226" s="2"/>
      <c r="AI4226" s="2">
        <f>AH4226*S4226</f>
        <v>0</v>
      </c>
      <c r="AJ4226" s="2">
        <f>S4226-V4226</f>
        <v>88.199999999999989</v>
      </c>
      <c r="AK4226" s="5">
        <f>(S4226-V4226)/S4226</f>
        <v>0.6</v>
      </c>
    </row>
    <row r="4227" spans="1:37" x14ac:dyDescent="0.2">
      <c r="A4227" s="8">
        <v>2026</v>
      </c>
      <c r="B4227" s="8">
        <v>6</v>
      </c>
      <c r="C4227" s="2" t="s">
        <v>2069</v>
      </c>
      <c r="L4227" s="2" t="s">
        <v>40</v>
      </c>
      <c r="O4227" s="2" t="s">
        <v>188</v>
      </c>
      <c r="P4227" s="2" t="s">
        <v>192</v>
      </c>
      <c r="Q4227" s="2" t="s">
        <v>191</v>
      </c>
      <c r="R4227" s="9">
        <v>2</v>
      </c>
      <c r="S4227" s="10">
        <v>110</v>
      </c>
      <c r="T4227" s="2">
        <f>S4227*23%</f>
        <v>25.3</v>
      </c>
      <c r="U4227" s="2">
        <f>S4227+T4227</f>
        <v>135.30000000000001</v>
      </c>
      <c r="V4227" s="2">
        <f>S4227*50%</f>
        <v>55</v>
      </c>
      <c r="W4227" s="5">
        <f>(S4227-V4227)/S4227</f>
        <v>0.5</v>
      </c>
      <c r="Y4227" s="2" t="s">
        <v>118</v>
      </c>
      <c r="Z4227" s="2" t="s">
        <v>191</v>
      </c>
      <c r="AE4227" s="2">
        <f>AI4227</f>
        <v>0</v>
      </c>
      <c r="AF4227" s="2">
        <f>V4227</f>
        <v>55</v>
      </c>
      <c r="AH4227" s="2"/>
      <c r="AI4227" s="2">
        <f>AH4227*S4227</f>
        <v>0</v>
      </c>
      <c r="AJ4227" s="2">
        <f>S4227-V4227</f>
        <v>55</v>
      </c>
      <c r="AK4227" s="5">
        <f>(S4227-V4227)/S4227</f>
        <v>0.5</v>
      </c>
    </row>
    <row r="4228" spans="1:37" x14ac:dyDescent="0.2">
      <c r="A4228" s="8">
        <v>2026</v>
      </c>
      <c r="B4228" s="8">
        <v>6</v>
      </c>
      <c r="C4228" s="2" t="s">
        <v>2926</v>
      </c>
      <c r="O4228" s="2" t="s">
        <v>283</v>
      </c>
      <c r="P4228" s="2" t="s">
        <v>404</v>
      </c>
      <c r="Q4228" s="2" t="s">
        <v>405</v>
      </c>
      <c r="R4228" s="9">
        <v>2</v>
      </c>
      <c r="S4228" s="10">
        <v>58</v>
      </c>
      <c r="W4228" s="2"/>
      <c r="AH4228" s="2"/>
      <c r="AK4228" s="2"/>
    </row>
    <row r="4229" spans="1:37" x14ac:dyDescent="0.2">
      <c r="A4229" s="8">
        <v>2026</v>
      </c>
      <c r="B4229" s="8">
        <v>6</v>
      </c>
      <c r="C4229" s="2" t="s">
        <v>534</v>
      </c>
      <c r="D4229" s="2" t="s">
        <v>109</v>
      </c>
      <c r="E4229" s="2" t="s">
        <v>535</v>
      </c>
      <c r="F4229" s="2">
        <v>502139552</v>
      </c>
      <c r="G4229" s="2" t="s">
        <v>40</v>
      </c>
      <c r="H4229" s="2" t="s">
        <v>340</v>
      </c>
      <c r="I4229" s="2" t="s">
        <v>536</v>
      </c>
      <c r="K4229" s="2" t="s">
        <v>340</v>
      </c>
      <c r="L4229" s="2" t="s">
        <v>81</v>
      </c>
      <c r="O4229" s="2" t="s">
        <v>73</v>
      </c>
      <c r="P4229" s="2" t="s">
        <v>74</v>
      </c>
      <c r="Q4229" s="2" t="s">
        <v>75</v>
      </c>
      <c r="R4229" s="9">
        <v>1</v>
      </c>
      <c r="S4229" s="10">
        <v>219.88</v>
      </c>
      <c r="T4229" s="2">
        <f>S4229*23%</f>
        <v>50.572400000000002</v>
      </c>
      <c r="U4229" s="10">
        <f>S4229+T4229</f>
        <v>270.45240000000001</v>
      </c>
      <c r="V4229" s="2">
        <v>125.51600000000001</v>
      </c>
      <c r="W4229" s="5">
        <f>(S4229-V4229)/S4229</f>
        <v>0.429161360742223</v>
      </c>
      <c r="Y4229" s="2" t="s">
        <v>3256</v>
      </c>
      <c r="Z4229" s="2" t="s">
        <v>76</v>
      </c>
      <c r="AA4229" s="2" t="s">
        <v>77</v>
      </c>
      <c r="AB4229" s="2" t="s">
        <v>78</v>
      </c>
      <c r="AE4229" s="2">
        <f>AI4229</f>
        <v>0</v>
      </c>
      <c r="AF4229" s="2">
        <v>125.51600000000001</v>
      </c>
      <c r="AG4229" s="2">
        <v>220</v>
      </c>
      <c r="AH4229" s="2"/>
      <c r="AI4229" s="2">
        <f>AH4229*S4229</f>
        <v>0</v>
      </c>
      <c r="AJ4229" s="2">
        <f>S4229-V4229</f>
        <v>94.36399999999999</v>
      </c>
      <c r="AK4229" s="5">
        <f>(S4229-V4229)/S4229</f>
        <v>0.429161360742223</v>
      </c>
    </row>
    <row r="4230" spans="1:37" x14ac:dyDescent="0.2">
      <c r="A4230" s="8">
        <v>2026</v>
      </c>
      <c r="B4230" s="8">
        <v>6</v>
      </c>
      <c r="C4230" s="2" t="s">
        <v>534</v>
      </c>
      <c r="D4230" s="2" t="s">
        <v>109</v>
      </c>
      <c r="E4230" s="2" t="s">
        <v>535</v>
      </c>
      <c r="F4230" s="2">
        <v>502139552</v>
      </c>
      <c r="G4230" s="2" t="s">
        <v>40</v>
      </c>
      <c r="H4230" s="2" t="s">
        <v>340</v>
      </c>
      <c r="I4230" s="2" t="s">
        <v>536</v>
      </c>
      <c r="K4230" s="2" t="s">
        <v>340</v>
      </c>
      <c r="L4230" s="2" t="s">
        <v>81</v>
      </c>
      <c r="N4230" s="2" t="s">
        <v>3180</v>
      </c>
      <c r="O4230" s="2" t="s">
        <v>1047</v>
      </c>
      <c r="P4230" s="2" t="s">
        <v>1852</v>
      </c>
      <c r="Q4230" s="2" t="s">
        <v>1853</v>
      </c>
      <c r="R4230" s="9">
        <v>1</v>
      </c>
      <c r="S4230" s="10">
        <v>269.56</v>
      </c>
      <c r="T4230" s="2">
        <f>S4230*23%</f>
        <v>61.998800000000003</v>
      </c>
      <c r="U4230" s="2">
        <f>S4230+T4230</f>
        <v>331.55880000000002</v>
      </c>
      <c r="V4230" s="2">
        <v>157.85</v>
      </c>
      <c r="W4230" s="5">
        <f>(S4230-V4230)/S4230</f>
        <v>0.4144160854726221</v>
      </c>
      <c r="Y4230" s="2" t="s">
        <v>3256</v>
      </c>
      <c r="Z4230" s="2" t="s">
        <v>76</v>
      </c>
      <c r="AA4230" s="2" t="s">
        <v>77</v>
      </c>
      <c r="AB4230" s="2" t="s">
        <v>1047</v>
      </c>
      <c r="AE4230" s="2">
        <f>AI4230</f>
        <v>0</v>
      </c>
      <c r="AF4230" s="2">
        <v>157.85</v>
      </c>
      <c r="AH4230" s="2"/>
      <c r="AI4230" s="2">
        <f>AH4230*S4230</f>
        <v>0</v>
      </c>
      <c r="AJ4230" s="2">
        <f>S4230-V4230</f>
        <v>111.71000000000001</v>
      </c>
      <c r="AK4230" s="5">
        <f>(S4230-V4230)/S4230</f>
        <v>0.4144160854726221</v>
      </c>
    </row>
    <row r="4231" spans="1:37" x14ac:dyDescent="0.2">
      <c r="A4231" s="8">
        <v>2026</v>
      </c>
      <c r="B4231" s="8">
        <v>6</v>
      </c>
      <c r="C4231" s="2" t="s">
        <v>534</v>
      </c>
      <c r="D4231" s="2" t="s">
        <v>109</v>
      </c>
      <c r="E4231" s="2" t="s">
        <v>535</v>
      </c>
      <c r="F4231" s="2">
        <v>502139552</v>
      </c>
      <c r="G4231" s="2" t="s">
        <v>40</v>
      </c>
      <c r="H4231" s="2" t="s">
        <v>340</v>
      </c>
      <c r="I4231" s="2" t="s">
        <v>536</v>
      </c>
      <c r="K4231" s="2" t="s">
        <v>340</v>
      </c>
      <c r="L4231" s="2" t="s">
        <v>81</v>
      </c>
      <c r="O4231" s="2" t="s">
        <v>40</v>
      </c>
      <c r="P4231" s="2" t="s">
        <v>141</v>
      </c>
      <c r="Q4231" s="2" t="s">
        <v>142</v>
      </c>
      <c r="R4231" s="9">
        <v>-1</v>
      </c>
      <c r="S4231" s="10">
        <v>-20.65</v>
      </c>
      <c r="W4231" s="2"/>
      <c r="Y4231" s="2" t="s">
        <v>120</v>
      </c>
      <c r="Z4231" s="2" t="s">
        <v>143</v>
      </c>
      <c r="AH4231" s="2"/>
      <c r="AK4231" s="2"/>
    </row>
    <row r="4232" spans="1:37" x14ac:dyDescent="0.2">
      <c r="A4232" s="8">
        <v>2026</v>
      </c>
      <c r="B4232" s="8">
        <v>6</v>
      </c>
      <c r="C4232" s="2" t="s">
        <v>534</v>
      </c>
      <c r="D4232" s="2" t="s">
        <v>109</v>
      </c>
      <c r="E4232" s="2" t="s">
        <v>535</v>
      </c>
      <c r="F4232" s="2">
        <v>502139552</v>
      </c>
      <c r="G4232" s="2" t="s">
        <v>40</v>
      </c>
      <c r="H4232" s="2" t="s">
        <v>340</v>
      </c>
      <c r="I4232" s="2" t="s">
        <v>536</v>
      </c>
      <c r="K4232" s="2" t="s">
        <v>340</v>
      </c>
      <c r="L4232" s="2" t="s">
        <v>81</v>
      </c>
      <c r="O4232" s="2" t="s">
        <v>94</v>
      </c>
      <c r="P4232" s="2" t="s">
        <v>95</v>
      </c>
      <c r="Q4232" s="2" t="s">
        <v>96</v>
      </c>
      <c r="R4232" s="9">
        <v>2</v>
      </c>
      <c r="S4232" s="10">
        <v>2.96</v>
      </c>
      <c r="T4232" s="2">
        <f t="shared" ref="T4232:T4237" si="483">S4232*23%</f>
        <v>0.68080000000000007</v>
      </c>
      <c r="U4232" s="10">
        <f t="shared" ref="U4232:U4237" si="484">S4232+T4232</f>
        <v>3.6408</v>
      </c>
      <c r="V4232" s="2">
        <f>1.48*R4232</f>
        <v>2.96</v>
      </c>
      <c r="W4232" s="5">
        <f t="shared" ref="W4232:W4237" si="485">(S4232-V4232)/S4232</f>
        <v>0</v>
      </c>
      <c r="Y4232" s="2" t="s">
        <v>3256</v>
      </c>
      <c r="Z4232" s="2" t="s">
        <v>97</v>
      </c>
      <c r="AA4232" s="2" t="s">
        <v>77</v>
      </c>
      <c r="AB4232" s="2" t="s">
        <v>94</v>
      </c>
      <c r="AE4232" s="2">
        <f>AI4232</f>
        <v>0</v>
      </c>
      <c r="AF4232" s="2">
        <v>1.48</v>
      </c>
      <c r="AG4232" s="2">
        <v>1.48</v>
      </c>
      <c r="AH4232" s="2"/>
      <c r="AI4232" s="2">
        <f>AH4232*S4232</f>
        <v>0</v>
      </c>
      <c r="AJ4232" s="2">
        <f>S4232-V4232</f>
        <v>0</v>
      </c>
      <c r="AK4232" s="5">
        <f>(S4232-V4232)/S4232</f>
        <v>0</v>
      </c>
    </row>
    <row r="4233" spans="1:37" x14ac:dyDescent="0.2">
      <c r="A4233" s="8">
        <v>2026</v>
      </c>
      <c r="B4233" s="8">
        <v>6</v>
      </c>
      <c r="C4233" s="2" t="s">
        <v>2548</v>
      </c>
      <c r="O4233" s="2" t="s">
        <v>43</v>
      </c>
      <c r="P4233" s="2" t="s">
        <v>219</v>
      </c>
      <c r="Q4233" s="2" t="s">
        <v>220</v>
      </c>
      <c r="R4233" s="9">
        <v>1</v>
      </c>
      <c r="S4233" s="10">
        <v>23.4</v>
      </c>
      <c r="T4233" s="2">
        <f t="shared" si="483"/>
        <v>5.3819999999999997</v>
      </c>
      <c r="U4233" s="10">
        <f t="shared" si="484"/>
        <v>28.781999999999996</v>
      </c>
      <c r="W4233" s="5">
        <f t="shared" si="485"/>
        <v>1</v>
      </c>
      <c r="Y4233" s="2" t="s">
        <v>3256</v>
      </c>
      <c r="Z4233" s="2" t="s">
        <v>46</v>
      </c>
      <c r="AA4233" s="2" t="s">
        <v>57</v>
      </c>
      <c r="AB4233" s="2" t="s">
        <v>58</v>
      </c>
      <c r="AH4233" s="2"/>
      <c r="AK4233" s="2"/>
    </row>
    <row r="4234" spans="1:37" x14ac:dyDescent="0.2">
      <c r="A4234" s="8">
        <v>2026</v>
      </c>
      <c r="B4234" s="8">
        <v>6</v>
      </c>
      <c r="C4234" s="2" t="s">
        <v>2548</v>
      </c>
      <c r="O4234" s="2" t="s">
        <v>43</v>
      </c>
      <c r="P4234" s="2" t="s">
        <v>223</v>
      </c>
      <c r="Q4234" s="2" t="s">
        <v>224</v>
      </c>
      <c r="R4234" s="9">
        <v>1</v>
      </c>
      <c r="S4234" s="10">
        <v>30</v>
      </c>
      <c r="T4234" s="2">
        <f t="shared" si="483"/>
        <v>6.9</v>
      </c>
      <c r="U4234" s="10">
        <f t="shared" si="484"/>
        <v>36.9</v>
      </c>
      <c r="W4234" s="5">
        <f t="shared" si="485"/>
        <v>1</v>
      </c>
      <c r="Y4234" s="2" t="s">
        <v>3256</v>
      </c>
      <c r="Z4234" s="2" t="s">
        <v>46</v>
      </c>
      <c r="AA4234" s="2" t="s">
        <v>57</v>
      </c>
      <c r="AB4234" s="2" t="s">
        <v>58</v>
      </c>
      <c r="AH4234" s="2"/>
      <c r="AK4234" s="2"/>
    </row>
    <row r="4235" spans="1:37" x14ac:dyDescent="0.2">
      <c r="A4235" s="8">
        <v>2026</v>
      </c>
      <c r="B4235" s="8">
        <v>6</v>
      </c>
      <c r="C4235" s="2" t="s">
        <v>2548</v>
      </c>
      <c r="O4235" s="2" t="s">
        <v>43</v>
      </c>
      <c r="P4235" s="2" t="s">
        <v>239</v>
      </c>
      <c r="Q4235" s="2" t="s">
        <v>240</v>
      </c>
      <c r="R4235" s="9">
        <v>1</v>
      </c>
      <c r="S4235" s="10">
        <v>21</v>
      </c>
      <c r="T4235" s="2">
        <f t="shared" si="483"/>
        <v>4.83</v>
      </c>
      <c r="U4235" s="10">
        <f t="shared" si="484"/>
        <v>25.83</v>
      </c>
      <c r="W4235" s="5">
        <f t="shared" si="485"/>
        <v>1</v>
      </c>
      <c r="Y4235" s="2" t="s">
        <v>3256</v>
      </c>
      <c r="Z4235" s="2" t="s">
        <v>46</v>
      </c>
      <c r="AA4235" s="2" t="s">
        <v>57</v>
      </c>
      <c r="AB4235" s="2" t="s">
        <v>58</v>
      </c>
      <c r="AH4235" s="2"/>
      <c r="AK4235" s="2"/>
    </row>
    <row r="4236" spans="1:37" x14ac:dyDescent="0.2">
      <c r="A4236" s="8">
        <v>2026</v>
      </c>
      <c r="B4236" s="8">
        <v>6</v>
      </c>
      <c r="C4236" s="2" t="s">
        <v>2548</v>
      </c>
      <c r="O4236" s="2" t="s">
        <v>43</v>
      </c>
      <c r="P4236" s="2" t="s">
        <v>62</v>
      </c>
      <c r="Q4236" s="2" t="s">
        <v>63</v>
      </c>
      <c r="R4236" s="9">
        <v>300</v>
      </c>
      <c r="S4236" s="10">
        <v>39</v>
      </c>
      <c r="T4236" s="2">
        <f t="shared" si="483"/>
        <v>8.9700000000000006</v>
      </c>
      <c r="U4236" s="10">
        <f t="shared" si="484"/>
        <v>47.97</v>
      </c>
      <c r="W4236" s="5">
        <f t="shared" si="485"/>
        <v>1</v>
      </c>
      <c r="Y4236" s="2" t="s">
        <v>3256</v>
      </c>
      <c r="Z4236" s="2" t="s">
        <v>46</v>
      </c>
      <c r="AA4236" s="2" t="s">
        <v>61</v>
      </c>
      <c r="AB4236" s="2" t="s">
        <v>58</v>
      </c>
      <c r="AH4236" s="2"/>
      <c r="AK4236" s="2"/>
    </row>
    <row r="4237" spans="1:37" x14ac:dyDescent="0.2">
      <c r="A4237" s="8">
        <v>2026</v>
      </c>
      <c r="B4237" s="8">
        <v>6</v>
      </c>
      <c r="C4237" s="2" t="s">
        <v>2548</v>
      </c>
      <c r="O4237" s="2" t="s">
        <v>43</v>
      </c>
      <c r="P4237" s="2" t="s">
        <v>2989</v>
      </c>
      <c r="Q4237" s="2" t="s">
        <v>2990</v>
      </c>
      <c r="R4237" s="9">
        <v>2</v>
      </c>
      <c r="S4237" s="10">
        <v>36</v>
      </c>
      <c r="T4237" s="2">
        <f t="shared" si="483"/>
        <v>8.2800000000000011</v>
      </c>
      <c r="U4237" s="10">
        <f t="shared" si="484"/>
        <v>44.28</v>
      </c>
      <c r="W4237" s="5">
        <f t="shared" si="485"/>
        <v>1</v>
      </c>
      <c r="Y4237" s="2" t="s">
        <v>3256</v>
      </c>
      <c r="Z4237" s="2" t="s">
        <v>46</v>
      </c>
      <c r="AA4237" s="2" t="s">
        <v>57</v>
      </c>
      <c r="AB4237" s="2" t="s">
        <v>58</v>
      </c>
      <c r="AH4237" s="2"/>
      <c r="AK4237" s="2"/>
    </row>
    <row r="4238" spans="1:37" x14ac:dyDescent="0.2">
      <c r="A4238" s="8">
        <v>2026</v>
      </c>
      <c r="B4238" s="8">
        <v>6</v>
      </c>
      <c r="C4238" s="2" t="s">
        <v>2548</v>
      </c>
      <c r="O4238" s="2" t="s">
        <v>40</v>
      </c>
      <c r="P4238" s="2" t="s">
        <v>1318</v>
      </c>
      <c r="Q4238" s="2" t="s">
        <v>1319</v>
      </c>
      <c r="R4238" s="9">
        <v>1</v>
      </c>
      <c r="S4238" s="10">
        <v>0</v>
      </c>
      <c r="W4238" s="2"/>
      <c r="AH4238" s="2"/>
      <c r="AK4238" s="2"/>
    </row>
    <row r="4239" spans="1:37" x14ac:dyDescent="0.2">
      <c r="A4239" s="8">
        <v>2026</v>
      </c>
      <c r="B4239" s="8">
        <v>6</v>
      </c>
      <c r="C4239" s="2" t="s">
        <v>1281</v>
      </c>
      <c r="D4239" s="2" t="s">
        <v>109</v>
      </c>
      <c r="E4239" s="2" t="s">
        <v>39</v>
      </c>
      <c r="F4239" s="2">
        <v>502618540</v>
      </c>
      <c r="G4239" s="2" t="s">
        <v>41</v>
      </c>
      <c r="H4239" s="2" t="s">
        <v>1282</v>
      </c>
      <c r="I4239" s="2" t="s">
        <v>1283</v>
      </c>
      <c r="K4239" s="2" t="s">
        <v>178</v>
      </c>
      <c r="L4239" s="2" t="s">
        <v>41</v>
      </c>
      <c r="N4239" s="2" t="s">
        <v>3185</v>
      </c>
      <c r="O4239" s="2" t="s">
        <v>1047</v>
      </c>
      <c r="P4239" s="2" t="s">
        <v>3110</v>
      </c>
      <c r="Q4239" s="2" t="s">
        <v>3111</v>
      </c>
      <c r="R4239" s="9">
        <v>1</v>
      </c>
      <c r="S4239" s="10">
        <v>270</v>
      </c>
      <c r="T4239" s="2">
        <f>S4239*23%</f>
        <v>62.1</v>
      </c>
      <c r="U4239" s="2">
        <f>S4239+T4239</f>
        <v>332.1</v>
      </c>
      <c r="V4239" s="2">
        <v>141.16</v>
      </c>
      <c r="W4239" s="5">
        <f>(S4239-V4239)/S4239</f>
        <v>0.47718518518518521</v>
      </c>
      <c r="Y4239" s="2" t="s">
        <v>3256</v>
      </c>
      <c r="Z4239" s="2" t="s">
        <v>76</v>
      </c>
      <c r="AA4239" s="2" t="s">
        <v>77</v>
      </c>
      <c r="AB4239" s="2" t="s">
        <v>1047</v>
      </c>
      <c r="AE4239" s="2">
        <f>AI4239</f>
        <v>0</v>
      </c>
      <c r="AF4239" s="2">
        <v>141.16</v>
      </c>
      <c r="AH4239" s="2"/>
      <c r="AI4239" s="2">
        <f>AH4239*S4239</f>
        <v>0</v>
      </c>
      <c r="AJ4239" s="2">
        <f>S4239-V4239</f>
        <v>128.84</v>
      </c>
      <c r="AK4239" s="5">
        <f>(S4239-V4239)/S4239</f>
        <v>0.47718518518518521</v>
      </c>
    </row>
    <row r="4240" spans="1:37" x14ac:dyDescent="0.2">
      <c r="A4240" s="8">
        <v>2026</v>
      </c>
      <c r="B4240" s="8">
        <v>6</v>
      </c>
      <c r="C4240" s="2" t="s">
        <v>1281</v>
      </c>
      <c r="D4240" s="2" t="s">
        <v>109</v>
      </c>
      <c r="E4240" s="2" t="s">
        <v>39</v>
      </c>
      <c r="F4240" s="2">
        <v>502618540</v>
      </c>
      <c r="G4240" s="2" t="s">
        <v>41</v>
      </c>
      <c r="H4240" s="2" t="s">
        <v>1282</v>
      </c>
      <c r="I4240" s="2" t="s">
        <v>1283</v>
      </c>
      <c r="K4240" s="2" t="s">
        <v>178</v>
      </c>
      <c r="O4240" s="2" t="s">
        <v>94</v>
      </c>
      <c r="P4240" s="2" t="s">
        <v>95</v>
      </c>
      <c r="Q4240" s="2" t="s">
        <v>96</v>
      </c>
      <c r="R4240" s="9">
        <v>1</v>
      </c>
      <c r="S4240" s="10">
        <v>1.48</v>
      </c>
      <c r="T4240" s="2">
        <f>S4240*23%</f>
        <v>0.34040000000000004</v>
      </c>
      <c r="U4240" s="10">
        <f>S4240+T4240</f>
        <v>1.8204</v>
      </c>
      <c r="V4240" s="2">
        <f>1.48*R4240</f>
        <v>1.48</v>
      </c>
      <c r="W4240" s="5">
        <f>(S4240-V4240)/S4240</f>
        <v>0</v>
      </c>
      <c r="Y4240" s="2" t="s">
        <v>3256</v>
      </c>
      <c r="Z4240" s="2" t="s">
        <v>97</v>
      </c>
      <c r="AA4240" s="2" t="s">
        <v>77</v>
      </c>
      <c r="AB4240" s="2" t="s">
        <v>94</v>
      </c>
      <c r="AE4240" s="2">
        <f>AI4240</f>
        <v>0</v>
      </c>
      <c r="AF4240" s="2">
        <v>1.48</v>
      </c>
      <c r="AG4240" s="2">
        <v>1.48</v>
      </c>
      <c r="AH4240" s="2"/>
      <c r="AI4240" s="2">
        <f>AH4240*S4240</f>
        <v>0</v>
      </c>
      <c r="AJ4240" s="2">
        <f>S4240-V4240</f>
        <v>0</v>
      </c>
      <c r="AK4240" s="5">
        <f>(S4240-V4240)/S4240</f>
        <v>0</v>
      </c>
    </row>
    <row r="4241" spans="1:37" x14ac:dyDescent="0.2">
      <c r="A4241" s="8">
        <v>2026</v>
      </c>
      <c r="B4241" s="8">
        <v>6</v>
      </c>
      <c r="C4241" s="2" t="s">
        <v>3131</v>
      </c>
      <c r="O4241" s="2" t="s">
        <v>283</v>
      </c>
      <c r="P4241" s="2" t="s">
        <v>3112</v>
      </c>
      <c r="Q4241" s="2" t="s">
        <v>3113</v>
      </c>
      <c r="R4241" s="9">
        <v>1</v>
      </c>
      <c r="S4241" s="10">
        <v>2490</v>
      </c>
      <c r="W4241" s="2"/>
      <c r="AH4241" s="2"/>
      <c r="AK4241" s="2"/>
    </row>
    <row r="4242" spans="1:37" x14ac:dyDescent="0.2">
      <c r="A4242" s="8">
        <v>2026</v>
      </c>
      <c r="B4242" s="8">
        <v>6</v>
      </c>
      <c r="C4242" s="2" t="s">
        <v>3131</v>
      </c>
      <c r="O4242" s="2" t="s">
        <v>283</v>
      </c>
      <c r="P4242" s="2" t="s">
        <v>3114</v>
      </c>
      <c r="Q4242" s="2" t="s">
        <v>3115</v>
      </c>
      <c r="R4242" s="9">
        <v>1</v>
      </c>
      <c r="S4242" s="10">
        <v>2490</v>
      </c>
      <c r="W4242" s="2"/>
      <c r="AH4242" s="2"/>
      <c r="AK4242" s="2"/>
    </row>
    <row r="4243" spans="1:37" x14ac:dyDescent="0.2">
      <c r="A4243" s="8">
        <v>2026</v>
      </c>
      <c r="B4243" s="8">
        <v>6</v>
      </c>
      <c r="C4243" s="2" t="s">
        <v>2930</v>
      </c>
      <c r="O4243" s="2" t="s">
        <v>115</v>
      </c>
      <c r="P4243" s="2" t="s">
        <v>785</v>
      </c>
      <c r="Q4243" s="2" t="s">
        <v>786</v>
      </c>
      <c r="R4243" s="9">
        <v>2</v>
      </c>
      <c r="S4243" s="10">
        <v>157.18</v>
      </c>
      <c r="W4243" s="2"/>
      <c r="AH4243" s="2"/>
      <c r="AK4243" s="2"/>
    </row>
    <row r="4244" spans="1:37" x14ac:dyDescent="0.2">
      <c r="A4244" s="8">
        <v>2026</v>
      </c>
      <c r="B4244" s="8">
        <v>6</v>
      </c>
      <c r="C4244" s="2" t="s">
        <v>2930</v>
      </c>
      <c r="O4244" s="2" t="s">
        <v>115</v>
      </c>
      <c r="P4244" s="2" t="s">
        <v>565</v>
      </c>
      <c r="Q4244" s="2" t="s">
        <v>566</v>
      </c>
      <c r="R4244" s="9">
        <v>2</v>
      </c>
      <c r="S4244" s="10">
        <v>28.57</v>
      </c>
      <c r="W4244" s="2"/>
      <c r="AH4244" s="2"/>
      <c r="AK4244" s="2"/>
    </row>
    <row r="4245" spans="1:37" x14ac:dyDescent="0.2">
      <c r="A4245" s="8">
        <v>2026</v>
      </c>
      <c r="B4245" s="8">
        <v>6</v>
      </c>
      <c r="C4245" s="2" t="s">
        <v>579</v>
      </c>
      <c r="D4245" s="2" t="s">
        <v>38</v>
      </c>
      <c r="E4245" s="2" t="s">
        <v>39</v>
      </c>
      <c r="F4245" s="2">
        <v>504811029</v>
      </c>
      <c r="G4245" s="2" t="s">
        <v>41</v>
      </c>
      <c r="H4245" s="2" t="s">
        <v>178</v>
      </c>
      <c r="I4245" s="2" t="s">
        <v>580</v>
      </c>
      <c r="K4245" s="2" t="s">
        <v>178</v>
      </c>
      <c r="L4245" s="2" t="s">
        <v>41</v>
      </c>
      <c r="O4245" s="2" t="s">
        <v>43</v>
      </c>
      <c r="P4245" s="2" t="s">
        <v>62</v>
      </c>
      <c r="Q4245" s="2" t="s">
        <v>63</v>
      </c>
      <c r="R4245" s="9">
        <v>1000</v>
      </c>
      <c r="S4245" s="10">
        <v>110</v>
      </c>
      <c r="T4245" s="2">
        <f>S4245*23%</f>
        <v>25.3</v>
      </c>
      <c r="U4245" s="10">
        <f>S4245+T4245</f>
        <v>135.30000000000001</v>
      </c>
      <c r="W4245" s="5">
        <f>(S4245-V4245)/S4245</f>
        <v>1</v>
      </c>
      <c r="Y4245" s="2" t="s">
        <v>3256</v>
      </c>
      <c r="Z4245" s="2" t="s">
        <v>46</v>
      </c>
      <c r="AA4245" s="2" t="s">
        <v>61</v>
      </c>
      <c r="AB4245" s="2" t="s">
        <v>58</v>
      </c>
      <c r="AH4245" s="2"/>
      <c r="AK4245" s="2"/>
    </row>
    <row r="4246" spans="1:37" x14ac:dyDescent="0.2">
      <c r="A4246" s="8">
        <v>2026</v>
      </c>
      <c r="B4246" s="8">
        <v>6</v>
      </c>
      <c r="C4246" s="2" t="s">
        <v>586</v>
      </c>
      <c r="O4246" s="2" t="s">
        <v>115</v>
      </c>
      <c r="P4246" s="2" t="s">
        <v>797</v>
      </c>
      <c r="Q4246" s="2" t="s">
        <v>798</v>
      </c>
      <c r="R4246" s="9">
        <v>1</v>
      </c>
      <c r="S4246" s="10">
        <v>187.92</v>
      </c>
      <c r="W4246" s="2"/>
      <c r="AH4246" s="2"/>
      <c r="AK4246" s="2"/>
    </row>
    <row r="4247" spans="1:37" x14ac:dyDescent="0.2">
      <c r="A4247" s="8">
        <v>2026</v>
      </c>
      <c r="B4247" s="8">
        <v>6</v>
      </c>
      <c r="C4247" s="2" t="s">
        <v>586</v>
      </c>
      <c r="O4247" s="2" t="s">
        <v>115</v>
      </c>
      <c r="P4247" s="2" t="s">
        <v>801</v>
      </c>
      <c r="Q4247" s="2" t="s">
        <v>3007</v>
      </c>
      <c r="R4247" s="9">
        <v>1</v>
      </c>
      <c r="S4247" s="10">
        <v>28.38</v>
      </c>
      <c r="W4247" s="2"/>
      <c r="AH4247" s="2"/>
      <c r="AK4247" s="2"/>
    </row>
    <row r="4248" spans="1:37" x14ac:dyDescent="0.2">
      <c r="A4248" s="8">
        <v>2026</v>
      </c>
      <c r="B4248" s="8">
        <v>6</v>
      </c>
      <c r="C4248" s="2" t="s">
        <v>586</v>
      </c>
      <c r="L4248" s="2" t="s">
        <v>40</v>
      </c>
      <c r="O4248" s="2" t="s">
        <v>188</v>
      </c>
      <c r="P4248" s="2" t="s">
        <v>189</v>
      </c>
      <c r="Q4248" s="2" t="s">
        <v>190</v>
      </c>
      <c r="R4248" s="9">
        <v>1</v>
      </c>
      <c r="S4248" s="10">
        <v>94</v>
      </c>
      <c r="T4248" s="2">
        <f>S4248*23%</f>
        <v>21.62</v>
      </c>
      <c r="U4248" s="2">
        <f>S4248+T4248</f>
        <v>115.62</v>
      </c>
      <c r="V4248" s="2">
        <f>S4248*40%</f>
        <v>37.6</v>
      </c>
      <c r="W4248" s="5">
        <f>(S4248-V4248)/S4248</f>
        <v>0.6</v>
      </c>
      <c r="Y4248" s="2" t="s">
        <v>118</v>
      </c>
      <c r="Z4248" s="2" t="s">
        <v>191</v>
      </c>
      <c r="AF4248" s="2">
        <f>V4248</f>
        <v>37.6</v>
      </c>
      <c r="AH4248" s="2"/>
      <c r="AI4248" s="2">
        <f>AH4248*S4248</f>
        <v>0</v>
      </c>
      <c r="AJ4248" s="2">
        <f>S4248-V4248</f>
        <v>56.4</v>
      </c>
      <c r="AK4248" s="5">
        <f>(S4248-V4248)/S4248</f>
        <v>0.6</v>
      </c>
    </row>
    <row r="4249" spans="1:37" x14ac:dyDescent="0.2">
      <c r="A4249" s="8">
        <v>2026</v>
      </c>
      <c r="B4249" s="8">
        <v>6</v>
      </c>
      <c r="C4249" s="2" t="s">
        <v>586</v>
      </c>
      <c r="L4249" s="2" t="s">
        <v>40</v>
      </c>
      <c r="O4249" s="2" t="s">
        <v>188</v>
      </c>
      <c r="P4249" s="2" t="s">
        <v>192</v>
      </c>
      <c r="Q4249" s="2" t="s">
        <v>191</v>
      </c>
      <c r="R4249" s="9">
        <v>1</v>
      </c>
      <c r="S4249" s="10">
        <v>55</v>
      </c>
      <c r="T4249" s="2">
        <f>S4249*23%</f>
        <v>12.65</v>
      </c>
      <c r="U4249" s="2">
        <f>S4249+T4249</f>
        <v>67.650000000000006</v>
      </c>
      <c r="V4249" s="2">
        <f>S4249*50%</f>
        <v>27.5</v>
      </c>
      <c r="W4249" s="5">
        <f>(S4249-V4249)/S4249</f>
        <v>0.5</v>
      </c>
      <c r="Y4249" s="2" t="s">
        <v>118</v>
      </c>
      <c r="Z4249" s="2" t="s">
        <v>191</v>
      </c>
      <c r="AE4249" s="2">
        <f>AI4249</f>
        <v>0</v>
      </c>
      <c r="AF4249" s="2">
        <f>V4249</f>
        <v>27.5</v>
      </c>
      <c r="AH4249" s="2"/>
      <c r="AI4249" s="2">
        <f>AH4249*S4249</f>
        <v>0</v>
      </c>
      <c r="AJ4249" s="2">
        <f>S4249-V4249</f>
        <v>27.5</v>
      </c>
      <c r="AK4249" s="5">
        <f>(S4249-V4249)/S4249</f>
        <v>0.5</v>
      </c>
    </row>
    <row r="4250" spans="1:37" x14ac:dyDescent="0.2">
      <c r="A4250" s="8">
        <v>2026</v>
      </c>
      <c r="B4250" s="8">
        <v>6</v>
      </c>
      <c r="C4250" s="2" t="s">
        <v>586</v>
      </c>
      <c r="O4250" s="2" t="s">
        <v>40</v>
      </c>
      <c r="P4250" s="2" t="s">
        <v>364</v>
      </c>
      <c r="Q4250" s="2" t="s">
        <v>365</v>
      </c>
      <c r="R4250" s="9">
        <v>1</v>
      </c>
      <c r="S4250" s="10">
        <v>87.5</v>
      </c>
      <c r="W4250" s="2"/>
      <c r="AH4250" s="2"/>
      <c r="AK4250" s="2"/>
    </row>
    <row r="4251" spans="1:37" x14ac:dyDescent="0.2">
      <c r="A4251" s="8">
        <v>2026</v>
      </c>
      <c r="B4251" s="8">
        <v>6</v>
      </c>
      <c r="C4251" s="2" t="s">
        <v>587</v>
      </c>
      <c r="O4251" s="2" t="s">
        <v>73</v>
      </c>
      <c r="P4251" s="2" t="s">
        <v>1081</v>
      </c>
      <c r="Q4251" s="2" t="s">
        <v>383</v>
      </c>
      <c r="R4251" s="9">
        <v>1</v>
      </c>
      <c r="S4251" s="10">
        <v>257.60000000000002</v>
      </c>
      <c r="T4251" s="2">
        <f t="shared" ref="T4251:T4260" si="486">S4251*23%</f>
        <v>59.248000000000005</v>
      </c>
      <c r="U4251" s="10">
        <f t="shared" ref="U4251:U4261" si="487">S4251+T4251</f>
        <v>316.84800000000001</v>
      </c>
      <c r="W4251" s="5">
        <f t="shared" ref="W4251:W4263" si="488">(S4251-V4251)/S4251</f>
        <v>1</v>
      </c>
      <c r="Y4251" s="2" t="s">
        <v>3256</v>
      </c>
      <c r="Z4251" s="2" t="s">
        <v>76</v>
      </c>
      <c r="AA4251" s="2" t="s">
        <v>77</v>
      </c>
      <c r="AB4251" s="2" t="s">
        <v>78</v>
      </c>
      <c r="AE4251" s="2">
        <f>AI4251</f>
        <v>0</v>
      </c>
      <c r="AF4251" s="2">
        <v>125.51600000000001</v>
      </c>
      <c r="AG4251" s="2">
        <v>220</v>
      </c>
      <c r="AH4251" s="2"/>
      <c r="AI4251" s="2">
        <f>AH4251*S4251</f>
        <v>0</v>
      </c>
      <c r="AJ4251" s="2">
        <f>S4251-V4251</f>
        <v>257.60000000000002</v>
      </c>
      <c r="AK4251" s="5">
        <f>(S4251-V4251)/S4251</f>
        <v>1</v>
      </c>
    </row>
    <row r="4252" spans="1:37" x14ac:dyDescent="0.2">
      <c r="A4252" s="8">
        <v>2026</v>
      </c>
      <c r="B4252" s="8">
        <v>6</v>
      </c>
      <c r="C4252" s="2" t="s">
        <v>587</v>
      </c>
      <c r="L4252" s="2" t="s">
        <v>81</v>
      </c>
      <c r="N4252" s="2" t="s">
        <v>3187</v>
      </c>
      <c r="O4252" s="2" t="s">
        <v>1047</v>
      </c>
      <c r="P4252" s="2" t="s">
        <v>2764</v>
      </c>
      <c r="Q4252" s="2" t="s">
        <v>2765</v>
      </c>
      <c r="R4252" s="9">
        <v>1</v>
      </c>
      <c r="S4252" s="10">
        <v>414</v>
      </c>
      <c r="T4252" s="2">
        <f t="shared" si="486"/>
        <v>95.22</v>
      </c>
      <c r="U4252" s="2">
        <f t="shared" si="487"/>
        <v>509.22</v>
      </c>
      <c r="V4252" s="2">
        <v>270.60000000000002</v>
      </c>
      <c r="W4252" s="5">
        <f t="shared" si="488"/>
        <v>0.34637681159420286</v>
      </c>
      <c r="Y4252" s="2" t="s">
        <v>3256</v>
      </c>
      <c r="Z4252" s="2" t="s">
        <v>76</v>
      </c>
      <c r="AA4252" s="2" t="s">
        <v>77</v>
      </c>
      <c r="AB4252" s="2" t="s">
        <v>1047</v>
      </c>
      <c r="AE4252" s="2">
        <f>AI4252</f>
        <v>0</v>
      </c>
      <c r="AF4252" s="2">
        <v>270.60000000000002</v>
      </c>
      <c r="AH4252" s="2"/>
      <c r="AI4252" s="2">
        <f>AH4252*S4252</f>
        <v>0</v>
      </c>
      <c r="AJ4252" s="2">
        <f>S4252-V4252</f>
        <v>143.39999999999998</v>
      </c>
      <c r="AK4252" s="5">
        <f>(S4252-V4252)/S4252</f>
        <v>0.34637681159420286</v>
      </c>
    </row>
    <row r="4253" spans="1:37" x14ac:dyDescent="0.2">
      <c r="A4253" s="8">
        <v>2026</v>
      </c>
      <c r="B4253" s="8">
        <v>6</v>
      </c>
      <c r="C4253" s="2" t="s">
        <v>587</v>
      </c>
      <c r="O4253" s="2" t="s">
        <v>94</v>
      </c>
      <c r="P4253" s="2" t="s">
        <v>95</v>
      </c>
      <c r="Q4253" s="2" t="s">
        <v>96</v>
      </c>
      <c r="R4253" s="9">
        <v>2</v>
      </c>
      <c r="S4253" s="10">
        <v>2.96</v>
      </c>
      <c r="T4253" s="2">
        <f t="shared" si="486"/>
        <v>0.68080000000000007</v>
      </c>
      <c r="U4253" s="10">
        <f t="shared" si="487"/>
        <v>3.6408</v>
      </c>
      <c r="V4253" s="2">
        <f>1.48*R4253</f>
        <v>2.96</v>
      </c>
      <c r="W4253" s="5">
        <f t="shared" si="488"/>
        <v>0</v>
      </c>
      <c r="Y4253" s="2" t="s">
        <v>3256</v>
      </c>
      <c r="Z4253" s="2" t="s">
        <v>97</v>
      </c>
      <c r="AA4253" s="2" t="s">
        <v>77</v>
      </c>
      <c r="AB4253" s="2" t="s">
        <v>94</v>
      </c>
      <c r="AE4253" s="2">
        <f>AI4253</f>
        <v>0</v>
      </c>
      <c r="AF4253" s="2">
        <v>1.48</v>
      </c>
      <c r="AG4253" s="2">
        <v>1.48</v>
      </c>
      <c r="AH4253" s="2"/>
      <c r="AI4253" s="2">
        <f>AH4253*S4253</f>
        <v>0</v>
      </c>
      <c r="AJ4253" s="2">
        <f>S4253-V4253</f>
        <v>0</v>
      </c>
      <c r="AK4253" s="5">
        <f>(S4253-V4253)/S4253</f>
        <v>0</v>
      </c>
    </row>
    <row r="4254" spans="1:37" x14ac:dyDescent="0.2">
      <c r="A4254" s="8">
        <v>2026</v>
      </c>
      <c r="B4254" s="8">
        <v>6</v>
      </c>
      <c r="C4254" s="2" t="s">
        <v>593</v>
      </c>
      <c r="D4254" s="2" t="s">
        <v>38</v>
      </c>
      <c r="E4254" s="2" t="s">
        <v>39</v>
      </c>
      <c r="F4254" s="2">
        <v>510339298</v>
      </c>
      <c r="G4254" s="2" t="s">
        <v>41</v>
      </c>
      <c r="H4254" s="2" t="s">
        <v>178</v>
      </c>
      <c r="I4254" s="2" t="s">
        <v>594</v>
      </c>
      <c r="K4254" s="2" t="s">
        <v>178</v>
      </c>
      <c r="O4254" s="2" t="s">
        <v>43</v>
      </c>
      <c r="P4254" s="2" t="s">
        <v>161</v>
      </c>
      <c r="Q4254" s="2" t="s">
        <v>162</v>
      </c>
      <c r="R4254" s="9">
        <v>1</v>
      </c>
      <c r="S4254" s="10">
        <v>9</v>
      </c>
      <c r="T4254" s="2">
        <f t="shared" si="486"/>
        <v>2.0700000000000003</v>
      </c>
      <c r="U4254" s="10">
        <f t="shared" si="487"/>
        <v>11.07</v>
      </c>
      <c r="W4254" s="5">
        <f t="shared" si="488"/>
        <v>1</v>
      </c>
      <c r="Y4254" s="2" t="s">
        <v>3256</v>
      </c>
      <c r="Z4254" s="2" t="s">
        <v>46</v>
      </c>
      <c r="AH4254" s="2"/>
      <c r="AK4254" s="2"/>
    </row>
    <row r="4255" spans="1:37" x14ac:dyDescent="0.2">
      <c r="A4255" s="8">
        <v>2026</v>
      </c>
      <c r="B4255" s="8">
        <v>6</v>
      </c>
      <c r="C4255" s="2" t="s">
        <v>611</v>
      </c>
      <c r="D4255" s="2" t="s">
        <v>109</v>
      </c>
      <c r="E4255" s="2" t="s">
        <v>39</v>
      </c>
      <c r="F4255" s="2">
        <v>504822187</v>
      </c>
      <c r="G4255" s="2" t="s">
        <v>110</v>
      </c>
      <c r="H4255" s="2" t="s">
        <v>612</v>
      </c>
      <c r="I4255" s="2" t="s">
        <v>613</v>
      </c>
      <c r="J4255" s="2">
        <v>966216853</v>
      </c>
      <c r="K4255" s="2" t="s">
        <v>465</v>
      </c>
      <c r="O4255" s="2" t="s">
        <v>73</v>
      </c>
      <c r="P4255" s="2" t="s">
        <v>919</v>
      </c>
      <c r="Q4255" s="2" t="s">
        <v>75</v>
      </c>
      <c r="R4255" s="9">
        <v>1</v>
      </c>
      <c r="S4255" s="10">
        <v>211.6</v>
      </c>
      <c r="T4255" s="2">
        <f t="shared" si="486"/>
        <v>48.667999999999999</v>
      </c>
      <c r="U4255" s="10">
        <f t="shared" si="487"/>
        <v>260.26799999999997</v>
      </c>
      <c r="W4255" s="5">
        <f t="shared" si="488"/>
        <v>1</v>
      </c>
      <c r="Y4255" s="2" t="s">
        <v>3256</v>
      </c>
      <c r="Z4255" s="2" t="s">
        <v>76</v>
      </c>
      <c r="AA4255" s="2" t="s">
        <v>77</v>
      </c>
      <c r="AB4255" s="2" t="s">
        <v>78</v>
      </c>
      <c r="AE4255" s="2">
        <f>AI4255</f>
        <v>0</v>
      </c>
      <c r="AF4255" s="2">
        <v>125.51600000000001</v>
      </c>
      <c r="AG4255" s="2">
        <v>220</v>
      </c>
      <c r="AH4255" s="2"/>
      <c r="AI4255" s="2">
        <f>AH4255*S4255</f>
        <v>0</v>
      </c>
      <c r="AJ4255" s="2">
        <f>S4255-V4255</f>
        <v>211.6</v>
      </c>
      <c r="AK4255" s="5">
        <f>(S4255-V4255)/S4255</f>
        <v>1</v>
      </c>
    </row>
    <row r="4256" spans="1:37" x14ac:dyDescent="0.2">
      <c r="A4256" s="8">
        <v>2026</v>
      </c>
      <c r="B4256" s="8">
        <v>6</v>
      </c>
      <c r="C4256" s="2" t="s">
        <v>611</v>
      </c>
      <c r="D4256" s="2" t="s">
        <v>109</v>
      </c>
      <c r="E4256" s="2" t="s">
        <v>39</v>
      </c>
      <c r="F4256" s="2">
        <v>504822187</v>
      </c>
      <c r="G4256" s="2" t="s">
        <v>110</v>
      </c>
      <c r="H4256" s="2" t="s">
        <v>612</v>
      </c>
      <c r="I4256" s="2" t="s">
        <v>613</v>
      </c>
      <c r="J4256" s="2">
        <v>966216853</v>
      </c>
      <c r="K4256" s="2" t="s">
        <v>465</v>
      </c>
      <c r="O4256" s="2" t="s">
        <v>94</v>
      </c>
      <c r="P4256" s="2" t="s">
        <v>95</v>
      </c>
      <c r="Q4256" s="2" t="s">
        <v>96</v>
      </c>
      <c r="R4256" s="9">
        <v>1</v>
      </c>
      <c r="S4256" s="10">
        <v>1.48</v>
      </c>
      <c r="T4256" s="2">
        <f t="shared" si="486"/>
        <v>0.34040000000000004</v>
      </c>
      <c r="U4256" s="10">
        <f t="shared" si="487"/>
        <v>1.8204</v>
      </c>
      <c r="V4256" s="2">
        <f>1.48*R4256</f>
        <v>1.48</v>
      </c>
      <c r="W4256" s="5">
        <f t="shared" si="488"/>
        <v>0</v>
      </c>
      <c r="Y4256" s="2" t="s">
        <v>3256</v>
      </c>
      <c r="Z4256" s="2" t="s">
        <v>97</v>
      </c>
      <c r="AA4256" s="2" t="s">
        <v>77</v>
      </c>
      <c r="AB4256" s="2" t="s">
        <v>94</v>
      </c>
      <c r="AE4256" s="2">
        <f>AI4256</f>
        <v>0</v>
      </c>
      <c r="AF4256" s="2">
        <v>1.48</v>
      </c>
      <c r="AG4256" s="2">
        <v>1.48</v>
      </c>
      <c r="AH4256" s="2"/>
      <c r="AI4256" s="2">
        <f>AH4256*S4256</f>
        <v>0</v>
      </c>
      <c r="AJ4256" s="2">
        <f>S4256-V4256</f>
        <v>0</v>
      </c>
      <c r="AK4256" s="5">
        <f>(S4256-V4256)/S4256</f>
        <v>0</v>
      </c>
    </row>
    <row r="4257" spans="1:37" x14ac:dyDescent="0.2">
      <c r="A4257" s="8">
        <v>2026</v>
      </c>
      <c r="B4257" s="8">
        <v>6</v>
      </c>
      <c r="C4257" s="2" t="s">
        <v>614</v>
      </c>
      <c r="O4257" s="2" t="s">
        <v>43</v>
      </c>
      <c r="P4257" s="2" t="s">
        <v>62</v>
      </c>
      <c r="Q4257" s="2" t="s">
        <v>63</v>
      </c>
      <c r="R4257" s="9">
        <v>100</v>
      </c>
      <c r="S4257" s="10">
        <v>13</v>
      </c>
      <c r="T4257" s="2">
        <f t="shared" si="486"/>
        <v>2.99</v>
      </c>
      <c r="U4257" s="10">
        <f t="shared" si="487"/>
        <v>15.99</v>
      </c>
      <c r="W4257" s="5">
        <f t="shared" si="488"/>
        <v>1</v>
      </c>
      <c r="Y4257" s="2" t="s">
        <v>3256</v>
      </c>
      <c r="Z4257" s="2" t="s">
        <v>46</v>
      </c>
      <c r="AA4257" s="2" t="s">
        <v>61</v>
      </c>
      <c r="AB4257" s="2" t="s">
        <v>58</v>
      </c>
      <c r="AH4257" s="2"/>
      <c r="AK4257" s="2"/>
    </row>
    <row r="4258" spans="1:37" x14ac:dyDescent="0.2">
      <c r="A4258" s="8">
        <v>2026</v>
      </c>
      <c r="B4258" s="8">
        <v>6</v>
      </c>
      <c r="C4258" s="2" t="s">
        <v>618</v>
      </c>
      <c r="O4258" s="2" t="s">
        <v>43</v>
      </c>
      <c r="P4258" s="2" t="s">
        <v>59</v>
      </c>
      <c r="Q4258" s="2" t="s">
        <v>60</v>
      </c>
      <c r="R4258" s="9">
        <v>1000</v>
      </c>
      <c r="S4258" s="10">
        <v>130</v>
      </c>
      <c r="T4258" s="2">
        <f t="shared" si="486"/>
        <v>29.900000000000002</v>
      </c>
      <c r="U4258" s="10">
        <f t="shared" si="487"/>
        <v>159.9</v>
      </c>
      <c r="V4258" s="2">
        <f>0.0914*R4258</f>
        <v>91.399999999999991</v>
      </c>
      <c r="W4258" s="5">
        <f t="shared" si="488"/>
        <v>0.29692307692307701</v>
      </c>
      <c r="Y4258" s="2" t="s">
        <v>3256</v>
      </c>
      <c r="Z4258" s="2" t="s">
        <v>46</v>
      </c>
      <c r="AA4258" s="2" t="s">
        <v>61</v>
      </c>
      <c r="AB4258" s="2" t="s">
        <v>58</v>
      </c>
      <c r="AE4258" s="2">
        <f>AI4258</f>
        <v>0</v>
      </c>
      <c r="AF4258" s="2">
        <v>9.14</v>
      </c>
      <c r="AG4258" s="2">
        <v>16</v>
      </c>
      <c r="AH4258" s="2"/>
      <c r="AK4258" s="2"/>
    </row>
    <row r="4259" spans="1:37" x14ac:dyDescent="0.2">
      <c r="A4259" s="8">
        <v>2026</v>
      </c>
      <c r="B4259" s="8">
        <v>6</v>
      </c>
      <c r="C4259" s="2" t="s">
        <v>1305</v>
      </c>
      <c r="D4259" s="2" t="s">
        <v>184</v>
      </c>
      <c r="E4259" s="2" t="s">
        <v>368</v>
      </c>
      <c r="F4259" s="2">
        <v>500625654</v>
      </c>
      <c r="G4259" s="2" t="s">
        <v>291</v>
      </c>
      <c r="H4259" s="2" t="s">
        <v>340</v>
      </c>
      <c r="I4259" s="2" t="s">
        <v>1306</v>
      </c>
      <c r="K4259" s="2" t="s">
        <v>340</v>
      </c>
      <c r="L4259" s="2" t="s">
        <v>81</v>
      </c>
      <c r="N4259" s="2" t="s">
        <v>3225</v>
      </c>
      <c r="O4259" s="2" t="s">
        <v>73</v>
      </c>
      <c r="P4259" s="2" t="s">
        <v>537</v>
      </c>
      <c r="Q4259" s="2" t="s">
        <v>538</v>
      </c>
      <c r="R4259" s="9">
        <v>1</v>
      </c>
      <c r="S4259" s="10">
        <v>203.7</v>
      </c>
      <c r="T4259" s="2">
        <f t="shared" si="486"/>
        <v>46.850999999999999</v>
      </c>
      <c r="U4259" s="10">
        <f t="shared" si="487"/>
        <v>250.55099999999999</v>
      </c>
      <c r="V4259" s="2">
        <f>110.125+11.77</f>
        <v>121.895</v>
      </c>
      <c r="W4259" s="5">
        <f t="shared" si="488"/>
        <v>0.4015954835542464</v>
      </c>
      <c r="Y4259" s="2" t="s">
        <v>3256</v>
      </c>
      <c r="Z4259" s="2" t="s">
        <v>76</v>
      </c>
      <c r="AA4259" s="2" t="s">
        <v>77</v>
      </c>
      <c r="AB4259" s="2" t="s">
        <v>78</v>
      </c>
      <c r="AE4259" s="2">
        <f>AI4259</f>
        <v>0</v>
      </c>
      <c r="AF4259" s="2">
        <f>110.125+11.77</f>
        <v>121.895</v>
      </c>
      <c r="AG4259" s="2">
        <v>220</v>
      </c>
      <c r="AH4259" s="2"/>
      <c r="AI4259" s="2">
        <f>AH4259*S4259</f>
        <v>0</v>
      </c>
      <c r="AJ4259" s="2">
        <f>S4259-V4259</f>
        <v>81.804999999999993</v>
      </c>
      <c r="AK4259" s="5">
        <f>(S4259-V4259)/S4259</f>
        <v>0.4015954835542464</v>
      </c>
    </row>
    <row r="4260" spans="1:37" x14ac:dyDescent="0.2">
      <c r="A4260" s="8">
        <v>2026</v>
      </c>
      <c r="B4260" s="8">
        <v>6</v>
      </c>
      <c r="C4260" s="2" t="s">
        <v>1305</v>
      </c>
      <c r="D4260" s="2" t="s">
        <v>184</v>
      </c>
      <c r="E4260" s="2" t="s">
        <v>368</v>
      </c>
      <c r="F4260" s="2">
        <v>500625654</v>
      </c>
      <c r="G4260" s="2" t="s">
        <v>291</v>
      </c>
      <c r="H4260" s="2" t="s">
        <v>340</v>
      </c>
      <c r="I4260" s="2" t="s">
        <v>1306</v>
      </c>
      <c r="K4260" s="2" t="s">
        <v>340</v>
      </c>
      <c r="L4260" s="2" t="s">
        <v>81</v>
      </c>
      <c r="O4260" s="2" t="s">
        <v>94</v>
      </c>
      <c r="P4260" s="2" t="s">
        <v>95</v>
      </c>
      <c r="Q4260" s="2" t="s">
        <v>96</v>
      </c>
      <c r="R4260" s="9">
        <v>1</v>
      </c>
      <c r="S4260" s="10">
        <v>1.48</v>
      </c>
      <c r="T4260" s="2">
        <f t="shared" si="486"/>
        <v>0.34040000000000004</v>
      </c>
      <c r="U4260" s="10">
        <f t="shared" si="487"/>
        <v>1.8204</v>
      </c>
      <c r="V4260" s="2">
        <f>1.48*R4260</f>
        <v>1.48</v>
      </c>
      <c r="W4260" s="5">
        <f t="shared" si="488"/>
        <v>0</v>
      </c>
      <c r="Y4260" s="2" t="s">
        <v>3256</v>
      </c>
      <c r="Z4260" s="2" t="s">
        <v>97</v>
      </c>
      <c r="AA4260" s="2" t="s">
        <v>77</v>
      </c>
      <c r="AB4260" s="2" t="s">
        <v>94</v>
      </c>
      <c r="AE4260" s="2">
        <f>AI4260</f>
        <v>0</v>
      </c>
      <c r="AF4260" s="2">
        <v>1.48</v>
      </c>
      <c r="AG4260" s="2">
        <v>1.48</v>
      </c>
      <c r="AH4260" s="2"/>
      <c r="AI4260" s="2">
        <f>AH4260*S4260</f>
        <v>0</v>
      </c>
      <c r="AJ4260" s="2">
        <f>S4260-V4260</f>
        <v>0</v>
      </c>
      <c r="AK4260" s="5">
        <f>(S4260-V4260)/S4260</f>
        <v>0</v>
      </c>
    </row>
    <row r="4261" spans="1:37" x14ac:dyDescent="0.2">
      <c r="A4261" s="8">
        <v>2026</v>
      </c>
      <c r="B4261" s="8">
        <v>6</v>
      </c>
      <c r="C4261" s="2" t="s">
        <v>630</v>
      </c>
      <c r="D4261" s="2" t="s">
        <v>38</v>
      </c>
      <c r="E4261" s="2" t="s">
        <v>39</v>
      </c>
      <c r="F4261" s="2" t="s">
        <v>631</v>
      </c>
      <c r="G4261" s="2" t="s">
        <v>40</v>
      </c>
      <c r="H4261" s="2" t="s">
        <v>632</v>
      </c>
      <c r="I4261" s="2" t="s">
        <v>633</v>
      </c>
      <c r="K4261" s="2" t="s">
        <v>632</v>
      </c>
      <c r="L4261" s="2" t="s">
        <v>40</v>
      </c>
      <c r="O4261" s="2" t="s">
        <v>115</v>
      </c>
      <c r="P4261" s="2" t="s">
        <v>911</v>
      </c>
      <c r="Q4261" s="2" t="s">
        <v>912</v>
      </c>
      <c r="R4261" s="9">
        <v>1</v>
      </c>
      <c r="S4261" s="10">
        <v>465.7</v>
      </c>
      <c r="T4261" s="2">
        <f>S4261*23%</f>
        <v>107.111</v>
      </c>
      <c r="U4261" s="2">
        <f t="shared" si="487"/>
        <v>572.81100000000004</v>
      </c>
      <c r="W4261" s="5">
        <f t="shared" si="488"/>
        <v>1</v>
      </c>
      <c r="Y4261" s="2" t="s">
        <v>118</v>
      </c>
      <c r="AH4261" s="2"/>
      <c r="AK4261" s="2"/>
    </row>
    <row r="4262" spans="1:37" x14ac:dyDescent="0.2">
      <c r="A4262" s="8">
        <v>2026</v>
      </c>
      <c r="B4262" s="8">
        <v>6</v>
      </c>
      <c r="C4262" s="2" t="s">
        <v>1674</v>
      </c>
      <c r="O4262" s="2" t="s">
        <v>115</v>
      </c>
      <c r="P4262" s="2" t="s">
        <v>1923</v>
      </c>
      <c r="Q4262" s="2" t="s">
        <v>1924</v>
      </c>
      <c r="R4262" s="9">
        <v>1</v>
      </c>
      <c r="S4262" s="10">
        <v>23850</v>
      </c>
      <c r="T4262" s="2">
        <f t="shared" ref="T4262:T4263" si="489">S4262*23%</f>
        <v>5485.5</v>
      </c>
      <c r="U4262" s="2">
        <f t="shared" ref="U4262:U4263" si="490">S4262+T4262</f>
        <v>29335.5</v>
      </c>
      <c r="W4262" s="5">
        <f t="shared" si="488"/>
        <v>1</v>
      </c>
      <c r="Y4262" s="2" t="s">
        <v>105</v>
      </c>
      <c r="AH4262" s="2"/>
      <c r="AK4262" s="2"/>
    </row>
    <row r="4263" spans="1:37" x14ac:dyDescent="0.2">
      <c r="A4263" s="8">
        <v>2026</v>
      </c>
      <c r="B4263" s="8">
        <v>6</v>
      </c>
      <c r="C4263" s="2" t="s">
        <v>3130</v>
      </c>
      <c r="O4263" s="2" t="s">
        <v>115</v>
      </c>
      <c r="P4263" s="2" t="s">
        <v>3116</v>
      </c>
      <c r="Q4263" s="2" t="s">
        <v>3117</v>
      </c>
      <c r="R4263" s="9">
        <v>1</v>
      </c>
      <c r="S4263" s="10">
        <v>750.56</v>
      </c>
      <c r="T4263" s="2">
        <f t="shared" si="489"/>
        <v>172.62879999999998</v>
      </c>
      <c r="U4263" s="2">
        <f t="shared" si="490"/>
        <v>923.1887999999999</v>
      </c>
      <c r="W4263" s="5">
        <f t="shared" si="488"/>
        <v>1</v>
      </c>
      <c r="AH4263" s="2"/>
      <c r="AK4263" s="2"/>
    </row>
    <row r="4264" spans="1:37" x14ac:dyDescent="0.2">
      <c r="A4264" s="8">
        <v>2026</v>
      </c>
      <c r="B4264" s="8">
        <v>6</v>
      </c>
      <c r="C4264" s="2" t="s">
        <v>3130</v>
      </c>
      <c r="L4264" s="2" t="s">
        <v>40</v>
      </c>
      <c r="O4264" s="2" t="s">
        <v>188</v>
      </c>
      <c r="P4264" s="2" t="s">
        <v>189</v>
      </c>
      <c r="Q4264" s="2" t="s">
        <v>190</v>
      </c>
      <c r="R4264" s="9">
        <v>1</v>
      </c>
      <c r="S4264" s="10">
        <v>55</v>
      </c>
      <c r="T4264" s="2">
        <f>S4264*23%</f>
        <v>12.65</v>
      </c>
      <c r="U4264" s="2">
        <f>S4264+T4264</f>
        <v>67.650000000000006</v>
      </c>
      <c r="V4264" s="2">
        <f>S4264*40%</f>
        <v>22</v>
      </c>
      <c r="W4264" s="5">
        <f>(S4264-V4264)/S4264</f>
        <v>0.6</v>
      </c>
      <c r="Y4264" s="2" t="s">
        <v>118</v>
      </c>
      <c r="Z4264" s="2" t="s">
        <v>191</v>
      </c>
      <c r="AF4264" s="2">
        <f>V4264</f>
        <v>22</v>
      </c>
      <c r="AH4264" s="2"/>
      <c r="AI4264" s="2">
        <f>AH4264*S4264</f>
        <v>0</v>
      </c>
      <c r="AJ4264" s="2">
        <f>S4264-V4264</f>
        <v>33</v>
      </c>
      <c r="AK4264" s="5">
        <f>(S4264-V4264)/S4264</f>
        <v>0.6</v>
      </c>
    </row>
    <row r="4265" spans="1:37" x14ac:dyDescent="0.2">
      <c r="A4265" s="8">
        <v>2026</v>
      </c>
      <c r="B4265" s="8">
        <v>6</v>
      </c>
      <c r="C4265" s="2" t="s">
        <v>3130</v>
      </c>
      <c r="L4265" s="2" t="s">
        <v>40</v>
      </c>
      <c r="O4265" s="2" t="s">
        <v>188</v>
      </c>
      <c r="P4265" s="2" t="s">
        <v>192</v>
      </c>
      <c r="Q4265" s="2" t="s">
        <v>191</v>
      </c>
      <c r="R4265" s="9">
        <v>1</v>
      </c>
      <c r="S4265" s="10">
        <v>55</v>
      </c>
      <c r="T4265" s="2">
        <f>S4265*23%</f>
        <v>12.65</v>
      </c>
      <c r="U4265" s="2">
        <f>S4265+T4265</f>
        <v>67.650000000000006</v>
      </c>
      <c r="V4265" s="2">
        <f>S4265*50%</f>
        <v>27.5</v>
      </c>
      <c r="W4265" s="5">
        <f>(S4265-V4265)/S4265</f>
        <v>0.5</v>
      </c>
      <c r="Y4265" s="2" t="s">
        <v>118</v>
      </c>
      <c r="Z4265" s="2" t="s">
        <v>191</v>
      </c>
      <c r="AE4265" s="2">
        <f>AI4265</f>
        <v>0</v>
      </c>
      <c r="AF4265" s="2">
        <f>V4265</f>
        <v>27.5</v>
      </c>
      <c r="AH4265" s="2"/>
      <c r="AI4265" s="2">
        <f>AH4265*S4265</f>
        <v>0</v>
      </c>
      <c r="AJ4265" s="2">
        <f>S4265-V4265</f>
        <v>27.5</v>
      </c>
      <c r="AK4265" s="5">
        <f>(S4265-V4265)/S4265</f>
        <v>0.5</v>
      </c>
    </row>
    <row r="4266" spans="1:37" x14ac:dyDescent="0.2">
      <c r="A4266" s="8">
        <v>2026</v>
      </c>
      <c r="B4266" s="8">
        <v>6</v>
      </c>
      <c r="C4266" s="2" t="s">
        <v>916</v>
      </c>
      <c r="L4266" s="2" t="s">
        <v>40</v>
      </c>
      <c r="O4266" s="2" t="s">
        <v>188</v>
      </c>
      <c r="P4266" s="2" t="s">
        <v>189</v>
      </c>
      <c r="Q4266" s="2" t="s">
        <v>190</v>
      </c>
      <c r="R4266" s="9">
        <v>1</v>
      </c>
      <c r="S4266" s="10">
        <v>114</v>
      </c>
      <c r="T4266" s="2">
        <f>S4266*23%</f>
        <v>26.220000000000002</v>
      </c>
      <c r="U4266" s="2">
        <f>S4266+T4266</f>
        <v>140.22</v>
      </c>
      <c r="V4266" s="2">
        <f>S4266*40%</f>
        <v>45.6</v>
      </c>
      <c r="W4266" s="5">
        <f>(S4266-V4266)/S4266</f>
        <v>0.60000000000000009</v>
      </c>
      <c r="Y4266" s="2" t="s">
        <v>118</v>
      </c>
      <c r="Z4266" s="2" t="s">
        <v>191</v>
      </c>
      <c r="AF4266" s="2">
        <f>V4266</f>
        <v>45.6</v>
      </c>
      <c r="AH4266" s="2"/>
      <c r="AI4266" s="2">
        <f>AH4266*S4266</f>
        <v>0</v>
      </c>
      <c r="AJ4266" s="2">
        <f>S4266-V4266</f>
        <v>68.400000000000006</v>
      </c>
      <c r="AK4266" s="5">
        <f>(S4266-V4266)/S4266</f>
        <v>0.60000000000000009</v>
      </c>
    </row>
    <row r="4267" spans="1:37" x14ac:dyDescent="0.2">
      <c r="A4267" s="8">
        <v>2026</v>
      </c>
      <c r="B4267" s="8">
        <v>6</v>
      </c>
      <c r="C4267" s="2" t="s">
        <v>916</v>
      </c>
      <c r="L4267" s="2" t="s">
        <v>40</v>
      </c>
      <c r="O4267" s="2" t="s">
        <v>188</v>
      </c>
      <c r="P4267" s="2" t="s">
        <v>192</v>
      </c>
      <c r="Q4267" s="2" t="s">
        <v>191</v>
      </c>
      <c r="R4267" s="9">
        <v>1</v>
      </c>
      <c r="S4267" s="10">
        <v>49.5</v>
      </c>
      <c r="T4267" s="2">
        <f>S4267*23%</f>
        <v>11.385</v>
      </c>
      <c r="U4267" s="2">
        <f>S4267+T4267</f>
        <v>60.884999999999998</v>
      </c>
      <c r="V4267" s="2">
        <f>S4267*50%</f>
        <v>24.75</v>
      </c>
      <c r="W4267" s="5">
        <f>(S4267-V4267)/S4267</f>
        <v>0.5</v>
      </c>
      <c r="Y4267" s="2" t="s">
        <v>118</v>
      </c>
      <c r="Z4267" s="2" t="s">
        <v>191</v>
      </c>
      <c r="AE4267" s="2">
        <f>AI4267</f>
        <v>0</v>
      </c>
      <c r="AF4267" s="2">
        <f>V4267</f>
        <v>24.75</v>
      </c>
      <c r="AH4267" s="2"/>
      <c r="AI4267" s="2">
        <f>AH4267*S4267</f>
        <v>0</v>
      </c>
      <c r="AJ4267" s="2">
        <f>S4267-V4267</f>
        <v>24.75</v>
      </c>
      <c r="AK4267" s="5">
        <f>(S4267-V4267)/S4267</f>
        <v>0.5</v>
      </c>
    </row>
    <row r="4268" spans="1:37" x14ac:dyDescent="0.2">
      <c r="A4268" s="8">
        <v>2026</v>
      </c>
      <c r="B4268" s="8">
        <v>6</v>
      </c>
      <c r="C4268" s="2" t="s">
        <v>640</v>
      </c>
      <c r="O4268" s="2" t="s">
        <v>115</v>
      </c>
      <c r="P4268" s="2" t="s">
        <v>180</v>
      </c>
      <c r="Q4268" s="2" t="s">
        <v>181</v>
      </c>
      <c r="R4268" s="9">
        <v>1</v>
      </c>
      <c r="S4268" s="10">
        <v>599.4</v>
      </c>
      <c r="T4268" s="2">
        <f t="shared" ref="T4268:T4270" si="491">S4268*23%</f>
        <v>137.86199999999999</v>
      </c>
      <c r="U4268" s="2">
        <f t="shared" ref="U4268:U4270" si="492">S4268+T4268</f>
        <v>737.26199999999994</v>
      </c>
      <c r="W4268" s="5">
        <f t="shared" ref="W4268:W4270" si="493">(S4268-V4268)/S4268</f>
        <v>1</v>
      </c>
      <c r="Y4268" s="2" t="s">
        <v>118</v>
      </c>
      <c r="AH4268" s="2"/>
      <c r="AK4268" s="2"/>
    </row>
    <row r="4269" spans="1:37" x14ac:dyDescent="0.2">
      <c r="A4269" s="8">
        <v>2026</v>
      </c>
      <c r="B4269" s="8">
        <v>6</v>
      </c>
      <c r="C4269" s="2" t="s">
        <v>640</v>
      </c>
      <c r="O4269" s="2" t="s">
        <v>115</v>
      </c>
      <c r="P4269" s="2" t="s">
        <v>1594</v>
      </c>
      <c r="Q4269" s="2" t="s">
        <v>1595</v>
      </c>
      <c r="R4269" s="9">
        <v>1</v>
      </c>
      <c r="S4269" s="10">
        <v>6990</v>
      </c>
      <c r="T4269" s="2">
        <f t="shared" si="491"/>
        <v>1607.7</v>
      </c>
      <c r="U4269" s="2">
        <f t="shared" si="492"/>
        <v>8597.7000000000007</v>
      </c>
      <c r="W4269" s="5">
        <f t="shared" si="493"/>
        <v>1</v>
      </c>
      <c r="Y4269" s="2" t="s">
        <v>105</v>
      </c>
      <c r="AH4269" s="2"/>
      <c r="AK4269" s="2"/>
    </row>
    <row r="4270" spans="1:37" x14ac:dyDescent="0.2">
      <c r="A4270" s="8">
        <v>2026</v>
      </c>
      <c r="B4270" s="8">
        <v>6</v>
      </c>
      <c r="C4270" s="2" t="s">
        <v>3127</v>
      </c>
      <c r="O4270" s="2" t="s">
        <v>115</v>
      </c>
      <c r="P4270" s="2" t="s">
        <v>911</v>
      </c>
      <c r="Q4270" s="2" t="s">
        <v>912</v>
      </c>
      <c r="R4270" s="9">
        <v>1</v>
      </c>
      <c r="S4270" s="10">
        <v>699.3</v>
      </c>
      <c r="T4270" s="2">
        <f t="shared" si="491"/>
        <v>160.839</v>
      </c>
      <c r="U4270" s="2">
        <f t="shared" si="492"/>
        <v>860.1389999999999</v>
      </c>
      <c r="W4270" s="5">
        <f t="shared" si="493"/>
        <v>1</v>
      </c>
      <c r="Y4270" s="2" t="s">
        <v>105</v>
      </c>
      <c r="AH4270" s="2"/>
      <c r="AK4270" s="2"/>
    </row>
    <row r="4271" spans="1:37" x14ac:dyDescent="0.2">
      <c r="A4271" s="8">
        <v>2026</v>
      </c>
      <c r="B4271" s="8">
        <v>6</v>
      </c>
      <c r="C4271" s="2" t="s">
        <v>3127</v>
      </c>
      <c r="L4271" s="2" t="s">
        <v>40</v>
      </c>
      <c r="O4271" s="2" t="s">
        <v>188</v>
      </c>
      <c r="P4271" s="2" t="s">
        <v>189</v>
      </c>
      <c r="Q4271" s="2" t="s">
        <v>190</v>
      </c>
      <c r="R4271" s="9">
        <v>1</v>
      </c>
      <c r="S4271" s="10">
        <v>152</v>
      </c>
      <c r="T4271" s="2">
        <f>S4271*23%</f>
        <v>34.96</v>
      </c>
      <c r="U4271" s="2">
        <f>S4271+T4271</f>
        <v>186.96</v>
      </c>
      <c r="V4271" s="2">
        <f>S4271*40%</f>
        <v>60.800000000000004</v>
      </c>
      <c r="W4271" s="5">
        <f>(S4271-V4271)/S4271</f>
        <v>0.6</v>
      </c>
      <c r="Y4271" s="2" t="s">
        <v>118</v>
      </c>
      <c r="Z4271" s="2" t="s">
        <v>191</v>
      </c>
      <c r="AF4271" s="2">
        <f>V4271</f>
        <v>60.800000000000004</v>
      </c>
      <c r="AH4271" s="2"/>
      <c r="AI4271" s="2">
        <f>AH4271*S4271</f>
        <v>0</v>
      </c>
      <c r="AJ4271" s="2">
        <f>S4271-V4271</f>
        <v>91.199999999999989</v>
      </c>
      <c r="AK4271" s="5">
        <f>(S4271-V4271)/S4271</f>
        <v>0.6</v>
      </c>
    </row>
    <row r="4272" spans="1:37" x14ac:dyDescent="0.2">
      <c r="A4272" s="8">
        <v>2026</v>
      </c>
      <c r="B4272" s="8">
        <v>6</v>
      </c>
      <c r="C4272" s="2" t="s">
        <v>3127</v>
      </c>
      <c r="L4272" s="2" t="s">
        <v>40</v>
      </c>
      <c r="O4272" s="2" t="s">
        <v>188</v>
      </c>
      <c r="P4272" s="2" t="s">
        <v>192</v>
      </c>
      <c r="Q4272" s="2" t="s">
        <v>191</v>
      </c>
      <c r="R4272" s="9">
        <v>1</v>
      </c>
      <c r="S4272" s="10">
        <v>55</v>
      </c>
      <c r="T4272" s="2">
        <f>S4272*23%</f>
        <v>12.65</v>
      </c>
      <c r="U4272" s="2">
        <f>S4272+T4272</f>
        <v>67.650000000000006</v>
      </c>
      <c r="V4272" s="2">
        <f>S4272*50%</f>
        <v>27.5</v>
      </c>
      <c r="W4272" s="5">
        <f>(S4272-V4272)/S4272</f>
        <v>0.5</v>
      </c>
      <c r="Y4272" s="2" t="s">
        <v>118</v>
      </c>
      <c r="Z4272" s="2" t="s">
        <v>191</v>
      </c>
      <c r="AE4272" s="2">
        <f>AI4272</f>
        <v>0</v>
      </c>
      <c r="AF4272" s="2">
        <f>V4272</f>
        <v>27.5</v>
      </c>
      <c r="AH4272" s="2"/>
      <c r="AI4272" s="2">
        <f>AH4272*S4272</f>
        <v>0</v>
      </c>
      <c r="AJ4272" s="2">
        <f>S4272-V4272</f>
        <v>27.5</v>
      </c>
      <c r="AK4272" s="5">
        <f>(S4272-V4272)/S4272</f>
        <v>0.5</v>
      </c>
    </row>
    <row r="4273" spans="1:37" x14ac:dyDescent="0.2">
      <c r="A4273" s="8">
        <v>2026</v>
      </c>
      <c r="B4273" s="8">
        <v>6</v>
      </c>
      <c r="C4273" s="2" t="s">
        <v>2210</v>
      </c>
      <c r="O4273" s="2" t="s">
        <v>283</v>
      </c>
      <c r="P4273" s="2" t="s">
        <v>1798</v>
      </c>
      <c r="Q4273" s="2" t="s">
        <v>1799</v>
      </c>
      <c r="R4273" s="9">
        <v>1</v>
      </c>
      <c r="S4273" s="10">
        <v>1990</v>
      </c>
      <c r="T4273" s="2">
        <f>S4273*23%</f>
        <v>457.70000000000005</v>
      </c>
      <c r="U4273" s="10">
        <f>S4273+T4273</f>
        <v>2447.6999999999998</v>
      </c>
      <c r="W4273" s="5">
        <f t="shared" ref="W4273:W4303" si="494">(S4273-V4273)/S4273</f>
        <v>1</v>
      </c>
      <c r="Y4273" s="2" t="s">
        <v>105</v>
      </c>
      <c r="AH4273" s="2"/>
      <c r="AK4273" s="2"/>
    </row>
    <row r="4274" spans="1:37" x14ac:dyDescent="0.2">
      <c r="A4274" s="8">
        <v>2026</v>
      </c>
      <c r="B4274" s="8">
        <v>6</v>
      </c>
      <c r="C4274" s="2" t="s">
        <v>2210</v>
      </c>
      <c r="O4274" s="2" t="s">
        <v>283</v>
      </c>
      <c r="P4274" s="2" t="s">
        <v>1338</v>
      </c>
      <c r="Q4274" s="2" t="s">
        <v>1339</v>
      </c>
      <c r="R4274" s="9">
        <v>1</v>
      </c>
      <c r="S4274" s="10">
        <v>1990</v>
      </c>
      <c r="T4274" s="2">
        <f t="shared" ref="T4274:T4278" si="495">S4274*23%</f>
        <v>457.70000000000005</v>
      </c>
      <c r="U4274" s="10">
        <f t="shared" ref="U4274:U4278" si="496">S4274+T4274</f>
        <v>2447.6999999999998</v>
      </c>
      <c r="W4274" s="5">
        <f t="shared" si="494"/>
        <v>1</v>
      </c>
      <c r="Y4274" s="2" t="s">
        <v>105</v>
      </c>
      <c r="AH4274" s="2"/>
      <c r="AK4274" s="2"/>
    </row>
    <row r="4275" spans="1:37" x14ac:dyDescent="0.2">
      <c r="A4275" s="8">
        <v>2026</v>
      </c>
      <c r="B4275" s="8">
        <v>6</v>
      </c>
      <c r="C4275" s="2" t="s">
        <v>2664</v>
      </c>
      <c r="O4275" s="2" t="s">
        <v>283</v>
      </c>
      <c r="P4275" s="2" t="s">
        <v>1244</v>
      </c>
      <c r="Q4275" s="2" t="s">
        <v>1245</v>
      </c>
      <c r="R4275" s="9">
        <v>1</v>
      </c>
      <c r="S4275" s="10">
        <v>4200</v>
      </c>
      <c r="T4275" s="2">
        <f t="shared" si="495"/>
        <v>966</v>
      </c>
      <c r="U4275" s="10">
        <f t="shared" si="496"/>
        <v>5166</v>
      </c>
      <c r="W4275" s="5">
        <f t="shared" si="494"/>
        <v>1</v>
      </c>
      <c r="Y4275" s="2" t="s">
        <v>105</v>
      </c>
      <c r="AH4275" s="2"/>
      <c r="AK4275" s="2"/>
    </row>
    <row r="4276" spans="1:37" x14ac:dyDescent="0.2">
      <c r="A4276" s="8">
        <v>2026</v>
      </c>
      <c r="B4276" s="8">
        <v>6</v>
      </c>
      <c r="C4276" s="2" t="s">
        <v>3126</v>
      </c>
      <c r="O4276" s="2" t="s">
        <v>283</v>
      </c>
      <c r="P4276" s="2" t="s">
        <v>1338</v>
      </c>
      <c r="Q4276" s="2" t="s">
        <v>1339</v>
      </c>
      <c r="R4276" s="9">
        <v>1</v>
      </c>
      <c r="S4276" s="10">
        <v>2150</v>
      </c>
      <c r="T4276" s="2">
        <f t="shared" si="495"/>
        <v>494.5</v>
      </c>
      <c r="U4276" s="10">
        <f t="shared" si="496"/>
        <v>2644.5</v>
      </c>
      <c r="W4276" s="5">
        <f t="shared" si="494"/>
        <v>1</v>
      </c>
      <c r="Y4276" s="2" t="s">
        <v>105</v>
      </c>
      <c r="AH4276" s="2"/>
      <c r="AK4276" s="2"/>
    </row>
    <row r="4277" spans="1:37" x14ac:dyDescent="0.2">
      <c r="A4277" s="8">
        <v>2026</v>
      </c>
      <c r="B4277" s="8">
        <v>6</v>
      </c>
      <c r="C4277" s="2" t="s">
        <v>683</v>
      </c>
      <c r="O4277" s="2" t="s">
        <v>2713</v>
      </c>
      <c r="P4277" s="2" t="s">
        <v>3118</v>
      </c>
      <c r="Q4277" s="2" t="s">
        <v>3119</v>
      </c>
      <c r="R4277" s="9">
        <v>-4</v>
      </c>
      <c r="S4277" s="10">
        <v>-800</v>
      </c>
      <c r="T4277" s="2">
        <f t="shared" si="495"/>
        <v>-184</v>
      </c>
      <c r="U4277" s="10">
        <f t="shared" si="496"/>
        <v>-984</v>
      </c>
      <c r="W4277" s="5">
        <f t="shared" si="494"/>
        <v>1</v>
      </c>
      <c r="Y4277" s="2" t="s">
        <v>3256</v>
      </c>
      <c r="AH4277" s="2"/>
      <c r="AK4277" s="2"/>
    </row>
    <row r="4278" spans="1:37" x14ac:dyDescent="0.2">
      <c r="A4278" s="8">
        <v>2026</v>
      </c>
      <c r="B4278" s="8">
        <v>6</v>
      </c>
      <c r="C4278" s="2" t="s">
        <v>683</v>
      </c>
      <c r="O4278" s="2" t="s">
        <v>2713</v>
      </c>
      <c r="P4278" s="2" t="s">
        <v>3120</v>
      </c>
      <c r="Q4278" s="2" t="s">
        <v>3121</v>
      </c>
      <c r="R4278" s="9">
        <v>-4</v>
      </c>
      <c r="S4278" s="10">
        <v>-714.4</v>
      </c>
      <c r="T4278" s="2">
        <f t="shared" si="495"/>
        <v>-164.31200000000001</v>
      </c>
      <c r="U4278" s="10">
        <f t="shared" si="496"/>
        <v>-878.71199999999999</v>
      </c>
      <c r="W4278" s="5">
        <f t="shared" si="494"/>
        <v>1</v>
      </c>
      <c r="Y4278" s="2" t="s">
        <v>3256</v>
      </c>
      <c r="AH4278" s="2"/>
      <c r="AK4278" s="2"/>
    </row>
    <row r="4279" spans="1:37" x14ac:dyDescent="0.2">
      <c r="A4279" s="8">
        <v>2026</v>
      </c>
      <c r="B4279" s="8">
        <v>6</v>
      </c>
      <c r="C4279" s="2" t="s">
        <v>473</v>
      </c>
      <c r="D4279" s="2" t="s">
        <v>38</v>
      </c>
      <c r="E4279" s="2" t="s">
        <v>474</v>
      </c>
      <c r="F4279" s="2">
        <v>513626930</v>
      </c>
      <c r="G4279" s="2" t="s">
        <v>40</v>
      </c>
      <c r="H4279" s="2" t="s">
        <v>340</v>
      </c>
      <c r="I4279" s="2" t="s">
        <v>475</v>
      </c>
      <c r="K4279" s="2" t="s">
        <v>340</v>
      </c>
      <c r="L4279" s="2" t="s">
        <v>40</v>
      </c>
      <c r="N4279" s="2" t="s">
        <v>3259</v>
      </c>
      <c r="O4279" s="2" t="s">
        <v>283</v>
      </c>
      <c r="P4279" s="6" t="s">
        <v>3258</v>
      </c>
      <c r="R4279" s="8">
        <v>1</v>
      </c>
      <c r="S4279" s="2">
        <v>2900</v>
      </c>
      <c r="T4279" s="2">
        <f>S4279*23%</f>
        <v>667</v>
      </c>
      <c r="U4279" s="10">
        <f>T4279+S4279</f>
        <v>3567</v>
      </c>
      <c r="W4279" s="5">
        <f t="shared" si="494"/>
        <v>1</v>
      </c>
      <c r="Y4279" s="2" t="s">
        <v>105</v>
      </c>
    </row>
    <row r="4280" spans="1:37" x14ac:dyDescent="0.2">
      <c r="A4280" s="8">
        <v>2026</v>
      </c>
      <c r="B4280" s="8">
        <v>6</v>
      </c>
      <c r="C4280" s="2" t="s">
        <v>473</v>
      </c>
      <c r="D4280" s="2" t="s">
        <v>38</v>
      </c>
      <c r="E4280" s="2" t="s">
        <v>474</v>
      </c>
      <c r="F4280" s="2">
        <v>513626930</v>
      </c>
      <c r="G4280" s="2" t="s">
        <v>40</v>
      </c>
      <c r="H4280" s="2" t="s">
        <v>340</v>
      </c>
      <c r="I4280" s="2" t="s">
        <v>475</v>
      </c>
      <c r="K4280" s="2" t="s">
        <v>340</v>
      </c>
      <c r="L4280" s="2" t="s">
        <v>40</v>
      </c>
      <c r="N4280" s="2" t="s">
        <v>3259</v>
      </c>
      <c r="O4280" s="2" t="s">
        <v>283</v>
      </c>
      <c r="P4280" s="6" t="s">
        <v>1167</v>
      </c>
      <c r="R4280" s="8">
        <v>1</v>
      </c>
      <c r="S4280" s="2">
        <v>0</v>
      </c>
      <c r="W4280" s="5" t="e">
        <f t="shared" si="494"/>
        <v>#DIV/0!</v>
      </c>
      <c r="Y4280" s="2" t="s">
        <v>105</v>
      </c>
    </row>
    <row r="4281" spans="1:37" x14ac:dyDescent="0.2">
      <c r="A4281" s="2">
        <v>2026</v>
      </c>
      <c r="B4281" s="2">
        <v>7</v>
      </c>
      <c r="C4281" s="2" t="s">
        <v>37</v>
      </c>
      <c r="D4281" s="2" t="s">
        <v>38</v>
      </c>
      <c r="E4281" s="2" t="s">
        <v>39</v>
      </c>
      <c r="G4281" s="2" t="s">
        <v>40</v>
      </c>
      <c r="K4281" s="2" t="s">
        <v>3300</v>
      </c>
      <c r="L4281" s="2" t="s">
        <v>41</v>
      </c>
      <c r="N4281" s="2" t="s">
        <v>3297</v>
      </c>
      <c r="O4281" s="2" t="s">
        <v>43</v>
      </c>
      <c r="P4281" s="2" t="s">
        <v>44</v>
      </c>
      <c r="Q4281" s="2" t="s">
        <v>45</v>
      </c>
      <c r="R4281" s="13">
        <v>1</v>
      </c>
      <c r="S4281" s="14">
        <v>25.2</v>
      </c>
      <c r="T4281" s="2">
        <f>S4281*23%</f>
        <v>5.7960000000000003</v>
      </c>
      <c r="U4281" s="12">
        <f>S4281+T4281</f>
        <v>30.995999999999999</v>
      </c>
      <c r="W4281" s="5">
        <f t="shared" si="494"/>
        <v>1</v>
      </c>
      <c r="Y4281" s="2" t="s">
        <v>3256</v>
      </c>
      <c r="Z4281" s="2" t="s">
        <v>46</v>
      </c>
      <c r="AA4281" s="2" t="s">
        <v>47</v>
      </c>
      <c r="AB4281" s="2" t="s">
        <v>48</v>
      </c>
    </row>
    <row r="4282" spans="1:37" x14ac:dyDescent="0.2">
      <c r="A4282" s="2">
        <v>2026</v>
      </c>
      <c r="B4282" s="2">
        <v>7</v>
      </c>
      <c r="C4282" s="2" t="s">
        <v>37</v>
      </c>
      <c r="D4282" s="2" t="s">
        <v>38</v>
      </c>
      <c r="E4282" s="2" t="s">
        <v>39</v>
      </c>
      <c r="G4282" s="2" t="s">
        <v>40</v>
      </c>
      <c r="K4282" s="2" t="s">
        <v>3300</v>
      </c>
      <c r="L4282" s="2" t="s">
        <v>41</v>
      </c>
      <c r="N4282" s="2" t="s">
        <v>3297</v>
      </c>
      <c r="O4282" s="2" t="s">
        <v>43</v>
      </c>
      <c r="P4282" s="2" t="s">
        <v>159</v>
      </c>
      <c r="Q4282" s="2" t="s">
        <v>160</v>
      </c>
      <c r="R4282" s="13">
        <v>1</v>
      </c>
      <c r="S4282" s="14">
        <v>21</v>
      </c>
      <c r="T4282" s="2">
        <f t="shared" ref="T4282:T4303" si="497">S4282*23%</f>
        <v>4.83</v>
      </c>
      <c r="U4282" s="12">
        <f t="shared" ref="U4282:U4288" si="498">S4282+T4282</f>
        <v>25.83</v>
      </c>
      <c r="W4282" s="5">
        <f t="shared" si="494"/>
        <v>1</v>
      </c>
      <c r="Y4282" s="2" t="s">
        <v>3256</v>
      </c>
      <c r="Z4282" s="2" t="s">
        <v>46</v>
      </c>
      <c r="AA4282" s="2" t="s">
        <v>47</v>
      </c>
      <c r="AB4282" s="2" t="s">
        <v>48</v>
      </c>
    </row>
    <row r="4283" spans="1:37" x14ac:dyDescent="0.2">
      <c r="A4283" s="2">
        <v>2026</v>
      </c>
      <c r="B4283" s="2">
        <v>7</v>
      </c>
      <c r="C4283" s="2" t="s">
        <v>37</v>
      </c>
      <c r="D4283" s="2" t="s">
        <v>38</v>
      </c>
      <c r="E4283" s="2" t="s">
        <v>39</v>
      </c>
      <c r="G4283" s="2" t="s">
        <v>40</v>
      </c>
      <c r="K4283" s="2" t="s">
        <v>3300</v>
      </c>
      <c r="L4283" s="2" t="s">
        <v>41</v>
      </c>
      <c r="N4283" s="2" t="s">
        <v>3297</v>
      </c>
      <c r="O4283" s="2" t="s">
        <v>43</v>
      </c>
      <c r="P4283" s="2" t="s">
        <v>49</v>
      </c>
      <c r="Q4283" s="2" t="s">
        <v>50</v>
      </c>
      <c r="R4283" s="13">
        <v>1</v>
      </c>
      <c r="S4283" s="14">
        <v>13</v>
      </c>
      <c r="T4283" s="2">
        <f t="shared" si="497"/>
        <v>2.99</v>
      </c>
      <c r="U4283" s="12">
        <f t="shared" si="498"/>
        <v>15.99</v>
      </c>
      <c r="W4283" s="5">
        <f t="shared" si="494"/>
        <v>1</v>
      </c>
      <c r="Y4283" s="2" t="s">
        <v>3256</v>
      </c>
      <c r="Z4283" s="2" t="s">
        <v>46</v>
      </c>
      <c r="AA4283" s="2" t="s">
        <v>47</v>
      </c>
      <c r="AB4283" s="2" t="s">
        <v>48</v>
      </c>
    </row>
    <row r="4284" spans="1:37" x14ac:dyDescent="0.2">
      <c r="A4284" s="2">
        <v>2026</v>
      </c>
      <c r="B4284" s="2">
        <v>7</v>
      </c>
      <c r="C4284" s="2" t="s">
        <v>37</v>
      </c>
      <c r="D4284" s="2" t="s">
        <v>38</v>
      </c>
      <c r="E4284" s="2" t="s">
        <v>39</v>
      </c>
      <c r="G4284" s="2" t="s">
        <v>40</v>
      </c>
      <c r="K4284" s="2" t="s">
        <v>3300</v>
      </c>
      <c r="L4284" s="2" t="s">
        <v>81</v>
      </c>
      <c r="N4284" s="2" t="s">
        <v>3298</v>
      </c>
      <c r="O4284" s="2" t="s">
        <v>43</v>
      </c>
      <c r="P4284" s="2" t="s">
        <v>51</v>
      </c>
      <c r="Q4284" s="2" t="s">
        <v>52</v>
      </c>
      <c r="R4284" s="13">
        <v>1</v>
      </c>
      <c r="S4284" s="14">
        <v>18</v>
      </c>
      <c r="T4284" s="2">
        <f t="shared" si="497"/>
        <v>4.1400000000000006</v>
      </c>
      <c r="U4284" s="12">
        <f t="shared" si="498"/>
        <v>22.14</v>
      </c>
      <c r="W4284" s="5">
        <f t="shared" si="494"/>
        <v>1</v>
      </c>
      <c r="Y4284" s="2" t="s">
        <v>3256</v>
      </c>
      <c r="Z4284" s="2" t="s">
        <v>46</v>
      </c>
      <c r="AA4284" s="2" t="s">
        <v>47</v>
      </c>
      <c r="AB4284" s="2" t="s">
        <v>48</v>
      </c>
    </row>
    <row r="4285" spans="1:37" x14ac:dyDescent="0.2">
      <c r="A4285" s="2">
        <v>2026</v>
      </c>
      <c r="B4285" s="2">
        <v>7</v>
      </c>
      <c r="C4285" s="2" t="s">
        <v>37</v>
      </c>
      <c r="D4285" s="2" t="s">
        <v>38</v>
      </c>
      <c r="E4285" s="2" t="s">
        <v>39</v>
      </c>
      <c r="G4285" s="2" t="s">
        <v>40</v>
      </c>
      <c r="K4285" s="2" t="s">
        <v>3300</v>
      </c>
      <c r="L4285" s="2" t="s">
        <v>81</v>
      </c>
      <c r="N4285" s="2" t="s">
        <v>3298</v>
      </c>
      <c r="O4285" s="2" t="s">
        <v>43</v>
      </c>
      <c r="P4285" s="2" t="s">
        <v>55</v>
      </c>
      <c r="Q4285" s="2" t="s">
        <v>56</v>
      </c>
      <c r="R4285" s="13">
        <v>2</v>
      </c>
      <c r="S4285" s="14">
        <v>30</v>
      </c>
      <c r="T4285" s="2">
        <f t="shared" si="497"/>
        <v>6.9</v>
      </c>
      <c r="U4285" s="12">
        <f t="shared" si="498"/>
        <v>36.9</v>
      </c>
      <c r="W4285" s="5">
        <f t="shared" si="494"/>
        <v>1</v>
      </c>
      <c r="Y4285" s="2" t="s">
        <v>3256</v>
      </c>
      <c r="Z4285" s="2" t="s">
        <v>46</v>
      </c>
      <c r="AA4285" s="2" t="s">
        <v>57</v>
      </c>
      <c r="AB4285" s="2" t="s">
        <v>58</v>
      </c>
    </row>
    <row r="4286" spans="1:37" x14ac:dyDescent="0.2">
      <c r="A4286" s="2">
        <v>2026</v>
      </c>
      <c r="B4286" s="2">
        <v>7</v>
      </c>
      <c r="C4286" s="2" t="s">
        <v>37</v>
      </c>
      <c r="D4286" s="2" t="s">
        <v>38</v>
      </c>
      <c r="E4286" s="2" t="s">
        <v>39</v>
      </c>
      <c r="G4286" s="2" t="s">
        <v>40</v>
      </c>
      <c r="K4286" s="2" t="s">
        <v>3300</v>
      </c>
      <c r="L4286" s="2" t="s">
        <v>81</v>
      </c>
      <c r="N4286" s="2" t="s">
        <v>3298</v>
      </c>
      <c r="O4286" s="2" t="s">
        <v>43</v>
      </c>
      <c r="P4286" s="2" t="s">
        <v>163</v>
      </c>
      <c r="Q4286" s="2" t="s">
        <v>164</v>
      </c>
      <c r="R4286" s="13">
        <v>2</v>
      </c>
      <c r="S4286" s="14">
        <v>24</v>
      </c>
      <c r="T4286" s="2">
        <f t="shared" si="497"/>
        <v>5.5200000000000005</v>
      </c>
      <c r="U4286" s="12">
        <f t="shared" si="498"/>
        <v>29.52</v>
      </c>
      <c r="W4286" s="5">
        <f t="shared" si="494"/>
        <v>1</v>
      </c>
      <c r="Y4286" s="2" t="s">
        <v>3256</v>
      </c>
      <c r="Z4286" s="2" t="s">
        <v>46</v>
      </c>
      <c r="AA4286" s="2" t="s">
        <v>47</v>
      </c>
      <c r="AB4286" s="2" t="s">
        <v>48</v>
      </c>
    </row>
    <row r="4287" spans="1:37" x14ac:dyDescent="0.2">
      <c r="A4287" s="2">
        <v>2026</v>
      </c>
      <c r="B4287" s="2">
        <v>7</v>
      </c>
      <c r="C4287" s="2" t="s">
        <v>37</v>
      </c>
      <c r="D4287" s="2" t="s">
        <v>38</v>
      </c>
      <c r="E4287" s="2" t="s">
        <v>39</v>
      </c>
      <c r="G4287" s="2" t="s">
        <v>40</v>
      </c>
      <c r="K4287" s="2" t="s">
        <v>3300</v>
      </c>
      <c r="L4287" s="2" t="s">
        <v>81</v>
      </c>
      <c r="N4287" s="2" t="s">
        <v>3299</v>
      </c>
      <c r="O4287" s="2" t="s">
        <v>1047</v>
      </c>
      <c r="P4287" s="2" t="s">
        <v>3295</v>
      </c>
      <c r="Q4287" s="2" t="s">
        <v>3296</v>
      </c>
      <c r="R4287" s="13">
        <v>1</v>
      </c>
      <c r="S4287" s="14">
        <v>187</v>
      </c>
      <c r="T4287" s="2">
        <f t="shared" si="497"/>
        <v>43.010000000000005</v>
      </c>
      <c r="U4287" s="12">
        <f t="shared" si="498"/>
        <v>230.01</v>
      </c>
      <c r="V4287" s="2">
        <v>141.16</v>
      </c>
      <c r="W4287" s="5">
        <f t="shared" si="494"/>
        <v>0.24513368983957221</v>
      </c>
      <c r="Y4287" s="2" t="s">
        <v>3256</v>
      </c>
      <c r="Z4287" s="2" t="s">
        <v>76</v>
      </c>
      <c r="AA4287" s="2" t="s">
        <v>77</v>
      </c>
      <c r="AB4287" s="2" t="s">
        <v>1047</v>
      </c>
    </row>
    <row r="4288" spans="1:37" x14ac:dyDescent="0.2">
      <c r="A4288" s="2">
        <v>2026</v>
      </c>
      <c r="B4288" s="2">
        <v>7</v>
      </c>
      <c r="C4288" s="2" t="s">
        <v>37</v>
      </c>
      <c r="D4288" s="2" t="s">
        <v>38</v>
      </c>
      <c r="E4288" s="2" t="s">
        <v>39</v>
      </c>
      <c r="G4288" s="2" t="s">
        <v>40</v>
      </c>
      <c r="K4288" s="2" t="s">
        <v>3300</v>
      </c>
      <c r="L4288" s="2" t="s">
        <v>81</v>
      </c>
      <c r="N4288" s="2" t="s">
        <v>3299</v>
      </c>
      <c r="O4288" s="2" t="s">
        <v>94</v>
      </c>
      <c r="P4288" s="2" t="s">
        <v>95</v>
      </c>
      <c r="Q4288" s="2" t="s">
        <v>96</v>
      </c>
      <c r="R4288" s="13">
        <v>1</v>
      </c>
      <c r="S4288" s="14">
        <v>1.48</v>
      </c>
      <c r="T4288" s="2">
        <f t="shared" si="497"/>
        <v>0.34040000000000004</v>
      </c>
      <c r="U4288" s="12">
        <f t="shared" si="498"/>
        <v>1.8204</v>
      </c>
      <c r="V4288" s="2">
        <v>1.48</v>
      </c>
      <c r="W4288" s="5">
        <f t="shared" si="494"/>
        <v>0</v>
      </c>
      <c r="Y4288" s="2" t="s">
        <v>3256</v>
      </c>
      <c r="Z4288" s="2" t="s">
        <v>97</v>
      </c>
      <c r="AA4288" s="2" t="s">
        <v>77</v>
      </c>
      <c r="AB4288" s="2" t="s">
        <v>94</v>
      </c>
    </row>
    <row r="4289" spans="1:28" x14ac:dyDescent="0.2">
      <c r="A4289" s="2">
        <v>2026</v>
      </c>
      <c r="B4289" s="2">
        <v>7</v>
      </c>
      <c r="C4289" s="2" t="s">
        <v>1479</v>
      </c>
      <c r="D4289" s="2" t="s">
        <v>38</v>
      </c>
      <c r="E4289" s="2" t="s">
        <v>39</v>
      </c>
      <c r="G4289" s="2" t="s">
        <v>110</v>
      </c>
      <c r="H4289" s="2" t="s">
        <v>1480</v>
      </c>
      <c r="K4289" s="2" t="s">
        <v>361</v>
      </c>
      <c r="L4289" s="2" t="s">
        <v>81</v>
      </c>
      <c r="N4289" s="2" t="s">
        <v>3309</v>
      </c>
      <c r="O4289" s="2" t="s">
        <v>73</v>
      </c>
      <c r="P4289" s="2" t="s">
        <v>3051</v>
      </c>
      <c r="Q4289" s="2" t="s">
        <v>332</v>
      </c>
      <c r="R4289" s="13">
        <v>1</v>
      </c>
      <c r="S4289" s="14">
        <v>220</v>
      </c>
      <c r="T4289" s="2">
        <f t="shared" si="497"/>
        <v>50.6</v>
      </c>
      <c r="U4289" s="12">
        <f t="shared" ref="U4289:U4303" si="499">S4289+T4289</f>
        <v>270.60000000000002</v>
      </c>
      <c r="V4289" s="2">
        <v>113.4</v>
      </c>
      <c r="W4289" s="5">
        <f t="shared" si="494"/>
        <v>0.4845454545454545</v>
      </c>
      <c r="Y4289" s="2" t="s">
        <v>3256</v>
      </c>
      <c r="Z4289" s="2" t="s">
        <v>76</v>
      </c>
      <c r="AA4289" s="2" t="s">
        <v>77</v>
      </c>
      <c r="AB4289" s="2" t="s">
        <v>78</v>
      </c>
    </row>
    <row r="4290" spans="1:28" x14ac:dyDescent="0.2">
      <c r="A4290" s="2">
        <v>2026</v>
      </c>
      <c r="B4290" s="2">
        <v>7</v>
      </c>
      <c r="C4290" s="2" t="s">
        <v>1479</v>
      </c>
      <c r="D4290" s="2" t="s">
        <v>38</v>
      </c>
      <c r="E4290" s="2" t="s">
        <v>39</v>
      </c>
      <c r="G4290" s="2" t="s">
        <v>110</v>
      </c>
      <c r="H4290" s="2" t="s">
        <v>1480</v>
      </c>
      <c r="K4290" s="2" t="s">
        <v>361</v>
      </c>
      <c r="L4290" s="2" t="s">
        <v>81</v>
      </c>
      <c r="N4290" s="2" t="s">
        <v>3309</v>
      </c>
      <c r="O4290" s="2" t="s">
        <v>94</v>
      </c>
      <c r="P4290" s="2" t="s">
        <v>95</v>
      </c>
      <c r="Q4290" s="2" t="s">
        <v>96</v>
      </c>
      <c r="R4290" s="13">
        <v>1</v>
      </c>
      <c r="S4290" s="14">
        <v>1.48</v>
      </c>
      <c r="T4290" s="2">
        <f t="shared" si="497"/>
        <v>0.34040000000000004</v>
      </c>
      <c r="U4290" s="12">
        <f t="shared" si="499"/>
        <v>1.8204</v>
      </c>
      <c r="V4290" s="2">
        <v>1.48</v>
      </c>
      <c r="W4290" s="5">
        <f t="shared" si="494"/>
        <v>0</v>
      </c>
      <c r="Y4290" s="2" t="s">
        <v>3256</v>
      </c>
      <c r="Z4290" s="2" t="s">
        <v>97</v>
      </c>
      <c r="AA4290" s="2" t="s">
        <v>77</v>
      </c>
      <c r="AB4290" s="2" t="s">
        <v>94</v>
      </c>
    </row>
    <row r="4291" spans="1:28" x14ac:dyDescent="0.2">
      <c r="A4291" s="2">
        <v>2026</v>
      </c>
      <c r="B4291" s="2">
        <v>7</v>
      </c>
      <c r="C4291" s="2" t="s">
        <v>1162</v>
      </c>
      <c r="D4291" s="2" t="s">
        <v>109</v>
      </c>
      <c r="E4291" s="2" t="s">
        <v>535</v>
      </c>
      <c r="G4291" s="2" t="s">
        <v>40</v>
      </c>
      <c r="H4291" s="2" t="s">
        <v>3315</v>
      </c>
      <c r="K4291" s="2" t="s">
        <v>340</v>
      </c>
      <c r="L4291" s="2" t="s">
        <v>40</v>
      </c>
      <c r="N4291" s="2" t="s">
        <v>3316</v>
      </c>
      <c r="O4291" s="2" t="s">
        <v>283</v>
      </c>
      <c r="P4291" s="2" t="s">
        <v>3019</v>
      </c>
      <c r="Q4291" s="2" t="s">
        <v>3020</v>
      </c>
      <c r="R4291" s="13">
        <v>1</v>
      </c>
      <c r="S4291" s="14">
        <v>1190</v>
      </c>
      <c r="T4291" s="2">
        <f t="shared" si="497"/>
        <v>273.7</v>
      </c>
      <c r="U4291" s="12">
        <f t="shared" si="499"/>
        <v>1463.7</v>
      </c>
      <c r="V4291" s="2">
        <v>773.5</v>
      </c>
      <c r="W4291" s="5">
        <f t="shared" si="494"/>
        <v>0.35</v>
      </c>
      <c r="Y4291" s="2" t="s">
        <v>118</v>
      </c>
    </row>
    <row r="4292" spans="1:28" x14ac:dyDescent="0.2">
      <c r="A4292" s="2">
        <v>2026</v>
      </c>
      <c r="B4292" s="2">
        <v>7</v>
      </c>
      <c r="C4292" s="2" t="s">
        <v>3301</v>
      </c>
      <c r="D4292" s="2" t="s">
        <v>38</v>
      </c>
      <c r="E4292" s="2" t="s">
        <v>39</v>
      </c>
      <c r="G4292" s="2" t="s">
        <v>291</v>
      </c>
      <c r="H4292" s="2" t="s">
        <v>3311</v>
      </c>
      <c r="K4292" s="2" t="s">
        <v>340</v>
      </c>
      <c r="L4292" s="2" t="s">
        <v>81</v>
      </c>
      <c r="N4292" s="2" t="s">
        <v>3310</v>
      </c>
      <c r="O4292" s="2" t="s">
        <v>73</v>
      </c>
      <c r="P4292" s="2" t="s">
        <v>919</v>
      </c>
      <c r="Q4292" s="2" t="s">
        <v>75</v>
      </c>
      <c r="R4292" s="13">
        <v>1</v>
      </c>
      <c r="S4292" s="14">
        <v>230.23</v>
      </c>
      <c r="T4292" s="2">
        <f t="shared" si="497"/>
        <v>52.9529</v>
      </c>
      <c r="U4292" s="12">
        <f t="shared" si="499"/>
        <v>283.18290000000002</v>
      </c>
      <c r="V4292" s="2">
        <f>115.92+6.06</f>
        <v>121.98</v>
      </c>
      <c r="W4292" s="5">
        <f t="shared" si="494"/>
        <v>0.47018199192112231</v>
      </c>
      <c r="Y4292" s="2" t="s">
        <v>3256</v>
      </c>
      <c r="Z4292" s="2" t="s">
        <v>76</v>
      </c>
      <c r="AA4292" s="2" t="s">
        <v>77</v>
      </c>
      <c r="AB4292" s="2" t="s">
        <v>78</v>
      </c>
    </row>
    <row r="4293" spans="1:28" x14ac:dyDescent="0.2">
      <c r="A4293" s="2">
        <v>2026</v>
      </c>
      <c r="B4293" s="2">
        <v>7</v>
      </c>
      <c r="C4293" s="2" t="s">
        <v>3301</v>
      </c>
      <c r="D4293" s="2" t="s">
        <v>38</v>
      </c>
      <c r="E4293" s="2" t="s">
        <v>39</v>
      </c>
      <c r="G4293" s="2" t="s">
        <v>291</v>
      </c>
      <c r="H4293" s="2" t="s">
        <v>3311</v>
      </c>
      <c r="K4293" s="2" t="s">
        <v>340</v>
      </c>
      <c r="L4293" s="2" t="s">
        <v>81</v>
      </c>
      <c r="N4293" s="2" t="s">
        <v>3310</v>
      </c>
      <c r="O4293" s="2" t="s">
        <v>94</v>
      </c>
      <c r="P4293" s="2" t="s">
        <v>95</v>
      </c>
      <c r="Q4293" s="2" t="s">
        <v>96</v>
      </c>
      <c r="R4293" s="13">
        <v>1</v>
      </c>
      <c r="S4293" s="14">
        <v>1.48</v>
      </c>
      <c r="T4293" s="2">
        <f t="shared" si="497"/>
        <v>0.34040000000000004</v>
      </c>
      <c r="U4293" s="12">
        <f t="shared" si="499"/>
        <v>1.8204</v>
      </c>
      <c r="V4293" s="2">
        <v>1.48</v>
      </c>
      <c r="W4293" s="5">
        <f t="shared" si="494"/>
        <v>0</v>
      </c>
      <c r="Y4293" s="2" t="s">
        <v>3256</v>
      </c>
      <c r="Z4293" s="2" t="s">
        <v>97</v>
      </c>
      <c r="AA4293" s="2" t="s">
        <v>77</v>
      </c>
      <c r="AB4293" s="2" t="s">
        <v>94</v>
      </c>
    </row>
    <row r="4294" spans="1:28" x14ac:dyDescent="0.2">
      <c r="A4294" s="2">
        <v>2026</v>
      </c>
      <c r="B4294" s="2">
        <v>7</v>
      </c>
      <c r="C4294" s="2" t="s">
        <v>3302</v>
      </c>
      <c r="D4294" s="2" t="s">
        <v>758</v>
      </c>
      <c r="E4294" s="2" t="s">
        <v>3317</v>
      </c>
      <c r="G4294" s="2" t="s">
        <v>40</v>
      </c>
      <c r="H4294" s="2" t="s">
        <v>3318</v>
      </c>
      <c r="K4294" s="2" t="s">
        <v>100</v>
      </c>
      <c r="L4294" s="2" t="s">
        <v>40</v>
      </c>
      <c r="N4294" s="2" t="s">
        <v>3319</v>
      </c>
      <c r="O4294" s="2" t="s">
        <v>115</v>
      </c>
      <c r="P4294" s="2" t="s">
        <v>911</v>
      </c>
      <c r="Q4294" s="2" t="s">
        <v>912</v>
      </c>
      <c r="R4294" s="13">
        <v>1</v>
      </c>
      <c r="S4294" s="14">
        <v>699.3</v>
      </c>
      <c r="T4294" s="2">
        <f t="shared" si="497"/>
        <v>160.839</v>
      </c>
      <c r="U4294" s="12">
        <f t="shared" si="499"/>
        <v>860.1389999999999</v>
      </c>
      <c r="V4294" s="2">
        <v>345.20339999999999</v>
      </c>
      <c r="W4294" s="5">
        <f t="shared" si="494"/>
        <v>0.50635864435864431</v>
      </c>
      <c r="Y4294" s="2" t="s">
        <v>118</v>
      </c>
    </row>
    <row r="4295" spans="1:28" x14ac:dyDescent="0.2">
      <c r="A4295" s="2">
        <v>2026</v>
      </c>
      <c r="B4295" s="2">
        <v>7</v>
      </c>
      <c r="C4295" s="2" t="s">
        <v>3302</v>
      </c>
      <c r="D4295" s="2" t="s">
        <v>758</v>
      </c>
      <c r="E4295" s="2" t="s">
        <v>3317</v>
      </c>
      <c r="G4295" s="2" t="s">
        <v>40</v>
      </c>
      <c r="H4295" s="2" t="s">
        <v>3318</v>
      </c>
      <c r="K4295" s="2" t="s">
        <v>100</v>
      </c>
      <c r="L4295" s="2" t="s">
        <v>40</v>
      </c>
      <c r="N4295" s="2" t="s">
        <v>3319</v>
      </c>
      <c r="O4295" s="2" t="s">
        <v>188</v>
      </c>
      <c r="P4295" s="2" t="s">
        <v>189</v>
      </c>
      <c r="Q4295" s="2" t="s">
        <v>190</v>
      </c>
      <c r="R4295" s="13">
        <v>1</v>
      </c>
      <c r="S4295" s="14">
        <v>55</v>
      </c>
      <c r="T4295" s="2">
        <f t="shared" si="497"/>
        <v>12.65</v>
      </c>
      <c r="U4295" s="12">
        <f t="shared" si="499"/>
        <v>67.650000000000006</v>
      </c>
      <c r="W4295" s="5">
        <f t="shared" si="494"/>
        <v>1</v>
      </c>
      <c r="Y4295" s="2" t="s">
        <v>118</v>
      </c>
      <c r="Z4295" s="2" t="s">
        <v>191</v>
      </c>
    </row>
    <row r="4296" spans="1:28" x14ac:dyDescent="0.2">
      <c r="A4296" s="2">
        <v>2026</v>
      </c>
      <c r="B4296" s="2">
        <v>7</v>
      </c>
      <c r="C4296" s="2" t="s">
        <v>3302</v>
      </c>
      <c r="D4296" s="2" t="s">
        <v>758</v>
      </c>
      <c r="E4296" s="2" t="s">
        <v>3317</v>
      </c>
      <c r="G4296" s="2" t="s">
        <v>40</v>
      </c>
      <c r="H4296" s="2" t="s">
        <v>3318</v>
      </c>
      <c r="K4296" s="2" t="s">
        <v>100</v>
      </c>
      <c r="L4296" s="2" t="s">
        <v>40</v>
      </c>
      <c r="N4296" s="2" t="s">
        <v>3319</v>
      </c>
      <c r="O4296" s="2" t="s">
        <v>188</v>
      </c>
      <c r="P4296" s="2" t="s">
        <v>192</v>
      </c>
      <c r="Q4296" s="2" t="s">
        <v>191</v>
      </c>
      <c r="R4296" s="13">
        <v>0.5</v>
      </c>
      <c r="S4296" s="14">
        <v>27.5</v>
      </c>
      <c r="T4296" s="2">
        <f t="shared" si="497"/>
        <v>6.3250000000000002</v>
      </c>
      <c r="U4296" s="12">
        <f t="shared" si="499"/>
        <v>33.825000000000003</v>
      </c>
      <c r="W4296" s="5">
        <f t="shared" si="494"/>
        <v>1</v>
      </c>
      <c r="Y4296" s="2" t="s">
        <v>118</v>
      </c>
      <c r="Z4296" s="2" t="s">
        <v>191</v>
      </c>
    </row>
    <row r="4297" spans="1:28" x14ac:dyDescent="0.2">
      <c r="A4297" s="2">
        <v>2026</v>
      </c>
      <c r="B4297" s="2">
        <v>7</v>
      </c>
      <c r="C4297" s="2" t="s">
        <v>3303</v>
      </c>
      <c r="D4297" s="2" t="s">
        <v>109</v>
      </c>
      <c r="E4297" s="2" t="s">
        <v>39</v>
      </c>
      <c r="G4297" s="2" t="s">
        <v>291</v>
      </c>
      <c r="H4297" s="2" t="s">
        <v>3320</v>
      </c>
      <c r="K4297" s="2" t="s">
        <v>294</v>
      </c>
      <c r="L4297" s="2" t="s">
        <v>81</v>
      </c>
      <c r="N4297" s="2" t="s">
        <v>3321</v>
      </c>
      <c r="O4297" s="2" t="s">
        <v>73</v>
      </c>
      <c r="P4297" s="2" t="s">
        <v>3304</v>
      </c>
      <c r="Q4297" s="2" t="s">
        <v>308</v>
      </c>
      <c r="R4297" s="13">
        <v>1</v>
      </c>
      <c r="S4297" s="14">
        <v>220</v>
      </c>
      <c r="T4297" s="2">
        <f t="shared" si="497"/>
        <v>50.6</v>
      </c>
      <c r="U4297" s="12">
        <f t="shared" si="499"/>
        <v>270.60000000000002</v>
      </c>
      <c r="V4297" s="2">
        <v>119.95</v>
      </c>
      <c r="W4297" s="5">
        <f t="shared" si="494"/>
        <v>0.45477272727272727</v>
      </c>
      <c r="Y4297" s="2" t="s">
        <v>3256</v>
      </c>
      <c r="Z4297" s="2" t="s">
        <v>76</v>
      </c>
      <c r="AA4297" s="2" t="s">
        <v>77</v>
      </c>
      <c r="AB4297" s="2" t="s">
        <v>78</v>
      </c>
    </row>
    <row r="4298" spans="1:28" x14ac:dyDescent="0.2">
      <c r="A4298" s="2">
        <v>2026</v>
      </c>
      <c r="B4298" s="2">
        <v>7</v>
      </c>
      <c r="C4298" s="2" t="s">
        <v>3303</v>
      </c>
      <c r="D4298" s="2" t="s">
        <v>109</v>
      </c>
      <c r="E4298" s="2" t="s">
        <v>39</v>
      </c>
      <c r="G4298" s="2" t="s">
        <v>291</v>
      </c>
      <c r="H4298" s="2" t="s">
        <v>3320</v>
      </c>
      <c r="K4298" s="2" t="s">
        <v>294</v>
      </c>
      <c r="L4298" s="2" t="s">
        <v>81</v>
      </c>
      <c r="N4298" s="2" t="s">
        <v>3321</v>
      </c>
      <c r="O4298" s="2" t="s">
        <v>94</v>
      </c>
      <c r="P4298" s="2" t="s">
        <v>95</v>
      </c>
      <c r="Q4298" s="2" t="s">
        <v>96</v>
      </c>
      <c r="R4298" s="13">
        <v>1</v>
      </c>
      <c r="S4298" s="14">
        <v>1.48</v>
      </c>
      <c r="T4298" s="2">
        <f t="shared" si="497"/>
        <v>0.34040000000000004</v>
      </c>
      <c r="U4298" s="12">
        <f t="shared" si="499"/>
        <v>1.8204</v>
      </c>
      <c r="V4298" s="2">
        <v>1.48</v>
      </c>
      <c r="W4298" s="5">
        <f t="shared" si="494"/>
        <v>0</v>
      </c>
      <c r="Y4298" s="2" t="s">
        <v>3256</v>
      </c>
      <c r="Z4298" s="2" t="s">
        <v>97</v>
      </c>
      <c r="AA4298" s="2" t="s">
        <v>77</v>
      </c>
      <c r="AB4298" s="2" t="s">
        <v>94</v>
      </c>
    </row>
    <row r="4299" spans="1:28" x14ac:dyDescent="0.2">
      <c r="A4299" s="2">
        <v>2026</v>
      </c>
      <c r="B4299" s="2">
        <v>7</v>
      </c>
      <c r="C4299" s="2" t="s">
        <v>3123</v>
      </c>
      <c r="D4299" s="2" t="s">
        <v>38</v>
      </c>
      <c r="E4299" s="2" t="s">
        <v>39</v>
      </c>
      <c r="G4299" s="2" t="s">
        <v>110</v>
      </c>
      <c r="H4299" s="2" t="s">
        <v>3314</v>
      </c>
      <c r="K4299" s="2" t="s">
        <v>134</v>
      </c>
      <c r="L4299" s="2" t="s">
        <v>110</v>
      </c>
      <c r="N4299" s="2" t="s">
        <v>3313</v>
      </c>
      <c r="O4299" s="2" t="s">
        <v>102</v>
      </c>
      <c r="P4299" s="2" t="s">
        <v>263</v>
      </c>
      <c r="Q4299" s="2" t="s">
        <v>264</v>
      </c>
      <c r="R4299" s="13">
        <v>1</v>
      </c>
      <c r="S4299" s="14">
        <v>13000</v>
      </c>
      <c r="T4299" s="2">
        <f t="shared" si="497"/>
        <v>2990</v>
      </c>
      <c r="U4299" s="12">
        <f t="shared" si="499"/>
        <v>15990</v>
      </c>
      <c r="V4299" s="2">
        <v>8765.42</v>
      </c>
      <c r="W4299" s="5">
        <f t="shared" si="494"/>
        <v>0.32573692307692309</v>
      </c>
      <c r="Y4299" s="2" t="s">
        <v>105</v>
      </c>
      <c r="Z4299" s="2" t="s">
        <v>996</v>
      </c>
      <c r="AA4299" s="2" t="s">
        <v>266</v>
      </c>
      <c r="AB4299" s="2" t="s">
        <v>102</v>
      </c>
    </row>
    <row r="4300" spans="1:28" x14ac:dyDescent="0.2">
      <c r="A4300" s="2">
        <v>2026</v>
      </c>
      <c r="B4300" s="2">
        <v>7</v>
      </c>
      <c r="C4300" s="2" t="s">
        <v>3123</v>
      </c>
      <c r="D4300" s="2" t="s">
        <v>38</v>
      </c>
      <c r="E4300" s="2" t="s">
        <v>39</v>
      </c>
      <c r="G4300" s="2" t="s">
        <v>110</v>
      </c>
      <c r="H4300" s="2" t="s">
        <v>3314</v>
      </c>
      <c r="K4300" s="2" t="s">
        <v>134</v>
      </c>
      <c r="L4300" s="2" t="s">
        <v>110</v>
      </c>
      <c r="N4300" s="2" t="s">
        <v>3313</v>
      </c>
      <c r="O4300" s="2" t="s">
        <v>102</v>
      </c>
      <c r="P4300" s="2" t="s">
        <v>3305</v>
      </c>
      <c r="Q4300" s="2" t="s">
        <v>3306</v>
      </c>
      <c r="R4300" s="13">
        <v>1</v>
      </c>
      <c r="S4300" s="14">
        <v>6000</v>
      </c>
      <c r="T4300" s="2">
        <f t="shared" si="497"/>
        <v>1380</v>
      </c>
      <c r="U4300" s="12">
        <f t="shared" si="499"/>
        <v>7380</v>
      </c>
      <c r="V4300" s="2">
        <v>4221.5600000000004</v>
      </c>
      <c r="W4300" s="5">
        <f t="shared" si="494"/>
        <v>0.2964066666666666</v>
      </c>
      <c r="Y4300" s="2" t="s">
        <v>105</v>
      </c>
      <c r="Z4300" s="2" t="s">
        <v>106</v>
      </c>
      <c r="AA4300" s="2" t="s">
        <v>2047</v>
      </c>
      <c r="AB4300" s="2" t="s">
        <v>102</v>
      </c>
    </row>
    <row r="4301" spans="1:28" x14ac:dyDescent="0.2">
      <c r="A4301" s="2">
        <v>2026</v>
      </c>
      <c r="B4301" s="2">
        <v>7</v>
      </c>
      <c r="C4301" s="2" t="s">
        <v>3123</v>
      </c>
      <c r="D4301" s="2" t="s">
        <v>38</v>
      </c>
      <c r="E4301" s="2" t="s">
        <v>39</v>
      </c>
      <c r="G4301" s="2" t="s">
        <v>110</v>
      </c>
      <c r="H4301" s="2" t="s">
        <v>3314</v>
      </c>
      <c r="K4301" s="2" t="s">
        <v>134</v>
      </c>
      <c r="L4301" s="2" t="s">
        <v>110</v>
      </c>
      <c r="N4301" s="2" t="s">
        <v>3313</v>
      </c>
      <c r="O4301" s="2" t="s">
        <v>102</v>
      </c>
      <c r="P4301" s="2" t="s">
        <v>3307</v>
      </c>
      <c r="Q4301" s="2" t="s">
        <v>3308</v>
      </c>
      <c r="R4301" s="13">
        <v>1</v>
      </c>
      <c r="S4301" s="14">
        <v>1000</v>
      </c>
      <c r="T4301" s="2">
        <f t="shared" si="497"/>
        <v>230</v>
      </c>
      <c r="U4301" s="12">
        <f t="shared" si="499"/>
        <v>1230</v>
      </c>
      <c r="V4301" s="2">
        <v>802.73</v>
      </c>
      <c r="W4301" s="5">
        <f t="shared" si="494"/>
        <v>0.19726999999999997</v>
      </c>
      <c r="Y4301" s="2" t="s">
        <v>105</v>
      </c>
      <c r="Z4301" s="2" t="s">
        <v>1120</v>
      </c>
      <c r="AA4301" s="2" t="s">
        <v>3312</v>
      </c>
      <c r="AB4301" s="2" t="s">
        <v>102</v>
      </c>
    </row>
    <row r="4302" spans="1:28" x14ac:dyDescent="0.2">
      <c r="A4302" s="2">
        <v>2026</v>
      </c>
      <c r="B4302" s="2">
        <v>7</v>
      </c>
      <c r="C4302" s="2" t="s">
        <v>2013</v>
      </c>
      <c r="D4302" s="2" t="s">
        <v>109</v>
      </c>
      <c r="E4302" s="2" t="s">
        <v>39</v>
      </c>
      <c r="G4302" s="2" t="s">
        <v>291</v>
      </c>
      <c r="H4302" s="2" t="s">
        <v>3311</v>
      </c>
      <c r="K4302" s="2" t="s">
        <v>340</v>
      </c>
      <c r="L4302" s="2" t="s">
        <v>40</v>
      </c>
      <c r="N4302" s="2" t="s">
        <v>3322</v>
      </c>
      <c r="O4302" s="2" t="s">
        <v>188</v>
      </c>
      <c r="P4302" s="2" t="s">
        <v>189</v>
      </c>
      <c r="Q4302" s="2" t="s">
        <v>190</v>
      </c>
      <c r="R4302" s="13">
        <v>1</v>
      </c>
      <c r="S4302" s="14">
        <v>60</v>
      </c>
      <c r="T4302" s="2">
        <f t="shared" si="497"/>
        <v>13.8</v>
      </c>
      <c r="U4302" s="12">
        <f t="shared" si="499"/>
        <v>73.8</v>
      </c>
      <c r="W4302" s="5">
        <f t="shared" si="494"/>
        <v>1</v>
      </c>
      <c r="Y4302" s="2" t="s">
        <v>118</v>
      </c>
      <c r="Z4302" s="2" t="s">
        <v>191</v>
      </c>
    </row>
    <row r="4303" spans="1:28" x14ac:dyDescent="0.2">
      <c r="A4303" s="2">
        <v>2026</v>
      </c>
      <c r="B4303" s="2">
        <v>7</v>
      </c>
      <c r="C4303" s="2" t="s">
        <v>2013</v>
      </c>
      <c r="D4303" s="2" t="s">
        <v>109</v>
      </c>
      <c r="E4303" s="2" t="s">
        <v>39</v>
      </c>
      <c r="G4303" s="2" t="s">
        <v>291</v>
      </c>
      <c r="H4303" s="2" t="s">
        <v>3311</v>
      </c>
      <c r="K4303" s="2" t="s">
        <v>340</v>
      </c>
      <c r="L4303" s="2" t="s">
        <v>40</v>
      </c>
      <c r="N4303" s="2" t="s">
        <v>3322</v>
      </c>
      <c r="O4303" s="2" t="s">
        <v>188</v>
      </c>
      <c r="P4303" s="2" t="s">
        <v>192</v>
      </c>
      <c r="Q4303" s="2" t="s">
        <v>191</v>
      </c>
      <c r="R4303" s="13">
        <v>1</v>
      </c>
      <c r="S4303" s="14">
        <v>55</v>
      </c>
      <c r="T4303" s="2">
        <f t="shared" si="497"/>
        <v>12.65</v>
      </c>
      <c r="U4303" s="12">
        <f t="shared" si="499"/>
        <v>67.650000000000006</v>
      </c>
      <c r="W4303" s="5">
        <f t="shared" si="494"/>
        <v>1</v>
      </c>
      <c r="Y4303" s="2" t="s">
        <v>118</v>
      </c>
      <c r="Z4303" s="2" t="s">
        <v>191</v>
      </c>
    </row>
  </sheetData>
  <autoFilter ref="A1:AK4325" xr:uid="{00000000-0001-0000-0000-000000000000}"/>
  <sortState xmlns:xlrd2="http://schemas.microsoft.com/office/spreadsheetml/2017/richdata2" ref="A2:AK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2026-07-17T09:37:02Z</dcterms:modified>
</cp:coreProperties>
</file>