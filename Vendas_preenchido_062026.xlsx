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6DD0638-3838-4EBD-8F72-7AF5A3C4B2E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10" i="1" l="1"/>
  <c r="W4430" i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X4219" i="1"/>
  <c r="W3844" i="1"/>
  <c r="AL3844" i="1" s="1"/>
  <c r="W1980" i="1"/>
  <c r="W3124" i="1"/>
  <c r="X3124" i="1" s="1"/>
  <c r="W1816" i="1"/>
  <c r="W4218" i="1"/>
  <c r="W4217" i="1"/>
  <c r="W4216" i="1"/>
  <c r="W4215" i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W2501" i="1"/>
  <c r="W2500" i="1"/>
  <c r="W1974" i="1"/>
  <c r="W1973" i="1"/>
  <c r="W1972" i="1"/>
  <c r="W1970" i="1"/>
  <c r="W4316" i="1"/>
  <c r="AL4316" i="1" s="1"/>
  <c r="W4074" i="1"/>
  <c r="X4074" i="1" s="1"/>
  <c r="W2188" i="1"/>
  <c r="W2187" i="1"/>
  <c r="W2499" i="1"/>
  <c r="W1971" i="1"/>
  <c r="W1969" i="1"/>
  <c r="W1481" i="1"/>
  <c r="W1480" i="1"/>
  <c r="W3988" i="1"/>
  <c r="W1963" i="1"/>
  <c r="W1829" i="1"/>
  <c r="W2494" i="1"/>
  <c r="W2302" i="1"/>
  <c r="W1325" i="1"/>
  <c r="W974" i="1"/>
  <c r="AK316" i="1"/>
  <c r="AL316" i="1"/>
  <c r="X316" i="1"/>
  <c r="W700" i="1"/>
  <c r="U918" i="1"/>
  <c r="V918" i="1" s="1"/>
  <c r="W2765" i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W2504" i="1"/>
  <c r="W2503" i="1"/>
  <c r="W4144" i="1"/>
  <c r="W3481" i="1"/>
  <c r="W4251" i="1"/>
  <c r="W2271" i="1"/>
  <c r="W4338" i="1"/>
  <c r="W4334" i="1"/>
  <c r="W3466" i="1"/>
  <c r="W3465" i="1"/>
  <c r="W521" i="1"/>
  <c r="W4255" i="1"/>
  <c r="W4142" i="1"/>
  <c r="W3851" i="1"/>
  <c r="W3464" i="1"/>
  <c r="AL3464" i="1" s="1"/>
  <c r="W3463" i="1"/>
  <c r="X3463" i="1" s="1"/>
  <c r="W3212" i="1"/>
  <c r="AL3212" i="1" s="1"/>
  <c r="W2616" i="1"/>
  <c r="W1870" i="1"/>
  <c r="W1827" i="1"/>
  <c r="W1478" i="1"/>
  <c r="W1226" i="1"/>
  <c r="W1197" i="1"/>
  <c r="W956" i="1"/>
  <c r="W600" i="1"/>
  <c r="W2620" i="1"/>
  <c r="W4420" i="1"/>
  <c r="AL4420" i="1" s="1"/>
  <c r="W4309" i="1"/>
  <c r="W3852" i="1"/>
  <c r="W3731" i="1"/>
  <c r="W2646" i="1"/>
  <c r="W1347" i="1"/>
  <c r="W1309" i="1"/>
  <c r="W1083" i="1"/>
  <c r="W688" i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6" i="1"/>
  <c r="X4215" i="1"/>
  <c r="X4214" i="1"/>
  <c r="X4213" i="1"/>
  <c r="X4212" i="1"/>
  <c r="AL4435" i="1"/>
  <c r="AK4435" i="1"/>
  <c r="AL4220" i="1"/>
  <c r="AK4220" i="1"/>
  <c r="AL4218" i="1"/>
  <c r="AK4218" i="1"/>
  <c r="AL4217" i="1"/>
  <c r="AK4217" i="1"/>
  <c r="AL4216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AK4278" i="1"/>
  <c r="AK4277" i="1"/>
  <c r="AK3827" i="1"/>
  <c r="AK3826" i="1"/>
  <c r="AK3743" i="1"/>
  <c r="AK3717" i="1"/>
  <c r="AK3700" i="1"/>
  <c r="AK3638" i="1"/>
  <c r="AK3636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67" i="1"/>
  <c r="AK1554" i="1"/>
  <c r="AK1553" i="1"/>
  <c r="AK1101" i="1"/>
  <c r="AK563" i="1"/>
  <c r="AK562" i="1"/>
  <c r="AK530" i="1"/>
  <c r="AK529" i="1"/>
  <c r="AK328" i="1"/>
  <c r="AK327" i="1"/>
  <c r="AK156" i="1"/>
  <c r="AK155" i="1"/>
  <c r="AL4278" i="1"/>
  <c r="AL4277" i="1"/>
  <c r="W4278" i="1"/>
  <c r="W4277" i="1"/>
  <c r="W1567" i="1"/>
  <c r="AL3827" i="1"/>
  <c r="AL3826" i="1"/>
  <c r="AL3743" i="1"/>
  <c r="AL3717" i="1"/>
  <c r="AL3700" i="1"/>
  <c r="AL3638" i="1"/>
  <c r="AL3636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67" i="1"/>
  <c r="AL1554" i="1"/>
  <c r="AL1553" i="1"/>
  <c r="AL1101" i="1"/>
  <c r="AL563" i="1"/>
  <c r="AL562" i="1"/>
  <c r="AL530" i="1"/>
  <c r="AL529" i="1"/>
  <c r="AL328" i="1"/>
  <c r="AL327" i="1"/>
  <c r="AL156" i="1"/>
  <c r="X328" i="1"/>
  <c r="X2515" i="1"/>
  <c r="X4278" i="1"/>
  <c r="X4277" i="1"/>
  <c r="X3827" i="1"/>
  <c r="X3826" i="1"/>
  <c r="X3743" i="1"/>
  <c r="X3717" i="1"/>
  <c r="X3700" i="1"/>
  <c r="X3638" i="1"/>
  <c r="X3636" i="1"/>
  <c r="X3547" i="1"/>
  <c r="X3459" i="1"/>
  <c r="X2514" i="1"/>
  <c r="X2493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X156" i="1"/>
  <c r="W2665" i="1"/>
  <c r="AK2665" i="1" s="1"/>
  <c r="W2981" i="1"/>
  <c r="W1783" i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W661" i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1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K4368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0" i="1"/>
  <c r="AL4410" i="1"/>
  <c r="AK4411" i="1"/>
  <c r="AL4411" i="1"/>
  <c r="AK4415" i="1"/>
  <c r="AL4415" i="1"/>
  <c r="AK4417" i="1"/>
  <c r="AL4417" i="1"/>
  <c r="AK4418" i="1"/>
  <c r="AK4419" i="1"/>
  <c r="AL4419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AK4430" i="1"/>
  <c r="AL4430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4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0" i="1"/>
  <c r="X4411" i="1"/>
  <c r="X4419" i="1"/>
  <c r="X4421" i="1"/>
  <c r="X4422" i="1"/>
  <c r="X4423" i="1"/>
  <c r="X4424" i="1"/>
  <c r="X4427" i="1"/>
  <c r="X4428" i="1"/>
  <c r="X4429" i="1"/>
  <c r="X4430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75" i="1"/>
  <c r="AL4275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5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W4068" i="1"/>
  <c r="X4068" i="1" s="1"/>
  <c r="W3617" i="1"/>
  <c r="U4068" i="1"/>
  <c r="V4068" i="1" s="1"/>
  <c r="U3617" i="1"/>
  <c r="V3617" i="1" s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L1816" i="1"/>
  <c r="AK1816" i="1"/>
  <c r="AJ1816" i="1"/>
  <c r="AF1816" i="1" s="1"/>
  <c r="X1816" i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L661" i="1"/>
  <c r="AK661" i="1"/>
  <c r="AJ661" i="1"/>
  <c r="AF661" i="1" s="1"/>
  <c r="X661" i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K1815" i="1" l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<sst xmlns="http://schemas.openxmlformats.org/spreadsheetml/2006/main" count="53815" uniqueCount="3435">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</sst>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5"/>
  <sheetViews>
    <sheetView tabSelected="1" workbookViewId="0">
      <pane ySplit="1" topLeftCell="A4357" activePane="bottomLeft" state="frozen"/>
      <selection pane="bottomLeft" activeCell="A4368" sqref="A436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3239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3239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3239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3239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3239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3239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3239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3239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3239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3239</v>
      </c>
      <c r="AA11" s="2" t="s">
        <v>72</v>
      </c>
      <c r="AB11" s="2" t="s">
        <v>69</v>
      </c>
      <c r="AC11" s="2" t="s">
        <v>3244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3239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3283</v>
      </c>
      <c r="M13" s="2" t="s">
        <v>81</v>
      </c>
      <c r="O13" s="2" t="s">
        <v>3210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3239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3283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3239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3157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3239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3239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3239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3239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3184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3239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3239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3239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3239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3239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3239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3239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3239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3239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3239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3239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3239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3239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3239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3239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3239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3239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3239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3239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3239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3239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3239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3239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3239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3239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3239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3125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3239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3125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3239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3125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3239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3125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3239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3125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3239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3125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3239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3125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3239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3125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3239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3125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3239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3125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3239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3125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3239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3125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3239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3125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3239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3125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3239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3125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3239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3125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3239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3125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3239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3125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3239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3125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3239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3125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3239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3125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3239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3125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3239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3125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3239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3125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3239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3125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3239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3125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3239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3125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3239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3125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3239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3125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3239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3125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3239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3125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3239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3125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3239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3125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3239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3125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3239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3125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3239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3125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3239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3239</v>
      </c>
      <c r="AA100" s="2" t="s">
        <v>72</v>
      </c>
      <c r="AB100" s="2" t="s">
        <v>69</v>
      </c>
      <c r="AC100" s="2" t="s">
        <v>3244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3239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3239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3239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3239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3239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3239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3239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3239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3239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3239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3239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3239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3186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3185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3239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3239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3239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3244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3239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3239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3126</v>
      </c>
      <c r="J124" s="2" t="s">
        <v>3127</v>
      </c>
      <c r="L124" s="2" t="s">
        <v>113</v>
      </c>
      <c r="M124" s="2" t="s">
        <v>40</v>
      </c>
      <c r="O124" s="2" t="s">
        <v>3128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3126</v>
      </c>
      <c r="J125" s="2" t="s">
        <v>3127</v>
      </c>
      <c r="L125" s="2" t="s">
        <v>113</v>
      </c>
      <c r="M125" s="2" t="s">
        <v>40</v>
      </c>
      <c r="O125" s="2" t="s">
        <v>3128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3126</v>
      </c>
      <c r="J126" s="2" t="s">
        <v>3127</v>
      </c>
      <c r="L126" s="2" t="s">
        <v>113</v>
      </c>
      <c r="M126" s="2" t="s">
        <v>40</v>
      </c>
      <c r="O126" s="2" t="s">
        <v>3128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3239</v>
      </c>
      <c r="AA127" s="2" t="s">
        <v>72</v>
      </c>
      <c r="AB127" s="2" t="s">
        <v>69</v>
      </c>
      <c r="AC127" s="2" t="s">
        <v>3244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3239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3239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3239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3239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3239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3239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3239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3239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3239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3239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3239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3239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3239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3239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3239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3239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3239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3131</v>
      </c>
      <c r="K155" s="2">
        <v>917575485</v>
      </c>
      <c r="L155" s="2" t="s">
        <v>462</v>
      </c>
      <c r="M155" s="2" t="s">
        <v>41</v>
      </c>
      <c r="O155" s="2" t="s">
        <v>3133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3239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3131</v>
      </c>
      <c r="K156" s="2">
        <v>917575485</v>
      </c>
      <c r="L156" s="2" t="s">
        <v>462</v>
      </c>
      <c r="M156" s="2" t="s">
        <v>41</v>
      </c>
      <c r="O156" s="2" t="s">
        <v>3133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3239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3394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3239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3239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3239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3239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3239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3239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3239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3394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3239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3239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3394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3239</v>
      </c>
      <c r="AA173" s="2" t="s">
        <v>46</v>
      </c>
      <c r="AB173" s="2" t="s">
        <v>61</v>
      </c>
      <c r="AC173" s="2" t="s">
        <v>3345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3239</v>
      </c>
      <c r="AA174" s="2" t="s">
        <v>46</v>
      </c>
      <c r="AB174" s="2" t="s">
        <v>61</v>
      </c>
      <c r="AC174" s="2" t="s">
        <v>3345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2486</v>
      </c>
      <c r="J175" s="2" t="s">
        <v>3134</v>
      </c>
      <c r="K175" s="2">
        <v>965864665</v>
      </c>
      <c r="L175" s="2" t="s">
        <v>345</v>
      </c>
      <c r="M175" s="2" t="s">
        <v>81</v>
      </c>
      <c r="O175" s="2" t="s">
        <v>3135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3239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2486</v>
      </c>
      <c r="J176" s="2" t="s">
        <v>3134</v>
      </c>
      <c r="K176" s="2">
        <v>965864665</v>
      </c>
      <c r="L176" s="2" t="s">
        <v>345</v>
      </c>
      <c r="M176" s="2" t="s">
        <v>81</v>
      </c>
      <c r="O176" s="2" t="s">
        <v>3135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3239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3140</v>
      </c>
      <c r="K181" s="2">
        <v>962555043</v>
      </c>
      <c r="L181" s="2" t="s">
        <v>345</v>
      </c>
      <c r="M181" s="2" t="s">
        <v>40</v>
      </c>
      <c r="O181" s="2" t="s">
        <v>3141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3140</v>
      </c>
      <c r="K182" s="2">
        <v>962555043</v>
      </c>
      <c r="L182" s="2" t="s">
        <v>345</v>
      </c>
      <c r="M182" s="2" t="s">
        <v>40</v>
      </c>
      <c r="O182" s="2" t="s">
        <v>3141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3320</v>
      </c>
      <c r="D183" s="2" t="s">
        <v>3343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3239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3239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3239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3239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3239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3239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3239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3239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3239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3188</v>
      </c>
      <c r="K195" s="2">
        <v>911577458</v>
      </c>
      <c r="L195" s="2" t="s">
        <v>178</v>
      </c>
      <c r="M195" s="2" t="s">
        <v>41</v>
      </c>
      <c r="O195" s="2" t="s">
        <v>3189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3239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3188</v>
      </c>
      <c r="K196" s="2">
        <v>911577458</v>
      </c>
      <c r="L196" s="2" t="s">
        <v>178</v>
      </c>
      <c r="M196" s="2" t="s">
        <v>41</v>
      </c>
      <c r="O196" s="2" t="s">
        <v>3189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3239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3193</v>
      </c>
      <c r="L197" s="2" t="s">
        <v>134</v>
      </c>
      <c r="M197" s="2" t="s">
        <v>40</v>
      </c>
      <c r="O197" s="2" t="s">
        <v>3194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3239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3239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3239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3239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3239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3239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3239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3239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3394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3320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3239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3239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3239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3239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3239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3144</v>
      </c>
      <c r="L222" s="2" t="s">
        <v>178</v>
      </c>
      <c r="M222" s="2" t="s">
        <v>41</v>
      </c>
      <c r="O222" s="2" t="s">
        <v>3143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3239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3144</v>
      </c>
      <c r="L223" s="2" t="s">
        <v>178</v>
      </c>
      <c r="M223" s="2" t="s">
        <v>41</v>
      </c>
      <c r="O223" s="2" t="s">
        <v>3143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3239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3144</v>
      </c>
      <c r="L224" s="2" t="s">
        <v>178</v>
      </c>
      <c r="M224" s="2" t="s">
        <v>41</v>
      </c>
      <c r="O224" s="2" t="s">
        <v>3143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3239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3239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3239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3239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3239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3145</v>
      </c>
      <c r="L229" s="2" t="s">
        <v>178</v>
      </c>
      <c r="M229" s="2" t="s">
        <v>41</v>
      </c>
      <c r="O229" s="2" t="s">
        <v>3146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3239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3239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3239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3239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3196</v>
      </c>
      <c r="J239" s="2" t="s">
        <v>3197</v>
      </c>
      <c r="L239" s="2" t="s">
        <v>202</v>
      </c>
      <c r="M239" s="2" t="s">
        <v>41</v>
      </c>
      <c r="O239" s="2" t="s">
        <v>3198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3239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3196</v>
      </c>
      <c r="J240" s="2" t="s">
        <v>3197</v>
      </c>
      <c r="L240" s="2" t="s">
        <v>202</v>
      </c>
      <c r="M240" s="2" t="s">
        <v>41</v>
      </c>
      <c r="O240" s="2" t="s">
        <v>3198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3239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3239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3239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3239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3203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3239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3239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3239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3239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3239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3239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3239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3239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3239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3239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3239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3239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3199</v>
      </c>
      <c r="L262" s="2" t="s">
        <v>340</v>
      </c>
      <c r="M262" s="2" t="s">
        <v>40</v>
      </c>
      <c r="O262" s="2" t="s">
        <v>3200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3199</v>
      </c>
      <c r="L263" s="2" t="s">
        <v>340</v>
      </c>
      <c r="M263" s="2" t="s">
        <v>40</v>
      </c>
      <c r="O263" s="2" t="s">
        <v>3201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3239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3239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3239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3239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3239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3239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3239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3239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3239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3239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3239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3239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3239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3239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3239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3239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3239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3239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3239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3239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3239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3239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3239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3239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3239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3239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3239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3239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3239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3239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3239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3239</v>
      </c>
      <c r="AA302" s="2" t="s">
        <v>46</v>
      </c>
      <c r="AB302" s="2" t="s">
        <v>61</v>
      </c>
      <c r="AC302" s="2" t="s">
        <v>3345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3239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hidden="1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3239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3239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3239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3239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3239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3196</v>
      </c>
      <c r="J312" s="2" t="s">
        <v>3251</v>
      </c>
      <c r="K312" s="2">
        <v>965347433</v>
      </c>
      <c r="L312" s="2" t="s">
        <v>202</v>
      </c>
      <c r="M312" s="2" t="s">
        <v>41</v>
      </c>
      <c r="O312" s="2" t="s">
        <v>3252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3239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3196</v>
      </c>
      <c r="J313" s="2" t="s">
        <v>3251</v>
      </c>
      <c r="K313" s="2">
        <v>965347433</v>
      </c>
      <c r="L313" s="2" t="s">
        <v>202</v>
      </c>
      <c r="M313" s="2" t="s">
        <v>41</v>
      </c>
      <c r="O313" s="2" t="s">
        <v>3252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3239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3239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3239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3320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3320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3320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3320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3320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650</v>
      </c>
      <c r="P324" s="2" t="s">
        <v>3187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3187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3239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3239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3239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3239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3239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3239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3239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3239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1631</v>
      </c>
      <c r="J336" s="2" t="s">
        <v>3182</v>
      </c>
      <c r="L336" s="2" t="s">
        <v>340</v>
      </c>
      <c r="M336" s="2" t="s">
        <v>40</v>
      </c>
      <c r="O336" s="2" t="s">
        <v>3183</v>
      </c>
      <c r="P336" s="2" t="s">
        <v>1616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1099</v>
      </c>
      <c r="AC336" s="2" t="s">
        <v>1616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3239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3239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3239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3239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3416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3202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3239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3239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3239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3239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3239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3239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3239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3239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3239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3239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3239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3239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3239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3239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hidden="1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3239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3239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3239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3239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3239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3239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3239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3239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3239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3239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3239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3239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3239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3239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3394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3239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3239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3239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hidden="1" x14ac:dyDescent="0.2">
      <c r="A405" s="2">
        <v>2025</v>
      </c>
      <c r="B405" s="2">
        <v>2</v>
      </c>
      <c r="C405" s="2" t="s">
        <v>3321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3239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hidden="1" x14ac:dyDescent="0.2">
      <c r="A406" s="2">
        <v>2025</v>
      </c>
      <c r="B406" s="2">
        <v>2</v>
      </c>
      <c r="C406" s="2" t="s">
        <v>3321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3239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3239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3239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hidden="1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3239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hidden="1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3239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hidden="1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3239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3239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3239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3239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3239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3239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hidden="1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3239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3317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hidden="1" x14ac:dyDescent="0.2">
      <c r="A420" s="2">
        <v>2025</v>
      </c>
      <c r="B420" s="2">
        <v>2</v>
      </c>
      <c r="C420" s="2" t="s">
        <v>3317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3239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3239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3239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3239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3239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3239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3239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3239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3239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3239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hidden="1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3239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hidden="1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3239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hidden="1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3239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hidden="1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3239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3239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3239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3239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3239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3321</v>
      </c>
      <c r="D455" s="2" t="s">
        <v>3319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3318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3317</v>
      </c>
      <c r="D456" s="2" t="s">
        <v>3316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3315</v>
      </c>
      <c r="P456" s="2" t="s">
        <v>115</v>
      </c>
      <c r="Q456" s="2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3321</v>
      </c>
      <c r="D457" s="2" t="s">
        <v>3319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3318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3321</v>
      </c>
      <c r="D458" s="2" t="s">
        <v>3322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3317</v>
      </c>
      <c r="D459" s="2" t="s">
        <v>3316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3315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3394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hidden="1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3239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hidden="1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3239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hidden="1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3239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3239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3239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3394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3239</v>
      </c>
      <c r="AA472" s="2" t="s">
        <v>156</v>
      </c>
      <c r="AB472" s="2" t="s">
        <v>3396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hidden="1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3239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hidden="1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3239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hidden="1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3239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hidden="1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3239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hidden="1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3239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hidden="1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3239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hidden="1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3239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3239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hidden="1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3239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hidden="1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3239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hidden="1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3239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hidden="1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3239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hidden="1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3239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hidden="1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3239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hidden="1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3239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hidden="1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3239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3239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3239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hidden="1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3239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hidden="1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3239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3239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3239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3239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3239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3239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3239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3239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3239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3239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3239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3239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hidden="1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3239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hidden="1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3239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3394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hidden="1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3239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hidden="1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3239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hidden="1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3239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3239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3239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hidden="1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3239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3239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3239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3239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3239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hidden="1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3239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hidden="1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3239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hidden="1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3239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hidden="1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3239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hidden="1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3239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3239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3239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3239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3239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hidden="1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3239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3239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3239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hidden="1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3239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hidden="1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3239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hidden="1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3239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3239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hidden="1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3239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hidden="1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3239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hidden="1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3239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hidden="1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3239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hidden="1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3239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hidden="1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3239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hidden="1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3239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3239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3239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3239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3239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958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hidden="1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959</v>
      </c>
      <c r="R569" s="2" t="s">
        <v>960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961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962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962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962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963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3239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964</v>
      </c>
      <c r="P576" s="2" t="s">
        <v>73</v>
      </c>
      <c r="Q576" s="2" t="s">
        <v>965</v>
      </c>
      <c r="R576" s="2" t="s">
        <v>966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3239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964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3239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967</v>
      </c>
      <c r="P578" s="2" t="s">
        <v>43</v>
      </c>
      <c r="Q578" s="2" t="s">
        <v>968</v>
      </c>
      <c r="R578" s="2" t="s">
        <v>969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3239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970</v>
      </c>
      <c r="P579" s="2" t="s">
        <v>43</v>
      </c>
      <c r="Q579" s="2" t="s">
        <v>971</v>
      </c>
      <c r="R579" s="2" t="s">
        <v>972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3239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970</v>
      </c>
      <c r="P580" s="2" t="s">
        <v>43</v>
      </c>
      <c r="Q580" s="2" t="s">
        <v>973</v>
      </c>
      <c r="R580" s="2" t="s">
        <v>974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3239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970</v>
      </c>
      <c r="P581" s="2" t="s">
        <v>43</v>
      </c>
      <c r="Q581" s="2" t="s">
        <v>975</v>
      </c>
      <c r="R581" s="2" t="s">
        <v>976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3239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977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977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978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979</v>
      </c>
      <c r="J584" s="2" t="s">
        <v>980</v>
      </c>
      <c r="L584" s="2" t="s">
        <v>601</v>
      </c>
      <c r="M584" s="2" t="s">
        <v>40</v>
      </c>
      <c r="O584" s="2" t="s">
        <v>981</v>
      </c>
      <c r="P584" s="2" t="s">
        <v>115</v>
      </c>
      <c r="Q584" s="2" t="s">
        <v>982</v>
      </c>
      <c r="R584" s="2" t="s">
        <v>983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978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979</v>
      </c>
      <c r="J585" s="2" t="s">
        <v>980</v>
      </c>
      <c r="L585" s="2" t="s">
        <v>601</v>
      </c>
      <c r="M585" s="2" t="s">
        <v>40</v>
      </c>
      <c r="O585" s="2" t="s">
        <v>981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978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979</v>
      </c>
      <c r="J586" s="2" t="s">
        <v>980</v>
      </c>
      <c r="L586" s="2" t="s">
        <v>601</v>
      </c>
      <c r="M586" s="2" t="s">
        <v>40</v>
      </c>
      <c r="O586" s="2" t="s">
        <v>981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3239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hidden="1" x14ac:dyDescent="0.2">
      <c r="A588" s="2">
        <v>2025</v>
      </c>
      <c r="B588" s="2">
        <v>3</v>
      </c>
      <c r="D588" s="2" t="s">
        <v>984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3239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hidden="1" x14ac:dyDescent="0.2">
      <c r="A589" s="2">
        <v>2025</v>
      </c>
      <c r="B589" s="2">
        <v>3</v>
      </c>
      <c r="D589" s="2" t="s">
        <v>984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3239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984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3239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985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986</v>
      </c>
      <c r="J591" s="2" t="s">
        <v>987</v>
      </c>
      <c r="L591" s="2" t="s">
        <v>294</v>
      </c>
      <c r="M591" s="2" t="s">
        <v>81</v>
      </c>
      <c r="O591" s="2" t="s">
        <v>988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3239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985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986</v>
      </c>
      <c r="J592" s="2" t="s">
        <v>987</v>
      </c>
      <c r="L592" s="2" t="s">
        <v>294</v>
      </c>
      <c r="M592" s="2" t="s">
        <v>81</v>
      </c>
      <c r="O592" s="2" t="s">
        <v>988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3239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3239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989</v>
      </c>
      <c r="P595" s="2" t="s">
        <v>40</v>
      </c>
      <c r="Q595" s="2" t="s">
        <v>990</v>
      </c>
      <c r="R595" s="2" t="s">
        <v>991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992</v>
      </c>
      <c r="R596" s="2" t="s">
        <v>993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3394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994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995</v>
      </c>
      <c r="J600" s="2" t="s">
        <v>996</v>
      </c>
      <c r="K600" s="2">
        <v>964159861</v>
      </c>
      <c r="L600" s="2" t="s">
        <v>202</v>
      </c>
      <c r="M600" s="2" t="s">
        <v>81</v>
      </c>
      <c r="O600" s="2" t="s">
        <v>997</v>
      </c>
      <c r="P600" s="2" t="s">
        <v>73</v>
      </c>
      <c r="Q600" s="2" t="s">
        <v>998</v>
      </c>
      <c r="R600" s="2" t="s">
        <v>999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3239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994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995</v>
      </c>
      <c r="J601" s="2" t="s">
        <v>996</v>
      </c>
      <c r="K601" s="2">
        <v>964159861</v>
      </c>
      <c r="L601" s="2" t="s">
        <v>202</v>
      </c>
      <c r="M601" s="2" t="s">
        <v>81</v>
      </c>
      <c r="O601" s="2" t="s">
        <v>997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3239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1000</v>
      </c>
      <c r="P602" s="2" t="s">
        <v>283</v>
      </c>
      <c r="Q602" s="2" t="s">
        <v>1001</v>
      </c>
      <c r="R602" s="2" t="s">
        <v>1002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3239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1003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3239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1003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3239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1004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1005</v>
      </c>
      <c r="J605" s="2" t="s">
        <v>1006</v>
      </c>
      <c r="K605" s="2">
        <v>917233128</v>
      </c>
      <c r="L605" s="2" t="s">
        <v>100</v>
      </c>
      <c r="M605" s="2" t="s">
        <v>40</v>
      </c>
      <c r="O605" s="2" t="s">
        <v>1007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1004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1005</v>
      </c>
      <c r="J606" s="2" t="s">
        <v>1006</v>
      </c>
      <c r="K606" s="2">
        <v>917233128</v>
      </c>
      <c r="L606" s="2" t="s">
        <v>100</v>
      </c>
      <c r="M606" s="2" t="s">
        <v>40</v>
      </c>
      <c r="O606" s="2" t="s">
        <v>1007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1004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1005</v>
      </c>
      <c r="J607" s="2" t="s">
        <v>1006</v>
      </c>
      <c r="K607" s="2">
        <v>917233128</v>
      </c>
      <c r="L607" s="2" t="s">
        <v>100</v>
      </c>
      <c r="M607" s="2" t="s">
        <v>40</v>
      </c>
      <c r="O607" s="2" t="s">
        <v>1007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1008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hidden="1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1009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3239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hidden="1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1009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3239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hidden="1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1009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3239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1010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1010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3239</v>
      </c>
      <c r="AA612" s="2" t="s">
        <v>46</v>
      </c>
      <c r="AB612" s="2" t="s">
        <v>61</v>
      </c>
      <c r="AC612" s="2" t="s">
        <v>3345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1011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1011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1011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hidden="1" x14ac:dyDescent="0.2">
      <c r="A616" s="2">
        <v>2025</v>
      </c>
      <c r="B616" s="2">
        <v>3</v>
      </c>
      <c r="D616" s="2" t="s">
        <v>1012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3239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hidden="1" x14ac:dyDescent="0.2">
      <c r="A617" s="2">
        <v>2025</v>
      </c>
      <c r="B617" s="2">
        <v>3</v>
      </c>
      <c r="D617" s="2" t="s">
        <v>1012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3239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1012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1013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1014</v>
      </c>
      <c r="J619" s="2" t="s">
        <v>1015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1013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1014</v>
      </c>
      <c r="J620" s="2" t="s">
        <v>1015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1013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1014</v>
      </c>
      <c r="J621" s="2" t="s">
        <v>1015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3394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1016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1016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1017</v>
      </c>
      <c r="R624" s="2" t="s">
        <v>1018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3239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hidden="1" x14ac:dyDescent="0.2">
      <c r="A626" s="2">
        <v>2025</v>
      </c>
      <c r="B626" s="2">
        <v>3</v>
      </c>
      <c r="D626" s="2" t="s">
        <v>1019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3239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3239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3239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hidden="1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1020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3239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hidden="1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1020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3239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1021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1022</v>
      </c>
      <c r="J631" s="2" t="s">
        <v>1023</v>
      </c>
      <c r="L631" s="2" t="s">
        <v>294</v>
      </c>
      <c r="M631" s="2" t="s">
        <v>81</v>
      </c>
      <c r="O631" s="2" t="s">
        <v>1024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3239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1021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1022</v>
      </c>
      <c r="J632" s="2" t="s">
        <v>1023</v>
      </c>
      <c r="L632" s="2" t="s">
        <v>294</v>
      </c>
      <c r="M632" s="2" t="s">
        <v>81</v>
      </c>
      <c r="O632" s="2" t="s">
        <v>1024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3239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1025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1025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1025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1026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3239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3239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1027</v>
      </c>
      <c r="R638" s="2" t="s">
        <v>1028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3239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3239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1029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3239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3239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1030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1031</v>
      </c>
      <c r="J645" s="2" t="s">
        <v>1032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1033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1030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1031</v>
      </c>
      <c r="J646" s="2" t="s">
        <v>1032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1030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1031</v>
      </c>
      <c r="J647" s="2" t="s">
        <v>1032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1034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1035</v>
      </c>
      <c r="J650" s="2" t="s">
        <v>1036</v>
      </c>
      <c r="K650" s="2">
        <v>917611946</v>
      </c>
      <c r="L650" s="2" t="s">
        <v>462</v>
      </c>
      <c r="M650" s="2" t="s">
        <v>41</v>
      </c>
      <c r="O650" s="2" t="s">
        <v>1037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3239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1034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1035</v>
      </c>
      <c r="J651" s="2" t="s">
        <v>1036</v>
      </c>
      <c r="K651" s="2">
        <v>917611946</v>
      </c>
      <c r="L651" s="2" t="s">
        <v>462</v>
      </c>
      <c r="M651" s="2" t="s">
        <v>41</v>
      </c>
      <c r="O651" s="2" t="s">
        <v>1038</v>
      </c>
      <c r="P651" s="2" t="s">
        <v>73</v>
      </c>
      <c r="Q651" s="2" t="s">
        <v>1039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3239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1034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1035</v>
      </c>
      <c r="J652" s="2" t="s">
        <v>1036</v>
      </c>
      <c r="K652" s="2">
        <v>917611946</v>
      </c>
      <c r="L652" s="2" t="s">
        <v>462</v>
      </c>
      <c r="M652" s="2" t="s">
        <v>41</v>
      </c>
      <c r="O652" s="2" t="s">
        <v>1040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3239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3239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3239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hidden="1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1041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3239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3239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3158</v>
      </c>
      <c r="P657" s="2" t="s">
        <v>1042</v>
      </c>
      <c r="Q657" s="2" t="s">
        <v>1043</v>
      </c>
      <c r="R657" s="2" t="s">
        <v>1044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3239</v>
      </c>
      <c r="AA657" s="2" t="s">
        <v>1045</v>
      </c>
      <c r="AB657" s="2" t="s">
        <v>1046</v>
      </c>
      <c r="AC657" s="2" t="s">
        <v>1042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3239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1047</v>
      </c>
      <c r="P659" s="2" t="s">
        <v>167</v>
      </c>
      <c r="Q659" s="2" t="s">
        <v>1048</v>
      </c>
      <c r="R659" s="2" t="s">
        <v>1049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3239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1047</v>
      </c>
      <c r="P660" s="2" t="s">
        <v>167</v>
      </c>
      <c r="Q660" s="2" t="s">
        <v>1050</v>
      </c>
      <c r="R660" s="2" t="s">
        <v>1051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3239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1047</v>
      </c>
      <c r="P661" s="2" t="s">
        <v>85</v>
      </c>
      <c r="Q661" s="2" t="s">
        <v>1052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3239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1053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1054</v>
      </c>
      <c r="J662" s="2" t="s">
        <v>1055</v>
      </c>
      <c r="L662" s="2" t="s">
        <v>340</v>
      </c>
      <c r="M662" s="2" t="s">
        <v>40</v>
      </c>
      <c r="O662" s="2" t="s">
        <v>1056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1053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1054</v>
      </c>
      <c r="J663" s="2" t="s">
        <v>1055</v>
      </c>
      <c r="L663" s="2" t="s">
        <v>340</v>
      </c>
      <c r="M663" s="2" t="s">
        <v>40</v>
      </c>
      <c r="O663" s="2" t="s">
        <v>1056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1057</v>
      </c>
      <c r="E664" s="2" t="s">
        <v>184</v>
      </c>
      <c r="F664" s="2" t="s">
        <v>1058</v>
      </c>
      <c r="G664" s="2">
        <v>500199523</v>
      </c>
      <c r="H664" s="2" t="s">
        <v>291</v>
      </c>
      <c r="I664" s="2" t="s">
        <v>294</v>
      </c>
      <c r="J664" s="2" t="s">
        <v>1059</v>
      </c>
      <c r="L664" s="2" t="s">
        <v>294</v>
      </c>
      <c r="M664" s="2" t="s">
        <v>81</v>
      </c>
      <c r="O664" s="2" t="s">
        <v>1060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3239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1057</v>
      </c>
      <c r="E665" s="2" t="s">
        <v>184</v>
      </c>
      <c r="F665" s="2" t="s">
        <v>1058</v>
      </c>
      <c r="G665" s="2">
        <v>500199523</v>
      </c>
      <c r="H665" s="2" t="s">
        <v>291</v>
      </c>
      <c r="I665" s="2" t="s">
        <v>294</v>
      </c>
      <c r="J665" s="2" t="s">
        <v>1059</v>
      </c>
      <c r="L665" s="2" t="s">
        <v>294</v>
      </c>
      <c r="M665" s="2" t="s">
        <v>81</v>
      </c>
      <c r="O665" s="2" t="s">
        <v>1060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3239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1061</v>
      </c>
      <c r="R666" s="2" t="s">
        <v>1062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3239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1063</v>
      </c>
      <c r="R667" s="2" t="s">
        <v>1064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3239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3239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1065</v>
      </c>
      <c r="R669" s="2" t="s">
        <v>1066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3239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1067</v>
      </c>
      <c r="R670" s="2" t="s">
        <v>1068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3239</v>
      </c>
      <c r="AA670" s="2" t="s">
        <v>72</v>
      </c>
      <c r="AB670" s="2" t="s">
        <v>1608</v>
      </c>
      <c r="AC670" s="2" t="s">
        <v>1608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hidden="1" x14ac:dyDescent="0.2">
      <c r="A671" s="2">
        <v>2025</v>
      </c>
      <c r="B671" s="2">
        <v>3</v>
      </c>
      <c r="D671" s="2" t="s">
        <v>1069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3239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hidden="1" x14ac:dyDescent="0.2">
      <c r="A672" s="2">
        <v>2025</v>
      </c>
      <c r="B672" s="2">
        <v>3</v>
      </c>
      <c r="D672" s="2" t="s">
        <v>1069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3239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1070</v>
      </c>
      <c r="M673" s="2" t="s">
        <v>40</v>
      </c>
      <c r="P673" s="2" t="s">
        <v>2701</v>
      </c>
      <c r="Q673" s="2" t="s">
        <v>1071</v>
      </c>
      <c r="R673" s="2" t="s">
        <v>1072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3239</v>
      </c>
      <c r="AA673" s="2" t="s">
        <v>3397</v>
      </c>
      <c r="AB673" s="2" t="s">
        <v>3398</v>
      </c>
      <c r="AC673" s="2" t="s">
        <v>3399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1073</v>
      </c>
      <c r="R674" s="2" t="s">
        <v>1074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3239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hidden="1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3239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hidden="1" x14ac:dyDescent="0.2">
      <c r="A676" s="2">
        <v>2025</v>
      </c>
      <c r="B676" s="2">
        <v>3</v>
      </c>
      <c r="D676" s="2" t="s">
        <v>1075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3239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hidden="1" x14ac:dyDescent="0.2">
      <c r="A677" s="2">
        <v>2025</v>
      </c>
      <c r="B677" s="2">
        <v>3</v>
      </c>
      <c r="D677" s="2" t="s">
        <v>1075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3239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1001</v>
      </c>
      <c r="R678" s="2" t="s">
        <v>1002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3239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3239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1076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3239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3239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1077</v>
      </c>
      <c r="P682" s="2" t="s">
        <v>73</v>
      </c>
      <c r="Q682" s="2" t="s">
        <v>1078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3239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1077</v>
      </c>
      <c r="P683" s="2" t="s">
        <v>73</v>
      </c>
      <c r="Q683" s="2" t="s">
        <v>1079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3239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1077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3239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1080</v>
      </c>
      <c r="P685" s="2" t="s">
        <v>115</v>
      </c>
      <c r="Q685" s="2" t="s">
        <v>1081</v>
      </c>
      <c r="R685" s="2" t="s">
        <v>1082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1080</v>
      </c>
      <c r="P686" s="2" t="s">
        <v>115</v>
      </c>
      <c r="Q686" s="2" t="s">
        <v>1083</v>
      </c>
      <c r="R686" s="2" t="s">
        <v>1084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1085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3239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1086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3239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1080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1080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1086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3239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1087</v>
      </c>
      <c r="P692" s="2" t="s">
        <v>1198</v>
      </c>
      <c r="Q692" s="2" t="s">
        <v>1088</v>
      </c>
      <c r="R692" s="2" t="s">
        <v>1089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2756</v>
      </c>
      <c r="AB692" s="2" t="s">
        <v>2757</v>
      </c>
      <c r="AC692" s="2" t="s">
        <v>1198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1087</v>
      </c>
      <c r="P693" s="2" t="s">
        <v>1198</v>
      </c>
      <c r="Q693" s="2" t="s">
        <v>1090</v>
      </c>
      <c r="R693" s="2" t="s">
        <v>1091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1092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1093</v>
      </c>
      <c r="J694" s="2" t="s">
        <v>1094</v>
      </c>
      <c r="K694" s="2">
        <v>917523997</v>
      </c>
      <c r="L694" s="2" t="s">
        <v>113</v>
      </c>
      <c r="M694" s="2" t="s">
        <v>40</v>
      </c>
      <c r="O694" s="2" t="s">
        <v>1095</v>
      </c>
      <c r="P694" s="2" t="s">
        <v>115</v>
      </c>
      <c r="Q694" s="2" t="s">
        <v>982</v>
      </c>
      <c r="R694" s="2" t="s">
        <v>983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3239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3239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1096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1096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1096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1097</v>
      </c>
      <c r="R700" s="2" t="s">
        <v>1098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1099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1100</v>
      </c>
      <c r="R701" s="2" t="s">
        <v>1101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1102</v>
      </c>
      <c r="P702" s="2" t="s">
        <v>115</v>
      </c>
      <c r="Q702" s="2" t="s">
        <v>1103</v>
      </c>
      <c r="R702" s="2" t="s">
        <v>1104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1102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1105</v>
      </c>
      <c r="J704" s="2" t="s">
        <v>1106</v>
      </c>
      <c r="L704" s="2" t="s">
        <v>178</v>
      </c>
      <c r="M704" s="2" t="s">
        <v>41</v>
      </c>
      <c r="O704" s="2" t="s">
        <v>1107</v>
      </c>
      <c r="P704" s="2" t="s">
        <v>43</v>
      </c>
      <c r="Q704" s="2" t="s">
        <v>1108</v>
      </c>
      <c r="R704" s="2" t="s">
        <v>1109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3239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1107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3239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3239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3239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3239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3239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3239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3239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3239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3239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3239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1110</v>
      </c>
      <c r="G715" s="2">
        <v>502514027</v>
      </c>
      <c r="H715" s="2" t="s">
        <v>40</v>
      </c>
      <c r="M715" s="2" t="s">
        <v>40</v>
      </c>
      <c r="O715" s="2" t="s">
        <v>1111</v>
      </c>
      <c r="P715" s="2" t="s">
        <v>1112</v>
      </c>
      <c r="Q715" s="2" t="s">
        <v>1113</v>
      </c>
      <c r="R715" s="2" t="s">
        <v>1114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1115</v>
      </c>
      <c r="AB715" s="2" t="s">
        <v>1116</v>
      </c>
      <c r="AC715" s="2" t="s">
        <v>1112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3239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1117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1118</v>
      </c>
      <c r="J717" s="2" t="s">
        <v>1119</v>
      </c>
      <c r="K717" s="2">
        <v>914550474</v>
      </c>
      <c r="L717" s="2" t="s">
        <v>100</v>
      </c>
      <c r="M717" s="2" t="s">
        <v>40</v>
      </c>
      <c r="O717" s="2" t="s">
        <v>1120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hidden="1" x14ac:dyDescent="0.2">
      <c r="A718" s="2">
        <v>2025</v>
      </c>
      <c r="B718" s="2">
        <v>3</v>
      </c>
      <c r="D718" s="2" t="s">
        <v>1117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1118</v>
      </c>
      <c r="J718" s="2" t="s">
        <v>1119</v>
      </c>
      <c r="K718" s="2">
        <v>914550474</v>
      </c>
      <c r="L718" s="2" t="s">
        <v>100</v>
      </c>
      <c r="M718" s="2" t="s">
        <v>81</v>
      </c>
      <c r="O718" s="2" t="s">
        <v>1121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3239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1117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1118</v>
      </c>
      <c r="J719" s="2" t="s">
        <v>1119</v>
      </c>
      <c r="K719" s="2">
        <v>914550474</v>
      </c>
      <c r="L719" s="2" t="s">
        <v>100</v>
      </c>
      <c r="M719" s="2" t="s">
        <v>40</v>
      </c>
      <c r="O719" s="2" t="s">
        <v>1120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1117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1118</v>
      </c>
      <c r="J720" s="2" t="s">
        <v>1119</v>
      </c>
      <c r="K720" s="2">
        <v>914550474</v>
      </c>
      <c r="L720" s="2" t="s">
        <v>100</v>
      </c>
      <c r="M720" s="2" t="s">
        <v>40</v>
      </c>
      <c r="O720" s="2" t="s">
        <v>1120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hidden="1" x14ac:dyDescent="0.2">
      <c r="A721" s="2">
        <v>2025</v>
      </c>
      <c r="B721" s="2">
        <v>3</v>
      </c>
      <c r="D721" s="2" t="s">
        <v>1122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3239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1123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1123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1123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3394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3239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3239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1124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3258</v>
      </c>
      <c r="J727" s="2" t="s">
        <v>3259</v>
      </c>
      <c r="K727" s="2">
        <v>96179412</v>
      </c>
      <c r="L727" s="2" t="s">
        <v>462</v>
      </c>
      <c r="M727" s="2" t="s">
        <v>40</v>
      </c>
      <c r="O727" s="2" t="s">
        <v>3261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1124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3258</v>
      </c>
      <c r="J728" s="2" t="s">
        <v>3259</v>
      </c>
      <c r="K728" s="2">
        <v>96179412</v>
      </c>
      <c r="L728" s="2" t="s">
        <v>462</v>
      </c>
      <c r="M728" s="2" t="s">
        <v>40</v>
      </c>
      <c r="O728" s="2" t="s">
        <v>3261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hidden="1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1125</v>
      </c>
      <c r="P729" s="2" t="s">
        <v>43</v>
      </c>
      <c r="Q729" s="2" t="s">
        <v>968</v>
      </c>
      <c r="R729" s="2" t="s">
        <v>969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3239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hidden="1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1125</v>
      </c>
      <c r="P730" s="2" t="s">
        <v>43</v>
      </c>
      <c r="Q730" s="2" t="s">
        <v>971</v>
      </c>
      <c r="R730" s="2" t="s">
        <v>972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3239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1126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3239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3239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1127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1127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1128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2304</v>
      </c>
      <c r="J735" s="2" t="s">
        <v>2305</v>
      </c>
      <c r="K735" s="2">
        <v>965790183</v>
      </c>
      <c r="L735" s="2" t="s">
        <v>178</v>
      </c>
      <c r="M735" s="2" t="s">
        <v>41</v>
      </c>
      <c r="O735" s="2" t="s">
        <v>3230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1129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1130</v>
      </c>
      <c r="J736" s="2" t="s">
        <v>1131</v>
      </c>
      <c r="L736" s="2" t="s">
        <v>462</v>
      </c>
      <c r="M736" s="2" t="s">
        <v>40</v>
      </c>
      <c r="O736" s="2" t="s">
        <v>1132</v>
      </c>
      <c r="P736" s="2" t="s">
        <v>115</v>
      </c>
      <c r="Q736" s="2" t="s">
        <v>1133</v>
      </c>
      <c r="R736" s="2" t="s">
        <v>1134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1129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1130</v>
      </c>
      <c r="J737" s="2" t="s">
        <v>1131</v>
      </c>
      <c r="L737" s="2" t="s">
        <v>462</v>
      </c>
      <c r="M737" s="2" t="s">
        <v>40</v>
      </c>
      <c r="O737" s="2" t="s">
        <v>1132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3239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1065</v>
      </c>
      <c r="R739" s="2" t="s">
        <v>1066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3239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3239</v>
      </c>
      <c r="AA740" s="2" t="s">
        <v>46</v>
      </c>
      <c r="AB740" s="2" t="s">
        <v>61</v>
      </c>
      <c r="AC740" s="2" t="s">
        <v>3345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1135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3239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1135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3239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3239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3239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3239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1136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3239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3239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3239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3239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3239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1137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3239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3204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3239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1138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3239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3239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3239</v>
      </c>
      <c r="AA756" s="2" t="s">
        <v>72</v>
      </c>
      <c r="AB756" s="2" t="s">
        <v>69</v>
      </c>
      <c r="AC756" s="2" t="s">
        <v>3244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1139</v>
      </c>
      <c r="R757" s="2" t="s">
        <v>1140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3239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1141</v>
      </c>
      <c r="E760" s="2" t="s">
        <v>38</v>
      </c>
      <c r="G760" s="2">
        <v>506131904</v>
      </c>
      <c r="H760" s="2" t="s">
        <v>40</v>
      </c>
      <c r="I760" s="2" t="s">
        <v>1142</v>
      </c>
      <c r="J760" s="2" t="s">
        <v>1143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1141</v>
      </c>
      <c r="E761" s="2" t="s">
        <v>38</v>
      </c>
      <c r="G761" s="2">
        <v>506131904</v>
      </c>
      <c r="H761" s="2" t="s">
        <v>40</v>
      </c>
      <c r="I761" s="2" t="s">
        <v>1142</v>
      </c>
      <c r="J761" s="2" t="s">
        <v>1143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1141</v>
      </c>
      <c r="E762" s="2" t="s">
        <v>38</v>
      </c>
      <c r="G762" s="2">
        <v>506131904</v>
      </c>
      <c r="H762" s="2" t="s">
        <v>40</v>
      </c>
      <c r="I762" s="2" t="s">
        <v>1142</v>
      </c>
      <c r="J762" s="2" t="s">
        <v>1143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3394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hidden="1" x14ac:dyDescent="0.2">
      <c r="A763" s="2">
        <v>2025</v>
      </c>
      <c r="B763" s="2">
        <v>4</v>
      </c>
      <c r="D763" s="2" t="s">
        <v>1144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1145</v>
      </c>
      <c r="J763" s="2" t="s">
        <v>1146</v>
      </c>
      <c r="L763" s="2" t="s">
        <v>100</v>
      </c>
      <c r="M763" s="2" t="s">
        <v>41</v>
      </c>
      <c r="O763" s="2" t="s">
        <v>1147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3239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1148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1149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1150</v>
      </c>
      <c r="J767" s="2" t="s">
        <v>1151</v>
      </c>
      <c r="L767" s="2" t="s">
        <v>134</v>
      </c>
      <c r="M767" s="2" t="s">
        <v>41</v>
      </c>
      <c r="O767" s="2" t="s">
        <v>1152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1153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1154</v>
      </c>
      <c r="P768" s="2" t="s">
        <v>115</v>
      </c>
      <c r="Q768" s="2" t="s">
        <v>1155</v>
      </c>
      <c r="R768" s="2" t="s">
        <v>1156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1157</v>
      </c>
      <c r="P769" s="2" t="s">
        <v>283</v>
      </c>
      <c r="Q769" s="2" t="s">
        <v>1158</v>
      </c>
      <c r="R769" s="2" t="s">
        <v>1159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1582</v>
      </c>
      <c r="AB769" s="2" t="s">
        <v>389</v>
      </c>
      <c r="AC769" s="2" t="s">
        <v>1332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1157</v>
      </c>
      <c r="P770" s="2" t="s">
        <v>283</v>
      </c>
      <c r="Q770" s="2" t="s">
        <v>1160</v>
      </c>
      <c r="R770" s="2" t="s">
        <v>1161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1582</v>
      </c>
      <c r="AB770" s="2" t="s">
        <v>389</v>
      </c>
      <c r="AC770" s="2" t="s">
        <v>1332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1157</v>
      </c>
      <c r="P771" s="2" t="s">
        <v>283</v>
      </c>
      <c r="Q771" s="2" t="s">
        <v>1162</v>
      </c>
      <c r="R771" s="2" t="s">
        <v>1163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1164</v>
      </c>
      <c r="R772" s="2" t="s">
        <v>1165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3239</v>
      </c>
      <c r="AA772" s="2" t="s">
        <v>72</v>
      </c>
      <c r="AB772" s="2" t="s">
        <v>69</v>
      </c>
      <c r="AC772" s="2" t="s">
        <v>3244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3335</v>
      </c>
      <c r="D773" s="2" t="s">
        <v>1166</v>
      </c>
      <c r="E773" s="2" t="s">
        <v>754</v>
      </c>
      <c r="G773" s="2">
        <v>508199280</v>
      </c>
      <c r="H773" s="2" t="s">
        <v>40</v>
      </c>
      <c r="I773" s="2" t="s">
        <v>1167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3335</v>
      </c>
      <c r="D774" s="2" t="s">
        <v>1166</v>
      </c>
      <c r="E774" s="2" t="s">
        <v>754</v>
      </c>
      <c r="G774" s="2">
        <v>508199280</v>
      </c>
      <c r="H774" s="2" t="s">
        <v>40</v>
      </c>
      <c r="I774" s="2" t="s">
        <v>1167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3335</v>
      </c>
      <c r="D775" s="2" t="s">
        <v>1166</v>
      </c>
      <c r="E775" s="2" t="s">
        <v>754</v>
      </c>
      <c r="G775" s="2">
        <v>508199280</v>
      </c>
      <c r="H775" s="2" t="s">
        <v>40</v>
      </c>
      <c r="I775" s="2" t="s">
        <v>1167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1168</v>
      </c>
      <c r="P776" s="2" t="s">
        <v>43</v>
      </c>
      <c r="Q776" s="2" t="s">
        <v>1169</v>
      </c>
      <c r="R776" s="2" t="s">
        <v>1170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3239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1171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1171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hidden="1" x14ac:dyDescent="0.2">
      <c r="A779" s="2">
        <v>2025</v>
      </c>
      <c r="B779" s="2">
        <v>4</v>
      </c>
      <c r="D779" s="2" t="s">
        <v>1172</v>
      </c>
      <c r="E779" s="2" t="s">
        <v>754</v>
      </c>
      <c r="F779" s="2" t="s">
        <v>1173</v>
      </c>
      <c r="G779" s="2">
        <v>505760088</v>
      </c>
      <c r="H779" s="2" t="s">
        <v>291</v>
      </c>
      <c r="I779" s="2" t="s">
        <v>1174</v>
      </c>
      <c r="J779" s="2" t="s">
        <v>1175</v>
      </c>
      <c r="L779" s="2" t="s">
        <v>340</v>
      </c>
      <c r="M779" s="2" t="s">
        <v>1176</v>
      </c>
      <c r="O779" s="2" t="s">
        <v>1177</v>
      </c>
      <c r="P779" s="2" t="s">
        <v>43</v>
      </c>
      <c r="Q779" s="2" t="s">
        <v>1178</v>
      </c>
      <c r="R779" s="2" t="s">
        <v>1179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3239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hidden="1" x14ac:dyDescent="0.2">
      <c r="A780" s="2">
        <v>2025</v>
      </c>
      <c r="B780" s="2">
        <v>4</v>
      </c>
      <c r="D780" s="2" t="s">
        <v>1172</v>
      </c>
      <c r="E780" s="2" t="s">
        <v>754</v>
      </c>
      <c r="F780" s="2" t="s">
        <v>1173</v>
      </c>
      <c r="G780" s="2">
        <v>505760088</v>
      </c>
      <c r="H780" s="2" t="s">
        <v>291</v>
      </c>
      <c r="I780" s="2" t="s">
        <v>1174</v>
      </c>
      <c r="J780" s="2" t="s">
        <v>1175</v>
      </c>
      <c r="L780" s="2" t="s">
        <v>340</v>
      </c>
      <c r="M780" s="2" t="s">
        <v>1176</v>
      </c>
      <c r="O780" s="2" t="s">
        <v>1177</v>
      </c>
      <c r="P780" s="2" t="s">
        <v>43</v>
      </c>
      <c r="Q780" s="2" t="s">
        <v>1180</v>
      </c>
      <c r="R780" s="2" t="s">
        <v>1181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3239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hidden="1" x14ac:dyDescent="0.2">
      <c r="A781" s="2">
        <v>2025</v>
      </c>
      <c r="B781" s="2">
        <v>4</v>
      </c>
      <c r="D781" s="2" t="s">
        <v>1172</v>
      </c>
      <c r="E781" s="2" t="s">
        <v>754</v>
      </c>
      <c r="F781" s="2" t="s">
        <v>1173</v>
      </c>
      <c r="G781" s="2">
        <v>505760088</v>
      </c>
      <c r="H781" s="2" t="s">
        <v>291</v>
      </c>
      <c r="I781" s="2" t="s">
        <v>1174</v>
      </c>
      <c r="J781" s="2" t="s">
        <v>1175</v>
      </c>
      <c r="L781" s="2" t="s">
        <v>340</v>
      </c>
      <c r="M781" s="2" t="s">
        <v>1176</v>
      </c>
      <c r="O781" s="2" t="s">
        <v>1177</v>
      </c>
      <c r="P781" s="2" t="s">
        <v>43</v>
      </c>
      <c r="Q781" s="2" t="s">
        <v>975</v>
      </c>
      <c r="R781" s="2" t="s">
        <v>976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3239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hidden="1" x14ac:dyDescent="0.2">
      <c r="A782" s="2">
        <v>2025</v>
      </c>
      <c r="B782" s="2">
        <v>4</v>
      </c>
      <c r="D782" s="2" t="s">
        <v>1182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1183</v>
      </c>
      <c r="J782" s="2" t="s">
        <v>1184</v>
      </c>
      <c r="L782" s="2" t="s">
        <v>462</v>
      </c>
      <c r="M782" s="2" t="s">
        <v>41</v>
      </c>
      <c r="O782" s="2" t="s">
        <v>1185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3239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hidden="1" x14ac:dyDescent="0.2">
      <c r="A783" s="2">
        <v>2025</v>
      </c>
      <c r="B783" s="2">
        <v>4</v>
      </c>
      <c r="D783" s="2" t="s">
        <v>1182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1183</v>
      </c>
      <c r="J783" s="2" t="s">
        <v>1184</v>
      </c>
      <c r="L783" s="2" t="s">
        <v>462</v>
      </c>
      <c r="M783" s="2" t="s">
        <v>41</v>
      </c>
      <c r="O783" s="2" t="s">
        <v>1185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3239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hidden="1" x14ac:dyDescent="0.2">
      <c r="A784" s="2">
        <v>2025</v>
      </c>
      <c r="B784" s="2">
        <v>4</v>
      </c>
      <c r="D784" s="2" t="s">
        <v>1182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1183</v>
      </c>
      <c r="J784" s="2" t="s">
        <v>1184</v>
      </c>
      <c r="L784" s="2" t="s">
        <v>462</v>
      </c>
      <c r="M784" s="2" t="s">
        <v>41</v>
      </c>
      <c r="O784" s="2" t="s">
        <v>1185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3239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hidden="1" x14ac:dyDescent="0.2">
      <c r="A785" s="2">
        <v>2025</v>
      </c>
      <c r="B785" s="2">
        <v>4</v>
      </c>
      <c r="D785" s="2" t="s">
        <v>1182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1183</v>
      </c>
      <c r="J785" s="2" t="s">
        <v>1184</v>
      </c>
      <c r="L785" s="2" t="s">
        <v>462</v>
      </c>
      <c r="M785" s="2" t="s">
        <v>41</v>
      </c>
      <c r="O785" s="2" t="s">
        <v>1186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3239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hidden="1" x14ac:dyDescent="0.2">
      <c r="A786" s="2">
        <v>2025</v>
      </c>
      <c r="B786" s="2">
        <v>4</v>
      </c>
      <c r="D786" s="2" t="s">
        <v>1182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1183</v>
      </c>
      <c r="J786" s="2" t="s">
        <v>1184</v>
      </c>
      <c r="L786" s="2" t="s">
        <v>462</v>
      </c>
      <c r="M786" s="2" t="s">
        <v>41</v>
      </c>
      <c r="O786" s="2" t="s">
        <v>1185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3239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1182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1183</v>
      </c>
      <c r="J787" s="2" t="s">
        <v>1184</v>
      </c>
      <c r="L787" s="2" t="s">
        <v>462</v>
      </c>
      <c r="M787" s="2" t="s">
        <v>41</v>
      </c>
      <c r="O787" s="2" t="s">
        <v>1185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3239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1187</v>
      </c>
      <c r="R789" s="2" t="s">
        <v>1188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1189</v>
      </c>
      <c r="P790" s="2" t="s">
        <v>69</v>
      </c>
      <c r="Q790" s="2" t="s">
        <v>1164</v>
      </c>
      <c r="R790" s="2" t="s">
        <v>1165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3239</v>
      </c>
      <c r="AA790" s="2" t="s">
        <v>72</v>
      </c>
      <c r="AB790" s="2" t="s">
        <v>69</v>
      </c>
      <c r="AC790" s="2" t="s">
        <v>3244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1189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1190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1191</v>
      </c>
      <c r="L792" s="2" t="s">
        <v>100</v>
      </c>
      <c r="M792" s="2" t="s">
        <v>81</v>
      </c>
      <c r="O792" s="2" t="s">
        <v>1192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3239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1190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1191</v>
      </c>
      <c r="L793" s="2" t="s">
        <v>100</v>
      </c>
      <c r="M793" s="2" t="s">
        <v>81</v>
      </c>
      <c r="O793" s="2" t="s">
        <v>1192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3239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1193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1194</v>
      </c>
      <c r="K794" s="2">
        <v>965705708</v>
      </c>
      <c r="L794" s="2" t="s">
        <v>419</v>
      </c>
      <c r="M794" s="2" t="s">
        <v>40</v>
      </c>
      <c r="O794" s="2" t="s">
        <v>1195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3394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1196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3239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3239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3231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3239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3231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3239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1197</v>
      </c>
      <c r="P799" s="2" t="s">
        <v>1198</v>
      </c>
      <c r="Q799" s="2" t="s">
        <v>1199</v>
      </c>
      <c r="R799" s="2" t="s">
        <v>1200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1198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1197</v>
      </c>
      <c r="P800" s="2" t="s">
        <v>1198</v>
      </c>
      <c r="Q800" s="2" t="s">
        <v>1201</v>
      </c>
      <c r="R800" s="2" t="s">
        <v>1202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1203</v>
      </c>
      <c r="AB800" s="2" t="s">
        <v>120</v>
      </c>
      <c r="AC800" s="2" t="s">
        <v>1198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1197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1197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1204</v>
      </c>
      <c r="R803" s="2" t="s">
        <v>1205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1206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1207</v>
      </c>
      <c r="J804" s="2" t="s">
        <v>1208</v>
      </c>
      <c r="K804" s="2">
        <v>913806033</v>
      </c>
      <c r="L804" s="2" t="s">
        <v>294</v>
      </c>
      <c r="P804" s="2" t="s">
        <v>283</v>
      </c>
      <c r="Q804" s="2" t="s">
        <v>1209</v>
      </c>
      <c r="R804" s="2" t="s">
        <v>1210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3239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hidden="1" x14ac:dyDescent="0.2">
      <c r="A805" s="2">
        <v>2025</v>
      </c>
      <c r="B805" s="2">
        <v>4</v>
      </c>
      <c r="D805" s="2" t="s">
        <v>1206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1207</v>
      </c>
      <c r="J805" s="2" t="s">
        <v>1208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3239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hidden="1" x14ac:dyDescent="0.2">
      <c r="A806" s="2">
        <v>2025</v>
      </c>
      <c r="B806" s="2">
        <v>4</v>
      </c>
      <c r="D806" s="2" t="s">
        <v>1206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1207</v>
      </c>
      <c r="J806" s="2" t="s">
        <v>1208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3239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hidden="1" x14ac:dyDescent="0.2">
      <c r="A807" s="2">
        <v>2025</v>
      </c>
      <c r="B807" s="2">
        <v>4</v>
      </c>
      <c r="D807" s="2" t="s">
        <v>1206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1207</v>
      </c>
      <c r="J807" s="2" t="s">
        <v>1208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3239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1206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1207</v>
      </c>
      <c r="J808" s="2" t="s">
        <v>1208</v>
      </c>
      <c r="K808" s="2">
        <v>913806033</v>
      </c>
      <c r="L808" s="2" t="s">
        <v>294</v>
      </c>
      <c r="P808" s="2" t="s">
        <v>167</v>
      </c>
      <c r="Q808" s="2" t="s">
        <v>1050</v>
      </c>
      <c r="R808" s="2" t="s">
        <v>1051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3239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1206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1207</v>
      </c>
      <c r="J809" s="2" t="s">
        <v>1208</v>
      </c>
      <c r="K809" s="2">
        <v>913806033</v>
      </c>
      <c r="L809" s="2" t="s">
        <v>294</v>
      </c>
      <c r="P809" s="2" t="s">
        <v>167</v>
      </c>
      <c r="Q809" s="2" t="s">
        <v>1211</v>
      </c>
      <c r="R809" s="2" t="s">
        <v>1212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3239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1206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1207</v>
      </c>
      <c r="J810" s="2" t="s">
        <v>1208</v>
      </c>
      <c r="K810" s="2">
        <v>913806033</v>
      </c>
      <c r="L810" s="2" t="s">
        <v>294</v>
      </c>
      <c r="P810" s="2" t="s">
        <v>85</v>
      </c>
      <c r="Q810" s="2" t="s">
        <v>1213</v>
      </c>
      <c r="R810" s="2" t="s">
        <v>1214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3239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1206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1207</v>
      </c>
      <c r="J811" s="2" t="s">
        <v>1208</v>
      </c>
      <c r="K811" s="2">
        <v>913806033</v>
      </c>
      <c r="L811" s="2" t="s">
        <v>294</v>
      </c>
      <c r="P811" s="2" t="s">
        <v>85</v>
      </c>
      <c r="Q811" s="2" t="s">
        <v>1215</v>
      </c>
      <c r="R811" s="2" t="s">
        <v>1216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3239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1206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1207</v>
      </c>
      <c r="J812" s="2" t="s">
        <v>1208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3239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994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995</v>
      </c>
      <c r="J813" s="2" t="s">
        <v>996</v>
      </c>
      <c r="K813" s="2">
        <v>964159861</v>
      </c>
      <c r="L813" s="2" t="s">
        <v>202</v>
      </c>
      <c r="M813" s="2" t="s">
        <v>81</v>
      </c>
      <c r="O813" s="2" t="s">
        <v>1217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3239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994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995</v>
      </c>
      <c r="J814" s="2" t="s">
        <v>996</v>
      </c>
      <c r="K814" s="2">
        <v>964159861</v>
      </c>
      <c r="L814" s="2" t="s">
        <v>202</v>
      </c>
      <c r="M814" s="2" t="s">
        <v>81</v>
      </c>
      <c r="O814" s="2" t="s">
        <v>1217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3239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1218</v>
      </c>
      <c r="R815" s="2" t="s">
        <v>1219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hidden="1" x14ac:dyDescent="0.2">
      <c r="A818" s="2">
        <v>2025</v>
      </c>
      <c r="B818" s="2">
        <v>4</v>
      </c>
      <c r="D818" s="2" t="s">
        <v>1220</v>
      </c>
      <c r="E818" s="2" t="s">
        <v>754</v>
      </c>
      <c r="F818" s="2" t="s">
        <v>1221</v>
      </c>
      <c r="G818" s="2">
        <v>505181983</v>
      </c>
      <c r="H818" s="2" t="s">
        <v>110</v>
      </c>
      <c r="I818" s="2" t="s">
        <v>1222</v>
      </c>
      <c r="J818" s="2" t="s">
        <v>1223</v>
      </c>
      <c r="L818" s="2" t="s">
        <v>113</v>
      </c>
      <c r="M818" s="2" t="s">
        <v>81</v>
      </c>
      <c r="O818" s="2" t="s">
        <v>1224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3239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hidden="1" x14ac:dyDescent="0.2">
      <c r="A819" s="2">
        <v>2025</v>
      </c>
      <c r="B819" s="2">
        <v>4</v>
      </c>
      <c r="D819" s="2" t="s">
        <v>1220</v>
      </c>
      <c r="E819" s="2" t="s">
        <v>754</v>
      </c>
      <c r="F819" s="2" t="s">
        <v>1221</v>
      </c>
      <c r="G819" s="2">
        <v>505181983</v>
      </c>
      <c r="H819" s="2" t="s">
        <v>110</v>
      </c>
      <c r="I819" s="2" t="s">
        <v>1222</v>
      </c>
      <c r="J819" s="2" t="s">
        <v>1223</v>
      </c>
      <c r="L819" s="2" t="s">
        <v>113</v>
      </c>
      <c r="M819" s="2" t="s">
        <v>81</v>
      </c>
      <c r="O819" s="2" t="s">
        <v>1224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3239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hidden="1" x14ac:dyDescent="0.2">
      <c r="A820" s="2">
        <v>2025</v>
      </c>
      <c r="B820" s="2">
        <v>4</v>
      </c>
      <c r="D820" s="2" t="s">
        <v>1220</v>
      </c>
      <c r="E820" s="2" t="s">
        <v>754</v>
      </c>
      <c r="F820" s="2" t="s">
        <v>1221</v>
      </c>
      <c r="G820" s="2">
        <v>505181983</v>
      </c>
      <c r="H820" s="2" t="s">
        <v>110</v>
      </c>
      <c r="I820" s="2" t="s">
        <v>1222</v>
      </c>
      <c r="J820" s="2" t="s">
        <v>1223</v>
      </c>
      <c r="L820" s="2" t="s">
        <v>113</v>
      </c>
      <c r="M820" s="2" t="s">
        <v>81</v>
      </c>
      <c r="O820" s="2" t="s">
        <v>1224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3239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hidden="1" x14ac:dyDescent="0.2">
      <c r="A821" s="2">
        <v>2025</v>
      </c>
      <c r="B821" s="2">
        <v>4</v>
      </c>
      <c r="D821" s="2" t="s">
        <v>1220</v>
      </c>
      <c r="E821" s="2" t="s">
        <v>754</v>
      </c>
      <c r="F821" s="2" t="s">
        <v>1221</v>
      </c>
      <c r="G821" s="2">
        <v>505181983</v>
      </c>
      <c r="H821" s="2" t="s">
        <v>110</v>
      </c>
      <c r="I821" s="2" t="s">
        <v>1222</v>
      </c>
      <c r="J821" s="2" t="s">
        <v>1223</v>
      </c>
      <c r="L821" s="2" t="s">
        <v>113</v>
      </c>
      <c r="M821" s="2" t="s">
        <v>81</v>
      </c>
      <c r="O821" s="2" t="s">
        <v>1224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3239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hidden="1" x14ac:dyDescent="0.2">
      <c r="A822" s="2">
        <v>2025</v>
      </c>
      <c r="B822" s="2">
        <v>4</v>
      </c>
      <c r="D822" s="2" t="s">
        <v>1220</v>
      </c>
      <c r="E822" s="2" t="s">
        <v>754</v>
      </c>
      <c r="F822" s="2" t="s">
        <v>1221</v>
      </c>
      <c r="G822" s="2">
        <v>505181983</v>
      </c>
      <c r="H822" s="2" t="s">
        <v>110</v>
      </c>
      <c r="I822" s="2" t="s">
        <v>1222</v>
      </c>
      <c r="J822" s="2" t="s">
        <v>1223</v>
      </c>
      <c r="L822" s="2" t="s">
        <v>113</v>
      </c>
      <c r="M822" s="2" t="s">
        <v>81</v>
      </c>
      <c r="O822" s="2" t="s">
        <v>1224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3239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hidden="1" x14ac:dyDescent="0.2">
      <c r="A823" s="2">
        <v>2025</v>
      </c>
      <c r="B823" s="2">
        <v>4</v>
      </c>
      <c r="D823" s="2" t="s">
        <v>1220</v>
      </c>
      <c r="E823" s="2" t="s">
        <v>754</v>
      </c>
      <c r="F823" s="2" t="s">
        <v>1221</v>
      </c>
      <c r="G823" s="2">
        <v>505181983</v>
      </c>
      <c r="H823" s="2" t="s">
        <v>110</v>
      </c>
      <c r="I823" s="2" t="s">
        <v>1222</v>
      </c>
      <c r="J823" s="2" t="s">
        <v>1223</v>
      </c>
      <c r="L823" s="2" t="s">
        <v>113</v>
      </c>
      <c r="M823" s="2" t="s">
        <v>81</v>
      </c>
      <c r="O823" s="2" t="s">
        <v>1224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3239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1225</v>
      </c>
      <c r="P824" s="2" t="s">
        <v>660</v>
      </c>
      <c r="Q824" s="2" t="s">
        <v>1226</v>
      </c>
      <c r="R824" s="2" t="s">
        <v>1227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3239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1228</v>
      </c>
      <c r="P825" s="2" t="s">
        <v>1042</v>
      </c>
      <c r="Q825" s="2" t="s">
        <v>1229</v>
      </c>
      <c r="R825" s="2" t="s">
        <v>1230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3239</v>
      </c>
      <c r="AA825" s="2" t="s">
        <v>76</v>
      </c>
      <c r="AB825" s="2" t="s">
        <v>77</v>
      </c>
      <c r="AC825" s="2" t="s">
        <v>1042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1231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3239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1232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1232</v>
      </c>
      <c r="M828" s="2" t="s">
        <v>40</v>
      </c>
      <c r="P828" s="2" t="s">
        <v>40</v>
      </c>
      <c r="Q828" s="2" t="s">
        <v>1233</v>
      </c>
      <c r="R828" s="2" t="s">
        <v>1234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hidden="1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1235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3239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hidden="1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3239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hidden="1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3239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1236</v>
      </c>
      <c r="L832" s="2" t="s">
        <v>572</v>
      </c>
      <c r="M832" s="2" t="s">
        <v>81</v>
      </c>
      <c r="O832" s="2" t="s">
        <v>1237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3239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1236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3239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3239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3239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1013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1014</v>
      </c>
      <c r="J836" s="2" t="s">
        <v>1015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1013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1014</v>
      </c>
      <c r="J837" s="2" t="s">
        <v>1015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3422</v>
      </c>
      <c r="D838" s="2" t="s">
        <v>3420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1238</v>
      </c>
      <c r="P838" s="2" t="s">
        <v>283</v>
      </c>
      <c r="Q838" s="2" t="s">
        <v>1239</v>
      </c>
      <c r="R838" s="2" t="s">
        <v>1240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1582</v>
      </c>
      <c r="AB838" s="2" t="s">
        <v>389</v>
      </c>
      <c r="AC838" s="2" t="s">
        <v>1332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3422</v>
      </c>
      <c r="D839" s="2" t="s">
        <v>3420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1238</v>
      </c>
      <c r="P839" s="2" t="s">
        <v>283</v>
      </c>
      <c r="Q839" s="2" t="s">
        <v>1158</v>
      </c>
      <c r="R839" s="2" t="s">
        <v>1159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1582</v>
      </c>
      <c r="AB839" s="2" t="s">
        <v>389</v>
      </c>
      <c r="AC839" s="2" t="s">
        <v>1332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3422</v>
      </c>
      <c r="D840" s="2" t="s">
        <v>3420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1238</v>
      </c>
      <c r="P840" s="2" t="s">
        <v>283</v>
      </c>
      <c r="Q840" s="2" t="s">
        <v>1162</v>
      </c>
      <c r="R840" s="2" t="s">
        <v>1163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1582</v>
      </c>
      <c r="AB840" s="2" t="s">
        <v>389</v>
      </c>
      <c r="AC840" s="2" t="s">
        <v>1332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3239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3239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1019</v>
      </c>
      <c r="L843" s="2" t="s">
        <v>100</v>
      </c>
      <c r="M843" s="2" t="s">
        <v>81</v>
      </c>
      <c r="P843" s="2" t="s">
        <v>283</v>
      </c>
      <c r="Q843" s="2" t="s">
        <v>1241</v>
      </c>
      <c r="R843" s="2" t="s">
        <v>1242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3239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3239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3239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1243</v>
      </c>
      <c r="P846" s="2" t="s">
        <v>69</v>
      </c>
      <c r="Q846" s="2" t="s">
        <v>1164</v>
      </c>
      <c r="R846" s="2" t="s">
        <v>1165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3239</v>
      </c>
      <c r="AA846" s="2" t="s">
        <v>72</v>
      </c>
      <c r="AB846" s="2" t="s">
        <v>69</v>
      </c>
      <c r="AC846" s="2" t="s">
        <v>3244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1243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1244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3232</v>
      </c>
      <c r="J848" s="2" t="s">
        <v>3233</v>
      </c>
      <c r="L848" s="2" t="s">
        <v>340</v>
      </c>
      <c r="M848" s="2" t="s">
        <v>40</v>
      </c>
      <c r="O848" s="2" t="s">
        <v>3234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1244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3232</v>
      </c>
      <c r="J849" s="2" t="s">
        <v>3233</v>
      </c>
      <c r="L849" s="2" t="s">
        <v>340</v>
      </c>
      <c r="M849" s="2" t="s">
        <v>40</v>
      </c>
      <c r="O849" s="2" t="s">
        <v>3234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1245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1245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1246</v>
      </c>
      <c r="P852" s="2" t="s">
        <v>283</v>
      </c>
      <c r="Q852" s="2" t="s">
        <v>1073</v>
      </c>
      <c r="R852" s="2" t="s">
        <v>1074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3239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hidden="1" x14ac:dyDescent="0.2">
      <c r="A853" s="2">
        <v>2025</v>
      </c>
      <c r="B853" s="2">
        <v>4</v>
      </c>
      <c r="D853" s="2" t="s">
        <v>1246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3239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hidden="1" x14ac:dyDescent="0.2">
      <c r="A854" s="2">
        <v>2025</v>
      </c>
      <c r="B854" s="2">
        <v>4</v>
      </c>
      <c r="D854" s="2" t="s">
        <v>1246</v>
      </c>
      <c r="P854" s="2" t="s">
        <v>43</v>
      </c>
      <c r="Q854" s="2" t="s">
        <v>1247</v>
      </c>
      <c r="R854" s="2" t="s">
        <v>1248</v>
      </c>
      <c r="S854" s="2">
        <v>1</v>
      </c>
      <c r="T854" s="2">
        <v>9</v>
      </c>
      <c r="X854" s="5">
        <f t="shared" si="107"/>
        <v>1</v>
      </c>
      <c r="Z854" s="2" t="s">
        <v>3239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hidden="1" x14ac:dyDescent="0.2">
      <c r="A855" s="2">
        <v>2025</v>
      </c>
      <c r="B855" s="2">
        <v>4</v>
      </c>
      <c r="D855" s="2" t="s">
        <v>1021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1022</v>
      </c>
      <c r="J855" s="2" t="s">
        <v>1023</v>
      </c>
      <c r="L855" s="2" t="s">
        <v>294</v>
      </c>
      <c r="M855" s="2" t="s">
        <v>81</v>
      </c>
      <c r="O855" s="2" t="s">
        <v>1249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3239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1021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1022</v>
      </c>
      <c r="J856" s="2" t="s">
        <v>1023</v>
      </c>
      <c r="L856" s="2" t="s">
        <v>294</v>
      </c>
      <c r="M856" s="2" t="s">
        <v>81</v>
      </c>
      <c r="O856" s="2" t="s">
        <v>1250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3239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1021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1022</v>
      </c>
      <c r="J857" s="2" t="s">
        <v>1023</v>
      </c>
      <c r="L857" s="2" t="s">
        <v>294</v>
      </c>
      <c r="M857" s="2" t="s">
        <v>81</v>
      </c>
      <c r="O857" s="2" t="s">
        <v>1251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3239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hidden="1" x14ac:dyDescent="0.2">
      <c r="A858" s="2">
        <v>2025</v>
      </c>
      <c r="B858" s="2">
        <v>4</v>
      </c>
      <c r="D858" s="2" t="s">
        <v>1025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3239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1252</v>
      </c>
      <c r="P862" s="2" t="s">
        <v>73</v>
      </c>
      <c r="Q862" s="2" t="s">
        <v>1253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3239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1252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3239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1254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3394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1255</v>
      </c>
      <c r="R865" s="2" t="s">
        <v>1256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hidden="1" x14ac:dyDescent="0.2">
      <c r="A866" s="2">
        <v>2025</v>
      </c>
      <c r="B866" s="2">
        <v>4</v>
      </c>
      <c r="C866" s="2" t="s">
        <v>3324</v>
      </c>
      <c r="D866" s="2" t="s">
        <v>3323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hidden="1" x14ac:dyDescent="0.2">
      <c r="A867" s="2">
        <v>2025</v>
      </c>
      <c r="B867" s="2">
        <v>4</v>
      </c>
      <c r="C867" s="2" t="s">
        <v>3324</v>
      </c>
      <c r="D867" s="2" t="s">
        <v>3325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1257</v>
      </c>
      <c r="R867" s="2" t="s">
        <v>1258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hidden="1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1259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3239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hidden="1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1259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3239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hidden="1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1259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3239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3239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3239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3239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3239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3239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3394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1260</v>
      </c>
      <c r="P879" s="2" t="s">
        <v>73</v>
      </c>
      <c r="Q879" s="2" t="s">
        <v>1079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3239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1260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3239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1261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3239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1261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3239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1262</v>
      </c>
      <c r="P884" s="2" t="s">
        <v>115</v>
      </c>
      <c r="Q884" s="2" t="s">
        <v>1263</v>
      </c>
      <c r="R884" s="2" t="s">
        <v>1264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1057</v>
      </c>
      <c r="E885" s="2" t="s">
        <v>184</v>
      </c>
      <c r="F885" s="2" t="s">
        <v>1058</v>
      </c>
      <c r="G885" s="2">
        <v>500199523</v>
      </c>
      <c r="H885" s="2" t="s">
        <v>291</v>
      </c>
      <c r="I885" s="2" t="s">
        <v>294</v>
      </c>
      <c r="J885" s="2" t="s">
        <v>1059</v>
      </c>
      <c r="L885" s="2" t="s">
        <v>294</v>
      </c>
      <c r="M885" s="2" t="s">
        <v>81</v>
      </c>
      <c r="O885" s="2" t="s">
        <v>1265</v>
      </c>
      <c r="P885" s="2" t="s">
        <v>73</v>
      </c>
      <c r="Q885" s="2" t="s">
        <v>1266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3239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1057</v>
      </c>
      <c r="E886" s="2" t="s">
        <v>184</v>
      </c>
      <c r="F886" s="2" t="s">
        <v>1058</v>
      </c>
      <c r="G886" s="2">
        <v>500199523</v>
      </c>
      <c r="H886" s="2" t="s">
        <v>291</v>
      </c>
      <c r="I886" s="2" t="s">
        <v>294</v>
      </c>
      <c r="J886" s="2" t="s">
        <v>1059</v>
      </c>
      <c r="L886" s="2" t="s">
        <v>294</v>
      </c>
      <c r="M886" s="2" t="s">
        <v>81</v>
      </c>
      <c r="O886" s="2" t="s">
        <v>1265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1057</v>
      </c>
      <c r="E887" s="2" t="s">
        <v>184</v>
      </c>
      <c r="F887" s="2" t="s">
        <v>1058</v>
      </c>
      <c r="G887" s="2">
        <v>500199523</v>
      </c>
      <c r="H887" s="2" t="s">
        <v>291</v>
      </c>
      <c r="I887" s="2" t="s">
        <v>294</v>
      </c>
      <c r="J887" s="2" t="s">
        <v>1059</v>
      </c>
      <c r="L887" s="2" t="s">
        <v>294</v>
      </c>
      <c r="M887" s="2" t="s">
        <v>81</v>
      </c>
      <c r="O887" s="2" t="s">
        <v>1265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3239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1070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3394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3145</v>
      </c>
      <c r="L889" s="2" t="s">
        <v>178</v>
      </c>
      <c r="M889" s="2" t="s">
        <v>41</v>
      </c>
      <c r="O889" s="2" t="s">
        <v>3147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3239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3145</v>
      </c>
      <c r="L890" s="2" t="s">
        <v>178</v>
      </c>
      <c r="M890" s="2" t="s">
        <v>41</v>
      </c>
      <c r="O890" s="2" t="s">
        <v>3147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3239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3239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3239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3239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1073</v>
      </c>
      <c r="R894" s="2" t="s">
        <v>1074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3239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3239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3239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1267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3239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1267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3239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1268</v>
      </c>
      <c r="R899" s="2" t="s">
        <v>1269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1270</v>
      </c>
      <c r="R900" s="2" t="s">
        <v>1271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1272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3239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3160</v>
      </c>
      <c r="P902" s="2" t="s">
        <v>1042</v>
      </c>
      <c r="Q902" s="2" t="s">
        <v>1273</v>
      </c>
      <c r="R902" s="2" t="s">
        <v>1274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3239</v>
      </c>
      <c r="AA902" s="2" t="s">
        <v>1045</v>
      </c>
      <c r="AB902" s="2" t="s">
        <v>1275</v>
      </c>
      <c r="AC902" s="2" t="s">
        <v>1042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3239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1276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1277</v>
      </c>
      <c r="J907" s="2" t="s">
        <v>1278</v>
      </c>
      <c r="L907" s="2" t="s">
        <v>178</v>
      </c>
      <c r="M907" s="2" t="s">
        <v>40</v>
      </c>
      <c r="O907" s="2" t="s">
        <v>1279</v>
      </c>
      <c r="P907" s="2" t="s">
        <v>115</v>
      </c>
      <c r="Q907" s="2" t="s">
        <v>1081</v>
      </c>
      <c r="R907" s="2" t="s">
        <v>1082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1280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1281</v>
      </c>
      <c r="J908" s="2" t="s">
        <v>1282</v>
      </c>
      <c r="L908" s="2" t="s">
        <v>340</v>
      </c>
      <c r="M908" s="2" t="s">
        <v>40</v>
      </c>
      <c r="O908" s="2" t="s">
        <v>1283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1280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1281</v>
      </c>
      <c r="J909" s="2" t="s">
        <v>1282</v>
      </c>
      <c r="L909" s="2" t="s">
        <v>340</v>
      </c>
      <c r="M909" s="2" t="s">
        <v>40</v>
      </c>
      <c r="O909" s="2" t="s">
        <v>1283</v>
      </c>
      <c r="P909" s="2" t="s">
        <v>115</v>
      </c>
      <c r="Q909" s="6" t="s">
        <v>1284</v>
      </c>
      <c r="R909" s="2" t="s">
        <v>1285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1280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1280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3422</v>
      </c>
      <c r="D912" s="2" t="s">
        <v>1286</v>
      </c>
      <c r="E912" s="2" t="s">
        <v>184</v>
      </c>
      <c r="F912" s="2" t="s">
        <v>3004</v>
      </c>
      <c r="L912" s="2" t="s">
        <v>100</v>
      </c>
      <c r="M912" s="2" t="s">
        <v>81</v>
      </c>
      <c r="P912" s="2" t="s">
        <v>283</v>
      </c>
      <c r="Q912" s="2" t="s">
        <v>1287</v>
      </c>
      <c r="R912" s="2" t="s">
        <v>1288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1582</v>
      </c>
      <c r="AB912" s="2" t="s">
        <v>389</v>
      </c>
      <c r="AC912" s="2" t="s">
        <v>1332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3422</v>
      </c>
      <c r="D913" s="2" t="s">
        <v>1286</v>
      </c>
      <c r="E913" s="2" t="s">
        <v>184</v>
      </c>
      <c r="F913" s="2" t="s">
        <v>3004</v>
      </c>
      <c r="L913" s="2" t="s">
        <v>100</v>
      </c>
      <c r="M913" s="2" t="s">
        <v>81</v>
      </c>
      <c r="P913" s="2" t="s">
        <v>283</v>
      </c>
      <c r="Q913" s="2" t="s">
        <v>1289</v>
      </c>
      <c r="R913" s="2" t="s">
        <v>1290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1582</v>
      </c>
      <c r="AB913" s="2" t="s">
        <v>389</v>
      </c>
      <c r="AC913" s="2" t="s">
        <v>1332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3422</v>
      </c>
      <c r="D914" s="2" t="s">
        <v>1286</v>
      </c>
      <c r="E914" s="2" t="s">
        <v>184</v>
      </c>
      <c r="F914" s="2" t="s">
        <v>3004</v>
      </c>
      <c r="L914" s="2" t="s">
        <v>100</v>
      </c>
      <c r="M914" s="2" t="s">
        <v>81</v>
      </c>
      <c r="P914" s="2" t="s">
        <v>283</v>
      </c>
      <c r="Q914" s="2" t="s">
        <v>1291</v>
      </c>
      <c r="R914" s="2" t="s">
        <v>1292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1582</v>
      </c>
      <c r="AB914" s="2" t="s">
        <v>389</v>
      </c>
      <c r="AC914" s="2" t="s">
        <v>1332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3422</v>
      </c>
      <c r="D915" s="2" t="s">
        <v>1286</v>
      </c>
      <c r="E915" s="2" t="s">
        <v>184</v>
      </c>
      <c r="F915" s="2" t="s">
        <v>3004</v>
      </c>
      <c r="L915" s="2" t="s">
        <v>100</v>
      </c>
      <c r="M915" s="2" t="s">
        <v>81</v>
      </c>
      <c r="P915" s="2" t="s">
        <v>283</v>
      </c>
      <c r="Q915" s="2" t="s">
        <v>1162</v>
      </c>
      <c r="R915" s="2" t="s">
        <v>1163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1582</v>
      </c>
      <c r="AB915" s="2" t="s">
        <v>389</v>
      </c>
      <c r="AC915" s="2" t="s">
        <v>1332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3422</v>
      </c>
      <c r="D916" s="2" t="s">
        <v>1286</v>
      </c>
      <c r="E916" s="2" t="s">
        <v>184</v>
      </c>
      <c r="F916" s="2" t="s">
        <v>3004</v>
      </c>
      <c r="L916" s="2" t="s">
        <v>100</v>
      </c>
      <c r="M916" s="2" t="s">
        <v>81</v>
      </c>
      <c r="P916" s="2" t="s">
        <v>283</v>
      </c>
      <c r="Q916" s="2" t="s">
        <v>1293</v>
      </c>
      <c r="R916" s="2" t="s">
        <v>1294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1582</v>
      </c>
      <c r="AB916" s="2" t="s">
        <v>389</v>
      </c>
      <c r="AC916" s="2" t="s">
        <v>1332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1295</v>
      </c>
      <c r="M917" s="2" t="s">
        <v>81</v>
      </c>
      <c r="P917" s="2" t="s">
        <v>115</v>
      </c>
      <c r="Q917" s="2" t="s">
        <v>1296</v>
      </c>
      <c r="R917" s="2" t="s">
        <v>1297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1298</v>
      </c>
      <c r="R918" s="2" t="s">
        <v>1299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1300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1301</v>
      </c>
      <c r="L919" s="2" t="s">
        <v>340</v>
      </c>
      <c r="M919" s="2" t="s">
        <v>81</v>
      </c>
      <c r="O919" s="2" t="s">
        <v>3211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3239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1300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1301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3239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1302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1302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1302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hidden="1" x14ac:dyDescent="0.2">
      <c r="A925" s="2">
        <v>2025</v>
      </c>
      <c r="B925" s="2">
        <v>4</v>
      </c>
      <c r="D925" s="2" t="s">
        <v>1303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3239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1304</v>
      </c>
      <c r="P926" s="2" t="s">
        <v>115</v>
      </c>
      <c r="Q926" s="2" t="s">
        <v>1305</v>
      </c>
      <c r="R926" s="2" t="s">
        <v>1306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1307</v>
      </c>
      <c r="P927" s="2" t="s">
        <v>1198</v>
      </c>
      <c r="Q927" s="2" t="s">
        <v>1090</v>
      </c>
      <c r="R927" s="2" t="s">
        <v>1091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1203</v>
      </c>
      <c r="AB927" s="2" t="s">
        <v>120</v>
      </c>
      <c r="AC927" s="2" t="s">
        <v>1198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3394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1308</v>
      </c>
      <c r="P929" s="2" t="s">
        <v>1198</v>
      </c>
      <c r="Q929" s="2" t="s">
        <v>1309</v>
      </c>
      <c r="R929" s="2" t="s">
        <v>1310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1203</v>
      </c>
      <c r="AB929" s="2" t="s">
        <v>120</v>
      </c>
      <c r="AC929" s="2" t="s">
        <v>1198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3239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3239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1124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3258</v>
      </c>
      <c r="J932" s="2" t="s">
        <v>3259</v>
      </c>
      <c r="K932" s="2">
        <v>96179412</v>
      </c>
      <c r="L932" s="2" t="s">
        <v>462</v>
      </c>
      <c r="M932" s="2" t="s">
        <v>40</v>
      </c>
      <c r="O932" s="2" t="s">
        <v>3262</v>
      </c>
      <c r="P932" s="2" t="s">
        <v>3269</v>
      </c>
      <c r="Q932" s="2" t="s">
        <v>1311</v>
      </c>
      <c r="R932" s="2" t="s">
        <v>1312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3268</v>
      </c>
      <c r="AB932" s="2" t="s">
        <v>1116</v>
      </c>
      <c r="AC932" s="2" t="s">
        <v>3267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1316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3239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3239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hidden="1" x14ac:dyDescent="0.2">
      <c r="A935" s="2">
        <v>2025</v>
      </c>
      <c r="B935" s="2">
        <v>4</v>
      </c>
      <c r="D935" s="2" t="s">
        <v>1317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1318</v>
      </c>
      <c r="L935" s="2" t="s">
        <v>178</v>
      </c>
      <c r="M935" s="2" t="s">
        <v>41</v>
      </c>
      <c r="O935" s="2" t="s">
        <v>1319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3239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hidden="1" x14ac:dyDescent="0.2">
      <c r="A936" s="2">
        <v>2025</v>
      </c>
      <c r="B936" s="2">
        <v>4</v>
      </c>
      <c r="D936" s="2" t="s">
        <v>1317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1318</v>
      </c>
      <c r="L936" s="2" t="s">
        <v>178</v>
      </c>
      <c r="M936" s="2" t="s">
        <v>41</v>
      </c>
      <c r="O936" s="2" t="s">
        <v>1319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3239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hidden="1" x14ac:dyDescent="0.2">
      <c r="A937" s="2">
        <v>2025</v>
      </c>
      <c r="B937" s="2">
        <v>4</v>
      </c>
      <c r="D937" s="2" t="s">
        <v>1317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1318</v>
      </c>
      <c r="L937" s="2" t="s">
        <v>178</v>
      </c>
      <c r="M937" s="2" t="s">
        <v>41</v>
      </c>
      <c r="O937" s="2" t="s">
        <v>1319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3239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1320</v>
      </c>
      <c r="G938" s="2">
        <v>507220633</v>
      </c>
      <c r="I938" s="2" t="s">
        <v>3162</v>
      </c>
      <c r="M938" s="2" t="s">
        <v>81</v>
      </c>
      <c r="O938" s="2" t="s">
        <v>3161</v>
      </c>
      <c r="P938" s="2" t="s">
        <v>1042</v>
      </c>
      <c r="Q938" s="2" t="s">
        <v>1321</v>
      </c>
      <c r="R938" s="2" t="s">
        <v>1322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3239</v>
      </c>
      <c r="AA938" s="2" t="s">
        <v>1045</v>
      </c>
      <c r="AB938" s="2" t="s">
        <v>1323</v>
      </c>
      <c r="AC938" s="2" t="s">
        <v>1042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hidden="1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3239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hidden="1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3239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hidden="1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3239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hidden="1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3239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hidden="1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3239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hidden="1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3239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hidden="1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3239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hidden="1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1324</v>
      </c>
      <c r="R946" s="2" t="s">
        <v>1325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3239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1209</v>
      </c>
      <c r="R947" s="2" t="s">
        <v>1210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3239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1326</v>
      </c>
      <c r="L948" s="2" t="s">
        <v>100</v>
      </c>
      <c r="M948" s="2" t="s">
        <v>81</v>
      </c>
      <c r="O948" s="2" t="s">
        <v>1327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3239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3239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3239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3239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3239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3239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3239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3239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3239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3239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3239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3239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hidden="1" x14ac:dyDescent="0.2">
      <c r="A960" s="2">
        <v>2025</v>
      </c>
      <c r="B960" s="2">
        <v>5</v>
      </c>
      <c r="D960" s="2" t="s">
        <v>1328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3239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hidden="1" x14ac:dyDescent="0.2">
      <c r="A961" s="2">
        <v>2025</v>
      </c>
      <c r="B961" s="2">
        <v>5</v>
      </c>
      <c r="D961" s="2" t="s">
        <v>1328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3239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1329</v>
      </c>
      <c r="P962" s="2" t="s">
        <v>283</v>
      </c>
      <c r="Q962" s="2" t="s">
        <v>1330</v>
      </c>
      <c r="R962" s="2" t="s">
        <v>1331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3239</v>
      </c>
      <c r="AA962" s="2" t="s">
        <v>579</v>
      </c>
      <c r="AB962" s="2" t="s">
        <v>120</v>
      </c>
      <c r="AC962" s="2" t="s">
        <v>1332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1329</v>
      </c>
      <c r="P963" s="2" t="s">
        <v>283</v>
      </c>
      <c r="Q963" s="2" t="s">
        <v>1333</v>
      </c>
      <c r="R963" s="2" t="s">
        <v>1334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1335</v>
      </c>
      <c r="AC963" s="2" t="s">
        <v>1332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1336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1336</v>
      </c>
      <c r="P965" s="2" t="s">
        <v>115</v>
      </c>
      <c r="Q965" s="2" t="s">
        <v>1337</v>
      </c>
      <c r="R965" s="2" t="s">
        <v>1338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hidden="1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1339</v>
      </c>
      <c r="P966" s="2" t="s">
        <v>43</v>
      </c>
      <c r="Q966" s="2" t="s">
        <v>1340</v>
      </c>
      <c r="R966" s="2" t="s">
        <v>1341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3239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1342</v>
      </c>
      <c r="P967" s="2" t="s">
        <v>115</v>
      </c>
      <c r="Q967" s="2" t="s">
        <v>1343</v>
      </c>
      <c r="R967" s="2" t="s">
        <v>1344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1345</v>
      </c>
      <c r="P968" s="2" t="s">
        <v>115</v>
      </c>
      <c r="Q968" s="2" t="s">
        <v>1346</v>
      </c>
      <c r="R968" s="2" t="s">
        <v>1347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1342</v>
      </c>
      <c r="P969" s="2" t="s">
        <v>115</v>
      </c>
      <c r="Q969" s="2" t="s">
        <v>1348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1349</v>
      </c>
      <c r="P970" s="2" t="s">
        <v>73</v>
      </c>
      <c r="Q970" s="2" t="s">
        <v>1350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3239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1349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3239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1172</v>
      </c>
      <c r="E972" s="2" t="s">
        <v>754</v>
      </c>
      <c r="F972" s="2" t="s">
        <v>1173</v>
      </c>
      <c r="G972" s="2">
        <v>505760088</v>
      </c>
      <c r="H972" s="2" t="s">
        <v>291</v>
      </c>
      <c r="I972" s="2" t="s">
        <v>1174</v>
      </c>
      <c r="J972" s="2" t="s">
        <v>1175</v>
      </c>
      <c r="L972" s="2" t="s">
        <v>340</v>
      </c>
      <c r="M972" s="2" t="s">
        <v>40</v>
      </c>
      <c r="O972" s="2" t="s">
        <v>1351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hidden="1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3239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1352</v>
      </c>
      <c r="P974" s="2" t="s">
        <v>1042</v>
      </c>
      <c r="Q974" s="2" t="s">
        <v>1353</v>
      </c>
      <c r="R974" s="2" t="s">
        <v>1354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3239</v>
      </c>
      <c r="AA974" s="2" t="s">
        <v>1045</v>
      </c>
      <c r="AB974" s="2" t="s">
        <v>1323</v>
      </c>
      <c r="AC974" s="2" t="s">
        <v>1042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3239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3239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3239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3239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1355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3239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1355</v>
      </c>
      <c r="P980" s="2" t="s">
        <v>283</v>
      </c>
      <c r="Q980" s="2" t="s">
        <v>1356</v>
      </c>
      <c r="R980" s="2" t="s">
        <v>1357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3239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985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986</v>
      </c>
      <c r="J981" s="2" t="s">
        <v>987</v>
      </c>
      <c r="L981" s="2" t="s">
        <v>294</v>
      </c>
      <c r="M981" s="2" t="s">
        <v>81</v>
      </c>
      <c r="O981" s="2" t="s">
        <v>1358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3239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985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986</v>
      </c>
      <c r="J982" s="2" t="s">
        <v>987</v>
      </c>
      <c r="L982" s="2" t="s">
        <v>294</v>
      </c>
      <c r="M982" s="2" t="s">
        <v>81</v>
      </c>
      <c r="O982" s="2" t="s">
        <v>1358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3239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1359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989</v>
      </c>
      <c r="Q984" s="2" t="s">
        <v>990</v>
      </c>
      <c r="R984" s="2" t="s">
        <v>991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1360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1361</v>
      </c>
      <c r="L985" s="2" t="s">
        <v>419</v>
      </c>
      <c r="P985" s="2" t="s">
        <v>283</v>
      </c>
      <c r="Q985" s="2" t="s">
        <v>1239</v>
      </c>
      <c r="R985" s="2" t="s">
        <v>1240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1582</v>
      </c>
      <c r="AB985" s="2" t="s">
        <v>389</v>
      </c>
      <c r="AC985" s="2" t="s">
        <v>1332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1360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1361</v>
      </c>
      <c r="L986" s="2" t="s">
        <v>419</v>
      </c>
      <c r="P986" s="2" t="s">
        <v>283</v>
      </c>
      <c r="Q986" s="2" t="s">
        <v>1158</v>
      </c>
      <c r="R986" s="2" t="s">
        <v>1159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1582</v>
      </c>
      <c r="AB986" s="2" t="s">
        <v>389</v>
      </c>
      <c r="AC986" s="2" t="s">
        <v>1332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1360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1361</v>
      </c>
      <c r="L987" s="2" t="s">
        <v>419</v>
      </c>
      <c r="P987" s="2" t="s">
        <v>283</v>
      </c>
      <c r="Q987" s="2" t="s">
        <v>1160</v>
      </c>
      <c r="R987" s="2" t="s">
        <v>1161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1582</v>
      </c>
      <c r="AB987" s="2" t="s">
        <v>389</v>
      </c>
      <c r="AC987" s="2" t="s">
        <v>1332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1155</v>
      </c>
      <c r="R988" s="2" t="s">
        <v>1156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1362</v>
      </c>
      <c r="P989" s="2" t="s">
        <v>1363</v>
      </c>
      <c r="Q989" s="2" t="s">
        <v>1364</v>
      </c>
      <c r="R989" s="2" t="s">
        <v>1365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3239</v>
      </c>
      <c r="AA989" s="2" t="s">
        <v>76</v>
      </c>
      <c r="AB989" s="2" t="s">
        <v>77</v>
      </c>
      <c r="AC989" s="2" t="s">
        <v>1363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1366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1366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1366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1010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3239</v>
      </c>
      <c r="AA993" s="2" t="s">
        <v>46</v>
      </c>
      <c r="AB993" s="2" t="s">
        <v>61</v>
      </c>
      <c r="AC993" s="2" t="s">
        <v>3345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hidden="1" x14ac:dyDescent="0.2">
      <c r="A994" s="2">
        <v>2025</v>
      </c>
      <c r="B994" s="2">
        <v>5</v>
      </c>
      <c r="D994" s="2" t="s">
        <v>1367</v>
      </c>
      <c r="P994" s="2" t="s">
        <v>43</v>
      </c>
      <c r="Q994" s="2" t="s">
        <v>1368</v>
      </c>
      <c r="R994" s="2" t="s">
        <v>1369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3239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hidden="1" x14ac:dyDescent="0.2">
      <c r="A995" s="2">
        <v>2025</v>
      </c>
      <c r="B995" s="2">
        <v>5</v>
      </c>
      <c r="D995" s="2" t="s">
        <v>1367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3239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hidden="1" x14ac:dyDescent="0.2">
      <c r="A996" s="2">
        <v>2025</v>
      </c>
      <c r="B996" s="2">
        <v>5</v>
      </c>
      <c r="D996" s="2" t="s">
        <v>1367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3239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1370</v>
      </c>
      <c r="P997" s="2" t="s">
        <v>85</v>
      </c>
      <c r="Q997" s="2" t="s">
        <v>1371</v>
      </c>
      <c r="R997" s="2" t="s">
        <v>1372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3239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1370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1373</v>
      </c>
      <c r="P999" s="2" t="s">
        <v>115</v>
      </c>
      <c r="Q999" s="2" t="s">
        <v>1155</v>
      </c>
      <c r="R999" s="2" t="s">
        <v>1156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1374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3239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1374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3239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1012</v>
      </c>
      <c r="P1002" s="2" t="s">
        <v>283</v>
      </c>
      <c r="Q1002" s="2" t="s">
        <v>1375</v>
      </c>
      <c r="R1002" s="2" t="s">
        <v>1376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3239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hidden="1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3239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3239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3311</v>
      </c>
      <c r="D1005" s="2" t="s">
        <v>1377</v>
      </c>
      <c r="E1005" s="2" t="s">
        <v>38</v>
      </c>
      <c r="F1005" s="2" t="s">
        <v>39</v>
      </c>
      <c r="I1005" s="2" t="s">
        <v>3312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3239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3311</v>
      </c>
      <c r="D1006" s="2" t="s">
        <v>1377</v>
      </c>
      <c r="E1006" s="2" t="s">
        <v>38</v>
      </c>
      <c r="F1006" s="2" t="s">
        <v>39</v>
      </c>
      <c r="I1006" s="2" t="s">
        <v>3312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3310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3239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3239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1378</v>
      </c>
      <c r="P1009" s="2" t="s">
        <v>115</v>
      </c>
      <c r="Q1009" s="2" t="s">
        <v>1379</v>
      </c>
      <c r="R1009" s="2" t="s">
        <v>1380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1378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1378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1381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3239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1381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3239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1382</v>
      </c>
      <c r="P1014" s="2" t="s">
        <v>73</v>
      </c>
      <c r="Q1014" s="2" t="s">
        <v>1079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3239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1382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3239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1246</v>
      </c>
      <c r="P1016" s="2" t="s">
        <v>1383</v>
      </c>
      <c r="Q1016" s="2" t="s">
        <v>1384</v>
      </c>
      <c r="R1016" s="2" t="s">
        <v>1385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3239</v>
      </c>
      <c r="AA1016" s="2" t="s">
        <v>1045</v>
      </c>
      <c r="AB1016" s="2" t="s">
        <v>1323</v>
      </c>
      <c r="AC1016" s="2" t="s">
        <v>1383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hidden="1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1386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3239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hidden="1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1386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3239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hidden="1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1386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3239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1025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3239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hidden="1" x14ac:dyDescent="0.2">
      <c r="A1021" s="2">
        <v>2025</v>
      </c>
      <c r="B1021" s="2">
        <v>5</v>
      </c>
      <c r="D1021" s="2" t="s">
        <v>1025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3239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hidden="1" x14ac:dyDescent="0.2">
      <c r="A1022" s="2">
        <v>2025</v>
      </c>
      <c r="B1022" s="2">
        <v>5</v>
      </c>
      <c r="D1022" s="2" t="s">
        <v>1025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3239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1387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3239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3239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3188</v>
      </c>
      <c r="K1025" s="2">
        <v>911577458</v>
      </c>
      <c r="L1025" s="2" t="s">
        <v>178</v>
      </c>
      <c r="M1025" s="2" t="s">
        <v>41</v>
      </c>
      <c r="O1025" s="2" t="s">
        <v>3190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3239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3188</v>
      </c>
      <c r="K1026" s="2">
        <v>911577458</v>
      </c>
      <c r="L1026" s="2" t="s">
        <v>178</v>
      </c>
      <c r="M1026" s="2" t="s">
        <v>41</v>
      </c>
      <c r="O1026" s="2" t="s">
        <v>3190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3239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3188</v>
      </c>
      <c r="K1027" s="2">
        <v>911577458</v>
      </c>
      <c r="L1027" s="2" t="s">
        <v>178</v>
      </c>
      <c r="M1027" s="2" t="s">
        <v>41</v>
      </c>
      <c r="O1027" s="2" t="s">
        <v>3190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3239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3338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3193</v>
      </c>
      <c r="L1029" s="2" t="s">
        <v>134</v>
      </c>
      <c r="M1029" s="2" t="s">
        <v>40</v>
      </c>
      <c r="O1029" s="2" t="s">
        <v>3195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3193</v>
      </c>
      <c r="L1030" s="2" t="s">
        <v>134</v>
      </c>
      <c r="M1030" s="2" t="s">
        <v>40</v>
      </c>
      <c r="O1030" s="2" t="s">
        <v>3195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3193</v>
      </c>
      <c r="L1031" s="2" t="s">
        <v>134</v>
      </c>
      <c r="M1031" s="2" t="s">
        <v>40</v>
      </c>
      <c r="O1031" s="2" t="s">
        <v>3195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1388</v>
      </c>
      <c r="R1032" s="2" t="s">
        <v>1389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1390</v>
      </c>
      <c r="R1033" s="2" t="s">
        <v>1084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1391</v>
      </c>
      <c r="R1034" s="2" t="s">
        <v>1392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1393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1394</v>
      </c>
      <c r="P1038" s="2" t="s">
        <v>73</v>
      </c>
      <c r="Q1038" s="2" t="s">
        <v>1395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3239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1394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3239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3239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3239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3239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3239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1252</v>
      </c>
      <c r="P1044" s="2" t="s">
        <v>73</v>
      </c>
      <c r="Q1044" s="2" t="s">
        <v>1395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3239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1252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3239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hidden="1" x14ac:dyDescent="0.2">
      <c r="A1046" s="2">
        <v>2025</v>
      </c>
      <c r="B1046" s="2">
        <v>5</v>
      </c>
      <c r="C1046" s="2" t="s">
        <v>3328</v>
      </c>
      <c r="D1046" s="2" t="s">
        <v>3327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959</v>
      </c>
      <c r="R1046" s="2" t="s">
        <v>960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961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3311</v>
      </c>
      <c r="D1047" s="2" t="s">
        <v>3326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3239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3311</v>
      </c>
      <c r="D1048" s="2" t="s">
        <v>3326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1396</v>
      </c>
      <c r="R1048" s="2" t="s">
        <v>1397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3239</v>
      </c>
      <c r="AA1048" s="2" t="s">
        <v>72</v>
      </c>
      <c r="AB1048" s="2" t="s">
        <v>1608</v>
      </c>
      <c r="AC1048" s="2" t="s">
        <v>1608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3311</v>
      </c>
      <c r="D1049" s="2" t="s">
        <v>3326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1398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3239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hidden="1" x14ac:dyDescent="0.2">
      <c r="A1051" s="2">
        <v>2025</v>
      </c>
      <c r="B1051" s="2">
        <v>5</v>
      </c>
      <c r="D1051" s="2" t="s">
        <v>1260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3239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1260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3239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3328</v>
      </c>
      <c r="D1054" s="2" t="s">
        <v>1399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1400</v>
      </c>
      <c r="R1054" s="2" t="s">
        <v>1401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3244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1402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3229</v>
      </c>
      <c r="J1055" s="2" t="s">
        <v>3228</v>
      </c>
      <c r="K1055" s="2">
        <v>913814877</v>
      </c>
      <c r="L1055" s="2" t="s">
        <v>202</v>
      </c>
      <c r="M1055" s="2" t="s">
        <v>81</v>
      </c>
      <c r="O1055" s="2" t="s">
        <v>3220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3239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1402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3229</v>
      </c>
      <c r="J1056" s="2" t="s">
        <v>3228</v>
      </c>
      <c r="K1056" s="2">
        <v>913814877</v>
      </c>
      <c r="L1056" s="2" t="s">
        <v>202</v>
      </c>
      <c r="M1056" s="2" t="s">
        <v>81</v>
      </c>
      <c r="O1056" s="2" t="s">
        <v>3220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3239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1402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3229</v>
      </c>
      <c r="J1057" s="2" t="s">
        <v>3228</v>
      </c>
      <c r="K1057" s="2">
        <v>913814877</v>
      </c>
      <c r="L1057" s="2" t="s">
        <v>202</v>
      </c>
      <c r="M1057" s="2" t="s">
        <v>40</v>
      </c>
      <c r="O1057" s="2" t="s">
        <v>3221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1402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3229</v>
      </c>
      <c r="J1058" s="2" t="s">
        <v>3228</v>
      </c>
      <c r="K1058" s="2">
        <v>913814877</v>
      </c>
      <c r="L1058" s="2" t="s">
        <v>202</v>
      </c>
      <c r="M1058" s="2" t="s">
        <v>40</v>
      </c>
      <c r="O1058" s="2" t="s">
        <v>3221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1402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3229</v>
      </c>
      <c r="J1059" s="2" t="s">
        <v>3228</v>
      </c>
      <c r="K1059" s="2">
        <v>913814877</v>
      </c>
      <c r="L1059" s="2" t="s">
        <v>202</v>
      </c>
      <c r="M1059" s="2" t="s">
        <v>40</v>
      </c>
      <c r="O1059" s="2" t="s">
        <v>3221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3394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1403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3239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1403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3239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1404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1405</v>
      </c>
      <c r="J1062" s="2" t="s">
        <v>1406</v>
      </c>
      <c r="L1062" s="2" t="s">
        <v>178</v>
      </c>
      <c r="M1062" s="2" t="s">
        <v>40</v>
      </c>
      <c r="O1062" s="2" t="s">
        <v>1407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1404</v>
      </c>
      <c r="P1063" s="2" t="s">
        <v>115</v>
      </c>
      <c r="Q1063" s="2" t="s">
        <v>1408</v>
      </c>
      <c r="R1063" s="2" t="s">
        <v>1409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1404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1404</v>
      </c>
      <c r="P1065" s="2" t="s">
        <v>115</v>
      </c>
      <c r="Q1065" s="2" t="s">
        <v>1410</v>
      </c>
      <c r="R1065" s="2" t="s">
        <v>1411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1404</v>
      </c>
      <c r="P1066" s="2" t="s">
        <v>115</v>
      </c>
      <c r="Q1066" s="2" t="s">
        <v>1412</v>
      </c>
      <c r="R1066" s="2" t="s">
        <v>1413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1404</v>
      </c>
      <c r="P1067" s="2" t="s">
        <v>115</v>
      </c>
      <c r="Q1067" s="2" t="s">
        <v>1414</v>
      </c>
      <c r="R1067" s="2" t="s">
        <v>1415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1404</v>
      </c>
      <c r="P1068" s="2" t="s">
        <v>115</v>
      </c>
      <c r="Q1068" s="2" t="s">
        <v>982</v>
      </c>
      <c r="R1068" s="2" t="s">
        <v>983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1404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1404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1057</v>
      </c>
      <c r="E1071" s="2" t="s">
        <v>184</v>
      </c>
      <c r="F1071" s="2" t="s">
        <v>1058</v>
      </c>
      <c r="G1071" s="2">
        <v>500199523</v>
      </c>
      <c r="H1071" s="2" t="s">
        <v>291</v>
      </c>
      <c r="I1071" s="2" t="s">
        <v>294</v>
      </c>
      <c r="J1071" s="2" t="s">
        <v>1059</v>
      </c>
      <c r="L1071" s="2" t="s">
        <v>294</v>
      </c>
      <c r="M1071" s="2" t="s">
        <v>81</v>
      </c>
      <c r="O1071" s="2" t="s">
        <v>1416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3239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1057</v>
      </c>
      <c r="E1072" s="2" t="s">
        <v>184</v>
      </c>
      <c r="F1072" s="2" t="s">
        <v>1058</v>
      </c>
      <c r="G1072" s="2">
        <v>500199523</v>
      </c>
      <c r="H1072" s="2" t="s">
        <v>291</v>
      </c>
      <c r="I1072" s="2" t="s">
        <v>294</v>
      </c>
      <c r="J1072" s="2" t="s">
        <v>1059</v>
      </c>
      <c r="L1072" s="2" t="s">
        <v>294</v>
      </c>
      <c r="M1072" s="2" t="s">
        <v>81</v>
      </c>
      <c r="O1072" s="2" t="s">
        <v>1416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3239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1375</v>
      </c>
      <c r="R1073" s="2" t="s">
        <v>1376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3239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3239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1417</v>
      </c>
      <c r="P1075" s="2" t="s">
        <v>115</v>
      </c>
      <c r="Q1075" s="2" t="s">
        <v>1418</v>
      </c>
      <c r="R1075" s="2" t="s">
        <v>1419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1420</v>
      </c>
      <c r="R1076" s="2" t="s">
        <v>1421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3239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3205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3239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3239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1422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3239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1422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3239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1423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2421</v>
      </c>
      <c r="J1083" s="2" t="s">
        <v>2422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3239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1423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2421</v>
      </c>
      <c r="J1084" s="2" t="s">
        <v>2422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3239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1424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3239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1424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3239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hidden="1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1425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3239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1425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3239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1426</v>
      </c>
      <c r="P1089" s="2" t="s">
        <v>115</v>
      </c>
      <c r="Q1089" s="2" t="s">
        <v>1427</v>
      </c>
      <c r="R1089" s="2" t="s">
        <v>1428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1426</v>
      </c>
      <c r="P1090" s="2" t="s">
        <v>115</v>
      </c>
      <c r="Q1090" s="2" t="s">
        <v>1429</v>
      </c>
      <c r="R1090" s="2" t="s">
        <v>1430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1426</v>
      </c>
      <c r="P1091" s="2" t="s">
        <v>115</v>
      </c>
      <c r="Q1091" s="2" t="s">
        <v>1431</v>
      </c>
      <c r="R1091" s="2" t="s">
        <v>1432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1426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1426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1426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1433</v>
      </c>
      <c r="R1095" s="2" t="s">
        <v>1434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hidden="1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3239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3239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1435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1435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3239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3239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3239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1436</v>
      </c>
      <c r="R1103" s="2" t="s">
        <v>1437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3239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3239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1438</v>
      </c>
      <c r="R1106" s="2" t="s">
        <v>1439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1300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1301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3239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1300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1301</v>
      </c>
      <c r="L1110" s="2" t="s">
        <v>340</v>
      </c>
      <c r="M1110" s="2" t="s">
        <v>81</v>
      </c>
      <c r="O1110" s="2" t="s">
        <v>3212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3239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1300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1301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3239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1440</v>
      </c>
      <c r="P1112" s="2" t="s">
        <v>283</v>
      </c>
      <c r="Q1112" s="2" t="s">
        <v>1441</v>
      </c>
      <c r="R1112" s="2" t="s">
        <v>1442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3239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3239</v>
      </c>
      <c r="AA1113" s="2" t="s">
        <v>46</v>
      </c>
      <c r="AB1113" s="2" t="s">
        <v>61</v>
      </c>
      <c r="AC1113" s="2" t="s">
        <v>3345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hidden="1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3239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3239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1123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1443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3394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1441</v>
      </c>
      <c r="R1119" s="2" t="s">
        <v>1442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3239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1124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3258</v>
      </c>
      <c r="J1121" s="2" t="s">
        <v>3259</v>
      </c>
      <c r="K1121" s="2">
        <v>96179412</v>
      </c>
      <c r="L1121" s="2" t="s">
        <v>462</v>
      </c>
      <c r="M1121" s="2" t="s">
        <v>40</v>
      </c>
      <c r="O1121" s="2" t="s">
        <v>3262</v>
      </c>
      <c r="P1121" s="2" t="s">
        <v>40</v>
      </c>
      <c r="Q1121" s="2" t="s">
        <v>1313</v>
      </c>
      <c r="R1121" s="2" t="s">
        <v>3263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1124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3258</v>
      </c>
      <c r="J1122" s="2" t="s">
        <v>3259</v>
      </c>
      <c r="K1122" s="2">
        <v>96179412</v>
      </c>
      <c r="L1122" s="2" t="s">
        <v>462</v>
      </c>
      <c r="M1122" s="2" t="s">
        <v>40</v>
      </c>
      <c r="O1122" s="2" t="s">
        <v>3262</v>
      </c>
      <c r="P1122" s="2" t="s">
        <v>40</v>
      </c>
      <c r="Q1122" s="2" t="s">
        <v>1313</v>
      </c>
      <c r="R1122" s="2" t="s">
        <v>3264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1124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3258</v>
      </c>
      <c r="J1123" s="2" t="s">
        <v>3259</v>
      </c>
      <c r="K1123" s="2">
        <v>96179412</v>
      </c>
      <c r="L1123" s="2" t="s">
        <v>462</v>
      </c>
      <c r="M1123" s="2" t="s">
        <v>40</v>
      </c>
      <c r="O1123" s="2" t="s">
        <v>3265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3239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3239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1444</v>
      </c>
      <c r="P1126" s="2" t="s">
        <v>115</v>
      </c>
      <c r="Q1126" s="2" t="s">
        <v>1445</v>
      </c>
      <c r="R1126" s="2" t="s">
        <v>1446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1444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3394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1128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2304</v>
      </c>
      <c r="J1128" s="2" t="s">
        <v>2305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1128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2304</v>
      </c>
      <c r="J1129" s="2" t="s">
        <v>2305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1128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2304</v>
      </c>
      <c r="J1130" s="2" t="s">
        <v>2305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1128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2304</v>
      </c>
      <c r="J1131" s="2" t="s">
        <v>2305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hidden="1" x14ac:dyDescent="0.2">
      <c r="A1132" s="2">
        <v>2025</v>
      </c>
      <c r="B1132" s="2">
        <v>5</v>
      </c>
      <c r="D1132" s="2" t="s">
        <v>1317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1318</v>
      </c>
      <c r="L1132" s="2" t="s">
        <v>178</v>
      </c>
      <c r="M1132" s="2" t="s">
        <v>41</v>
      </c>
      <c r="O1132" s="2" t="s">
        <v>1447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3239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1317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1318</v>
      </c>
      <c r="L1133" s="2" t="s">
        <v>178</v>
      </c>
      <c r="M1133" s="2" t="s">
        <v>41</v>
      </c>
      <c r="O1133" s="2" t="s">
        <v>1447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3239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1129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1130</v>
      </c>
      <c r="J1134" s="2" t="s">
        <v>1131</v>
      </c>
      <c r="L1134" s="2" t="s">
        <v>462</v>
      </c>
      <c r="M1134" s="2" t="s">
        <v>40</v>
      </c>
      <c r="O1134" s="2" t="s">
        <v>1448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3239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1441</v>
      </c>
      <c r="R1136" s="2" t="s">
        <v>1442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3239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1449</v>
      </c>
      <c r="R1137" s="2" t="s">
        <v>1450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3239</v>
      </c>
      <c r="AA1137" s="2" t="s">
        <v>72</v>
      </c>
      <c r="AB1137" s="2" t="s">
        <v>1608</v>
      </c>
      <c r="AC1137" s="2" t="s">
        <v>1608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1451</v>
      </c>
      <c r="R1138" s="2" t="s">
        <v>1452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3239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3239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3239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3239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3239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3239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3239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1453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3239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1454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3239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1215</v>
      </c>
      <c r="R1148" s="2" t="s">
        <v>1216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3239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3239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3239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3239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3394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1455</v>
      </c>
      <c r="P1153" s="2" t="s">
        <v>115</v>
      </c>
      <c r="Q1153" s="2" t="s">
        <v>982</v>
      </c>
      <c r="R1153" s="2" t="s">
        <v>983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1455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1455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1456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1457</v>
      </c>
      <c r="J1156" s="2" t="s">
        <v>1458</v>
      </c>
      <c r="K1156" s="2">
        <v>917563471</v>
      </c>
      <c r="L1156" s="2" t="s">
        <v>100</v>
      </c>
      <c r="M1156" s="2" t="s">
        <v>81</v>
      </c>
      <c r="O1156" s="2" t="s">
        <v>1459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3239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1456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1457</v>
      </c>
      <c r="J1157" s="2" t="s">
        <v>1458</v>
      </c>
      <c r="K1157" s="2">
        <v>917563471</v>
      </c>
      <c r="L1157" s="2" t="s">
        <v>100</v>
      </c>
      <c r="M1157" s="2" t="s">
        <v>81</v>
      </c>
      <c r="O1157" s="2" t="s">
        <v>1459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3239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1144</v>
      </c>
      <c r="E1158" s="2" t="s">
        <v>109</v>
      </c>
      <c r="G1158" s="2">
        <v>504576658</v>
      </c>
      <c r="H1158" s="2" t="s">
        <v>41</v>
      </c>
      <c r="I1158" s="2" t="s">
        <v>1145</v>
      </c>
      <c r="J1158" s="2" t="s">
        <v>1146</v>
      </c>
      <c r="L1158" s="2" t="s">
        <v>100</v>
      </c>
      <c r="M1158" s="2" t="s">
        <v>41</v>
      </c>
      <c r="O1158" s="2" t="s">
        <v>1460</v>
      </c>
      <c r="P1158" s="2" t="s">
        <v>73</v>
      </c>
      <c r="Q1158" s="2" t="s">
        <v>1079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3239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1144</v>
      </c>
      <c r="E1159" s="2" t="s">
        <v>109</v>
      </c>
      <c r="G1159" s="2">
        <v>504576658</v>
      </c>
      <c r="H1159" s="2" t="s">
        <v>41</v>
      </c>
      <c r="I1159" s="2" t="s">
        <v>1145</v>
      </c>
      <c r="J1159" s="2" t="s">
        <v>1146</v>
      </c>
      <c r="L1159" s="2" t="s">
        <v>100</v>
      </c>
      <c r="M1159" s="2" t="s">
        <v>41</v>
      </c>
      <c r="O1159" s="2" t="s">
        <v>1460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3239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1461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1461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1462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1462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D1164" s="2" t="s">
        <v>1463</v>
      </c>
      <c r="P1164" s="2" t="s">
        <v>43</v>
      </c>
      <c r="Q1164" s="2" t="s">
        <v>973</v>
      </c>
      <c r="R1164" s="2" t="s">
        <v>974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3239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hidden="1" x14ac:dyDescent="0.2">
      <c r="A1165" s="2">
        <v>2025</v>
      </c>
      <c r="B1165" s="2">
        <v>7</v>
      </c>
      <c r="D1165" s="2" t="s">
        <v>1463</v>
      </c>
      <c r="P1165" s="2" t="s">
        <v>43</v>
      </c>
      <c r="Q1165" s="2" t="s">
        <v>975</v>
      </c>
      <c r="R1165" s="2" t="s">
        <v>976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3239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hidden="1" x14ac:dyDescent="0.2">
      <c r="A1166" s="2">
        <v>2025</v>
      </c>
      <c r="B1166" s="2">
        <v>7</v>
      </c>
      <c r="D1166" s="2" t="s">
        <v>1464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1465</v>
      </c>
      <c r="J1166" s="2" t="s">
        <v>1466</v>
      </c>
      <c r="K1166" s="2">
        <v>925788716</v>
      </c>
      <c r="L1166" s="2" t="s">
        <v>1467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3239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1464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1465</v>
      </c>
      <c r="J1167" s="2" t="s">
        <v>1466</v>
      </c>
      <c r="K1167" s="2">
        <v>925788716</v>
      </c>
      <c r="L1167" s="2" t="s">
        <v>1467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3239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1464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1465</v>
      </c>
      <c r="J1168" s="2" t="s">
        <v>1466</v>
      </c>
      <c r="K1168" s="2">
        <v>925788716</v>
      </c>
      <c r="L1168" s="2" t="s">
        <v>1467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3239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1464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1465</v>
      </c>
      <c r="J1169" s="2" t="s">
        <v>1466</v>
      </c>
      <c r="K1169" s="2">
        <v>925788716</v>
      </c>
      <c r="L1169" s="2" t="s">
        <v>1467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3239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1464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1465</v>
      </c>
      <c r="J1170" s="2" t="s">
        <v>1466</v>
      </c>
      <c r="K1170" s="2">
        <v>925788716</v>
      </c>
      <c r="L1170" s="2" t="s">
        <v>1467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3239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1464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1465</v>
      </c>
      <c r="J1171" s="2" t="s">
        <v>1466</v>
      </c>
      <c r="K1171" s="2">
        <v>925788716</v>
      </c>
      <c r="L1171" s="2" t="s">
        <v>1467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hidden="1" x14ac:dyDescent="0.2">
      <c r="A1172" s="2">
        <v>2025</v>
      </c>
      <c r="B1172" s="2">
        <v>7</v>
      </c>
      <c r="D1172" s="2" t="s">
        <v>1468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1469</v>
      </c>
      <c r="J1172" s="2" t="s">
        <v>1470</v>
      </c>
      <c r="K1172" s="2">
        <v>962823313</v>
      </c>
      <c r="L1172" s="2" t="s">
        <v>601</v>
      </c>
      <c r="M1172" s="2" t="s">
        <v>41</v>
      </c>
      <c r="O1172" s="2" t="s">
        <v>1471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3239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1468</v>
      </c>
      <c r="L1173" s="2" t="s">
        <v>601</v>
      </c>
      <c r="M1173" s="2" t="s">
        <v>41</v>
      </c>
      <c r="O1173" s="2" t="s">
        <v>1471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3239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hidden="1" x14ac:dyDescent="0.2">
      <c r="A1174" s="2">
        <v>2025</v>
      </c>
      <c r="B1174" s="2">
        <v>7</v>
      </c>
      <c r="D1174" s="2" t="s">
        <v>1468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3239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1468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3239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1468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3239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3239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3394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1472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1473</v>
      </c>
      <c r="J1181" s="2" t="s">
        <v>1474</v>
      </c>
      <c r="L1181" s="2" t="s">
        <v>361</v>
      </c>
      <c r="M1181" s="2" t="s">
        <v>40</v>
      </c>
      <c r="O1181" s="2" t="s">
        <v>1475</v>
      </c>
      <c r="P1181" s="2" t="s">
        <v>115</v>
      </c>
      <c r="Q1181" s="2" t="s">
        <v>1476</v>
      </c>
      <c r="R1181" s="2" t="s">
        <v>1477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1472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1473</v>
      </c>
      <c r="J1182" s="2" t="s">
        <v>1474</v>
      </c>
      <c r="L1182" s="2" t="s">
        <v>361</v>
      </c>
      <c r="M1182" s="2" t="s">
        <v>40</v>
      </c>
      <c r="O1182" s="2" t="s">
        <v>1475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1472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1473</v>
      </c>
      <c r="J1183" s="2" t="s">
        <v>1474</v>
      </c>
      <c r="L1183" s="2" t="s">
        <v>361</v>
      </c>
      <c r="M1183" s="2" t="s">
        <v>40</v>
      </c>
      <c r="O1183" s="2" t="s">
        <v>1475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1154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1478</v>
      </c>
      <c r="K1184" s="2">
        <v>938183284</v>
      </c>
      <c r="L1184" s="2" t="s">
        <v>134</v>
      </c>
      <c r="M1184" s="2" t="s">
        <v>110</v>
      </c>
      <c r="O1184" s="2" t="s">
        <v>1479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3239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1154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3239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hidden="1" x14ac:dyDescent="0.2">
      <c r="A1186" s="2">
        <v>2025</v>
      </c>
      <c r="B1186" s="2">
        <v>7</v>
      </c>
      <c r="D1186" s="2" t="s">
        <v>1480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3239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1480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3239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1481</v>
      </c>
      <c r="E1188" s="2" t="s">
        <v>754</v>
      </c>
      <c r="F1188" s="2" t="s">
        <v>1482</v>
      </c>
      <c r="G1188" s="2">
        <v>506123758</v>
      </c>
      <c r="H1188" s="2" t="s">
        <v>110</v>
      </c>
      <c r="I1188" s="2" t="s">
        <v>1483</v>
      </c>
      <c r="J1188" s="2" t="s">
        <v>1484</v>
      </c>
      <c r="K1188" s="2">
        <v>936406952</v>
      </c>
      <c r="L1188" s="2" t="s">
        <v>462</v>
      </c>
      <c r="M1188" s="2" t="s">
        <v>40</v>
      </c>
      <c r="O1188" s="2" t="s">
        <v>1485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1481</v>
      </c>
      <c r="E1189" s="2" t="s">
        <v>754</v>
      </c>
      <c r="F1189" s="2" t="s">
        <v>1482</v>
      </c>
      <c r="G1189" s="2">
        <v>506123758</v>
      </c>
      <c r="H1189" s="2" t="s">
        <v>110</v>
      </c>
      <c r="I1189" s="2" t="s">
        <v>1483</v>
      </c>
      <c r="J1189" s="2" t="s">
        <v>1484</v>
      </c>
      <c r="K1189" s="2">
        <v>936406952</v>
      </c>
      <c r="L1189" s="2" t="s">
        <v>462</v>
      </c>
      <c r="M1189" s="2" t="s">
        <v>40</v>
      </c>
      <c r="O1189" s="2" t="s">
        <v>1485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1486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1487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3239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1488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3239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1487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3239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1487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3239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1489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1490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3239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1349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3239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1349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3239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hidden="1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3239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3239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3239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3239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hidden="1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3239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3239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1491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1491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3239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1182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1183</v>
      </c>
      <c r="J1207" s="2" t="s">
        <v>1184</v>
      </c>
      <c r="L1207" s="2" t="s">
        <v>462</v>
      </c>
      <c r="M1207" s="2" t="s">
        <v>41</v>
      </c>
      <c r="O1207" s="2" t="s">
        <v>1492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3239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1182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1183</v>
      </c>
      <c r="J1208" s="2" t="s">
        <v>1184</v>
      </c>
      <c r="L1208" s="2" t="s">
        <v>462</v>
      </c>
      <c r="M1208" s="2" t="s">
        <v>41</v>
      </c>
      <c r="O1208" s="2" t="s">
        <v>1492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3239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hidden="1" x14ac:dyDescent="0.2">
      <c r="A1209" s="2">
        <v>2025</v>
      </c>
      <c r="B1209" s="2">
        <v>7</v>
      </c>
      <c r="D1209" s="2" t="s">
        <v>1182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1183</v>
      </c>
      <c r="J1209" s="2" t="s">
        <v>1184</v>
      </c>
      <c r="L1209" s="2" t="s">
        <v>462</v>
      </c>
      <c r="M1209" s="2" t="s">
        <v>41</v>
      </c>
      <c r="O1209" s="2" t="s">
        <v>1492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3239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hidden="1" x14ac:dyDescent="0.2">
      <c r="A1210" s="2">
        <v>2025</v>
      </c>
      <c r="B1210" s="2">
        <v>7</v>
      </c>
      <c r="D1210" s="2" t="s">
        <v>1182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1183</v>
      </c>
      <c r="J1210" s="2" t="s">
        <v>1184</v>
      </c>
      <c r="L1210" s="2" t="s">
        <v>462</v>
      </c>
      <c r="M1210" s="2" t="s">
        <v>41</v>
      </c>
      <c r="O1210" s="2" t="s">
        <v>1492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3239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hidden="1" x14ac:dyDescent="0.2">
      <c r="A1211" s="2">
        <v>2025</v>
      </c>
      <c r="B1211" s="2">
        <v>7</v>
      </c>
      <c r="D1211" s="2" t="s">
        <v>1182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1183</v>
      </c>
      <c r="J1211" s="2" t="s">
        <v>1184</v>
      </c>
      <c r="L1211" s="2" t="s">
        <v>462</v>
      </c>
      <c r="M1211" s="2" t="s">
        <v>41</v>
      </c>
      <c r="O1211" s="2" t="s">
        <v>1492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3239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hidden="1" x14ac:dyDescent="0.2">
      <c r="A1212" s="2">
        <v>2025</v>
      </c>
      <c r="B1212" s="2">
        <v>7</v>
      </c>
      <c r="D1212" s="2" t="s">
        <v>1182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1183</v>
      </c>
      <c r="J1212" s="2" t="s">
        <v>1184</v>
      </c>
      <c r="L1212" s="2" t="s">
        <v>462</v>
      </c>
      <c r="M1212" s="2" t="s">
        <v>41</v>
      </c>
      <c r="O1212" s="2" t="s">
        <v>1492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3239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hidden="1" x14ac:dyDescent="0.2">
      <c r="A1213" s="2">
        <v>2025</v>
      </c>
      <c r="B1213" s="2">
        <v>7</v>
      </c>
      <c r="D1213" s="2" t="s">
        <v>1182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1183</v>
      </c>
      <c r="J1213" s="2" t="s">
        <v>1184</v>
      </c>
      <c r="L1213" s="2" t="s">
        <v>462</v>
      </c>
      <c r="M1213" s="2" t="s">
        <v>41</v>
      </c>
      <c r="O1213" s="2" t="s">
        <v>1492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3239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1182</v>
      </c>
      <c r="E1214" s="2" t="s">
        <v>38</v>
      </c>
      <c r="G1214" s="2">
        <v>502089075</v>
      </c>
      <c r="H1214" s="2" t="s">
        <v>41</v>
      </c>
      <c r="I1214" s="2" t="s">
        <v>1183</v>
      </c>
      <c r="J1214" s="2" t="s">
        <v>1184</v>
      </c>
      <c r="L1214" s="2" t="s">
        <v>462</v>
      </c>
      <c r="M1214" s="2" t="s">
        <v>41</v>
      </c>
      <c r="O1214" s="2" t="s">
        <v>1493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3239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1182</v>
      </c>
      <c r="E1215" s="2" t="s">
        <v>38</v>
      </c>
      <c r="G1215" s="2">
        <v>502089075</v>
      </c>
      <c r="H1215" s="2" t="s">
        <v>41</v>
      </c>
      <c r="I1215" s="2" t="s">
        <v>1183</v>
      </c>
      <c r="J1215" s="2" t="s">
        <v>1184</v>
      </c>
      <c r="L1215" s="2" t="s">
        <v>462</v>
      </c>
      <c r="M1215" s="2" t="s">
        <v>41</v>
      </c>
      <c r="O1215" s="2" t="s">
        <v>1493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3239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3428</v>
      </c>
      <c r="D1216" s="2" t="s">
        <v>1494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1400</v>
      </c>
      <c r="R1216" s="2" t="s">
        <v>1401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3244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1495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1496</v>
      </c>
      <c r="L1217" s="2" t="s">
        <v>340</v>
      </c>
      <c r="M1217" s="2" t="s">
        <v>40</v>
      </c>
      <c r="P1217" s="2" t="s">
        <v>115</v>
      </c>
      <c r="Q1217" s="2" t="s">
        <v>958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hidden="1" x14ac:dyDescent="0.2">
      <c r="A1218" s="2">
        <v>2025</v>
      </c>
      <c r="B1218" s="2">
        <v>7</v>
      </c>
      <c r="D1218" s="2" t="s">
        <v>1495</v>
      </c>
      <c r="P1218" s="2" t="s">
        <v>115</v>
      </c>
      <c r="Q1218" s="2" t="s">
        <v>1497</v>
      </c>
      <c r="R1218" s="2" t="s">
        <v>1498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1495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1499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1499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1500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1112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1501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3239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1502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3239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1503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3239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3239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3239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3239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3239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3239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1504</v>
      </c>
      <c r="R1231" s="2" t="s">
        <v>1505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3239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1050</v>
      </c>
      <c r="R1232" s="2" t="s">
        <v>1051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3239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3239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1355</v>
      </c>
      <c r="P1234" s="2" t="s">
        <v>115</v>
      </c>
      <c r="Q1234" s="2" t="s">
        <v>1506</v>
      </c>
      <c r="R1234" s="2" t="s">
        <v>1507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3239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3239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3239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3239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3239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3239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1508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3394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1359</v>
      </c>
      <c r="P1243" s="2" t="s">
        <v>283</v>
      </c>
      <c r="Q1243" s="2" t="s">
        <v>1441</v>
      </c>
      <c r="R1243" s="2" t="s">
        <v>1442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3239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1509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1510</v>
      </c>
      <c r="J1244" s="2" t="s">
        <v>1511</v>
      </c>
      <c r="K1244" s="2">
        <v>961386655</v>
      </c>
      <c r="L1244" s="2" t="s">
        <v>134</v>
      </c>
      <c r="M1244" s="2" t="s">
        <v>40</v>
      </c>
      <c r="O1244" s="2" t="s">
        <v>1512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3239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1509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1510</v>
      </c>
      <c r="J1245" s="2" t="s">
        <v>1511</v>
      </c>
      <c r="K1245" s="2">
        <v>961386655</v>
      </c>
      <c r="L1245" s="2" t="s">
        <v>134</v>
      </c>
      <c r="M1245" s="2" t="s">
        <v>40</v>
      </c>
      <c r="O1245" s="2" t="s">
        <v>1512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3239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1509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1510</v>
      </c>
      <c r="J1246" s="2" t="s">
        <v>1511</v>
      </c>
      <c r="K1246" s="2">
        <v>961386655</v>
      </c>
      <c r="L1246" s="2" t="s">
        <v>134</v>
      </c>
      <c r="M1246" s="2" t="s">
        <v>40</v>
      </c>
      <c r="O1246" s="2" t="s">
        <v>1512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3239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1509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1510</v>
      </c>
      <c r="J1247" s="2" t="s">
        <v>1511</v>
      </c>
      <c r="K1247" s="2">
        <v>961386655</v>
      </c>
      <c r="L1247" s="2" t="s">
        <v>134</v>
      </c>
      <c r="M1247" s="2" t="s">
        <v>40</v>
      </c>
      <c r="O1247" s="2" t="s">
        <v>1512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3239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1509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1510</v>
      </c>
      <c r="J1248" s="2" t="s">
        <v>1511</v>
      </c>
      <c r="K1248" s="2">
        <v>961386655</v>
      </c>
      <c r="L1248" s="2" t="s">
        <v>134</v>
      </c>
      <c r="M1248" s="2" t="s">
        <v>40</v>
      </c>
      <c r="O1248" s="2" t="s">
        <v>1512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1513</v>
      </c>
      <c r="AB1248" s="2" t="s">
        <v>1514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hidden="1" x14ac:dyDescent="0.2">
      <c r="A1249" s="2">
        <v>2025</v>
      </c>
      <c r="B1249" s="2">
        <v>7</v>
      </c>
      <c r="D1249" s="2" t="s">
        <v>1509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1510</v>
      </c>
      <c r="J1249" s="2" t="s">
        <v>1511</v>
      </c>
      <c r="K1249" s="2">
        <v>961386655</v>
      </c>
      <c r="L1249" s="2" t="s">
        <v>134</v>
      </c>
      <c r="M1249" s="2" t="s">
        <v>40</v>
      </c>
      <c r="O1249" s="2" t="s">
        <v>1512</v>
      </c>
      <c r="P1249" s="2" t="s">
        <v>40</v>
      </c>
      <c r="Q1249" s="2" t="s">
        <v>1515</v>
      </c>
      <c r="R1249" s="2" t="s">
        <v>1516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1513</v>
      </c>
      <c r="AB1249" s="2" t="s">
        <v>1517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1360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1361</v>
      </c>
      <c r="L1250" s="2" t="s">
        <v>419</v>
      </c>
      <c r="P1250" s="2" t="s">
        <v>283</v>
      </c>
      <c r="Q1250" s="2" t="s">
        <v>1518</v>
      </c>
      <c r="R1250" s="2" t="s">
        <v>1519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3239</v>
      </c>
      <c r="AA1250" s="2" t="s">
        <v>72</v>
      </c>
      <c r="AB1250" s="2" t="s">
        <v>1608</v>
      </c>
      <c r="AC1250" s="2" t="s">
        <v>1608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1360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1361</v>
      </c>
      <c r="L1251" s="2" t="s">
        <v>419</v>
      </c>
      <c r="P1251" s="2" t="s">
        <v>283</v>
      </c>
      <c r="Q1251" s="2" t="s">
        <v>1520</v>
      </c>
      <c r="R1251" s="2" t="s">
        <v>1521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3239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1522</v>
      </c>
      <c r="R1252" s="2" t="s">
        <v>1523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1524</v>
      </c>
      <c r="P1255" s="2" t="s">
        <v>283</v>
      </c>
      <c r="Q1255" s="2" t="s">
        <v>1451</v>
      </c>
      <c r="R1255" s="2" t="s">
        <v>1452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3239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1524</v>
      </c>
      <c r="P1256" s="2" t="s">
        <v>69</v>
      </c>
      <c r="Q1256" s="2" t="s">
        <v>1525</v>
      </c>
      <c r="R1256" s="2" t="s">
        <v>1526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1099</v>
      </c>
      <c r="AC1256" s="2" t="s">
        <v>3244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hidden="1" x14ac:dyDescent="0.2">
      <c r="A1259" s="2">
        <v>2025</v>
      </c>
      <c r="B1259" s="2">
        <v>7</v>
      </c>
      <c r="D1259" s="2" t="s">
        <v>1527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1528</v>
      </c>
      <c r="J1259" s="2" t="s">
        <v>1529</v>
      </c>
      <c r="K1259" s="2">
        <v>962461409</v>
      </c>
      <c r="L1259" s="2" t="s">
        <v>345</v>
      </c>
      <c r="P1259" s="2" t="s">
        <v>115</v>
      </c>
      <c r="Q1259" s="2" t="s">
        <v>958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hidden="1" x14ac:dyDescent="0.2">
      <c r="A1260" s="2">
        <v>2025</v>
      </c>
      <c r="B1260" s="2">
        <v>7</v>
      </c>
      <c r="D1260" s="2" t="s">
        <v>1527</v>
      </c>
      <c r="P1260" s="2" t="s">
        <v>115</v>
      </c>
      <c r="Q1260" s="2" t="s">
        <v>1530</v>
      </c>
      <c r="R1260" s="2" t="s">
        <v>1531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1527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1532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1533</v>
      </c>
      <c r="J1262" s="2" t="s">
        <v>1534</v>
      </c>
      <c r="K1262" s="2">
        <v>962461409</v>
      </c>
      <c r="L1262" s="2" t="s">
        <v>345</v>
      </c>
      <c r="M1262" s="2" t="s">
        <v>40</v>
      </c>
      <c r="O1262" s="2" t="s">
        <v>1535</v>
      </c>
      <c r="P1262" s="2" t="s">
        <v>283</v>
      </c>
      <c r="Q1262" s="2" t="s">
        <v>1536</v>
      </c>
      <c r="R1262" s="2" t="s">
        <v>1537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3239</v>
      </c>
      <c r="AA1262" s="2" t="s">
        <v>579</v>
      </c>
      <c r="AB1262" s="2" t="s">
        <v>120</v>
      </c>
      <c r="AC1262" s="2" t="s">
        <v>1332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1532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1533</v>
      </c>
      <c r="J1263" s="2" t="s">
        <v>1534</v>
      </c>
      <c r="K1263" s="2">
        <v>962461409</v>
      </c>
      <c r="L1263" s="2" t="s">
        <v>345</v>
      </c>
      <c r="M1263" s="2" t="s">
        <v>40</v>
      </c>
      <c r="O1263" s="2" t="s">
        <v>1535</v>
      </c>
      <c r="P1263" s="2" t="s">
        <v>283</v>
      </c>
      <c r="Q1263" s="2" t="s">
        <v>1538</v>
      </c>
      <c r="R1263" s="2" t="s">
        <v>1539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3239</v>
      </c>
      <c r="AA1263" s="2" t="s">
        <v>579</v>
      </c>
      <c r="AB1263" s="2" t="s">
        <v>120</v>
      </c>
      <c r="AC1263" s="2" t="s">
        <v>1332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1532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1533</v>
      </c>
      <c r="J1264" s="2" t="s">
        <v>1534</v>
      </c>
      <c r="K1264" s="2">
        <v>962461409</v>
      </c>
      <c r="L1264" s="2" t="s">
        <v>345</v>
      </c>
      <c r="M1264" s="2" t="s">
        <v>40</v>
      </c>
      <c r="O1264" s="2" t="s">
        <v>1535</v>
      </c>
      <c r="P1264" s="2" t="s">
        <v>283</v>
      </c>
      <c r="Q1264" s="2" t="s">
        <v>1540</v>
      </c>
      <c r="R1264" s="2" t="s">
        <v>1541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3239</v>
      </c>
      <c r="AA1264" s="2" t="s">
        <v>579</v>
      </c>
      <c r="AB1264" s="2" t="s">
        <v>120</v>
      </c>
      <c r="AC1264" s="2" t="s">
        <v>1332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hidden="1" x14ac:dyDescent="0.2">
      <c r="A1265" s="2">
        <v>2025</v>
      </c>
      <c r="B1265" s="2">
        <v>7</v>
      </c>
      <c r="D1265" s="2" t="s">
        <v>1532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1533</v>
      </c>
      <c r="J1265" s="2" t="s">
        <v>1534</v>
      </c>
      <c r="K1265" s="2">
        <v>962461409</v>
      </c>
      <c r="L1265" s="2" t="s">
        <v>345</v>
      </c>
      <c r="M1265" s="2" t="s">
        <v>40</v>
      </c>
      <c r="O1265" s="2" t="s">
        <v>1535</v>
      </c>
      <c r="P1265" s="2" t="s">
        <v>283</v>
      </c>
      <c r="Q1265" s="2" t="s">
        <v>1542</v>
      </c>
      <c r="R1265" s="2" t="s">
        <v>1543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3239</v>
      </c>
      <c r="AA1265" s="2" t="s">
        <v>579</v>
      </c>
      <c r="AB1265" s="2" t="s">
        <v>120</v>
      </c>
      <c r="AC1265" s="2" t="s">
        <v>1332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hidden="1" x14ac:dyDescent="0.2">
      <c r="A1266" s="2">
        <v>2025</v>
      </c>
      <c r="B1266" s="2">
        <v>7</v>
      </c>
      <c r="D1266" s="2" t="s">
        <v>1532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1533</v>
      </c>
      <c r="J1266" s="2" t="s">
        <v>1534</v>
      </c>
      <c r="K1266" s="2">
        <v>962461409</v>
      </c>
      <c r="L1266" s="2" t="s">
        <v>345</v>
      </c>
      <c r="M1266" s="2" t="s">
        <v>40</v>
      </c>
      <c r="O1266" s="2" t="s">
        <v>1535</v>
      </c>
      <c r="P1266" s="2" t="s">
        <v>283</v>
      </c>
      <c r="Q1266" s="2" t="s">
        <v>1544</v>
      </c>
      <c r="R1266" s="2" t="s">
        <v>1545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3239</v>
      </c>
      <c r="AA1266" s="2" t="s">
        <v>579</v>
      </c>
      <c r="AB1266" s="2" t="s">
        <v>120</v>
      </c>
      <c r="AC1266" s="2" t="s">
        <v>1332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hidden="1" x14ac:dyDescent="0.2">
      <c r="A1267" s="2">
        <v>2025</v>
      </c>
      <c r="B1267" s="2">
        <v>7</v>
      </c>
      <c r="D1267" s="2" t="s">
        <v>1532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1533</v>
      </c>
      <c r="J1267" s="2" t="s">
        <v>1534</v>
      </c>
      <c r="K1267" s="2">
        <v>962461409</v>
      </c>
      <c r="L1267" s="2" t="s">
        <v>345</v>
      </c>
      <c r="M1267" s="2" t="s">
        <v>40</v>
      </c>
      <c r="O1267" s="2" t="s">
        <v>1535</v>
      </c>
      <c r="P1267" s="2" t="s">
        <v>283</v>
      </c>
      <c r="Q1267" s="2" t="s">
        <v>1546</v>
      </c>
      <c r="R1267" s="2" t="s">
        <v>1547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1335</v>
      </c>
      <c r="AC1267" s="2" t="s">
        <v>1332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1532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1533</v>
      </c>
      <c r="J1268" s="2" t="s">
        <v>1534</v>
      </c>
      <c r="K1268" s="2">
        <v>962461409</v>
      </c>
      <c r="L1268" s="2" t="s">
        <v>345</v>
      </c>
      <c r="M1268" s="2" t="s">
        <v>40</v>
      </c>
      <c r="O1268" s="2" t="s">
        <v>1535</v>
      </c>
      <c r="P1268" s="2" t="s">
        <v>283</v>
      </c>
      <c r="Q1268" s="2" t="s">
        <v>1548</v>
      </c>
      <c r="R1268" s="2" t="s">
        <v>1549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1335</v>
      </c>
      <c r="AC1268" s="2" t="s">
        <v>1332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1550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1000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1000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D1272" s="2" t="s">
        <v>1551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1552</v>
      </c>
      <c r="R1273" s="2" t="s">
        <v>1553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3394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1010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3239</v>
      </c>
      <c r="AA1277" s="2" t="s">
        <v>46</v>
      </c>
      <c r="AB1277" s="2" t="s">
        <v>61</v>
      </c>
      <c r="AC1277" s="2" t="s">
        <v>3345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1010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3239</v>
      </c>
      <c r="AA1278" s="2" t="s">
        <v>46</v>
      </c>
      <c r="AB1278" s="2" t="s">
        <v>61</v>
      </c>
      <c r="AC1278" s="2" t="s">
        <v>3345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1554</v>
      </c>
      <c r="P1279" s="2" t="s">
        <v>283</v>
      </c>
      <c r="Q1279" s="2" t="s">
        <v>1555</v>
      </c>
      <c r="R1279" s="2" t="s">
        <v>1556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3415</v>
      </c>
    </row>
    <row r="1280" spans="1:38" hidden="1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1554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3239</v>
      </c>
      <c r="AA1280" s="2" t="s">
        <v>46</v>
      </c>
      <c r="AB1280" s="2" t="s">
        <v>61</v>
      </c>
      <c r="AC1280" s="2" t="s">
        <v>3345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1554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3239</v>
      </c>
      <c r="AA1281" s="2" t="s">
        <v>46</v>
      </c>
      <c r="AB1281" s="2" t="s">
        <v>61</v>
      </c>
      <c r="AC1281" s="2" t="s">
        <v>3345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1557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3239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1557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3239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3394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1558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1559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1559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1558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1013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1014</v>
      </c>
      <c r="J1293" s="2" t="s">
        <v>1015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3394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hidden="1" x14ac:dyDescent="0.2">
      <c r="A1295" s="2">
        <v>2025</v>
      </c>
      <c r="B1295" s="2">
        <v>7</v>
      </c>
      <c r="D1295" s="2" t="s">
        <v>1019</v>
      </c>
      <c r="M1295" s="2" t="s">
        <v>81</v>
      </c>
      <c r="O1295" s="2" t="s">
        <v>1560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3239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hidden="1" x14ac:dyDescent="0.2">
      <c r="A1296" s="2">
        <v>2025</v>
      </c>
      <c r="B1296" s="2">
        <v>7</v>
      </c>
      <c r="D1296" s="2" t="s">
        <v>1019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3239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3239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3239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1561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1562</v>
      </c>
      <c r="J1299" s="2" t="s">
        <v>1563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1561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1562</v>
      </c>
      <c r="J1300" s="2" t="s">
        <v>1563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1381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3239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1381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3239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1245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1245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1245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1246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1564</v>
      </c>
      <c r="J1306" s="2" t="s">
        <v>1565</v>
      </c>
      <c r="K1306" s="2">
        <v>919050729</v>
      </c>
      <c r="L1306" s="2" t="s">
        <v>202</v>
      </c>
      <c r="M1306" s="2" t="s">
        <v>81</v>
      </c>
      <c r="O1306" s="2" t="s">
        <v>1566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3239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1246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3239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1021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1022</v>
      </c>
      <c r="J1308" s="2" t="s">
        <v>1023</v>
      </c>
      <c r="L1308" s="2" t="s">
        <v>294</v>
      </c>
      <c r="M1308" s="2" t="s">
        <v>81</v>
      </c>
      <c r="O1308" s="2" t="s">
        <v>1567</v>
      </c>
      <c r="P1308" s="2" t="s">
        <v>115</v>
      </c>
      <c r="Q1308" s="2" t="s">
        <v>1568</v>
      </c>
      <c r="R1308" s="2" t="s">
        <v>1569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1021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1022</v>
      </c>
      <c r="J1309" s="2" t="s">
        <v>1023</v>
      </c>
      <c r="L1309" s="2" t="s">
        <v>294</v>
      </c>
      <c r="M1309" s="2" t="s">
        <v>81</v>
      </c>
      <c r="O1309" s="2" t="s">
        <v>1570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3239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1021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1022</v>
      </c>
      <c r="J1310" s="2" t="s">
        <v>1023</v>
      </c>
      <c r="L1310" s="2" t="s">
        <v>294</v>
      </c>
      <c r="M1310" s="2" t="s">
        <v>81</v>
      </c>
      <c r="O1310" s="2" t="s">
        <v>1570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3239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1571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1571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1572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3239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1572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3239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3239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3239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1573</v>
      </c>
      <c r="P1321" s="2" t="s">
        <v>115</v>
      </c>
      <c r="Q1321" s="2" t="s">
        <v>1574</v>
      </c>
      <c r="R1321" s="2" t="s">
        <v>1575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1573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1573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1573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3413</v>
      </c>
      <c r="D1325" s="2" t="s">
        <v>1576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1042</v>
      </c>
      <c r="Q1325" s="2" t="s">
        <v>1577</v>
      </c>
      <c r="R1325" s="2" t="s">
        <v>1578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3239</v>
      </c>
      <c r="AA1325" s="2" t="s">
        <v>76</v>
      </c>
      <c r="AB1325" s="2" t="s">
        <v>77</v>
      </c>
      <c r="AC1325" s="2" t="s">
        <v>1042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3413</v>
      </c>
      <c r="D1326" s="2" t="s">
        <v>1576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1042</v>
      </c>
      <c r="Q1326" s="2" t="s">
        <v>1579</v>
      </c>
      <c r="R1326" s="2" t="s">
        <v>1580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3239</v>
      </c>
      <c r="AA1326" s="2" t="s">
        <v>76</v>
      </c>
      <c r="AB1326" s="2" t="s">
        <v>77</v>
      </c>
      <c r="AC1326" s="2" t="s">
        <v>1042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1576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3239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1555</v>
      </c>
      <c r="R1328" s="2" t="s">
        <v>1556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3239</v>
      </c>
      <c r="AA1329" s="2" t="s">
        <v>46</v>
      </c>
      <c r="AB1329" s="2" t="s">
        <v>61</v>
      </c>
      <c r="AC1329" s="2" t="s">
        <v>3345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3239</v>
      </c>
      <c r="AA1330" s="2" t="s">
        <v>46</v>
      </c>
      <c r="AB1330" s="2" t="s">
        <v>61</v>
      </c>
      <c r="AC1330" s="2" t="s">
        <v>3345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1581</v>
      </c>
      <c r="P1331" s="2" t="s">
        <v>283</v>
      </c>
      <c r="Q1331" s="2" t="s">
        <v>1287</v>
      </c>
      <c r="R1331" s="2" t="s">
        <v>1288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1582</v>
      </c>
      <c r="AB1331" s="2" t="s">
        <v>389</v>
      </c>
      <c r="AC1331" s="2" t="s">
        <v>1332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1581</v>
      </c>
      <c r="P1332" s="2" t="s">
        <v>283</v>
      </c>
      <c r="Q1332" s="2" t="s">
        <v>1289</v>
      </c>
      <c r="R1332" s="2" t="s">
        <v>1290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1581</v>
      </c>
      <c r="P1333" s="2" t="s">
        <v>283</v>
      </c>
      <c r="Q1333" s="2" t="s">
        <v>1158</v>
      </c>
      <c r="R1333" s="2" t="s">
        <v>1159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1582</v>
      </c>
      <c r="AB1333" s="2" t="s">
        <v>389</v>
      </c>
      <c r="AC1333" s="2" t="s">
        <v>1332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1581</v>
      </c>
      <c r="P1334" s="2" t="s">
        <v>283</v>
      </c>
      <c r="Q1334" s="2" t="s">
        <v>1160</v>
      </c>
      <c r="R1334" s="2" t="s">
        <v>1161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1582</v>
      </c>
      <c r="AB1334" s="2" t="s">
        <v>389</v>
      </c>
      <c r="AC1334" s="2" t="s">
        <v>1332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1581</v>
      </c>
      <c r="P1335" s="2" t="s">
        <v>283</v>
      </c>
      <c r="Q1335" s="2" t="s">
        <v>1162</v>
      </c>
      <c r="R1335" s="2" t="s">
        <v>1163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1583</v>
      </c>
      <c r="Q1336" s="2" t="s">
        <v>1584</v>
      </c>
      <c r="R1336" s="2" t="s">
        <v>1585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1583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hidden="1" x14ac:dyDescent="0.2">
      <c r="A1338" s="2">
        <v>2025</v>
      </c>
      <c r="B1338" s="2">
        <v>7</v>
      </c>
      <c r="C1338" s="2" t="s">
        <v>3329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1586</v>
      </c>
      <c r="R1338" s="2" t="s">
        <v>1587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hidden="1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1588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3239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1588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3239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1588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1589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3239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1589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3394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3239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3239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1270</v>
      </c>
      <c r="R1350" s="2" t="s">
        <v>1271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1590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1590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hidden="1" x14ac:dyDescent="0.2">
      <c r="A1357" s="2">
        <v>2025</v>
      </c>
      <c r="B1357" s="2">
        <v>7</v>
      </c>
      <c r="D1357" s="2" t="s">
        <v>1069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3239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3145</v>
      </c>
      <c r="L1358" s="2" t="s">
        <v>178</v>
      </c>
      <c r="M1358" s="2" t="s">
        <v>41</v>
      </c>
      <c r="O1358" s="2" t="s">
        <v>3150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3239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3145</v>
      </c>
      <c r="L1359" s="2" t="s">
        <v>178</v>
      </c>
      <c r="M1359" s="2" t="s">
        <v>41</v>
      </c>
      <c r="O1359" s="2" t="s">
        <v>3149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3239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3239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3239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3239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3239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3239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3239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3239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1591</v>
      </c>
      <c r="M1368" s="2" t="s">
        <v>81</v>
      </c>
      <c r="P1368" s="2" t="s">
        <v>283</v>
      </c>
      <c r="Q1368" s="2" t="s">
        <v>1592</v>
      </c>
      <c r="R1368" s="2" t="s">
        <v>1593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3239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1591</v>
      </c>
      <c r="M1369" s="2" t="s">
        <v>81</v>
      </c>
      <c r="P1369" s="2" t="s">
        <v>283</v>
      </c>
      <c r="Q1369" s="2" t="s">
        <v>1594</v>
      </c>
      <c r="R1369" s="2" t="s">
        <v>1595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3239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1591</v>
      </c>
      <c r="M1370" s="2" t="s">
        <v>81</v>
      </c>
      <c r="P1370" s="2" t="s">
        <v>283</v>
      </c>
      <c r="Q1370" s="2" t="s">
        <v>1441</v>
      </c>
      <c r="R1370" s="2" t="s">
        <v>1442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3239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1591</v>
      </c>
      <c r="M1371" s="2" t="s">
        <v>81</v>
      </c>
      <c r="P1371" s="2" t="s">
        <v>283</v>
      </c>
      <c r="Q1371" s="2" t="s">
        <v>1596</v>
      </c>
      <c r="R1371" s="2" t="s">
        <v>1597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3239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1591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3239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1591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3239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1598</v>
      </c>
      <c r="P1374" s="2" t="s">
        <v>115</v>
      </c>
      <c r="Q1374" s="2" t="s">
        <v>1599</v>
      </c>
      <c r="R1374" s="2" t="s">
        <v>1600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1601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1602</v>
      </c>
      <c r="J1375" s="2" t="s">
        <v>1603</v>
      </c>
      <c r="L1375" s="2" t="s">
        <v>202</v>
      </c>
      <c r="M1375" s="2" t="s">
        <v>41</v>
      </c>
      <c r="O1375" s="2" t="s">
        <v>1604</v>
      </c>
      <c r="P1375" s="2" t="s">
        <v>283</v>
      </c>
      <c r="Q1375" s="2" t="s">
        <v>1555</v>
      </c>
      <c r="R1375" s="2" t="s">
        <v>1556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3415</v>
      </c>
    </row>
    <row r="1376" spans="1:38" hidden="1" x14ac:dyDescent="0.2">
      <c r="A1376" s="2">
        <v>2025</v>
      </c>
      <c r="B1376" s="2">
        <v>7</v>
      </c>
      <c r="D1376" s="2" t="s">
        <v>1601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1602</v>
      </c>
      <c r="J1376" s="2" t="s">
        <v>1603</v>
      </c>
      <c r="L1376" s="2" t="s">
        <v>202</v>
      </c>
      <c r="M1376" s="2" t="s">
        <v>41</v>
      </c>
      <c r="O1376" s="2" t="s">
        <v>1604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3239</v>
      </c>
      <c r="AA1376" s="2" t="s">
        <v>46</v>
      </c>
      <c r="AB1376" s="2" t="s">
        <v>61</v>
      </c>
      <c r="AC1376" s="2" t="s">
        <v>3345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1601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1602</v>
      </c>
      <c r="J1377" s="2" t="s">
        <v>1603</v>
      </c>
      <c r="L1377" s="2" t="s">
        <v>202</v>
      </c>
      <c r="M1377" s="2" t="s">
        <v>41</v>
      </c>
      <c r="O1377" s="2" t="s">
        <v>1604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3239</v>
      </c>
      <c r="AA1377" s="2" t="s">
        <v>46</v>
      </c>
      <c r="AB1377" s="2" t="s">
        <v>61</v>
      </c>
      <c r="AC1377" s="2" t="s">
        <v>3345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1605</v>
      </c>
      <c r="P1378" s="2" t="s">
        <v>73</v>
      </c>
      <c r="Q1378" s="2" t="s">
        <v>1606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3239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1605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3239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1607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1607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1518</v>
      </c>
      <c r="R1382" s="2" t="s">
        <v>1519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3239</v>
      </c>
      <c r="AA1382" s="2" t="s">
        <v>72</v>
      </c>
      <c r="AB1382" s="2" t="s">
        <v>1608</v>
      </c>
      <c r="AC1382" s="2" t="s">
        <v>1608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3239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1073</v>
      </c>
      <c r="R1384" s="2" t="s">
        <v>1074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3239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1609</v>
      </c>
      <c r="P1385" s="2" t="s">
        <v>188</v>
      </c>
      <c r="Q1385" s="2" t="s">
        <v>1610</v>
      </c>
      <c r="R1385" s="2" t="s">
        <v>1611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1612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1609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1609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3239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1079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3239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1613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3239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3239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1424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3239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1424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3239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1614</v>
      </c>
      <c r="P1395" s="2" t="s">
        <v>115</v>
      </c>
      <c r="Q1395" s="2" t="s">
        <v>1083</v>
      </c>
      <c r="R1395" s="2" t="s">
        <v>1084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1615</v>
      </c>
      <c r="P1396" s="2" t="s">
        <v>1616</v>
      </c>
      <c r="Q1396" s="2" t="s">
        <v>1617</v>
      </c>
      <c r="R1396" s="2" t="s">
        <v>1618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1616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1619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3239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1615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1615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1619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3239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1615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3394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1620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3239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3239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1621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1622</v>
      </c>
      <c r="J1404" s="2" t="s">
        <v>1623</v>
      </c>
      <c r="K1404" s="2">
        <v>917259016</v>
      </c>
      <c r="L1404" s="2" t="s">
        <v>100</v>
      </c>
      <c r="M1404" s="2" t="s">
        <v>41</v>
      </c>
      <c r="O1404" s="2" t="s">
        <v>1624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3239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1621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1622</v>
      </c>
      <c r="J1405" s="2" t="s">
        <v>1623</v>
      </c>
      <c r="K1405" s="2">
        <v>917259016</v>
      </c>
      <c r="L1405" s="2" t="s">
        <v>100</v>
      </c>
      <c r="M1405" s="2" t="s">
        <v>41</v>
      </c>
      <c r="O1405" s="2" t="s">
        <v>1624</v>
      </c>
      <c r="P1405" s="2" t="s">
        <v>73</v>
      </c>
      <c r="Q1405" s="2" t="s">
        <v>1625</v>
      </c>
      <c r="R1405" s="2" t="s">
        <v>999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3239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1621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1622</v>
      </c>
      <c r="J1406" s="2" t="s">
        <v>1623</v>
      </c>
      <c r="K1406" s="2">
        <v>917259016</v>
      </c>
      <c r="L1406" s="2" t="s">
        <v>100</v>
      </c>
      <c r="M1406" s="2" t="s">
        <v>41</v>
      </c>
      <c r="O1406" s="2" t="s">
        <v>1624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3239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1626</v>
      </c>
      <c r="P1407" s="2" t="s">
        <v>69</v>
      </c>
      <c r="Q1407" s="2" t="s">
        <v>1627</v>
      </c>
      <c r="R1407" s="2" t="s">
        <v>1628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1099</v>
      </c>
      <c r="AC1407" s="2" t="s">
        <v>3244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1629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1518</v>
      </c>
      <c r="R1409" s="2" t="s">
        <v>1519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3239</v>
      </c>
      <c r="AA1409" s="2" t="s">
        <v>72</v>
      </c>
      <c r="AB1409" s="2" t="s">
        <v>1608</v>
      </c>
      <c r="AC1409" s="2" t="s">
        <v>1608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1368</v>
      </c>
      <c r="R1410" s="2" t="s">
        <v>1369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3239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hidden="1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3239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3239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3239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1630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1631</v>
      </c>
      <c r="J1414" s="2" t="s">
        <v>1632</v>
      </c>
      <c r="L1414" s="2" t="s">
        <v>294</v>
      </c>
      <c r="M1414" s="2" t="s">
        <v>291</v>
      </c>
      <c r="O1414" s="2" t="s">
        <v>1633</v>
      </c>
      <c r="P1414" s="2" t="s">
        <v>283</v>
      </c>
      <c r="Q1414" s="2" t="s">
        <v>1634</v>
      </c>
      <c r="R1414" s="2" t="s">
        <v>1635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3239</v>
      </c>
      <c r="AA1414" s="2" t="s">
        <v>72</v>
      </c>
      <c r="AB1414" s="2" t="s">
        <v>1608</v>
      </c>
      <c r="AC1414" s="2" t="s">
        <v>1608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1630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1631</v>
      </c>
      <c r="J1415" s="2" t="s">
        <v>1632</v>
      </c>
      <c r="L1415" s="2" t="s">
        <v>294</v>
      </c>
      <c r="M1415" s="2" t="s">
        <v>1176</v>
      </c>
      <c r="O1415" s="2" t="s">
        <v>1636</v>
      </c>
      <c r="P1415" s="2" t="s">
        <v>283</v>
      </c>
      <c r="Q1415" s="2" t="s">
        <v>1637</v>
      </c>
      <c r="R1415" s="2" t="s">
        <v>1638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3239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1630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1631</v>
      </c>
      <c r="J1416" s="2" t="s">
        <v>1632</v>
      </c>
      <c r="L1416" s="2" t="s">
        <v>294</v>
      </c>
      <c r="M1416" s="2" t="s">
        <v>1176</v>
      </c>
      <c r="O1416" s="2" t="s">
        <v>1636</v>
      </c>
      <c r="P1416" s="2" t="s">
        <v>283</v>
      </c>
      <c r="Q1416" s="2" t="s">
        <v>1639</v>
      </c>
      <c r="R1416" s="2" t="s">
        <v>1640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3239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1280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1280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hidden="1" x14ac:dyDescent="0.2">
      <c r="A1419" s="2">
        <v>2025</v>
      </c>
      <c r="B1419" s="2">
        <v>7</v>
      </c>
      <c r="D1419" s="2" t="s">
        <v>1096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3239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1295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1641</v>
      </c>
      <c r="R1421" s="2" t="s">
        <v>1642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3239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3239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3239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3239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3239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3239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3239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3239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3239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3239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3239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3394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3414</v>
      </c>
      <c r="D1436" s="2" t="s">
        <v>1643</v>
      </c>
      <c r="E1436" s="2" t="s">
        <v>2456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1644</v>
      </c>
      <c r="R1436" s="2" t="s">
        <v>1645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3239</v>
      </c>
      <c r="AA1436" s="2" t="s">
        <v>72</v>
      </c>
      <c r="AB1436" s="2" t="s">
        <v>1608</v>
      </c>
      <c r="AC1436" s="2" t="s">
        <v>1608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1646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3314</v>
      </c>
      <c r="O1438" s="2" t="s">
        <v>1647</v>
      </c>
      <c r="P1438" s="2" t="s">
        <v>283</v>
      </c>
      <c r="Q1438" s="2" t="s">
        <v>1648</v>
      </c>
      <c r="R1438" s="2" t="s">
        <v>1649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3239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3314</v>
      </c>
      <c r="O1439" s="2" t="s">
        <v>1650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3239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1300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1301</v>
      </c>
      <c r="L1440" s="2" t="s">
        <v>340</v>
      </c>
      <c r="P1440" s="2" t="s">
        <v>73</v>
      </c>
      <c r="Q1440" s="2" t="s">
        <v>1453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3239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1300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1301</v>
      </c>
      <c r="L1441" s="2" t="s">
        <v>340</v>
      </c>
      <c r="P1441" s="2" t="s">
        <v>73</v>
      </c>
      <c r="Q1441" s="2" t="s">
        <v>1454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3239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1300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1301</v>
      </c>
      <c r="L1442" s="2" t="s">
        <v>340</v>
      </c>
      <c r="P1442" s="2" t="s">
        <v>73</v>
      </c>
      <c r="Q1442" s="2" t="s">
        <v>1651</v>
      </c>
      <c r="R1442" s="2" t="s">
        <v>999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3239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1300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1301</v>
      </c>
      <c r="L1443" s="2" t="s">
        <v>340</v>
      </c>
      <c r="M1443" s="2" t="s">
        <v>81</v>
      </c>
      <c r="P1443" s="2" t="s">
        <v>1042</v>
      </c>
      <c r="Q1443" s="2" t="s">
        <v>1652</v>
      </c>
      <c r="R1443" s="2" t="s">
        <v>1653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3239</v>
      </c>
      <c r="AA1443" s="2" t="s">
        <v>76</v>
      </c>
      <c r="AB1443" s="2" t="s">
        <v>77</v>
      </c>
      <c r="AC1443" s="2" t="s">
        <v>1042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1300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1301</v>
      </c>
      <c r="L1444" s="2" t="s">
        <v>340</v>
      </c>
      <c r="M1444" s="2" t="s">
        <v>81</v>
      </c>
      <c r="P1444" s="2" t="s">
        <v>1042</v>
      </c>
      <c r="Q1444" s="2" t="s">
        <v>1654</v>
      </c>
      <c r="R1444" s="2" t="s">
        <v>1655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3239</v>
      </c>
      <c r="AA1444" s="2" t="s">
        <v>76</v>
      </c>
      <c r="AB1444" s="2" t="s">
        <v>77</v>
      </c>
      <c r="AC1444" s="2" t="s">
        <v>1042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1300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1301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1300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1301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3239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3239</v>
      </c>
      <c r="AA1447" s="2" t="s">
        <v>46</v>
      </c>
      <c r="AB1447" s="2" t="s">
        <v>61</v>
      </c>
      <c r="AC1447" s="2" t="s">
        <v>3345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3239</v>
      </c>
      <c r="AA1448" s="2" t="s">
        <v>46</v>
      </c>
      <c r="AB1448" s="2" t="s">
        <v>61</v>
      </c>
      <c r="AC1448" s="2" t="s">
        <v>3345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hidden="1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3239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1117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1118</v>
      </c>
      <c r="J1450" s="2" t="s">
        <v>1119</v>
      </c>
      <c r="K1450" s="2">
        <v>914550474</v>
      </c>
      <c r="L1450" s="2" t="s">
        <v>100</v>
      </c>
      <c r="M1450" s="2" t="s">
        <v>40</v>
      </c>
      <c r="O1450" s="2" t="s">
        <v>1656</v>
      </c>
      <c r="P1450" s="2" t="s">
        <v>115</v>
      </c>
      <c r="Q1450" s="2" t="s">
        <v>1657</v>
      </c>
      <c r="R1450" s="2" t="s">
        <v>1658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1659</v>
      </c>
      <c r="E1453" s="2" t="s">
        <v>38</v>
      </c>
      <c r="F1453" s="2" t="s">
        <v>39</v>
      </c>
      <c r="H1453" s="2" t="s">
        <v>41</v>
      </c>
      <c r="I1453" s="2" t="s">
        <v>1660</v>
      </c>
      <c r="J1453" s="2" t="s">
        <v>1661</v>
      </c>
      <c r="L1453" s="2" t="s">
        <v>113</v>
      </c>
      <c r="M1453" s="2" t="s">
        <v>40</v>
      </c>
      <c r="O1453" s="2" t="s">
        <v>1662</v>
      </c>
      <c r="P1453" s="2" t="s">
        <v>115</v>
      </c>
      <c r="Q1453" s="2" t="s">
        <v>1663</v>
      </c>
      <c r="R1453" s="2" t="s">
        <v>1664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1659</v>
      </c>
      <c r="E1454" s="2" t="s">
        <v>38</v>
      </c>
      <c r="F1454" s="2" t="s">
        <v>39</v>
      </c>
      <c r="H1454" s="2" t="s">
        <v>41</v>
      </c>
      <c r="I1454" s="2" t="s">
        <v>1660</v>
      </c>
      <c r="J1454" s="2" t="s">
        <v>1661</v>
      </c>
      <c r="L1454" s="2" t="s">
        <v>113</v>
      </c>
      <c r="M1454" s="2" t="s">
        <v>40</v>
      </c>
      <c r="O1454" s="2" t="s">
        <v>1662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1659</v>
      </c>
      <c r="E1455" s="2" t="s">
        <v>38</v>
      </c>
      <c r="F1455" s="2" t="s">
        <v>39</v>
      </c>
      <c r="H1455" s="2" t="s">
        <v>41</v>
      </c>
      <c r="I1455" s="2" t="s">
        <v>1660</v>
      </c>
      <c r="J1455" s="2" t="s">
        <v>1661</v>
      </c>
      <c r="L1455" s="2" t="s">
        <v>113</v>
      </c>
      <c r="M1455" s="2" t="s">
        <v>40</v>
      </c>
      <c r="O1455" s="2" t="s">
        <v>1662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1307</v>
      </c>
      <c r="P1456" s="2" t="s">
        <v>1198</v>
      </c>
      <c r="Q1456" s="2" t="s">
        <v>1090</v>
      </c>
      <c r="R1456" s="2" t="s">
        <v>1091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1203</v>
      </c>
      <c r="AB1456" s="2" t="s">
        <v>120</v>
      </c>
      <c r="AC1456" s="2" t="s">
        <v>1198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1665</v>
      </c>
      <c r="P1457" s="2" t="s">
        <v>283</v>
      </c>
      <c r="Q1457" s="2" t="s">
        <v>1518</v>
      </c>
      <c r="R1457" s="2" t="s">
        <v>1519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3239</v>
      </c>
      <c r="AA1457" s="2" t="s">
        <v>72</v>
      </c>
      <c r="AB1457" s="2" t="s">
        <v>1608</v>
      </c>
      <c r="AC1457" s="2" t="s">
        <v>1608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1666</v>
      </c>
      <c r="P1458" s="2" t="s">
        <v>283</v>
      </c>
      <c r="Q1458" s="2" t="s">
        <v>1596</v>
      </c>
      <c r="R1458" s="2" t="s">
        <v>1597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3239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1666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1667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1667</v>
      </c>
      <c r="P1461" s="2" t="s">
        <v>115</v>
      </c>
      <c r="Q1461" s="2" t="s">
        <v>1337</v>
      </c>
      <c r="R1461" s="2" t="s">
        <v>1338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1668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3394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hidden="1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3239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1124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3258</v>
      </c>
      <c r="J1464" s="2" t="s">
        <v>3259</v>
      </c>
      <c r="K1464" s="2">
        <v>96179412</v>
      </c>
      <c r="L1464" s="2" t="s">
        <v>462</v>
      </c>
      <c r="M1464" s="2" t="s">
        <v>40</v>
      </c>
      <c r="O1464" s="2" t="s">
        <v>3266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1124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3258</v>
      </c>
      <c r="J1465" s="2" t="s">
        <v>3259</v>
      </c>
      <c r="K1465" s="2">
        <v>96179412</v>
      </c>
      <c r="L1465" s="2" t="s">
        <v>462</v>
      </c>
      <c r="M1465" s="2" t="s">
        <v>40</v>
      </c>
      <c r="O1465" s="2" t="s">
        <v>3266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1124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3258</v>
      </c>
      <c r="J1466" s="2" t="s">
        <v>3259</v>
      </c>
      <c r="K1466" s="2">
        <v>96179412</v>
      </c>
      <c r="L1466" s="2" t="s">
        <v>462</v>
      </c>
      <c r="M1466" s="2" t="s">
        <v>40</v>
      </c>
      <c r="O1466" s="2" t="s">
        <v>3266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3239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3239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1669</v>
      </c>
      <c r="P1469" s="2" t="s">
        <v>283</v>
      </c>
      <c r="Q1469" s="2" t="s">
        <v>1670</v>
      </c>
      <c r="R1469" s="2" t="s">
        <v>1671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2651</v>
      </c>
      <c r="AC1469" s="2" t="s">
        <v>1332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1669</v>
      </c>
      <c r="P1470" s="2" t="s">
        <v>283</v>
      </c>
      <c r="Q1470" s="2" t="s">
        <v>1672</v>
      </c>
      <c r="R1470" s="2" t="s">
        <v>1673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2651</v>
      </c>
      <c r="AC1470" s="2" t="s">
        <v>1332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1674</v>
      </c>
      <c r="P1474" s="2" t="s">
        <v>283</v>
      </c>
      <c r="Q1474" s="2" t="s">
        <v>1441</v>
      </c>
      <c r="R1474" s="2" t="s">
        <v>1442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3239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1674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3239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1674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3239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1674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3239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1674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3239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1042</v>
      </c>
      <c r="Q1479" s="2" t="s">
        <v>1675</v>
      </c>
      <c r="R1479" s="2" t="s">
        <v>1676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3239</v>
      </c>
      <c r="AA1479" s="2" t="s">
        <v>76</v>
      </c>
      <c r="AB1479" s="2" t="s">
        <v>77</v>
      </c>
      <c r="AC1479" s="2" t="s">
        <v>1042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1042</v>
      </c>
      <c r="Q1480" s="2" t="s">
        <v>1677</v>
      </c>
      <c r="R1480" s="2" t="s">
        <v>1678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3239</v>
      </c>
      <c r="AA1480" s="2" t="s">
        <v>1045</v>
      </c>
      <c r="AB1480" s="2" t="s">
        <v>1046</v>
      </c>
      <c r="AC1480" s="2" t="s">
        <v>1042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1042</v>
      </c>
      <c r="Q1481" s="2" t="s">
        <v>1679</v>
      </c>
      <c r="R1481" s="2" t="s">
        <v>1680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3239</v>
      </c>
      <c r="AA1481" s="2" t="s">
        <v>1045</v>
      </c>
      <c r="AB1481" s="2" t="s">
        <v>1046</v>
      </c>
      <c r="AC1481" s="2" t="s">
        <v>1042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1674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1674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3239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hidden="1" x14ac:dyDescent="0.2">
      <c r="A1484" s="2">
        <v>2025</v>
      </c>
      <c r="B1484" s="2">
        <v>6</v>
      </c>
      <c r="D1484" s="2" t="s">
        <v>1681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3239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3239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3239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hidden="1" x14ac:dyDescent="0.2">
      <c r="A1487" s="2">
        <v>2025</v>
      </c>
      <c r="B1487" s="2">
        <v>6</v>
      </c>
      <c r="D1487" s="2" t="s">
        <v>1681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3239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hidden="1" x14ac:dyDescent="0.2">
      <c r="A1488" s="2">
        <v>2025</v>
      </c>
      <c r="B1488" s="2">
        <v>6</v>
      </c>
      <c r="D1488" s="2" t="s">
        <v>1462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1462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hidden="1" x14ac:dyDescent="0.2">
      <c r="A1490" s="2">
        <v>2025</v>
      </c>
      <c r="B1490" s="2">
        <v>6</v>
      </c>
      <c r="D1490" s="2" t="s">
        <v>1480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3239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1480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3239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1480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3239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1682</v>
      </c>
      <c r="P1493" s="2" t="s">
        <v>115</v>
      </c>
      <c r="Q1493" s="2" t="s">
        <v>1255</v>
      </c>
      <c r="R1493" s="2" t="s">
        <v>1256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1682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1683</v>
      </c>
      <c r="P1495" s="2" t="s">
        <v>115</v>
      </c>
      <c r="Q1495" s="2" t="s">
        <v>1388</v>
      </c>
      <c r="R1495" s="2" t="s">
        <v>1389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1684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1684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1158</v>
      </c>
      <c r="R1498" s="2" t="s">
        <v>1159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1582</v>
      </c>
      <c r="AB1498" s="2" t="s">
        <v>389</v>
      </c>
      <c r="AC1498" s="2" t="s">
        <v>1332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1336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3394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1489</v>
      </c>
      <c r="P1500" s="2" t="s">
        <v>1198</v>
      </c>
      <c r="Q1500" s="2" t="s">
        <v>1088</v>
      </c>
      <c r="R1500" s="2" t="s">
        <v>1089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1203</v>
      </c>
      <c r="AB1500" s="2" t="s">
        <v>120</v>
      </c>
      <c r="AC1500" s="2" t="s">
        <v>1198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1489</v>
      </c>
      <c r="P1501" s="2" t="s">
        <v>1198</v>
      </c>
      <c r="Q1501" s="2" t="s">
        <v>1090</v>
      </c>
      <c r="R1501" s="2" t="s">
        <v>1091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1203</v>
      </c>
      <c r="AB1501" s="2" t="s">
        <v>120</v>
      </c>
      <c r="AC1501" s="2" t="s">
        <v>1198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hidden="1" x14ac:dyDescent="0.2">
      <c r="A1502" s="2">
        <v>2025</v>
      </c>
      <c r="B1502" s="2">
        <v>6</v>
      </c>
      <c r="D1502" s="2" t="s">
        <v>1685</v>
      </c>
      <c r="E1502" s="2" t="s">
        <v>38</v>
      </c>
      <c r="F1502" s="2" t="s">
        <v>471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958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75"/>
        <v>1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1690</v>
      </c>
      <c r="AL1502" s="5">
        <f t="shared" si="179"/>
        <v>1</v>
      </c>
    </row>
    <row r="1503" spans="1:38" hidden="1" x14ac:dyDescent="0.2">
      <c r="A1503" s="2">
        <v>2025</v>
      </c>
      <c r="B1503" s="2">
        <v>6</v>
      </c>
      <c r="D1503" s="2" t="s">
        <v>1685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1685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75"/>
        <v>1</v>
      </c>
      <c r="Z1504" s="2" t="s">
        <v>105</v>
      </c>
      <c r="AF1504" s="2">
        <f t="shared" si="176"/>
        <v>0</v>
      </c>
      <c r="AJ1504" s="2">
        <f t="shared" si="177"/>
        <v>0</v>
      </c>
      <c r="AK1504" s="2">
        <f t="shared" si="178"/>
        <v>4580</v>
      </c>
      <c r="AL1504" s="5">
        <f t="shared" si="179"/>
        <v>1</v>
      </c>
    </row>
    <row r="1505" spans="1:38" hidden="1" x14ac:dyDescent="0.2">
      <c r="A1505" s="2">
        <v>2025</v>
      </c>
      <c r="B1505" s="2">
        <v>6</v>
      </c>
      <c r="D1505" s="2" t="s">
        <v>1685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75"/>
        <v>1</v>
      </c>
      <c r="Z1505" s="2" t="s">
        <v>105</v>
      </c>
      <c r="AF1505" s="2">
        <f t="shared" si="176"/>
        <v>0</v>
      </c>
      <c r="AJ1505" s="2">
        <f t="shared" si="177"/>
        <v>0</v>
      </c>
      <c r="AK1505" s="2">
        <f t="shared" si="178"/>
        <v>4690</v>
      </c>
      <c r="AL1505" s="5">
        <f t="shared" si="179"/>
        <v>1</v>
      </c>
    </row>
    <row r="1506" spans="1:38" hidden="1" x14ac:dyDescent="0.2">
      <c r="A1506" s="2">
        <v>2025</v>
      </c>
      <c r="B1506" s="2">
        <v>6</v>
      </c>
      <c r="D1506" s="2" t="s">
        <v>1685</v>
      </c>
      <c r="P1506" s="2" t="s">
        <v>102</v>
      </c>
      <c r="Q1506" s="2" t="s">
        <v>1686</v>
      </c>
      <c r="R1506" s="2" t="s">
        <v>1687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75"/>
        <v>1</v>
      </c>
      <c r="Z1506" s="2" t="s">
        <v>105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12990</v>
      </c>
      <c r="AL1506" s="5">
        <f t="shared" si="179"/>
        <v>1</v>
      </c>
    </row>
    <row r="1507" spans="1:38" hidden="1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1688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1689</v>
      </c>
      <c r="P1508" s="2" t="s">
        <v>283</v>
      </c>
      <c r="Q1508" s="2" t="s">
        <v>1596</v>
      </c>
      <c r="R1508" s="2" t="s">
        <v>1597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3239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3337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1690</v>
      </c>
      <c r="R1510" s="2" t="s">
        <v>1691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1692</v>
      </c>
      <c r="P1514" s="2" t="s">
        <v>43</v>
      </c>
      <c r="Q1514" s="2" t="s">
        <v>973</v>
      </c>
      <c r="R1514" s="2" t="s">
        <v>974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3239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1692</v>
      </c>
      <c r="P1515" s="2" t="s">
        <v>43</v>
      </c>
      <c r="Q1515" s="2" t="s">
        <v>975</v>
      </c>
      <c r="R1515" s="2" t="s">
        <v>976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3239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1693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3239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1693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3239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1694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1694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1694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3394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1695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3239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1695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3239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1355</v>
      </c>
      <c r="P1523" s="2" t="s">
        <v>283</v>
      </c>
      <c r="Q1523" s="2" t="s">
        <v>1696</v>
      </c>
      <c r="R1523" s="2" t="s">
        <v>1697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3239</v>
      </c>
      <c r="AA1523" s="2" t="s">
        <v>72</v>
      </c>
      <c r="AB1523" s="2" t="s">
        <v>1608</v>
      </c>
      <c r="AC1523" s="2" t="s">
        <v>1608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985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986</v>
      </c>
      <c r="J1524" s="2" t="s">
        <v>987</v>
      </c>
      <c r="L1524" s="2" t="s">
        <v>294</v>
      </c>
      <c r="M1524" s="2" t="s">
        <v>81</v>
      </c>
      <c r="O1524" s="2" t="s">
        <v>1698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3239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985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986</v>
      </c>
      <c r="J1525" s="2" t="s">
        <v>987</v>
      </c>
      <c r="L1525" s="2" t="s">
        <v>294</v>
      </c>
      <c r="M1525" s="2" t="s">
        <v>81</v>
      </c>
      <c r="O1525" s="2" t="s">
        <v>1698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3239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1699</v>
      </c>
      <c r="R1526" s="2" t="s">
        <v>1700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3337</v>
      </c>
      <c r="D1529" s="2" t="s">
        <v>1360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1361</v>
      </c>
      <c r="L1529" s="2" t="s">
        <v>419</v>
      </c>
      <c r="M1529" s="2" t="s">
        <v>41</v>
      </c>
      <c r="P1529" s="2" t="s">
        <v>283</v>
      </c>
      <c r="Q1529" s="2" t="s">
        <v>1701</v>
      </c>
      <c r="R1529" s="2" t="s">
        <v>1702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3239</v>
      </c>
      <c r="AA1529" s="2" t="s">
        <v>1582</v>
      </c>
      <c r="AB1529" s="2" t="s">
        <v>389</v>
      </c>
      <c r="AC1529" s="2" t="s">
        <v>1332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1703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1704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1704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1705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1706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3239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1706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3239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3407</v>
      </c>
      <c r="D1539" s="2" t="s">
        <v>3421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1707</v>
      </c>
      <c r="P1539" s="2" t="s">
        <v>115</v>
      </c>
      <c r="Q1539" s="2" t="s">
        <v>1708</v>
      </c>
      <c r="R1539" s="2" t="s">
        <v>1709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3407</v>
      </c>
      <c r="D1540" s="2" t="s">
        <v>3421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1707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3407</v>
      </c>
      <c r="D1541" s="2" t="s">
        <v>3421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1707</v>
      </c>
      <c r="P1541" s="2" t="s">
        <v>283</v>
      </c>
      <c r="Q1541" s="2" t="s">
        <v>1710</v>
      </c>
      <c r="R1541" s="2" t="s">
        <v>1711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3239</v>
      </c>
      <c r="AA1541" s="2" t="s">
        <v>72</v>
      </c>
      <c r="AB1541" s="2" t="s">
        <v>1608</v>
      </c>
      <c r="AC1541" s="2" t="s">
        <v>1608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3407</v>
      </c>
      <c r="D1542" s="2" t="s">
        <v>3421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1707</v>
      </c>
      <c r="P1542" s="2" t="s">
        <v>283</v>
      </c>
      <c r="Q1542" s="2" t="s">
        <v>1712</v>
      </c>
      <c r="R1542" s="2" t="s">
        <v>1713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3239</v>
      </c>
      <c r="AA1542" s="2" t="s">
        <v>72</v>
      </c>
      <c r="AB1542" s="2" t="s">
        <v>1608</v>
      </c>
      <c r="AC1542" s="2" t="s">
        <v>1608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3407</v>
      </c>
      <c r="D1543" s="2" t="s">
        <v>3421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1707</v>
      </c>
      <c r="P1543" s="2" t="s">
        <v>102</v>
      </c>
      <c r="Q1543" s="2" t="s">
        <v>1714</v>
      </c>
      <c r="R1543" s="2" t="s">
        <v>1715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3181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3407</v>
      </c>
      <c r="D1544" s="2" t="s">
        <v>3421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1707</v>
      </c>
      <c r="P1544" s="2" t="s">
        <v>102</v>
      </c>
      <c r="Q1544" s="2" t="s">
        <v>1097</v>
      </c>
      <c r="R1544" s="2" t="s">
        <v>1098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1099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1019</v>
      </c>
      <c r="L1545" s="2" t="s">
        <v>100</v>
      </c>
      <c r="M1545" s="2" t="s">
        <v>81</v>
      </c>
      <c r="P1545" s="2" t="s">
        <v>283</v>
      </c>
      <c r="Q1545" s="2" t="s">
        <v>1241</v>
      </c>
      <c r="R1545" s="2" t="s">
        <v>1242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3239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1561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1562</v>
      </c>
      <c r="J1546" s="2" t="s">
        <v>1563</v>
      </c>
      <c r="L1546" s="2" t="s">
        <v>100</v>
      </c>
      <c r="P1546" s="2" t="s">
        <v>115</v>
      </c>
      <c r="Q1546" s="2" t="s">
        <v>1716</v>
      </c>
      <c r="R1546" s="2" t="s">
        <v>1717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1561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1562</v>
      </c>
      <c r="J1547" s="2" t="s">
        <v>1563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3239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1561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1562</v>
      </c>
      <c r="J1548" s="2" t="s">
        <v>1563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1561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1562</v>
      </c>
      <c r="J1549" s="2" t="s">
        <v>1563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1382</v>
      </c>
      <c r="M1551" s="2" t="s">
        <v>81</v>
      </c>
      <c r="O1551" s="2" t="s">
        <v>3213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3239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1382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3239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1026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3239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3239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1573</v>
      </c>
      <c r="P1561" s="2" t="s">
        <v>283</v>
      </c>
      <c r="Q1561" s="2" t="s">
        <v>1441</v>
      </c>
      <c r="R1561" s="2" t="s">
        <v>1442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3239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1573</v>
      </c>
      <c r="P1562" s="2" t="s">
        <v>283</v>
      </c>
      <c r="Q1562" s="2" t="s">
        <v>1596</v>
      </c>
      <c r="R1562" s="2" t="s">
        <v>1597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3239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1718</v>
      </c>
      <c r="J1563" s="2" t="s">
        <v>1719</v>
      </c>
      <c r="L1563" s="2" t="s">
        <v>340</v>
      </c>
      <c r="M1563" s="2" t="s">
        <v>40</v>
      </c>
      <c r="O1563" s="2" t="s">
        <v>1720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992</v>
      </c>
      <c r="R1564" s="2" t="s">
        <v>993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1252</v>
      </c>
      <c r="P1567" s="2" t="s">
        <v>73</v>
      </c>
      <c r="Q1567" s="2" t="s">
        <v>1253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3239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1252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3239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hidden="1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2" t="s">
        <v>958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959</v>
      </c>
      <c r="R1571" s="2" t="s">
        <v>960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961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1198</v>
      </c>
      <c r="Q1573" s="2" t="s">
        <v>1721</v>
      </c>
      <c r="R1573" s="2" t="s">
        <v>1722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1203</v>
      </c>
      <c r="AB1573" s="2" t="s">
        <v>120</v>
      </c>
      <c r="AC1573" s="2" t="s">
        <v>1198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1198</v>
      </c>
      <c r="Q1574" s="2" t="s">
        <v>1201</v>
      </c>
      <c r="R1574" s="2" t="s">
        <v>1202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1203</v>
      </c>
      <c r="AB1574" s="2" t="s">
        <v>120</v>
      </c>
      <c r="AC1574" s="2" t="s">
        <v>1198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hidden="1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1723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3239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1724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1724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1441</v>
      </c>
      <c r="R1580" s="2" t="s">
        <v>1442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3239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1725</v>
      </c>
      <c r="P1582" s="2" t="s">
        <v>115</v>
      </c>
      <c r="Q1582" s="2" t="s">
        <v>1255</v>
      </c>
      <c r="R1582" s="2" t="s">
        <v>1256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1726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1727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3239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1727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3239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3145</v>
      </c>
      <c r="L1589" s="2" t="s">
        <v>178</v>
      </c>
      <c r="M1589" s="2" t="s">
        <v>41</v>
      </c>
      <c r="O1589" s="2" t="s">
        <v>3148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3239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2" t="s">
        <v>958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1598</v>
      </c>
      <c r="P1592" s="2" t="s">
        <v>115</v>
      </c>
      <c r="Q1592" s="2" t="s">
        <v>1568</v>
      </c>
      <c r="R1592" s="2" t="s">
        <v>1569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1598</v>
      </c>
      <c r="P1593" s="2" t="s">
        <v>115</v>
      </c>
      <c r="Q1593" s="2" t="s">
        <v>1599</v>
      </c>
      <c r="R1593" s="2" t="s">
        <v>1600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1598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3405</v>
      </c>
      <c r="D1595" s="2" t="s">
        <v>1728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1441</v>
      </c>
      <c r="R1595" s="2" t="s">
        <v>1442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3239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3407</v>
      </c>
      <c r="D1596" s="2" t="s">
        <v>1728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1449</v>
      </c>
      <c r="R1596" s="2" t="s">
        <v>1450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3239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1729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3247</v>
      </c>
      <c r="J1597" s="2" t="s">
        <v>3248</v>
      </c>
      <c r="L1597" s="2" t="s">
        <v>572</v>
      </c>
      <c r="M1597" s="2" t="s">
        <v>81</v>
      </c>
      <c r="O1597" s="2" t="s">
        <v>3249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3239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1729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3247</v>
      </c>
      <c r="J1598" s="2" t="s">
        <v>3248</v>
      </c>
      <c r="L1598" s="2" t="s">
        <v>572</v>
      </c>
      <c r="M1598" s="2" t="s">
        <v>81</v>
      </c>
      <c r="O1598" s="2" t="s">
        <v>3249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3239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1518</v>
      </c>
      <c r="R1599" s="2" t="s">
        <v>1519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3239</v>
      </c>
      <c r="AA1599" s="2" t="s">
        <v>72</v>
      </c>
      <c r="AB1599" s="2" t="s">
        <v>1608</v>
      </c>
      <c r="AC1599" s="2" t="s">
        <v>1608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3239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3239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1039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3239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3239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1730</v>
      </c>
      <c r="P1605" s="2" t="s">
        <v>188</v>
      </c>
      <c r="Q1605" s="2" t="s">
        <v>1731</v>
      </c>
      <c r="R1605" s="2" t="s">
        <v>1732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1616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1730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3394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1423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2421</v>
      </c>
      <c r="J1607" s="2" t="s">
        <v>2422</v>
      </c>
      <c r="L1607" s="2" t="s">
        <v>202</v>
      </c>
      <c r="M1607" s="2" t="s">
        <v>81</v>
      </c>
      <c r="P1607" s="2" t="s">
        <v>1042</v>
      </c>
      <c r="Q1607" s="2" t="s">
        <v>1733</v>
      </c>
      <c r="R1607" s="2" t="s">
        <v>1734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3239</v>
      </c>
      <c r="AA1607" s="2" t="s">
        <v>76</v>
      </c>
      <c r="AB1607" s="2" t="s">
        <v>77</v>
      </c>
      <c r="AC1607" s="2" t="s">
        <v>1042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1423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2421</v>
      </c>
      <c r="J1608" s="2" t="s">
        <v>2422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3239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1735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3239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1736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3239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1737</v>
      </c>
      <c r="P1611" s="2" t="s">
        <v>1042</v>
      </c>
      <c r="Q1611" s="2" t="s">
        <v>1738</v>
      </c>
      <c r="R1611" s="2" t="s">
        <v>1739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3239</v>
      </c>
      <c r="AA1611" s="2" t="s">
        <v>76</v>
      </c>
      <c r="AB1611" s="2" t="s">
        <v>77</v>
      </c>
      <c r="AC1611" s="2" t="s">
        <v>1042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1737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3239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hidden="1" x14ac:dyDescent="0.2">
      <c r="A1613" s="2">
        <v>2025</v>
      </c>
      <c r="B1613" s="2">
        <v>6</v>
      </c>
      <c r="D1613" s="2" t="s">
        <v>1629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3239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1629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3239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1629</v>
      </c>
      <c r="P1615" s="2" t="s">
        <v>43</v>
      </c>
      <c r="Q1615" s="2" t="s">
        <v>1740</v>
      </c>
      <c r="R1615" s="2" t="s">
        <v>1741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3239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hidden="1" x14ac:dyDescent="0.2">
      <c r="A1616" s="2">
        <v>2025</v>
      </c>
      <c r="B1616" s="2">
        <v>6</v>
      </c>
      <c r="D1616" s="2" t="s">
        <v>1629</v>
      </c>
      <c r="P1616" s="2" t="s">
        <v>43</v>
      </c>
      <c r="Q1616" s="2" t="s">
        <v>1742</v>
      </c>
      <c r="R1616" s="2" t="s">
        <v>1743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3239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1092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1093</v>
      </c>
      <c r="J1617" s="2" t="s">
        <v>1094</v>
      </c>
      <c r="K1617" s="2">
        <v>917523997</v>
      </c>
      <c r="L1617" s="2" t="s">
        <v>113</v>
      </c>
      <c r="M1617" s="2" t="s">
        <v>40</v>
      </c>
      <c r="O1617" s="2" t="s">
        <v>1744</v>
      </c>
      <c r="P1617" s="2" t="s">
        <v>115</v>
      </c>
      <c r="Q1617" s="2" t="s">
        <v>1745</v>
      </c>
      <c r="R1617" s="2" t="s">
        <v>1746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1092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1093</v>
      </c>
      <c r="J1618" s="2" t="s">
        <v>1094</v>
      </c>
      <c r="K1618" s="2">
        <v>917523997</v>
      </c>
      <c r="L1618" s="2" t="s">
        <v>113</v>
      </c>
      <c r="M1618" s="2" t="s">
        <v>40</v>
      </c>
      <c r="O1618" s="2" t="s">
        <v>1744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1747</v>
      </c>
      <c r="P1619" s="2" t="s">
        <v>115</v>
      </c>
      <c r="Q1619" s="2" t="s">
        <v>1748</v>
      </c>
      <c r="R1619" s="2" t="s">
        <v>1749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3239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3239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1750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1130</v>
      </c>
      <c r="J1624" s="2" t="s">
        <v>1751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1750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1130</v>
      </c>
      <c r="J1625" s="2" t="s">
        <v>1751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1665</v>
      </c>
      <c r="P1630" s="2" t="s">
        <v>283</v>
      </c>
      <c r="Q1630" s="2" t="s">
        <v>1518</v>
      </c>
      <c r="R1630" s="2" t="s">
        <v>1519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3239</v>
      </c>
      <c r="AA1630" s="2" t="s">
        <v>72</v>
      </c>
      <c r="AB1630" s="2" t="s">
        <v>1608</v>
      </c>
      <c r="AC1630" s="2" t="s">
        <v>1608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1666</v>
      </c>
      <c r="P1631" s="2" t="s">
        <v>283</v>
      </c>
      <c r="Q1631" s="2" t="s">
        <v>1441</v>
      </c>
      <c r="R1631" s="2" t="s">
        <v>1442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3239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1752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1128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2304</v>
      </c>
      <c r="J1633" s="2" t="s">
        <v>2305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1128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2304</v>
      </c>
      <c r="J1634" s="2" t="s">
        <v>2305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1753</v>
      </c>
      <c r="P1635" s="2" t="s">
        <v>283</v>
      </c>
      <c r="Q1635" s="2" t="s">
        <v>1754</v>
      </c>
      <c r="R1635" s="2" t="s">
        <v>1755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3239</v>
      </c>
      <c r="AA1635" s="2" t="s">
        <v>72</v>
      </c>
      <c r="AB1635" s="2" t="s">
        <v>1608</v>
      </c>
      <c r="AC1635" s="2" t="s">
        <v>1608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1753</v>
      </c>
      <c r="P1636" s="2" t="s">
        <v>69</v>
      </c>
      <c r="Q1636" s="2" t="s">
        <v>1756</v>
      </c>
      <c r="R1636" s="2" t="s">
        <v>1757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3239</v>
      </c>
      <c r="AA1636" s="2" t="s">
        <v>72</v>
      </c>
      <c r="AB1636" s="2" t="s">
        <v>69</v>
      </c>
      <c r="AC1636" s="2" t="s">
        <v>3244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3239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3239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975</v>
      </c>
      <c r="R1639" s="2" t="s">
        <v>976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3239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1758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1759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1759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1039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3239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3239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3331</v>
      </c>
      <c r="D1645" s="2" t="s">
        <v>1760</v>
      </c>
      <c r="E1645" s="2" t="s">
        <v>38</v>
      </c>
      <c r="F1645" s="2" t="s">
        <v>39</v>
      </c>
      <c r="I1645" s="2" t="s">
        <v>3402</v>
      </c>
      <c r="L1645" s="2" t="s">
        <v>481</v>
      </c>
      <c r="M1645" s="2" t="s">
        <v>81</v>
      </c>
      <c r="P1645" s="2" t="s">
        <v>73</v>
      </c>
      <c r="Q1645" s="2" t="s">
        <v>1026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3239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3331</v>
      </c>
      <c r="D1646" s="2" t="s">
        <v>1760</v>
      </c>
      <c r="E1646" s="2" t="s">
        <v>38</v>
      </c>
      <c r="F1646" s="2" t="s">
        <v>39</v>
      </c>
      <c r="I1646" s="2" t="s">
        <v>3402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3239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1761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1761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3331</v>
      </c>
      <c r="D1649" s="2" t="s">
        <v>1166</v>
      </c>
      <c r="E1649" s="2" t="s">
        <v>754</v>
      </c>
      <c r="G1649" s="2">
        <v>508199280</v>
      </c>
      <c r="H1649" s="2" t="s">
        <v>40</v>
      </c>
      <c r="I1649" s="2" t="s">
        <v>1167</v>
      </c>
      <c r="L1649" s="2" t="s">
        <v>294</v>
      </c>
      <c r="M1649" s="2" t="s">
        <v>81</v>
      </c>
      <c r="P1649" s="2" t="s">
        <v>73</v>
      </c>
      <c r="Q1649" s="2" t="s">
        <v>1453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3239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3331</v>
      </c>
      <c r="D1650" s="2" t="s">
        <v>1166</v>
      </c>
      <c r="E1650" s="2" t="s">
        <v>754</v>
      </c>
      <c r="G1650" s="2">
        <v>508199280</v>
      </c>
      <c r="H1650" s="2" t="s">
        <v>40</v>
      </c>
      <c r="I1650" s="2" t="s">
        <v>1167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3239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hidden="1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1762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3239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1763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3239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1764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1764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1764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3126</v>
      </c>
      <c r="J1656" s="2" t="s">
        <v>3127</v>
      </c>
      <c r="L1656" s="2" t="s">
        <v>113</v>
      </c>
      <c r="M1656" s="2" t="s">
        <v>40</v>
      </c>
      <c r="O1656" s="2" t="s">
        <v>3129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2518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1182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1183</v>
      </c>
      <c r="J1657" s="2" t="s">
        <v>1184</v>
      </c>
      <c r="L1657" s="2" t="s">
        <v>462</v>
      </c>
      <c r="M1657" s="2" t="s">
        <v>41</v>
      </c>
      <c r="O1657" s="2" t="s">
        <v>1765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3239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1182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1183</v>
      </c>
      <c r="J1658" s="2" t="s">
        <v>1184</v>
      </c>
      <c r="L1658" s="2" t="s">
        <v>462</v>
      </c>
      <c r="M1658" s="2" t="s">
        <v>41</v>
      </c>
      <c r="O1658" s="2" t="s">
        <v>1766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3239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1182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1183</v>
      </c>
      <c r="J1659" s="2" t="s">
        <v>1184</v>
      </c>
      <c r="L1659" s="2" t="s">
        <v>462</v>
      </c>
      <c r="M1659" s="2" t="s">
        <v>41</v>
      </c>
      <c r="O1659" s="2" t="s">
        <v>1766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3239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1182</v>
      </c>
      <c r="E1660" s="2" t="s">
        <v>38</v>
      </c>
      <c r="G1660" s="2">
        <v>502089075</v>
      </c>
      <c r="H1660" s="2" t="s">
        <v>41</v>
      </c>
      <c r="I1660" s="2" t="s">
        <v>1183</v>
      </c>
      <c r="J1660" s="2" t="s">
        <v>1184</v>
      </c>
      <c r="L1660" s="2" t="s">
        <v>462</v>
      </c>
      <c r="M1660" s="2" t="s">
        <v>41</v>
      </c>
      <c r="O1660" s="2" t="s">
        <v>1765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1767</v>
      </c>
      <c r="P1661" s="2" t="s">
        <v>73</v>
      </c>
      <c r="Q1661" s="2" t="s">
        <v>1768</v>
      </c>
      <c r="R1661" s="2" t="s">
        <v>966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3239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1767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1767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3239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1769</v>
      </c>
      <c r="P1664" s="2" t="s">
        <v>115</v>
      </c>
      <c r="Q1664" s="2" t="s">
        <v>1770</v>
      </c>
      <c r="R1664" s="2" t="s">
        <v>1771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1769</v>
      </c>
      <c r="P1665" s="2" t="s">
        <v>115</v>
      </c>
      <c r="Q1665" s="2" t="s">
        <v>1772</v>
      </c>
      <c r="R1665" s="2" t="s">
        <v>1773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1774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1774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3239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3239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1775</v>
      </c>
      <c r="P1672" s="2" t="s">
        <v>1612</v>
      </c>
      <c r="Q1672" s="2" t="s">
        <v>1776</v>
      </c>
      <c r="R1672" s="2" t="s">
        <v>1777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1612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1775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1775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985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986</v>
      </c>
      <c r="J1675" s="2" t="s">
        <v>987</v>
      </c>
      <c r="L1675" s="2" t="s">
        <v>294</v>
      </c>
      <c r="M1675" s="2" t="s">
        <v>81</v>
      </c>
      <c r="O1675" s="2" t="s">
        <v>1778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3239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985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986</v>
      </c>
      <c r="J1676" s="2" t="s">
        <v>987</v>
      </c>
      <c r="L1676" s="2" t="s">
        <v>294</v>
      </c>
      <c r="M1676" s="2" t="s">
        <v>81</v>
      </c>
      <c r="O1676" s="2" t="s">
        <v>1778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3239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1779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1779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1360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1361</v>
      </c>
      <c r="L1679" s="2" t="s">
        <v>419</v>
      </c>
      <c r="P1679" s="2" t="s">
        <v>283</v>
      </c>
      <c r="Q1679" s="2" t="s">
        <v>1780</v>
      </c>
      <c r="R1679" s="2" t="s">
        <v>1781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3239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1782</v>
      </c>
      <c r="R1680" s="2" t="s">
        <v>1783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3394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1784</v>
      </c>
      <c r="P1684" s="2" t="s">
        <v>102</v>
      </c>
      <c r="Q1684" s="2" t="s">
        <v>1785</v>
      </c>
      <c r="R1684" s="2" t="s">
        <v>1786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1787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1787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1788</v>
      </c>
      <c r="P1687" s="2" t="s">
        <v>283</v>
      </c>
      <c r="Q1687" s="2" t="s">
        <v>1789</v>
      </c>
      <c r="R1687" s="2" t="s">
        <v>1790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1332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1788</v>
      </c>
      <c r="P1688" s="2" t="s">
        <v>283</v>
      </c>
      <c r="Q1688" s="2" t="s">
        <v>1791</v>
      </c>
      <c r="R1688" s="2" t="s">
        <v>1792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3239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1788</v>
      </c>
      <c r="P1689" s="2" t="s">
        <v>283</v>
      </c>
      <c r="Q1689" s="2" t="s">
        <v>1793</v>
      </c>
      <c r="R1689" s="2" t="s">
        <v>1792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3239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1788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1794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3239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3239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1795</v>
      </c>
      <c r="P1693" s="2" t="s">
        <v>3243</v>
      </c>
      <c r="Q1693" s="2" t="s">
        <v>1796</v>
      </c>
      <c r="R1693" s="2" t="s">
        <v>1797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3243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1798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3394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1799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1799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hidden="1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3239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3239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3424</v>
      </c>
      <c r="D1702" s="2" t="s">
        <v>3423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1800</v>
      </c>
      <c r="P1702" s="2" t="s">
        <v>115</v>
      </c>
      <c r="Q1702" s="2" t="s">
        <v>1801</v>
      </c>
      <c r="R1702" s="2" t="s">
        <v>1802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3239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1019</v>
      </c>
      <c r="L1704" s="2" t="s">
        <v>100</v>
      </c>
      <c r="M1704" s="2" t="s">
        <v>81</v>
      </c>
      <c r="P1704" s="2" t="s">
        <v>283</v>
      </c>
      <c r="Q1704" s="2" t="s">
        <v>1241</v>
      </c>
      <c r="R1704" s="2" t="s">
        <v>1242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3239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1019</v>
      </c>
      <c r="P1705" s="2" t="s">
        <v>283</v>
      </c>
      <c r="Q1705" s="2" t="s">
        <v>1540</v>
      </c>
      <c r="R1705" s="2" t="s">
        <v>1541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3239</v>
      </c>
      <c r="AA1705" s="2" t="s">
        <v>579</v>
      </c>
      <c r="AB1705" s="2" t="s">
        <v>120</v>
      </c>
      <c r="AC1705" s="2" t="s">
        <v>1332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hidden="1" x14ac:dyDescent="0.2">
      <c r="A1706" s="2">
        <v>2025</v>
      </c>
      <c r="B1706" s="2">
        <v>8</v>
      </c>
      <c r="D1706" s="2" t="s">
        <v>1019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3239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3239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3239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3239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3239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3239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3239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3239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3239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3239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1561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1562</v>
      </c>
      <c r="J1716" s="2" t="s">
        <v>1563</v>
      </c>
      <c r="L1716" s="2" t="s">
        <v>100</v>
      </c>
      <c r="M1716" s="2" t="s">
        <v>41</v>
      </c>
      <c r="P1716" s="2" t="s">
        <v>283</v>
      </c>
      <c r="Q1716" s="2" t="s">
        <v>1555</v>
      </c>
      <c r="R1716" s="2" t="s">
        <v>1556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3415</v>
      </c>
    </row>
    <row r="1717" spans="1:38" hidden="1" x14ac:dyDescent="0.2">
      <c r="A1717" s="2">
        <v>2025</v>
      </c>
      <c r="B1717" s="2">
        <v>8</v>
      </c>
      <c r="D1717" s="2" t="s">
        <v>1561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1562</v>
      </c>
      <c r="J1717" s="2" t="s">
        <v>1563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3239</v>
      </c>
      <c r="AA1717" s="2" t="s">
        <v>46</v>
      </c>
      <c r="AB1717" s="2" t="s">
        <v>61</v>
      </c>
      <c r="AC1717" s="2" t="s">
        <v>3345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1561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1562</v>
      </c>
      <c r="J1718" s="2" t="s">
        <v>1563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3239</v>
      </c>
      <c r="AA1718" s="2" t="s">
        <v>46</v>
      </c>
      <c r="AB1718" s="2" t="s">
        <v>61</v>
      </c>
      <c r="AC1718" s="2" t="s">
        <v>3345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hidden="1" x14ac:dyDescent="0.2">
      <c r="A1719" s="2">
        <v>2025</v>
      </c>
      <c r="B1719" s="2">
        <v>8</v>
      </c>
      <c r="D1719" s="2" t="s">
        <v>1561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1562</v>
      </c>
      <c r="J1719" s="2" t="s">
        <v>1563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3239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1561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1562</v>
      </c>
      <c r="J1720" s="2" t="s">
        <v>1563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3239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1561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1562</v>
      </c>
      <c r="J1721" s="2" t="s">
        <v>1563</v>
      </c>
      <c r="L1721" s="2" t="s">
        <v>100</v>
      </c>
      <c r="M1721" s="2" t="s">
        <v>41</v>
      </c>
      <c r="P1721" s="2" t="s">
        <v>85</v>
      </c>
      <c r="Q1721" s="2" t="s">
        <v>1803</v>
      </c>
      <c r="R1721" s="2" t="s">
        <v>1804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3239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1561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1562</v>
      </c>
      <c r="J1722" s="2" t="s">
        <v>1563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3239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1561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1562</v>
      </c>
      <c r="J1723" s="2" t="s">
        <v>1563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3239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1805</v>
      </c>
      <c r="P1724" s="2" t="s">
        <v>3243</v>
      </c>
      <c r="Q1724" s="2" t="s">
        <v>1796</v>
      </c>
      <c r="R1724" s="2" t="s">
        <v>1797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3243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3239</v>
      </c>
      <c r="AA1725" s="2" t="s">
        <v>46</v>
      </c>
      <c r="AB1725" s="2" t="s">
        <v>61</v>
      </c>
      <c r="AC1725" s="2" t="s">
        <v>3345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1244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3232</v>
      </c>
      <c r="J1726" s="2" t="s">
        <v>3233</v>
      </c>
      <c r="L1726" s="2" t="s">
        <v>340</v>
      </c>
      <c r="M1726" s="2" t="s">
        <v>81</v>
      </c>
      <c r="O1726" s="2" t="s">
        <v>3235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3239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1244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3232</v>
      </c>
      <c r="J1727" s="2" t="s">
        <v>3233</v>
      </c>
      <c r="L1727" s="2" t="s">
        <v>340</v>
      </c>
      <c r="M1727" s="2" t="s">
        <v>81</v>
      </c>
      <c r="O1727" s="2" t="s">
        <v>3235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3239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hidden="1" x14ac:dyDescent="0.2">
      <c r="A1728" s="2">
        <v>2025</v>
      </c>
      <c r="B1728" s="2">
        <v>8</v>
      </c>
      <c r="D1728" s="2" t="s">
        <v>1806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3239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1806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3239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1806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3239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1807</v>
      </c>
      <c r="R1731" s="2" t="s">
        <v>1808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3239</v>
      </c>
      <c r="AA1731" s="2" t="s">
        <v>46</v>
      </c>
      <c r="AB1731" s="2" t="s">
        <v>61</v>
      </c>
      <c r="AC1731" s="2" t="s">
        <v>3419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1571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1571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1393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hidden="1" x14ac:dyDescent="0.2">
      <c r="A1735" s="2">
        <v>2025</v>
      </c>
      <c r="B1735" s="2">
        <v>8</v>
      </c>
      <c r="D1735" s="2" t="s">
        <v>1393</v>
      </c>
      <c r="P1735" s="2" t="s">
        <v>115</v>
      </c>
      <c r="Q1735" s="2" t="s">
        <v>958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hidden="1" x14ac:dyDescent="0.2">
      <c r="A1736" s="2">
        <v>2025</v>
      </c>
      <c r="B1736" s="2">
        <v>8</v>
      </c>
      <c r="D1736" s="2" t="s">
        <v>1393</v>
      </c>
      <c r="P1736" s="2" t="s">
        <v>115</v>
      </c>
      <c r="Q1736" s="2" t="s">
        <v>1809</v>
      </c>
      <c r="R1736" s="2" t="s">
        <v>1810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1393</v>
      </c>
      <c r="P1737" s="2" t="s">
        <v>115</v>
      </c>
      <c r="Q1737" s="2" t="s">
        <v>1811</v>
      </c>
      <c r="R1737" s="2" t="s">
        <v>1812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1813</v>
      </c>
      <c r="P1738" s="2" t="s">
        <v>115</v>
      </c>
      <c r="Q1738" s="2" t="s">
        <v>1814</v>
      </c>
      <c r="R1738" s="2" t="s">
        <v>1815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1816</v>
      </c>
      <c r="P1739" s="2" t="s">
        <v>283</v>
      </c>
      <c r="Q1739" s="2" t="s">
        <v>1817</v>
      </c>
      <c r="R1739" s="2" t="s">
        <v>1818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1816</v>
      </c>
      <c r="P1740" s="2" t="s">
        <v>283</v>
      </c>
      <c r="Q1740" s="2" t="s">
        <v>1449</v>
      </c>
      <c r="R1740" s="2" t="s">
        <v>1450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3239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hidden="1" x14ac:dyDescent="0.2">
      <c r="A1741" s="2">
        <v>2025</v>
      </c>
      <c r="B1741" s="2">
        <v>8</v>
      </c>
      <c r="C1741" s="2" t="s">
        <v>3331</v>
      </c>
      <c r="D1741" s="2" t="s">
        <v>3330</v>
      </c>
      <c r="E1741" s="2" t="s">
        <v>38</v>
      </c>
      <c r="F1741" s="2" t="s">
        <v>471</v>
      </c>
      <c r="G1741" s="2">
        <v>513626930</v>
      </c>
      <c r="H1741" s="2" t="s">
        <v>40</v>
      </c>
      <c r="I1741" s="2" t="s">
        <v>340</v>
      </c>
      <c r="J1741" s="2" t="s">
        <v>472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3239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3239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hidden="1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1819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3239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1819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3239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1261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3239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1261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3239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3239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1313</v>
      </c>
      <c r="R1750" s="2" t="s">
        <v>1314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1315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3239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hidden="1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1820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3239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1821</v>
      </c>
      <c r="R1753" s="2" t="s">
        <v>1822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3239</v>
      </c>
      <c r="AA1753" s="2" t="s">
        <v>72</v>
      </c>
      <c r="AB1753" s="2" t="s">
        <v>1608</v>
      </c>
      <c r="AC1753" s="2" t="s">
        <v>1608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1823</v>
      </c>
      <c r="R1754" s="2" t="s">
        <v>1824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3239</v>
      </c>
      <c r="AA1754" s="2" t="s">
        <v>72</v>
      </c>
      <c r="AB1754" s="2" t="s">
        <v>1608</v>
      </c>
      <c r="AC1754" s="2" t="s">
        <v>1608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1825</v>
      </c>
      <c r="R1755" s="2" t="s">
        <v>1826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3239</v>
      </c>
      <c r="AA1755" s="2" t="s">
        <v>72</v>
      </c>
      <c r="AB1755" s="2" t="s">
        <v>1608</v>
      </c>
      <c r="AC1755" s="2" t="s">
        <v>1608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1827</v>
      </c>
      <c r="R1756" s="2" t="s">
        <v>1828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3239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1829</v>
      </c>
      <c r="R1757" s="2" t="s">
        <v>1830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3239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1067</v>
      </c>
      <c r="R1758" s="2" t="s">
        <v>1068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3239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hidden="1" x14ac:dyDescent="0.2">
      <c r="A1759" s="2">
        <v>2025</v>
      </c>
      <c r="B1759" s="2">
        <v>8</v>
      </c>
      <c r="D1759" s="2" t="s">
        <v>1069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3239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1069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3239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1831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1831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3239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3239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3239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1598</v>
      </c>
      <c r="P1766" s="2" t="s">
        <v>115</v>
      </c>
      <c r="Q1766" s="2" t="s">
        <v>1599</v>
      </c>
      <c r="R1766" s="2" t="s">
        <v>1600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1832</v>
      </c>
      <c r="R1767" s="2" t="s">
        <v>1833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3239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hidden="1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3239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3239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1075</v>
      </c>
      <c r="P1770" s="2" t="s">
        <v>283</v>
      </c>
      <c r="Q1770" s="2" t="s">
        <v>1333</v>
      </c>
      <c r="R1770" s="2" t="s">
        <v>1334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1335</v>
      </c>
      <c r="AC1770" s="2" t="s">
        <v>1332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1075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1562</v>
      </c>
      <c r="J1771" s="2" t="s">
        <v>1834</v>
      </c>
      <c r="L1771" s="2" t="s">
        <v>178</v>
      </c>
      <c r="M1771" s="2" t="s">
        <v>41</v>
      </c>
      <c r="O1771" s="2" t="s">
        <v>1835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3239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1075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3239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1075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3239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3239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3218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3239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3206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3239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3239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1836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1837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1130</v>
      </c>
      <c r="J1779" s="2" t="s">
        <v>3245</v>
      </c>
      <c r="L1779" s="2" t="s">
        <v>462</v>
      </c>
      <c r="M1779" s="2" t="s">
        <v>41</v>
      </c>
      <c r="O1779" s="2" t="s">
        <v>3246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3185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1629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3239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1629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3239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1838</v>
      </c>
      <c r="R1783" s="2" t="s">
        <v>1839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3239</v>
      </c>
      <c r="AA1783" s="2" t="s">
        <v>72</v>
      </c>
      <c r="AB1783" s="2" t="s">
        <v>1608</v>
      </c>
      <c r="AC1783" s="2" t="s">
        <v>1608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1840</v>
      </c>
      <c r="R1784" s="2" t="s">
        <v>1841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3239</v>
      </c>
      <c r="AA1784" s="2" t="s">
        <v>72</v>
      </c>
      <c r="AB1784" s="2" t="s">
        <v>1608</v>
      </c>
      <c r="AC1784" s="2" t="s">
        <v>1608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3239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3239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3239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1842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3239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1842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3239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1842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3239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1842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3239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1842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3239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3331</v>
      </c>
      <c r="D1793" s="2" t="s">
        <v>1643</v>
      </c>
      <c r="E1793" s="2" t="s">
        <v>2456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1644</v>
      </c>
      <c r="R1793" s="2" t="s">
        <v>1645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3239</v>
      </c>
      <c r="AA1793" s="2" t="s">
        <v>72</v>
      </c>
      <c r="AB1793" s="2" t="s">
        <v>1608</v>
      </c>
      <c r="AC1793" s="2" t="s">
        <v>1608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3164</v>
      </c>
      <c r="M1794" s="2" t="s">
        <v>41</v>
      </c>
      <c r="O1794" s="2" t="s">
        <v>3163</v>
      </c>
      <c r="P1794" s="2" t="s">
        <v>1042</v>
      </c>
      <c r="Q1794" s="2" t="s">
        <v>1843</v>
      </c>
      <c r="R1794" s="2" t="s">
        <v>1844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3239</v>
      </c>
      <c r="AA1794" s="2" t="s">
        <v>76</v>
      </c>
      <c r="AB1794" s="2" t="s">
        <v>77</v>
      </c>
      <c r="AC1794" s="2" t="s">
        <v>1042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3239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hidden="1" x14ac:dyDescent="0.2">
      <c r="A1796" s="2">
        <v>2025</v>
      </c>
      <c r="B1796" s="2">
        <v>8</v>
      </c>
      <c r="D1796" s="2" t="s">
        <v>1300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1301</v>
      </c>
      <c r="L1796" s="2" t="s">
        <v>340</v>
      </c>
      <c r="M1796" s="2" t="s">
        <v>81</v>
      </c>
      <c r="P1796" s="2" t="s">
        <v>40</v>
      </c>
      <c r="Q1796" s="2" t="s">
        <v>1845</v>
      </c>
      <c r="R1796" s="2" t="s">
        <v>1846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3239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1300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1301</v>
      </c>
      <c r="L1797" s="2" t="s">
        <v>340</v>
      </c>
      <c r="M1797" s="2" t="s">
        <v>291</v>
      </c>
      <c r="O1797" s="2" t="s">
        <v>3217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3239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1300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1301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3239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hidden="1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1847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3239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hidden="1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3239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3239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3239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1848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1848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hidden="1" x14ac:dyDescent="0.2">
      <c r="A1805" s="2">
        <v>2025</v>
      </c>
      <c r="B1805" s="2">
        <v>8</v>
      </c>
      <c r="D1805" s="2" t="s">
        <v>1117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1118</v>
      </c>
      <c r="J1805" s="2" t="s">
        <v>1119</v>
      </c>
      <c r="K1805" s="2">
        <v>914550474</v>
      </c>
      <c r="L1805" s="2" t="s">
        <v>100</v>
      </c>
      <c r="M1805" s="2" t="s">
        <v>81</v>
      </c>
      <c r="O1805" s="2" t="s">
        <v>1849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3239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1659</v>
      </c>
      <c r="E1806" s="2" t="s">
        <v>38</v>
      </c>
      <c r="F1806" s="2" t="s">
        <v>39</v>
      </c>
      <c r="H1806" s="2" t="s">
        <v>41</v>
      </c>
      <c r="I1806" s="2" t="s">
        <v>1660</v>
      </c>
      <c r="J1806" s="2" t="s">
        <v>1661</v>
      </c>
      <c r="L1806" s="2" t="s">
        <v>113</v>
      </c>
      <c r="M1806" s="2" t="s">
        <v>40</v>
      </c>
      <c r="O1806" s="2" t="s">
        <v>1850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1659</v>
      </c>
      <c r="E1807" s="2" t="s">
        <v>38</v>
      </c>
      <c r="F1807" s="2" t="s">
        <v>39</v>
      </c>
      <c r="H1807" s="2" t="s">
        <v>41</v>
      </c>
      <c r="I1807" s="2" t="s">
        <v>1660</v>
      </c>
      <c r="J1807" s="2" t="s">
        <v>1661</v>
      </c>
      <c r="L1807" s="2" t="s">
        <v>113</v>
      </c>
      <c r="M1807" s="2" t="s">
        <v>40</v>
      </c>
      <c r="O1807" s="2" t="s">
        <v>1850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hidden="1" x14ac:dyDescent="0.2">
      <c r="A1808" s="2">
        <v>2025</v>
      </c>
      <c r="B1808" s="2">
        <v>8</v>
      </c>
      <c r="D1808" s="2" t="s">
        <v>1659</v>
      </c>
      <c r="E1808" s="2" t="s">
        <v>38</v>
      </c>
      <c r="F1808" s="2" t="s">
        <v>39</v>
      </c>
      <c r="H1808" s="2" t="s">
        <v>41</v>
      </c>
      <c r="I1808" s="2" t="s">
        <v>1660</v>
      </c>
      <c r="J1808" s="2" t="s">
        <v>1661</v>
      </c>
      <c r="L1808" s="2" t="s">
        <v>113</v>
      </c>
      <c r="M1808" s="2" t="s">
        <v>40</v>
      </c>
      <c r="O1808" s="2" t="s">
        <v>1850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hidden="1" x14ac:dyDescent="0.2">
      <c r="A1809" s="2">
        <v>2025</v>
      </c>
      <c r="B1809" s="2">
        <v>8</v>
      </c>
      <c r="D1809" s="2" t="s">
        <v>1667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hidden="1" x14ac:dyDescent="0.2">
      <c r="A1810" s="2">
        <v>2025</v>
      </c>
      <c r="B1810" s="2">
        <v>8</v>
      </c>
      <c r="D1810" s="2" t="s">
        <v>1667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hidden="1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1851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3239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1852</v>
      </c>
      <c r="P1812" s="2" t="s">
        <v>283</v>
      </c>
      <c r="Q1812" s="2" t="s">
        <v>1853</v>
      </c>
      <c r="R1812" s="2" t="s">
        <v>1854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3239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hidden="1" x14ac:dyDescent="0.2">
      <c r="A1813" s="2">
        <v>2025</v>
      </c>
      <c r="B1813" s="2">
        <v>8</v>
      </c>
      <c r="D1813" s="2" t="s">
        <v>1317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1318</v>
      </c>
      <c r="L1813" s="2" t="s">
        <v>178</v>
      </c>
      <c r="M1813" s="2" t="s">
        <v>41</v>
      </c>
      <c r="O1813" s="2" t="s">
        <v>1855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3239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1317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1318</v>
      </c>
      <c r="L1814" s="2" t="s">
        <v>178</v>
      </c>
      <c r="M1814" s="2" t="s">
        <v>41</v>
      </c>
      <c r="O1814" s="2" t="s">
        <v>1855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3239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1317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1318</v>
      </c>
      <c r="L1815" s="2" t="s">
        <v>178</v>
      </c>
      <c r="M1815" s="2" t="s">
        <v>41</v>
      </c>
      <c r="O1815" s="2" t="s">
        <v>1855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3239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3425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1"/>
        <v>0.72000000000000008</v>
      </c>
      <c r="Z1816" s="2" t="s">
        <v>3239</v>
      </c>
      <c r="AA1816" s="2" t="s">
        <v>156</v>
      </c>
      <c r="AB1816" s="2" t="s">
        <v>155</v>
      </c>
      <c r="AC1816" s="2" t="s">
        <v>153</v>
      </c>
      <c r="AF1816" s="2">
        <f t="shared" si="213"/>
        <v>0</v>
      </c>
      <c r="AJ1816" s="2">
        <f t="shared" si="214"/>
        <v>0</v>
      </c>
      <c r="AK1816" s="2">
        <f t="shared" si="215"/>
        <v>25.200000000000003</v>
      </c>
      <c r="AL1816" s="5">
        <f t="shared" si="212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1856</v>
      </c>
      <c r="R1817" s="2" t="s">
        <v>1857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3239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1596</v>
      </c>
      <c r="R1818" s="2" t="s">
        <v>1597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3239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1858</v>
      </c>
      <c r="R1819" s="2" t="s">
        <v>1859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3239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1860</v>
      </c>
      <c r="R1820" s="2" t="s">
        <v>1861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3239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1449</v>
      </c>
      <c r="R1821" s="2" t="s">
        <v>1450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3239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3239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1862</v>
      </c>
      <c r="L1823" s="2" t="s">
        <v>100</v>
      </c>
      <c r="M1823" s="2" t="s">
        <v>81</v>
      </c>
      <c r="O1823" s="2" t="s">
        <v>1863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3239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3239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39" si="216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3239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3239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3239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1042</v>
      </c>
      <c r="Q1828" s="2" t="s">
        <v>1864</v>
      </c>
      <c r="R1828" s="2" t="s">
        <v>1865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3239</v>
      </c>
      <c r="AA1828" s="2" t="s">
        <v>76</v>
      </c>
      <c r="AB1828" s="2" t="s">
        <v>77</v>
      </c>
      <c r="AC1828" s="2" t="s">
        <v>1042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1042</v>
      </c>
      <c r="Q1829" s="2" t="s">
        <v>1866</v>
      </c>
      <c r="R1829" s="2" t="s">
        <v>1867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3239</v>
      </c>
      <c r="AA1829" s="2" t="s">
        <v>1045</v>
      </c>
      <c r="AB1829" s="2" t="s">
        <v>1323</v>
      </c>
      <c r="AC1829" s="2" t="s">
        <v>1042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3239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hidden="1" x14ac:dyDescent="0.2">
      <c r="A1831" s="2">
        <v>2025</v>
      </c>
      <c r="B1831" s="2">
        <v>10</v>
      </c>
      <c r="D1831" s="2" t="s">
        <v>1868</v>
      </c>
      <c r="E1831" s="2" t="s">
        <v>109</v>
      </c>
      <c r="G1831" s="2">
        <v>515549134</v>
      </c>
      <c r="H1831" s="2" t="s">
        <v>41</v>
      </c>
      <c r="I1831" s="2" t="s">
        <v>1869</v>
      </c>
      <c r="J1831" s="2" t="s">
        <v>1870</v>
      </c>
      <c r="L1831" s="2" t="s">
        <v>178</v>
      </c>
      <c r="M1831" s="2" t="s">
        <v>41</v>
      </c>
      <c r="O1831" s="2" t="s">
        <v>1871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3239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1868</v>
      </c>
      <c r="E1832" s="2" t="s">
        <v>109</v>
      </c>
      <c r="G1832" s="2">
        <v>515549134</v>
      </c>
      <c r="H1832" s="2" t="s">
        <v>41</v>
      </c>
      <c r="I1832" s="2" t="s">
        <v>1869</v>
      </c>
      <c r="J1832" s="2" t="s">
        <v>1870</v>
      </c>
      <c r="L1832" s="2" t="s">
        <v>178</v>
      </c>
      <c r="M1832" s="2" t="s">
        <v>41</v>
      </c>
      <c r="O1832" s="2" t="s">
        <v>1871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3239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1868</v>
      </c>
      <c r="E1833" s="2" t="s">
        <v>109</v>
      </c>
      <c r="G1833" s="2">
        <v>515549134</v>
      </c>
      <c r="H1833" s="2" t="s">
        <v>41</v>
      </c>
      <c r="I1833" s="2" t="s">
        <v>1869</v>
      </c>
      <c r="J1833" s="2" t="s">
        <v>1870</v>
      </c>
      <c r="L1833" s="2" t="s">
        <v>178</v>
      </c>
      <c r="M1833" s="2" t="s">
        <v>41</v>
      </c>
      <c r="O1833" s="2" t="s">
        <v>1871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3239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1868</v>
      </c>
      <c r="E1834" s="2" t="s">
        <v>109</v>
      </c>
      <c r="G1834" s="2">
        <v>515549134</v>
      </c>
      <c r="H1834" s="2" t="s">
        <v>41</v>
      </c>
      <c r="I1834" s="2" t="s">
        <v>1869</v>
      </c>
      <c r="J1834" s="2" t="s">
        <v>1870</v>
      </c>
      <c r="L1834" s="2" t="s">
        <v>178</v>
      </c>
      <c r="M1834" s="2" t="s">
        <v>41</v>
      </c>
      <c r="O1834" s="2" t="s">
        <v>1871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3239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1868</v>
      </c>
      <c r="E1835" s="2" t="s">
        <v>109</v>
      </c>
      <c r="G1835" s="2">
        <v>515549134</v>
      </c>
      <c r="H1835" s="2" t="s">
        <v>41</v>
      </c>
      <c r="I1835" s="2" t="s">
        <v>1869</v>
      </c>
      <c r="J1835" s="2" t="s">
        <v>1870</v>
      </c>
      <c r="L1835" s="2" t="s">
        <v>178</v>
      </c>
      <c r="M1835" s="2" t="s">
        <v>41</v>
      </c>
      <c r="O1835" s="2" t="s">
        <v>1871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3239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1455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1872</v>
      </c>
      <c r="P1837" s="2" t="s">
        <v>73</v>
      </c>
      <c r="Q1837" s="2" t="s">
        <v>1039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3239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1872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3239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hidden="1" x14ac:dyDescent="0.2">
      <c r="A1839" s="2">
        <v>2025</v>
      </c>
      <c r="B1839" s="2">
        <v>10</v>
      </c>
      <c r="D1839" s="2" t="s">
        <v>1463</v>
      </c>
      <c r="P1839" s="2" t="s">
        <v>283</v>
      </c>
      <c r="Q1839" s="2" t="s">
        <v>1555</v>
      </c>
      <c r="R1839" s="2" t="s">
        <v>1556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1463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3239</v>
      </c>
      <c r="AA1840" s="2" t="s">
        <v>46</v>
      </c>
      <c r="AB1840" s="2" t="s">
        <v>61</v>
      </c>
      <c r="AC1840" s="2" t="s">
        <v>3345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hidden="1" x14ac:dyDescent="0.2">
      <c r="A1841" s="2">
        <v>2025</v>
      </c>
      <c r="B1841" s="2">
        <v>10</v>
      </c>
      <c r="D1841" s="2" t="s">
        <v>1463</v>
      </c>
      <c r="P1841" s="2" t="s">
        <v>43</v>
      </c>
      <c r="Q1841" s="2" t="s">
        <v>973</v>
      </c>
      <c r="R1841" s="2" t="s">
        <v>974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3239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1463</v>
      </c>
      <c r="P1842" s="2" t="s">
        <v>43</v>
      </c>
      <c r="Q1842" s="2" t="s">
        <v>975</v>
      </c>
      <c r="R1842" s="2" t="s">
        <v>976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3239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hidden="1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3239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3239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3239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3239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1873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1873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1873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1874</v>
      </c>
      <c r="P1850" s="2" t="s">
        <v>69</v>
      </c>
      <c r="Q1850" s="2" t="s">
        <v>1164</v>
      </c>
      <c r="R1850" s="2" t="s">
        <v>1165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3239</v>
      </c>
      <c r="AA1850" s="2" t="s">
        <v>72</v>
      </c>
      <c r="AB1850" s="2" t="s">
        <v>69</v>
      </c>
      <c r="AC1850" s="2" t="s">
        <v>3244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1874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1875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1876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1876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1875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3239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3239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3239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hidden="1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3239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1491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3394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hidden="1" x14ac:dyDescent="0.2">
      <c r="A1862" s="2">
        <v>2025</v>
      </c>
      <c r="B1862" s="2">
        <v>10</v>
      </c>
      <c r="D1862" s="2" t="s">
        <v>1495</v>
      </c>
      <c r="P1862" s="2" t="s">
        <v>115</v>
      </c>
      <c r="Q1862" s="2" t="s">
        <v>1586</v>
      </c>
      <c r="R1862" s="2" t="s">
        <v>1587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hidden="1" x14ac:dyDescent="0.2">
      <c r="A1863" s="2">
        <v>2025</v>
      </c>
      <c r="B1863" s="2">
        <v>10</v>
      </c>
      <c r="D1863" s="2" t="s">
        <v>1495</v>
      </c>
      <c r="M1863" s="2" t="s">
        <v>40</v>
      </c>
      <c r="P1863" s="2" t="s">
        <v>188</v>
      </c>
      <c r="Q1863" s="2" t="s">
        <v>1313</v>
      </c>
      <c r="R1863" s="2" t="s">
        <v>1314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1315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1877</v>
      </c>
      <c r="P1864" s="2" t="s">
        <v>115</v>
      </c>
      <c r="Q1864" s="2" t="s">
        <v>1878</v>
      </c>
      <c r="R1864" s="2" t="s">
        <v>1879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1877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1877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1877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1880</v>
      </c>
      <c r="P1868" s="2" t="s">
        <v>43</v>
      </c>
      <c r="Q1868" s="2" t="s">
        <v>973</v>
      </c>
      <c r="R1868" s="2" t="s">
        <v>974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3239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1880</v>
      </c>
      <c r="P1869" s="2" t="s">
        <v>43</v>
      </c>
      <c r="Q1869" s="2" t="s">
        <v>975</v>
      </c>
      <c r="R1869" s="2" t="s">
        <v>976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3239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1881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3239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1882</v>
      </c>
      <c r="P1871" s="2" t="s">
        <v>73</v>
      </c>
      <c r="Q1871" s="2" t="s">
        <v>1454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3239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1883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3239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1881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3239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hidden="1" x14ac:dyDescent="0.2">
      <c r="A1874" s="2">
        <v>2025</v>
      </c>
      <c r="B1874" s="2">
        <v>10</v>
      </c>
      <c r="D1874" s="2" t="s">
        <v>1884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hidden="1" x14ac:dyDescent="0.2">
      <c r="A1875" s="2">
        <v>2025</v>
      </c>
      <c r="B1875" s="2">
        <v>10</v>
      </c>
      <c r="D1875" s="2" t="s">
        <v>1884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3239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3239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hidden="1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3239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3239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hidden="1" x14ac:dyDescent="0.2">
      <c r="A1880" s="2">
        <v>2025</v>
      </c>
      <c r="B1880" s="2">
        <v>10</v>
      </c>
      <c r="D1880" s="2" t="s">
        <v>1355</v>
      </c>
      <c r="P1880" s="2" t="s">
        <v>115</v>
      </c>
      <c r="Q1880" s="2" t="s">
        <v>1885</v>
      </c>
      <c r="R1880" s="2" t="s">
        <v>1886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hidden="1" x14ac:dyDescent="0.2">
      <c r="A1881" s="2">
        <v>2025</v>
      </c>
      <c r="B1881" s="2">
        <v>10</v>
      </c>
      <c r="D1881" s="2" t="s">
        <v>1355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hidden="1" x14ac:dyDescent="0.2">
      <c r="A1882" s="2">
        <v>2025</v>
      </c>
      <c r="B1882" s="2">
        <v>10</v>
      </c>
      <c r="D1882" s="2" t="s">
        <v>1355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hidden="1" x14ac:dyDescent="0.2">
      <c r="A1883" s="2">
        <v>2025</v>
      </c>
      <c r="B1883" s="2">
        <v>10</v>
      </c>
      <c r="D1883" s="2" t="s">
        <v>1355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1355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hidden="1" x14ac:dyDescent="0.2">
      <c r="A1885" s="2">
        <v>2025</v>
      </c>
      <c r="B1885" s="2">
        <v>10</v>
      </c>
      <c r="D1885" s="2" t="s">
        <v>1355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hidden="1" x14ac:dyDescent="0.2">
      <c r="A1886" s="2">
        <v>2025</v>
      </c>
      <c r="B1886" s="2">
        <v>10</v>
      </c>
      <c r="D1886" s="2" t="s">
        <v>1887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hidden="1" x14ac:dyDescent="0.2">
      <c r="A1887" s="2">
        <v>2025</v>
      </c>
      <c r="B1887" s="2">
        <v>10</v>
      </c>
      <c r="D1887" s="2" t="s">
        <v>1509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1510</v>
      </c>
      <c r="J1887" s="2" t="s">
        <v>1511</v>
      </c>
      <c r="K1887" s="2">
        <v>961386655</v>
      </c>
      <c r="L1887" s="2" t="s">
        <v>134</v>
      </c>
      <c r="M1887" s="2" t="s">
        <v>40</v>
      </c>
      <c r="O1887" s="2" t="s">
        <v>1888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3239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1889</v>
      </c>
      <c r="R1888" s="2" t="s">
        <v>1890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3239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hidden="1" x14ac:dyDescent="0.2">
      <c r="A1889" s="2">
        <v>2025</v>
      </c>
      <c r="B1889" s="2">
        <v>10</v>
      </c>
      <c r="D1889" s="2" t="s">
        <v>994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995</v>
      </c>
      <c r="J1889" s="2" t="s">
        <v>996</v>
      </c>
      <c r="K1889" s="2">
        <v>964159861</v>
      </c>
      <c r="L1889" s="2" t="s">
        <v>202</v>
      </c>
      <c r="M1889" s="2" t="s">
        <v>81</v>
      </c>
      <c r="O1889" s="2" t="s">
        <v>1891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3239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994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995</v>
      </c>
      <c r="J1890" s="2" t="s">
        <v>996</v>
      </c>
      <c r="K1890" s="2">
        <v>964159861</v>
      </c>
      <c r="L1890" s="2" t="s">
        <v>202</v>
      </c>
      <c r="M1890" s="2" t="s">
        <v>81</v>
      </c>
      <c r="O1890" s="2" t="s">
        <v>1891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3239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994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995</v>
      </c>
      <c r="J1891" s="2" t="s">
        <v>996</v>
      </c>
      <c r="K1891" s="2">
        <v>964159861</v>
      </c>
      <c r="L1891" s="2" t="s">
        <v>202</v>
      </c>
      <c r="M1891" s="2" t="s">
        <v>81</v>
      </c>
      <c r="O1891" s="2" t="s">
        <v>1891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3239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994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995</v>
      </c>
      <c r="J1892" s="2" t="s">
        <v>996</v>
      </c>
      <c r="K1892" s="2">
        <v>964159861</v>
      </c>
      <c r="L1892" s="2" t="s">
        <v>202</v>
      </c>
      <c r="M1892" s="2" t="s">
        <v>81</v>
      </c>
      <c r="O1892" s="2" t="s">
        <v>1891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3239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994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995</v>
      </c>
      <c r="J1893" s="2" t="s">
        <v>996</v>
      </c>
      <c r="K1893" s="2">
        <v>964159861</v>
      </c>
      <c r="L1893" s="2" t="s">
        <v>202</v>
      </c>
      <c r="M1893" s="2" t="s">
        <v>81</v>
      </c>
      <c r="O1893" s="2" t="s">
        <v>1891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3239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994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995</v>
      </c>
      <c r="J1894" s="2" t="s">
        <v>996</v>
      </c>
      <c r="K1894" s="2">
        <v>964159861</v>
      </c>
      <c r="L1894" s="2" t="s">
        <v>202</v>
      </c>
      <c r="M1894" s="2" t="s">
        <v>81</v>
      </c>
      <c r="O1894" s="2" t="s">
        <v>1891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3239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hidden="1" x14ac:dyDescent="0.2">
      <c r="A1895" s="2">
        <v>2025</v>
      </c>
      <c r="B1895" s="2">
        <v>10</v>
      </c>
      <c r="C1895" s="2" t="s">
        <v>3418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3239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1784</v>
      </c>
      <c r="P1896" s="2" t="s">
        <v>3243</v>
      </c>
      <c r="Q1896" s="2" t="s">
        <v>1892</v>
      </c>
      <c r="R1896" s="2" t="s">
        <v>1893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3243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1000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3239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1000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3239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hidden="1" x14ac:dyDescent="0.2">
      <c r="A1899" s="2">
        <v>2025</v>
      </c>
      <c r="B1899" s="2">
        <v>10</v>
      </c>
      <c r="D1899" s="2" t="s">
        <v>1894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1894</v>
      </c>
      <c r="P1900" s="2" t="s">
        <v>115</v>
      </c>
      <c r="Q1900" s="2" t="s">
        <v>1895</v>
      </c>
      <c r="R1900" s="2" t="s">
        <v>1896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hidden="1" x14ac:dyDescent="0.2">
      <c r="A1901" s="2">
        <v>2025</v>
      </c>
      <c r="B1901" s="2">
        <v>10</v>
      </c>
      <c r="D1901" s="2" t="s">
        <v>1897</v>
      </c>
      <c r="P1901" s="2" t="s">
        <v>115</v>
      </c>
      <c r="Q1901" s="2" t="s">
        <v>1898</v>
      </c>
      <c r="R1901" s="2" t="s">
        <v>1899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hidden="1" x14ac:dyDescent="0.2">
      <c r="A1902" s="2">
        <v>2025</v>
      </c>
      <c r="B1902" s="2">
        <v>10</v>
      </c>
      <c r="D1902" s="2" t="s">
        <v>1897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hidden="1" x14ac:dyDescent="0.2">
      <c r="A1903" s="2">
        <v>2025</v>
      </c>
      <c r="B1903" s="2">
        <v>10</v>
      </c>
      <c r="D1903" s="2" t="s">
        <v>1897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1350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3239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3239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hidden="1" x14ac:dyDescent="0.2">
      <c r="A1906" s="2">
        <v>2025</v>
      </c>
      <c r="B1906" s="2">
        <v>10</v>
      </c>
      <c r="D1906" s="2" t="s">
        <v>1012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3239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1012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3239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3427</v>
      </c>
      <c r="D1908" s="2" t="s">
        <v>1012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6"/>
        <v>0.33666666666666667</v>
      </c>
      <c r="Z1908" s="2" t="s">
        <v>3239</v>
      </c>
      <c r="AA1908" s="2" t="s">
        <v>72</v>
      </c>
      <c r="AB1908" s="2" t="s">
        <v>69</v>
      </c>
      <c r="AC1908" s="2" t="s">
        <v>3244</v>
      </c>
      <c r="AF1908" s="2">
        <f t="shared" si="222"/>
        <v>0</v>
      </c>
      <c r="AJ1908" s="2">
        <f t="shared" si="223"/>
        <v>0</v>
      </c>
      <c r="AK1908" s="2">
        <f t="shared" si="224"/>
        <v>12.120000000000001</v>
      </c>
      <c r="AL1908" s="5">
        <f t="shared" si="227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1158</v>
      </c>
      <c r="R1909" s="2" t="s">
        <v>1159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1582</v>
      </c>
      <c r="AB1909" s="2" t="s">
        <v>389</v>
      </c>
      <c r="AC1909" s="2" t="s">
        <v>1332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hidden="1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1162</v>
      </c>
      <c r="R1910" s="2" t="s">
        <v>1163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2486</v>
      </c>
      <c r="J1911" s="2" t="s">
        <v>3134</v>
      </c>
      <c r="K1911" s="2">
        <v>965864665</v>
      </c>
      <c r="L1911" s="2" t="s">
        <v>345</v>
      </c>
      <c r="M1911" s="2" t="s">
        <v>81</v>
      </c>
      <c r="O1911" s="2" t="s">
        <v>3137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3239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2486</v>
      </c>
      <c r="J1912" s="2" t="s">
        <v>3134</v>
      </c>
      <c r="K1912" s="2">
        <v>965864665</v>
      </c>
      <c r="L1912" s="2" t="s">
        <v>345</v>
      </c>
      <c r="M1912" s="2" t="s">
        <v>81</v>
      </c>
      <c r="O1912" s="2" t="s">
        <v>3137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3239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3239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3239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3239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3239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3239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3239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1378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hidden="1" x14ac:dyDescent="0.2">
      <c r="A1920" s="2">
        <v>2025</v>
      </c>
      <c r="B1920" s="2">
        <v>10</v>
      </c>
      <c r="D1920" s="2" t="s">
        <v>1378</v>
      </c>
      <c r="P1920" s="2" t="s">
        <v>115</v>
      </c>
      <c r="Q1920" s="2" t="s">
        <v>982</v>
      </c>
      <c r="R1920" s="2" t="s">
        <v>983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hidden="1" x14ac:dyDescent="0.2">
      <c r="A1921" s="2">
        <v>2025</v>
      </c>
      <c r="B1921" s="2">
        <v>10</v>
      </c>
      <c r="D1921" s="2" t="s">
        <v>1900</v>
      </c>
      <c r="P1921" s="2" t="s">
        <v>73</v>
      </c>
      <c r="Q1921" s="2" t="s">
        <v>1901</v>
      </c>
      <c r="R1921" s="2" t="s">
        <v>999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3239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1900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3239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1902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3239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1903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3239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1903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1904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3239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hidden="1" x14ac:dyDescent="0.2">
      <c r="A1927" s="2">
        <v>2025</v>
      </c>
      <c r="B1927" s="2">
        <v>10</v>
      </c>
      <c r="D1927" s="2" t="s">
        <v>1561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1562</v>
      </c>
      <c r="J1927" s="2" t="s">
        <v>1563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3239</v>
      </c>
      <c r="AA1927" s="2" t="s">
        <v>46</v>
      </c>
      <c r="AB1927" s="2" t="s">
        <v>61</v>
      </c>
      <c r="AC1927" s="2" t="s">
        <v>3345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hidden="1" x14ac:dyDescent="0.2">
      <c r="A1928" s="2">
        <v>2025</v>
      </c>
      <c r="B1928" s="2">
        <v>10</v>
      </c>
      <c r="D1928" s="2" t="s">
        <v>1561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1562</v>
      </c>
      <c r="J1928" s="2" t="s">
        <v>1563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3239</v>
      </c>
      <c r="AA1928" s="2" t="s">
        <v>46</v>
      </c>
      <c r="AB1928" s="2" t="s">
        <v>61</v>
      </c>
      <c r="AC1928" s="2" t="s">
        <v>3345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hidden="1" x14ac:dyDescent="0.2">
      <c r="A1929" s="2">
        <v>2025</v>
      </c>
      <c r="B1929" s="2">
        <v>10</v>
      </c>
      <c r="D1929" s="2" t="s">
        <v>1905</v>
      </c>
      <c r="P1929" s="2" t="s">
        <v>3243</v>
      </c>
      <c r="Q1929" s="2" t="s">
        <v>1906</v>
      </c>
      <c r="R1929" s="2" t="s">
        <v>1907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1908</v>
      </c>
      <c r="AC1929" s="2" t="s">
        <v>3243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1905</v>
      </c>
      <c r="P1930" s="2" t="s">
        <v>69</v>
      </c>
      <c r="Q1930" s="2" t="s">
        <v>1909</v>
      </c>
      <c r="R1930" s="2" t="s">
        <v>1910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3244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hidden="1" x14ac:dyDescent="0.2">
      <c r="A1931" s="2">
        <v>2025</v>
      </c>
      <c r="B1931" s="2">
        <v>10</v>
      </c>
      <c r="D1931" s="2" t="s">
        <v>1911</v>
      </c>
      <c r="P1931" s="2" t="s">
        <v>115</v>
      </c>
      <c r="Q1931" s="2" t="s">
        <v>1912</v>
      </c>
      <c r="R1931" s="2" t="s">
        <v>1913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hidden="1" x14ac:dyDescent="0.2">
      <c r="A1932" s="2">
        <v>2025</v>
      </c>
      <c r="B1932" s="2">
        <v>10</v>
      </c>
      <c r="D1932" s="2" t="s">
        <v>1911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hidden="1" x14ac:dyDescent="0.2">
      <c r="A1933" s="2">
        <v>2025</v>
      </c>
      <c r="B1933" s="2">
        <v>10</v>
      </c>
      <c r="D1933" s="2" t="s">
        <v>1911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2" t="s">
        <v>958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hidden="1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1914</v>
      </c>
      <c r="R1935" s="2" t="s">
        <v>1915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3239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3239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hidden="1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1916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3239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1916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3239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1916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3239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3239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1917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hidden="1" x14ac:dyDescent="0.2">
      <c r="A1945" s="2">
        <v>2025</v>
      </c>
      <c r="B1945" s="2">
        <v>10</v>
      </c>
      <c r="D1945" s="2" t="s">
        <v>1917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hidden="1" x14ac:dyDescent="0.2">
      <c r="A1946" s="2">
        <v>2025</v>
      </c>
      <c r="B1946" s="2">
        <v>10</v>
      </c>
      <c r="D1946" s="2" t="s">
        <v>1917</v>
      </c>
      <c r="P1946" s="2" t="s">
        <v>69</v>
      </c>
      <c r="Q1946" s="2" t="s">
        <v>1918</v>
      </c>
      <c r="R1946" s="2" t="s">
        <v>1919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3239</v>
      </c>
      <c r="AC1946" s="2" t="s">
        <v>3244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493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hidden="1" x14ac:dyDescent="0.2">
      <c r="A1948" s="2">
        <v>2025</v>
      </c>
      <c r="B1948" s="2">
        <v>10</v>
      </c>
      <c r="D1948" s="2" t="s">
        <v>1057</v>
      </c>
      <c r="E1948" s="2" t="s">
        <v>184</v>
      </c>
      <c r="F1948" s="2" t="s">
        <v>1058</v>
      </c>
      <c r="G1948" s="2">
        <v>500199523</v>
      </c>
      <c r="H1948" s="2" t="s">
        <v>291</v>
      </c>
      <c r="I1948" s="2" t="s">
        <v>294</v>
      </c>
      <c r="J1948" s="2" t="s">
        <v>1059</v>
      </c>
      <c r="L1948" s="2" t="s">
        <v>294</v>
      </c>
      <c r="M1948" s="2" t="s">
        <v>81</v>
      </c>
      <c r="O1948" s="2" t="s">
        <v>1920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3239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1057</v>
      </c>
      <c r="E1949" s="2" t="s">
        <v>184</v>
      </c>
      <c r="F1949" s="2" t="s">
        <v>1058</v>
      </c>
      <c r="G1949" s="2">
        <v>500199523</v>
      </c>
      <c r="H1949" s="2" t="s">
        <v>291</v>
      </c>
      <c r="I1949" s="2" t="s">
        <v>294</v>
      </c>
      <c r="J1949" s="2" t="s">
        <v>1059</v>
      </c>
      <c r="L1949" s="2" t="s">
        <v>294</v>
      </c>
      <c r="M1949" s="2" t="s">
        <v>81</v>
      </c>
      <c r="O1949" s="2" t="s">
        <v>1921</v>
      </c>
      <c r="P1949" s="2" t="s">
        <v>73</v>
      </c>
      <c r="Q1949" s="2" t="s">
        <v>1454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3239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1057</v>
      </c>
      <c r="E1950" s="2" t="s">
        <v>184</v>
      </c>
      <c r="F1950" s="2" t="s">
        <v>1058</v>
      </c>
      <c r="G1950" s="2">
        <v>500199523</v>
      </c>
      <c r="H1950" s="2" t="s">
        <v>291</v>
      </c>
      <c r="I1950" s="2" t="s">
        <v>294</v>
      </c>
      <c r="J1950" s="2" t="s">
        <v>1059</v>
      </c>
      <c r="L1950" s="2" t="s">
        <v>294</v>
      </c>
      <c r="M1950" s="2" t="s">
        <v>81</v>
      </c>
      <c r="O1950" s="2" t="s">
        <v>1921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2"/>
        <v>0.23333333333333334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7</v>
      </c>
      <c r="AL1950" s="5">
        <f t="shared" si="227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1057</v>
      </c>
      <c r="E1951" s="2" t="s">
        <v>184</v>
      </c>
      <c r="F1951" s="2" t="s">
        <v>1058</v>
      </c>
      <c r="G1951" s="2">
        <v>500199523</v>
      </c>
      <c r="H1951" s="2" t="s">
        <v>291</v>
      </c>
      <c r="I1951" s="2" t="s">
        <v>294</v>
      </c>
      <c r="J1951" s="2" t="s">
        <v>1059</v>
      </c>
      <c r="L1951" s="2" t="s">
        <v>294</v>
      </c>
      <c r="M1951" s="2" t="s">
        <v>81</v>
      </c>
      <c r="O1951" s="2" t="s">
        <v>1922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3239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hidden="1" x14ac:dyDescent="0.2">
      <c r="A1952" s="2">
        <v>2025</v>
      </c>
      <c r="B1952" s="2">
        <v>10</v>
      </c>
      <c r="D1952" s="2" t="s">
        <v>1069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3239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3145</v>
      </c>
      <c r="L1953" s="2" t="s">
        <v>178</v>
      </c>
      <c r="M1953" s="2" t="s">
        <v>41</v>
      </c>
      <c r="O1953" s="2" t="s">
        <v>3151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3239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3145</v>
      </c>
      <c r="L1954" s="2" t="s">
        <v>178</v>
      </c>
      <c r="M1954" s="2" t="s">
        <v>41</v>
      </c>
      <c r="O1954" s="2" t="s">
        <v>3151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3239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1923</v>
      </c>
      <c r="P1955" s="2" t="s">
        <v>115</v>
      </c>
      <c r="Q1955" s="2" t="s">
        <v>958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hidden="1" x14ac:dyDescent="0.2">
      <c r="A1956" s="2">
        <v>2025</v>
      </c>
      <c r="B1956" s="2">
        <v>10</v>
      </c>
      <c r="D1956" s="2" t="s">
        <v>1924</v>
      </c>
      <c r="P1956" s="2" t="s">
        <v>115</v>
      </c>
      <c r="Q1956" s="2" t="s">
        <v>1925</v>
      </c>
      <c r="R1956" s="2" t="s">
        <v>1926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hidden="1" x14ac:dyDescent="0.2">
      <c r="A1957" s="2">
        <v>2025</v>
      </c>
      <c r="B1957" s="2">
        <v>10</v>
      </c>
      <c r="D1957" s="2" t="s">
        <v>1601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1602</v>
      </c>
      <c r="J1957" s="2" t="s">
        <v>1603</v>
      </c>
      <c r="L1957" s="2" t="s">
        <v>202</v>
      </c>
      <c r="M1957" s="2" t="s">
        <v>41</v>
      </c>
      <c r="O1957" s="2" t="s">
        <v>1927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3239</v>
      </c>
      <c r="AA1957" s="2" t="s">
        <v>46</v>
      </c>
      <c r="AB1957" s="2" t="s">
        <v>61</v>
      </c>
      <c r="AC1957" s="2" t="s">
        <v>3345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1601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1602</v>
      </c>
      <c r="J1958" s="2" t="s">
        <v>1603</v>
      </c>
      <c r="L1958" s="2" t="s">
        <v>202</v>
      </c>
      <c r="M1958" s="2" t="s">
        <v>41</v>
      </c>
      <c r="O1958" s="2" t="s">
        <v>1927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3239</v>
      </c>
      <c r="AA1958" s="2" t="s">
        <v>46</v>
      </c>
      <c r="AB1958" s="2" t="s">
        <v>61</v>
      </c>
      <c r="AC1958" s="2" t="s">
        <v>3345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3239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3239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3239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hidden="1" x14ac:dyDescent="0.2">
      <c r="A1963" s="2">
        <v>2025</v>
      </c>
      <c r="B1963" s="2">
        <v>10</v>
      </c>
      <c r="D1963" s="2" t="s">
        <v>1423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2421</v>
      </c>
      <c r="J1963" s="2" t="s">
        <v>2422</v>
      </c>
      <c r="L1963" s="2" t="s">
        <v>202</v>
      </c>
      <c r="M1963" s="2" t="s">
        <v>81</v>
      </c>
      <c r="P1963" s="2" t="s">
        <v>1042</v>
      </c>
      <c r="Q1963" s="2" t="s">
        <v>1928</v>
      </c>
      <c r="R1963" s="2" t="s">
        <v>1929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3239</v>
      </c>
      <c r="AA1963" s="2" t="s">
        <v>1045</v>
      </c>
      <c r="AB1963" s="2" t="s">
        <v>1323</v>
      </c>
      <c r="AC1963" s="2" t="s">
        <v>1042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1423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2421</v>
      </c>
      <c r="J1964" s="2" t="s">
        <v>2422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1914</v>
      </c>
      <c r="R1965" s="2" t="s">
        <v>1915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1930</v>
      </c>
      <c r="R1966" s="2" t="s">
        <v>1931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3236</v>
      </c>
      <c r="P1967" s="2" t="s">
        <v>283</v>
      </c>
      <c r="Q1967" s="2" t="s">
        <v>1396</v>
      </c>
      <c r="R1967" s="2" t="s">
        <v>1397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3239</v>
      </c>
      <c r="AA1967" s="2" t="s">
        <v>72</v>
      </c>
      <c r="AB1967" s="2" t="s">
        <v>1608</v>
      </c>
      <c r="AC1967" s="2" t="s">
        <v>1608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3237</v>
      </c>
      <c r="P1968" s="2" t="s">
        <v>283</v>
      </c>
      <c r="Q1968" s="2" t="s">
        <v>1449</v>
      </c>
      <c r="R1968" s="2" t="s">
        <v>1450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3239</v>
      </c>
      <c r="AA1968" s="2" t="s">
        <v>72</v>
      </c>
      <c r="AB1968" s="2" t="s">
        <v>1608</v>
      </c>
      <c r="AC1968" s="2" t="s">
        <v>1608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1042</v>
      </c>
      <c r="Q1969" s="2" t="s">
        <v>1932</v>
      </c>
      <c r="R1969" s="2" t="s">
        <v>1933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3239</v>
      </c>
      <c r="AA1969" s="2" t="s">
        <v>1045</v>
      </c>
      <c r="AB1969" s="2" t="s">
        <v>1275</v>
      </c>
      <c r="AC1969" s="2" t="s">
        <v>1042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1042</v>
      </c>
      <c r="Q1970" s="2" t="s">
        <v>1934</v>
      </c>
      <c r="R1970" s="2" t="s">
        <v>1935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3239</v>
      </c>
      <c r="AA1970" s="2" t="s">
        <v>1045</v>
      </c>
      <c r="AB1970" s="2" t="s">
        <v>1275</v>
      </c>
      <c r="AC1970" s="2" t="s">
        <v>1042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1042</v>
      </c>
      <c r="Q1971" s="2" t="s">
        <v>1936</v>
      </c>
      <c r="R1971" s="2" t="s">
        <v>1937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3239</v>
      </c>
      <c r="AA1971" s="2" t="s">
        <v>1045</v>
      </c>
      <c r="AB1971" s="2" t="s">
        <v>1323</v>
      </c>
      <c r="AC1971" s="2" t="s">
        <v>1042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1042</v>
      </c>
      <c r="Q1972" s="2" t="s">
        <v>1938</v>
      </c>
      <c r="R1972" s="2" t="s">
        <v>1939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3239</v>
      </c>
      <c r="AA1972" s="2" t="s">
        <v>1045</v>
      </c>
      <c r="AB1972" s="2" t="s">
        <v>1323</v>
      </c>
      <c r="AC1972" s="2" t="s">
        <v>1042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1042</v>
      </c>
      <c r="Q1973" s="2" t="s">
        <v>1940</v>
      </c>
      <c r="R1973" s="2" t="s">
        <v>1941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3239</v>
      </c>
      <c r="AA1973" s="2" t="s">
        <v>1045</v>
      </c>
      <c r="AB1973" s="2" t="s">
        <v>1323</v>
      </c>
      <c r="AC1973" s="2" t="s">
        <v>1042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1042</v>
      </c>
      <c r="Q1974" s="2" t="s">
        <v>1942</v>
      </c>
      <c r="R1974" s="2" t="s">
        <v>1943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3239</v>
      </c>
      <c r="AA1974" s="2" t="s">
        <v>1045</v>
      </c>
      <c r="AB1974" s="2" t="s">
        <v>1323</v>
      </c>
      <c r="AC1974" s="2" t="s">
        <v>1042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hidden="1" x14ac:dyDescent="0.2">
      <c r="A1976" s="2">
        <v>2025</v>
      </c>
      <c r="B1976" s="2">
        <v>10</v>
      </c>
      <c r="D1976" s="2" t="s">
        <v>1092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1093</v>
      </c>
      <c r="J1976" s="2" t="s">
        <v>1094</v>
      </c>
      <c r="K1976" s="2">
        <v>917523997</v>
      </c>
      <c r="L1976" s="2" t="s">
        <v>113</v>
      </c>
      <c r="M1976" s="2" t="s">
        <v>40</v>
      </c>
      <c r="O1976" s="2" t="s">
        <v>1944</v>
      </c>
      <c r="P1976" s="2" t="s">
        <v>115</v>
      </c>
      <c r="Q1976" s="2" t="s">
        <v>1388</v>
      </c>
      <c r="R1976" s="2" t="s">
        <v>1389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hidden="1" x14ac:dyDescent="0.2">
      <c r="A1977" s="2">
        <v>2025</v>
      </c>
      <c r="B1977" s="2">
        <v>10</v>
      </c>
      <c r="D1977" s="2" t="s">
        <v>1945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3178</v>
      </c>
      <c r="L1977" s="2" t="s">
        <v>481</v>
      </c>
      <c r="O1977" s="2" t="s">
        <v>3179</v>
      </c>
      <c r="P1977" s="2" t="s">
        <v>1042</v>
      </c>
      <c r="Q1977" s="2" t="s">
        <v>1946</v>
      </c>
      <c r="R1977" s="2" t="s">
        <v>1947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3239</v>
      </c>
      <c r="AA1977" s="2" t="s">
        <v>1045</v>
      </c>
      <c r="AB1977" s="2" t="s">
        <v>1046</v>
      </c>
      <c r="AC1977" s="2" t="s">
        <v>1042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1945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3178</v>
      </c>
      <c r="L1978" s="2" t="s">
        <v>481</v>
      </c>
      <c r="O1978" s="2" t="s">
        <v>3179</v>
      </c>
      <c r="P1978" s="2" t="s">
        <v>1042</v>
      </c>
      <c r="Q1978" s="2" t="s">
        <v>1948</v>
      </c>
      <c r="R1978" s="2" t="s">
        <v>1949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3239</v>
      </c>
      <c r="AA1978" s="2" t="s">
        <v>1045</v>
      </c>
      <c r="AB1978" s="2" t="s">
        <v>1046</v>
      </c>
      <c r="AC1978" s="2" t="s">
        <v>1042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1280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hidden="1" x14ac:dyDescent="0.2">
      <c r="A1980" s="2">
        <v>2025</v>
      </c>
      <c r="B1980" s="2">
        <v>10</v>
      </c>
      <c r="C1980" s="2" t="s">
        <v>3427</v>
      </c>
      <c r="D1980" s="2" t="s">
        <v>1747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1950</v>
      </c>
      <c r="R1980" s="2" t="s">
        <v>1951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4"/>
        <v>-0.15999999999999998</v>
      </c>
      <c r="Z1980" s="2" t="s">
        <v>3239</v>
      </c>
      <c r="AA1980" s="2" t="s">
        <v>156</v>
      </c>
      <c r="AB1980" s="2" t="s">
        <v>1951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-3.1999999999999993</v>
      </c>
      <c r="AL1980" s="5">
        <f t="shared" si="235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1747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hidden="1" x14ac:dyDescent="0.2">
      <c r="A1982" s="2">
        <v>2025</v>
      </c>
      <c r="B1982" s="2">
        <v>10</v>
      </c>
      <c r="D1982" s="2" t="s">
        <v>1952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3239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1952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3239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hidden="1" x14ac:dyDescent="0.2">
      <c r="A1984" s="2">
        <v>2025</v>
      </c>
      <c r="B1984" s="2">
        <v>10</v>
      </c>
      <c r="D1984" s="2" t="s">
        <v>1953</v>
      </c>
      <c r="P1984" s="2" t="s">
        <v>69</v>
      </c>
      <c r="Q1984" s="2" t="s">
        <v>1164</v>
      </c>
      <c r="R1984" s="2" t="s">
        <v>1165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3239</v>
      </c>
      <c r="AA1984" s="2" t="s">
        <v>72</v>
      </c>
      <c r="AB1984" s="2" t="s">
        <v>69</v>
      </c>
      <c r="AC1984" s="2" t="s">
        <v>3244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3239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3239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3239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3239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3239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3239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3239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3239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3239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1954</v>
      </c>
      <c r="P1994" s="2" t="s">
        <v>3243</v>
      </c>
      <c r="Q1994" s="2" t="s">
        <v>1955</v>
      </c>
      <c r="R1994" s="2" t="s">
        <v>1956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3243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3239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1957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3239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1957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3239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1957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3239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1957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3239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1958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hidden="1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3314</v>
      </c>
      <c r="O2001" s="2" t="s">
        <v>1959</v>
      </c>
      <c r="P2001" s="2" t="s">
        <v>283</v>
      </c>
      <c r="Q2001" s="2" t="s">
        <v>1960</v>
      </c>
      <c r="R2001" s="2" t="s">
        <v>1961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3239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3314</v>
      </c>
      <c r="O2002" s="2" t="s">
        <v>1962</v>
      </c>
      <c r="P2002" s="2" t="s">
        <v>283</v>
      </c>
      <c r="Q2002" s="2" t="s">
        <v>1648</v>
      </c>
      <c r="R2002" s="2" t="s">
        <v>1649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3239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1300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1301</v>
      </c>
      <c r="L2003" s="2" t="s">
        <v>340</v>
      </c>
      <c r="M2003" s="2" t="s">
        <v>81</v>
      </c>
      <c r="O2003" s="2" t="s">
        <v>3214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3239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1300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1301</v>
      </c>
      <c r="L2004" s="2" t="s">
        <v>340</v>
      </c>
      <c r="M2004" s="2" t="s">
        <v>81</v>
      </c>
      <c r="P2004" s="2" t="s">
        <v>1042</v>
      </c>
      <c r="Q2004" s="2" t="s">
        <v>1963</v>
      </c>
      <c r="R2004" s="2" t="s">
        <v>1964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3239</v>
      </c>
      <c r="AA2004" s="2" t="s">
        <v>76</v>
      </c>
      <c r="AB2004" s="2" t="s">
        <v>77</v>
      </c>
      <c r="AC2004" s="2" t="s">
        <v>1042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1300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1301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1300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1301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3239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hidden="1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3239</v>
      </c>
      <c r="AA2007" s="2" t="s">
        <v>46</v>
      </c>
      <c r="AB2007" s="2" t="s">
        <v>61</v>
      </c>
      <c r="AC2007" s="2" t="s">
        <v>3345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hidden="1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3239</v>
      </c>
      <c r="AA2008" s="2" t="s">
        <v>46</v>
      </c>
      <c r="AB2008" s="2" t="s">
        <v>61</v>
      </c>
      <c r="AC2008" s="2" t="s">
        <v>3345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hidden="1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1305</v>
      </c>
      <c r="R2009" s="2" t="s">
        <v>1306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hidden="1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1965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3239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1965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3239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hidden="1" x14ac:dyDescent="0.2">
      <c r="A2013" s="2">
        <v>2025</v>
      </c>
      <c r="B2013" s="2">
        <v>10</v>
      </c>
      <c r="D2013" s="2" t="s">
        <v>1304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hidden="1" x14ac:dyDescent="0.2">
      <c r="A2014" s="2">
        <v>2025</v>
      </c>
      <c r="B2014" s="2">
        <v>10</v>
      </c>
      <c r="D2014" s="2" t="s">
        <v>1123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1123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1123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hidden="1" x14ac:dyDescent="0.2">
      <c r="A2017" s="2">
        <v>2025</v>
      </c>
      <c r="B2017" s="2">
        <v>10</v>
      </c>
      <c r="D2017" s="2" t="s">
        <v>1966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1966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hidden="1" x14ac:dyDescent="0.2">
      <c r="A2019" s="2">
        <v>2025</v>
      </c>
      <c r="B2019" s="2">
        <v>10</v>
      </c>
      <c r="D2019" s="2" t="s">
        <v>1966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hidden="1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1967</v>
      </c>
      <c r="P2020" s="2" t="s">
        <v>115</v>
      </c>
      <c r="Q2020" s="2" t="s">
        <v>1388</v>
      </c>
      <c r="R2020" s="2" t="s">
        <v>1389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hidden="1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hidden="1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3239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3239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1969</v>
      </c>
      <c r="J2024" s="2" t="s">
        <v>1970</v>
      </c>
      <c r="L2024" s="2" t="s">
        <v>294</v>
      </c>
      <c r="M2024" s="2" t="s">
        <v>40</v>
      </c>
      <c r="O2024" s="2" t="s">
        <v>1971</v>
      </c>
      <c r="P2024" s="2" t="s">
        <v>115</v>
      </c>
      <c r="Q2024" s="2" t="s">
        <v>1972</v>
      </c>
      <c r="R2024" s="2" t="s">
        <v>1973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1969</v>
      </c>
      <c r="J2025" s="2" t="s">
        <v>1970</v>
      </c>
      <c r="L2025" s="2" t="s">
        <v>294</v>
      </c>
      <c r="M2025" s="2" t="s">
        <v>40</v>
      </c>
      <c r="P2025" s="2" t="s">
        <v>115</v>
      </c>
      <c r="Q2025" s="2" t="s">
        <v>1974</v>
      </c>
      <c r="R2025" s="2" t="s">
        <v>1975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1969</v>
      </c>
      <c r="J2026" s="2" t="s">
        <v>1970</v>
      </c>
      <c r="L2026" s="2" t="s">
        <v>294</v>
      </c>
      <c r="M2026" s="2" t="s">
        <v>40</v>
      </c>
      <c r="P2026" s="2" t="s">
        <v>115</v>
      </c>
      <c r="Q2026" s="2" t="s">
        <v>1976</v>
      </c>
      <c r="R2026" s="2" t="s">
        <v>1977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hidden="1" x14ac:dyDescent="0.2">
      <c r="A2027" s="2">
        <v>2025</v>
      </c>
      <c r="B2027" s="2">
        <v>10</v>
      </c>
      <c r="D2027" s="2" t="s">
        <v>1978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3239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1978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3239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hidden="1" x14ac:dyDescent="0.2">
      <c r="A2029" s="2">
        <v>2025</v>
      </c>
      <c r="B2029" s="2">
        <v>10</v>
      </c>
      <c r="D2029" s="2" t="s">
        <v>924</v>
      </c>
      <c r="P2029" s="2" t="s">
        <v>3243</v>
      </c>
      <c r="Q2029" s="2" t="s">
        <v>1796</v>
      </c>
      <c r="R2029" s="2" t="s">
        <v>1797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3243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1313</v>
      </c>
      <c r="R2030" s="2" t="s">
        <v>1314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1315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1441</v>
      </c>
      <c r="R2031" s="2" t="s">
        <v>1442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3239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3239</v>
      </c>
      <c r="AA2032" s="2" t="s">
        <v>46</v>
      </c>
      <c r="AB2032" s="2" t="s">
        <v>61</v>
      </c>
      <c r="AC2032" s="2" t="s">
        <v>3345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3239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3239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3239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975</v>
      </c>
      <c r="R2036" s="2" t="s">
        <v>976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3239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3239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3216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3239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1042</v>
      </c>
      <c r="Q2039" s="2" t="s">
        <v>1979</v>
      </c>
      <c r="R2039" s="2" t="s">
        <v>1980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3239</v>
      </c>
      <c r="AA2039" s="2" t="s">
        <v>76</v>
      </c>
      <c r="AB2039" s="2" t="s">
        <v>77</v>
      </c>
      <c r="AC2039" s="2" t="s">
        <v>1042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1981</v>
      </c>
      <c r="R2040" s="2" t="s">
        <v>1982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3239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1313</v>
      </c>
      <c r="R2041" s="2" t="s">
        <v>1314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1315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3239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3394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hidden="1" x14ac:dyDescent="0.2">
      <c r="A2047" s="2">
        <v>2025</v>
      </c>
      <c r="B2047" s="2">
        <v>11</v>
      </c>
      <c r="D2047" s="2" t="s">
        <v>1681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3239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3239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3239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hidden="1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1983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3239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1042</v>
      </c>
      <c r="Q2056" s="2" t="s">
        <v>1984</v>
      </c>
      <c r="R2056" s="2" t="s">
        <v>1985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3239</v>
      </c>
      <c r="AA2056" s="2" t="s">
        <v>76</v>
      </c>
      <c r="AB2056" s="2" t="s">
        <v>77</v>
      </c>
      <c r="AC2056" s="2" t="s">
        <v>1042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0"/>
        <v>-0.53333333333333333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-8</v>
      </c>
      <c r="AL2059" s="5">
        <f t="shared" si="241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3239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3394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3239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3239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3239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1157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hidden="1" x14ac:dyDescent="0.2">
      <c r="A2066" s="2">
        <v>2025</v>
      </c>
      <c r="B2066" s="2">
        <v>11</v>
      </c>
      <c r="D2066" s="2" t="s">
        <v>1157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hidden="1" x14ac:dyDescent="0.2">
      <c r="A2067" s="2">
        <v>2025</v>
      </c>
      <c r="B2067" s="2">
        <v>11</v>
      </c>
      <c r="D2067" s="2" t="s">
        <v>1157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3394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hidden="1" x14ac:dyDescent="0.2">
      <c r="A2068" s="2">
        <v>2025</v>
      </c>
      <c r="B2068" s="2">
        <v>11</v>
      </c>
      <c r="D2068" s="2" t="s">
        <v>1481</v>
      </c>
      <c r="E2068" s="2" t="s">
        <v>754</v>
      </c>
      <c r="F2068" s="2" t="s">
        <v>1482</v>
      </c>
      <c r="G2068" s="2">
        <v>506123758</v>
      </c>
      <c r="H2068" s="2" t="s">
        <v>110</v>
      </c>
      <c r="I2068" s="2" t="s">
        <v>1483</v>
      </c>
      <c r="J2068" s="2" t="s">
        <v>1484</v>
      </c>
      <c r="K2068" s="2">
        <v>936406952</v>
      </c>
      <c r="L2068" s="2" t="s">
        <v>462</v>
      </c>
      <c r="M2068" s="2" t="s">
        <v>40</v>
      </c>
      <c r="O2068" s="2" t="s">
        <v>1986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hidden="1" x14ac:dyDescent="0.2">
      <c r="A2069" s="2">
        <v>2025</v>
      </c>
      <c r="B2069" s="2">
        <v>11</v>
      </c>
      <c r="D2069" s="2" t="s">
        <v>1481</v>
      </c>
      <c r="E2069" s="2" t="s">
        <v>754</v>
      </c>
      <c r="F2069" s="2" t="s">
        <v>1482</v>
      </c>
      <c r="G2069" s="2">
        <v>506123758</v>
      </c>
      <c r="H2069" s="2" t="s">
        <v>110</v>
      </c>
      <c r="I2069" s="2" t="s">
        <v>1483</v>
      </c>
      <c r="J2069" s="2" t="s">
        <v>1484</v>
      </c>
      <c r="K2069" s="2">
        <v>936406952</v>
      </c>
      <c r="L2069" s="2" t="s">
        <v>462</v>
      </c>
      <c r="M2069" s="2" t="s">
        <v>40</v>
      </c>
      <c r="O2069" s="2" t="s">
        <v>1986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hidden="1" x14ac:dyDescent="0.2">
      <c r="A2070" s="2">
        <v>2025</v>
      </c>
      <c r="B2070" s="2">
        <v>11</v>
      </c>
      <c r="D2070" s="2" t="s">
        <v>1987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3239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hidden="1" x14ac:dyDescent="0.2">
      <c r="A2071" s="2">
        <v>2025</v>
      </c>
      <c r="B2071" s="2">
        <v>11</v>
      </c>
      <c r="D2071" s="2" t="s">
        <v>1987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3239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3239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3239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3239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1182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1183</v>
      </c>
      <c r="J2075" s="2" t="s">
        <v>1184</v>
      </c>
      <c r="L2075" s="2" t="s">
        <v>462</v>
      </c>
      <c r="M2075" s="2" t="s">
        <v>41</v>
      </c>
      <c r="O2075" s="2" t="s">
        <v>1988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3239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1182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1183</v>
      </c>
      <c r="J2076" s="2" t="s">
        <v>1184</v>
      </c>
      <c r="L2076" s="2" t="s">
        <v>462</v>
      </c>
      <c r="M2076" s="2" t="s">
        <v>41</v>
      </c>
      <c r="O2076" s="2" t="s">
        <v>1988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3239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hidden="1" x14ac:dyDescent="0.2">
      <c r="A2077" s="2">
        <v>2025</v>
      </c>
      <c r="B2077" s="2">
        <v>11</v>
      </c>
      <c r="D2077" s="2" t="s">
        <v>1182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1183</v>
      </c>
      <c r="J2077" s="2" t="s">
        <v>1184</v>
      </c>
      <c r="L2077" s="2" t="s">
        <v>462</v>
      </c>
      <c r="M2077" s="2" t="s">
        <v>41</v>
      </c>
      <c r="O2077" s="2" t="s">
        <v>1988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3239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hidden="1" x14ac:dyDescent="0.2">
      <c r="A2078" s="2">
        <v>2025</v>
      </c>
      <c r="B2078" s="2">
        <v>11</v>
      </c>
      <c r="D2078" s="2" t="s">
        <v>1494</v>
      </c>
      <c r="P2078" s="2" t="s">
        <v>115</v>
      </c>
      <c r="Q2078" s="2" t="s">
        <v>1989</v>
      </c>
      <c r="R2078" s="2" t="s">
        <v>1990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hidden="1" x14ac:dyDescent="0.2">
      <c r="A2079" s="2">
        <v>2025</v>
      </c>
      <c r="B2079" s="2">
        <v>11</v>
      </c>
      <c r="D2079" s="2" t="s">
        <v>1495</v>
      </c>
      <c r="P2079" s="2" t="s">
        <v>115</v>
      </c>
      <c r="Q2079" s="2" t="s">
        <v>1895</v>
      </c>
      <c r="R2079" s="2" t="s">
        <v>1896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hidden="1" x14ac:dyDescent="0.2">
      <c r="A2080" s="2">
        <v>2025</v>
      </c>
      <c r="B2080" s="2">
        <v>11</v>
      </c>
      <c r="D2080" s="2" t="s">
        <v>1495</v>
      </c>
      <c r="P2080" s="2" t="s">
        <v>115</v>
      </c>
      <c r="Q2080" s="2" t="s">
        <v>1586</v>
      </c>
      <c r="R2080" s="2" t="s">
        <v>1587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hidden="1" x14ac:dyDescent="0.2">
      <c r="A2081" s="2">
        <v>2025</v>
      </c>
      <c r="B2081" s="2">
        <v>11</v>
      </c>
      <c r="D2081" s="2" t="s">
        <v>1991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1992</v>
      </c>
      <c r="K2081" s="2">
        <v>924064533</v>
      </c>
      <c r="L2081" s="2" t="s">
        <v>113</v>
      </c>
      <c r="M2081" s="2" t="s">
        <v>81</v>
      </c>
      <c r="O2081" s="2" t="s">
        <v>1993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3239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1991</v>
      </c>
      <c r="M2082" s="2" t="s">
        <v>81</v>
      </c>
      <c r="P2082" s="2" t="s">
        <v>1042</v>
      </c>
      <c r="Q2082" s="2" t="s">
        <v>1994</v>
      </c>
      <c r="R2082" s="2" t="s">
        <v>1995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3239</v>
      </c>
      <c r="AA2082" s="2" t="s">
        <v>3397</v>
      </c>
      <c r="AB2082" s="2" t="s">
        <v>1996</v>
      </c>
      <c r="AC2082" s="2" t="s">
        <v>1042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964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1997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3239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964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3239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1998</v>
      </c>
      <c r="P2085" s="2" t="s">
        <v>43</v>
      </c>
      <c r="Q2085" s="2" t="s">
        <v>973</v>
      </c>
      <c r="R2085" s="2" t="s">
        <v>974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3239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1998</v>
      </c>
      <c r="P2086" s="2" t="s">
        <v>43</v>
      </c>
      <c r="Q2086" s="2" t="s">
        <v>975</v>
      </c>
      <c r="R2086" s="2" t="s">
        <v>976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3239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1999</v>
      </c>
      <c r="P2087" s="2" t="s">
        <v>73</v>
      </c>
      <c r="Q2087" s="2" t="s">
        <v>2000</v>
      </c>
      <c r="R2087" s="2" t="s">
        <v>1421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3239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1999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3239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hidden="1" x14ac:dyDescent="0.2">
      <c r="A2089" s="2">
        <v>2025</v>
      </c>
      <c r="B2089" s="2">
        <v>11</v>
      </c>
      <c r="D2089" s="2" t="s">
        <v>1193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1194</v>
      </c>
      <c r="K2089" s="2">
        <v>965705708</v>
      </c>
      <c r="L2089" s="2" t="s">
        <v>419</v>
      </c>
      <c r="M2089" s="2" t="s">
        <v>40</v>
      </c>
      <c r="O2089" s="2" t="s">
        <v>2001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3394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3239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hidden="1" x14ac:dyDescent="0.2">
      <c r="A2091" s="2">
        <v>2025</v>
      </c>
      <c r="B2091" s="2">
        <v>11</v>
      </c>
      <c r="D2091" s="2" t="s">
        <v>2002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2002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hidden="1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hidden="1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3239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hidden="1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hidden="1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3239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hidden="1" x14ac:dyDescent="0.2">
      <c r="A2098" s="2">
        <v>2025</v>
      </c>
      <c r="B2098" s="2">
        <v>11</v>
      </c>
      <c r="D2098" s="2" t="s">
        <v>2003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hidden="1" x14ac:dyDescent="0.2">
      <c r="A2099" s="2">
        <v>2025</v>
      </c>
      <c r="B2099" s="2">
        <v>11</v>
      </c>
      <c r="D2099" s="2" t="s">
        <v>2003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1703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3239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1703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3239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1703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3239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2004</v>
      </c>
      <c r="M2103" s="2" t="s">
        <v>81</v>
      </c>
      <c r="O2103" s="2" t="s">
        <v>2005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3239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2004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3239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2006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2006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hidden="1" x14ac:dyDescent="0.2">
      <c r="A2107" s="2">
        <v>2025</v>
      </c>
      <c r="B2107" s="2">
        <v>11</v>
      </c>
      <c r="D2107" s="2" t="s">
        <v>1010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3239</v>
      </c>
      <c r="AA2107" s="2" t="s">
        <v>46</v>
      </c>
      <c r="AB2107" s="2" t="s">
        <v>61</v>
      </c>
      <c r="AC2107" s="2" t="s">
        <v>3345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hidden="1" x14ac:dyDescent="0.2">
      <c r="A2108" s="2">
        <v>2025</v>
      </c>
      <c r="B2108" s="2">
        <v>11</v>
      </c>
      <c r="D2108" s="2" t="s">
        <v>1010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3239</v>
      </c>
      <c r="AA2108" s="2" t="s">
        <v>46</v>
      </c>
      <c r="AB2108" s="2" t="s">
        <v>61</v>
      </c>
      <c r="AC2108" s="2" t="s">
        <v>3345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hidden="1" x14ac:dyDescent="0.2">
      <c r="A2109" s="2">
        <v>2025</v>
      </c>
      <c r="B2109" s="2">
        <v>11</v>
      </c>
      <c r="D2109" s="2" t="s">
        <v>1799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hidden="1" x14ac:dyDescent="0.2">
      <c r="A2110" s="2">
        <v>2025</v>
      </c>
      <c r="B2110" s="2">
        <v>11</v>
      </c>
      <c r="D2110" s="2" t="s">
        <v>1799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hidden="1" x14ac:dyDescent="0.2">
      <c r="A2111" s="2">
        <v>2025</v>
      </c>
      <c r="B2111" s="2">
        <v>11</v>
      </c>
      <c r="D2111" s="2" t="s">
        <v>1897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3239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hidden="1" x14ac:dyDescent="0.2">
      <c r="A2112" s="2">
        <v>2025</v>
      </c>
      <c r="B2112" s="2">
        <v>11</v>
      </c>
      <c r="D2112" s="2" t="s">
        <v>1897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3239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1897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2007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3239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2008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hidden="1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2008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hidden="1" x14ac:dyDescent="0.2">
      <c r="A2116" s="2">
        <v>2025</v>
      </c>
      <c r="B2116" s="2">
        <v>11</v>
      </c>
      <c r="D2116" s="2" t="s">
        <v>2009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2009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hidden="1" x14ac:dyDescent="0.2">
      <c r="A2118" s="2">
        <v>2025</v>
      </c>
      <c r="B2118" s="2">
        <v>11</v>
      </c>
      <c r="D2118" s="2" t="s">
        <v>2009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1138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3239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3239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hidden="1" x14ac:dyDescent="0.2">
      <c r="A2121" s="2">
        <v>2025</v>
      </c>
      <c r="B2121" s="2">
        <v>11</v>
      </c>
      <c r="D2121" s="2" t="s">
        <v>1012</v>
      </c>
      <c r="P2121" s="2" t="s">
        <v>283</v>
      </c>
      <c r="Q2121" s="2" t="s">
        <v>2010</v>
      </c>
      <c r="R2121" s="2" t="s">
        <v>2011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3239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hidden="1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2012</v>
      </c>
      <c r="R2122" s="2" t="s">
        <v>2013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hidden="1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3239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2014</v>
      </c>
      <c r="Q2124" s="2" t="s">
        <v>2015</v>
      </c>
      <c r="R2124" s="2" t="s">
        <v>2016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hidden="1" x14ac:dyDescent="0.2">
      <c r="A2125" s="2">
        <v>2025</v>
      </c>
      <c r="B2125" s="2">
        <v>11</v>
      </c>
      <c r="D2125" s="2" t="s">
        <v>2017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hidden="1" x14ac:dyDescent="0.2">
      <c r="A2126" s="2">
        <v>2025</v>
      </c>
      <c r="B2126" s="2">
        <v>11</v>
      </c>
      <c r="D2126" s="2" t="s">
        <v>2017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hidden="1" x14ac:dyDescent="0.2">
      <c r="A2127" s="2">
        <v>2025</v>
      </c>
      <c r="B2127" s="2">
        <v>11</v>
      </c>
      <c r="D2127" s="2" t="s">
        <v>2018</v>
      </c>
      <c r="P2127" s="2" t="s">
        <v>115</v>
      </c>
      <c r="Q2127" s="2" t="s">
        <v>982</v>
      </c>
      <c r="R2127" s="2" t="s">
        <v>983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hidden="1" x14ac:dyDescent="0.2">
      <c r="A2128" s="2">
        <v>2025</v>
      </c>
      <c r="B2128" s="2">
        <v>11</v>
      </c>
      <c r="D2128" s="2" t="s">
        <v>2018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hidden="1" x14ac:dyDescent="0.2">
      <c r="A2129" s="2">
        <v>2025</v>
      </c>
      <c r="B2129" s="2">
        <v>11</v>
      </c>
      <c r="D2129" s="2" t="s">
        <v>2018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2486</v>
      </c>
      <c r="J2130" s="2" t="s">
        <v>3134</v>
      </c>
      <c r="K2130" s="2">
        <v>965864665</v>
      </c>
      <c r="L2130" s="2" t="s">
        <v>345</v>
      </c>
      <c r="M2130" s="2" t="s">
        <v>81</v>
      </c>
      <c r="O2130" s="2" t="s">
        <v>3138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3239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2486</v>
      </c>
      <c r="J2131" s="2" t="s">
        <v>3134</v>
      </c>
      <c r="K2131" s="2">
        <v>965864665</v>
      </c>
      <c r="L2131" s="2" t="s">
        <v>345</v>
      </c>
      <c r="M2131" s="2" t="s">
        <v>81</v>
      </c>
      <c r="O2131" s="2" t="s">
        <v>3138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3239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3239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3239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hidden="1" x14ac:dyDescent="0.2">
      <c r="A2135" s="2">
        <v>2025</v>
      </c>
      <c r="B2135" s="2">
        <v>11</v>
      </c>
      <c r="D2135" s="2" t="s">
        <v>2019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hidden="1" x14ac:dyDescent="0.2">
      <c r="A2136" s="2">
        <v>2025</v>
      </c>
      <c r="B2136" s="2">
        <v>11</v>
      </c>
      <c r="D2136" s="2" t="s">
        <v>2019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hidden="1" x14ac:dyDescent="0.2">
      <c r="A2137" s="2">
        <v>2025</v>
      </c>
      <c r="B2137" s="2">
        <v>11</v>
      </c>
      <c r="D2137" s="2" t="s">
        <v>1019</v>
      </c>
      <c r="M2137" s="2" t="s">
        <v>81</v>
      </c>
      <c r="O2137" s="2" t="s">
        <v>2020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3239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1019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3239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1019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3239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3239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3239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1378</v>
      </c>
      <c r="P2142" s="2" t="s">
        <v>115</v>
      </c>
      <c r="Q2142" s="2" t="s">
        <v>2021</v>
      </c>
      <c r="R2142" s="2" t="s">
        <v>2022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hidden="1" x14ac:dyDescent="0.2">
      <c r="A2143" s="2">
        <v>2025</v>
      </c>
      <c r="B2143" s="2">
        <v>11</v>
      </c>
      <c r="D2143" s="2" t="s">
        <v>1378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hidden="1" x14ac:dyDescent="0.2">
      <c r="A2144" s="2">
        <v>2025</v>
      </c>
      <c r="B2144" s="2">
        <v>11</v>
      </c>
      <c r="D2144" s="2" t="s">
        <v>1378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hidden="1" x14ac:dyDescent="0.2">
      <c r="A2145" s="2">
        <v>2025</v>
      </c>
      <c r="B2145" s="2">
        <v>11</v>
      </c>
      <c r="D2145" s="2" t="s">
        <v>1378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1378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hidden="1" x14ac:dyDescent="0.2">
      <c r="A2147" s="2">
        <v>2025</v>
      </c>
      <c r="B2147" s="2">
        <v>11</v>
      </c>
      <c r="D2147" s="2" t="s">
        <v>1561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1562</v>
      </c>
      <c r="J2147" s="2" t="s">
        <v>1563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3239</v>
      </c>
      <c r="AA2147" s="2" t="s">
        <v>46</v>
      </c>
      <c r="AB2147" s="2" t="s">
        <v>61</v>
      </c>
      <c r="AC2147" s="2" t="s">
        <v>3345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hidden="1" x14ac:dyDescent="0.2">
      <c r="A2148" s="2">
        <v>2025</v>
      </c>
      <c r="B2148" s="2">
        <v>11</v>
      </c>
      <c r="D2148" s="2" t="s">
        <v>1561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1562</v>
      </c>
      <c r="J2148" s="2" t="s">
        <v>1563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3239</v>
      </c>
      <c r="AA2148" s="2" t="s">
        <v>46</v>
      </c>
      <c r="AB2148" s="2" t="s">
        <v>61</v>
      </c>
      <c r="AC2148" s="2" t="s">
        <v>3345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3239</v>
      </c>
      <c r="AA2149" s="2" t="s">
        <v>46</v>
      </c>
      <c r="AB2149" s="2" t="s">
        <v>61</v>
      </c>
      <c r="AC2149" s="2" t="s">
        <v>3345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3239</v>
      </c>
      <c r="AA2150" s="2" t="s">
        <v>46</v>
      </c>
      <c r="AB2150" s="2" t="s">
        <v>61</v>
      </c>
      <c r="AC2150" s="2" t="s">
        <v>3345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hidden="1" x14ac:dyDescent="0.2">
      <c r="A2151" s="2">
        <v>2025</v>
      </c>
      <c r="B2151" s="2">
        <v>11</v>
      </c>
      <c r="D2151" s="2" t="s">
        <v>1245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hidden="1" x14ac:dyDescent="0.2">
      <c r="A2152" s="2">
        <v>2025</v>
      </c>
      <c r="B2152" s="2">
        <v>11</v>
      </c>
      <c r="D2152" s="2" t="s">
        <v>1245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hidden="1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2023</v>
      </c>
      <c r="P2153" s="2" t="s">
        <v>43</v>
      </c>
      <c r="Q2153" s="2" t="s">
        <v>2024</v>
      </c>
      <c r="R2153" s="2" t="s">
        <v>2025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3239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hidden="1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2023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3239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hidden="1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2023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3239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3188</v>
      </c>
      <c r="K2156" s="2">
        <v>911577458</v>
      </c>
      <c r="L2156" s="2" t="s">
        <v>178</v>
      </c>
      <c r="M2156" s="2" t="s">
        <v>41</v>
      </c>
      <c r="O2156" s="2" t="s">
        <v>3191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3239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3188</v>
      </c>
      <c r="K2157" s="2">
        <v>911577458</v>
      </c>
      <c r="L2157" s="2" t="s">
        <v>178</v>
      </c>
      <c r="M2157" s="2" t="s">
        <v>41</v>
      </c>
      <c r="O2157" s="2" t="s">
        <v>3191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3239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3188</v>
      </c>
      <c r="K2158" s="2">
        <v>911577458</v>
      </c>
      <c r="L2158" s="2" t="s">
        <v>178</v>
      </c>
      <c r="M2158" s="2" t="s">
        <v>41</v>
      </c>
      <c r="O2158" s="2" t="s">
        <v>3191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3239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2026</v>
      </c>
      <c r="P2159" s="2" t="s">
        <v>283</v>
      </c>
      <c r="Q2159" s="2" t="s">
        <v>1158</v>
      </c>
      <c r="R2159" s="2" t="s">
        <v>1159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1582</v>
      </c>
      <c r="AB2159" s="2" t="s">
        <v>389</v>
      </c>
      <c r="AC2159" s="2" t="s">
        <v>1332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2026</v>
      </c>
      <c r="P2160" s="2" t="s">
        <v>283</v>
      </c>
      <c r="Q2160" s="2" t="s">
        <v>1162</v>
      </c>
      <c r="R2160" s="2" t="s">
        <v>1163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hidden="1" x14ac:dyDescent="0.2">
      <c r="A2161" s="2">
        <v>2025</v>
      </c>
      <c r="B2161" s="2">
        <v>11</v>
      </c>
      <c r="D2161" s="2" t="s">
        <v>2027</v>
      </c>
      <c r="M2161" s="2" t="s">
        <v>40</v>
      </c>
      <c r="P2161" s="2" t="s">
        <v>188</v>
      </c>
      <c r="Q2161" s="2" t="s">
        <v>1313</v>
      </c>
      <c r="R2161" s="2" t="s">
        <v>1314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1315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hidden="1" x14ac:dyDescent="0.2">
      <c r="A2162" s="2">
        <v>2025</v>
      </c>
      <c r="B2162" s="2">
        <v>11</v>
      </c>
      <c r="D2162" s="2" t="s">
        <v>2028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2029</v>
      </c>
      <c r="J2162" s="2" t="s">
        <v>2030</v>
      </c>
      <c r="K2162" s="2">
        <v>966004647</v>
      </c>
      <c r="L2162" s="2" t="s">
        <v>462</v>
      </c>
      <c r="M2162" s="2" t="s">
        <v>81</v>
      </c>
      <c r="O2162" s="2" t="s">
        <v>2031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3239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2028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3239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3394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hidden="1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hidden="1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hidden="1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hidden="1" x14ac:dyDescent="0.2">
      <c r="A2170" s="2">
        <v>2025</v>
      </c>
      <c r="B2170" s="2">
        <v>11</v>
      </c>
      <c r="D2170" s="2" t="s">
        <v>1393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1393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hidden="1" x14ac:dyDescent="0.2">
      <c r="A2172" s="2">
        <v>2025</v>
      </c>
      <c r="B2172" s="2">
        <v>11</v>
      </c>
      <c r="D2172" s="2" t="s">
        <v>1393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2032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2032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3239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2032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3239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3243</v>
      </c>
      <c r="Q2176" s="2" t="s">
        <v>2033</v>
      </c>
      <c r="R2176" s="2" t="s">
        <v>2034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3243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3243</v>
      </c>
      <c r="Q2177" s="2" t="s">
        <v>2035</v>
      </c>
      <c r="R2177" s="2" t="s">
        <v>2036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2037</v>
      </c>
      <c r="AC2177" s="2" t="s">
        <v>3243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hidden="1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3239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3239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hidden="1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2038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3239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2038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3239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2038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3239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2038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3239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3239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1042</v>
      </c>
      <c r="Q2187" s="2" t="s">
        <v>2039</v>
      </c>
      <c r="R2187" s="2" t="s">
        <v>2040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3239</v>
      </c>
      <c r="AA2187" s="2" t="s">
        <v>1045</v>
      </c>
      <c r="AB2187" s="2" t="s">
        <v>2041</v>
      </c>
      <c r="AC2187" s="2" t="s">
        <v>1042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1042</v>
      </c>
      <c r="Q2188" s="2" t="s">
        <v>2042</v>
      </c>
      <c r="R2188" s="2" t="s">
        <v>2043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3239</v>
      </c>
      <c r="AA2188" s="2" t="s">
        <v>1045</v>
      </c>
      <c r="AB2188" s="2" t="s">
        <v>2041</v>
      </c>
      <c r="AC2188" s="2" t="s">
        <v>1042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3239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hidden="1" x14ac:dyDescent="0.2">
      <c r="A2192" s="2">
        <v>2025</v>
      </c>
      <c r="B2192" s="2">
        <v>11</v>
      </c>
      <c r="D2192" s="2" t="s">
        <v>2044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2044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hidden="1" x14ac:dyDescent="0.2">
      <c r="A2194" s="2">
        <v>2025</v>
      </c>
      <c r="B2194" s="2">
        <v>11</v>
      </c>
      <c r="D2194" s="2" t="s">
        <v>2044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hidden="1" x14ac:dyDescent="0.2">
      <c r="A2195" s="2">
        <v>2025</v>
      </c>
      <c r="B2195" s="2">
        <v>11</v>
      </c>
      <c r="D2195" s="2" t="s">
        <v>1917</v>
      </c>
      <c r="P2195" s="2" t="s">
        <v>283</v>
      </c>
      <c r="Q2195" s="2" t="s">
        <v>1555</v>
      </c>
      <c r="R2195" s="2" t="s">
        <v>1556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1917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3239</v>
      </c>
      <c r="AA2196" s="2" t="s">
        <v>46</v>
      </c>
      <c r="AB2196" s="2" t="s">
        <v>61</v>
      </c>
      <c r="AC2196" s="2" t="s">
        <v>3345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1724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1724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hidden="1" x14ac:dyDescent="0.2">
      <c r="A2199" s="2">
        <v>2025</v>
      </c>
      <c r="B2199" s="2">
        <v>11</v>
      </c>
      <c r="D2199" s="2" t="s">
        <v>1724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1441</v>
      </c>
      <c r="R2200" s="2" t="s">
        <v>1442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3239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493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hidden="1" x14ac:dyDescent="0.2">
      <c r="A2202" s="2">
        <v>2025</v>
      </c>
      <c r="B2202" s="2">
        <v>11</v>
      </c>
      <c r="D2202" s="2" t="s">
        <v>1404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2045</v>
      </c>
      <c r="R2203" s="2" t="s">
        <v>2046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3239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3239</v>
      </c>
      <c r="AA2204" s="2" t="s">
        <v>46</v>
      </c>
      <c r="AB2204" s="2" t="s">
        <v>61</v>
      </c>
      <c r="AC2204" s="2" t="s">
        <v>3345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1363</v>
      </c>
      <c r="Q2205" s="2" t="s">
        <v>1364</v>
      </c>
      <c r="R2205" s="2" t="s">
        <v>1365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3239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hidden="1" x14ac:dyDescent="0.2">
      <c r="A2206" s="2">
        <v>2025</v>
      </c>
      <c r="B2206" s="2">
        <v>11</v>
      </c>
      <c r="C2206" s="2" t="s">
        <v>3408</v>
      </c>
      <c r="D2206" s="2" t="s">
        <v>1728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1441</v>
      </c>
      <c r="R2206" s="2" t="s">
        <v>1442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3239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3408</v>
      </c>
      <c r="D2207" s="2" t="s">
        <v>1728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2047</v>
      </c>
      <c r="R2207" s="2" t="s">
        <v>2048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3239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1075</v>
      </c>
      <c r="P2208" s="2" t="s">
        <v>283</v>
      </c>
      <c r="Q2208" s="2" t="s">
        <v>2049</v>
      </c>
      <c r="R2208" s="2" t="s">
        <v>2050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3239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1075</v>
      </c>
      <c r="P2209" s="2" t="s">
        <v>283</v>
      </c>
      <c r="Q2209" s="2" t="s">
        <v>2051</v>
      </c>
      <c r="R2209" s="2" t="s">
        <v>2052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3239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hidden="1" x14ac:dyDescent="0.2">
      <c r="A2210" s="2">
        <v>2025</v>
      </c>
      <c r="B2210" s="2">
        <v>11</v>
      </c>
      <c r="D2210" s="2" t="s">
        <v>1075</v>
      </c>
      <c r="P2210" s="2" t="s">
        <v>283</v>
      </c>
      <c r="Q2210" s="2" t="s">
        <v>2053</v>
      </c>
      <c r="R2210" s="2" t="s">
        <v>2054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3239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hidden="1" x14ac:dyDescent="0.2">
      <c r="A2211" s="2">
        <v>2025</v>
      </c>
      <c r="B2211" s="2">
        <v>11</v>
      </c>
      <c r="D2211" s="2" t="s">
        <v>1075</v>
      </c>
      <c r="P2211" s="2" t="s">
        <v>283</v>
      </c>
      <c r="Q2211" s="2" t="s">
        <v>2055</v>
      </c>
      <c r="R2211" s="2" t="s">
        <v>2056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3239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hidden="1" x14ac:dyDescent="0.2">
      <c r="A2212" s="2">
        <v>2025</v>
      </c>
      <c r="B2212" s="2">
        <v>11</v>
      </c>
      <c r="D2212" s="2" t="s">
        <v>2057</v>
      </c>
      <c r="M2212" s="2" t="s">
        <v>81</v>
      </c>
      <c r="O2212" s="2" t="s">
        <v>2058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3239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2057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3239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hidden="1" x14ac:dyDescent="0.2">
      <c r="A2214" s="2">
        <v>2025</v>
      </c>
      <c r="B2214" s="2">
        <v>11</v>
      </c>
      <c r="D2214" s="2" t="s">
        <v>2059</v>
      </c>
      <c r="P2214" s="2" t="s">
        <v>115</v>
      </c>
      <c r="Q2214" s="2" t="s">
        <v>2060</v>
      </c>
      <c r="R2214" s="2" t="s">
        <v>2061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hidden="1" x14ac:dyDescent="0.2">
      <c r="A2215" s="2">
        <v>2025</v>
      </c>
      <c r="B2215" s="2">
        <v>11</v>
      </c>
      <c r="D2215" s="2" t="s">
        <v>2062</v>
      </c>
      <c r="P2215" s="2" t="s">
        <v>73</v>
      </c>
      <c r="Q2215" s="2" t="s">
        <v>1079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3239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2062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3239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2063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3239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3239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hidden="1" x14ac:dyDescent="0.2">
      <c r="A2220" s="2">
        <v>2025</v>
      </c>
      <c r="B2220" s="2">
        <v>11</v>
      </c>
      <c r="D2220" s="2" t="s">
        <v>1730</v>
      </c>
      <c r="P2220" s="2" t="s">
        <v>115</v>
      </c>
      <c r="Q2220" s="2" t="s">
        <v>1801</v>
      </c>
      <c r="R2220" s="2" t="s">
        <v>1802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hidden="1" x14ac:dyDescent="0.2">
      <c r="A2221" s="2">
        <v>2025</v>
      </c>
      <c r="B2221" s="2">
        <v>11</v>
      </c>
      <c r="D2221" s="2" t="s">
        <v>1423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2421</v>
      </c>
      <c r="J2221" s="2" t="s">
        <v>2422</v>
      </c>
      <c r="L2221" s="2" t="s">
        <v>202</v>
      </c>
      <c r="M2221" s="2" t="s">
        <v>81</v>
      </c>
      <c r="O2221" s="2" t="s">
        <v>3176</v>
      </c>
      <c r="P2221" s="2" t="s">
        <v>1042</v>
      </c>
      <c r="Q2221" s="2" t="s">
        <v>2064</v>
      </c>
      <c r="R2221" s="2" t="s">
        <v>2065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3239</v>
      </c>
      <c r="AA2221" s="2" t="s">
        <v>1045</v>
      </c>
      <c r="AB2221" s="2" t="s">
        <v>1323</v>
      </c>
      <c r="AC2221" s="2" t="s">
        <v>1042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1423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2421</v>
      </c>
      <c r="J2222" s="2" t="s">
        <v>2422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hidden="1" x14ac:dyDescent="0.2">
      <c r="A2223" s="2">
        <v>2025</v>
      </c>
      <c r="B2223" s="2">
        <v>11</v>
      </c>
      <c r="D2223" s="2" t="s">
        <v>1424</v>
      </c>
      <c r="P2223" s="2" t="s">
        <v>73</v>
      </c>
      <c r="Q2223" s="2" t="s">
        <v>2066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3239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1424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3239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2067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3239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2067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3239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2068</v>
      </c>
      <c r="P2227" s="2" t="s">
        <v>73</v>
      </c>
      <c r="Q2227" s="2" t="s">
        <v>1138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3239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2068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2067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3239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3238</v>
      </c>
      <c r="P2230" s="2" t="s">
        <v>283</v>
      </c>
      <c r="Q2230" s="2" t="s">
        <v>2069</v>
      </c>
      <c r="R2230" s="2" t="s">
        <v>2070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3239</v>
      </c>
      <c r="AA2230" s="2" t="s">
        <v>72</v>
      </c>
      <c r="AB2230" s="2" t="s">
        <v>1608</v>
      </c>
      <c r="AC2230" s="2" t="s">
        <v>1608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2071</v>
      </c>
      <c r="E2231" s="2" t="s">
        <v>109</v>
      </c>
      <c r="G2231" s="2">
        <v>506055884</v>
      </c>
      <c r="H2231" s="2" t="s">
        <v>40</v>
      </c>
      <c r="I2231" s="2" t="s">
        <v>2072</v>
      </c>
      <c r="J2231" s="2" t="s">
        <v>2073</v>
      </c>
      <c r="L2231" s="2" t="s">
        <v>100</v>
      </c>
      <c r="M2231" s="2" t="s">
        <v>40</v>
      </c>
      <c r="O2231" s="2" t="s">
        <v>2074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1629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3239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hidden="1" x14ac:dyDescent="0.2">
      <c r="A2233" s="2">
        <v>2025</v>
      </c>
      <c r="B2233" s="2">
        <v>11</v>
      </c>
      <c r="D2233" s="2" t="s">
        <v>1629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3239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hidden="1" x14ac:dyDescent="0.2">
      <c r="A2234" s="2">
        <v>2025</v>
      </c>
      <c r="B2234" s="2">
        <v>11</v>
      </c>
      <c r="D2234" s="2" t="s">
        <v>1629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3239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1629</v>
      </c>
      <c r="P2235" s="2" t="s">
        <v>43</v>
      </c>
      <c r="Q2235" s="2" t="s">
        <v>1740</v>
      </c>
      <c r="R2235" s="2" t="s">
        <v>1741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3239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hidden="1" x14ac:dyDescent="0.2">
      <c r="A2236" s="2">
        <v>2025</v>
      </c>
      <c r="B2236" s="2">
        <v>11</v>
      </c>
      <c r="D2236" s="2" t="s">
        <v>1629</v>
      </c>
      <c r="P2236" s="2" t="s">
        <v>43</v>
      </c>
      <c r="Q2236" s="2" t="s">
        <v>2075</v>
      </c>
      <c r="R2236" s="2" t="s">
        <v>2076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3239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hidden="1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3239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3239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3239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hidden="1" x14ac:dyDescent="0.2">
      <c r="A2240" s="2">
        <v>2025</v>
      </c>
      <c r="B2240" s="2">
        <v>11</v>
      </c>
      <c r="D2240" s="2" t="s">
        <v>1096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3239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1096</v>
      </c>
      <c r="P2241" s="2" t="s">
        <v>85</v>
      </c>
      <c r="Q2241" s="2" t="s">
        <v>2077</v>
      </c>
      <c r="R2241" s="2" t="s">
        <v>2078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3239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hidden="1" x14ac:dyDescent="0.2">
      <c r="A2242" s="2">
        <v>2025</v>
      </c>
      <c r="B2242" s="2">
        <v>11</v>
      </c>
      <c r="D2242" s="2" t="s">
        <v>1295</v>
      </c>
      <c r="P2242" s="2" t="s">
        <v>115</v>
      </c>
      <c r="Q2242" s="2" t="s">
        <v>1218</v>
      </c>
      <c r="R2242" s="2" t="s">
        <v>1219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hidden="1" x14ac:dyDescent="0.2">
      <c r="A2243" s="2">
        <v>2025</v>
      </c>
      <c r="B2243" s="2">
        <v>11</v>
      </c>
      <c r="D2243" s="2" t="s">
        <v>1295</v>
      </c>
      <c r="P2243" s="2" t="s">
        <v>69</v>
      </c>
      <c r="Q2243" s="2" t="s">
        <v>2079</v>
      </c>
      <c r="R2243" s="2" t="s">
        <v>2080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3244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hidden="1" x14ac:dyDescent="0.2">
      <c r="A2244" s="2">
        <v>2025</v>
      </c>
      <c r="B2244" s="2">
        <v>11</v>
      </c>
      <c r="D2244" s="2" t="s">
        <v>1952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1952</v>
      </c>
      <c r="P2245" s="2" t="s">
        <v>115</v>
      </c>
      <c r="Q2245" s="2" t="s">
        <v>1337</v>
      </c>
      <c r="R2245" s="2" t="s">
        <v>1338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3239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3239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3239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hidden="1" x14ac:dyDescent="0.2">
      <c r="A2249" s="2">
        <v>2025</v>
      </c>
      <c r="B2249" s="2">
        <v>11</v>
      </c>
      <c r="D2249" s="2" t="s">
        <v>2081</v>
      </c>
      <c r="P2249" s="2" t="s">
        <v>115</v>
      </c>
      <c r="Q2249" s="2" t="s">
        <v>1895</v>
      </c>
      <c r="R2249" s="2" t="s">
        <v>1896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1079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3239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3239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3239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3239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2082</v>
      </c>
      <c r="P2255" s="2" t="s">
        <v>283</v>
      </c>
      <c r="Q2255" s="2" t="s">
        <v>1789</v>
      </c>
      <c r="R2255" s="2" t="s">
        <v>1790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hidden="1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2083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3239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2083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3239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2083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3239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hidden="1" x14ac:dyDescent="0.2">
      <c r="A2259" s="2">
        <v>2025</v>
      </c>
      <c r="B2259" s="2">
        <v>11</v>
      </c>
      <c r="D2259" s="2" t="s">
        <v>1300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1301</v>
      </c>
      <c r="L2259" s="2" t="s">
        <v>340</v>
      </c>
      <c r="P2259" s="2" t="s">
        <v>73</v>
      </c>
      <c r="Q2259" s="2" t="s">
        <v>1453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3239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1300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1301</v>
      </c>
      <c r="L2260" s="2" t="s">
        <v>340</v>
      </c>
      <c r="M2260" s="2" t="s">
        <v>81</v>
      </c>
      <c r="O2260" s="2" t="s">
        <v>3215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3239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1300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1301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3239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hidden="1" x14ac:dyDescent="0.2">
      <c r="A2262" s="2">
        <v>2025</v>
      </c>
      <c r="B2262" s="2">
        <v>11</v>
      </c>
      <c r="D2262" s="2" t="s">
        <v>1117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1118</v>
      </c>
      <c r="J2262" s="2" t="s">
        <v>1119</v>
      </c>
      <c r="K2262" s="2">
        <v>914550474</v>
      </c>
      <c r="L2262" s="2" t="s">
        <v>100</v>
      </c>
      <c r="M2262" s="2" t="s">
        <v>81</v>
      </c>
      <c r="O2262" s="2" t="s">
        <v>2084</v>
      </c>
      <c r="P2262" s="2" t="s">
        <v>85</v>
      </c>
      <c r="Q2262" s="2" t="s">
        <v>1803</v>
      </c>
      <c r="R2262" s="2" t="s">
        <v>1804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3239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1117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1118</v>
      </c>
      <c r="J2263" s="2" t="s">
        <v>1119</v>
      </c>
      <c r="K2263" s="2">
        <v>914550474</v>
      </c>
      <c r="L2263" s="2" t="s">
        <v>100</v>
      </c>
      <c r="M2263" s="2" t="s">
        <v>81</v>
      </c>
      <c r="O2263" s="2" t="s">
        <v>2085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3239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2086</v>
      </c>
      <c r="R2264" s="2" t="s">
        <v>2087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hidden="1" x14ac:dyDescent="0.2">
      <c r="A2265" s="2">
        <v>2025</v>
      </c>
      <c r="B2265" s="2">
        <v>11</v>
      </c>
      <c r="D2265" s="2" t="s">
        <v>1667</v>
      </c>
      <c r="P2265" s="2" t="s">
        <v>115</v>
      </c>
      <c r="Q2265" s="2" t="s">
        <v>1889</v>
      </c>
      <c r="R2265" s="2" t="s">
        <v>1890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hidden="1" x14ac:dyDescent="0.2">
      <c r="A2266" s="2">
        <v>2025</v>
      </c>
      <c r="B2266" s="2">
        <v>11</v>
      </c>
      <c r="D2266" s="2" t="s">
        <v>1667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hidden="1" x14ac:dyDescent="0.2">
      <c r="A2267" s="2">
        <v>2025</v>
      </c>
      <c r="B2267" s="2">
        <v>11</v>
      </c>
      <c r="D2267" s="2" t="s">
        <v>1667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hidden="1" x14ac:dyDescent="0.2">
      <c r="A2268" s="2">
        <v>2025</v>
      </c>
      <c r="B2268" s="2">
        <v>11</v>
      </c>
      <c r="D2268" s="2" t="s">
        <v>2088</v>
      </c>
      <c r="P2268" s="2" t="s">
        <v>69</v>
      </c>
      <c r="Q2268" s="2" t="s">
        <v>2089</v>
      </c>
      <c r="R2268" s="2" t="s">
        <v>2090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3244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hidden="1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982</v>
      </c>
      <c r="R2269" s="2" t="s">
        <v>983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hidden="1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3239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1978</v>
      </c>
      <c r="P2271" s="2" t="s">
        <v>73</v>
      </c>
      <c r="Q2271" s="2" t="s">
        <v>1076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3239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1978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3239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hidden="1" x14ac:dyDescent="0.2">
      <c r="A2273" s="2">
        <v>2025</v>
      </c>
      <c r="B2273" s="2">
        <v>11</v>
      </c>
      <c r="D2273" s="2" t="s">
        <v>2091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hidden="1" x14ac:dyDescent="0.2">
      <c r="A2274" s="2">
        <v>2025</v>
      </c>
      <c r="B2274" s="2">
        <v>11</v>
      </c>
      <c r="D2274" s="2" t="s">
        <v>2091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hidden="1" x14ac:dyDescent="0.2">
      <c r="A2275" s="2">
        <v>2025</v>
      </c>
      <c r="B2275" s="2">
        <v>11</v>
      </c>
      <c r="D2275" s="2" t="s">
        <v>1128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2304</v>
      </c>
      <c r="J2275" s="2" t="s">
        <v>2305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2092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hidden="1" x14ac:dyDescent="0.2">
      <c r="A2277" s="2">
        <v>2025</v>
      </c>
      <c r="B2277" s="2">
        <v>11</v>
      </c>
      <c r="D2277" s="2" t="s">
        <v>2092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hidden="1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3239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3239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3239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3239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3239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3239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hidden="1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3239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hidden="1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3239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hidden="1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3239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hidden="1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3239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hidden="1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3239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hidden="1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3239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3239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hidden="1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3239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3239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3239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2047</v>
      </c>
      <c r="R2294" s="2" t="s">
        <v>2048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3239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3239</v>
      </c>
      <c r="AA2295" s="2" t="s">
        <v>46</v>
      </c>
      <c r="AB2295" s="2" t="s">
        <v>61</v>
      </c>
      <c r="AC2295" s="2" t="s">
        <v>3345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3239</v>
      </c>
      <c r="AA2296" s="2" t="s">
        <v>46</v>
      </c>
      <c r="AB2296" s="2" t="s">
        <v>61</v>
      </c>
      <c r="AC2296" s="2" t="s">
        <v>3345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2093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3239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3239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3239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3239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1039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3239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1042</v>
      </c>
      <c r="Q2302" s="2" t="s">
        <v>1577</v>
      </c>
      <c r="R2302" s="2" t="s">
        <v>1578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3239</v>
      </c>
      <c r="AA2302" s="2" t="s">
        <v>76</v>
      </c>
      <c r="AB2302" s="2" t="s">
        <v>77</v>
      </c>
      <c r="AC2302" s="2" t="s">
        <v>1042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3400</v>
      </c>
      <c r="Q2303" s="2" t="s">
        <v>2094</v>
      </c>
      <c r="R2303" s="2" t="s">
        <v>2095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3239</v>
      </c>
      <c r="AA2303" s="2" t="s">
        <v>2177</v>
      </c>
      <c r="AB2303" s="2" t="s">
        <v>2257</v>
      </c>
      <c r="AC2303" s="2" t="s">
        <v>3400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3401</v>
      </c>
      <c r="Q2304" s="2" t="s">
        <v>2096</v>
      </c>
      <c r="R2304" s="2" t="s">
        <v>2097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3239</v>
      </c>
      <c r="AA2304" s="2" t="s">
        <v>1045</v>
      </c>
      <c r="AB2304" s="2" t="s">
        <v>1275</v>
      </c>
      <c r="AC2304" s="2" t="s">
        <v>3401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3401</v>
      </c>
      <c r="Q2305" s="2" t="s">
        <v>2098</v>
      </c>
      <c r="R2305" s="2" t="s">
        <v>2099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3239</v>
      </c>
      <c r="AA2305" s="2" t="s">
        <v>1045</v>
      </c>
      <c r="AB2305" s="2" t="s">
        <v>1275</v>
      </c>
      <c r="AC2305" s="2" t="s">
        <v>3401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3401</v>
      </c>
      <c r="Q2306" s="2" t="s">
        <v>2100</v>
      </c>
      <c r="R2306" s="2" t="s">
        <v>2101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3239</v>
      </c>
      <c r="AA2306" s="2" t="s">
        <v>1045</v>
      </c>
      <c r="AB2306" s="2" t="s">
        <v>1275</v>
      </c>
      <c r="AC2306" s="2" t="s">
        <v>3401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3400</v>
      </c>
      <c r="Q2307" s="2" t="s">
        <v>2102</v>
      </c>
      <c r="R2307" s="2" t="s">
        <v>2103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3239</v>
      </c>
      <c r="AA2307" s="2" t="s">
        <v>2177</v>
      </c>
      <c r="AB2307" s="2" t="s">
        <v>2257</v>
      </c>
      <c r="AC2307" s="2" t="s">
        <v>3400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0"/>
        <v>0.23333333333333334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7</v>
      </c>
      <c r="AL2308" s="5">
        <f t="shared" si="261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3239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hidden="1" x14ac:dyDescent="0.2">
      <c r="A2310" s="2">
        <v>2025</v>
      </c>
      <c r="B2310" s="2">
        <v>12</v>
      </c>
      <c r="D2310" s="2" t="s">
        <v>1149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1150</v>
      </c>
      <c r="J2310" s="2" t="s">
        <v>1151</v>
      </c>
      <c r="L2310" s="2" t="s">
        <v>134</v>
      </c>
      <c r="M2310" s="2" t="s">
        <v>41</v>
      </c>
      <c r="O2310" s="2" t="s">
        <v>2104</v>
      </c>
      <c r="P2310" s="2" t="s">
        <v>115</v>
      </c>
      <c r="Q2310" s="2" t="s">
        <v>958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hidden="1" x14ac:dyDescent="0.2">
      <c r="A2311" s="2">
        <v>2025</v>
      </c>
      <c r="B2311" s="2">
        <v>12</v>
      </c>
      <c r="D2311" s="2" t="s">
        <v>1149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1150</v>
      </c>
      <c r="J2311" s="2" t="s">
        <v>1151</v>
      </c>
      <c r="L2311" s="2" t="s">
        <v>134</v>
      </c>
      <c r="M2311" s="2" t="s">
        <v>41</v>
      </c>
      <c r="O2311" s="2" t="s">
        <v>2104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617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hidden="1" x14ac:dyDescent="0.2">
      <c r="A2312" s="2">
        <v>2025</v>
      </c>
      <c r="B2312" s="2">
        <v>12</v>
      </c>
      <c r="D2312" s="2" t="s">
        <v>1149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1150</v>
      </c>
      <c r="J2312" s="2" t="s">
        <v>1151</v>
      </c>
      <c r="L2312" s="2" t="s">
        <v>134</v>
      </c>
      <c r="M2312" s="2" t="s">
        <v>41</v>
      </c>
      <c r="O2312" s="2" t="s">
        <v>2104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1149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1150</v>
      </c>
      <c r="J2313" s="2" t="s">
        <v>1151</v>
      </c>
      <c r="L2313" s="2" t="s">
        <v>134</v>
      </c>
      <c r="M2313" s="2" t="s">
        <v>41</v>
      </c>
      <c r="O2313" s="2" t="s">
        <v>2104</v>
      </c>
      <c r="P2313" s="2" t="s">
        <v>69</v>
      </c>
      <c r="Q2313" s="2" t="s">
        <v>1627</v>
      </c>
      <c r="R2313" s="2" t="s">
        <v>1628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2105</v>
      </c>
      <c r="AC2313" s="2" t="s">
        <v>3244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hidden="1" x14ac:dyDescent="0.2">
      <c r="A2314" s="2">
        <v>2025</v>
      </c>
      <c r="B2314" s="2">
        <v>12</v>
      </c>
      <c r="D2314" s="2" t="s">
        <v>1149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1150</v>
      </c>
      <c r="J2314" s="2" t="s">
        <v>1151</v>
      </c>
      <c r="L2314" s="2" t="s">
        <v>134</v>
      </c>
      <c r="M2314" s="2" t="s">
        <v>41</v>
      </c>
      <c r="O2314" s="2" t="s">
        <v>2104</v>
      </c>
      <c r="P2314" s="2" t="s">
        <v>1198</v>
      </c>
      <c r="Q2314" s="2" t="s">
        <v>1721</v>
      </c>
      <c r="R2314" s="2" t="s">
        <v>1722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1203</v>
      </c>
      <c r="AB2314" s="2" t="s">
        <v>120</v>
      </c>
      <c r="AC2314" s="2" t="s">
        <v>1198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hidden="1" x14ac:dyDescent="0.2">
      <c r="A2315" s="2">
        <v>2025</v>
      </c>
      <c r="B2315" s="2">
        <v>12</v>
      </c>
      <c r="D2315" s="2" t="s">
        <v>1149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1150</v>
      </c>
      <c r="J2315" s="2" t="s">
        <v>1151</v>
      </c>
      <c r="L2315" s="2" t="s">
        <v>134</v>
      </c>
      <c r="M2315" s="2" t="s">
        <v>41</v>
      </c>
      <c r="O2315" s="2" t="s">
        <v>2104</v>
      </c>
      <c r="P2315" s="2" t="s">
        <v>1198</v>
      </c>
      <c r="Q2315" s="2" t="s">
        <v>1201</v>
      </c>
      <c r="R2315" s="2" t="s">
        <v>1202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1203</v>
      </c>
      <c r="AB2315" s="2" t="s">
        <v>120</v>
      </c>
      <c r="AC2315" s="2" t="s">
        <v>1198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hidden="1" x14ac:dyDescent="0.2">
      <c r="A2316" s="2">
        <v>2025</v>
      </c>
      <c r="B2316" s="2">
        <v>12</v>
      </c>
      <c r="D2316" s="2" t="s">
        <v>1154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1154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hidden="1" x14ac:dyDescent="0.2">
      <c r="A2318" s="2">
        <v>2025</v>
      </c>
      <c r="B2318" s="2">
        <v>12</v>
      </c>
      <c r="D2318" s="2" t="s">
        <v>1154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hidden="1" x14ac:dyDescent="0.2">
      <c r="A2319" s="2">
        <v>2025</v>
      </c>
      <c r="B2319" s="2">
        <v>12</v>
      </c>
      <c r="D2319" s="2" t="s">
        <v>2106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2106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hidden="1" x14ac:dyDescent="0.2">
      <c r="A2321" s="2">
        <v>2025</v>
      </c>
      <c r="B2321" s="2">
        <v>12</v>
      </c>
      <c r="D2321" s="2" t="s">
        <v>2106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hidden="1" x14ac:dyDescent="0.2">
      <c r="A2322" s="2">
        <v>2025</v>
      </c>
      <c r="B2322" s="2">
        <v>12</v>
      </c>
      <c r="D2322" s="2" t="s">
        <v>2106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3394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hidden="1" x14ac:dyDescent="0.2">
      <c r="A2323" s="2">
        <v>2025</v>
      </c>
      <c r="B2323" s="2">
        <v>12</v>
      </c>
      <c r="D2323" s="2" t="s">
        <v>1481</v>
      </c>
      <c r="E2323" s="2" t="s">
        <v>754</v>
      </c>
      <c r="F2323" s="2" t="s">
        <v>1482</v>
      </c>
      <c r="G2323" s="2">
        <v>506123758</v>
      </c>
      <c r="H2323" s="2" t="s">
        <v>110</v>
      </c>
      <c r="I2323" s="2" t="s">
        <v>1483</v>
      </c>
      <c r="J2323" s="2" t="s">
        <v>1484</v>
      </c>
      <c r="K2323" s="2">
        <v>936406952</v>
      </c>
      <c r="L2323" s="2" t="s">
        <v>462</v>
      </c>
      <c r="M2323" s="2" t="s">
        <v>40</v>
      </c>
      <c r="O2323" s="2" t="s">
        <v>2107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hidden="1" x14ac:dyDescent="0.2">
      <c r="A2324" s="2">
        <v>2025</v>
      </c>
      <c r="B2324" s="2">
        <v>12</v>
      </c>
      <c r="D2324" s="2" t="s">
        <v>1481</v>
      </c>
      <c r="E2324" s="2" t="s">
        <v>754</v>
      </c>
      <c r="F2324" s="2" t="s">
        <v>1482</v>
      </c>
      <c r="G2324" s="2">
        <v>506123758</v>
      </c>
      <c r="H2324" s="2" t="s">
        <v>110</v>
      </c>
      <c r="I2324" s="2" t="s">
        <v>1483</v>
      </c>
      <c r="J2324" s="2" t="s">
        <v>1484</v>
      </c>
      <c r="K2324" s="2">
        <v>936406952</v>
      </c>
      <c r="L2324" s="2" t="s">
        <v>462</v>
      </c>
      <c r="M2324" s="2" t="s">
        <v>40</v>
      </c>
      <c r="O2324" s="2" t="s">
        <v>2107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hidden="1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hidden="1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2108</v>
      </c>
      <c r="P2326" s="2" t="s">
        <v>115</v>
      </c>
      <c r="Q2326" s="2" t="s">
        <v>2109</v>
      </c>
      <c r="R2326" s="2" t="s">
        <v>2110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2108</v>
      </c>
      <c r="P2327" s="2" t="s">
        <v>115</v>
      </c>
      <c r="Q2327" s="2" t="s">
        <v>1429</v>
      </c>
      <c r="R2327" s="2" t="s">
        <v>1430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hidden="1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2111</v>
      </c>
      <c r="P2328" s="2" t="s">
        <v>115</v>
      </c>
      <c r="Q2328" s="2" t="s">
        <v>1895</v>
      </c>
      <c r="R2328" s="2" t="s">
        <v>1896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hidden="1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2112</v>
      </c>
      <c r="P2329" s="2" t="s">
        <v>283</v>
      </c>
      <c r="Q2329" s="2" t="s">
        <v>1073</v>
      </c>
      <c r="R2329" s="2" t="s">
        <v>1074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3239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2112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3239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hidden="1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2112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3239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hidden="1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2112</v>
      </c>
      <c r="P2332" s="2" t="s">
        <v>43</v>
      </c>
      <c r="Q2332" s="2" t="s">
        <v>1169</v>
      </c>
      <c r="R2332" s="2" t="s">
        <v>1170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3239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hidden="1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2108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hidden="1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2108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hidden="1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2111</v>
      </c>
      <c r="P2335" s="2" t="s">
        <v>188</v>
      </c>
      <c r="Q2335" s="2" t="s">
        <v>1313</v>
      </c>
      <c r="R2335" s="2" t="s">
        <v>1314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1315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2113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3239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2113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3239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2113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3239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2114</v>
      </c>
      <c r="P2339" s="2" t="s">
        <v>115</v>
      </c>
      <c r="Q2339" s="2" t="s">
        <v>1522</v>
      </c>
      <c r="R2339" s="2" t="s">
        <v>1523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2114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2114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hidden="1" x14ac:dyDescent="0.2">
      <c r="A2342" s="2">
        <v>2025</v>
      </c>
      <c r="B2342" s="2">
        <v>12</v>
      </c>
      <c r="D2342" s="2" t="s">
        <v>2115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2115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hidden="1" x14ac:dyDescent="0.2">
      <c r="A2344" s="2">
        <v>2025</v>
      </c>
      <c r="B2344" s="2">
        <v>12</v>
      </c>
      <c r="D2344" s="2" t="s">
        <v>2115</v>
      </c>
      <c r="P2344" s="2" t="s">
        <v>188</v>
      </c>
      <c r="Q2344" s="2" t="s">
        <v>1313</v>
      </c>
      <c r="R2344" s="2" t="s">
        <v>1314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1315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hidden="1" x14ac:dyDescent="0.2">
      <c r="A2345" s="2">
        <v>2025</v>
      </c>
      <c r="B2345" s="2">
        <v>12</v>
      </c>
      <c r="D2345" s="2" t="s">
        <v>1172</v>
      </c>
      <c r="E2345" s="2" t="s">
        <v>754</v>
      </c>
      <c r="F2345" s="2" t="s">
        <v>1173</v>
      </c>
      <c r="G2345" s="2">
        <v>505760088</v>
      </c>
      <c r="H2345" s="2" t="s">
        <v>291</v>
      </c>
      <c r="I2345" s="2" t="s">
        <v>1174</v>
      </c>
      <c r="J2345" s="2" t="s">
        <v>1175</v>
      </c>
      <c r="L2345" s="2" t="s">
        <v>340</v>
      </c>
      <c r="M2345" s="2" t="s">
        <v>1176</v>
      </c>
      <c r="O2345" s="2" t="s">
        <v>2116</v>
      </c>
      <c r="P2345" s="2" t="s">
        <v>43</v>
      </c>
      <c r="Q2345" s="2" t="s">
        <v>975</v>
      </c>
      <c r="R2345" s="2" t="s">
        <v>976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3239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hidden="1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3239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2117</v>
      </c>
      <c r="P2349" s="2" t="s">
        <v>43</v>
      </c>
      <c r="Q2349" s="2" t="s">
        <v>2118</v>
      </c>
      <c r="R2349" s="2" t="s">
        <v>2119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3239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2120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3394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hidden="1" x14ac:dyDescent="0.2">
      <c r="A2351" s="2">
        <v>2025</v>
      </c>
      <c r="B2351" s="2">
        <v>12</v>
      </c>
      <c r="D2351" s="2" t="s">
        <v>2121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3394</v>
      </c>
      <c r="AF2351" s="2">
        <f t="shared" si="262"/>
        <v>0</v>
      </c>
      <c r="AJ2351" s="2">
        <f t="shared" si="263"/>
        <v>0</v>
      </c>
    </row>
    <row r="2352" spans="1:38" hidden="1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2122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hidden="1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2122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hidden="1" x14ac:dyDescent="0.2">
      <c r="A2354" s="2">
        <v>2025</v>
      </c>
      <c r="B2354" s="2">
        <v>12</v>
      </c>
      <c r="D2354" s="2" t="s">
        <v>2123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hidden="1" x14ac:dyDescent="0.2">
      <c r="A2355" s="2">
        <v>2025</v>
      </c>
      <c r="B2355" s="2">
        <v>12</v>
      </c>
      <c r="D2355" s="2" t="s">
        <v>2123</v>
      </c>
      <c r="P2355" s="2" t="s">
        <v>115</v>
      </c>
      <c r="Q2355" s="2" t="s">
        <v>2124</v>
      </c>
      <c r="R2355" s="2" t="s">
        <v>2125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2123</v>
      </c>
      <c r="P2356" s="2" t="s">
        <v>115</v>
      </c>
      <c r="Q2356" s="2" t="s">
        <v>1187</v>
      </c>
      <c r="R2356" s="2" t="s">
        <v>1188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hidden="1" x14ac:dyDescent="0.2">
      <c r="A2357" s="2">
        <v>2025</v>
      </c>
      <c r="B2357" s="2">
        <v>12</v>
      </c>
      <c r="D2357" s="2" t="s">
        <v>2126</v>
      </c>
      <c r="Q2357" s="2" t="s">
        <v>2127</v>
      </c>
      <c r="R2357" s="2" t="s">
        <v>2128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hidden="1" x14ac:dyDescent="0.2">
      <c r="A2358" s="2">
        <v>2025</v>
      </c>
      <c r="B2358" s="2">
        <v>12</v>
      </c>
      <c r="D2358" s="2" t="s">
        <v>2126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3394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2129</v>
      </c>
      <c r="P2361" s="2" t="s">
        <v>43</v>
      </c>
      <c r="Q2361" s="2" t="s">
        <v>973</v>
      </c>
      <c r="R2361" s="2" t="s">
        <v>974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3239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2130</v>
      </c>
      <c r="P2362" s="2" t="s">
        <v>43</v>
      </c>
      <c r="Q2362" s="2" t="s">
        <v>975</v>
      </c>
      <c r="R2362" s="2" t="s">
        <v>976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3239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hidden="1" x14ac:dyDescent="0.2">
      <c r="A2363" s="2">
        <v>2025</v>
      </c>
      <c r="B2363" s="2">
        <v>12</v>
      </c>
      <c r="D2363" s="2" t="s">
        <v>2131</v>
      </c>
      <c r="P2363" s="2" t="s">
        <v>283</v>
      </c>
      <c r="Q2363" s="2" t="s">
        <v>1555</v>
      </c>
      <c r="R2363" s="2" t="s">
        <v>1556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2132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2133</v>
      </c>
      <c r="P2365" s="2" t="s">
        <v>283</v>
      </c>
      <c r="Q2365" s="2" t="s">
        <v>2134</v>
      </c>
      <c r="R2365" s="2" t="s">
        <v>2135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3239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hidden="1" x14ac:dyDescent="0.2">
      <c r="A2366" s="2">
        <v>2025</v>
      </c>
      <c r="B2366" s="2">
        <v>12</v>
      </c>
      <c r="D2366" s="2" t="s">
        <v>2133</v>
      </c>
      <c r="P2366" s="2" t="s">
        <v>283</v>
      </c>
      <c r="Q2366" s="2" t="s">
        <v>1712</v>
      </c>
      <c r="R2366" s="2" t="s">
        <v>1713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3239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hidden="1" x14ac:dyDescent="0.2">
      <c r="A2367" s="2">
        <v>2025</v>
      </c>
      <c r="B2367" s="2">
        <v>12</v>
      </c>
      <c r="D2367" s="2" t="s">
        <v>2136</v>
      </c>
      <c r="P2367" s="2" t="s">
        <v>283</v>
      </c>
      <c r="Q2367" s="2" t="s">
        <v>1158</v>
      </c>
      <c r="R2367" s="2" t="s">
        <v>1159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1582</v>
      </c>
      <c r="AB2367" s="2" t="s">
        <v>389</v>
      </c>
      <c r="AC2367" s="2" t="s">
        <v>1332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2136</v>
      </c>
      <c r="P2368" s="2" t="s">
        <v>283</v>
      </c>
      <c r="Q2368" s="2" t="s">
        <v>1162</v>
      </c>
      <c r="R2368" s="2" t="s">
        <v>1163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3239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3239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3239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3239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3239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3239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3239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3239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1981</v>
      </c>
      <c r="R2377" s="2" t="s">
        <v>1982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3239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1359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1359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hidden="1" x14ac:dyDescent="0.2">
      <c r="A2380" s="2">
        <v>2025</v>
      </c>
      <c r="B2380" s="2">
        <v>12</v>
      </c>
      <c r="D2380" s="2" t="s">
        <v>1360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1361</v>
      </c>
      <c r="L2380" s="2" t="s">
        <v>419</v>
      </c>
      <c r="P2380" s="2" t="s">
        <v>283</v>
      </c>
      <c r="Q2380" s="2" t="s">
        <v>1670</v>
      </c>
      <c r="R2380" s="2" t="s">
        <v>1671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2651</v>
      </c>
      <c r="AC2380" s="2" t="s">
        <v>1332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1360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1361</v>
      </c>
      <c r="L2381" s="2" t="s">
        <v>419</v>
      </c>
      <c r="P2381" s="2" t="s">
        <v>283</v>
      </c>
      <c r="Q2381" s="2" t="s">
        <v>1672</v>
      </c>
      <c r="R2381" s="2" t="s">
        <v>1673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2651</v>
      </c>
      <c r="AC2381" s="2" t="s">
        <v>1332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hidden="1" x14ac:dyDescent="0.2">
      <c r="A2382" s="2">
        <v>2025</v>
      </c>
      <c r="B2382" s="2">
        <v>12</v>
      </c>
      <c r="D2382" s="2" t="s">
        <v>1360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1361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3239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1360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1361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3239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1360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1361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3239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hidden="1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3394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hidden="1" x14ac:dyDescent="0.2">
      <c r="A2386" s="2">
        <v>2025</v>
      </c>
      <c r="B2386" s="2">
        <v>12</v>
      </c>
      <c r="D2386" s="2" t="s">
        <v>2137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hidden="1" x14ac:dyDescent="0.2">
      <c r="A2387" s="2">
        <v>2025</v>
      </c>
      <c r="B2387" s="2">
        <v>12</v>
      </c>
      <c r="D2387" s="2" t="s">
        <v>2137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hidden="1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hidden="1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hidden="1" x14ac:dyDescent="0.2">
      <c r="A2390" s="2">
        <v>2025</v>
      </c>
      <c r="B2390" s="2">
        <v>12</v>
      </c>
      <c r="D2390" s="2" t="s">
        <v>1703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hidden="1" x14ac:dyDescent="0.2">
      <c r="A2391" s="2">
        <v>2025</v>
      </c>
      <c r="B2391" s="2">
        <v>12</v>
      </c>
      <c r="D2391" s="2" t="s">
        <v>1703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hidden="1" x14ac:dyDescent="0.2">
      <c r="A2392" s="2">
        <v>2025</v>
      </c>
      <c r="B2392" s="2">
        <v>12</v>
      </c>
      <c r="D2392" s="2" t="s">
        <v>1703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3394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3131</v>
      </c>
      <c r="K2393" s="2">
        <v>917575485</v>
      </c>
      <c r="L2393" s="2" t="s">
        <v>462</v>
      </c>
      <c r="M2393" s="2" t="s">
        <v>40</v>
      </c>
      <c r="O2393" s="2" t="s">
        <v>3132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3131</v>
      </c>
      <c r="K2394" s="2">
        <v>917575485</v>
      </c>
      <c r="L2394" s="2" t="s">
        <v>462</v>
      </c>
      <c r="M2394" s="2" t="s">
        <v>40</v>
      </c>
      <c r="O2394" s="2" t="s">
        <v>3132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2138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3239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2138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3239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2139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2140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3239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2140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3239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2140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3239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2140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3239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2140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3239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2141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2141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hidden="1" x14ac:dyDescent="0.2">
      <c r="A2405" s="2">
        <v>2025</v>
      </c>
      <c r="B2405" s="2">
        <v>12</v>
      </c>
      <c r="D2405" s="2" t="s">
        <v>2142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2142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hidden="1" x14ac:dyDescent="0.2">
      <c r="A2407" s="2">
        <v>2025</v>
      </c>
      <c r="B2407" s="2">
        <v>12</v>
      </c>
      <c r="D2407" s="2" t="s">
        <v>2142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hidden="1" x14ac:dyDescent="0.2">
      <c r="A2408" s="2">
        <v>2025</v>
      </c>
      <c r="B2408" s="2">
        <v>12</v>
      </c>
      <c r="D2408" s="2" t="s">
        <v>1897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3239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hidden="1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2143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hidden="1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2143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hidden="1" x14ac:dyDescent="0.2">
      <c r="A2411" s="2">
        <v>2025</v>
      </c>
      <c r="B2411" s="2">
        <v>12</v>
      </c>
      <c r="D2411" s="2" t="s">
        <v>2018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2018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3239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2018</v>
      </c>
      <c r="P2413" s="2" t="s">
        <v>1042</v>
      </c>
      <c r="Q2413" s="2" t="s">
        <v>2144</v>
      </c>
      <c r="R2413" s="2" t="s">
        <v>2145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3239</v>
      </c>
      <c r="AA2413" s="2" t="s">
        <v>76</v>
      </c>
      <c r="AB2413" s="2" t="s">
        <v>77</v>
      </c>
      <c r="AC2413" s="2" t="s">
        <v>1042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2018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2"/>
        <v>0.25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10</v>
      </c>
      <c r="AL2414" s="5">
        <f t="shared" si="267"/>
        <v>0.25</v>
      </c>
    </row>
    <row r="2415" spans="1:38" hidden="1" x14ac:dyDescent="0.2">
      <c r="A2415" s="2">
        <v>2025</v>
      </c>
      <c r="B2415" s="2">
        <v>12</v>
      </c>
      <c r="D2415" s="2" t="s">
        <v>2018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3239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hidden="1" x14ac:dyDescent="0.2">
      <c r="A2416" s="2">
        <v>2025</v>
      </c>
      <c r="B2416" s="2">
        <v>12</v>
      </c>
      <c r="D2416" s="2" t="s">
        <v>1013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1014</v>
      </c>
      <c r="J2416" s="2" t="s">
        <v>1015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3239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1013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1014</v>
      </c>
      <c r="J2417" s="2" t="s">
        <v>1015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hidden="1" x14ac:dyDescent="0.2">
      <c r="A2418" s="2">
        <v>2025</v>
      </c>
      <c r="B2418" s="2">
        <v>12</v>
      </c>
      <c r="D2418" s="2" t="s">
        <v>1013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1014</v>
      </c>
      <c r="J2418" s="2" t="s">
        <v>1015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hidden="1" x14ac:dyDescent="0.2">
      <c r="A2419" s="2">
        <v>2025</v>
      </c>
      <c r="B2419" s="2">
        <v>12</v>
      </c>
      <c r="D2419" s="2" t="s">
        <v>1013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1014</v>
      </c>
      <c r="J2419" s="2" t="s">
        <v>1015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3239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1013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1014</v>
      </c>
      <c r="J2420" s="2" t="s">
        <v>1015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3394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2486</v>
      </c>
      <c r="J2421" s="2" t="s">
        <v>3134</v>
      </c>
      <c r="K2421" s="2">
        <v>965864665</v>
      </c>
      <c r="L2421" s="2" t="s">
        <v>345</v>
      </c>
      <c r="M2421" s="2" t="s">
        <v>40</v>
      </c>
      <c r="O2421" s="2" t="s">
        <v>3139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3239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3239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3239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3239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3239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2146</v>
      </c>
      <c r="P2429" s="2" t="s">
        <v>115</v>
      </c>
      <c r="Q2429" s="2" t="s">
        <v>2147</v>
      </c>
      <c r="R2429" s="2" t="s">
        <v>2148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hidden="1" x14ac:dyDescent="0.2">
      <c r="A2430" s="2">
        <v>2025</v>
      </c>
      <c r="B2430" s="2">
        <v>12</v>
      </c>
      <c r="D2430" s="2" t="s">
        <v>1381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3239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1381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3239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hidden="1" x14ac:dyDescent="0.2">
      <c r="A2432" s="2">
        <v>2025</v>
      </c>
      <c r="B2432" s="2">
        <v>12</v>
      </c>
      <c r="D2432" s="2" t="s">
        <v>2027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2027</v>
      </c>
      <c r="M2433" s="2" t="s">
        <v>41</v>
      </c>
      <c r="O2433" s="2" t="s">
        <v>2149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3239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2027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3239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2027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3239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2027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hidden="1" x14ac:dyDescent="0.2">
      <c r="A2437" s="2">
        <v>2025</v>
      </c>
      <c r="B2437" s="2">
        <v>12</v>
      </c>
      <c r="D2437" s="2" t="s">
        <v>2027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hidden="1" x14ac:dyDescent="0.2">
      <c r="A2438" s="2">
        <v>2025</v>
      </c>
      <c r="B2438" s="2">
        <v>12</v>
      </c>
      <c r="D2438" s="2" t="s">
        <v>2150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2150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hidden="1" x14ac:dyDescent="0.2">
      <c r="A2440" s="2">
        <v>2025</v>
      </c>
      <c r="B2440" s="2">
        <v>12</v>
      </c>
      <c r="D2440" s="2" t="s">
        <v>2150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2151</v>
      </c>
      <c r="R2441" s="2" t="s">
        <v>2152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415</v>
      </c>
      <c r="AB2441" s="2" t="s">
        <v>1116</v>
      </c>
      <c r="AC2441" s="2" t="s">
        <v>700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3394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3239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2153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3239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2153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3239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hidden="1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959</v>
      </c>
      <c r="R2449" s="2" t="s">
        <v>960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617</v>
      </c>
      <c r="AB2449" s="2" t="s">
        <v>961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2154</v>
      </c>
      <c r="P2450" s="2" t="s">
        <v>283</v>
      </c>
      <c r="Q2450" s="2" t="s">
        <v>1287</v>
      </c>
      <c r="R2450" s="2" t="s">
        <v>1288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1582</v>
      </c>
      <c r="AB2450" s="2" t="s">
        <v>389</v>
      </c>
      <c r="AC2450" s="2" t="s">
        <v>1332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2154</v>
      </c>
      <c r="P2451" s="2" t="s">
        <v>283</v>
      </c>
      <c r="Q2451" s="2" t="s">
        <v>1289</v>
      </c>
      <c r="R2451" s="2" t="s">
        <v>1290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1582</v>
      </c>
      <c r="AB2451" s="2" t="s">
        <v>389</v>
      </c>
      <c r="AC2451" s="2" t="s">
        <v>1332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2154</v>
      </c>
      <c r="P2452" s="2" t="s">
        <v>283</v>
      </c>
      <c r="Q2452" s="2" t="s">
        <v>1158</v>
      </c>
      <c r="R2452" s="2" t="s">
        <v>1159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1582</v>
      </c>
      <c r="AB2452" s="2" t="s">
        <v>389</v>
      </c>
      <c r="AC2452" s="2" t="s">
        <v>1332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2154</v>
      </c>
      <c r="P2453" s="2" t="s">
        <v>283</v>
      </c>
      <c r="Q2453" s="2" t="s">
        <v>1162</v>
      </c>
      <c r="R2453" s="2" t="s">
        <v>1163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1582</v>
      </c>
      <c r="AB2453" s="2" t="s">
        <v>389</v>
      </c>
      <c r="AC2453" s="2" t="s">
        <v>1332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3175</v>
      </c>
      <c r="P2454" s="2" t="s">
        <v>1042</v>
      </c>
      <c r="Q2454" s="2" t="s">
        <v>2155</v>
      </c>
      <c r="R2454" s="2" t="s">
        <v>2156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3239</v>
      </c>
      <c r="AA2454" s="2" t="s">
        <v>76</v>
      </c>
      <c r="AB2454" s="2" t="s">
        <v>77</v>
      </c>
      <c r="AC2454" s="2" t="s">
        <v>1042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8"/>
        <v>0.08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</v>
      </c>
      <c r="AL2455" s="5">
        <f t="shared" si="273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3239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493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hidden="1" x14ac:dyDescent="0.2">
      <c r="A2458" s="2">
        <v>2025</v>
      </c>
      <c r="B2458" s="2">
        <v>12</v>
      </c>
      <c r="D2458" s="2" t="s">
        <v>1261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hidden="1" x14ac:dyDescent="0.2">
      <c r="A2459" s="2">
        <v>2025</v>
      </c>
      <c r="B2459" s="2">
        <v>12</v>
      </c>
      <c r="D2459" s="2" t="s">
        <v>1261</v>
      </c>
      <c r="P2459" s="2" t="s">
        <v>115</v>
      </c>
      <c r="Q2459" s="2" t="s">
        <v>2157</v>
      </c>
      <c r="R2459" s="2" t="s">
        <v>2158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hidden="1" x14ac:dyDescent="0.2">
      <c r="A2460" s="2">
        <v>2025</v>
      </c>
      <c r="B2460" s="2">
        <v>12</v>
      </c>
      <c r="D2460" s="2" t="s">
        <v>1262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1053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1054</v>
      </c>
      <c r="J2461" s="2" t="s">
        <v>1055</v>
      </c>
      <c r="L2461" s="2" t="s">
        <v>340</v>
      </c>
      <c r="M2461" s="2" t="s">
        <v>40</v>
      </c>
      <c r="O2461" s="2" t="s">
        <v>2159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hidden="1" x14ac:dyDescent="0.2">
      <c r="A2462" s="2">
        <v>2025</v>
      </c>
      <c r="B2462" s="2">
        <v>12</v>
      </c>
      <c r="D2462" s="2" t="s">
        <v>1053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1054</v>
      </c>
      <c r="J2462" s="2" t="s">
        <v>1055</v>
      </c>
      <c r="L2462" s="2" t="s">
        <v>340</v>
      </c>
      <c r="M2462" s="2" t="s">
        <v>40</v>
      </c>
      <c r="O2462" s="2" t="s">
        <v>2159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hidden="1" x14ac:dyDescent="0.2">
      <c r="A2463" s="2">
        <v>2025</v>
      </c>
      <c r="B2463" s="2">
        <v>12</v>
      </c>
      <c r="D2463" s="2" t="s">
        <v>1053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1054</v>
      </c>
      <c r="J2463" s="2" t="s">
        <v>1055</v>
      </c>
      <c r="L2463" s="2" t="s">
        <v>340</v>
      </c>
      <c r="M2463" s="2" t="s">
        <v>40</v>
      </c>
      <c r="O2463" s="2" t="s">
        <v>2159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hidden="1" x14ac:dyDescent="0.2">
      <c r="A2464" s="2">
        <v>2025</v>
      </c>
      <c r="B2464" s="2">
        <v>12</v>
      </c>
      <c r="C2464" s="2" t="s">
        <v>3339</v>
      </c>
      <c r="D2464" s="2" t="s">
        <v>2160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3339</v>
      </c>
      <c r="D2465" s="2" t="s">
        <v>2160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3339</v>
      </c>
      <c r="D2466" s="2" t="s">
        <v>2160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hidden="1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2161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3239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2161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3239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hidden="1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2161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3239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hidden="1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2161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3239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2161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3239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2161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3239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hidden="1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2161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3239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2162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2162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hidden="1" x14ac:dyDescent="0.2">
      <c r="A2476" s="2">
        <v>2025</v>
      </c>
      <c r="B2476" s="2">
        <v>12</v>
      </c>
      <c r="D2476" s="2" t="s">
        <v>2162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hidden="1" x14ac:dyDescent="0.2">
      <c r="A2477" s="2">
        <v>2025</v>
      </c>
      <c r="B2477" s="2">
        <v>12</v>
      </c>
      <c r="D2477" s="2" t="s">
        <v>1069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3239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3239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3239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3239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2163</v>
      </c>
      <c r="P2481" s="2" t="s">
        <v>115</v>
      </c>
      <c r="Q2481" s="2" t="s">
        <v>2164</v>
      </c>
      <c r="R2481" s="2" t="s">
        <v>2165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hidden="1" x14ac:dyDescent="0.2">
      <c r="A2482" s="2">
        <v>2025</v>
      </c>
      <c r="B2482" s="2">
        <v>12</v>
      </c>
      <c r="D2482" s="2" t="s">
        <v>2163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hidden="1" x14ac:dyDescent="0.2">
      <c r="A2483" s="2">
        <v>2025</v>
      </c>
      <c r="B2483" s="2">
        <v>12</v>
      </c>
      <c r="D2483" s="2" t="s">
        <v>1598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1598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959</v>
      </c>
      <c r="R2485" s="2" t="s">
        <v>960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617</v>
      </c>
      <c r="AB2485" s="2" t="s">
        <v>961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3239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1350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3239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3239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2166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2166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2166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hidden="1" x14ac:dyDescent="0.2">
      <c r="A2493" s="2">
        <v>2025</v>
      </c>
      <c r="B2493" s="2">
        <v>12</v>
      </c>
      <c r="D2493" s="2" t="s">
        <v>1423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2421</v>
      </c>
      <c r="J2493" s="2" t="s">
        <v>2422</v>
      </c>
      <c r="L2493" s="2" t="s">
        <v>202</v>
      </c>
      <c r="M2493" s="2" t="s">
        <v>81</v>
      </c>
      <c r="P2493" s="2" t="s">
        <v>1042</v>
      </c>
      <c r="Q2493" s="2" t="s">
        <v>1928</v>
      </c>
      <c r="R2493" s="2" t="s">
        <v>1929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3239</v>
      </c>
      <c r="AA2493" s="2" t="s">
        <v>1045</v>
      </c>
      <c r="AB2493" s="2" t="s">
        <v>1323</v>
      </c>
      <c r="AC2493" s="2" t="s">
        <v>1042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1423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2421</v>
      </c>
      <c r="J2494" s="2" t="s">
        <v>2422</v>
      </c>
      <c r="L2494" s="2" t="s">
        <v>202</v>
      </c>
      <c r="M2494" s="2" t="s">
        <v>81</v>
      </c>
      <c r="P2494" s="2" t="s">
        <v>1042</v>
      </c>
      <c r="Q2494" s="2" t="s">
        <v>2167</v>
      </c>
      <c r="R2494" s="2" t="s">
        <v>2168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3239</v>
      </c>
      <c r="AA2494" s="2" t="s">
        <v>1045</v>
      </c>
      <c r="AB2494" s="2" t="s">
        <v>1323</v>
      </c>
      <c r="AC2494" s="2" t="s">
        <v>1042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1218</v>
      </c>
      <c r="R2495" s="2" t="s">
        <v>1219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1574</v>
      </c>
      <c r="R2496" s="2" t="s">
        <v>1575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2169</v>
      </c>
      <c r="R2497" s="2" t="s">
        <v>2170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1042</v>
      </c>
      <c r="Q2499" s="2" t="s">
        <v>2171</v>
      </c>
      <c r="R2499" s="2" t="s">
        <v>2172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3239</v>
      </c>
      <c r="AA2499" s="2" t="s">
        <v>1045</v>
      </c>
      <c r="AB2499" s="2" t="s">
        <v>1323</v>
      </c>
      <c r="AC2499" s="2" t="s">
        <v>1042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1042</v>
      </c>
      <c r="Q2500" s="2" t="s">
        <v>1932</v>
      </c>
      <c r="R2500" s="2" t="s">
        <v>1933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3239</v>
      </c>
      <c r="AA2500" s="2" t="s">
        <v>1045</v>
      </c>
      <c r="AB2500" s="2" t="s">
        <v>1275</v>
      </c>
      <c r="AC2500" s="2" t="s">
        <v>1042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1042</v>
      </c>
      <c r="Q2501" s="2" t="s">
        <v>2173</v>
      </c>
      <c r="R2501" s="2" t="s">
        <v>2174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3239</v>
      </c>
      <c r="AA2501" s="2" t="s">
        <v>1045</v>
      </c>
      <c r="AB2501" s="2" t="s">
        <v>1275</v>
      </c>
      <c r="AC2501" s="2" t="s">
        <v>1042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1042</v>
      </c>
      <c r="Q2502" s="2" t="s">
        <v>1936</v>
      </c>
      <c r="R2502" s="2" t="s">
        <v>1937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3239</v>
      </c>
      <c r="AA2502" s="2" t="s">
        <v>1045</v>
      </c>
      <c r="AB2502" s="2" t="s">
        <v>1323</v>
      </c>
      <c r="AC2502" s="2" t="s">
        <v>1042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3400</v>
      </c>
      <c r="Q2503" s="2" t="s">
        <v>2175</v>
      </c>
      <c r="R2503" s="2" t="s">
        <v>2176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3239</v>
      </c>
      <c r="AA2503" s="2" t="s">
        <v>2177</v>
      </c>
      <c r="AB2503" s="2" t="s">
        <v>2178</v>
      </c>
      <c r="AC2503" s="2" t="s">
        <v>3400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3410</v>
      </c>
      <c r="Q2504" s="2" t="s">
        <v>2179</v>
      </c>
      <c r="R2504" s="2" t="s">
        <v>2180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3239</v>
      </c>
      <c r="AA2504" s="2" t="s">
        <v>2177</v>
      </c>
      <c r="AB2504" s="2" t="s">
        <v>2041</v>
      </c>
      <c r="AC2504" s="2" t="s">
        <v>3410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3410</v>
      </c>
      <c r="Q2505" s="2" t="s">
        <v>2181</v>
      </c>
      <c r="R2505" s="2" t="s">
        <v>2182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3239</v>
      </c>
      <c r="AA2505" s="2" t="s">
        <v>2177</v>
      </c>
      <c r="AB2505" s="2" t="s">
        <v>2041</v>
      </c>
      <c r="AC2505" s="2" t="s">
        <v>3410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hidden="1" x14ac:dyDescent="0.2">
      <c r="A2507" s="2">
        <v>2025</v>
      </c>
      <c r="B2507" s="2">
        <v>12</v>
      </c>
      <c r="D2507" s="2" t="s">
        <v>2183</v>
      </c>
      <c r="P2507" s="2" t="s">
        <v>115</v>
      </c>
      <c r="Q2507" s="2" t="s">
        <v>2184</v>
      </c>
      <c r="R2507" s="2" t="s">
        <v>2185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hidden="1" x14ac:dyDescent="0.2">
      <c r="A2508" s="2">
        <v>2025</v>
      </c>
      <c r="B2508" s="2">
        <v>12</v>
      </c>
      <c r="D2508" s="2" t="s">
        <v>2183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hidden="1" x14ac:dyDescent="0.2">
      <c r="A2509" s="2">
        <v>2025</v>
      </c>
      <c r="B2509" s="2">
        <v>12</v>
      </c>
      <c r="D2509" s="2" t="s">
        <v>2183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hidden="1" x14ac:dyDescent="0.2">
      <c r="A2510" s="2">
        <v>2025</v>
      </c>
      <c r="B2510" s="2">
        <v>12</v>
      </c>
      <c r="D2510" s="2" t="s">
        <v>2183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3394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hidden="1" x14ac:dyDescent="0.2">
      <c r="A2511" s="2">
        <v>2025</v>
      </c>
      <c r="B2511" s="2">
        <v>12</v>
      </c>
      <c r="D2511" s="2" t="s">
        <v>1630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1631</v>
      </c>
      <c r="J2511" s="2" t="s">
        <v>1632</v>
      </c>
      <c r="L2511" s="2" t="s">
        <v>294</v>
      </c>
      <c r="M2511" s="2" t="s">
        <v>1176</v>
      </c>
      <c r="O2511" s="2" t="s">
        <v>2186</v>
      </c>
      <c r="P2511" s="2" t="s">
        <v>115</v>
      </c>
      <c r="Q2511" s="2" t="s">
        <v>2187</v>
      </c>
      <c r="R2511" s="2" t="s">
        <v>2188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1116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1952</v>
      </c>
      <c r="P2512" s="2" t="s">
        <v>115</v>
      </c>
      <c r="Q2512" s="2" t="s">
        <v>1390</v>
      </c>
      <c r="R2512" s="2" t="s">
        <v>1084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1914</v>
      </c>
      <c r="R2513" s="2" t="s">
        <v>1915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1079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3239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3239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1073</v>
      </c>
      <c r="R2516" s="2" t="s">
        <v>1074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3239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3239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3239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2189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2189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2190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3239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2190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3239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2190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3239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2190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3239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2190</v>
      </c>
      <c r="P2525" s="2" t="s">
        <v>167</v>
      </c>
      <c r="Q2525" s="2" t="s">
        <v>2191</v>
      </c>
      <c r="R2525" s="2" t="s">
        <v>2192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3239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2190</v>
      </c>
      <c r="P2526" s="2" t="s">
        <v>85</v>
      </c>
      <c r="Q2526" s="2" t="s">
        <v>1213</v>
      </c>
      <c r="R2526" s="2" t="s">
        <v>1214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3239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2190</v>
      </c>
      <c r="P2527" s="2" t="s">
        <v>85</v>
      </c>
      <c r="Q2527" s="2" t="s">
        <v>1981</v>
      </c>
      <c r="R2527" s="2" t="s">
        <v>1982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3239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1209</v>
      </c>
      <c r="R2528" s="2" t="s">
        <v>1210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0">(T2528-W2528)/T2528</f>
        <v>0.39999999999999997</v>
      </c>
      <c r="Z2528" s="2" t="s">
        <v>3239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3239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3239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hidden="1" x14ac:dyDescent="0.2">
      <c r="A2532" s="2">
        <v>2025</v>
      </c>
      <c r="B2532" s="2">
        <v>12</v>
      </c>
      <c r="D2532" s="2" t="s">
        <v>2082</v>
      </c>
      <c r="P2532" s="2" t="s">
        <v>283</v>
      </c>
      <c r="Q2532" s="2" t="s">
        <v>1538</v>
      </c>
      <c r="R2532" s="2" t="s">
        <v>1539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3239</v>
      </c>
      <c r="AA2532" s="2" t="s">
        <v>579</v>
      </c>
      <c r="AB2532" s="2" t="s">
        <v>120</v>
      </c>
      <c r="AC2532" s="2" t="s">
        <v>1332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2082</v>
      </c>
      <c r="P2533" s="2" t="s">
        <v>283</v>
      </c>
      <c r="Q2533" s="2" t="s">
        <v>2193</v>
      </c>
      <c r="R2533" s="2" t="s">
        <v>2194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3239</v>
      </c>
      <c r="AA2533" s="2" t="s">
        <v>579</v>
      </c>
      <c r="AB2533" s="2" t="s">
        <v>120</v>
      </c>
      <c r="AC2533" s="2" t="s">
        <v>1332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hidden="1" x14ac:dyDescent="0.2">
      <c r="A2534" s="2">
        <v>2025</v>
      </c>
      <c r="B2534" s="2">
        <v>12</v>
      </c>
      <c r="D2534" s="2" t="s">
        <v>1300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1301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3239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1300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1301</v>
      </c>
      <c r="L2535" s="2" t="s">
        <v>340</v>
      </c>
      <c r="P2535" s="2" t="s">
        <v>1042</v>
      </c>
      <c r="Q2535" s="2" t="s">
        <v>1963</v>
      </c>
      <c r="R2535" s="2" t="s">
        <v>1964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3239</v>
      </c>
      <c r="AA2535" s="2" t="s">
        <v>76</v>
      </c>
      <c r="AB2535" s="2" t="s">
        <v>77</v>
      </c>
      <c r="AC2535" s="2" t="s">
        <v>1042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1300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1301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1300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1301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3239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hidden="1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1368</v>
      </c>
      <c r="R2538" s="2" t="s">
        <v>1369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3239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hidden="1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3239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3239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3239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1889</v>
      </c>
      <c r="R2542" s="2" t="s">
        <v>1890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hidden="1" x14ac:dyDescent="0.2">
      <c r="A2543" s="2">
        <v>2025</v>
      </c>
      <c r="B2543" s="2">
        <v>12</v>
      </c>
      <c r="D2543" s="2" t="s">
        <v>1659</v>
      </c>
      <c r="E2543" s="2" t="s">
        <v>38</v>
      </c>
      <c r="F2543" s="2" t="s">
        <v>39</v>
      </c>
      <c r="H2543" s="2" t="s">
        <v>41</v>
      </c>
      <c r="I2543" s="2" t="s">
        <v>1660</v>
      </c>
      <c r="J2543" s="2" t="s">
        <v>1661</v>
      </c>
      <c r="L2543" s="2" t="s">
        <v>113</v>
      </c>
      <c r="M2543" s="2" t="s">
        <v>40</v>
      </c>
      <c r="O2543" s="2" t="s">
        <v>2195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1659</v>
      </c>
      <c r="E2544" s="2" t="s">
        <v>38</v>
      </c>
      <c r="F2544" s="2" t="s">
        <v>39</v>
      </c>
      <c r="H2544" s="2" t="s">
        <v>41</v>
      </c>
      <c r="I2544" s="2" t="s">
        <v>1660</v>
      </c>
      <c r="J2544" s="2" t="s">
        <v>1661</v>
      </c>
      <c r="L2544" s="2" t="s">
        <v>113</v>
      </c>
      <c r="M2544" s="2" t="s">
        <v>40</v>
      </c>
      <c r="O2544" s="2" t="s">
        <v>2195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hidden="1" x14ac:dyDescent="0.2">
      <c r="A2545" s="2">
        <v>2025</v>
      </c>
      <c r="B2545" s="2">
        <v>12</v>
      </c>
      <c r="D2545" s="2" t="s">
        <v>1659</v>
      </c>
      <c r="E2545" s="2" t="s">
        <v>38</v>
      </c>
      <c r="F2545" s="2" t="s">
        <v>39</v>
      </c>
      <c r="H2545" s="2" t="s">
        <v>41</v>
      </c>
      <c r="I2545" s="2" t="s">
        <v>1660</v>
      </c>
      <c r="J2545" s="2" t="s">
        <v>1661</v>
      </c>
      <c r="L2545" s="2" t="s">
        <v>113</v>
      </c>
      <c r="M2545" s="2" t="s">
        <v>40</v>
      </c>
      <c r="O2545" s="2" t="s">
        <v>2195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hidden="1" x14ac:dyDescent="0.2">
      <c r="A2546" s="2">
        <v>2025</v>
      </c>
      <c r="B2546" s="2">
        <v>12</v>
      </c>
      <c r="D2546" s="2" t="s">
        <v>2196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hidden="1" x14ac:dyDescent="0.2">
      <c r="A2547" s="2">
        <v>2025</v>
      </c>
      <c r="B2547" s="2">
        <v>12</v>
      </c>
      <c r="D2547" s="2" t="s">
        <v>2196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hidden="1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2197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3394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hidden="1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1441</v>
      </c>
      <c r="R2549" s="2" t="s">
        <v>1442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3239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2198</v>
      </c>
      <c r="P2550" s="2" t="s">
        <v>115</v>
      </c>
      <c r="Q2550" s="2" t="s">
        <v>2199</v>
      </c>
      <c r="R2550" s="2" t="s">
        <v>2200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hidden="1" x14ac:dyDescent="0.2">
      <c r="A2551" s="2">
        <v>2025</v>
      </c>
      <c r="B2551" s="2">
        <v>12</v>
      </c>
      <c r="D2551" s="2" t="s">
        <v>2198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hidden="1" x14ac:dyDescent="0.2">
      <c r="A2552" s="2">
        <v>2025</v>
      </c>
      <c r="B2552" s="2">
        <v>12</v>
      </c>
      <c r="D2552" s="2" t="s">
        <v>2198</v>
      </c>
      <c r="P2552" s="2" t="s">
        <v>3243</v>
      </c>
      <c r="Q2552" s="2" t="s">
        <v>1892</v>
      </c>
      <c r="R2552" s="2" t="s">
        <v>1893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3243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2201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3239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2201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hidden="1" x14ac:dyDescent="0.2">
      <c r="A2555" s="2">
        <v>2025</v>
      </c>
      <c r="B2555" s="2">
        <v>12</v>
      </c>
      <c r="D2555" s="2" t="s">
        <v>1317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1318</v>
      </c>
      <c r="L2555" s="2" t="s">
        <v>178</v>
      </c>
      <c r="M2555" s="2" t="s">
        <v>40</v>
      </c>
      <c r="O2555" s="2" t="s">
        <v>2202</v>
      </c>
      <c r="P2555" s="2" t="s">
        <v>115</v>
      </c>
      <c r="Q2555" s="2" t="s">
        <v>2203</v>
      </c>
      <c r="R2555" s="2" t="s">
        <v>2204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1317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1318</v>
      </c>
      <c r="L2556" s="2" t="s">
        <v>178</v>
      </c>
      <c r="M2556" s="2" t="s">
        <v>41</v>
      </c>
      <c r="O2556" s="2" t="s">
        <v>2202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3239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1317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1318</v>
      </c>
      <c r="L2557" s="2" t="s">
        <v>178</v>
      </c>
      <c r="M2557" s="2" t="s">
        <v>41</v>
      </c>
      <c r="O2557" s="2" t="s">
        <v>2205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3239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1317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1318</v>
      </c>
      <c r="L2558" s="2" t="s">
        <v>178</v>
      </c>
      <c r="M2558" s="2" t="s">
        <v>41</v>
      </c>
      <c r="O2558" s="2" t="s">
        <v>2205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3239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1317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1318</v>
      </c>
      <c r="L2559" s="2" t="s">
        <v>178</v>
      </c>
      <c r="M2559" s="2" t="s">
        <v>41</v>
      </c>
      <c r="O2559" s="2" t="s">
        <v>2205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3239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1317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1318</v>
      </c>
      <c r="L2560" s="2" t="s">
        <v>178</v>
      </c>
      <c r="M2560" s="2" t="s">
        <v>41</v>
      </c>
      <c r="O2560" s="2" t="s">
        <v>2205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3239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1317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1318</v>
      </c>
      <c r="L2561" s="2" t="s">
        <v>178</v>
      </c>
      <c r="M2561" s="2" t="s">
        <v>41</v>
      </c>
      <c r="O2561" s="2" t="s">
        <v>2202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3239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2206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2206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hidden="1" x14ac:dyDescent="0.2">
      <c r="A2564" s="2">
        <v>2025</v>
      </c>
      <c r="B2564" s="2">
        <v>12</v>
      </c>
      <c r="D2564" s="2" t="s">
        <v>2206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hidden="1" x14ac:dyDescent="0.2">
      <c r="A2565" s="2">
        <v>2025</v>
      </c>
      <c r="B2565" s="2">
        <v>12</v>
      </c>
      <c r="D2565" s="2" t="s">
        <v>2092</v>
      </c>
      <c r="P2565" s="2" t="s">
        <v>1042</v>
      </c>
      <c r="Q2565" s="2" t="s">
        <v>2207</v>
      </c>
      <c r="R2565" s="2" t="s">
        <v>2208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3239</v>
      </c>
      <c r="AA2565" s="2" t="s">
        <v>76</v>
      </c>
      <c r="AB2565" s="2" t="s">
        <v>77</v>
      </c>
      <c r="AC2565" s="2" t="s">
        <v>1042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2092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0"/>
        <v>0.25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10</v>
      </c>
      <c r="AL2566" s="5">
        <f t="shared" si="289"/>
        <v>0.25</v>
      </c>
    </row>
    <row r="2567" spans="1:38" hidden="1" x14ac:dyDescent="0.2">
      <c r="A2567" s="2">
        <v>2025</v>
      </c>
      <c r="B2567" s="2">
        <v>12</v>
      </c>
      <c r="D2567" s="2" t="s">
        <v>2092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3239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3239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3239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3239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3239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3239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2209</v>
      </c>
      <c r="L2573" s="2" t="s">
        <v>100</v>
      </c>
      <c r="M2573" s="2" t="s">
        <v>81</v>
      </c>
      <c r="O2573" s="2" t="s">
        <v>2210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3239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3239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3239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hidden="1" x14ac:dyDescent="0.2">
      <c r="A2576" s="2">
        <v>2025</v>
      </c>
      <c r="B2576" s="2">
        <v>9</v>
      </c>
      <c r="D2576" s="2" t="s">
        <v>1868</v>
      </c>
      <c r="E2576" s="2" t="s">
        <v>109</v>
      </c>
      <c r="G2576" s="2">
        <v>515549134</v>
      </c>
      <c r="H2576" s="2" t="s">
        <v>41</v>
      </c>
      <c r="I2576" s="2" t="s">
        <v>1869</v>
      </c>
      <c r="J2576" s="2" t="s">
        <v>1870</v>
      </c>
      <c r="L2576" s="2" t="s">
        <v>178</v>
      </c>
      <c r="M2576" s="2" t="s">
        <v>41</v>
      </c>
      <c r="O2576" s="2" t="s">
        <v>2211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3239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1868</v>
      </c>
      <c r="E2577" s="2" t="s">
        <v>109</v>
      </c>
      <c r="G2577" s="2">
        <v>515549134</v>
      </c>
      <c r="H2577" s="2" t="s">
        <v>41</v>
      </c>
      <c r="I2577" s="2" t="s">
        <v>1869</v>
      </c>
      <c r="J2577" s="2" t="s">
        <v>1870</v>
      </c>
      <c r="L2577" s="2" t="s">
        <v>178</v>
      </c>
      <c r="M2577" s="2" t="s">
        <v>41</v>
      </c>
      <c r="O2577" s="2" t="s">
        <v>2211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3239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1868</v>
      </c>
      <c r="E2578" s="2" t="s">
        <v>109</v>
      </c>
      <c r="G2578" s="2">
        <v>515549134</v>
      </c>
      <c r="H2578" s="2" t="s">
        <v>41</v>
      </c>
      <c r="I2578" s="2" t="s">
        <v>1869</v>
      </c>
      <c r="J2578" s="2" t="s">
        <v>1870</v>
      </c>
      <c r="L2578" s="2" t="s">
        <v>178</v>
      </c>
      <c r="M2578" s="2" t="s">
        <v>41</v>
      </c>
      <c r="O2578" s="2" t="s">
        <v>2211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3239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1868</v>
      </c>
      <c r="E2579" s="2" t="s">
        <v>109</v>
      </c>
      <c r="G2579" s="2">
        <v>515549134</v>
      </c>
      <c r="H2579" s="2" t="s">
        <v>41</v>
      </c>
      <c r="I2579" s="2" t="s">
        <v>1869</v>
      </c>
      <c r="J2579" s="2" t="s">
        <v>1870</v>
      </c>
      <c r="L2579" s="2" t="s">
        <v>178</v>
      </c>
      <c r="M2579" s="2" t="s">
        <v>41</v>
      </c>
      <c r="O2579" s="2" t="s">
        <v>2212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3239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2213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hidden="1" x14ac:dyDescent="0.2">
      <c r="A2581" s="2">
        <v>2025</v>
      </c>
      <c r="B2581" s="2">
        <v>9</v>
      </c>
      <c r="D2581" s="2" t="s">
        <v>1144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1145</v>
      </c>
      <c r="J2581" s="2" t="s">
        <v>1146</v>
      </c>
      <c r="L2581" s="2" t="s">
        <v>100</v>
      </c>
      <c r="M2581" s="2" t="s">
        <v>41</v>
      </c>
      <c r="O2581" s="2" t="s">
        <v>2214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3239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1144</v>
      </c>
      <c r="E2582" s="2" t="s">
        <v>109</v>
      </c>
      <c r="G2582" s="2">
        <v>504576658</v>
      </c>
      <c r="H2582" s="2" t="s">
        <v>41</v>
      </c>
      <c r="I2582" s="2" t="s">
        <v>1145</v>
      </c>
      <c r="J2582" s="2" t="s">
        <v>1146</v>
      </c>
      <c r="L2582" s="2" t="s">
        <v>100</v>
      </c>
      <c r="M2582" s="2" t="s">
        <v>41</v>
      </c>
      <c r="O2582" s="2" t="s">
        <v>2214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hidden="1" x14ac:dyDescent="0.2">
      <c r="A2583" s="2">
        <v>2025</v>
      </c>
      <c r="B2583" s="2">
        <v>9</v>
      </c>
      <c r="D2583" s="2" t="s">
        <v>2215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hidden="1" x14ac:dyDescent="0.2">
      <c r="A2584" s="2">
        <v>2025</v>
      </c>
      <c r="B2584" s="2">
        <v>9</v>
      </c>
      <c r="D2584" s="2" t="s">
        <v>2215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hidden="1" x14ac:dyDescent="0.2">
      <c r="A2585" s="2">
        <v>2025</v>
      </c>
      <c r="B2585" s="2">
        <v>9</v>
      </c>
      <c r="D2585" s="2" t="s">
        <v>2215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3394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hidden="1" x14ac:dyDescent="0.2">
      <c r="A2586" s="2">
        <v>2025</v>
      </c>
      <c r="B2586" s="2">
        <v>9</v>
      </c>
      <c r="D2586" s="2" t="s">
        <v>2216</v>
      </c>
      <c r="P2586" s="2" t="s">
        <v>73</v>
      </c>
      <c r="Q2586" s="2" t="s">
        <v>1079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3239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2216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3239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hidden="1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2217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2217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2217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3394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hidden="1" x14ac:dyDescent="0.2">
      <c r="A2592" s="2">
        <v>2025</v>
      </c>
      <c r="B2592" s="2">
        <v>9</v>
      </c>
      <c r="D2592" s="2" t="s">
        <v>2218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hidden="1" x14ac:dyDescent="0.2">
      <c r="A2593" s="2">
        <v>2025</v>
      </c>
      <c r="B2593" s="2">
        <v>9</v>
      </c>
      <c r="D2593" s="2" t="s">
        <v>2218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hidden="1" x14ac:dyDescent="0.2">
      <c r="A2594" s="2">
        <v>2025</v>
      </c>
      <c r="B2594" s="2">
        <v>9</v>
      </c>
      <c r="D2594" s="2" t="s">
        <v>2218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3394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hidden="1" x14ac:dyDescent="0.2">
      <c r="A2595" s="2">
        <v>2025</v>
      </c>
      <c r="B2595" s="2">
        <v>9</v>
      </c>
      <c r="D2595" s="2" t="s">
        <v>2219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3239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2219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3239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2220</v>
      </c>
      <c r="P2597" s="2" t="s">
        <v>115</v>
      </c>
      <c r="Q2597" s="2" t="s">
        <v>2221</v>
      </c>
      <c r="R2597" s="2" t="s">
        <v>2222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3239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3239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hidden="1" x14ac:dyDescent="0.2">
      <c r="A2601" s="2">
        <v>2025</v>
      </c>
      <c r="B2601" s="2">
        <v>9</v>
      </c>
      <c r="D2601" s="2" t="s">
        <v>2223</v>
      </c>
      <c r="P2601" s="2" t="s">
        <v>73</v>
      </c>
      <c r="Q2601" s="2" t="s">
        <v>1078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3239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2223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3239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hidden="1" x14ac:dyDescent="0.2">
      <c r="A2603" s="2">
        <v>2025</v>
      </c>
      <c r="B2603" s="2">
        <v>9</v>
      </c>
      <c r="D2603" s="2" t="s">
        <v>1491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3394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hidden="1" x14ac:dyDescent="0.2">
      <c r="A2604" s="2">
        <v>2025</v>
      </c>
      <c r="B2604" s="2">
        <v>9</v>
      </c>
      <c r="D2604" s="2" t="s">
        <v>2224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3239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2224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3239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1494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hidden="1" x14ac:dyDescent="0.2">
      <c r="A2607" s="2">
        <v>2025</v>
      </c>
      <c r="B2607" s="2">
        <v>9</v>
      </c>
      <c r="D2607" s="2" t="s">
        <v>1495</v>
      </c>
      <c r="P2607" s="2" t="s">
        <v>115</v>
      </c>
      <c r="Q2607" s="2" t="s">
        <v>1586</v>
      </c>
      <c r="R2607" s="2" t="s">
        <v>1587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hidden="1" x14ac:dyDescent="0.2">
      <c r="A2608" s="2">
        <v>2025</v>
      </c>
      <c r="B2608" s="2">
        <v>9</v>
      </c>
      <c r="D2608" s="2" t="s">
        <v>1495</v>
      </c>
      <c r="P2608" s="2" t="s">
        <v>188</v>
      </c>
      <c r="Q2608" s="2" t="s">
        <v>1313</v>
      </c>
      <c r="R2608" s="2" t="s">
        <v>1314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1315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hidden="1" x14ac:dyDescent="0.2">
      <c r="A2609" s="2">
        <v>2025</v>
      </c>
      <c r="B2609" s="2">
        <v>9</v>
      </c>
      <c r="D2609" s="2" t="s">
        <v>2121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3394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2225</v>
      </c>
      <c r="P2610" s="2" t="s">
        <v>115</v>
      </c>
      <c r="Q2610" s="2" t="s">
        <v>2226</v>
      </c>
      <c r="R2610" s="2" t="s">
        <v>1434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2227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2228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2227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3239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2228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2228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3239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3239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2229</v>
      </c>
      <c r="P2618" s="2" t="s">
        <v>43</v>
      </c>
      <c r="Q2618" s="2" t="s">
        <v>973</v>
      </c>
      <c r="R2618" s="2" t="s">
        <v>974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3239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2229</v>
      </c>
      <c r="P2619" s="2" t="s">
        <v>43</v>
      </c>
      <c r="Q2619" s="2" t="s">
        <v>975</v>
      </c>
      <c r="R2619" s="2" t="s">
        <v>976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3239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2230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3239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2230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3239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hidden="1" x14ac:dyDescent="0.2">
      <c r="A2622" s="2">
        <v>2025</v>
      </c>
      <c r="B2622" s="2">
        <v>9</v>
      </c>
      <c r="D2622" s="2" t="s">
        <v>1769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hidden="1" x14ac:dyDescent="0.2">
      <c r="A2623" s="2">
        <v>2025</v>
      </c>
      <c r="B2623" s="2">
        <v>9</v>
      </c>
      <c r="D2623" s="2" t="s">
        <v>2231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2232</v>
      </c>
      <c r="R2624" s="2" t="s">
        <v>1114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3239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3239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3239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3239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984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3239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hidden="1" x14ac:dyDescent="0.2">
      <c r="A2630" s="2">
        <v>2025</v>
      </c>
      <c r="B2630" s="2">
        <v>9</v>
      </c>
      <c r="D2630" s="2" t="s">
        <v>984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3239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984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3239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984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3239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985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986</v>
      </c>
      <c r="J2633" s="2" t="s">
        <v>987</v>
      </c>
      <c r="L2633" s="2" t="s">
        <v>294</v>
      </c>
      <c r="M2633" s="2" t="s">
        <v>81</v>
      </c>
      <c r="O2633" s="2" t="s">
        <v>2233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3239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985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986</v>
      </c>
      <c r="J2634" s="2" t="s">
        <v>987</v>
      </c>
      <c r="L2634" s="2" t="s">
        <v>294</v>
      </c>
      <c r="M2634" s="2" t="s">
        <v>81</v>
      </c>
      <c r="O2634" s="2" t="s">
        <v>2233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3239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hidden="1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2234</v>
      </c>
      <c r="P2635" s="2" t="s">
        <v>115</v>
      </c>
      <c r="Q2635" s="2" t="s">
        <v>2235</v>
      </c>
      <c r="R2635" s="2" t="s">
        <v>2236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2237</v>
      </c>
      <c r="R2636" s="2" t="s">
        <v>2238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hidden="1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1133</v>
      </c>
      <c r="R2637" s="2" t="s">
        <v>1134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hidden="1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hidden="1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hidden="1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3394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hidden="1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1079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3239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3239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2239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3239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2240</v>
      </c>
      <c r="P2644" s="2" t="s">
        <v>115</v>
      </c>
      <c r="Q2644" s="2" t="s">
        <v>1296</v>
      </c>
      <c r="R2644" s="2" t="s">
        <v>1297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hidden="1" x14ac:dyDescent="0.2">
      <c r="A2645" s="2">
        <v>2025</v>
      </c>
      <c r="B2645" s="2">
        <v>9</v>
      </c>
      <c r="D2645" s="2" t="s">
        <v>2241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3394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hidden="1" x14ac:dyDescent="0.2">
      <c r="A2646" s="2">
        <v>2025</v>
      </c>
      <c r="B2646" s="2">
        <v>9</v>
      </c>
      <c r="D2646" s="2" t="s">
        <v>1000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3239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1000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3239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hidden="1" x14ac:dyDescent="0.2">
      <c r="A2648" s="2">
        <v>2025</v>
      </c>
      <c r="B2648" s="2">
        <v>9</v>
      </c>
      <c r="D2648" s="2" t="s">
        <v>1705</v>
      </c>
      <c r="P2648" s="2" t="s">
        <v>283</v>
      </c>
      <c r="Q2648" s="2" t="s">
        <v>1257</v>
      </c>
      <c r="R2648" s="2" t="s">
        <v>1258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hidden="1" x14ac:dyDescent="0.2">
      <c r="A2649" s="2">
        <v>2025</v>
      </c>
      <c r="B2649" s="2">
        <v>9</v>
      </c>
      <c r="D2649" s="2" t="s">
        <v>2141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hidden="1" x14ac:dyDescent="0.2">
      <c r="A2650" s="2">
        <v>2025</v>
      </c>
      <c r="B2650" s="2">
        <v>9</v>
      </c>
      <c r="D2650" s="2" t="s">
        <v>2141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hidden="1" x14ac:dyDescent="0.2">
      <c r="A2651" s="2">
        <v>2025</v>
      </c>
      <c r="B2651" s="2">
        <v>9</v>
      </c>
      <c r="D2651" s="2" t="s">
        <v>1798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hidden="1" x14ac:dyDescent="0.2">
      <c r="A2652" s="2">
        <v>2025</v>
      </c>
      <c r="B2652" s="2">
        <v>9</v>
      </c>
      <c r="D2652" s="2" t="s">
        <v>1798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hidden="1" x14ac:dyDescent="0.2">
      <c r="A2653" s="2">
        <v>2025</v>
      </c>
      <c r="B2653" s="2">
        <v>9</v>
      </c>
      <c r="D2653" s="2" t="s">
        <v>1798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1897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3239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3239</v>
      </c>
      <c r="AA2655" s="2" t="s">
        <v>46</v>
      </c>
      <c r="AB2655" s="2" t="s">
        <v>61</v>
      </c>
      <c r="AC2655" s="2" t="s">
        <v>3345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3239</v>
      </c>
      <c r="AA2656" s="2" t="s">
        <v>46</v>
      </c>
      <c r="AB2656" s="2" t="s">
        <v>61</v>
      </c>
      <c r="AC2656" s="2" t="s">
        <v>3345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2486</v>
      </c>
      <c r="J2657" s="2" t="s">
        <v>3134</v>
      </c>
      <c r="K2657" s="2">
        <v>965864665</v>
      </c>
      <c r="L2657" s="2" t="s">
        <v>345</v>
      </c>
      <c r="M2657" s="2" t="s">
        <v>81</v>
      </c>
      <c r="O2657" s="2" t="s">
        <v>3136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3239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2486</v>
      </c>
      <c r="J2658" s="2" t="s">
        <v>3134</v>
      </c>
      <c r="K2658" s="2">
        <v>965864665</v>
      </c>
      <c r="L2658" s="2" t="s">
        <v>345</v>
      </c>
      <c r="M2658" s="2" t="s">
        <v>81</v>
      </c>
      <c r="O2658" s="2" t="s">
        <v>3136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3239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3140</v>
      </c>
      <c r="K2659" s="2">
        <v>962555043</v>
      </c>
      <c r="L2659" s="2" t="s">
        <v>345</v>
      </c>
      <c r="M2659" s="2" t="s">
        <v>40</v>
      </c>
      <c r="O2659" s="2" t="s">
        <v>3142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3140</v>
      </c>
      <c r="K2660" s="2">
        <v>962555043</v>
      </c>
      <c r="L2660" s="2" t="s">
        <v>345</v>
      </c>
      <c r="M2660" s="2" t="s">
        <v>40</v>
      </c>
      <c r="O2660" s="2" t="s">
        <v>3142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hidden="1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2242</v>
      </c>
      <c r="P2661" s="2" t="s">
        <v>115</v>
      </c>
      <c r="Q2661" s="2" t="s">
        <v>2235</v>
      </c>
      <c r="R2661" s="2" t="s">
        <v>2236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hidden="1" x14ac:dyDescent="0.2">
      <c r="A2663" s="2">
        <v>2025</v>
      </c>
      <c r="B2663" s="2">
        <v>9</v>
      </c>
      <c r="D2663" s="2" t="s">
        <v>1019</v>
      </c>
      <c r="P2663" s="2" t="s">
        <v>283</v>
      </c>
      <c r="Q2663" s="2" t="s">
        <v>2243</v>
      </c>
      <c r="R2663" s="2" t="s">
        <v>2244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hidden="1" x14ac:dyDescent="0.2">
      <c r="A2664" s="2">
        <v>2025</v>
      </c>
      <c r="B2664" s="2">
        <v>9</v>
      </c>
      <c r="D2664" s="2" t="s">
        <v>1019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3239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2245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3239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2245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3239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hidden="1" x14ac:dyDescent="0.2">
      <c r="A2667" s="2">
        <v>2025</v>
      </c>
      <c r="B2667" s="2">
        <v>9</v>
      </c>
      <c r="D2667" s="2" t="s">
        <v>1805</v>
      </c>
      <c r="P2667" s="2" t="s">
        <v>3243</v>
      </c>
      <c r="Q2667" s="2" t="s">
        <v>1796</v>
      </c>
      <c r="R2667" s="2" t="s">
        <v>1797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3243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2246</v>
      </c>
      <c r="P2668" s="2" t="s">
        <v>3243</v>
      </c>
      <c r="Q2668" s="2" t="s">
        <v>1796</v>
      </c>
      <c r="R2668" s="2" t="s">
        <v>1797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3243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3239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3239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hidden="1" x14ac:dyDescent="0.2">
      <c r="A2671" s="2">
        <v>2025</v>
      </c>
      <c r="B2671" s="2">
        <v>9</v>
      </c>
      <c r="D2671" s="2" t="s">
        <v>2247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3239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2247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3239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hidden="1" x14ac:dyDescent="0.2">
      <c r="A2673" s="2">
        <v>2025</v>
      </c>
      <c r="B2673" s="2">
        <v>9</v>
      </c>
      <c r="D2673" s="2" t="s">
        <v>1572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3239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1572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3239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1112</v>
      </c>
      <c r="Q2676" s="2" t="s">
        <v>1113</v>
      </c>
      <c r="R2676" s="2" t="s">
        <v>1114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1115</v>
      </c>
      <c r="AB2676" s="2" t="s">
        <v>1116</v>
      </c>
      <c r="AC2676" s="2" t="s">
        <v>1112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3394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hidden="1" x14ac:dyDescent="0.2">
      <c r="A2680" s="2">
        <v>2025</v>
      </c>
      <c r="B2680" s="2">
        <v>9</v>
      </c>
      <c r="D2680" s="2" t="s">
        <v>1573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hidden="1" x14ac:dyDescent="0.2">
      <c r="A2681" s="2">
        <v>2025</v>
      </c>
      <c r="B2681" s="2">
        <v>9</v>
      </c>
      <c r="D2681" s="2" t="s">
        <v>1573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3394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hidden="1" x14ac:dyDescent="0.2">
      <c r="A2682" s="2">
        <v>2025</v>
      </c>
      <c r="B2682" s="2">
        <v>9</v>
      </c>
      <c r="D2682" s="2" t="s">
        <v>1030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1031</v>
      </c>
      <c r="J2682" s="2" t="s">
        <v>1032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hidden="1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1337</v>
      </c>
      <c r="R2683" s="2" t="s">
        <v>1338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hidden="1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hidden="1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3394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hidden="1" x14ac:dyDescent="0.2">
      <c r="A2687" s="2">
        <v>2025</v>
      </c>
      <c r="B2687" s="2">
        <v>9</v>
      </c>
      <c r="D2687" s="2" t="s">
        <v>2248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3239</v>
      </c>
      <c r="AA2688" s="2" t="s">
        <v>46</v>
      </c>
      <c r="AB2688" s="2" t="s">
        <v>61</v>
      </c>
      <c r="AC2688" s="2" t="s">
        <v>3345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3239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3239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3239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3239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3239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hidden="1" x14ac:dyDescent="0.2">
      <c r="A2694" s="2">
        <v>2025</v>
      </c>
      <c r="B2694" s="2">
        <v>9</v>
      </c>
      <c r="D2694" s="2" t="s">
        <v>1581</v>
      </c>
      <c r="P2694" s="2" t="s">
        <v>283</v>
      </c>
      <c r="Q2694" s="2" t="s">
        <v>2249</v>
      </c>
      <c r="R2694" s="2" t="s">
        <v>2250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hidden="1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1198</v>
      </c>
      <c r="Q2696" s="2" t="s">
        <v>2251</v>
      </c>
      <c r="R2696" s="2" t="s">
        <v>2252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1203</v>
      </c>
      <c r="AB2696" s="2" t="s">
        <v>120</v>
      </c>
      <c r="AC2696" s="2" t="s">
        <v>1198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hidden="1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hidden="1" x14ac:dyDescent="0.2">
      <c r="A2698" s="2">
        <v>2025</v>
      </c>
      <c r="B2698" s="2">
        <v>9</v>
      </c>
      <c r="D2698" s="2" t="s">
        <v>2253</v>
      </c>
      <c r="P2698" s="2" t="s">
        <v>73</v>
      </c>
      <c r="Q2698" s="2" t="s">
        <v>1395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3239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2253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3239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3159</v>
      </c>
      <c r="P2700" s="2" t="s">
        <v>1042</v>
      </c>
      <c r="Q2700" s="2" t="s">
        <v>1043</v>
      </c>
      <c r="R2700" s="2" t="s">
        <v>1044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3239</v>
      </c>
      <c r="AA2700" s="2" t="s">
        <v>1045</v>
      </c>
      <c r="AB2700" s="2" t="s">
        <v>1046</v>
      </c>
      <c r="AC2700" s="2" t="s">
        <v>1042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2254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3239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2254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3239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hidden="1" x14ac:dyDescent="0.2">
      <c r="A2704" s="2">
        <v>2025</v>
      </c>
      <c r="B2704" s="2">
        <v>9</v>
      </c>
      <c r="D2704" s="2" t="s">
        <v>1260</v>
      </c>
      <c r="G2704" s="2">
        <v>513777377</v>
      </c>
      <c r="M2704" s="2" t="s">
        <v>81</v>
      </c>
      <c r="O2704" s="2" t="s">
        <v>3177</v>
      </c>
      <c r="P2704" s="2" t="s">
        <v>1042</v>
      </c>
      <c r="Q2704" s="2" t="s">
        <v>2255</v>
      </c>
      <c r="R2704" s="2" t="s">
        <v>2256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3239</v>
      </c>
      <c r="AA2704" s="2" t="s">
        <v>1045</v>
      </c>
      <c r="AB2704" s="2" t="s">
        <v>2257</v>
      </c>
      <c r="AC2704" s="2" t="s">
        <v>1042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493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hidden="1" x14ac:dyDescent="0.2">
      <c r="A2706" s="2">
        <v>2025</v>
      </c>
      <c r="B2706" s="2">
        <v>9</v>
      </c>
      <c r="D2706" s="2" t="s">
        <v>2258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3239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2258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3239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2259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hidden="1" x14ac:dyDescent="0.2">
      <c r="A2709" s="2">
        <v>2025</v>
      </c>
      <c r="B2709" s="2">
        <v>9</v>
      </c>
      <c r="D2709" s="2" t="s">
        <v>2259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hidden="1" x14ac:dyDescent="0.2">
      <c r="A2710" s="2">
        <v>2025</v>
      </c>
      <c r="B2710" s="2">
        <v>9</v>
      </c>
      <c r="D2710" s="2" t="s">
        <v>2259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3394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hidden="1" x14ac:dyDescent="0.2">
      <c r="A2711" s="2">
        <v>2025</v>
      </c>
      <c r="B2711" s="2">
        <v>9</v>
      </c>
      <c r="D2711" s="2" t="s">
        <v>1402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3229</v>
      </c>
      <c r="J2711" s="2" t="s">
        <v>3228</v>
      </c>
      <c r="K2711" s="2">
        <v>913814877</v>
      </c>
      <c r="L2711" s="2" t="s">
        <v>202</v>
      </c>
      <c r="M2711" s="2" t="s">
        <v>81</v>
      </c>
      <c r="O2711" s="2" t="s">
        <v>3222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3239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1402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3229</v>
      </c>
      <c r="J2712" s="2" t="s">
        <v>3228</v>
      </c>
      <c r="K2712" s="2">
        <v>913814877</v>
      </c>
      <c r="L2712" s="2" t="s">
        <v>202</v>
      </c>
      <c r="M2712" s="2" t="s">
        <v>81</v>
      </c>
      <c r="O2712" s="2" t="s">
        <v>3222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hidden="1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2260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3239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3239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hidden="1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2261</v>
      </c>
      <c r="P2715" s="2" t="s">
        <v>283</v>
      </c>
      <c r="Q2715" s="2" t="s">
        <v>2262</v>
      </c>
      <c r="R2715" s="2" t="s">
        <v>2263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3239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2261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3239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hidden="1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2261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3239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2261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3239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1057</v>
      </c>
      <c r="E2719" s="2" t="s">
        <v>184</v>
      </c>
      <c r="F2719" s="2" t="s">
        <v>1058</v>
      </c>
      <c r="G2719" s="2">
        <v>500199523</v>
      </c>
      <c r="H2719" s="2" t="s">
        <v>291</v>
      </c>
      <c r="I2719" s="2" t="s">
        <v>294</v>
      </c>
      <c r="J2719" s="2" t="s">
        <v>1059</v>
      </c>
      <c r="L2719" s="2" t="s">
        <v>294</v>
      </c>
      <c r="M2719" s="2" t="s">
        <v>81</v>
      </c>
      <c r="O2719" s="2" t="s">
        <v>2264</v>
      </c>
      <c r="P2719" s="2" t="s">
        <v>73</v>
      </c>
      <c r="Q2719" s="2" t="s">
        <v>1453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3239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1057</v>
      </c>
      <c r="E2720" s="2" t="s">
        <v>184</v>
      </c>
      <c r="F2720" s="2" t="s">
        <v>1058</v>
      </c>
      <c r="G2720" s="2">
        <v>500199523</v>
      </c>
      <c r="H2720" s="2" t="s">
        <v>291</v>
      </c>
      <c r="I2720" s="2" t="s">
        <v>294</v>
      </c>
      <c r="J2720" s="2" t="s">
        <v>1059</v>
      </c>
      <c r="L2720" s="2" t="s">
        <v>294</v>
      </c>
      <c r="M2720" s="2" t="s">
        <v>81</v>
      </c>
      <c r="O2720" s="2" t="s">
        <v>2265</v>
      </c>
      <c r="P2720" s="2" t="s">
        <v>73</v>
      </c>
      <c r="Q2720" s="2" t="s">
        <v>2266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3239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1057</v>
      </c>
      <c r="E2721" s="2" t="s">
        <v>184</v>
      </c>
      <c r="F2721" s="2" t="s">
        <v>1058</v>
      </c>
      <c r="G2721" s="2">
        <v>500199523</v>
      </c>
      <c r="H2721" s="2" t="s">
        <v>291</v>
      </c>
      <c r="I2721" s="2" t="s">
        <v>294</v>
      </c>
      <c r="J2721" s="2" t="s">
        <v>1059</v>
      </c>
      <c r="L2721" s="2" t="s">
        <v>294</v>
      </c>
      <c r="M2721" s="2" t="s">
        <v>81</v>
      </c>
      <c r="O2721" s="2" t="s">
        <v>2267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3239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hidden="1" x14ac:dyDescent="0.2">
      <c r="A2722" s="2">
        <v>2025</v>
      </c>
      <c r="B2722" s="2">
        <v>9</v>
      </c>
      <c r="D2722" s="2" t="s">
        <v>2268</v>
      </c>
      <c r="P2722" s="2" t="s">
        <v>115</v>
      </c>
      <c r="Q2722" s="2" t="s">
        <v>958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hidden="1" x14ac:dyDescent="0.2">
      <c r="A2723" s="2">
        <v>2025</v>
      </c>
      <c r="B2723" s="2">
        <v>9</v>
      </c>
      <c r="D2723" s="2" t="s">
        <v>2269</v>
      </c>
      <c r="P2723" s="2" t="s">
        <v>283</v>
      </c>
      <c r="Q2723" s="2" t="s">
        <v>1001</v>
      </c>
      <c r="R2723" s="2" t="s">
        <v>1002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3239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hidden="1" x14ac:dyDescent="0.2">
      <c r="A2724" s="2">
        <v>2025</v>
      </c>
      <c r="B2724" s="2">
        <v>9</v>
      </c>
      <c r="D2724" s="2" t="s">
        <v>2269</v>
      </c>
      <c r="P2724" s="2" t="s">
        <v>283</v>
      </c>
      <c r="Q2724" s="2" t="s">
        <v>2243</v>
      </c>
      <c r="R2724" s="2" t="s">
        <v>2244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3239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hidden="1" x14ac:dyDescent="0.2">
      <c r="A2725" s="2">
        <v>2025</v>
      </c>
      <c r="B2725" s="2">
        <v>9</v>
      </c>
      <c r="D2725" s="2" t="s">
        <v>2269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2270</v>
      </c>
      <c r="J2725" s="2" t="s">
        <v>2271</v>
      </c>
      <c r="L2725" s="2" t="s">
        <v>419</v>
      </c>
      <c r="M2725" s="2" t="s">
        <v>41</v>
      </c>
      <c r="O2725" s="2" t="s">
        <v>2272</v>
      </c>
      <c r="P2725" s="2" t="s">
        <v>43</v>
      </c>
      <c r="Q2725" s="2" t="s">
        <v>1108</v>
      </c>
      <c r="R2725" s="2" t="s">
        <v>1109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3239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2269</v>
      </c>
      <c r="M2726" s="2" t="s">
        <v>41</v>
      </c>
      <c r="O2726" s="2" t="s">
        <v>2272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3239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2269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3239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2269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3239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2269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3239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1075</v>
      </c>
      <c r="P2730" s="2" t="s">
        <v>283</v>
      </c>
      <c r="Q2730" s="2" t="s">
        <v>1544</v>
      </c>
      <c r="R2730" s="2" t="s">
        <v>1545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3239</v>
      </c>
      <c r="AA2730" s="2" t="s">
        <v>579</v>
      </c>
      <c r="AB2730" s="2" t="s">
        <v>120</v>
      </c>
      <c r="AC2730" s="2" t="s">
        <v>1332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hidden="1" x14ac:dyDescent="0.2">
      <c r="A2731" s="2">
        <v>2025</v>
      </c>
      <c r="B2731" s="2">
        <v>9</v>
      </c>
      <c r="D2731" s="2" t="s">
        <v>1075</v>
      </c>
      <c r="P2731" s="2" t="s">
        <v>283</v>
      </c>
      <c r="Q2731" s="2" t="s">
        <v>2273</v>
      </c>
      <c r="R2731" s="2" t="s">
        <v>2274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3239</v>
      </c>
      <c r="AA2731" s="2" t="s">
        <v>579</v>
      </c>
      <c r="AB2731" s="2" t="s">
        <v>120</v>
      </c>
      <c r="AC2731" s="2" t="s">
        <v>1332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hidden="1" x14ac:dyDescent="0.2">
      <c r="A2732" s="2">
        <v>2025</v>
      </c>
      <c r="B2732" s="2">
        <v>9</v>
      </c>
      <c r="D2732" s="2" t="s">
        <v>1075</v>
      </c>
      <c r="P2732" s="2" t="s">
        <v>283</v>
      </c>
      <c r="Q2732" s="2" t="s">
        <v>1791</v>
      </c>
      <c r="R2732" s="2" t="s">
        <v>1792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hidden="1" x14ac:dyDescent="0.2">
      <c r="A2733" s="2">
        <v>2025</v>
      </c>
      <c r="B2733" s="2">
        <v>9</v>
      </c>
      <c r="D2733" s="2" t="s">
        <v>1075</v>
      </c>
      <c r="P2733" s="2" t="s">
        <v>283</v>
      </c>
      <c r="Q2733" s="2" t="s">
        <v>1793</v>
      </c>
      <c r="R2733" s="2" t="s">
        <v>1792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hidden="1" x14ac:dyDescent="0.2">
      <c r="A2734" s="2">
        <v>2025</v>
      </c>
      <c r="B2734" s="2">
        <v>9</v>
      </c>
      <c r="D2734" s="2" t="s">
        <v>2059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2059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hidden="1" x14ac:dyDescent="0.2">
      <c r="A2736" s="2">
        <v>2025</v>
      </c>
      <c r="B2736" s="2">
        <v>9</v>
      </c>
      <c r="D2736" s="2" t="s">
        <v>2059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3394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3239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3239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2275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2276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3239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2276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3239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2277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2277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hidden="1" x14ac:dyDescent="0.2">
      <c r="A2745" s="2">
        <v>2025</v>
      </c>
      <c r="B2745" s="2">
        <v>9</v>
      </c>
      <c r="D2745" s="2" t="s">
        <v>1092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1093</v>
      </c>
      <c r="J2745" s="2" t="s">
        <v>1094</v>
      </c>
      <c r="K2745" s="2">
        <v>917523997</v>
      </c>
      <c r="L2745" s="2" t="s">
        <v>113</v>
      </c>
      <c r="M2745" s="2" t="s">
        <v>40</v>
      </c>
      <c r="O2745" s="2" t="s">
        <v>2278</v>
      </c>
      <c r="P2745" s="2" t="s">
        <v>115</v>
      </c>
      <c r="Q2745" s="2" t="s">
        <v>2279</v>
      </c>
      <c r="R2745" s="2" t="s">
        <v>2280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hidden="1" x14ac:dyDescent="0.2">
      <c r="A2746" s="2">
        <v>2025</v>
      </c>
      <c r="B2746" s="2">
        <v>9</v>
      </c>
      <c r="D2746" s="2" t="s">
        <v>1092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1093</v>
      </c>
      <c r="J2746" s="2" t="s">
        <v>1094</v>
      </c>
      <c r="K2746" s="2">
        <v>917523997</v>
      </c>
      <c r="L2746" s="2" t="s">
        <v>113</v>
      </c>
      <c r="M2746" s="2" t="s">
        <v>40</v>
      </c>
      <c r="O2746" s="2" t="s">
        <v>2281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3239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hidden="1" x14ac:dyDescent="0.2">
      <c r="A2747" s="2">
        <v>2025</v>
      </c>
      <c r="B2747" s="2">
        <v>9</v>
      </c>
      <c r="D2747" s="2" t="s">
        <v>1092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1093</v>
      </c>
      <c r="J2747" s="2" t="s">
        <v>1094</v>
      </c>
      <c r="K2747" s="2">
        <v>917523997</v>
      </c>
      <c r="L2747" s="2" t="s">
        <v>113</v>
      </c>
      <c r="M2747" s="2" t="s">
        <v>40</v>
      </c>
      <c r="O2747" s="2" t="s">
        <v>2281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3239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hidden="1" x14ac:dyDescent="0.2">
      <c r="A2748" s="2">
        <v>2025</v>
      </c>
      <c r="B2748" s="2">
        <v>9</v>
      </c>
      <c r="D2748" s="2" t="s">
        <v>2282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hidden="1" x14ac:dyDescent="0.2">
      <c r="A2749" s="2">
        <v>2025</v>
      </c>
      <c r="B2749" s="2">
        <v>9</v>
      </c>
      <c r="D2749" s="2" t="s">
        <v>2282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hidden="1" x14ac:dyDescent="0.2">
      <c r="A2750" s="2">
        <v>2025</v>
      </c>
      <c r="B2750" s="2">
        <v>9</v>
      </c>
      <c r="D2750" s="2" t="s">
        <v>2282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3394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hidden="1" x14ac:dyDescent="0.2">
      <c r="A2751" s="2">
        <v>2025</v>
      </c>
      <c r="B2751" s="2">
        <v>9</v>
      </c>
      <c r="D2751" s="2" t="s">
        <v>1295</v>
      </c>
      <c r="P2751" s="2" t="s">
        <v>115</v>
      </c>
      <c r="Q2751" s="2" t="s">
        <v>2283</v>
      </c>
      <c r="R2751" s="2" t="s">
        <v>2284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hidden="1" x14ac:dyDescent="0.2">
      <c r="A2752" s="2">
        <v>2025</v>
      </c>
      <c r="B2752" s="2">
        <v>9</v>
      </c>
      <c r="D2752" s="2" t="s">
        <v>1295</v>
      </c>
      <c r="P2752" s="2" t="s">
        <v>115</v>
      </c>
      <c r="Q2752" s="2" t="s">
        <v>1699</v>
      </c>
      <c r="R2752" s="2" t="s">
        <v>1700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hidden="1" x14ac:dyDescent="0.2">
      <c r="A2753" s="2">
        <v>2025</v>
      </c>
      <c r="B2753" s="2">
        <v>9</v>
      </c>
      <c r="D2753" s="2" t="s">
        <v>1295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3239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1295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hidden="1" x14ac:dyDescent="0.2">
      <c r="A2755" s="2">
        <v>2025</v>
      </c>
      <c r="B2755" s="2">
        <v>9</v>
      </c>
      <c r="D2755" s="2" t="s">
        <v>1295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hidden="1" x14ac:dyDescent="0.2">
      <c r="A2756" s="2">
        <v>2025</v>
      </c>
      <c r="B2756" s="2">
        <v>9</v>
      </c>
      <c r="D2756" s="2" t="s">
        <v>1295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3239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2285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3239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2285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hidden="1" x14ac:dyDescent="0.2">
      <c r="A2759" s="2">
        <v>2025</v>
      </c>
      <c r="B2759" s="2">
        <v>9</v>
      </c>
      <c r="D2759" s="2" t="s">
        <v>1953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3239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2286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2287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3239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3239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3239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1930</v>
      </c>
      <c r="R2765" s="2" t="s">
        <v>1931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1029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3239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3239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3239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3239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3239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2288</v>
      </c>
      <c r="R2771" s="2" t="s">
        <v>2289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3239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1050</v>
      </c>
      <c r="R2772" s="2" t="s">
        <v>1051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3239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2077</v>
      </c>
      <c r="R2773" s="2" t="s">
        <v>2078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3239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2290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3239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2290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3239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2290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3239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2290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3239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2290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3239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2290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3239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2290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3239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2290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3239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2290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3239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2290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3239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2290</v>
      </c>
      <c r="P2784" s="2" t="s">
        <v>43</v>
      </c>
      <c r="Q2784" s="2" t="s">
        <v>1436</v>
      </c>
      <c r="R2784" s="2" t="s">
        <v>1437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3239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hidden="1" x14ac:dyDescent="0.2">
      <c r="A2785" s="2">
        <v>2025</v>
      </c>
      <c r="B2785" s="2">
        <v>9</v>
      </c>
      <c r="D2785" s="2" t="s">
        <v>1300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1301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3239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1300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1301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3239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hidden="1" x14ac:dyDescent="0.2">
      <c r="A2787" s="2">
        <v>2025</v>
      </c>
      <c r="B2787" s="2">
        <v>9</v>
      </c>
      <c r="D2787" s="2" t="s">
        <v>1440</v>
      </c>
      <c r="P2787" s="2" t="s">
        <v>115</v>
      </c>
      <c r="Q2787" s="2" t="s">
        <v>2291</v>
      </c>
      <c r="R2787" s="2" t="s">
        <v>2292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hidden="1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3239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hidden="1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3239</v>
      </c>
      <c r="AA2789" s="2" t="s">
        <v>46</v>
      </c>
      <c r="AB2789" s="2" t="s">
        <v>61</v>
      </c>
      <c r="AC2789" s="2" t="s">
        <v>3345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hidden="1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1368</v>
      </c>
      <c r="R2790" s="2" t="s">
        <v>1369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3239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hidden="1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3239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hidden="1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3239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hidden="1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3239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hidden="1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3239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hidden="1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3239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hidden="1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3239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3239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3239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2293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2293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hidden="1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2294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3239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2294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3239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hidden="1" x14ac:dyDescent="0.2">
      <c r="A2804" s="2">
        <v>2025</v>
      </c>
      <c r="B2804" s="2">
        <v>9</v>
      </c>
      <c r="D2804" s="2" t="s">
        <v>1444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hidden="1" x14ac:dyDescent="0.2">
      <c r="A2805" s="2">
        <v>2025</v>
      </c>
      <c r="B2805" s="2">
        <v>9</v>
      </c>
      <c r="D2805" s="2" t="s">
        <v>1444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hidden="1" x14ac:dyDescent="0.2">
      <c r="A2806" s="2">
        <v>2025</v>
      </c>
      <c r="B2806" s="2">
        <v>9</v>
      </c>
      <c r="D2806" s="2" t="s">
        <v>2201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3239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2201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3239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hidden="1" x14ac:dyDescent="0.2">
      <c r="A2808" s="2">
        <v>2025</v>
      </c>
      <c r="B2808" s="2">
        <v>9</v>
      </c>
      <c r="D2808" s="2" t="s">
        <v>1317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1318</v>
      </c>
      <c r="L2808" s="2" t="s">
        <v>178</v>
      </c>
      <c r="M2808" s="2" t="s">
        <v>41</v>
      </c>
      <c r="O2808" s="2" t="s">
        <v>2295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3239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hidden="1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hidden="1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hidden="1" x14ac:dyDescent="0.2">
      <c r="A2811" s="2">
        <v>2025</v>
      </c>
      <c r="B2811" s="2">
        <v>9</v>
      </c>
      <c r="D2811" s="2" t="s">
        <v>2296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2296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hidden="1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3239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3239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hidden="1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3239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hidden="1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3239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3239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3239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2297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2298</v>
      </c>
      <c r="L2819" s="2" t="s">
        <v>202</v>
      </c>
      <c r="M2819" s="2" t="s">
        <v>40</v>
      </c>
      <c r="O2819" s="2" t="s">
        <v>2299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hidden="1" x14ac:dyDescent="0.2">
      <c r="A2820" s="2">
        <v>2026</v>
      </c>
      <c r="B2820" s="2">
        <v>2</v>
      </c>
      <c r="D2820" s="2" t="s">
        <v>2297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2298</v>
      </c>
      <c r="L2820" s="2" t="s">
        <v>202</v>
      </c>
      <c r="M2820" s="2" t="s">
        <v>40</v>
      </c>
      <c r="O2820" s="2" t="s">
        <v>2299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hidden="1" x14ac:dyDescent="0.2">
      <c r="A2821" s="2">
        <v>2026</v>
      </c>
      <c r="B2821" s="2">
        <v>2</v>
      </c>
      <c r="D2821" s="2" t="s">
        <v>2300</v>
      </c>
      <c r="E2821" s="2" t="s">
        <v>38</v>
      </c>
      <c r="G2821" s="2">
        <v>509800696</v>
      </c>
      <c r="H2821" s="2" t="s">
        <v>291</v>
      </c>
      <c r="I2821" s="2" t="s">
        <v>2301</v>
      </c>
      <c r="J2821" s="2" t="s">
        <v>2302</v>
      </c>
      <c r="K2821" s="2">
        <v>930444437</v>
      </c>
      <c r="L2821" s="2" t="s">
        <v>2301</v>
      </c>
      <c r="M2821" s="2" t="s">
        <v>40</v>
      </c>
      <c r="O2821" s="2" t="s">
        <v>2303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hidden="1" x14ac:dyDescent="0.2">
      <c r="A2822" s="2">
        <v>2026</v>
      </c>
      <c r="B2822" s="2">
        <v>2</v>
      </c>
      <c r="D2822" s="2" t="s">
        <v>2300</v>
      </c>
      <c r="E2822" s="2" t="s">
        <v>38</v>
      </c>
      <c r="G2822" s="2">
        <v>509800696</v>
      </c>
      <c r="H2822" s="2" t="s">
        <v>291</v>
      </c>
      <c r="I2822" s="2" t="s">
        <v>2301</v>
      </c>
      <c r="J2822" s="2" t="s">
        <v>2302</v>
      </c>
      <c r="K2822" s="2">
        <v>930444437</v>
      </c>
      <c r="L2822" s="2" t="s">
        <v>2301</v>
      </c>
      <c r="M2822" s="2" t="s">
        <v>40</v>
      </c>
      <c r="O2822" s="2" t="s">
        <v>2303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hidden="1" x14ac:dyDescent="0.2">
      <c r="A2823" s="2">
        <v>2026</v>
      </c>
      <c r="B2823" s="2">
        <v>1</v>
      </c>
      <c r="D2823" s="2" t="s">
        <v>1128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2304</v>
      </c>
      <c r="J2823" s="2" t="s">
        <v>2305</v>
      </c>
      <c r="K2823" s="2">
        <v>965790183</v>
      </c>
      <c r="L2823" s="2" t="s">
        <v>178</v>
      </c>
      <c r="M2823" s="2" t="s">
        <v>40</v>
      </c>
      <c r="O2823" s="2" t="s">
        <v>2306</v>
      </c>
      <c r="P2823" s="2" t="s">
        <v>115</v>
      </c>
      <c r="Q2823" s="2" t="s">
        <v>2307</v>
      </c>
      <c r="R2823" s="2" t="s">
        <v>2308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2309</v>
      </c>
      <c r="P2824" s="2" t="s">
        <v>115</v>
      </c>
      <c r="Q2824" s="2" t="s">
        <v>1379</v>
      </c>
      <c r="R2824" s="2" t="s">
        <v>1380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2309</v>
      </c>
      <c r="P2825" s="2" t="s">
        <v>115</v>
      </c>
      <c r="Q2825" s="2" t="s">
        <v>2237</v>
      </c>
      <c r="R2825" s="2" t="s">
        <v>2238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2310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2311</v>
      </c>
      <c r="P2827" s="2" t="s">
        <v>115</v>
      </c>
      <c r="Q2827" s="2" t="s">
        <v>1522</v>
      </c>
      <c r="R2827" s="2" t="s">
        <v>1523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1668</v>
      </c>
      <c r="G2828" s="2">
        <v>510222340</v>
      </c>
      <c r="I2828" s="2" t="s">
        <v>2312</v>
      </c>
      <c r="L2828" s="2" t="s">
        <v>345</v>
      </c>
      <c r="M2828" s="2" t="s">
        <v>40</v>
      </c>
      <c r="O2828" s="2" t="s">
        <v>2313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2314</v>
      </c>
      <c r="P2829" s="2" t="s">
        <v>115</v>
      </c>
      <c r="Q2829" s="2" t="s">
        <v>2315</v>
      </c>
      <c r="R2829" s="2" t="s">
        <v>2316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hidden="1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2314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1590</v>
      </c>
      <c r="G2831" s="2">
        <v>504855395</v>
      </c>
      <c r="M2831" s="2" t="s">
        <v>40</v>
      </c>
      <c r="O2831" s="2" t="s">
        <v>2317</v>
      </c>
      <c r="P2831" s="2" t="s">
        <v>115</v>
      </c>
      <c r="Q2831" s="2" t="s">
        <v>2318</v>
      </c>
      <c r="R2831" s="2" t="s">
        <v>2319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1590</v>
      </c>
      <c r="M2832" s="2" t="s">
        <v>40</v>
      </c>
      <c r="O2832" s="2" t="s">
        <v>2317</v>
      </c>
      <c r="P2832" s="2" t="s">
        <v>115</v>
      </c>
      <c r="Q2832" s="2" t="s">
        <v>2320</v>
      </c>
      <c r="R2832" s="2" t="s">
        <v>2321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2322</v>
      </c>
      <c r="E2833" s="2" t="s">
        <v>38</v>
      </c>
      <c r="G2833" s="2">
        <v>169582760</v>
      </c>
      <c r="H2833" s="2" t="s">
        <v>291</v>
      </c>
      <c r="I2833" s="2" t="s">
        <v>2323</v>
      </c>
      <c r="J2833" s="2" t="s">
        <v>2324</v>
      </c>
      <c r="L2833" s="2" t="s">
        <v>2301</v>
      </c>
      <c r="M2833" s="2" t="s">
        <v>40</v>
      </c>
      <c r="O2833" s="2" t="s">
        <v>2325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2311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977</v>
      </c>
      <c r="M2835" s="2" t="s">
        <v>40</v>
      </c>
      <c r="O2835" s="2" t="s">
        <v>2326</v>
      </c>
      <c r="P2835" s="2" t="s">
        <v>115</v>
      </c>
      <c r="Q2835" s="2" t="s">
        <v>2327</v>
      </c>
      <c r="R2835" s="2" t="s">
        <v>2328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2329</v>
      </c>
      <c r="M2836" s="2" t="s">
        <v>40</v>
      </c>
      <c r="O2836" s="2" t="s">
        <v>2330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1295</v>
      </c>
      <c r="I2837" s="2" t="s">
        <v>2331</v>
      </c>
      <c r="M2837" s="2" t="s">
        <v>40</v>
      </c>
      <c r="O2837" s="2" t="s">
        <v>2332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1887</v>
      </c>
      <c r="M2838" s="2" t="s">
        <v>40</v>
      </c>
      <c r="O2838" s="2" t="s">
        <v>2333</v>
      </c>
      <c r="P2838" s="2" t="s">
        <v>115</v>
      </c>
      <c r="Q2838" s="2" t="s">
        <v>1418</v>
      </c>
      <c r="R2838" s="2" t="s">
        <v>1419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2334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2241</v>
      </c>
      <c r="M2840" s="2" t="s">
        <v>40</v>
      </c>
      <c r="O2840" s="2" t="s">
        <v>2335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1012</v>
      </c>
      <c r="M2841" s="2" t="s">
        <v>40</v>
      </c>
      <c r="O2841" s="2" t="s">
        <v>2336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2337</v>
      </c>
      <c r="I2842" s="2" t="s">
        <v>806</v>
      </c>
      <c r="L2842" s="2" t="s">
        <v>100</v>
      </c>
      <c r="M2842" s="2" t="s">
        <v>40</v>
      </c>
      <c r="O2842" s="2" t="s">
        <v>2338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1295</v>
      </c>
      <c r="M2843" s="2" t="s">
        <v>40</v>
      </c>
      <c r="O2843" s="2" t="s">
        <v>2339</v>
      </c>
      <c r="P2843" s="2" t="s">
        <v>115</v>
      </c>
      <c r="Q2843" s="2" t="s">
        <v>2340</v>
      </c>
      <c r="R2843" s="2" t="s">
        <v>2341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2342</v>
      </c>
      <c r="P2844" s="2" t="s">
        <v>115</v>
      </c>
      <c r="Q2844" s="2" t="s">
        <v>1663</v>
      </c>
      <c r="R2844" s="2" t="s">
        <v>1664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1887</v>
      </c>
      <c r="M2845" s="2" t="s">
        <v>40</v>
      </c>
      <c r="O2845" s="2" t="s">
        <v>2333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2343</v>
      </c>
      <c r="P2846" s="2" t="s">
        <v>115</v>
      </c>
      <c r="Q2846" s="2" t="s">
        <v>982</v>
      </c>
      <c r="R2846" s="2" t="s">
        <v>983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hidden="1" x14ac:dyDescent="0.2">
      <c r="A2847" s="2">
        <v>2026</v>
      </c>
      <c r="B2847" s="2">
        <v>1</v>
      </c>
      <c r="D2847" s="2" t="s">
        <v>2344</v>
      </c>
      <c r="M2847" s="2" t="s">
        <v>41</v>
      </c>
      <c r="P2847" s="2" t="s">
        <v>115</v>
      </c>
      <c r="Q2847" s="2" t="s">
        <v>2345</v>
      </c>
      <c r="R2847" s="2" t="s">
        <v>2346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hidden="1" x14ac:dyDescent="0.2">
      <c r="A2848" s="2">
        <v>2026</v>
      </c>
      <c r="B2848" s="2">
        <v>1</v>
      </c>
      <c r="D2848" s="2" t="s">
        <v>1630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1631</v>
      </c>
      <c r="J2848" s="2" t="s">
        <v>1632</v>
      </c>
      <c r="L2848" s="2" t="s">
        <v>294</v>
      </c>
      <c r="M2848" s="2" t="s">
        <v>40</v>
      </c>
      <c r="O2848" s="2" t="s">
        <v>2347</v>
      </c>
      <c r="P2848" s="2" t="s">
        <v>115</v>
      </c>
      <c r="Q2848" s="2" t="s">
        <v>1476</v>
      </c>
      <c r="R2848" s="2" t="s">
        <v>1477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2348</v>
      </c>
      <c r="M2849" s="2" t="s">
        <v>40</v>
      </c>
      <c r="P2849" s="2" t="s">
        <v>115</v>
      </c>
      <c r="Q2849" s="2" t="s">
        <v>1476</v>
      </c>
      <c r="R2849" s="2" t="s">
        <v>1477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1476</v>
      </c>
      <c r="R2850" s="2" t="s">
        <v>1477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2349</v>
      </c>
      <c r="R2851" s="2" t="s">
        <v>2350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2351</v>
      </c>
      <c r="R2852" s="2" t="s">
        <v>2352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1187</v>
      </c>
      <c r="R2853" s="2" t="s">
        <v>1188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2353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3340</v>
      </c>
      <c r="D2855" s="2" t="s">
        <v>3341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2353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2354</v>
      </c>
      <c r="P2856" s="2" t="s">
        <v>115</v>
      </c>
      <c r="Q2856" s="2" t="s">
        <v>959</v>
      </c>
      <c r="R2856" s="2" t="s">
        <v>960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617</v>
      </c>
      <c r="AB2856" s="2" t="s">
        <v>961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2329</v>
      </c>
      <c r="P2857" s="2" t="s">
        <v>115</v>
      </c>
      <c r="Q2857" s="2" t="s">
        <v>959</v>
      </c>
      <c r="R2857" s="2" t="s">
        <v>960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617</v>
      </c>
      <c r="AB2857" s="2" t="s">
        <v>961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1128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2304</v>
      </c>
      <c r="J2858" s="2" t="s">
        <v>2305</v>
      </c>
      <c r="K2858" s="2">
        <v>965790183</v>
      </c>
      <c r="L2858" s="2" t="s">
        <v>178</v>
      </c>
      <c r="M2858" s="2" t="s">
        <v>41</v>
      </c>
      <c r="O2858" s="2" t="s">
        <v>2355</v>
      </c>
      <c r="P2858" s="2" t="s">
        <v>115</v>
      </c>
      <c r="Q2858" s="2" t="s">
        <v>959</v>
      </c>
      <c r="R2858" s="2" t="s">
        <v>960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617</v>
      </c>
      <c r="AB2858" s="2" t="s">
        <v>961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977</v>
      </c>
      <c r="M2859" s="2" t="s">
        <v>3314</v>
      </c>
      <c r="P2859" s="2" t="s">
        <v>2356</v>
      </c>
      <c r="Q2859" s="2" t="s">
        <v>2357</v>
      </c>
      <c r="R2859" s="2" t="s">
        <v>2358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2356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1561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1562</v>
      </c>
      <c r="J2860" s="2" t="s">
        <v>1563</v>
      </c>
      <c r="L2860" s="2" t="s">
        <v>100</v>
      </c>
      <c r="M2860" s="2" t="s">
        <v>41</v>
      </c>
      <c r="P2860" s="2" t="s">
        <v>2359</v>
      </c>
      <c r="Q2860" s="2" t="s">
        <v>2360</v>
      </c>
      <c r="R2860" s="2" t="s">
        <v>2361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2359</v>
      </c>
      <c r="AC2860" s="2" t="s">
        <v>2359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2362</v>
      </c>
      <c r="P2861" s="2" t="s">
        <v>283</v>
      </c>
      <c r="Q2861" s="2" t="s">
        <v>1518</v>
      </c>
      <c r="R2861" s="2" t="s">
        <v>1519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3239</v>
      </c>
      <c r="AA2861" s="2" t="s">
        <v>72</v>
      </c>
      <c r="AB2861" s="2" t="s">
        <v>1608</v>
      </c>
      <c r="AC2861" s="2" t="s">
        <v>1608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2363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2364</v>
      </c>
      <c r="P2862" s="2" t="s">
        <v>283</v>
      </c>
      <c r="Q2862" s="2" t="s">
        <v>2365</v>
      </c>
      <c r="R2862" s="2" t="s">
        <v>2366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3239</v>
      </c>
      <c r="AA2862" s="2" t="s">
        <v>72</v>
      </c>
      <c r="AB2862" s="2" t="s">
        <v>1608</v>
      </c>
      <c r="AC2862" s="2" t="s">
        <v>1608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2367</v>
      </c>
      <c r="E2863" s="2" t="s">
        <v>754</v>
      </c>
      <c r="G2863" s="2">
        <v>191221937</v>
      </c>
      <c r="H2863" s="2" t="s">
        <v>110</v>
      </c>
      <c r="I2863" s="2" t="s">
        <v>2368</v>
      </c>
      <c r="J2863" s="2" t="s">
        <v>2369</v>
      </c>
      <c r="L2863" s="2" t="s">
        <v>134</v>
      </c>
      <c r="M2863" s="2" t="s">
        <v>110</v>
      </c>
      <c r="P2863" s="2" t="s">
        <v>283</v>
      </c>
      <c r="Q2863" s="2" t="s">
        <v>1555</v>
      </c>
      <c r="R2863" s="2" t="s">
        <v>1556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3239</v>
      </c>
      <c r="AA2864" s="2" t="s">
        <v>46</v>
      </c>
      <c r="AB2864" s="2" t="s">
        <v>61</v>
      </c>
      <c r="AC2864" s="2" t="s">
        <v>3345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3239</v>
      </c>
      <c r="AA2865" s="2" t="s">
        <v>46</v>
      </c>
      <c r="AB2865" s="2" t="s">
        <v>61</v>
      </c>
      <c r="AC2865" s="2" t="s">
        <v>3345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1561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1562</v>
      </c>
      <c r="J2866" s="2" t="s">
        <v>1563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3239</v>
      </c>
      <c r="AA2866" s="2" t="s">
        <v>46</v>
      </c>
      <c r="AB2866" s="2" t="s">
        <v>61</v>
      </c>
      <c r="AC2866" s="2" t="s">
        <v>3345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3239</v>
      </c>
      <c r="AA2867" s="2" t="s">
        <v>46</v>
      </c>
      <c r="AB2867" s="2" t="s">
        <v>61</v>
      </c>
      <c r="AC2867" s="2" t="s">
        <v>3345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2370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3239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1105</v>
      </c>
      <c r="J2869" s="2" t="s">
        <v>1106</v>
      </c>
      <c r="L2869" s="2" t="s">
        <v>178</v>
      </c>
      <c r="M2869" s="2" t="s">
        <v>41</v>
      </c>
      <c r="O2869" s="2" t="s">
        <v>2371</v>
      </c>
      <c r="P2869" s="2" t="s">
        <v>43</v>
      </c>
      <c r="Q2869" s="2" t="s">
        <v>1108</v>
      </c>
      <c r="R2869" s="2" t="s">
        <v>1109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3239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2372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3239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2373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3239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3239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3239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2374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2375</v>
      </c>
      <c r="J2874" s="2" t="s">
        <v>2376</v>
      </c>
      <c r="K2874" s="2">
        <v>963062174</v>
      </c>
      <c r="L2874" s="2" t="s">
        <v>419</v>
      </c>
      <c r="M2874" s="2" t="s">
        <v>41</v>
      </c>
      <c r="O2874" s="2" t="s">
        <v>2377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3239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1368</v>
      </c>
      <c r="R2875" s="2" t="s">
        <v>1369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3239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hidden="1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3239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3239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3239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3239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3239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3239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2378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3239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3239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3239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3239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3239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hidden="1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2378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3239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3239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3239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hidden="1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2378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3239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3239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3239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3239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3239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3239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3239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2224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3239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1182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1183</v>
      </c>
      <c r="J2898" s="2" t="s">
        <v>1184</v>
      </c>
      <c r="L2898" s="2" t="s">
        <v>462</v>
      </c>
      <c r="M2898" s="2" t="s">
        <v>41</v>
      </c>
      <c r="O2898" s="2" t="s">
        <v>2379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3239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3239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3239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3239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3239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2380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3239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1047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3239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1402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3229</v>
      </c>
      <c r="J2905" s="2" t="s">
        <v>3228</v>
      </c>
      <c r="K2905" s="2">
        <v>913814877</v>
      </c>
      <c r="L2905" s="2" t="s">
        <v>202</v>
      </c>
      <c r="M2905" s="2" t="s">
        <v>81</v>
      </c>
      <c r="O2905" s="2" t="s">
        <v>3223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3239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2381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3239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3239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3239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2382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3239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1317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1318</v>
      </c>
      <c r="L2910" s="2" t="s">
        <v>178</v>
      </c>
      <c r="M2910" s="2" t="s">
        <v>41</v>
      </c>
      <c r="O2910" s="2" t="s">
        <v>2383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3239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3382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3239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2384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3239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2385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3239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2371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3239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2386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3239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3239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2363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2364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3239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1144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1145</v>
      </c>
      <c r="J2918" s="2" t="s">
        <v>1146</v>
      </c>
      <c r="L2918" s="2" t="s">
        <v>100</v>
      </c>
      <c r="M2918" s="2" t="s">
        <v>41</v>
      </c>
      <c r="O2918" s="2" t="s">
        <v>2387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3239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3239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3239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3239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3239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3239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2374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2375</v>
      </c>
      <c r="J2924" s="2" t="s">
        <v>2376</v>
      </c>
      <c r="K2924" s="2">
        <v>963062174</v>
      </c>
      <c r="L2924" s="2" t="s">
        <v>419</v>
      </c>
      <c r="M2924" s="2" t="s">
        <v>41</v>
      </c>
      <c r="O2924" s="2" t="s">
        <v>2377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3239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3239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3239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3239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2241</v>
      </c>
      <c r="P2928" s="2" t="s">
        <v>43</v>
      </c>
      <c r="Q2928" s="2" t="s">
        <v>2388</v>
      </c>
      <c r="R2928" s="2" t="s">
        <v>2389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3239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hidden="1" x14ac:dyDescent="0.2">
      <c r="A2929" s="2">
        <v>2026</v>
      </c>
      <c r="B2929" s="2">
        <v>1</v>
      </c>
      <c r="D2929" s="2" t="s">
        <v>1598</v>
      </c>
      <c r="P2929" s="2" t="s">
        <v>43</v>
      </c>
      <c r="Q2929" s="2" t="s">
        <v>2388</v>
      </c>
      <c r="R2929" s="2" t="s">
        <v>2389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3239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2390</v>
      </c>
      <c r="P2930" s="2" t="s">
        <v>43</v>
      </c>
      <c r="Q2930" s="2" t="s">
        <v>973</v>
      </c>
      <c r="R2930" s="2" t="s">
        <v>974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3239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2390</v>
      </c>
      <c r="P2931" s="2" t="s">
        <v>43</v>
      </c>
      <c r="Q2931" s="2" t="s">
        <v>975</v>
      </c>
      <c r="R2931" s="2" t="s">
        <v>976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3239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hidden="1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2378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3239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2382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3239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2224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3239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3239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3239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2391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3239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3283</v>
      </c>
      <c r="M2938" s="2" t="s">
        <v>110</v>
      </c>
      <c r="P2938" s="2" t="s">
        <v>3243</v>
      </c>
      <c r="Q2938" s="2" t="s">
        <v>2392</v>
      </c>
      <c r="R2938" s="2" t="s">
        <v>2393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3243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1182</v>
      </c>
      <c r="E2939" s="2" t="s">
        <v>38</v>
      </c>
      <c r="G2939" s="2">
        <v>502089075</v>
      </c>
      <c r="H2939" s="2" t="s">
        <v>41</v>
      </c>
      <c r="I2939" s="2" t="s">
        <v>1183</v>
      </c>
      <c r="J2939" s="2" t="s">
        <v>1184</v>
      </c>
      <c r="L2939" s="2" t="s">
        <v>462</v>
      </c>
      <c r="M2939" s="2" t="s">
        <v>41</v>
      </c>
      <c r="O2939" s="2" t="s">
        <v>2394</v>
      </c>
      <c r="P2939" s="2" t="s">
        <v>167</v>
      </c>
      <c r="Q2939" s="2" t="s">
        <v>2395</v>
      </c>
      <c r="R2939" s="2" t="s">
        <v>2396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3239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hidden="1" x14ac:dyDescent="0.2">
      <c r="A2940" s="2">
        <v>2026</v>
      </c>
      <c r="B2940" s="2">
        <v>1</v>
      </c>
      <c r="D2940" s="2" t="s">
        <v>2397</v>
      </c>
      <c r="P2940" s="2" t="s">
        <v>69</v>
      </c>
      <c r="Q2940" s="2" t="s">
        <v>2398</v>
      </c>
      <c r="R2940" s="2" t="s">
        <v>2399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3244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hidden="1" x14ac:dyDescent="0.2">
      <c r="A2941" s="2">
        <v>2026</v>
      </c>
      <c r="B2941" s="2">
        <v>1</v>
      </c>
      <c r="D2941" s="2" t="s">
        <v>1524</v>
      </c>
      <c r="M2941" s="2" t="s">
        <v>110</v>
      </c>
      <c r="P2941" s="2" t="s">
        <v>69</v>
      </c>
      <c r="Q2941" s="2" t="s">
        <v>1525</v>
      </c>
      <c r="R2941" s="2" t="s">
        <v>1526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1099</v>
      </c>
      <c r="AC2941" s="2" t="s">
        <v>3244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2400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3239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2401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3239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3239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1013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1014</v>
      </c>
      <c r="J2945" s="2" t="s">
        <v>1015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3239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1021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1022</v>
      </c>
      <c r="J2946" s="2" t="s">
        <v>1023</v>
      </c>
      <c r="L2946" s="2" t="s">
        <v>294</v>
      </c>
      <c r="M2946" s="2" t="s">
        <v>81</v>
      </c>
      <c r="O2946" s="2" t="s">
        <v>2402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3239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3239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1601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1602</v>
      </c>
      <c r="J2948" s="2" t="s">
        <v>1603</v>
      </c>
      <c r="L2948" s="2" t="s">
        <v>202</v>
      </c>
      <c r="M2948" s="2" t="s">
        <v>81</v>
      </c>
      <c r="O2948" s="2" t="s">
        <v>2403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3239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1424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1277</v>
      </c>
      <c r="J2949" s="2" t="s">
        <v>2404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3239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2405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3239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2406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3239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3239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3239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2407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3239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2408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3239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1952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2409</v>
      </c>
      <c r="J2956" s="2" t="s">
        <v>2410</v>
      </c>
      <c r="L2956" s="2" t="s">
        <v>202</v>
      </c>
      <c r="M2956" s="2" t="s">
        <v>41</v>
      </c>
      <c r="O2956" s="2" t="s">
        <v>2411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3239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2412</v>
      </c>
      <c r="P2957" s="2" t="s">
        <v>73</v>
      </c>
      <c r="Q2957" s="2" t="s">
        <v>1395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3239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2018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3239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1561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1562</v>
      </c>
      <c r="J2959" s="2" t="s">
        <v>1563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3239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2413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3239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2401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2414</v>
      </c>
      <c r="J2961" s="2" t="s">
        <v>2415</v>
      </c>
      <c r="K2961" s="2">
        <v>919209638</v>
      </c>
      <c r="L2961" s="2" t="s">
        <v>294</v>
      </c>
      <c r="M2961" s="2" t="s">
        <v>81</v>
      </c>
      <c r="O2961" s="2" t="s">
        <v>2416</v>
      </c>
      <c r="P2961" s="2" t="s">
        <v>73</v>
      </c>
      <c r="Q2961" s="2" t="s">
        <v>2417</v>
      </c>
      <c r="R2961" s="2" t="s">
        <v>1421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3239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2418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3239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1077</v>
      </c>
      <c r="M2963" s="2" t="s">
        <v>41</v>
      </c>
      <c r="P2963" s="2" t="s">
        <v>73</v>
      </c>
      <c r="Q2963" s="2" t="s">
        <v>1350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3239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1572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2419</v>
      </c>
      <c r="K2964" s="2">
        <v>968647685</v>
      </c>
      <c r="L2964" s="2" t="s">
        <v>399</v>
      </c>
      <c r="M2964" s="2" t="s">
        <v>110</v>
      </c>
      <c r="O2964" s="2" t="s">
        <v>2420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3239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1423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2421</v>
      </c>
      <c r="J2965" s="2" t="s">
        <v>2422</v>
      </c>
      <c r="L2965" s="2" t="s">
        <v>202</v>
      </c>
      <c r="M2965" s="2" t="s">
        <v>81</v>
      </c>
      <c r="O2965" s="2" t="s">
        <v>2423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3239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2400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3239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3239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1013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1014</v>
      </c>
      <c r="J2968" s="2" t="s">
        <v>1015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3239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2424</v>
      </c>
      <c r="R2969" s="2" t="s">
        <v>2425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3239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2426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3239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1030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1031</v>
      </c>
      <c r="J2971" s="2" t="s">
        <v>1032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3239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1454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3239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2427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3239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2428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3239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1381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3219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3239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1300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1301</v>
      </c>
      <c r="L2976" s="2" t="s">
        <v>340</v>
      </c>
      <c r="M2976" s="2" t="s">
        <v>81</v>
      </c>
      <c r="O2976" s="2" t="s">
        <v>2429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3239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1013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1014</v>
      </c>
      <c r="J2977" s="2" t="s">
        <v>1015</v>
      </c>
      <c r="L2977" s="2" t="s">
        <v>294</v>
      </c>
      <c r="M2977" s="2" t="s">
        <v>81</v>
      </c>
      <c r="O2977" s="2" t="s">
        <v>3209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3239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2430</v>
      </c>
      <c r="L2978" s="2" t="s">
        <v>462</v>
      </c>
      <c r="M2978" s="2" t="s">
        <v>81</v>
      </c>
      <c r="O2978" s="2" t="s">
        <v>2431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3239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1013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1014</v>
      </c>
      <c r="J2979" s="2" t="s">
        <v>1015</v>
      </c>
      <c r="L2979" s="2" t="s">
        <v>294</v>
      </c>
      <c r="M2979" s="2" t="s">
        <v>81</v>
      </c>
      <c r="P2979" s="2" t="s">
        <v>73</v>
      </c>
      <c r="Q2979" s="2" t="s">
        <v>1079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3239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3239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2432</v>
      </c>
      <c r="P2981" s="2" t="s">
        <v>73</v>
      </c>
      <c r="Q2981" s="2" t="s">
        <v>2433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3239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2434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3239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2435</v>
      </c>
      <c r="P2983" s="2" t="s">
        <v>73</v>
      </c>
      <c r="Q2983" s="2" t="s">
        <v>2000</v>
      </c>
      <c r="R2983" s="2" t="s">
        <v>1421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3239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985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986</v>
      </c>
      <c r="J2984" s="2" t="s">
        <v>987</v>
      </c>
      <c r="L2984" s="2" t="s">
        <v>294</v>
      </c>
      <c r="M2984" s="2" t="s">
        <v>81</v>
      </c>
      <c r="O2984" s="2" t="s">
        <v>2436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3239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3239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1215</v>
      </c>
      <c r="R2986" s="2" t="s">
        <v>1216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3239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hidden="1" x14ac:dyDescent="0.2">
      <c r="A2987" s="2">
        <v>2026</v>
      </c>
      <c r="B2987" s="2">
        <v>1</v>
      </c>
      <c r="D2987" s="2" t="s">
        <v>2437</v>
      </c>
      <c r="P2987" s="2" t="s">
        <v>85</v>
      </c>
      <c r="Q2987" s="2" t="s">
        <v>2438</v>
      </c>
      <c r="R2987" s="2" t="s">
        <v>2439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3239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1042</v>
      </c>
      <c r="Q2988" s="2" t="s">
        <v>2440</v>
      </c>
      <c r="R2988" s="2" t="s">
        <v>2441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3239</v>
      </c>
      <c r="AA2988" s="2" t="s">
        <v>1045</v>
      </c>
      <c r="AB2988" s="2" t="s">
        <v>1275</v>
      </c>
      <c r="AC2988" s="2" t="s">
        <v>1042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2442</v>
      </c>
      <c r="M2989" s="2" t="s">
        <v>81</v>
      </c>
      <c r="P2989" s="2" t="s">
        <v>1042</v>
      </c>
      <c r="Q2989" s="2" t="s">
        <v>2443</v>
      </c>
      <c r="R2989" s="2" t="s">
        <v>2444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3239</v>
      </c>
      <c r="AA2989" s="2" t="s">
        <v>1045</v>
      </c>
      <c r="AB2989" s="2" t="s">
        <v>1323</v>
      </c>
      <c r="AC2989" s="2" t="s">
        <v>1042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2445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2446</v>
      </c>
      <c r="J2990" s="2" t="s">
        <v>2447</v>
      </c>
      <c r="L2990" s="2" t="s">
        <v>2448</v>
      </c>
      <c r="M2990" s="2" t="s">
        <v>41</v>
      </c>
      <c r="O2990" s="2" t="s">
        <v>2449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2450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493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hidden="1" x14ac:dyDescent="0.2">
      <c r="A2993" s="2">
        <v>2026</v>
      </c>
      <c r="B2993" s="2">
        <v>1</v>
      </c>
      <c r="D2993" s="2" t="s">
        <v>1894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hidden="1" x14ac:dyDescent="0.2">
      <c r="A2994" s="2">
        <v>2026</v>
      </c>
      <c r="B2994" s="2">
        <v>1</v>
      </c>
      <c r="D2994" s="2" t="s">
        <v>1013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1014</v>
      </c>
      <c r="J2994" s="2" t="s">
        <v>1015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hidden="1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hidden="1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hidden="1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2451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hidden="1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2451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hidden="1" x14ac:dyDescent="0.2">
      <c r="A3001" s="2">
        <v>2026</v>
      </c>
      <c r="B3001" s="2">
        <v>2</v>
      </c>
      <c r="D3001" s="2" t="s">
        <v>2452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2452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2453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2453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2454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1172</v>
      </c>
      <c r="E3006" s="2" t="s">
        <v>754</v>
      </c>
      <c r="F3006" s="2" t="s">
        <v>1173</v>
      </c>
      <c r="G3006" s="2">
        <v>505760088</v>
      </c>
      <c r="H3006" s="2" t="s">
        <v>291</v>
      </c>
      <c r="I3006" s="2" t="s">
        <v>1174</v>
      </c>
      <c r="J3006" s="2" t="s">
        <v>1175</v>
      </c>
      <c r="L3006" s="2" t="s">
        <v>340</v>
      </c>
      <c r="M3006" s="2" t="s">
        <v>40</v>
      </c>
      <c r="O3006" s="2" t="s">
        <v>2455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hidden="1" x14ac:dyDescent="0.2">
      <c r="A3007" s="2">
        <v>2026</v>
      </c>
      <c r="B3007" s="2">
        <v>3</v>
      </c>
      <c r="D3007" s="2" t="s">
        <v>1172</v>
      </c>
      <c r="E3007" s="2" t="s">
        <v>754</v>
      </c>
      <c r="F3007" s="2" t="s">
        <v>1173</v>
      </c>
      <c r="G3007" s="2">
        <v>505760088</v>
      </c>
      <c r="H3007" s="2" t="s">
        <v>291</v>
      </c>
      <c r="I3007" s="2" t="s">
        <v>1174</v>
      </c>
      <c r="J3007" s="2" t="s">
        <v>1175</v>
      </c>
      <c r="L3007" s="2" t="s">
        <v>340</v>
      </c>
      <c r="M3007" s="2" t="s">
        <v>40</v>
      </c>
      <c r="O3007" s="2" t="s">
        <v>2455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2456</v>
      </c>
      <c r="F3008" s="2" t="s">
        <v>39</v>
      </c>
      <c r="G3008" s="2">
        <v>505814030</v>
      </c>
      <c r="H3008" s="2" t="s">
        <v>291</v>
      </c>
      <c r="I3008" s="2" t="s">
        <v>2457</v>
      </c>
      <c r="J3008" s="2" t="s">
        <v>2458</v>
      </c>
      <c r="L3008" s="2" t="s">
        <v>340</v>
      </c>
      <c r="M3008" s="2" t="s">
        <v>40</v>
      </c>
      <c r="O3008" s="2" t="s">
        <v>2459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2456</v>
      </c>
      <c r="F3009" s="2" t="s">
        <v>39</v>
      </c>
      <c r="G3009" s="2">
        <v>505814030</v>
      </c>
      <c r="H3009" s="2" t="s">
        <v>291</v>
      </c>
      <c r="I3009" s="2" t="s">
        <v>2457</v>
      </c>
      <c r="J3009" s="2" t="s">
        <v>2458</v>
      </c>
      <c r="L3009" s="2" t="s">
        <v>340</v>
      </c>
      <c r="M3009" s="2" t="s">
        <v>40</v>
      </c>
      <c r="O3009" s="2" t="s">
        <v>2459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hidden="1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hidden="1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hidden="1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hidden="1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hidden="1" x14ac:dyDescent="0.2">
      <c r="A3016" s="2">
        <v>2026</v>
      </c>
      <c r="B3016" s="2">
        <v>1</v>
      </c>
      <c r="D3016" s="2" t="s">
        <v>977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hidden="1" x14ac:dyDescent="0.2">
      <c r="A3017" s="2">
        <v>2026</v>
      </c>
      <c r="B3017" s="2">
        <v>1</v>
      </c>
      <c r="D3017" s="2" t="s">
        <v>977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hidden="1" x14ac:dyDescent="0.2">
      <c r="A3018" s="2">
        <v>2026</v>
      </c>
      <c r="B3018" s="2">
        <v>3</v>
      </c>
      <c r="D3018" s="2" t="s">
        <v>2460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hidden="1" x14ac:dyDescent="0.2">
      <c r="A3019" s="2">
        <v>2026</v>
      </c>
      <c r="B3019" s="2">
        <v>3</v>
      </c>
      <c r="D3019" s="2" t="s">
        <v>2460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hidden="1" x14ac:dyDescent="0.2">
      <c r="A3020" s="2">
        <v>2026</v>
      </c>
      <c r="B3020" s="2">
        <v>3</v>
      </c>
      <c r="D3020" s="2" t="s">
        <v>1774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hidden="1" x14ac:dyDescent="0.2">
      <c r="A3021" s="2">
        <v>2026</v>
      </c>
      <c r="B3021" s="2">
        <v>3</v>
      </c>
      <c r="D3021" s="2" t="s">
        <v>1774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hidden="1" x14ac:dyDescent="0.2">
      <c r="A3022" s="2">
        <v>2026</v>
      </c>
      <c r="B3022" s="2">
        <v>1</v>
      </c>
      <c r="D3022" s="2" t="s">
        <v>2002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hidden="1" x14ac:dyDescent="0.2">
      <c r="A3023" s="2">
        <v>2026</v>
      </c>
      <c r="B3023" s="2">
        <v>1</v>
      </c>
      <c r="D3023" s="2" t="s">
        <v>2002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hidden="1" x14ac:dyDescent="0.2">
      <c r="A3024" s="2">
        <v>2026</v>
      </c>
      <c r="B3024" s="2">
        <v>2</v>
      </c>
      <c r="D3024" s="2" t="s">
        <v>2461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2462</v>
      </c>
      <c r="J3024" s="2" t="s">
        <v>2463</v>
      </c>
      <c r="K3024" s="2">
        <v>967554174</v>
      </c>
      <c r="L3024" s="2" t="s">
        <v>134</v>
      </c>
      <c r="M3024" s="2" t="s">
        <v>40</v>
      </c>
      <c r="O3024" s="2" t="s">
        <v>2464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hidden="1" x14ac:dyDescent="0.2">
      <c r="A3025" s="2">
        <v>2026</v>
      </c>
      <c r="B3025" s="2">
        <v>2</v>
      </c>
      <c r="D3025" s="2" t="s">
        <v>2461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2462</v>
      </c>
      <c r="J3025" s="2" t="s">
        <v>2463</v>
      </c>
      <c r="K3025" s="2">
        <v>967554174</v>
      </c>
      <c r="L3025" s="2" t="s">
        <v>134</v>
      </c>
      <c r="M3025" s="2" t="s">
        <v>40</v>
      </c>
      <c r="O3025" s="2" t="s">
        <v>2464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hidden="1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2224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hidden="1" x14ac:dyDescent="0.2">
      <c r="A3030" s="2">
        <v>2026</v>
      </c>
      <c r="B3030" s="2">
        <v>1</v>
      </c>
      <c r="D3030" s="2" t="s">
        <v>1182</v>
      </c>
      <c r="E3030" s="2" t="s">
        <v>38</v>
      </c>
      <c r="G3030" s="2">
        <v>502089075</v>
      </c>
      <c r="H3030" s="2" t="s">
        <v>41</v>
      </c>
      <c r="I3030" s="2" t="s">
        <v>1183</v>
      </c>
      <c r="J3030" s="2" t="s">
        <v>1184</v>
      </c>
      <c r="L3030" s="2" t="s">
        <v>462</v>
      </c>
      <c r="M3030" s="2" t="s">
        <v>41</v>
      </c>
      <c r="O3030" s="2" t="s">
        <v>2465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hidden="1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2380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hidden="1" x14ac:dyDescent="0.2">
      <c r="A3033" s="2">
        <v>2026</v>
      </c>
      <c r="B3033" s="2">
        <v>1</v>
      </c>
      <c r="D3033" s="2" t="s">
        <v>1295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hidden="1" x14ac:dyDescent="0.2">
      <c r="A3034" s="2">
        <v>2026</v>
      </c>
      <c r="B3034" s="2">
        <v>1</v>
      </c>
      <c r="D3034" s="2" t="s">
        <v>1102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hidden="1" x14ac:dyDescent="0.2">
      <c r="A3035" s="2">
        <v>2026</v>
      </c>
      <c r="B3035" s="2">
        <v>1</v>
      </c>
      <c r="D3035" s="2" t="s">
        <v>2382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hidden="1" x14ac:dyDescent="0.2">
      <c r="A3037" s="2">
        <v>2026</v>
      </c>
      <c r="B3037" s="2">
        <v>1</v>
      </c>
      <c r="D3037" s="2" t="s">
        <v>2002</v>
      </c>
      <c r="M3037" s="2" t="s">
        <v>40</v>
      </c>
      <c r="P3037" s="2" t="s">
        <v>188</v>
      </c>
      <c r="Q3037" s="2" t="s">
        <v>1313</v>
      </c>
      <c r="R3037" s="2" t="s">
        <v>1314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1315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1887</v>
      </c>
      <c r="M3038" s="2" t="s">
        <v>40</v>
      </c>
      <c r="P3038" s="2" t="s">
        <v>188</v>
      </c>
      <c r="Q3038" s="2" t="s">
        <v>1313</v>
      </c>
      <c r="R3038" s="2" t="s">
        <v>1314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1315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hidden="1" x14ac:dyDescent="0.2">
      <c r="A3039" s="2">
        <v>2026</v>
      </c>
      <c r="B3039" s="2">
        <v>1</v>
      </c>
      <c r="D3039" s="2" t="s">
        <v>2407</v>
      </c>
      <c r="M3039" s="2" t="s">
        <v>40</v>
      </c>
      <c r="P3039" s="2" t="s">
        <v>188</v>
      </c>
      <c r="Q3039" s="2" t="s">
        <v>1313</v>
      </c>
      <c r="R3039" s="2" t="s">
        <v>1314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1315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hidden="1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1313</v>
      </c>
      <c r="R3040" s="2" t="s">
        <v>1314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1315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2466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3239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2408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3239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hidden="1" x14ac:dyDescent="0.2">
      <c r="A3043" s="2">
        <v>2026</v>
      </c>
      <c r="B3043" s="2">
        <v>1</v>
      </c>
      <c r="D3043" s="2" t="s">
        <v>2401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3239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3239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3239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2427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3239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hidden="1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2426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3239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985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986</v>
      </c>
      <c r="J3048" s="2" t="s">
        <v>987</v>
      </c>
      <c r="L3048" s="2" t="s">
        <v>294</v>
      </c>
      <c r="M3048" s="2" t="s">
        <v>81</v>
      </c>
      <c r="O3048" s="2" t="s">
        <v>2436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3239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hidden="1" x14ac:dyDescent="0.2">
      <c r="A3049" s="2">
        <v>2026</v>
      </c>
      <c r="B3049" s="2">
        <v>1</v>
      </c>
      <c r="D3049" s="2" t="s">
        <v>2018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3239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hidden="1" x14ac:dyDescent="0.2">
      <c r="A3050" s="2">
        <v>2026</v>
      </c>
      <c r="B3050" s="2">
        <v>1</v>
      </c>
      <c r="D3050" s="2" t="s">
        <v>1013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1014</v>
      </c>
      <c r="J3050" s="2" t="s">
        <v>1015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3239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2467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3239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hidden="1" x14ac:dyDescent="0.2">
      <c r="A3052" s="2">
        <v>2026</v>
      </c>
      <c r="B3052" s="2">
        <v>1</v>
      </c>
      <c r="D3052" s="2" t="s">
        <v>1561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1562</v>
      </c>
      <c r="J3052" s="2" t="s">
        <v>1563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3239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hidden="1" x14ac:dyDescent="0.2">
      <c r="A3053" s="2">
        <v>2026</v>
      </c>
      <c r="B3053" s="2">
        <v>1</v>
      </c>
      <c r="D3053" s="2" t="s">
        <v>1381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3239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hidden="1" x14ac:dyDescent="0.2">
      <c r="A3054" s="2">
        <v>2026</v>
      </c>
      <c r="B3054" s="2">
        <v>1</v>
      </c>
      <c r="D3054" s="2" t="s">
        <v>1021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1022</v>
      </c>
      <c r="J3054" s="2" t="s">
        <v>1023</v>
      </c>
      <c r="L3054" s="2" t="s">
        <v>294</v>
      </c>
      <c r="M3054" s="2" t="s">
        <v>81</v>
      </c>
      <c r="O3054" s="2" t="s">
        <v>2402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3239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hidden="1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3239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hidden="1" x14ac:dyDescent="0.2">
      <c r="A3056" s="2">
        <v>2026</v>
      </c>
      <c r="B3056" s="2">
        <v>1</v>
      </c>
      <c r="D3056" s="2" t="s">
        <v>1572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3239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hidden="1" x14ac:dyDescent="0.2">
      <c r="A3057" s="2">
        <v>2026</v>
      </c>
      <c r="B3057" s="2">
        <v>1</v>
      </c>
      <c r="D3057" s="2" t="s">
        <v>1030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1031</v>
      </c>
      <c r="J3057" s="2" t="s">
        <v>1032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3239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hidden="1" x14ac:dyDescent="0.2">
      <c r="A3058" s="2">
        <v>2026</v>
      </c>
      <c r="B3058" s="2">
        <v>1</v>
      </c>
      <c r="D3058" s="2" t="s">
        <v>1601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1602</v>
      </c>
      <c r="J3058" s="2" t="s">
        <v>1603</v>
      </c>
      <c r="L3058" s="2" t="s">
        <v>202</v>
      </c>
      <c r="M3058" s="2" t="s">
        <v>81</v>
      </c>
      <c r="O3058" s="2" t="s">
        <v>2403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3239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hidden="1" x14ac:dyDescent="0.2">
      <c r="A3059" s="2">
        <v>2026</v>
      </c>
      <c r="B3059" s="2">
        <v>1</v>
      </c>
      <c r="D3059" s="2" t="s">
        <v>2413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3239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3239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hidden="1" x14ac:dyDescent="0.2">
      <c r="A3061" s="2">
        <v>2026</v>
      </c>
      <c r="B3061" s="2">
        <v>1</v>
      </c>
      <c r="D3061" s="2" t="s">
        <v>1077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3239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hidden="1" x14ac:dyDescent="0.2">
      <c r="A3062" s="2">
        <v>2026</v>
      </c>
      <c r="B3062" s="2">
        <v>1</v>
      </c>
      <c r="D3062" s="2" t="s">
        <v>1423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2421</v>
      </c>
      <c r="J3062" s="2" t="s">
        <v>2422</v>
      </c>
      <c r="L3062" s="2" t="s">
        <v>202</v>
      </c>
      <c r="M3062" s="2" t="s">
        <v>81</v>
      </c>
      <c r="O3062" s="2" t="s">
        <v>2423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3239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hidden="1" x14ac:dyDescent="0.2">
      <c r="A3063" s="2">
        <v>2026</v>
      </c>
      <c r="B3063" s="2">
        <v>1</v>
      </c>
      <c r="D3063" s="2" t="s">
        <v>1424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1277</v>
      </c>
      <c r="J3063" s="2" t="s">
        <v>2404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3239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2405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3239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hidden="1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3239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hidden="1" x14ac:dyDescent="0.2">
      <c r="A3066" s="2">
        <v>2026</v>
      </c>
      <c r="B3066" s="2">
        <v>1</v>
      </c>
      <c r="D3066" s="2" t="s">
        <v>2406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3239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hidden="1" x14ac:dyDescent="0.2">
      <c r="A3067" s="2">
        <v>2026</v>
      </c>
      <c r="B3067" s="2">
        <v>1</v>
      </c>
      <c r="D3067" s="2" t="s">
        <v>1952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3239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3239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3239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1300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1301</v>
      </c>
      <c r="L3070" s="2" t="s">
        <v>340</v>
      </c>
      <c r="M3070" s="2" t="s">
        <v>81</v>
      </c>
      <c r="O3070" s="2" t="s">
        <v>2429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3239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hidden="1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3239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hidden="1" x14ac:dyDescent="0.2">
      <c r="A3072" s="2">
        <v>2026</v>
      </c>
      <c r="B3072" s="2">
        <v>1</v>
      </c>
      <c r="D3072" s="2" t="s">
        <v>2407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3239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hidden="1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2435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3239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hidden="1" x14ac:dyDescent="0.2">
      <c r="A3074" s="2">
        <v>2026</v>
      </c>
      <c r="B3074" s="2">
        <v>1</v>
      </c>
      <c r="D3074" s="2" t="s">
        <v>1894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hidden="1" x14ac:dyDescent="0.2">
      <c r="A3075" s="2">
        <v>2026</v>
      </c>
      <c r="B3075" s="2">
        <v>1</v>
      </c>
      <c r="D3075" s="2" t="s">
        <v>1013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1014</v>
      </c>
      <c r="J3075" s="2" t="s">
        <v>1015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hidden="1" x14ac:dyDescent="0.2">
      <c r="A3076" s="2">
        <v>2026</v>
      </c>
      <c r="B3076" s="2">
        <v>1</v>
      </c>
      <c r="D3076" s="2" t="s">
        <v>2343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3394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hidden="1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2314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2468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3239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hidden="1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2469</v>
      </c>
      <c r="P3079" s="2" t="s">
        <v>115</v>
      </c>
      <c r="Q3079" s="2" t="s">
        <v>2235</v>
      </c>
      <c r="R3079" s="2" t="s">
        <v>2236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2461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2462</v>
      </c>
      <c r="J3080" s="2" t="s">
        <v>2463</v>
      </c>
      <c r="K3080" s="2">
        <v>967554174</v>
      </c>
      <c r="L3080" s="2" t="s">
        <v>134</v>
      </c>
      <c r="M3080" s="2" t="s">
        <v>40</v>
      </c>
      <c r="O3080" s="2" t="s">
        <v>2464</v>
      </c>
      <c r="P3080" s="2" t="s">
        <v>115</v>
      </c>
      <c r="Q3080" s="2" t="s">
        <v>2307</v>
      </c>
      <c r="R3080" s="2" t="s">
        <v>2308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2470</v>
      </c>
      <c r="P3081" s="2" t="s">
        <v>115</v>
      </c>
      <c r="Q3081" s="2" t="s">
        <v>2226</v>
      </c>
      <c r="R3081" s="2" t="s">
        <v>1434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2461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2462</v>
      </c>
      <c r="J3082" s="2" t="s">
        <v>2463</v>
      </c>
      <c r="K3082" s="2">
        <v>967554174</v>
      </c>
      <c r="L3082" s="2" t="s">
        <v>134</v>
      </c>
      <c r="M3082" s="2" t="s">
        <v>40</v>
      </c>
      <c r="O3082" s="2" t="s">
        <v>2464</v>
      </c>
      <c r="P3082" s="2" t="s">
        <v>115</v>
      </c>
      <c r="Q3082" s="2" t="s">
        <v>2471</v>
      </c>
      <c r="R3082" s="2" t="s">
        <v>2472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2461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2462</v>
      </c>
      <c r="J3083" s="2" t="s">
        <v>2463</v>
      </c>
      <c r="K3083" s="2">
        <v>967554174</v>
      </c>
      <c r="L3083" s="2" t="s">
        <v>134</v>
      </c>
      <c r="M3083" s="2" t="s">
        <v>40</v>
      </c>
      <c r="O3083" s="2" t="s">
        <v>2464</v>
      </c>
      <c r="P3083" s="2" t="s">
        <v>115</v>
      </c>
      <c r="Q3083" s="2" t="s">
        <v>1379</v>
      </c>
      <c r="R3083" s="2" t="s">
        <v>1380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2473</v>
      </c>
      <c r="P3084" s="2" t="s">
        <v>115</v>
      </c>
      <c r="Q3084" s="2" t="s">
        <v>2203</v>
      </c>
      <c r="R3084" s="2" t="s">
        <v>2204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2453</v>
      </c>
      <c r="P3085" s="2" t="s">
        <v>115</v>
      </c>
      <c r="Q3085" s="2" t="s">
        <v>1522</v>
      </c>
      <c r="R3085" s="2" t="s">
        <v>1523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2486</v>
      </c>
      <c r="J3086" s="2" t="s">
        <v>3134</v>
      </c>
      <c r="K3086" s="2">
        <v>965864665</v>
      </c>
      <c r="L3086" s="2" t="s">
        <v>345</v>
      </c>
      <c r="M3086" s="2" t="s">
        <v>40</v>
      </c>
      <c r="O3086" s="2" t="s">
        <v>2487</v>
      </c>
      <c r="P3086" s="2" t="s">
        <v>115</v>
      </c>
      <c r="Q3086" s="2" t="s">
        <v>1522</v>
      </c>
      <c r="R3086" s="2" t="s">
        <v>1523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2474</v>
      </c>
      <c r="P3087" s="2" t="s">
        <v>115</v>
      </c>
      <c r="Q3087" s="2" t="s">
        <v>2475</v>
      </c>
      <c r="R3087" s="2" t="s">
        <v>2476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2477</v>
      </c>
      <c r="P3088" s="2" t="s">
        <v>115</v>
      </c>
      <c r="Q3088" s="2" t="s">
        <v>2478</v>
      </c>
      <c r="R3088" s="2" t="s">
        <v>2479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2480</v>
      </c>
      <c r="P3089" s="2" t="s">
        <v>115</v>
      </c>
      <c r="Q3089" s="2" t="s">
        <v>2481</v>
      </c>
      <c r="R3089" s="2" t="s">
        <v>2482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2483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hidden="1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2484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3126</v>
      </c>
      <c r="J3092" s="2" t="s">
        <v>3127</v>
      </c>
      <c r="L3092" s="2" t="s">
        <v>113</v>
      </c>
      <c r="M3092" s="2" t="s">
        <v>40</v>
      </c>
      <c r="O3092" s="2" t="s">
        <v>2485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2473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2486</v>
      </c>
      <c r="J3094" s="2" t="s">
        <v>3134</v>
      </c>
      <c r="K3094" s="2">
        <v>965864665</v>
      </c>
      <c r="L3094" s="2" t="s">
        <v>345</v>
      </c>
      <c r="M3094" s="2" t="s">
        <v>40</v>
      </c>
      <c r="O3094" s="2" t="s">
        <v>2487</v>
      </c>
      <c r="P3094" s="2" t="s">
        <v>115</v>
      </c>
      <c r="Q3094" s="2" t="s">
        <v>1083</v>
      </c>
      <c r="R3094" s="2" t="s">
        <v>1084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1154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2488</v>
      </c>
      <c r="J3095" s="2" t="s">
        <v>1478</v>
      </c>
      <c r="K3095" s="2">
        <v>938183284</v>
      </c>
      <c r="L3095" s="2" t="s">
        <v>134</v>
      </c>
      <c r="M3095" s="2" t="s">
        <v>40</v>
      </c>
      <c r="O3095" s="2" t="s">
        <v>2489</v>
      </c>
      <c r="P3095" s="2" t="s">
        <v>115</v>
      </c>
      <c r="Q3095" s="2" t="s">
        <v>2490</v>
      </c>
      <c r="R3095" s="2" t="s">
        <v>1392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2480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2297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2298</v>
      </c>
      <c r="L3097" s="2" t="s">
        <v>202</v>
      </c>
      <c r="M3097" s="2" t="s">
        <v>40</v>
      </c>
      <c r="O3097" s="2" t="s">
        <v>2299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2300</v>
      </c>
      <c r="E3098" s="2" t="s">
        <v>38</v>
      </c>
      <c r="G3098" s="2">
        <v>509800696</v>
      </c>
      <c r="H3098" s="2" t="s">
        <v>291</v>
      </c>
      <c r="I3098" s="2" t="s">
        <v>2301</v>
      </c>
      <c r="J3098" s="2" t="s">
        <v>2302</v>
      </c>
      <c r="K3098" s="2">
        <v>930444437</v>
      </c>
      <c r="L3098" s="2" t="s">
        <v>2301</v>
      </c>
      <c r="M3098" s="2" t="s">
        <v>40</v>
      </c>
      <c r="O3098" s="2" t="s">
        <v>2303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2337</v>
      </c>
      <c r="I3099" s="2" t="s">
        <v>806</v>
      </c>
      <c r="L3099" s="2" t="s">
        <v>100</v>
      </c>
      <c r="M3099" s="2" t="s">
        <v>40</v>
      </c>
      <c r="O3099" s="2" t="s">
        <v>2491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hidden="1" x14ac:dyDescent="0.2">
      <c r="A3100" s="2">
        <v>2026</v>
      </c>
      <c r="B3100" s="2">
        <v>2</v>
      </c>
      <c r="D3100" s="2" t="s">
        <v>2492</v>
      </c>
      <c r="M3100" s="2" t="s">
        <v>40</v>
      </c>
      <c r="O3100" s="2" t="s">
        <v>2493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2494</v>
      </c>
      <c r="P3101" s="2" t="s">
        <v>115</v>
      </c>
      <c r="Q3101" s="2" t="s">
        <v>1429</v>
      </c>
      <c r="R3101" s="2" t="s">
        <v>1430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617</v>
      </c>
      <c r="AB3101" s="2" t="s">
        <v>961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2495</v>
      </c>
      <c r="P3102" s="2" t="s">
        <v>115</v>
      </c>
      <c r="Q3102" s="2" t="s">
        <v>2496</v>
      </c>
      <c r="R3102" s="2" t="s">
        <v>2497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2498</v>
      </c>
      <c r="P3103" s="2" t="s">
        <v>115</v>
      </c>
      <c r="Q3103" s="2" t="s">
        <v>2499</v>
      </c>
      <c r="R3103" s="2" t="s">
        <v>2500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2501</v>
      </c>
      <c r="M3104" s="2" t="s">
        <v>40</v>
      </c>
      <c r="O3104" s="2" t="s">
        <v>2502</v>
      </c>
      <c r="P3104" s="2" t="s">
        <v>115</v>
      </c>
      <c r="Q3104" s="2" t="s">
        <v>2503</v>
      </c>
      <c r="R3104" s="2" t="s">
        <v>2504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2505</v>
      </c>
      <c r="R3105" s="2" t="s">
        <v>2506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hidden="1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1337</v>
      </c>
      <c r="R3106" s="2" t="s">
        <v>1338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hidden="1" x14ac:dyDescent="0.2">
      <c r="A3107" s="2">
        <v>2026</v>
      </c>
      <c r="B3107" s="2">
        <v>2</v>
      </c>
      <c r="D3107" s="2" t="s">
        <v>2452</v>
      </c>
      <c r="P3107" s="2" t="s">
        <v>115</v>
      </c>
      <c r="Q3107" s="2" t="s">
        <v>2507</v>
      </c>
      <c r="R3107" s="2" t="s">
        <v>2508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2509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1530</v>
      </c>
      <c r="R3110" s="2" t="s">
        <v>1531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hidden="1" x14ac:dyDescent="0.2">
      <c r="A3111" s="2">
        <v>2026</v>
      </c>
      <c r="B3111" s="2">
        <v>2</v>
      </c>
      <c r="D3111" s="2" t="s">
        <v>1359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2510</v>
      </c>
      <c r="J3111" s="2" t="s">
        <v>2511</v>
      </c>
      <c r="L3111" s="2" t="s">
        <v>294</v>
      </c>
      <c r="P3111" s="2" t="s">
        <v>115</v>
      </c>
      <c r="Q3111" s="2" t="s">
        <v>2512</v>
      </c>
      <c r="R3111" s="2" t="s">
        <v>2513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hidden="1" x14ac:dyDescent="0.2">
      <c r="A3112" s="2">
        <v>2026</v>
      </c>
      <c r="B3112" s="2">
        <v>2</v>
      </c>
      <c r="C3112" s="2" t="s">
        <v>3334</v>
      </c>
      <c r="D3112" s="2" t="s">
        <v>3256</v>
      </c>
      <c r="E3112" s="2" t="s">
        <v>38</v>
      </c>
      <c r="F3112" s="2" t="s">
        <v>471</v>
      </c>
      <c r="G3112" s="2">
        <v>513626930</v>
      </c>
      <c r="H3112" s="2" t="s">
        <v>40</v>
      </c>
      <c r="I3112" s="2" t="s">
        <v>340</v>
      </c>
      <c r="J3112" s="2" t="s">
        <v>472</v>
      </c>
      <c r="L3112" s="2" t="s">
        <v>345</v>
      </c>
      <c r="M3112" s="2" t="s">
        <v>40</v>
      </c>
      <c r="O3112" s="2" t="s">
        <v>2514</v>
      </c>
      <c r="P3112" s="2" t="s">
        <v>115</v>
      </c>
      <c r="Q3112" s="2" t="s">
        <v>1187</v>
      </c>
      <c r="R3112" s="2" t="s">
        <v>1188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3255</v>
      </c>
      <c r="E3114" s="2" t="s">
        <v>38</v>
      </c>
      <c r="F3114" s="2" t="s">
        <v>471</v>
      </c>
      <c r="G3114" s="2">
        <v>513626930</v>
      </c>
      <c r="H3114" s="2" t="s">
        <v>40</v>
      </c>
      <c r="I3114" s="2" t="s">
        <v>340</v>
      </c>
      <c r="J3114" s="2" t="s">
        <v>472</v>
      </c>
      <c r="L3114" s="2" t="s">
        <v>361</v>
      </c>
      <c r="M3114" s="2" t="s">
        <v>110</v>
      </c>
      <c r="O3114" s="2" t="s">
        <v>2515</v>
      </c>
      <c r="P3114" s="2" t="s">
        <v>115</v>
      </c>
      <c r="Q3114" s="2" t="s">
        <v>959</v>
      </c>
      <c r="R3114" s="2" t="s">
        <v>960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617</v>
      </c>
      <c r="AB3114" s="2" t="s">
        <v>961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3257</v>
      </c>
      <c r="E3115" s="2" t="s">
        <v>38</v>
      </c>
      <c r="F3115" s="2" t="s">
        <v>471</v>
      </c>
      <c r="G3115" s="2">
        <v>513626930</v>
      </c>
      <c r="H3115" s="2" t="s">
        <v>40</v>
      </c>
      <c r="I3115" s="2" t="s">
        <v>340</v>
      </c>
      <c r="J3115" s="2" t="s">
        <v>472</v>
      </c>
      <c r="L3115" s="2" t="s">
        <v>178</v>
      </c>
      <c r="M3115" s="2" t="s">
        <v>41</v>
      </c>
      <c r="O3115" s="2" t="s">
        <v>2516</v>
      </c>
      <c r="P3115" s="2" t="s">
        <v>115</v>
      </c>
      <c r="Q3115" s="2" t="s">
        <v>959</v>
      </c>
      <c r="R3115" s="2" t="s">
        <v>960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617</v>
      </c>
      <c r="AB3115" s="2" t="s">
        <v>961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1124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3258</v>
      </c>
      <c r="J3116" s="2" t="s">
        <v>3259</v>
      </c>
      <c r="K3116" s="2">
        <v>96179412</v>
      </c>
      <c r="L3116" s="2" t="s">
        <v>462</v>
      </c>
      <c r="M3116" s="2" t="s">
        <v>110</v>
      </c>
      <c r="O3116" s="2" t="s">
        <v>3260</v>
      </c>
      <c r="P3116" s="2" t="s">
        <v>115</v>
      </c>
      <c r="Q3116" s="2" t="s">
        <v>959</v>
      </c>
      <c r="R3116" s="2" t="s">
        <v>960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617</v>
      </c>
      <c r="AB3116" s="2" t="s">
        <v>961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2517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617</v>
      </c>
      <c r="AB3117" s="2" t="s">
        <v>2518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3257</v>
      </c>
      <c r="E3118" s="2" t="s">
        <v>38</v>
      </c>
      <c r="F3118" s="2" t="s">
        <v>471</v>
      </c>
      <c r="G3118" s="2">
        <v>513626930</v>
      </c>
      <c r="H3118" s="2" t="s">
        <v>40</v>
      </c>
      <c r="I3118" s="2" t="s">
        <v>340</v>
      </c>
      <c r="J3118" s="2" t="s">
        <v>472</v>
      </c>
      <c r="L3118" s="2" t="s">
        <v>178</v>
      </c>
      <c r="M3118" s="2" t="s">
        <v>41</v>
      </c>
      <c r="O3118" s="2" t="s">
        <v>2516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1586</v>
      </c>
      <c r="R3119" s="2" t="s">
        <v>1587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2486</v>
      </c>
      <c r="J3120" s="2" t="s">
        <v>3134</v>
      </c>
      <c r="K3120" s="2">
        <v>965864665</v>
      </c>
      <c r="L3120" s="2" t="s">
        <v>345</v>
      </c>
      <c r="M3120" s="2" t="s">
        <v>40</v>
      </c>
      <c r="O3120" s="2" t="s">
        <v>2487</v>
      </c>
      <c r="P3120" s="2" t="s">
        <v>1612</v>
      </c>
      <c r="Q3120" s="2" t="s">
        <v>1776</v>
      </c>
      <c r="R3120" s="2" t="s">
        <v>1777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1612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2519</v>
      </c>
      <c r="P3121" s="2" t="s">
        <v>1612</v>
      </c>
      <c r="Q3121" s="2" t="s">
        <v>1776</v>
      </c>
      <c r="R3121" s="2" t="s">
        <v>1777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1612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1612</v>
      </c>
      <c r="Q3122" s="2" t="s">
        <v>1610</v>
      </c>
      <c r="R3122" s="2" t="s">
        <v>1611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1612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3426</v>
      </c>
      <c r="D3123" s="2" t="s">
        <v>2520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2521</v>
      </c>
      <c r="R3123" s="2" t="s">
        <v>2522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0"/>
        <v>6.6666666666666428E-3</v>
      </c>
      <c r="Z3123" s="2" t="s">
        <v>3239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9.9999999999999645E-2</v>
      </c>
      <c r="AL3123" s="5">
        <f t="shared" si="359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3426</v>
      </c>
      <c r="D3124" s="2" t="s">
        <v>2520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0"/>
        <v>6.6666666666666666E-2</v>
      </c>
      <c r="Z3124" s="2" t="s">
        <v>3239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</v>
      </c>
      <c r="AL3124" s="5">
        <f t="shared" si="359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2523</v>
      </c>
      <c r="M3125" s="2" t="s">
        <v>110</v>
      </c>
      <c r="P3125" s="2" t="s">
        <v>283</v>
      </c>
      <c r="Q3125" s="2" t="s">
        <v>2524</v>
      </c>
      <c r="R3125" s="2" t="s">
        <v>2525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2526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2527</v>
      </c>
      <c r="J3126" s="2" t="s">
        <v>2528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1555</v>
      </c>
      <c r="R3126" s="2" t="s">
        <v>1556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1583</v>
      </c>
      <c r="E3127" s="2" t="s">
        <v>38</v>
      </c>
      <c r="G3127" s="2">
        <v>505123177</v>
      </c>
      <c r="H3127" s="2" t="s">
        <v>110</v>
      </c>
      <c r="I3127" s="2" t="s">
        <v>2529</v>
      </c>
      <c r="J3127" s="2" t="s">
        <v>2530</v>
      </c>
      <c r="L3127" s="2" t="s">
        <v>399</v>
      </c>
      <c r="M3127" s="2" t="s">
        <v>110</v>
      </c>
      <c r="P3127" s="2" t="s">
        <v>283</v>
      </c>
      <c r="Q3127" s="2" t="s">
        <v>1555</v>
      </c>
      <c r="R3127" s="2" t="s">
        <v>1556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2531</v>
      </c>
      <c r="E3128" s="2" t="s">
        <v>38</v>
      </c>
      <c r="G3128" s="2">
        <v>259186163</v>
      </c>
      <c r="H3128" s="2" t="s">
        <v>110</v>
      </c>
      <c r="I3128" s="2" t="s">
        <v>2532</v>
      </c>
      <c r="J3128" s="2" t="s">
        <v>2533</v>
      </c>
      <c r="L3128" s="2" t="s">
        <v>462</v>
      </c>
      <c r="M3128" s="2" t="s">
        <v>110</v>
      </c>
      <c r="P3128" s="2" t="s">
        <v>283</v>
      </c>
      <c r="Q3128" s="2" t="s">
        <v>1555</v>
      </c>
      <c r="R3128" s="2" t="s">
        <v>1556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2526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2527</v>
      </c>
      <c r="J3129" s="2" t="s">
        <v>2528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3239</v>
      </c>
      <c r="AA3129" s="2" t="s">
        <v>46</v>
      </c>
      <c r="AB3129" s="2" t="s">
        <v>61</v>
      </c>
      <c r="AC3129" s="2" t="s">
        <v>3345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1583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3239</v>
      </c>
      <c r="AA3130" s="2" t="s">
        <v>46</v>
      </c>
      <c r="AB3130" s="2" t="s">
        <v>61</v>
      </c>
      <c r="AC3130" s="2" t="s">
        <v>3345</v>
      </c>
      <c r="AF3130" s="2">
        <f t="shared" si="351"/>
        <v>0</v>
      </c>
      <c r="AJ3130" s="2">
        <f t="shared" si="352"/>
        <v>0</v>
      </c>
    </row>
    <row r="3131" spans="1:38" hidden="1" x14ac:dyDescent="0.2">
      <c r="A3131" s="2">
        <v>2026</v>
      </c>
      <c r="B3131" s="2">
        <v>2</v>
      </c>
      <c r="D3131" s="2" t="s">
        <v>2531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3239</v>
      </c>
      <c r="AA3131" s="2" t="s">
        <v>46</v>
      </c>
      <c r="AB3131" s="2" t="s">
        <v>61</v>
      </c>
      <c r="AC3131" s="2" t="s">
        <v>3345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2526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2527</v>
      </c>
      <c r="J3132" s="2" t="s">
        <v>2528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3239</v>
      </c>
      <c r="AA3132" s="2" t="s">
        <v>46</v>
      </c>
      <c r="AB3132" s="2" t="s">
        <v>61</v>
      </c>
      <c r="AC3132" s="2" t="s">
        <v>3345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1583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3239</v>
      </c>
      <c r="AA3133" s="2" t="s">
        <v>46</v>
      </c>
      <c r="AB3133" s="2" t="s">
        <v>61</v>
      </c>
      <c r="AC3133" s="2" t="s">
        <v>3345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2531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3239</v>
      </c>
      <c r="AA3134" s="2" t="s">
        <v>46</v>
      </c>
      <c r="AB3134" s="2" t="s">
        <v>61</v>
      </c>
      <c r="AC3134" s="2" t="s">
        <v>3345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2534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3239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3239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1025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1562</v>
      </c>
      <c r="J3137" s="2" t="s">
        <v>2535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3239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1402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3229</v>
      </c>
      <c r="J3138" s="2" t="s">
        <v>3228</v>
      </c>
      <c r="K3138" s="2">
        <v>913814877</v>
      </c>
      <c r="L3138" s="2" t="s">
        <v>202</v>
      </c>
      <c r="M3138" s="2" t="s">
        <v>81</v>
      </c>
      <c r="O3138" s="2" t="s">
        <v>3225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3239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3145</v>
      </c>
      <c r="L3139" s="2" t="s">
        <v>178</v>
      </c>
      <c r="M3139" s="2" t="s">
        <v>41</v>
      </c>
      <c r="O3139" s="2" t="s">
        <v>3152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3239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2536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3239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3239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1911</v>
      </c>
      <c r="P3142" s="2" t="s">
        <v>43</v>
      </c>
      <c r="Q3142" s="2" t="s">
        <v>1368</v>
      </c>
      <c r="R3142" s="2" t="s">
        <v>1369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3239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hidden="1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1368</v>
      </c>
      <c r="R3143" s="2" t="s">
        <v>1369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3239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hidden="1" x14ac:dyDescent="0.2">
      <c r="A3144" s="2">
        <v>2026</v>
      </c>
      <c r="B3144" s="2">
        <v>2</v>
      </c>
      <c r="D3144" s="2" t="s">
        <v>1911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3239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hidden="1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3239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hidden="1" x14ac:dyDescent="0.2">
      <c r="A3146" s="2">
        <v>2026</v>
      </c>
      <c r="B3146" s="2">
        <v>2</v>
      </c>
      <c r="D3146" s="2" t="s">
        <v>1117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1118</v>
      </c>
      <c r="J3146" s="2" t="s">
        <v>1119</v>
      </c>
      <c r="K3146" s="2">
        <v>914550474</v>
      </c>
      <c r="L3146" s="2" t="s">
        <v>100</v>
      </c>
      <c r="M3146" s="2" t="s">
        <v>81</v>
      </c>
      <c r="O3146" s="2" t="s">
        <v>2537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3239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2426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3239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3239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2426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3239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3239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2426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3239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3239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hidden="1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2538</v>
      </c>
      <c r="P3153" s="2" t="s">
        <v>115</v>
      </c>
      <c r="Q3153" s="2" t="s">
        <v>2539</v>
      </c>
      <c r="R3153" s="2" t="s">
        <v>2540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3239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3239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3239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3239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2451</v>
      </c>
      <c r="P3158" s="2" t="s">
        <v>115</v>
      </c>
      <c r="Q3158" s="2" t="s">
        <v>2109</v>
      </c>
      <c r="R3158" s="2" t="s">
        <v>2110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3239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3239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3239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3126</v>
      </c>
      <c r="J3162" s="2" t="s">
        <v>3127</v>
      </c>
      <c r="L3162" s="2" t="s">
        <v>113</v>
      </c>
      <c r="M3162" s="2" t="s">
        <v>110</v>
      </c>
      <c r="O3162" s="2" t="s">
        <v>3130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3239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2541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3239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3239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1025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1562</v>
      </c>
      <c r="J3165" s="2" t="s">
        <v>2535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3239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1025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1562</v>
      </c>
      <c r="J3166" s="2" t="s">
        <v>2535</v>
      </c>
      <c r="L3166" s="2" t="s">
        <v>178</v>
      </c>
      <c r="M3166" s="2" t="s">
        <v>41</v>
      </c>
      <c r="O3166" s="2" t="s">
        <v>2542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3239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2543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3239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3239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3239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3239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2544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3239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1025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1562</v>
      </c>
      <c r="J3172" s="2" t="s">
        <v>2535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3239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3239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1317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1318</v>
      </c>
      <c r="L3174" s="2" t="s">
        <v>178</v>
      </c>
      <c r="M3174" s="2" t="s">
        <v>41</v>
      </c>
      <c r="O3174" s="2" t="s">
        <v>2545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3239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2544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3239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1317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1318</v>
      </c>
      <c r="L3176" s="2" t="s">
        <v>178</v>
      </c>
      <c r="M3176" s="2" t="s">
        <v>41</v>
      </c>
      <c r="O3176" s="2" t="s">
        <v>2545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3239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1025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1562</v>
      </c>
      <c r="J3177" s="2" t="s">
        <v>2535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3239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1025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1562</v>
      </c>
      <c r="J3178" s="2" t="s">
        <v>2535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3239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2546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3239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2547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3239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2531</v>
      </c>
      <c r="M3181" s="2" t="s">
        <v>110</v>
      </c>
      <c r="P3181" s="2" t="s">
        <v>43</v>
      </c>
      <c r="Q3181" s="2" t="s">
        <v>2388</v>
      </c>
      <c r="R3181" s="2" t="s">
        <v>2389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3239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hidden="1" x14ac:dyDescent="0.2">
      <c r="A3182" s="2">
        <v>2026</v>
      </c>
      <c r="B3182" s="2">
        <v>2</v>
      </c>
      <c r="D3182" s="2" t="s">
        <v>1019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2548</v>
      </c>
      <c r="L3182" s="2" t="s">
        <v>100</v>
      </c>
      <c r="M3182" s="2" t="s">
        <v>81</v>
      </c>
      <c r="O3182" s="2" t="s">
        <v>2549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3239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3239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2541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3239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3239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3313</v>
      </c>
      <c r="D3186" s="2" t="s">
        <v>1377</v>
      </c>
      <c r="E3186" s="2" t="s">
        <v>38</v>
      </c>
      <c r="F3186" s="2" t="s">
        <v>39</v>
      </c>
      <c r="I3186" s="2" t="s">
        <v>3312</v>
      </c>
      <c r="L3186" s="2" t="s">
        <v>134</v>
      </c>
      <c r="M3186" s="2" t="s">
        <v>2550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3239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1019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2548</v>
      </c>
      <c r="L3187" s="2" t="s">
        <v>100</v>
      </c>
      <c r="M3187" s="2" t="s">
        <v>81</v>
      </c>
      <c r="O3187" s="2" t="s">
        <v>2549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3239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3239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1097</v>
      </c>
      <c r="R3189" s="2" t="s">
        <v>1098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1099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2551</v>
      </c>
      <c r="P3190" s="2" t="s">
        <v>43</v>
      </c>
      <c r="Q3190" s="2" t="s">
        <v>2552</v>
      </c>
      <c r="R3190" s="2" t="s">
        <v>2553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3239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2554</v>
      </c>
      <c r="R3191" s="2" t="s">
        <v>2555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3239</v>
      </c>
      <c r="AA3191" s="2" t="s">
        <v>72</v>
      </c>
      <c r="AB3191" s="2" t="s">
        <v>69</v>
      </c>
      <c r="AC3191" s="2" t="s">
        <v>3244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2556</v>
      </c>
      <c r="R3192" s="2" t="s">
        <v>2557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3239</v>
      </c>
      <c r="AA3192" s="2" t="s">
        <v>72</v>
      </c>
      <c r="AB3192" s="2" t="s">
        <v>69</v>
      </c>
      <c r="AC3192" s="2" t="s">
        <v>3244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2558</v>
      </c>
      <c r="R3193" s="2" t="s">
        <v>2559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3239</v>
      </c>
      <c r="AA3193" s="2" t="s">
        <v>72</v>
      </c>
      <c r="AB3193" s="2" t="s">
        <v>69</v>
      </c>
      <c r="AC3193" s="2" t="s">
        <v>3244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1491</v>
      </c>
      <c r="M3194" s="2" t="s">
        <v>41</v>
      </c>
      <c r="P3194" s="2" t="s">
        <v>69</v>
      </c>
      <c r="Q3194" s="2" t="s">
        <v>1164</v>
      </c>
      <c r="R3194" s="2" t="s">
        <v>1165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3239</v>
      </c>
      <c r="AA3194" s="2" t="s">
        <v>72</v>
      </c>
      <c r="AB3194" s="2" t="s">
        <v>69</v>
      </c>
      <c r="AC3194" s="2" t="s">
        <v>3244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2526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2527</v>
      </c>
      <c r="J3195" s="2" t="s">
        <v>2528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2560</v>
      </c>
      <c r="R3195" s="2" t="s">
        <v>2561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3244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2526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2527</v>
      </c>
      <c r="J3196" s="2" t="s">
        <v>2528</v>
      </c>
      <c r="K3196" s="2">
        <v>967032538</v>
      </c>
      <c r="L3196" s="2" t="s">
        <v>399</v>
      </c>
      <c r="M3196" s="2" t="s">
        <v>110</v>
      </c>
      <c r="O3196" s="2" t="s">
        <v>2562</v>
      </c>
      <c r="P3196" s="2" t="s">
        <v>69</v>
      </c>
      <c r="Q3196" s="2" t="s">
        <v>2563</v>
      </c>
      <c r="R3196" s="2" t="s">
        <v>2564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3244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1795</v>
      </c>
      <c r="M3197" s="2" t="s">
        <v>110</v>
      </c>
      <c r="O3197" s="2" t="s">
        <v>2565</v>
      </c>
      <c r="P3197" s="2" t="s">
        <v>69</v>
      </c>
      <c r="Q3197" s="2" t="s">
        <v>2563</v>
      </c>
      <c r="R3197" s="2" t="s">
        <v>2564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3244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2566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3239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2547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3239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2567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3239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2004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3239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1561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1562</v>
      </c>
      <c r="J3202" s="2" t="s">
        <v>1563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3239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1381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3239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2568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3239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2569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3239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1601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1602</v>
      </c>
      <c r="J3206" s="2" t="s">
        <v>1603</v>
      </c>
      <c r="L3206" s="2" t="s">
        <v>202</v>
      </c>
      <c r="M3206" s="2" t="s">
        <v>81</v>
      </c>
      <c r="O3206" s="2" t="s">
        <v>2570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3239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2571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3239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2572</v>
      </c>
      <c r="J3208" s="2" t="s">
        <v>2573</v>
      </c>
      <c r="K3208" s="2">
        <v>912897776</v>
      </c>
      <c r="L3208" s="2" t="s">
        <v>340</v>
      </c>
      <c r="M3208" s="2" t="s">
        <v>81</v>
      </c>
      <c r="O3208" s="2" t="s">
        <v>2574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3239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1261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2575</v>
      </c>
      <c r="L3209" s="2" t="s">
        <v>202</v>
      </c>
      <c r="M3209" s="2" t="s">
        <v>81</v>
      </c>
      <c r="O3209" s="2" t="s">
        <v>2576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3239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1453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3239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2577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2578</v>
      </c>
      <c r="J3211" s="2" t="s">
        <v>2579</v>
      </c>
      <c r="L3211" s="2" t="s">
        <v>134</v>
      </c>
      <c r="M3211" s="2" t="s">
        <v>81</v>
      </c>
      <c r="O3211" s="2" t="s">
        <v>2580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3239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2577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3239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985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986</v>
      </c>
      <c r="J3213" s="2" t="s">
        <v>987</v>
      </c>
      <c r="L3213" s="2" t="s">
        <v>294</v>
      </c>
      <c r="M3213" s="2" t="s">
        <v>81</v>
      </c>
      <c r="O3213" s="2" t="s">
        <v>2581</v>
      </c>
      <c r="P3213" s="2" t="s">
        <v>73</v>
      </c>
      <c r="Q3213" s="2" t="s">
        <v>1039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3239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2582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3239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2451</v>
      </c>
      <c r="P3215" s="2" t="s">
        <v>115</v>
      </c>
      <c r="Q3215" s="2" t="s">
        <v>1429</v>
      </c>
      <c r="R3215" s="2" t="s">
        <v>1430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961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hidden="1" x14ac:dyDescent="0.2">
      <c r="A3216" s="2">
        <v>2026</v>
      </c>
      <c r="B3216" s="2">
        <v>2</v>
      </c>
      <c r="D3216" s="2" t="s">
        <v>1261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3239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1057</v>
      </c>
      <c r="E3217" s="2" t="s">
        <v>184</v>
      </c>
      <c r="F3217" s="2" t="s">
        <v>1058</v>
      </c>
      <c r="G3217" s="2">
        <v>500199523</v>
      </c>
      <c r="H3217" s="2" t="s">
        <v>291</v>
      </c>
      <c r="I3217" s="2" t="s">
        <v>294</v>
      </c>
      <c r="J3217" s="2" t="s">
        <v>1059</v>
      </c>
      <c r="L3217" s="2" t="s">
        <v>294</v>
      </c>
      <c r="M3217" s="2" t="s">
        <v>81</v>
      </c>
      <c r="O3217" s="2" t="s">
        <v>2583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3239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2584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3239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2004</v>
      </c>
      <c r="M3219" s="2" t="s">
        <v>81</v>
      </c>
      <c r="P3219" s="2" t="s">
        <v>73</v>
      </c>
      <c r="Q3219" s="2" t="s">
        <v>1138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3239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1029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3239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2585</v>
      </c>
      <c r="P3221" s="2" t="s">
        <v>73</v>
      </c>
      <c r="Q3221" s="2" t="s">
        <v>2586</v>
      </c>
      <c r="R3221" s="2" t="s">
        <v>2587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3239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hidden="1" x14ac:dyDescent="0.2">
      <c r="A3222" s="2">
        <v>2026</v>
      </c>
      <c r="B3222" s="2">
        <v>2</v>
      </c>
      <c r="D3222" s="2" t="s">
        <v>2588</v>
      </c>
      <c r="E3222" s="2" t="s">
        <v>184</v>
      </c>
      <c r="F3222" s="2" t="s">
        <v>2589</v>
      </c>
      <c r="G3222" s="2">
        <v>515259144</v>
      </c>
      <c r="H3222" s="2" t="s">
        <v>81</v>
      </c>
      <c r="I3222" s="2" t="s">
        <v>157</v>
      </c>
      <c r="J3222" s="2" t="s">
        <v>2590</v>
      </c>
      <c r="K3222" s="2">
        <v>968626165</v>
      </c>
      <c r="L3222" s="2" t="s">
        <v>100</v>
      </c>
      <c r="M3222" s="2" t="s">
        <v>81</v>
      </c>
      <c r="O3222" s="2" t="s">
        <v>2591</v>
      </c>
      <c r="P3222" s="2" t="s">
        <v>1042</v>
      </c>
      <c r="Q3222" s="2" t="s">
        <v>1963</v>
      </c>
      <c r="R3222" s="2" t="s">
        <v>1964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3239</v>
      </c>
      <c r="AA3222" s="2" t="s">
        <v>76</v>
      </c>
      <c r="AB3222" s="2" t="s">
        <v>77</v>
      </c>
      <c r="AC3222" s="2" t="s">
        <v>1042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1042</v>
      </c>
      <c r="Q3223" s="2" t="s">
        <v>2592</v>
      </c>
      <c r="R3223" s="2" t="s">
        <v>2593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3239</v>
      </c>
      <c r="AA3223" s="2" t="s">
        <v>76</v>
      </c>
      <c r="AB3223" s="2" t="s">
        <v>77</v>
      </c>
      <c r="AC3223" s="2" t="s">
        <v>1042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3334</v>
      </c>
      <c r="D3224" s="2" t="s">
        <v>1166</v>
      </c>
      <c r="E3224" s="2" t="s">
        <v>754</v>
      </c>
      <c r="G3224" s="2">
        <v>508199280</v>
      </c>
      <c r="H3224" s="2" t="s">
        <v>40</v>
      </c>
      <c r="I3224" s="2" t="s">
        <v>1167</v>
      </c>
      <c r="L3224" s="2" t="s">
        <v>294</v>
      </c>
      <c r="M3224" s="2" t="s">
        <v>81</v>
      </c>
      <c r="P3224" s="2" t="s">
        <v>1042</v>
      </c>
      <c r="Q3224" s="2" t="s">
        <v>2594</v>
      </c>
      <c r="R3224" s="2" t="s">
        <v>2595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3239</v>
      </c>
      <c r="AA3224" s="2" t="s">
        <v>76</v>
      </c>
      <c r="AB3224" s="2" t="s">
        <v>77</v>
      </c>
      <c r="AC3224" s="2" t="s">
        <v>1042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3239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3239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2596</v>
      </c>
      <c r="P3227" s="2" t="s">
        <v>85</v>
      </c>
      <c r="Q3227" s="2" t="s">
        <v>2597</v>
      </c>
      <c r="R3227" s="2" t="s">
        <v>2598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3239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hidden="1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2599</v>
      </c>
      <c r="P3228" s="2" t="s">
        <v>1198</v>
      </c>
      <c r="Q3228" s="2" t="s">
        <v>2600</v>
      </c>
      <c r="R3228" s="2" t="s">
        <v>2601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1203</v>
      </c>
      <c r="AB3228" s="2" t="s">
        <v>120</v>
      </c>
      <c r="AC3228" s="2" t="s">
        <v>1198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hidden="1" x14ac:dyDescent="0.2">
      <c r="A3229" s="2">
        <v>2026</v>
      </c>
      <c r="B3229" s="2">
        <v>2</v>
      </c>
      <c r="D3229" s="2" t="s">
        <v>1795</v>
      </c>
      <c r="O3229" s="2" t="s">
        <v>2602</v>
      </c>
      <c r="P3229" s="2" t="s">
        <v>3409</v>
      </c>
      <c r="Q3229" s="2" t="s">
        <v>2603</v>
      </c>
      <c r="R3229" s="2" t="s">
        <v>2604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3409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2526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2527</v>
      </c>
      <c r="J3230" s="2" t="s">
        <v>2528</v>
      </c>
      <c r="K3230" s="2">
        <v>967032538</v>
      </c>
      <c r="L3230" s="2" t="s">
        <v>399</v>
      </c>
      <c r="M3230" s="2" t="s">
        <v>110</v>
      </c>
      <c r="O3230" s="2" t="s">
        <v>2562</v>
      </c>
      <c r="P3230" s="2" t="s">
        <v>3409</v>
      </c>
      <c r="Q3230" s="2" t="s">
        <v>2605</v>
      </c>
      <c r="R3230" s="2" t="s">
        <v>2606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3409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2607</v>
      </c>
      <c r="M3231" s="2" t="s">
        <v>81</v>
      </c>
      <c r="P3231" s="2" t="s">
        <v>1042</v>
      </c>
      <c r="Q3231" s="2" t="s">
        <v>1934</v>
      </c>
      <c r="R3231" s="2" t="s">
        <v>1935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3239</v>
      </c>
      <c r="AA3231" s="2" t="s">
        <v>1045</v>
      </c>
      <c r="AB3231" s="2" t="s">
        <v>1275</v>
      </c>
      <c r="AC3231" s="2" t="s">
        <v>1042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1042</v>
      </c>
      <c r="Q3232" s="2" t="s">
        <v>2608</v>
      </c>
      <c r="R3232" s="2" t="s">
        <v>2609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3239</v>
      </c>
      <c r="AA3232" s="2" t="s">
        <v>1045</v>
      </c>
      <c r="AB3232" s="2" t="s">
        <v>1275</v>
      </c>
      <c r="AC3232" s="2" t="s">
        <v>1042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2520</v>
      </c>
      <c r="M3233" s="2" t="s">
        <v>81</v>
      </c>
      <c r="P3233" s="2" t="s">
        <v>1042</v>
      </c>
      <c r="Q3233" s="2" t="s">
        <v>2610</v>
      </c>
      <c r="R3233" s="2" t="s">
        <v>2611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3239</v>
      </c>
      <c r="AA3233" s="2" t="s">
        <v>1045</v>
      </c>
      <c r="AB3233" s="2" t="s">
        <v>2178</v>
      </c>
      <c r="AC3233" s="2" t="s">
        <v>1042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2612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493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hidden="1" x14ac:dyDescent="0.2">
      <c r="A3235" s="2">
        <v>2026</v>
      </c>
      <c r="B3235" s="2">
        <v>2</v>
      </c>
      <c r="D3235" s="2" t="s">
        <v>2536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hidden="1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hidden="1" x14ac:dyDescent="0.2">
      <c r="A3237" s="2">
        <v>2026</v>
      </c>
      <c r="B3237" s="2">
        <v>2</v>
      </c>
      <c r="D3237" s="2" t="s">
        <v>1359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2510</v>
      </c>
      <c r="J3237" s="2" t="s">
        <v>2511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hidden="1" x14ac:dyDescent="0.2">
      <c r="A3238" s="2">
        <v>2026</v>
      </c>
      <c r="B3238" s="2">
        <v>2</v>
      </c>
      <c r="D3238" s="2" t="s">
        <v>1359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2510</v>
      </c>
      <c r="J3238" s="2" t="s">
        <v>2511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hidden="1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hidden="1" x14ac:dyDescent="0.2">
      <c r="A3241" s="2">
        <v>2026</v>
      </c>
      <c r="B3241" s="2">
        <v>1</v>
      </c>
      <c r="D3241" s="2" t="s">
        <v>2241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hidden="1" x14ac:dyDescent="0.2">
      <c r="A3242" s="2">
        <v>2026</v>
      </c>
      <c r="B3242" s="2">
        <v>1</v>
      </c>
      <c r="D3242" s="2" t="s">
        <v>2241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hidden="1" x14ac:dyDescent="0.2">
      <c r="A3243" s="2">
        <v>2026</v>
      </c>
      <c r="B3243" s="2">
        <v>4</v>
      </c>
      <c r="D3243" s="2" t="s">
        <v>1004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1005</v>
      </c>
      <c r="J3243" s="2" t="s">
        <v>1006</v>
      </c>
      <c r="K3243" s="2">
        <v>917233128</v>
      </c>
      <c r="L3243" s="2" t="s">
        <v>100</v>
      </c>
      <c r="M3243" s="2" t="s">
        <v>40</v>
      </c>
      <c r="O3243" s="2" t="s">
        <v>2613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hidden="1" x14ac:dyDescent="0.2">
      <c r="A3244" s="2">
        <v>2026</v>
      </c>
      <c r="B3244" s="2">
        <v>4</v>
      </c>
      <c r="D3244" s="2" t="s">
        <v>1004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1005</v>
      </c>
      <c r="J3244" s="2" t="s">
        <v>1006</v>
      </c>
      <c r="K3244" s="2">
        <v>917233128</v>
      </c>
      <c r="L3244" s="2" t="s">
        <v>100</v>
      </c>
      <c r="M3244" s="2" t="s">
        <v>40</v>
      </c>
      <c r="O3244" s="2" t="s">
        <v>2613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hidden="1" x14ac:dyDescent="0.2">
      <c r="A3245" s="2">
        <v>2026</v>
      </c>
      <c r="B3245" s="2">
        <v>1</v>
      </c>
      <c r="D3245" s="2" t="s">
        <v>2343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2343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hidden="1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2314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2314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hidden="1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2484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hidden="1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2484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hidden="1" x14ac:dyDescent="0.2">
      <c r="A3251" s="2">
        <v>2026</v>
      </c>
      <c r="B3251" s="2">
        <v>1</v>
      </c>
      <c r="D3251" s="2" t="s">
        <v>1012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hidden="1" x14ac:dyDescent="0.2">
      <c r="A3252" s="2">
        <v>2026</v>
      </c>
      <c r="B3252" s="2">
        <v>1</v>
      </c>
      <c r="D3252" s="2" t="s">
        <v>1012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hidden="1" x14ac:dyDescent="0.2">
      <c r="A3253" s="2">
        <v>2026</v>
      </c>
      <c r="B3253" s="2">
        <v>4</v>
      </c>
      <c r="D3253" s="2" t="s">
        <v>1013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1014</v>
      </c>
      <c r="J3253" s="2" t="s">
        <v>1015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hidden="1" x14ac:dyDescent="0.2">
      <c r="A3254" s="2">
        <v>2026</v>
      </c>
      <c r="B3254" s="2">
        <v>4</v>
      </c>
      <c r="D3254" s="2" t="s">
        <v>1013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1014</v>
      </c>
      <c r="J3254" s="2" t="s">
        <v>1015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hidden="1" x14ac:dyDescent="0.2">
      <c r="A3255" s="2">
        <v>2026</v>
      </c>
      <c r="B3255" s="2">
        <v>4</v>
      </c>
      <c r="D3255" s="2" t="s">
        <v>1245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hidden="1" x14ac:dyDescent="0.2">
      <c r="A3256" s="2">
        <v>2026</v>
      </c>
      <c r="B3256" s="2">
        <v>4</v>
      </c>
      <c r="D3256" s="2" t="s">
        <v>1245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hidden="1" x14ac:dyDescent="0.2">
      <c r="A3257" s="2">
        <v>2026</v>
      </c>
      <c r="B3257" s="2">
        <v>2</v>
      </c>
      <c r="D3257" s="2" t="s">
        <v>2519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hidden="1" x14ac:dyDescent="0.2">
      <c r="A3258" s="2">
        <v>2026</v>
      </c>
      <c r="B3258" s="2">
        <v>2</v>
      </c>
      <c r="D3258" s="2" t="s">
        <v>2519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hidden="1" x14ac:dyDescent="0.2">
      <c r="A3259" s="2">
        <v>2026</v>
      </c>
      <c r="B3259" s="2">
        <v>4</v>
      </c>
      <c r="D3259" s="2" t="s">
        <v>2614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2615</v>
      </c>
      <c r="K3259" s="2">
        <v>935402550</v>
      </c>
      <c r="L3259" s="2" t="s">
        <v>113</v>
      </c>
      <c r="M3259" s="2" t="s">
        <v>40</v>
      </c>
      <c r="O3259" s="2" t="s">
        <v>2616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hidden="1" x14ac:dyDescent="0.2">
      <c r="A3260" s="2">
        <v>2026</v>
      </c>
      <c r="B3260" s="2">
        <v>4</v>
      </c>
      <c r="D3260" s="2" t="s">
        <v>2614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2615</v>
      </c>
      <c r="K3260" s="2">
        <v>935402550</v>
      </c>
      <c r="L3260" s="2" t="s">
        <v>113</v>
      </c>
      <c r="M3260" s="2" t="s">
        <v>40</v>
      </c>
      <c r="O3260" s="2" t="s">
        <v>2616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hidden="1" x14ac:dyDescent="0.2">
      <c r="A3261" s="2">
        <v>2026</v>
      </c>
      <c r="B3261" s="2">
        <v>4</v>
      </c>
      <c r="D3261" s="2" t="s">
        <v>2617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2618</v>
      </c>
      <c r="J3261" s="2" t="s">
        <v>2619</v>
      </c>
      <c r="K3261" s="2">
        <v>912183782</v>
      </c>
      <c r="L3261" s="2" t="s">
        <v>202</v>
      </c>
      <c r="M3261" s="2" t="s">
        <v>40</v>
      </c>
      <c r="O3261" s="2" t="s">
        <v>2620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hidden="1" x14ac:dyDescent="0.2">
      <c r="A3262" s="2">
        <v>2026</v>
      </c>
      <c r="B3262" s="2">
        <v>4</v>
      </c>
      <c r="D3262" s="2" t="s">
        <v>2617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2618</v>
      </c>
      <c r="J3262" s="2" t="s">
        <v>2619</v>
      </c>
      <c r="K3262" s="2">
        <v>912183782</v>
      </c>
      <c r="L3262" s="2" t="s">
        <v>202</v>
      </c>
      <c r="M3262" s="2" t="s">
        <v>40</v>
      </c>
      <c r="O3262" s="2" t="s">
        <v>2620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hidden="1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hidden="1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hidden="1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3334</v>
      </c>
      <c r="D3268" s="2" t="s">
        <v>1166</v>
      </c>
      <c r="E3268" s="2" t="s">
        <v>754</v>
      </c>
      <c r="G3268" s="2">
        <v>508199280</v>
      </c>
      <c r="H3268" s="2" t="s">
        <v>40</v>
      </c>
      <c r="I3268" s="2" t="s">
        <v>1167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hidden="1" x14ac:dyDescent="0.2">
      <c r="A3269" s="2">
        <v>2026</v>
      </c>
      <c r="B3269" s="2">
        <v>2</v>
      </c>
      <c r="D3269" s="2" t="s">
        <v>2520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86"/>
        <v>0.08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4</v>
      </c>
      <c r="AL3269" s="5">
        <f t="shared" si="388"/>
        <v>0.08</v>
      </c>
    </row>
    <row r="3270" spans="1:38" hidden="1" x14ac:dyDescent="0.2">
      <c r="A3270" s="2">
        <v>2026</v>
      </c>
      <c r="B3270" s="2">
        <v>2</v>
      </c>
      <c r="D3270" s="2" t="s">
        <v>2588</v>
      </c>
      <c r="E3270" s="2" t="s">
        <v>184</v>
      </c>
      <c r="F3270" s="2" t="s">
        <v>2589</v>
      </c>
      <c r="G3270" s="2">
        <v>515259144</v>
      </c>
      <c r="H3270" s="2" t="s">
        <v>81</v>
      </c>
      <c r="I3270" s="2" t="s">
        <v>157</v>
      </c>
      <c r="J3270" s="2" t="s">
        <v>2590</v>
      </c>
      <c r="K3270" s="2">
        <v>968626165</v>
      </c>
      <c r="L3270" s="2" t="s">
        <v>100</v>
      </c>
      <c r="M3270" s="2" t="s">
        <v>81</v>
      </c>
      <c r="O3270" s="2" t="s">
        <v>2621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hidden="1" x14ac:dyDescent="0.2">
      <c r="A3271" s="2">
        <v>2026</v>
      </c>
      <c r="B3271" s="2">
        <v>2</v>
      </c>
      <c r="D3271" s="2" t="s">
        <v>1025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1562</v>
      </c>
      <c r="J3271" s="2" t="s">
        <v>2535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hidden="1" x14ac:dyDescent="0.2">
      <c r="A3272" s="2">
        <v>2026</v>
      </c>
      <c r="B3272" s="2">
        <v>2</v>
      </c>
      <c r="D3272" s="2" t="s">
        <v>2546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hidden="1" x14ac:dyDescent="0.2">
      <c r="A3273" s="2">
        <v>2026</v>
      </c>
      <c r="B3273" s="2">
        <v>2</v>
      </c>
      <c r="D3273" s="2" t="s">
        <v>1402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3229</v>
      </c>
      <c r="J3273" s="2" t="s">
        <v>3228</v>
      </c>
      <c r="K3273" s="2">
        <v>913814877</v>
      </c>
      <c r="L3273" s="2" t="s">
        <v>202</v>
      </c>
      <c r="M3273" s="2" t="s">
        <v>81</v>
      </c>
      <c r="O3273" s="2" t="s">
        <v>3225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hidden="1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hidden="1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2596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hidden="1" x14ac:dyDescent="0.2">
      <c r="A3277" s="2">
        <v>2026</v>
      </c>
      <c r="B3277" s="2">
        <v>2</v>
      </c>
      <c r="D3277" s="2" t="s">
        <v>2163</v>
      </c>
      <c r="M3277" s="2" t="s">
        <v>40</v>
      </c>
      <c r="P3277" s="2" t="s">
        <v>188</v>
      </c>
      <c r="Q3277" s="2" t="s">
        <v>1313</v>
      </c>
      <c r="R3277" s="2" t="s">
        <v>1314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1315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2622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3239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2547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3239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hidden="1" x14ac:dyDescent="0.2">
      <c r="A3280" s="2">
        <v>2026</v>
      </c>
      <c r="B3280" s="2">
        <v>2</v>
      </c>
      <c r="C3280" s="2" t="s">
        <v>3334</v>
      </c>
      <c r="D3280" s="2" t="s">
        <v>1166</v>
      </c>
      <c r="E3280" s="2" t="s">
        <v>754</v>
      </c>
      <c r="G3280" s="2">
        <v>508199280</v>
      </c>
      <c r="H3280" s="2" t="s">
        <v>40</v>
      </c>
      <c r="I3280" s="2" t="s">
        <v>1167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3239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hidden="1" x14ac:dyDescent="0.2">
      <c r="A3281" s="2">
        <v>2026</v>
      </c>
      <c r="B3281" s="2">
        <v>2</v>
      </c>
      <c r="D3281" s="2" t="s">
        <v>2585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3239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hidden="1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2623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3239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985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986</v>
      </c>
      <c r="J3283" s="2" t="s">
        <v>987</v>
      </c>
      <c r="L3283" s="2" t="s">
        <v>294</v>
      </c>
      <c r="M3283" s="2" t="s">
        <v>81</v>
      </c>
      <c r="O3283" s="2" t="s">
        <v>2581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3239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hidden="1" x14ac:dyDescent="0.2">
      <c r="A3284" s="2">
        <v>2026</v>
      </c>
      <c r="B3284" s="2">
        <v>2</v>
      </c>
      <c r="D3284" s="2" t="s">
        <v>2567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3239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hidden="1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3239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hidden="1" x14ac:dyDescent="0.2">
      <c r="A3286" s="2">
        <v>2026</v>
      </c>
      <c r="B3286" s="2">
        <v>2</v>
      </c>
      <c r="D3286" s="2" t="s">
        <v>2004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3239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hidden="1" x14ac:dyDescent="0.2">
      <c r="A3287" s="2">
        <v>2026</v>
      </c>
      <c r="B3287" s="2">
        <v>2</v>
      </c>
      <c r="D3287" s="2" t="s">
        <v>2588</v>
      </c>
      <c r="E3287" s="2" t="s">
        <v>184</v>
      </c>
      <c r="F3287" s="2" t="s">
        <v>2589</v>
      </c>
      <c r="G3287" s="2">
        <v>515259144</v>
      </c>
      <c r="H3287" s="2" t="s">
        <v>81</v>
      </c>
      <c r="I3287" s="2" t="s">
        <v>157</v>
      </c>
      <c r="J3287" s="2" t="s">
        <v>2590</v>
      </c>
      <c r="K3287" s="2">
        <v>968626165</v>
      </c>
      <c r="L3287" s="2" t="s">
        <v>100</v>
      </c>
      <c r="M3287" s="2" t="s">
        <v>81</v>
      </c>
      <c r="O3287" s="2" t="s">
        <v>2591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3239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hidden="1" x14ac:dyDescent="0.2">
      <c r="A3288" s="2">
        <v>2026</v>
      </c>
      <c r="B3288" s="2">
        <v>2</v>
      </c>
      <c r="D3288" s="2" t="s">
        <v>1561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1562</v>
      </c>
      <c r="J3288" s="2" t="s">
        <v>1563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3239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hidden="1" x14ac:dyDescent="0.2">
      <c r="A3289" s="2">
        <v>2026</v>
      </c>
      <c r="B3289" s="2">
        <v>2</v>
      </c>
      <c r="D3289" s="2" t="s">
        <v>1381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3239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hidden="1" x14ac:dyDescent="0.2">
      <c r="A3290" s="2">
        <v>2026</v>
      </c>
      <c r="B3290" s="2">
        <v>2</v>
      </c>
      <c r="D3290" s="2" t="s">
        <v>2577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3239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hidden="1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3239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hidden="1" x14ac:dyDescent="0.2">
      <c r="A3292" s="2">
        <v>2026</v>
      </c>
      <c r="B3292" s="2">
        <v>2</v>
      </c>
      <c r="D3292" s="2" t="s">
        <v>1261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3239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hidden="1" x14ac:dyDescent="0.2">
      <c r="A3293" s="2">
        <v>2026</v>
      </c>
      <c r="B3293" s="2">
        <v>2</v>
      </c>
      <c r="D3293" s="2" t="s">
        <v>1057</v>
      </c>
      <c r="E3293" s="2" t="s">
        <v>184</v>
      </c>
      <c r="F3293" s="2" t="s">
        <v>1058</v>
      </c>
      <c r="G3293" s="2">
        <v>500199523</v>
      </c>
      <c r="H3293" s="2" t="s">
        <v>291</v>
      </c>
      <c r="I3293" s="2" t="s">
        <v>294</v>
      </c>
      <c r="J3293" s="2" t="s">
        <v>1059</v>
      </c>
      <c r="L3293" s="2" t="s">
        <v>294</v>
      </c>
      <c r="M3293" s="2" t="s">
        <v>81</v>
      </c>
      <c r="O3293" s="2" t="s">
        <v>2583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3239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hidden="1" x14ac:dyDescent="0.2">
      <c r="A3294" s="2">
        <v>2026</v>
      </c>
      <c r="B3294" s="2">
        <v>2</v>
      </c>
      <c r="D3294" s="2" t="s">
        <v>1601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1602</v>
      </c>
      <c r="J3294" s="2" t="s">
        <v>1603</v>
      </c>
      <c r="L3294" s="2" t="s">
        <v>202</v>
      </c>
      <c r="M3294" s="2" t="s">
        <v>81</v>
      </c>
      <c r="O3294" s="2" t="s">
        <v>2570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3239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3239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2568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3239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hidden="1" x14ac:dyDescent="0.2">
      <c r="A3297" s="2">
        <v>2026</v>
      </c>
      <c r="B3297" s="2">
        <v>2</v>
      </c>
      <c r="D3297" s="2" t="s">
        <v>2569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3239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hidden="1" x14ac:dyDescent="0.2">
      <c r="A3298" s="2">
        <v>2026</v>
      </c>
      <c r="B3298" s="2">
        <v>2</v>
      </c>
      <c r="D3298" s="2" t="s">
        <v>2536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hidden="1" x14ac:dyDescent="0.2">
      <c r="A3299" s="2">
        <v>2026</v>
      </c>
      <c r="B3299" s="2">
        <v>2</v>
      </c>
      <c r="D3299" s="2" t="s">
        <v>2624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3394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hidden="1" x14ac:dyDescent="0.2">
      <c r="A3300" s="2">
        <v>2026</v>
      </c>
      <c r="B3300" s="2">
        <v>2</v>
      </c>
      <c r="D3300" s="2" t="s">
        <v>1092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1093</v>
      </c>
      <c r="J3300" s="2" t="s">
        <v>1094</v>
      </c>
      <c r="K3300" s="2">
        <v>917523997</v>
      </c>
      <c r="L3300" s="2" t="s">
        <v>113</v>
      </c>
      <c r="M3300" s="2" t="s">
        <v>40</v>
      </c>
      <c r="O3300" s="2" t="s">
        <v>2625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2626</v>
      </c>
      <c r="P3301" s="2" t="s">
        <v>115</v>
      </c>
      <c r="Q3301" s="2" t="s">
        <v>2235</v>
      </c>
      <c r="R3301" s="2" t="s">
        <v>2236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2268</v>
      </c>
      <c r="G3302" s="2">
        <v>503636002</v>
      </c>
      <c r="I3302" s="2" t="s">
        <v>2627</v>
      </c>
      <c r="M3302" s="2" t="s">
        <v>40</v>
      </c>
      <c r="O3302" s="2" t="s">
        <v>2628</v>
      </c>
      <c r="P3302" s="2" t="s">
        <v>115</v>
      </c>
      <c r="Q3302" s="2" t="s">
        <v>2237</v>
      </c>
      <c r="R3302" s="2" t="s">
        <v>2238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2629</v>
      </c>
      <c r="P3303" s="2" t="s">
        <v>115</v>
      </c>
      <c r="Q3303" s="2" t="s">
        <v>2630</v>
      </c>
      <c r="R3303" s="2" t="s">
        <v>2631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2059</v>
      </c>
      <c r="M3304" s="2" t="s">
        <v>40</v>
      </c>
      <c r="O3304" s="2" t="s">
        <v>2632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2268</v>
      </c>
      <c r="M3305" s="2" t="s">
        <v>40</v>
      </c>
      <c r="O3305" s="2" t="s">
        <v>2628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1172</v>
      </c>
      <c r="E3306" s="2" t="s">
        <v>754</v>
      </c>
      <c r="F3306" s="2" t="s">
        <v>1173</v>
      </c>
      <c r="G3306" s="2">
        <v>505760088</v>
      </c>
      <c r="H3306" s="2" t="s">
        <v>291</v>
      </c>
      <c r="I3306" s="2" t="s">
        <v>1174</v>
      </c>
      <c r="J3306" s="2" t="s">
        <v>1175</v>
      </c>
      <c r="L3306" s="2" t="s">
        <v>340</v>
      </c>
      <c r="M3306" s="2" t="s">
        <v>40</v>
      </c>
      <c r="O3306" s="2" t="s">
        <v>2455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3333</v>
      </c>
      <c r="D3307" s="2" t="s">
        <v>2160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2633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2623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3239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hidden="1" x14ac:dyDescent="0.2">
      <c r="A3309" s="2">
        <v>2026</v>
      </c>
      <c r="B3309" s="2">
        <v>3</v>
      </c>
      <c r="D3309" s="2" t="s">
        <v>2634</v>
      </c>
      <c r="M3309" s="2" t="s">
        <v>40</v>
      </c>
      <c r="O3309" s="2" t="s">
        <v>2635</v>
      </c>
      <c r="P3309" s="2" t="s">
        <v>115</v>
      </c>
      <c r="Q3309" s="2" t="s">
        <v>2636</v>
      </c>
      <c r="R3309" s="2" t="s">
        <v>2637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982</v>
      </c>
      <c r="R3310" s="2" t="s">
        <v>983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hidden="1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982</v>
      </c>
      <c r="R3311" s="2" t="s">
        <v>983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hidden="1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2638</v>
      </c>
      <c r="P3312" s="2" t="s">
        <v>115</v>
      </c>
      <c r="Q3312" s="2" t="s">
        <v>982</v>
      </c>
      <c r="R3312" s="2" t="s">
        <v>983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hidden="1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1476</v>
      </c>
      <c r="R3313" s="2" t="s">
        <v>1477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hidden="1" x14ac:dyDescent="0.2">
      <c r="A3314" s="2">
        <v>2026</v>
      </c>
      <c r="B3314" s="2">
        <v>2</v>
      </c>
      <c r="D3314" s="2" t="s">
        <v>2634</v>
      </c>
      <c r="P3314" s="2" t="s">
        <v>115</v>
      </c>
      <c r="Q3314" s="2" t="s">
        <v>1476</v>
      </c>
      <c r="R3314" s="2" t="s">
        <v>1477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hidden="1" x14ac:dyDescent="0.2">
      <c r="A3315" s="2">
        <v>2026</v>
      </c>
      <c r="B3315" s="2">
        <v>2</v>
      </c>
      <c r="D3315" s="2" t="s">
        <v>2639</v>
      </c>
      <c r="P3315" s="2" t="s">
        <v>115</v>
      </c>
      <c r="Q3315" s="2" t="s">
        <v>2124</v>
      </c>
      <c r="R3315" s="2" t="s">
        <v>2125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hidden="1" x14ac:dyDescent="0.2">
      <c r="A3316" s="2">
        <v>2026</v>
      </c>
      <c r="B3316" s="2">
        <v>2</v>
      </c>
      <c r="D3316" s="2" t="s">
        <v>1598</v>
      </c>
      <c r="M3316" s="2" t="s">
        <v>41</v>
      </c>
      <c r="P3316" s="2" t="s">
        <v>115</v>
      </c>
      <c r="Q3316" s="2" t="s">
        <v>2640</v>
      </c>
      <c r="R3316" s="2" t="s">
        <v>2641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1187</v>
      </c>
      <c r="R3317" s="2" t="s">
        <v>1188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2639</v>
      </c>
      <c r="P3318" s="2" t="s">
        <v>115</v>
      </c>
      <c r="Q3318" s="2" t="s">
        <v>1187</v>
      </c>
      <c r="R3318" s="2" t="s">
        <v>1188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2642</v>
      </c>
      <c r="E3319" s="2" t="s">
        <v>38</v>
      </c>
      <c r="G3319" s="2">
        <v>508857562</v>
      </c>
      <c r="H3319" s="2" t="s">
        <v>110</v>
      </c>
      <c r="I3319" s="2" t="s">
        <v>2643</v>
      </c>
      <c r="J3319" s="2" t="s">
        <v>2644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1894</v>
      </c>
      <c r="M3320" s="2" t="s">
        <v>291</v>
      </c>
      <c r="O3320" s="2" t="s">
        <v>2645</v>
      </c>
      <c r="P3320" s="2" t="s">
        <v>2646</v>
      </c>
      <c r="Q3320" s="2" t="s">
        <v>2647</v>
      </c>
      <c r="R3320" s="2" t="s">
        <v>2648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3239</v>
      </c>
      <c r="AA3320" s="2" t="s">
        <v>72</v>
      </c>
      <c r="AB3320" s="2" t="s">
        <v>120</v>
      </c>
      <c r="AC3320" s="2" t="s">
        <v>2646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2526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2527</v>
      </c>
      <c r="J3321" s="2" t="s">
        <v>2528</v>
      </c>
      <c r="K3321" s="2">
        <v>967032538</v>
      </c>
      <c r="L3321" s="2" t="s">
        <v>399</v>
      </c>
      <c r="M3321" s="2" t="s">
        <v>110</v>
      </c>
      <c r="O3321" s="2" t="s">
        <v>2649</v>
      </c>
      <c r="P3321" s="2" t="s">
        <v>283</v>
      </c>
      <c r="Q3321" s="2" t="s">
        <v>1209</v>
      </c>
      <c r="R3321" s="2" t="s">
        <v>1210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3239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2650</v>
      </c>
      <c r="P3322" s="2" t="s">
        <v>283</v>
      </c>
      <c r="Q3322" s="2" t="s">
        <v>1670</v>
      </c>
      <c r="R3322" s="2" t="s">
        <v>1671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2651</v>
      </c>
      <c r="AC3322" s="2" t="s">
        <v>1332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2650</v>
      </c>
      <c r="P3323" s="2" t="s">
        <v>283</v>
      </c>
      <c r="Q3323" s="2" t="s">
        <v>1672</v>
      </c>
      <c r="R3323" s="2" t="s">
        <v>1673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2651</v>
      </c>
      <c r="AC3323" s="2" t="s">
        <v>1332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hidden="1" x14ac:dyDescent="0.2">
      <c r="A3324" s="2">
        <v>2026</v>
      </c>
      <c r="B3324" s="2">
        <v>3</v>
      </c>
      <c r="D3324" s="2" t="s">
        <v>2652</v>
      </c>
      <c r="E3324" s="2" t="s">
        <v>38</v>
      </c>
      <c r="G3324" s="2">
        <v>506820378</v>
      </c>
      <c r="H3324" s="2" t="s">
        <v>41</v>
      </c>
      <c r="I3324" s="2" t="s">
        <v>2653</v>
      </c>
      <c r="J3324" s="2" t="s">
        <v>2654</v>
      </c>
      <c r="L3324" s="2" t="s">
        <v>419</v>
      </c>
      <c r="M3324" s="2" t="s">
        <v>41</v>
      </c>
      <c r="O3324" s="2" t="s">
        <v>2655</v>
      </c>
      <c r="P3324" s="2" t="s">
        <v>283</v>
      </c>
      <c r="Q3324" s="2" t="s">
        <v>1789</v>
      </c>
      <c r="R3324" s="2" t="s">
        <v>1790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1335</v>
      </c>
      <c r="AC3324" s="2" t="s">
        <v>1332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3271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2656</v>
      </c>
      <c r="L3325" s="2" t="s">
        <v>419</v>
      </c>
      <c r="M3325" s="2" t="s">
        <v>41</v>
      </c>
      <c r="O3325" s="2" t="s">
        <v>3270</v>
      </c>
      <c r="P3325" s="2" t="s">
        <v>283</v>
      </c>
      <c r="Q3325" s="2" t="s">
        <v>2657</v>
      </c>
      <c r="R3325" s="2" t="s">
        <v>2658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1582</v>
      </c>
      <c r="AB3325" s="2" t="s">
        <v>389</v>
      </c>
      <c r="AC3325" s="2" t="s">
        <v>1332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hidden="1" x14ac:dyDescent="0.2">
      <c r="A3326" s="2">
        <v>2026</v>
      </c>
      <c r="B3326" s="2">
        <v>3</v>
      </c>
      <c r="D3326" s="2" t="s">
        <v>3271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2656</v>
      </c>
      <c r="L3326" s="2" t="s">
        <v>419</v>
      </c>
      <c r="M3326" s="2" t="s">
        <v>41</v>
      </c>
      <c r="O3326" s="2" t="s">
        <v>3270</v>
      </c>
      <c r="P3326" s="2" t="s">
        <v>283</v>
      </c>
      <c r="Q3326" s="2" t="s">
        <v>2659</v>
      </c>
      <c r="R3326" s="2" t="s">
        <v>2660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1582</v>
      </c>
      <c r="AB3326" s="2" t="s">
        <v>389</v>
      </c>
      <c r="AC3326" s="2" t="s">
        <v>1332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3271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2656</v>
      </c>
      <c r="L3327" s="2" t="s">
        <v>419</v>
      </c>
      <c r="M3327" s="2" t="s">
        <v>41</v>
      </c>
      <c r="O3327" s="2" t="s">
        <v>3270</v>
      </c>
      <c r="P3327" s="2" t="s">
        <v>283</v>
      </c>
      <c r="Q3327" s="2" t="s">
        <v>2661</v>
      </c>
      <c r="R3327" s="2" t="s">
        <v>2662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1582</v>
      </c>
      <c r="AB3327" s="2" t="s">
        <v>389</v>
      </c>
      <c r="AC3327" s="2" t="s">
        <v>1332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hidden="1" x14ac:dyDescent="0.2">
      <c r="A3328" s="2">
        <v>2026</v>
      </c>
      <c r="B3328" s="2">
        <v>3</v>
      </c>
      <c r="D3328" s="2" t="s">
        <v>470</v>
      </c>
      <c r="E3328" s="2" t="s">
        <v>38</v>
      </c>
      <c r="F3328" s="2" t="s">
        <v>471</v>
      </c>
      <c r="G3328" s="2">
        <v>513626930</v>
      </c>
      <c r="H3328" s="2" t="s">
        <v>40</v>
      </c>
      <c r="I3328" s="2" t="s">
        <v>340</v>
      </c>
      <c r="J3328" s="2" t="s">
        <v>472</v>
      </c>
      <c r="L3328" s="2" t="s">
        <v>340</v>
      </c>
      <c r="M3328" s="2" t="s">
        <v>40</v>
      </c>
      <c r="O3328" s="2" t="s">
        <v>2663</v>
      </c>
      <c r="P3328" s="2" t="s">
        <v>283</v>
      </c>
      <c r="Q3328" s="2" t="s">
        <v>1287</v>
      </c>
      <c r="R3328" s="2" t="s">
        <v>1288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1582</v>
      </c>
      <c r="AB3328" s="2" t="s">
        <v>389</v>
      </c>
      <c r="AC3328" s="2" t="s">
        <v>1332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hidden="1" x14ac:dyDescent="0.2">
      <c r="A3329" s="2">
        <v>2026</v>
      </c>
      <c r="B3329" s="2">
        <v>3</v>
      </c>
      <c r="D3329" s="2" t="s">
        <v>470</v>
      </c>
      <c r="E3329" s="2" t="s">
        <v>38</v>
      </c>
      <c r="F3329" s="2" t="s">
        <v>471</v>
      </c>
      <c r="G3329" s="2">
        <v>513626930</v>
      </c>
      <c r="H3329" s="2" t="s">
        <v>40</v>
      </c>
      <c r="I3329" s="2" t="s">
        <v>340</v>
      </c>
      <c r="J3329" s="2" t="s">
        <v>472</v>
      </c>
      <c r="L3329" s="2" t="s">
        <v>340</v>
      </c>
      <c r="M3329" s="2" t="s">
        <v>40</v>
      </c>
      <c r="O3329" s="2" t="s">
        <v>2663</v>
      </c>
      <c r="P3329" s="2" t="s">
        <v>283</v>
      </c>
      <c r="Q3329" s="2" t="s">
        <v>1289</v>
      </c>
      <c r="R3329" s="2" t="s">
        <v>1290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3395</v>
      </c>
      <c r="AC3329" s="2" t="s">
        <v>1332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D3330" s="2" t="s">
        <v>470</v>
      </c>
      <c r="E3330" s="2" t="s">
        <v>38</v>
      </c>
      <c r="F3330" s="2" t="s">
        <v>471</v>
      </c>
      <c r="G3330" s="2">
        <v>513626930</v>
      </c>
      <c r="H3330" s="2" t="s">
        <v>40</v>
      </c>
      <c r="I3330" s="2" t="s">
        <v>340</v>
      </c>
      <c r="J3330" s="2" t="s">
        <v>472</v>
      </c>
      <c r="L3330" s="2" t="s">
        <v>340</v>
      </c>
      <c r="M3330" s="2" t="s">
        <v>40</v>
      </c>
      <c r="O3330" s="2" t="s">
        <v>2663</v>
      </c>
      <c r="P3330" s="2" t="s">
        <v>283</v>
      </c>
      <c r="Q3330" s="2" t="s">
        <v>1158</v>
      </c>
      <c r="R3330" s="2" t="s">
        <v>1159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1582</v>
      </c>
      <c r="AB3330" s="2" t="s">
        <v>389</v>
      </c>
      <c r="AC3330" s="2" t="s">
        <v>1332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2664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2665</v>
      </c>
      <c r="J3331" s="2" t="s">
        <v>2666</v>
      </c>
      <c r="K3331" s="2">
        <v>917531684</v>
      </c>
      <c r="L3331" s="2" t="s">
        <v>178</v>
      </c>
      <c r="M3331" s="2" t="s">
        <v>40</v>
      </c>
      <c r="O3331" s="2" t="s">
        <v>2667</v>
      </c>
      <c r="P3331" s="2" t="s">
        <v>283</v>
      </c>
      <c r="Q3331" s="2" t="s">
        <v>1291</v>
      </c>
      <c r="R3331" s="2" t="s">
        <v>1292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1582</v>
      </c>
      <c r="AB3331" s="2" t="s">
        <v>389</v>
      </c>
      <c r="AC3331" s="2" t="s">
        <v>1332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2650</v>
      </c>
      <c r="P3332" s="2" t="s">
        <v>283</v>
      </c>
      <c r="Q3332" s="2" t="s">
        <v>1291</v>
      </c>
      <c r="R3332" s="2" t="s">
        <v>1292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1582</v>
      </c>
      <c r="AB3332" s="2" t="s">
        <v>389</v>
      </c>
      <c r="AC3332" s="2" t="s">
        <v>1332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2668</v>
      </c>
      <c r="P3333" s="2" t="s">
        <v>283</v>
      </c>
      <c r="Q3333" s="2" t="s">
        <v>1291</v>
      </c>
      <c r="R3333" s="2" t="s">
        <v>1292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1582</v>
      </c>
      <c r="AB3333" s="2" t="s">
        <v>389</v>
      </c>
      <c r="AC3333" s="2" t="s">
        <v>1332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2669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2670</v>
      </c>
      <c r="J3334" s="2" t="s">
        <v>2671</v>
      </c>
      <c r="K3334" s="2">
        <v>934367883</v>
      </c>
      <c r="L3334" s="2" t="s">
        <v>419</v>
      </c>
      <c r="O3334" s="2" t="s">
        <v>2672</v>
      </c>
      <c r="P3334" s="2" t="s">
        <v>283</v>
      </c>
      <c r="Q3334" s="2" t="s">
        <v>1291</v>
      </c>
      <c r="R3334" s="2" t="s">
        <v>1292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1582</v>
      </c>
      <c r="AB3334" s="2" t="s">
        <v>389</v>
      </c>
      <c r="AC3334" s="2" t="s">
        <v>1332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2664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2665</v>
      </c>
      <c r="J3335" s="2" t="s">
        <v>2666</v>
      </c>
      <c r="K3335" s="2">
        <v>917531684</v>
      </c>
      <c r="L3335" s="2" t="s">
        <v>178</v>
      </c>
      <c r="M3335" s="2" t="s">
        <v>40</v>
      </c>
      <c r="O3335" s="2" t="s">
        <v>2667</v>
      </c>
      <c r="P3335" s="2" t="s">
        <v>283</v>
      </c>
      <c r="Q3335" s="2" t="s">
        <v>1162</v>
      </c>
      <c r="R3335" s="2" t="s">
        <v>1163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1582</v>
      </c>
      <c r="AB3335" s="2" t="s">
        <v>389</v>
      </c>
      <c r="AC3335" s="2" t="s">
        <v>1332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hidden="1" x14ac:dyDescent="0.2">
      <c r="A3336" s="2">
        <v>2026</v>
      </c>
      <c r="B3336" s="2">
        <v>3</v>
      </c>
      <c r="D3336" s="2" t="s">
        <v>2650</v>
      </c>
      <c r="P3336" s="2" t="s">
        <v>283</v>
      </c>
      <c r="Q3336" s="2" t="s">
        <v>1162</v>
      </c>
      <c r="R3336" s="2" t="s">
        <v>1163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1582</v>
      </c>
      <c r="AB3336" s="2" t="s">
        <v>389</v>
      </c>
      <c r="AC3336" s="2" t="s">
        <v>1332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hidden="1" x14ac:dyDescent="0.2">
      <c r="A3337" s="2">
        <v>2026</v>
      </c>
      <c r="B3337" s="2">
        <v>3</v>
      </c>
      <c r="D3337" s="2" t="s">
        <v>470</v>
      </c>
      <c r="E3337" s="2" t="s">
        <v>38</v>
      </c>
      <c r="F3337" s="2" t="s">
        <v>471</v>
      </c>
      <c r="G3337" s="2">
        <v>513626930</v>
      </c>
      <c r="H3337" s="2" t="s">
        <v>40</v>
      </c>
      <c r="I3337" s="2" t="s">
        <v>340</v>
      </c>
      <c r="J3337" s="2" t="s">
        <v>472</v>
      </c>
      <c r="L3337" s="2" t="s">
        <v>340</v>
      </c>
      <c r="M3337" s="2" t="s">
        <v>40</v>
      </c>
      <c r="O3337" s="2" t="s">
        <v>2663</v>
      </c>
      <c r="P3337" s="2" t="s">
        <v>283</v>
      </c>
      <c r="Q3337" s="2" t="s">
        <v>1162</v>
      </c>
      <c r="R3337" s="2" t="s">
        <v>1163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1582</v>
      </c>
      <c r="AB3337" s="2" t="s">
        <v>389</v>
      </c>
      <c r="AC3337" s="2" t="s">
        <v>1332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2668</v>
      </c>
      <c r="P3338" s="2" t="s">
        <v>283</v>
      </c>
      <c r="Q3338" s="2" t="s">
        <v>1162</v>
      </c>
      <c r="R3338" s="2" t="s">
        <v>1163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1582</v>
      </c>
      <c r="AB3338" s="2" t="s">
        <v>389</v>
      </c>
      <c r="AC3338" s="2" t="s">
        <v>1332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2669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2670</v>
      </c>
      <c r="J3339" s="2" t="s">
        <v>2671</v>
      </c>
      <c r="K3339" s="2">
        <v>934367883</v>
      </c>
      <c r="L3339" s="2" t="s">
        <v>419</v>
      </c>
      <c r="O3339" s="2" t="s">
        <v>2672</v>
      </c>
      <c r="P3339" s="2" t="s">
        <v>283</v>
      </c>
      <c r="Q3339" s="2" t="s">
        <v>1162</v>
      </c>
      <c r="R3339" s="2" t="s">
        <v>1163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1582</v>
      </c>
      <c r="AB3339" s="2" t="s">
        <v>389</v>
      </c>
      <c r="AC3339" s="2" t="s">
        <v>1332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hidden="1" x14ac:dyDescent="0.2">
      <c r="A3340" s="2">
        <v>2026</v>
      </c>
      <c r="B3340" s="2">
        <v>3</v>
      </c>
      <c r="D3340" s="2" t="s">
        <v>2664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2665</v>
      </c>
      <c r="J3340" s="2" t="s">
        <v>2666</v>
      </c>
      <c r="K3340" s="2">
        <v>917531684</v>
      </c>
      <c r="L3340" s="2" t="s">
        <v>178</v>
      </c>
      <c r="M3340" s="2" t="s">
        <v>40</v>
      </c>
      <c r="O3340" s="2" t="s">
        <v>2667</v>
      </c>
      <c r="P3340" s="2" t="s">
        <v>283</v>
      </c>
      <c r="Q3340" s="2" t="s">
        <v>1293</v>
      </c>
      <c r="R3340" s="2" t="s">
        <v>1294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1582</v>
      </c>
      <c r="AB3340" s="2" t="s">
        <v>389</v>
      </c>
      <c r="AC3340" s="2" t="s">
        <v>1332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hidden="1" x14ac:dyDescent="0.2">
      <c r="A3341" s="2">
        <v>2026</v>
      </c>
      <c r="B3341" s="2">
        <v>3</v>
      </c>
      <c r="D3341" s="2" t="s">
        <v>2650</v>
      </c>
      <c r="E3341" s="2" t="s">
        <v>754</v>
      </c>
      <c r="G3341" s="2">
        <v>504481991</v>
      </c>
      <c r="H3341" s="2" t="s">
        <v>40</v>
      </c>
      <c r="I3341" s="2" t="s">
        <v>2673</v>
      </c>
      <c r="J3341" s="2" t="s">
        <v>2674</v>
      </c>
      <c r="L3341" s="2" t="s">
        <v>202</v>
      </c>
      <c r="P3341" s="2" t="s">
        <v>283</v>
      </c>
      <c r="Q3341" s="2" t="s">
        <v>1293</v>
      </c>
      <c r="R3341" s="2" t="s">
        <v>1294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1582</v>
      </c>
      <c r="AB3341" s="2" t="s">
        <v>389</v>
      </c>
      <c r="AC3341" s="2" t="s">
        <v>1332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hidden="1" x14ac:dyDescent="0.2">
      <c r="A3342" s="2">
        <v>2026</v>
      </c>
      <c r="B3342" s="2">
        <v>3</v>
      </c>
      <c r="D3342" s="2" t="s">
        <v>2668</v>
      </c>
      <c r="E3342" s="2" t="s">
        <v>754</v>
      </c>
      <c r="G3342" s="2">
        <v>509674658</v>
      </c>
      <c r="H3342" s="2" t="s">
        <v>40</v>
      </c>
      <c r="I3342" s="2" t="s">
        <v>2675</v>
      </c>
      <c r="J3342" s="2" t="s">
        <v>2676</v>
      </c>
      <c r="L3342" s="2" t="s">
        <v>178</v>
      </c>
      <c r="P3342" s="2" t="s">
        <v>283</v>
      </c>
      <c r="Q3342" s="2" t="s">
        <v>1293</v>
      </c>
      <c r="R3342" s="2" t="s">
        <v>1294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1582</v>
      </c>
      <c r="AB3342" s="2" t="s">
        <v>389</v>
      </c>
      <c r="AC3342" s="2" t="s">
        <v>1332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hidden="1" x14ac:dyDescent="0.2">
      <c r="A3343" s="2">
        <v>2026</v>
      </c>
      <c r="B3343" s="2">
        <v>3</v>
      </c>
      <c r="D3343" s="2" t="s">
        <v>2669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2670</v>
      </c>
      <c r="J3343" s="2" t="s">
        <v>2671</v>
      </c>
      <c r="K3343" s="2">
        <v>934367883</v>
      </c>
      <c r="L3343" s="2" t="s">
        <v>419</v>
      </c>
      <c r="O3343" s="2" t="s">
        <v>2672</v>
      </c>
      <c r="P3343" s="2" t="s">
        <v>283</v>
      </c>
      <c r="Q3343" s="2" t="s">
        <v>1293</v>
      </c>
      <c r="R3343" s="2" t="s">
        <v>1294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1582</v>
      </c>
      <c r="AB3343" s="2" t="s">
        <v>389</v>
      </c>
      <c r="AC3343" s="2" t="s">
        <v>1332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hidden="1" x14ac:dyDescent="0.2">
      <c r="A3344" s="2">
        <v>2026</v>
      </c>
      <c r="B3344" s="2">
        <v>3</v>
      </c>
      <c r="D3344" s="2" t="s">
        <v>1894</v>
      </c>
      <c r="P3344" s="2" t="s">
        <v>283</v>
      </c>
      <c r="Q3344" s="2" t="s">
        <v>1960</v>
      </c>
      <c r="R3344" s="2" t="s">
        <v>1961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3239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2677</v>
      </c>
      <c r="P3345" s="2" t="s">
        <v>283</v>
      </c>
      <c r="Q3345" s="2" t="s">
        <v>1441</v>
      </c>
      <c r="R3345" s="2" t="s">
        <v>1442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3239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2678</v>
      </c>
      <c r="P3346" s="2" t="s">
        <v>283</v>
      </c>
      <c r="Q3346" s="2" t="s">
        <v>1441</v>
      </c>
      <c r="R3346" s="2" t="s">
        <v>1442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3239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1562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1555</v>
      </c>
      <c r="R3347" s="2" t="s">
        <v>1556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hidden="1" x14ac:dyDescent="0.2">
      <c r="A3348" s="2">
        <v>2026</v>
      </c>
      <c r="B3348" s="2">
        <v>3</v>
      </c>
      <c r="D3348" s="2" t="s">
        <v>3271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2656</v>
      </c>
      <c r="L3348" s="2" t="s">
        <v>419</v>
      </c>
      <c r="M3348" s="2" t="s">
        <v>41</v>
      </c>
      <c r="O3348" s="2" t="s">
        <v>3270</v>
      </c>
      <c r="P3348" s="2" t="s">
        <v>283</v>
      </c>
      <c r="Q3348" s="2" t="s">
        <v>1257</v>
      </c>
      <c r="R3348" s="2" t="s">
        <v>1258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1562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3239</v>
      </c>
      <c r="AA3349" s="2" t="s">
        <v>46</v>
      </c>
      <c r="AB3349" s="2" t="s">
        <v>61</v>
      </c>
      <c r="AC3349" s="2" t="s">
        <v>3345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1360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1361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3239</v>
      </c>
      <c r="AA3350" s="2" t="s">
        <v>46</v>
      </c>
      <c r="AB3350" s="2" t="s">
        <v>61</v>
      </c>
      <c r="AC3350" s="2" t="s">
        <v>3345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1010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3239</v>
      </c>
      <c r="AA3351" s="2" t="s">
        <v>46</v>
      </c>
      <c r="AB3351" s="2" t="s">
        <v>61</v>
      </c>
      <c r="AC3351" s="2" t="s">
        <v>3345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1561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1562</v>
      </c>
      <c r="J3352" s="2" t="s">
        <v>1563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3239</v>
      </c>
      <c r="AA3352" s="2" t="s">
        <v>46</v>
      </c>
      <c r="AB3352" s="2" t="s">
        <v>61</v>
      </c>
      <c r="AC3352" s="2" t="s">
        <v>3345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1562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3239</v>
      </c>
      <c r="AA3353" s="2" t="s">
        <v>46</v>
      </c>
      <c r="AB3353" s="2" t="s">
        <v>61</v>
      </c>
      <c r="AC3353" s="2" t="s">
        <v>3345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1360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1361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3239</v>
      </c>
      <c r="AA3354" s="2" t="s">
        <v>46</v>
      </c>
      <c r="AB3354" s="2" t="s">
        <v>61</v>
      </c>
      <c r="AC3354" s="2" t="s">
        <v>3345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1010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3239</v>
      </c>
      <c r="AA3355" s="2" t="s">
        <v>46</v>
      </c>
      <c r="AB3355" s="2" t="s">
        <v>61</v>
      </c>
      <c r="AC3355" s="2" t="s">
        <v>3345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1561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1562</v>
      </c>
      <c r="J3356" s="2" t="s">
        <v>1563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3239</v>
      </c>
      <c r="AA3356" s="2" t="s">
        <v>46</v>
      </c>
      <c r="AB3356" s="2" t="s">
        <v>61</v>
      </c>
      <c r="AC3356" s="2" t="s">
        <v>3345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2526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2527</v>
      </c>
      <c r="J3357" s="2" t="s">
        <v>2528</v>
      </c>
      <c r="K3357" s="2">
        <v>967032538</v>
      </c>
      <c r="L3357" s="2" t="s">
        <v>399</v>
      </c>
      <c r="M3357" s="2" t="s">
        <v>110</v>
      </c>
      <c r="O3357" s="2" t="s">
        <v>2649</v>
      </c>
      <c r="P3357" s="2" t="s">
        <v>43</v>
      </c>
      <c r="Q3357" s="2" t="s">
        <v>1108</v>
      </c>
      <c r="R3357" s="2" t="s">
        <v>1109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3239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3239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2526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2527</v>
      </c>
      <c r="J3359" s="2" t="s">
        <v>2528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3239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1012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3239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2680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3239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2623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3239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2681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3239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1096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2682</v>
      </c>
      <c r="J3364" s="2" t="s">
        <v>2683</v>
      </c>
      <c r="K3364" s="2">
        <v>962939747</v>
      </c>
      <c r="L3364" s="2" t="s">
        <v>100</v>
      </c>
      <c r="M3364" s="2" t="s">
        <v>41</v>
      </c>
      <c r="O3364" s="2" t="s">
        <v>2684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3239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2685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3239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1317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1318</v>
      </c>
      <c r="L3366" s="2" t="s">
        <v>178</v>
      </c>
      <c r="M3366" s="2" t="s">
        <v>41</v>
      </c>
      <c r="O3366" s="2" t="s">
        <v>2686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3239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hidden="1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2687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3239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3239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2687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3239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3188</v>
      </c>
      <c r="K3370" s="2">
        <v>911577458</v>
      </c>
      <c r="L3370" s="2" t="s">
        <v>178</v>
      </c>
      <c r="M3370" s="2" t="s">
        <v>41</v>
      </c>
      <c r="O3370" s="2" t="s">
        <v>3192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3239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3239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2526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2527</v>
      </c>
      <c r="J3372" s="2" t="s">
        <v>2528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3239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2688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3239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2685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3239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2689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3239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hidden="1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2689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3239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hidden="1" x14ac:dyDescent="0.2">
      <c r="A3377" s="2">
        <v>2026</v>
      </c>
      <c r="B3377" s="2">
        <v>3</v>
      </c>
      <c r="D3377" s="2" t="s">
        <v>984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3239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hidden="1" x14ac:dyDescent="0.2">
      <c r="A3378" s="2">
        <v>2026</v>
      </c>
      <c r="B3378" s="2">
        <v>3</v>
      </c>
      <c r="D3378" s="2" t="s">
        <v>984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3239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hidden="1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2689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3239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hidden="1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2689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3239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hidden="1" x14ac:dyDescent="0.2">
      <c r="A3381" s="2">
        <v>2026</v>
      </c>
      <c r="B3381" s="2">
        <v>3</v>
      </c>
      <c r="D3381" s="2" t="s">
        <v>2526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2527</v>
      </c>
      <c r="J3381" s="2" t="s">
        <v>2528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3239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2689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3239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1424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1277</v>
      </c>
      <c r="J3383" s="2" t="s">
        <v>2404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3239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2689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3239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2526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2527</v>
      </c>
      <c r="J3385" s="2" t="s">
        <v>2528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3239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hidden="1" x14ac:dyDescent="0.2">
      <c r="A3386" s="2">
        <v>2026</v>
      </c>
      <c r="B3386" s="2">
        <v>3</v>
      </c>
      <c r="D3386" s="2" t="s">
        <v>1424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1277</v>
      </c>
      <c r="J3386" s="2" t="s">
        <v>2404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3239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hidden="1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2690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3239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hidden="1" x14ac:dyDescent="0.2">
      <c r="A3388" s="2">
        <v>2026</v>
      </c>
      <c r="B3388" s="2">
        <v>3</v>
      </c>
      <c r="D3388" s="2" t="s">
        <v>2526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2527</v>
      </c>
      <c r="J3388" s="2" t="s">
        <v>2528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3239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hidden="1" x14ac:dyDescent="0.2">
      <c r="A3389" s="2">
        <v>2026</v>
      </c>
      <c r="B3389" s="2">
        <v>3</v>
      </c>
      <c r="D3389" s="2" t="s">
        <v>1424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1277</v>
      </c>
      <c r="J3389" s="2" t="s">
        <v>2404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3239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hidden="1" x14ac:dyDescent="0.2">
      <c r="A3390" s="2">
        <v>2026</v>
      </c>
      <c r="B3390" s="2">
        <v>3</v>
      </c>
      <c r="D3390" s="2" t="s">
        <v>1424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1277</v>
      </c>
      <c r="J3390" s="2" t="s">
        <v>2404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3239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hidden="1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2690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3239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hidden="1" x14ac:dyDescent="0.2">
      <c r="A3392" s="2">
        <v>2026</v>
      </c>
      <c r="B3392" s="2">
        <v>3</v>
      </c>
      <c r="D3392" s="2" t="s">
        <v>1424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1277</v>
      </c>
      <c r="J3392" s="2" t="s">
        <v>2404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3239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hidden="1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2689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3239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3239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hidden="1" x14ac:dyDescent="0.2">
      <c r="A3395" s="2">
        <v>2026</v>
      </c>
      <c r="B3395" s="2">
        <v>3</v>
      </c>
      <c r="D3395" s="2" t="s">
        <v>1424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1277</v>
      </c>
      <c r="J3395" s="2" t="s">
        <v>2404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3239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hidden="1" x14ac:dyDescent="0.2">
      <c r="A3396" s="2">
        <v>2026</v>
      </c>
      <c r="B3396" s="2">
        <v>3</v>
      </c>
      <c r="D3396" s="2" t="s">
        <v>1424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1277</v>
      </c>
      <c r="J3396" s="2" t="s">
        <v>2404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3239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hidden="1" x14ac:dyDescent="0.2">
      <c r="A3397" s="2">
        <v>2026</v>
      </c>
      <c r="B3397" s="2">
        <v>3</v>
      </c>
      <c r="D3397" s="2" t="s">
        <v>1424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1277</v>
      </c>
      <c r="J3397" s="2" t="s">
        <v>2404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3239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hidden="1" x14ac:dyDescent="0.2">
      <c r="A3398" s="2">
        <v>2026</v>
      </c>
      <c r="B3398" s="2">
        <v>3</v>
      </c>
      <c r="D3398" s="2" t="s">
        <v>1424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1277</v>
      </c>
      <c r="J3398" s="2" t="s">
        <v>2404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3239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3239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1149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1150</v>
      </c>
      <c r="J3400" s="2" t="s">
        <v>1151</v>
      </c>
      <c r="L3400" s="2" t="s">
        <v>134</v>
      </c>
      <c r="M3400" s="2" t="s">
        <v>41</v>
      </c>
      <c r="O3400" s="2" t="s">
        <v>2691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3239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2692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3239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1012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3239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3239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2680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3239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2623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3239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hidden="1" x14ac:dyDescent="0.2">
      <c r="A3406" s="2">
        <v>2026</v>
      </c>
      <c r="B3406" s="2">
        <v>3</v>
      </c>
      <c r="D3406" s="2" t="s">
        <v>1402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3229</v>
      </c>
      <c r="J3406" s="2" t="s">
        <v>3228</v>
      </c>
      <c r="K3406" s="2">
        <v>913814877</v>
      </c>
      <c r="L3406" s="2" t="s">
        <v>202</v>
      </c>
      <c r="M3406" s="2" t="s">
        <v>81</v>
      </c>
      <c r="O3406" s="2" t="s">
        <v>3226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3239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3239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2681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3239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2693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3239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3239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2694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3239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1317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1318</v>
      </c>
      <c r="L3412" s="2" t="s">
        <v>178</v>
      </c>
      <c r="M3412" s="2" t="s">
        <v>41</v>
      </c>
      <c r="O3412" s="2" t="s">
        <v>2686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3239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2695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3239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1317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1318</v>
      </c>
      <c r="L3414" s="2" t="s">
        <v>178</v>
      </c>
      <c r="M3414" s="2" t="s">
        <v>41</v>
      </c>
      <c r="O3414" s="2" t="s">
        <v>2696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3239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2697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3239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2526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2527</v>
      </c>
      <c r="J3416" s="2" t="s">
        <v>2528</v>
      </c>
      <c r="K3416" s="2">
        <v>967032538</v>
      </c>
      <c r="L3416" s="2" t="s">
        <v>399</v>
      </c>
      <c r="M3416" s="2" t="s">
        <v>110</v>
      </c>
      <c r="O3416" s="2" t="s">
        <v>2649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3239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3239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2692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3239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2526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2527</v>
      </c>
      <c r="J3419" s="2" t="s">
        <v>2528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3239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1012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3239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3239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2623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3239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3239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3239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3239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2685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3239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3239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2692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3239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3239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984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3239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3239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3145</v>
      </c>
      <c r="L3432" s="2" t="s">
        <v>178</v>
      </c>
      <c r="M3432" s="2" t="s">
        <v>41</v>
      </c>
      <c r="O3432" s="2" t="s">
        <v>3153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3239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3239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2698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3239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3239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3239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3239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2685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3239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hidden="1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2699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3239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2526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2527</v>
      </c>
      <c r="J3440" s="2" t="s">
        <v>2528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3239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1012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3239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2687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3239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3239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2700</v>
      </c>
      <c r="M3444" s="2" t="s">
        <v>40</v>
      </c>
      <c r="P3444" s="2" t="s">
        <v>2701</v>
      </c>
      <c r="Q3444" s="2" t="s">
        <v>2702</v>
      </c>
      <c r="R3444" s="2" t="s">
        <v>2703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3239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2704</v>
      </c>
      <c r="P3445" s="2" t="s">
        <v>3243</v>
      </c>
      <c r="Q3445" s="2" t="s">
        <v>2705</v>
      </c>
      <c r="R3445" s="2" t="s">
        <v>2706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2707</v>
      </c>
      <c r="AB3445" s="2" t="s">
        <v>2708</v>
      </c>
      <c r="AC3445" s="2" t="s">
        <v>3243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1894</v>
      </c>
      <c r="P3446" s="2" t="s">
        <v>3243</v>
      </c>
      <c r="Q3446" s="2" t="s">
        <v>1796</v>
      </c>
      <c r="R3446" s="2" t="s">
        <v>1797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3243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2709</v>
      </c>
      <c r="P3447" s="2" t="s">
        <v>3243</v>
      </c>
      <c r="Q3447" s="2" t="s">
        <v>2710</v>
      </c>
      <c r="R3447" s="2" t="s">
        <v>2711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1099</v>
      </c>
      <c r="AC3447" s="2" t="s">
        <v>3243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2709</v>
      </c>
      <c r="P3448" s="2" t="s">
        <v>3243</v>
      </c>
      <c r="Q3448" s="2" t="s">
        <v>1955</v>
      </c>
      <c r="R3448" s="2" t="s">
        <v>1956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3243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2712</v>
      </c>
      <c r="R3449" s="2" t="s">
        <v>2713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3239</v>
      </c>
      <c r="AC3449" s="2" t="s">
        <v>3244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hidden="1" x14ac:dyDescent="0.2">
      <c r="A3450" s="2">
        <v>2026</v>
      </c>
      <c r="B3450" s="2">
        <v>3</v>
      </c>
      <c r="D3450" s="2" t="s">
        <v>1965</v>
      </c>
      <c r="M3450" s="2" t="s">
        <v>40</v>
      </c>
      <c r="P3450" s="2" t="s">
        <v>69</v>
      </c>
      <c r="Q3450" s="2" t="s">
        <v>2714</v>
      </c>
      <c r="R3450" s="2" t="s">
        <v>2715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3239</v>
      </c>
      <c r="AC3450" s="2" t="s">
        <v>3244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hidden="1" x14ac:dyDescent="0.2">
      <c r="A3451" s="2">
        <v>2026</v>
      </c>
      <c r="B3451" s="2">
        <v>3</v>
      </c>
      <c r="D3451" s="2" t="s">
        <v>1705</v>
      </c>
      <c r="P3451" s="2" t="s">
        <v>69</v>
      </c>
      <c r="Q3451" s="2" t="s">
        <v>2716</v>
      </c>
      <c r="R3451" s="2" t="s">
        <v>2717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3239</v>
      </c>
      <c r="AC3451" s="2" t="s">
        <v>3244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hidden="1" x14ac:dyDescent="0.2">
      <c r="A3452" s="2">
        <v>2026</v>
      </c>
      <c r="B3452" s="2">
        <v>3</v>
      </c>
      <c r="D3452" s="2" t="s">
        <v>2642</v>
      </c>
      <c r="E3452" s="2" t="s">
        <v>38</v>
      </c>
      <c r="G3452" s="2">
        <v>508857562</v>
      </c>
      <c r="H3452" s="2" t="s">
        <v>110</v>
      </c>
      <c r="I3452" s="2" t="s">
        <v>2643</v>
      </c>
      <c r="J3452" s="2" t="s">
        <v>2644</v>
      </c>
      <c r="L3452" s="2" t="s">
        <v>462</v>
      </c>
      <c r="P3452" s="2" t="s">
        <v>69</v>
      </c>
      <c r="Q3452" s="2" t="s">
        <v>1164</v>
      </c>
      <c r="R3452" s="2" t="s">
        <v>1165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3239</v>
      </c>
      <c r="AA3452" s="2" t="s">
        <v>72</v>
      </c>
      <c r="AB3452" s="2" t="s">
        <v>69</v>
      </c>
      <c r="AC3452" s="2" t="s">
        <v>3244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1894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3244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2718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3239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1000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3239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2719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3239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2720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3239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1260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2721</v>
      </c>
      <c r="J3458" s="2" t="s">
        <v>2722</v>
      </c>
      <c r="K3458" s="2">
        <v>935047029</v>
      </c>
      <c r="L3458" s="2" t="s">
        <v>447</v>
      </c>
      <c r="M3458" s="2" t="s">
        <v>81</v>
      </c>
      <c r="O3458" s="2" t="s">
        <v>2723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3239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3333</v>
      </c>
      <c r="D3459" s="2" t="s">
        <v>1166</v>
      </c>
      <c r="E3459" s="2" t="s">
        <v>754</v>
      </c>
      <c r="G3459" s="2">
        <v>508199280</v>
      </c>
      <c r="H3459" s="2" t="s">
        <v>40</v>
      </c>
      <c r="I3459" s="2" t="s">
        <v>1167</v>
      </c>
      <c r="L3459" s="2" t="s">
        <v>294</v>
      </c>
      <c r="M3459" s="2" t="s">
        <v>81</v>
      </c>
      <c r="P3459" s="2" t="s">
        <v>73</v>
      </c>
      <c r="Q3459" s="2" t="s">
        <v>1453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3239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3239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2724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2725</v>
      </c>
      <c r="J3461" s="2" t="s">
        <v>2726</v>
      </c>
      <c r="K3461" s="2">
        <v>962576243</v>
      </c>
      <c r="L3461" s="2" t="s">
        <v>447</v>
      </c>
      <c r="M3461" s="2" t="s">
        <v>81</v>
      </c>
      <c r="O3461" s="2" t="s">
        <v>2727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3239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1423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2421</v>
      </c>
      <c r="J3462" s="2" t="s">
        <v>2422</v>
      </c>
      <c r="L3462" s="2" t="s">
        <v>202</v>
      </c>
      <c r="M3462" s="2" t="s">
        <v>81</v>
      </c>
      <c r="O3462" s="2" t="s">
        <v>2728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3239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2729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3239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3239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2730</v>
      </c>
      <c r="P3465" s="2" t="s">
        <v>73</v>
      </c>
      <c r="Q3465" s="2" t="s">
        <v>2731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3239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1424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1277</v>
      </c>
      <c r="J3466" s="2" t="s">
        <v>2404</v>
      </c>
      <c r="L3466" s="2" t="s">
        <v>178</v>
      </c>
      <c r="M3466" s="2" t="s">
        <v>41</v>
      </c>
      <c r="P3466" s="2" t="s">
        <v>73</v>
      </c>
      <c r="Q3466" s="2" t="s">
        <v>2731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3239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3239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1129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1130</v>
      </c>
      <c r="J3468" s="2" t="s">
        <v>1131</v>
      </c>
      <c r="L3468" s="2" t="s">
        <v>462</v>
      </c>
      <c r="M3468" s="2" t="s">
        <v>81</v>
      </c>
      <c r="O3468" s="2" t="s">
        <v>2732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3239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1039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3239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2733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3239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1057</v>
      </c>
      <c r="E3471" s="2" t="s">
        <v>184</v>
      </c>
      <c r="F3471" s="2" t="s">
        <v>1058</v>
      </c>
      <c r="G3471" s="2">
        <v>500199523</v>
      </c>
      <c r="H3471" s="2" t="s">
        <v>291</v>
      </c>
      <c r="I3471" s="2" t="s">
        <v>294</v>
      </c>
      <c r="J3471" s="2" t="s">
        <v>1059</v>
      </c>
      <c r="L3471" s="2" t="s">
        <v>294</v>
      </c>
      <c r="M3471" s="2" t="s">
        <v>81</v>
      </c>
      <c r="O3471" s="2" t="s">
        <v>2734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3239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2735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3239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2569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3239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1454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3239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1261</v>
      </c>
      <c r="P3475" s="2" t="s">
        <v>73</v>
      </c>
      <c r="Q3475" s="2" t="s">
        <v>1454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3239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1057</v>
      </c>
      <c r="E3476" s="2" t="s">
        <v>184</v>
      </c>
      <c r="F3476" s="2" t="s">
        <v>1058</v>
      </c>
      <c r="G3476" s="2">
        <v>500199523</v>
      </c>
      <c r="H3476" s="2" t="s">
        <v>291</v>
      </c>
      <c r="I3476" s="2" t="s">
        <v>294</v>
      </c>
      <c r="J3476" s="2" t="s">
        <v>1059</v>
      </c>
      <c r="L3476" s="2" t="s">
        <v>294</v>
      </c>
      <c r="M3476" s="2" t="s">
        <v>81</v>
      </c>
      <c r="O3476" s="2" t="s">
        <v>2736</v>
      </c>
      <c r="P3476" s="2" t="s">
        <v>73</v>
      </c>
      <c r="Q3476" s="2" t="s">
        <v>1454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3239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2737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3239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1260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3239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2738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3239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2739</v>
      </c>
      <c r="P3480" s="2" t="s">
        <v>73</v>
      </c>
      <c r="Q3480" s="2" t="s">
        <v>2740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3239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1196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3239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3145</v>
      </c>
      <c r="L3482" s="2" t="s">
        <v>178</v>
      </c>
      <c r="M3482" s="2" t="s">
        <v>41</v>
      </c>
      <c r="O3482" s="2" t="s">
        <v>2741</v>
      </c>
      <c r="P3482" s="2" t="s">
        <v>73</v>
      </c>
      <c r="Q3482" s="2" t="s">
        <v>1079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3239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2569</v>
      </c>
      <c r="M3483" s="2" t="s">
        <v>81</v>
      </c>
      <c r="O3483" s="2" t="s">
        <v>2742</v>
      </c>
      <c r="P3483" s="2" t="s">
        <v>73</v>
      </c>
      <c r="Q3483" s="2" t="s">
        <v>1079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3239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2743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3239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1154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2488</v>
      </c>
      <c r="J3485" s="2" t="s">
        <v>1478</v>
      </c>
      <c r="K3485" s="2">
        <v>938183284</v>
      </c>
      <c r="L3485" s="2" t="s">
        <v>134</v>
      </c>
      <c r="M3485" s="2" t="s">
        <v>110</v>
      </c>
      <c r="O3485" s="2" t="s">
        <v>2744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3239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2745</v>
      </c>
      <c r="R3486" s="2" t="s">
        <v>966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3239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3239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2153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2746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3239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1042</v>
      </c>
      <c r="Q3489" s="2" t="s">
        <v>2747</v>
      </c>
      <c r="R3489" s="2" t="s">
        <v>2748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3239</v>
      </c>
      <c r="AA3489" s="2" t="s">
        <v>76</v>
      </c>
      <c r="AB3489" s="2" t="s">
        <v>77</v>
      </c>
      <c r="AC3489" s="2" t="s">
        <v>1042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3166</v>
      </c>
      <c r="L3490" s="2" t="s">
        <v>100</v>
      </c>
      <c r="M3490" s="2" t="s">
        <v>81</v>
      </c>
      <c r="O3490" s="2" t="s">
        <v>3165</v>
      </c>
      <c r="P3490" s="2" t="s">
        <v>1042</v>
      </c>
      <c r="Q3490" s="2" t="s">
        <v>1843</v>
      </c>
      <c r="R3490" s="2" t="s">
        <v>1844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3239</v>
      </c>
      <c r="AA3490" s="2" t="s">
        <v>76</v>
      </c>
      <c r="AB3490" s="2" t="s">
        <v>77</v>
      </c>
      <c r="AC3490" s="2" t="s">
        <v>1042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1561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1562</v>
      </c>
      <c r="J3491" s="2" t="s">
        <v>1563</v>
      </c>
      <c r="L3491" s="2" t="s">
        <v>100</v>
      </c>
      <c r="M3491" s="2" t="s">
        <v>41</v>
      </c>
      <c r="P3491" s="2" t="s">
        <v>1042</v>
      </c>
      <c r="Q3491" s="2" t="s">
        <v>2749</v>
      </c>
      <c r="R3491" s="2" t="s">
        <v>2750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3239</v>
      </c>
      <c r="AA3491" s="2" t="s">
        <v>76</v>
      </c>
      <c r="AB3491" s="2" t="s">
        <v>77</v>
      </c>
      <c r="AC3491" s="2" t="s">
        <v>1042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2751</v>
      </c>
      <c r="P3492" s="2" t="s">
        <v>1042</v>
      </c>
      <c r="Q3492" s="2" t="s">
        <v>1864</v>
      </c>
      <c r="R3492" s="2" t="s">
        <v>1865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3239</v>
      </c>
      <c r="AA3492" s="2" t="s">
        <v>76</v>
      </c>
      <c r="AB3492" s="2" t="s">
        <v>77</v>
      </c>
      <c r="AC3492" s="2" t="s">
        <v>1042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2567</v>
      </c>
      <c r="M3493" s="2" t="s">
        <v>81</v>
      </c>
      <c r="O3493" s="2" t="s">
        <v>3172</v>
      </c>
      <c r="P3493" s="2" t="s">
        <v>1042</v>
      </c>
      <c r="Q3493" s="2" t="s">
        <v>2752</v>
      </c>
      <c r="R3493" s="2" t="s">
        <v>2753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3239</v>
      </c>
      <c r="AA3493" s="2" t="s">
        <v>76</v>
      </c>
      <c r="AB3493" s="2" t="s">
        <v>77</v>
      </c>
      <c r="AC3493" s="2" t="s">
        <v>1042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2526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2527</v>
      </c>
      <c r="J3494" s="2" t="s">
        <v>2528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3239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2685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3239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hidden="1" x14ac:dyDescent="0.2">
      <c r="A3496" s="2">
        <v>2026</v>
      </c>
      <c r="B3496" s="2">
        <v>3</v>
      </c>
      <c r="D3496" s="2" t="s">
        <v>2526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2527</v>
      </c>
      <c r="J3496" s="2" t="s">
        <v>2528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3239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3239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3239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2704</v>
      </c>
      <c r="P3499" s="2" t="s">
        <v>85</v>
      </c>
      <c r="Q3499" s="2" t="s">
        <v>2754</v>
      </c>
      <c r="R3499" s="2" t="s">
        <v>2755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3239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2709</v>
      </c>
      <c r="P3500" s="2" t="s">
        <v>1198</v>
      </c>
      <c r="Q3500" s="2" t="s">
        <v>1721</v>
      </c>
      <c r="R3500" s="2" t="s">
        <v>1722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2756</v>
      </c>
      <c r="AB3500" s="2" t="s">
        <v>2757</v>
      </c>
      <c r="AC3500" s="2" t="s">
        <v>1198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2709</v>
      </c>
      <c r="P3501" s="2" t="s">
        <v>1198</v>
      </c>
      <c r="Q3501" s="2" t="s">
        <v>1201</v>
      </c>
      <c r="R3501" s="2" t="s">
        <v>1202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1203</v>
      </c>
      <c r="AB3501" s="2" t="s">
        <v>120</v>
      </c>
      <c r="AC3501" s="2" t="s">
        <v>1198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2758</v>
      </c>
      <c r="M3502" s="2" t="s">
        <v>41</v>
      </c>
      <c r="P3502" s="2" t="s">
        <v>1042</v>
      </c>
      <c r="Q3502" s="2" t="s">
        <v>2759</v>
      </c>
      <c r="R3502" s="2" t="s">
        <v>2760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3239</v>
      </c>
      <c r="AA3502" s="2" t="s">
        <v>1045</v>
      </c>
      <c r="AB3502" s="2" t="s">
        <v>2761</v>
      </c>
      <c r="AC3502" s="2" t="s">
        <v>1042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2762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2763</v>
      </c>
      <c r="J3503" s="2" t="s">
        <v>2764</v>
      </c>
      <c r="K3503" s="2">
        <v>962332957</v>
      </c>
      <c r="L3503" s="2" t="s">
        <v>113</v>
      </c>
      <c r="M3503" s="2" t="s">
        <v>110</v>
      </c>
      <c r="O3503" s="2" t="s">
        <v>2765</v>
      </c>
      <c r="P3503" s="2" t="s">
        <v>40</v>
      </c>
      <c r="Q3503" s="2" t="s">
        <v>2766</v>
      </c>
      <c r="R3503" s="2" t="s">
        <v>2767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2709</v>
      </c>
      <c r="P3504" s="2" t="s">
        <v>40</v>
      </c>
      <c r="Q3504" s="2" t="s">
        <v>2127</v>
      </c>
      <c r="R3504" s="2" t="s">
        <v>2128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476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2709</v>
      </c>
      <c r="P3505" s="2" t="s">
        <v>40</v>
      </c>
      <c r="Q3505" s="2" t="s">
        <v>2768</v>
      </c>
      <c r="R3505" s="2" t="s">
        <v>2769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2709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617</v>
      </c>
      <c r="AB3506" s="2" t="s">
        <v>476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hidden="1" x14ac:dyDescent="0.2">
      <c r="A3507" s="2">
        <v>2026</v>
      </c>
      <c r="B3507" s="2">
        <v>3</v>
      </c>
      <c r="D3507" s="2" t="s">
        <v>1917</v>
      </c>
      <c r="P3507" s="2" t="s">
        <v>40</v>
      </c>
      <c r="Q3507" s="2" t="s">
        <v>2770</v>
      </c>
      <c r="R3507" s="2" t="s">
        <v>2771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2772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493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hidden="1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hidden="1" x14ac:dyDescent="0.2">
      <c r="A3510" s="2">
        <v>2026</v>
      </c>
      <c r="B3510" s="2">
        <v>2</v>
      </c>
      <c r="D3510" s="2" t="s">
        <v>2773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2773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hidden="1" x14ac:dyDescent="0.2">
      <c r="A3512" s="2">
        <v>2026</v>
      </c>
      <c r="B3512" s="2">
        <v>1</v>
      </c>
      <c r="D3512" s="2" t="s">
        <v>2774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hidden="1" x14ac:dyDescent="0.2">
      <c r="A3513" s="2">
        <v>2026</v>
      </c>
      <c r="B3513" s="2">
        <v>1</v>
      </c>
      <c r="D3513" s="2" t="s">
        <v>2774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hidden="1" x14ac:dyDescent="0.2">
      <c r="A3514" s="2">
        <v>2026</v>
      </c>
      <c r="B3514" s="2">
        <v>4</v>
      </c>
      <c r="D3514" s="2" t="s">
        <v>2775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hidden="1" x14ac:dyDescent="0.2">
      <c r="A3515" s="2">
        <v>2026</v>
      </c>
      <c r="B3515" s="2">
        <v>4</v>
      </c>
      <c r="D3515" s="2" t="s">
        <v>2775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hidden="1" x14ac:dyDescent="0.2">
      <c r="A3516" s="2">
        <v>2026</v>
      </c>
      <c r="B3516" s="2">
        <v>4</v>
      </c>
      <c r="D3516" s="2" t="s">
        <v>2776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hidden="1" x14ac:dyDescent="0.2">
      <c r="A3517" s="2">
        <v>2026</v>
      </c>
      <c r="B3517" s="2">
        <v>4</v>
      </c>
      <c r="D3517" s="2" t="s">
        <v>2776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hidden="1" x14ac:dyDescent="0.2">
      <c r="A3518" s="2">
        <v>2026</v>
      </c>
      <c r="B3518" s="2">
        <v>1</v>
      </c>
      <c r="D3518" s="2" t="s">
        <v>1402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3229</v>
      </c>
      <c r="J3518" s="2" t="s">
        <v>3228</v>
      </c>
      <c r="K3518" s="2">
        <v>913814877</v>
      </c>
      <c r="L3518" s="2" t="s">
        <v>202</v>
      </c>
      <c r="M3518" s="2" t="s">
        <v>40</v>
      </c>
      <c r="O3518" s="2" t="s">
        <v>3224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hidden="1" x14ac:dyDescent="0.2">
      <c r="A3519" s="2">
        <v>2026</v>
      </c>
      <c r="B3519" s="2">
        <v>1</v>
      </c>
      <c r="D3519" s="2" t="s">
        <v>1402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3229</v>
      </c>
      <c r="J3519" s="2" t="s">
        <v>3228</v>
      </c>
      <c r="K3519" s="2">
        <v>913814877</v>
      </c>
      <c r="L3519" s="2" t="s">
        <v>202</v>
      </c>
      <c r="M3519" s="2" t="s">
        <v>40</v>
      </c>
      <c r="O3519" s="2" t="s">
        <v>3224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2777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2778</v>
      </c>
      <c r="L3520" s="2" t="s">
        <v>134</v>
      </c>
      <c r="M3520" s="2" t="s">
        <v>81</v>
      </c>
      <c r="O3520" s="2" t="s">
        <v>2779</v>
      </c>
      <c r="P3520" s="2" t="s">
        <v>1042</v>
      </c>
      <c r="Q3520" s="2" t="s">
        <v>1273</v>
      </c>
      <c r="R3520" s="2" t="s">
        <v>1274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3239</v>
      </c>
      <c r="AA3520" s="2" t="s">
        <v>1045</v>
      </c>
      <c r="AB3520" s="2" t="s">
        <v>1275</v>
      </c>
      <c r="AC3520" s="2" t="s">
        <v>1042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1053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1054</v>
      </c>
      <c r="J3521" s="2" t="s">
        <v>1055</v>
      </c>
      <c r="L3521" s="2" t="s">
        <v>340</v>
      </c>
      <c r="M3521" s="2" t="s">
        <v>40</v>
      </c>
      <c r="O3521" s="2" t="s">
        <v>2780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hidden="1" x14ac:dyDescent="0.2">
      <c r="A3522" s="2">
        <v>2026</v>
      </c>
      <c r="B3522" s="2">
        <v>4</v>
      </c>
      <c r="D3522" s="2" t="s">
        <v>1053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1054</v>
      </c>
      <c r="J3522" s="2" t="s">
        <v>1055</v>
      </c>
      <c r="L3522" s="2" t="s">
        <v>340</v>
      </c>
      <c r="M3522" s="2" t="s">
        <v>40</v>
      </c>
      <c r="O3522" s="2" t="s">
        <v>2780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hidden="1" x14ac:dyDescent="0.2">
      <c r="A3523" s="2">
        <v>2026</v>
      </c>
      <c r="B3523" s="2">
        <v>3</v>
      </c>
      <c r="C3523" s="2" t="s">
        <v>3333</v>
      </c>
      <c r="D3523" s="2" t="s">
        <v>2160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hidden="1" x14ac:dyDescent="0.2">
      <c r="A3524" s="2">
        <v>2026</v>
      </c>
      <c r="B3524" s="2">
        <v>4</v>
      </c>
      <c r="D3524" s="2" t="s">
        <v>2781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hidden="1" x14ac:dyDescent="0.2">
      <c r="A3525" s="2">
        <v>2026</v>
      </c>
      <c r="B3525" s="2">
        <v>4</v>
      </c>
      <c r="D3525" s="2" t="s">
        <v>2781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hidden="1" x14ac:dyDescent="0.2">
      <c r="A3526" s="2">
        <v>2026</v>
      </c>
      <c r="B3526" s="2">
        <v>1</v>
      </c>
      <c r="D3526" s="2" t="s">
        <v>1590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hidden="1" x14ac:dyDescent="0.2">
      <c r="A3527" s="2">
        <v>2026</v>
      </c>
      <c r="B3527" s="2">
        <v>1</v>
      </c>
      <c r="D3527" s="2" t="s">
        <v>1590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hidden="1" x14ac:dyDescent="0.2">
      <c r="A3530" s="2">
        <v>2026</v>
      </c>
      <c r="B3530" s="2">
        <v>2</v>
      </c>
      <c r="D3530" s="2" t="s">
        <v>2163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hidden="1" x14ac:dyDescent="0.2">
      <c r="A3531" s="2">
        <v>2026</v>
      </c>
      <c r="B3531" s="2">
        <v>2</v>
      </c>
      <c r="D3531" s="2" t="s">
        <v>2163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hidden="1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2751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2567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hidden="1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2680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hidden="1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2623</v>
      </c>
      <c r="P3537" s="2" t="s">
        <v>85</v>
      </c>
      <c r="Q3537" s="2" t="s">
        <v>1215</v>
      </c>
      <c r="R3537" s="2" t="s">
        <v>1216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3239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hidden="1" x14ac:dyDescent="0.2">
      <c r="A3540" s="2">
        <v>2026</v>
      </c>
      <c r="B3540" s="2">
        <v>3</v>
      </c>
      <c r="D3540" s="2" t="s">
        <v>1668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hidden="1" x14ac:dyDescent="0.2">
      <c r="A3541" s="2">
        <v>2026</v>
      </c>
      <c r="B3541" s="2">
        <v>3</v>
      </c>
      <c r="D3541" s="2" t="s">
        <v>1360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1361</v>
      </c>
      <c r="L3541" s="2" t="s">
        <v>419</v>
      </c>
      <c r="M3541" s="2" t="s">
        <v>40</v>
      </c>
      <c r="P3541" s="2" t="s">
        <v>188</v>
      </c>
      <c r="Q3541" s="2" t="s">
        <v>1313</v>
      </c>
      <c r="R3541" s="2" t="s">
        <v>1314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1315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2782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3239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2737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3239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hidden="1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2751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3239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hidden="1" x14ac:dyDescent="0.2">
      <c r="A3545" s="2">
        <v>2026</v>
      </c>
      <c r="B3545" s="2">
        <v>3</v>
      </c>
      <c r="D3545" s="2" t="s">
        <v>2733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3239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hidden="1" x14ac:dyDescent="0.2">
      <c r="A3546" s="2">
        <v>2026</v>
      </c>
      <c r="B3546" s="2">
        <v>3</v>
      </c>
      <c r="D3546" s="2" t="s">
        <v>1154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2488</v>
      </c>
      <c r="J3546" s="2" t="s">
        <v>1478</v>
      </c>
      <c r="K3546" s="2">
        <v>938183284</v>
      </c>
      <c r="L3546" s="2" t="s">
        <v>134</v>
      </c>
      <c r="M3546" s="2" t="s">
        <v>110</v>
      </c>
      <c r="O3546" s="2" t="s">
        <v>2744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3239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hidden="1" x14ac:dyDescent="0.2">
      <c r="A3547" s="2">
        <v>2026</v>
      </c>
      <c r="B3547" s="2">
        <v>3</v>
      </c>
      <c r="C3547" s="2" t="s">
        <v>3333</v>
      </c>
      <c r="D3547" s="2" t="s">
        <v>1166</v>
      </c>
      <c r="E3547" s="2" t="s">
        <v>754</v>
      </c>
      <c r="G3547" s="2">
        <v>508199280</v>
      </c>
      <c r="H3547" s="2" t="s">
        <v>40</v>
      </c>
      <c r="I3547" s="2" t="s">
        <v>1167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3239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3239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hidden="1" x14ac:dyDescent="0.2">
      <c r="A3549" s="2">
        <v>2026</v>
      </c>
      <c r="B3549" s="2">
        <v>3</v>
      </c>
      <c r="D3549" s="2" t="s">
        <v>2739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3239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hidden="1" x14ac:dyDescent="0.2">
      <c r="A3550" s="2">
        <v>2026</v>
      </c>
      <c r="B3550" s="2">
        <v>3</v>
      </c>
      <c r="D3550" s="2" t="s">
        <v>2567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3239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hidden="1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3239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hidden="1" x14ac:dyDescent="0.2">
      <c r="A3552" s="2">
        <v>2026</v>
      </c>
      <c r="B3552" s="2">
        <v>3</v>
      </c>
      <c r="D3552" s="2" t="s">
        <v>1000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3239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hidden="1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3239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2720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3239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hidden="1" x14ac:dyDescent="0.2">
      <c r="A3555" s="2">
        <v>2026</v>
      </c>
      <c r="B3555" s="2">
        <v>3</v>
      </c>
      <c r="D3555" s="2" t="s">
        <v>1561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1562</v>
      </c>
      <c r="J3555" s="2" t="s">
        <v>1563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3239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hidden="1" x14ac:dyDescent="0.2">
      <c r="A3556" s="2">
        <v>2026</v>
      </c>
      <c r="B3556" s="2">
        <v>3</v>
      </c>
      <c r="D3556" s="2" t="s">
        <v>2724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3239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hidden="1" x14ac:dyDescent="0.2">
      <c r="A3557" s="2">
        <v>2026</v>
      </c>
      <c r="B3557" s="2">
        <v>3</v>
      </c>
      <c r="D3557" s="2" t="s">
        <v>2153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3239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3239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hidden="1" x14ac:dyDescent="0.2">
      <c r="A3559" s="2">
        <v>2026</v>
      </c>
      <c r="B3559" s="2">
        <v>3</v>
      </c>
      <c r="D3559" s="2" t="s">
        <v>1260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3239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hidden="1" x14ac:dyDescent="0.2">
      <c r="A3560" s="2">
        <v>2026</v>
      </c>
      <c r="B3560" s="2">
        <v>3</v>
      </c>
      <c r="D3560" s="2" t="s">
        <v>1261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3239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hidden="1" x14ac:dyDescent="0.2">
      <c r="A3561" s="2">
        <v>2026</v>
      </c>
      <c r="B3561" s="2">
        <v>3</v>
      </c>
      <c r="D3561" s="2" t="s">
        <v>1057</v>
      </c>
      <c r="E3561" s="2" t="s">
        <v>184</v>
      </c>
      <c r="F3561" s="2" t="s">
        <v>1058</v>
      </c>
      <c r="G3561" s="2">
        <v>500199523</v>
      </c>
      <c r="H3561" s="2" t="s">
        <v>291</v>
      </c>
      <c r="I3561" s="2" t="s">
        <v>294</v>
      </c>
      <c r="J3561" s="2" t="s">
        <v>1059</v>
      </c>
      <c r="L3561" s="2" t="s">
        <v>294</v>
      </c>
      <c r="M3561" s="2" t="s">
        <v>81</v>
      </c>
      <c r="O3561" s="2" t="s">
        <v>2783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3239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3145</v>
      </c>
      <c r="L3562" s="2" t="s">
        <v>178</v>
      </c>
      <c r="M3562" s="2" t="s">
        <v>41</v>
      </c>
      <c r="O3562" s="2" t="s">
        <v>2741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3239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hidden="1" x14ac:dyDescent="0.2">
      <c r="A3563" s="2">
        <v>2026</v>
      </c>
      <c r="B3563" s="2">
        <v>3</v>
      </c>
      <c r="D3563" s="2" t="s">
        <v>2735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3239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hidden="1" x14ac:dyDescent="0.2">
      <c r="A3564" s="2">
        <v>2026</v>
      </c>
      <c r="B3564" s="2">
        <v>3</v>
      </c>
      <c r="D3564" s="2" t="s">
        <v>1423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2421</v>
      </c>
      <c r="J3564" s="2" t="s">
        <v>2422</v>
      </c>
      <c r="L3564" s="2" t="s">
        <v>202</v>
      </c>
      <c r="M3564" s="2" t="s">
        <v>81</v>
      </c>
      <c r="O3564" s="2" t="s">
        <v>2728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3239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hidden="1" x14ac:dyDescent="0.2">
      <c r="A3565" s="2">
        <v>2026</v>
      </c>
      <c r="B3565" s="2">
        <v>3</v>
      </c>
      <c r="D3565" s="2" t="s">
        <v>1424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1277</v>
      </c>
      <c r="J3565" s="2" t="s">
        <v>2404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3239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2718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3239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3239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2569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3239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3239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hidden="1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2719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3239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hidden="1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3239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hidden="1" x14ac:dyDescent="0.2">
      <c r="A3572" s="2">
        <v>2026</v>
      </c>
      <c r="B3572" s="2">
        <v>3</v>
      </c>
      <c r="D3572" s="2" t="s">
        <v>1129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1130</v>
      </c>
      <c r="J3572" s="2" t="s">
        <v>1131</v>
      </c>
      <c r="L3572" s="2" t="s">
        <v>462</v>
      </c>
      <c r="M3572" s="2" t="s">
        <v>81</v>
      </c>
      <c r="O3572" s="2" t="s">
        <v>2732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3239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3394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2709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3394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hidden="1" x14ac:dyDescent="0.2">
      <c r="A3575" s="2">
        <v>2026</v>
      </c>
      <c r="B3575" s="2">
        <v>3</v>
      </c>
      <c r="D3575" s="2" t="s">
        <v>2784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3394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3394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hidden="1" x14ac:dyDescent="0.2">
      <c r="A3577" s="2">
        <v>2026</v>
      </c>
      <c r="B3577" s="2">
        <v>3</v>
      </c>
      <c r="D3577" s="2" t="s">
        <v>2059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3394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hidden="1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2785</v>
      </c>
      <c r="P3578" s="2" t="s">
        <v>115</v>
      </c>
      <c r="Q3578" s="2" t="s">
        <v>2786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2787</v>
      </c>
      <c r="P3579" s="2" t="s">
        <v>115</v>
      </c>
      <c r="Q3579" s="2" t="s">
        <v>958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2788</v>
      </c>
      <c r="P3580" s="2" t="s">
        <v>115</v>
      </c>
      <c r="Q3580" s="2" t="s">
        <v>2307</v>
      </c>
      <c r="R3580" s="2" t="s">
        <v>2308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2059</v>
      </c>
      <c r="G3581" s="2">
        <v>514960337</v>
      </c>
      <c r="H3581" s="2" t="s">
        <v>291</v>
      </c>
      <c r="I3581" s="2" t="s">
        <v>2789</v>
      </c>
      <c r="M3581" s="2" t="s">
        <v>40</v>
      </c>
      <c r="O3581" s="2" t="s">
        <v>2790</v>
      </c>
      <c r="P3581" s="2" t="s">
        <v>115</v>
      </c>
      <c r="Q3581" s="2" t="s">
        <v>2012</v>
      </c>
      <c r="R3581" s="2" t="s">
        <v>2013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1013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1014</v>
      </c>
      <c r="J3582" s="2" t="s">
        <v>1015</v>
      </c>
      <c r="L3582" s="2" t="s">
        <v>294</v>
      </c>
      <c r="P3582" s="2" t="s">
        <v>115</v>
      </c>
      <c r="Q3582" s="2" t="s">
        <v>1522</v>
      </c>
      <c r="R3582" s="2" t="s">
        <v>1523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2791</v>
      </c>
      <c r="G3583" s="2">
        <v>219031614</v>
      </c>
      <c r="I3583" s="2" t="s">
        <v>2209</v>
      </c>
      <c r="M3583" s="2" t="s">
        <v>40</v>
      </c>
      <c r="O3583" s="2" t="s">
        <v>2792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2793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2794</v>
      </c>
      <c r="P3585" s="2" t="s">
        <v>115</v>
      </c>
      <c r="Q3585" s="2" t="s">
        <v>2795</v>
      </c>
      <c r="R3585" s="2" t="s">
        <v>2796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2794</v>
      </c>
      <c r="P3586" s="2" t="s">
        <v>115</v>
      </c>
      <c r="Q3586" s="2" t="s">
        <v>2797</v>
      </c>
      <c r="R3586" s="2" t="s">
        <v>2497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2486</v>
      </c>
      <c r="J3588" s="2" t="s">
        <v>3134</v>
      </c>
      <c r="K3588" s="2">
        <v>965864665</v>
      </c>
      <c r="L3588" s="2" t="s">
        <v>345</v>
      </c>
      <c r="M3588" s="2" t="s">
        <v>40</v>
      </c>
      <c r="O3588" s="2" t="s">
        <v>2798</v>
      </c>
      <c r="P3588" s="2" t="s">
        <v>115</v>
      </c>
      <c r="Q3588" s="2" t="s">
        <v>1255</v>
      </c>
      <c r="R3588" s="2" t="s">
        <v>1256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2799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2800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2801</v>
      </c>
      <c r="R3591" s="2" t="s">
        <v>2802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2329</v>
      </c>
      <c r="M3592" s="2" t="s">
        <v>40</v>
      </c>
      <c r="O3592" s="2" t="s">
        <v>2803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2776</v>
      </c>
      <c r="M3593" s="2" t="s">
        <v>40</v>
      </c>
      <c r="O3593" s="2" t="s">
        <v>2804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2805</v>
      </c>
      <c r="M3594" s="2" t="s">
        <v>40</v>
      </c>
      <c r="O3594" s="2" t="s">
        <v>2806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2807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2808</v>
      </c>
      <c r="J3595" s="2" t="s">
        <v>2809</v>
      </c>
      <c r="L3595" s="2" t="s">
        <v>202</v>
      </c>
      <c r="M3595" s="2" t="s">
        <v>40</v>
      </c>
      <c r="O3595" s="2" t="s">
        <v>2810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2811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2614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2615</v>
      </c>
      <c r="K3597" s="2">
        <v>935402550</v>
      </c>
      <c r="L3597" s="2" t="s">
        <v>113</v>
      </c>
      <c r="M3597" s="2" t="s">
        <v>40</v>
      </c>
      <c r="O3597" s="2" t="s">
        <v>2616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2618</v>
      </c>
      <c r="J3598" s="2" t="s">
        <v>2619</v>
      </c>
      <c r="K3598" s="2">
        <v>912183782</v>
      </c>
      <c r="L3598" s="2" t="s">
        <v>202</v>
      </c>
      <c r="M3598" s="2" t="s">
        <v>40</v>
      </c>
      <c r="O3598" s="2" t="s">
        <v>2620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2624</v>
      </c>
      <c r="M3599" s="2" t="s">
        <v>40</v>
      </c>
      <c r="O3599" s="2" t="s">
        <v>2812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2785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1607</v>
      </c>
      <c r="M3601" s="2" t="s">
        <v>40</v>
      </c>
      <c r="O3601" s="2" t="s">
        <v>2813</v>
      </c>
      <c r="P3601" s="2" t="s">
        <v>115</v>
      </c>
      <c r="Q3601" s="2" t="s">
        <v>1204</v>
      </c>
      <c r="R3601" s="2" t="s">
        <v>1205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2805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hidden="1" x14ac:dyDescent="0.2">
      <c r="A3603" s="2">
        <v>2026</v>
      </c>
      <c r="B3603" s="2">
        <v>4</v>
      </c>
      <c r="D3603" s="2" t="s">
        <v>2293</v>
      </c>
      <c r="M3603" s="2" t="s">
        <v>40</v>
      </c>
      <c r="O3603" s="2" t="s">
        <v>2814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1004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1005</v>
      </c>
      <c r="J3604" s="2" t="s">
        <v>1006</v>
      </c>
      <c r="K3604" s="2">
        <v>917233128</v>
      </c>
      <c r="L3604" s="2" t="s">
        <v>100</v>
      </c>
      <c r="M3604" s="2" t="s">
        <v>40</v>
      </c>
      <c r="O3604" s="2" t="s">
        <v>2613</v>
      </c>
      <c r="P3604" s="2" t="s">
        <v>115</v>
      </c>
      <c r="Q3604" s="2" t="s">
        <v>1663</v>
      </c>
      <c r="R3604" s="2" t="s">
        <v>1664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2815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2816</v>
      </c>
      <c r="P3606" s="2" t="s">
        <v>115</v>
      </c>
      <c r="Q3606" s="2" t="s">
        <v>2496</v>
      </c>
      <c r="R3606" s="2" t="s">
        <v>2497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1607</v>
      </c>
      <c r="M3607" s="2" t="s">
        <v>40</v>
      </c>
      <c r="O3607" s="2" t="s">
        <v>2813</v>
      </c>
      <c r="P3607" s="2" t="s">
        <v>115</v>
      </c>
      <c r="Q3607" s="2" t="s">
        <v>2817</v>
      </c>
      <c r="R3607" s="2" t="s">
        <v>2818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2819</v>
      </c>
      <c r="R3608" s="2" t="s">
        <v>2820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2794</v>
      </c>
      <c r="P3609" s="2" t="s">
        <v>115</v>
      </c>
      <c r="Q3609" s="2" t="s">
        <v>2821</v>
      </c>
      <c r="R3609" s="2" t="s">
        <v>2822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1598</v>
      </c>
      <c r="M3610" s="2" t="s">
        <v>40</v>
      </c>
      <c r="O3610" s="2" t="s">
        <v>2823</v>
      </c>
      <c r="P3610" s="2" t="s">
        <v>115</v>
      </c>
      <c r="Q3610" s="2" t="s">
        <v>1599</v>
      </c>
      <c r="R3610" s="2" t="s">
        <v>1600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2824</v>
      </c>
      <c r="P3611" s="2" t="s">
        <v>115</v>
      </c>
      <c r="Q3611" s="2" t="s">
        <v>2825</v>
      </c>
      <c r="R3611" s="2" t="s">
        <v>2826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2827</v>
      </c>
      <c r="P3612" s="2" t="s">
        <v>115</v>
      </c>
      <c r="Q3612" s="2" t="s">
        <v>982</v>
      </c>
      <c r="R3612" s="2" t="s">
        <v>983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hidden="1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1337</v>
      </c>
      <c r="R3613" s="2" t="s">
        <v>1338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hidden="1" x14ac:dyDescent="0.2">
      <c r="A3614" s="2">
        <v>2026</v>
      </c>
      <c r="B3614" s="2">
        <v>4</v>
      </c>
      <c r="D3614" s="2" t="s">
        <v>1443</v>
      </c>
      <c r="P3614" s="2" t="s">
        <v>115</v>
      </c>
      <c r="Q3614" s="2" t="s">
        <v>1912</v>
      </c>
      <c r="R3614" s="2" t="s">
        <v>1913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2512</v>
      </c>
      <c r="R3615" s="2" t="s">
        <v>2513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hidden="1" x14ac:dyDescent="0.2">
      <c r="A3616" s="2">
        <v>2026</v>
      </c>
      <c r="B3616" s="2">
        <v>4</v>
      </c>
      <c r="C3616" s="2" t="s">
        <v>3332</v>
      </c>
      <c r="D3616" s="2" t="s">
        <v>1166</v>
      </c>
      <c r="E3616" s="2" t="s">
        <v>754</v>
      </c>
      <c r="G3616" s="2">
        <v>508199280</v>
      </c>
      <c r="H3616" s="2" t="s">
        <v>40</v>
      </c>
      <c r="I3616" s="2" t="s">
        <v>1167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3272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2656</v>
      </c>
      <c r="L3617" s="2" t="s">
        <v>399</v>
      </c>
      <c r="M3617" s="2" t="s">
        <v>40</v>
      </c>
      <c r="O3617" s="2" t="s">
        <v>3273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3332</v>
      </c>
      <c r="D3618" s="2" t="s">
        <v>1166</v>
      </c>
      <c r="E3618" s="2" t="s">
        <v>754</v>
      </c>
      <c r="G3618" s="2">
        <v>508199280</v>
      </c>
      <c r="H3618" s="2" t="s">
        <v>40</v>
      </c>
      <c r="I3618" s="2" t="s">
        <v>1167</v>
      </c>
      <c r="L3618" s="2" t="s">
        <v>294</v>
      </c>
      <c r="M3618" s="2" t="s">
        <v>40</v>
      </c>
      <c r="P3618" s="2" t="s">
        <v>115</v>
      </c>
      <c r="Q3618" s="2" t="s">
        <v>959</v>
      </c>
      <c r="R3618" s="2" t="s">
        <v>960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617</v>
      </c>
      <c r="AB3618" s="2" t="s">
        <v>961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2828</v>
      </c>
      <c r="P3619" s="2" t="s">
        <v>115</v>
      </c>
      <c r="Q3619" s="2" t="s">
        <v>959</v>
      </c>
      <c r="R3619" s="2" t="s">
        <v>960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617</v>
      </c>
      <c r="AB3619" s="2" t="s">
        <v>961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3332</v>
      </c>
      <c r="D3620" s="2" t="s">
        <v>1166</v>
      </c>
      <c r="E3620" s="2" t="s">
        <v>754</v>
      </c>
      <c r="G3620" s="2">
        <v>508199280</v>
      </c>
      <c r="H3620" s="2" t="s">
        <v>40</v>
      </c>
      <c r="I3620" s="2" t="s">
        <v>1167</v>
      </c>
      <c r="L3620" s="2" t="s">
        <v>294</v>
      </c>
      <c r="M3620" s="2" t="s">
        <v>40</v>
      </c>
      <c r="P3620" s="2" t="s">
        <v>115</v>
      </c>
      <c r="Q3620" s="2" t="s">
        <v>1586</v>
      </c>
      <c r="R3620" s="2" t="s">
        <v>1587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2829</v>
      </c>
      <c r="P3621" s="2" t="s">
        <v>115</v>
      </c>
      <c r="Q3621" s="2" t="s">
        <v>1586</v>
      </c>
      <c r="R3621" s="2" t="s">
        <v>1587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2059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2789</v>
      </c>
      <c r="J3622" s="2" t="s">
        <v>2830</v>
      </c>
      <c r="K3622" s="2">
        <v>914732950</v>
      </c>
      <c r="L3622" s="2" t="s">
        <v>481</v>
      </c>
      <c r="M3622" s="2" t="s">
        <v>40</v>
      </c>
      <c r="O3622" s="2" t="s">
        <v>2831</v>
      </c>
      <c r="P3622" s="2" t="s">
        <v>1612</v>
      </c>
      <c r="Q3622" s="2" t="s">
        <v>1610</v>
      </c>
      <c r="R3622" s="2" t="s">
        <v>1611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1612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1616</v>
      </c>
      <c r="Q3623" s="2" t="s">
        <v>2832</v>
      </c>
      <c r="R3623" s="2" t="s">
        <v>2833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1099</v>
      </c>
      <c r="AC3623" s="2" t="s">
        <v>1616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hidden="1" x14ac:dyDescent="0.2">
      <c r="A3624" s="2">
        <v>2026</v>
      </c>
      <c r="B3624" s="2">
        <v>4</v>
      </c>
      <c r="D3624" s="2" t="s">
        <v>1629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2834</v>
      </c>
      <c r="J3624" s="2" t="s">
        <v>2835</v>
      </c>
      <c r="L3624" s="2" t="s">
        <v>113</v>
      </c>
      <c r="M3624" s="2" t="s">
        <v>110</v>
      </c>
      <c r="O3624" s="2" t="s">
        <v>2836</v>
      </c>
      <c r="P3624" s="2" t="s">
        <v>283</v>
      </c>
      <c r="Q3624" s="2" t="s">
        <v>1209</v>
      </c>
      <c r="R3624" s="2" t="s">
        <v>1210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3239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2837</v>
      </c>
      <c r="R3625" s="2" t="s">
        <v>2838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3239</v>
      </c>
      <c r="AA3625" s="2" t="s">
        <v>579</v>
      </c>
      <c r="AB3625" s="2" t="s">
        <v>120</v>
      </c>
      <c r="AC3625" s="2" t="s">
        <v>1332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hidden="1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2839</v>
      </c>
      <c r="R3626" s="2" t="s">
        <v>2840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3239</v>
      </c>
      <c r="AA3626" s="2" t="s">
        <v>579</v>
      </c>
      <c r="AB3626" s="2" t="s">
        <v>120</v>
      </c>
      <c r="AC3626" s="2" t="s">
        <v>1332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2841</v>
      </c>
      <c r="P3627" s="2" t="s">
        <v>283</v>
      </c>
      <c r="Q3627" s="2" t="s">
        <v>1789</v>
      </c>
      <c r="R3627" s="2" t="s">
        <v>1790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1335</v>
      </c>
      <c r="AC3627" s="2" t="s">
        <v>1332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2842</v>
      </c>
      <c r="P3628" s="2" t="s">
        <v>283</v>
      </c>
      <c r="Q3628" s="2" t="s">
        <v>1789</v>
      </c>
      <c r="R3628" s="2" t="s">
        <v>1790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hidden="1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1789</v>
      </c>
      <c r="R3629" s="2" t="s">
        <v>1790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hidden="1" x14ac:dyDescent="0.2">
      <c r="A3630" s="2">
        <v>2026</v>
      </c>
      <c r="B3630" s="2">
        <v>4</v>
      </c>
      <c r="D3630" s="2" t="s">
        <v>2762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2763</v>
      </c>
      <c r="J3630" s="2" t="s">
        <v>2764</v>
      </c>
      <c r="K3630" s="2">
        <v>962332957</v>
      </c>
      <c r="L3630" s="2" t="s">
        <v>113</v>
      </c>
      <c r="M3630" s="2" t="s">
        <v>110</v>
      </c>
      <c r="O3630" s="2" t="s">
        <v>2843</v>
      </c>
      <c r="P3630" s="2" t="s">
        <v>283</v>
      </c>
      <c r="Q3630" s="2" t="s">
        <v>1789</v>
      </c>
      <c r="R3630" s="2" t="s">
        <v>1790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1335</v>
      </c>
      <c r="AC3630" s="2" t="s">
        <v>1332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2841</v>
      </c>
      <c r="P3631" s="2" t="s">
        <v>283</v>
      </c>
      <c r="Q3631" s="2" t="s">
        <v>1333</v>
      </c>
      <c r="R3631" s="2" t="s">
        <v>1334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1335</v>
      </c>
      <c r="AC3631" s="2" t="s">
        <v>1332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1333</v>
      </c>
      <c r="R3632" s="2" t="s">
        <v>1334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1335</v>
      </c>
      <c r="AC3632" s="2" t="s">
        <v>1332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1581</v>
      </c>
      <c r="P3633" s="2" t="s">
        <v>283</v>
      </c>
      <c r="Q3633" s="2" t="s">
        <v>1289</v>
      </c>
      <c r="R3633" s="2" t="s">
        <v>1290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hidden="1" x14ac:dyDescent="0.2">
      <c r="A3634" s="2">
        <v>2026</v>
      </c>
      <c r="B3634" s="2">
        <v>4</v>
      </c>
      <c r="D3634" s="2" t="s">
        <v>2844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2845</v>
      </c>
      <c r="J3634" s="2" t="s">
        <v>2846</v>
      </c>
      <c r="K3634" s="2">
        <v>918896903</v>
      </c>
      <c r="L3634" s="2" t="s">
        <v>100</v>
      </c>
      <c r="M3634" s="2" t="s">
        <v>41</v>
      </c>
      <c r="O3634" s="2" t="s">
        <v>2847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3239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2844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2845</v>
      </c>
      <c r="J3635" s="2" t="s">
        <v>2846</v>
      </c>
      <c r="K3635" s="2">
        <v>918896903</v>
      </c>
      <c r="L3635" s="2" t="s">
        <v>100</v>
      </c>
      <c r="M3635" s="2" t="s">
        <v>41</v>
      </c>
      <c r="O3635" s="2" t="s">
        <v>2847</v>
      </c>
      <c r="P3635" s="2" t="s">
        <v>283</v>
      </c>
      <c r="Q3635" s="2" t="s">
        <v>1001</v>
      </c>
      <c r="R3635" s="2" t="s">
        <v>1002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3239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2531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3239</v>
      </c>
      <c r="AA3636" s="2" t="s">
        <v>46</v>
      </c>
      <c r="AB3636" s="2" t="s">
        <v>61</v>
      </c>
      <c r="AC3636" s="2" t="s">
        <v>3345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1561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1562</v>
      </c>
      <c r="J3637" s="2" t="s">
        <v>1563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3239</v>
      </c>
      <c r="AA3637" s="2" t="s">
        <v>46</v>
      </c>
      <c r="AB3637" s="2" t="s">
        <v>61</v>
      </c>
      <c r="AC3637" s="2" t="s">
        <v>3345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2531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3239</v>
      </c>
      <c r="AA3638" s="2" t="s">
        <v>46</v>
      </c>
      <c r="AB3638" s="2" t="s">
        <v>61</v>
      </c>
      <c r="AC3638" s="2" t="s">
        <v>3345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2848</v>
      </c>
      <c r="E3639" s="2" t="s">
        <v>38</v>
      </c>
      <c r="G3639" s="2">
        <v>184822033</v>
      </c>
      <c r="I3639" s="2" t="s">
        <v>2849</v>
      </c>
      <c r="L3639" s="2" t="s">
        <v>462</v>
      </c>
      <c r="M3639" s="2" t="s">
        <v>110</v>
      </c>
      <c r="O3639" s="2" t="s">
        <v>2850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3239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2851</v>
      </c>
      <c r="P3640" s="2" t="s">
        <v>43</v>
      </c>
      <c r="Q3640" s="2" t="s">
        <v>1108</v>
      </c>
      <c r="R3640" s="2" t="s">
        <v>1109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3239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2848</v>
      </c>
      <c r="E3641" s="2" t="s">
        <v>38</v>
      </c>
      <c r="G3641" s="2">
        <v>184822033</v>
      </c>
      <c r="I3641" s="2" t="s">
        <v>2852</v>
      </c>
      <c r="L3641" s="2" t="s">
        <v>462</v>
      </c>
      <c r="M3641" s="2" t="s">
        <v>110</v>
      </c>
      <c r="O3641" s="2" t="s">
        <v>2853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3239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2854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3239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2854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3239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hidden="1" x14ac:dyDescent="0.2">
      <c r="A3644" s="2">
        <v>2026</v>
      </c>
      <c r="B3644" s="2">
        <v>4</v>
      </c>
      <c r="D3644" s="2" t="s">
        <v>984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3239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3239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1019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2548</v>
      </c>
      <c r="L3646" s="2" t="s">
        <v>100</v>
      </c>
      <c r="M3646" s="2" t="s">
        <v>81</v>
      </c>
      <c r="O3646" s="2" t="s">
        <v>2855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3239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2856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3239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3239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2857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3239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1368</v>
      </c>
      <c r="R3650" s="2" t="s">
        <v>1369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3239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3239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hidden="1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3239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2858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3239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2859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3239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2858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3239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hidden="1" x14ac:dyDescent="0.2">
      <c r="A3656" s="2">
        <v>2026</v>
      </c>
      <c r="B3656" s="2">
        <v>4</v>
      </c>
      <c r="D3656" s="2" t="s">
        <v>984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3239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2856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3239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2848</v>
      </c>
      <c r="E3658" s="2" t="s">
        <v>38</v>
      </c>
      <c r="G3658" s="2">
        <v>184822033</v>
      </c>
      <c r="I3658" s="2" t="s">
        <v>2852</v>
      </c>
      <c r="L3658" s="2" t="s">
        <v>462</v>
      </c>
      <c r="M3658" s="2" t="s">
        <v>110</v>
      </c>
      <c r="O3658" s="2" t="s">
        <v>2850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3239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2851</v>
      </c>
      <c r="P3659" s="2" t="s">
        <v>43</v>
      </c>
      <c r="Q3659" s="2" t="s">
        <v>2860</v>
      </c>
      <c r="R3659" s="2" t="s">
        <v>2861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3239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hidden="1" x14ac:dyDescent="0.2">
      <c r="A3660" s="2">
        <v>2026</v>
      </c>
      <c r="B3660" s="2">
        <v>4</v>
      </c>
      <c r="D3660" s="2" t="s">
        <v>1897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3239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hidden="1" x14ac:dyDescent="0.2">
      <c r="A3661" s="2">
        <v>2026</v>
      </c>
      <c r="B3661" s="2">
        <v>4</v>
      </c>
      <c r="D3661" s="2" t="s">
        <v>2526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2527</v>
      </c>
      <c r="J3661" s="2" t="s">
        <v>2528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3239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hidden="1" x14ac:dyDescent="0.2">
      <c r="A3662" s="2">
        <v>2026</v>
      </c>
      <c r="B3662" s="2">
        <v>4</v>
      </c>
      <c r="D3662" s="2" t="s">
        <v>2526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2527</v>
      </c>
      <c r="J3662" s="2" t="s">
        <v>2528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3239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hidden="1" x14ac:dyDescent="0.2">
      <c r="A3663" s="2">
        <v>2026</v>
      </c>
      <c r="B3663" s="2">
        <v>3</v>
      </c>
      <c r="D3663" s="2" t="s">
        <v>2862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3239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3239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2863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3239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3239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hidden="1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2863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3239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3239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hidden="1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2863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3239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hidden="1" x14ac:dyDescent="0.2">
      <c r="A3670" s="2">
        <v>2026</v>
      </c>
      <c r="B3670" s="2">
        <v>4</v>
      </c>
      <c r="D3670" s="2" t="s">
        <v>1182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1183</v>
      </c>
      <c r="J3670" s="2" t="s">
        <v>1184</v>
      </c>
      <c r="L3670" s="2" t="s">
        <v>462</v>
      </c>
      <c r="M3670" s="2" t="s">
        <v>41</v>
      </c>
      <c r="O3670" s="2" t="s">
        <v>2864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3239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hidden="1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2863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3239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hidden="1" x14ac:dyDescent="0.2">
      <c r="A3672" s="2">
        <v>2026</v>
      </c>
      <c r="B3672" s="2">
        <v>4</v>
      </c>
      <c r="D3672" s="2" t="s">
        <v>1182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1183</v>
      </c>
      <c r="J3672" s="2" t="s">
        <v>1184</v>
      </c>
      <c r="L3672" s="2" t="s">
        <v>462</v>
      </c>
      <c r="M3672" s="2" t="s">
        <v>41</v>
      </c>
      <c r="O3672" s="2" t="s">
        <v>2864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3239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hidden="1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2863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3239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hidden="1" x14ac:dyDescent="0.2">
      <c r="A3674" s="2">
        <v>2026</v>
      </c>
      <c r="B3674" s="2">
        <v>4</v>
      </c>
      <c r="D3674" s="2" t="s">
        <v>1182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1183</v>
      </c>
      <c r="J3674" s="2" t="s">
        <v>1184</v>
      </c>
      <c r="L3674" s="2" t="s">
        <v>462</v>
      </c>
      <c r="M3674" s="2" t="s">
        <v>41</v>
      </c>
      <c r="O3674" s="2" t="s">
        <v>2864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3239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hidden="1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2863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3239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3239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3239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3239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3239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3239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1317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1318</v>
      </c>
      <c r="L3681" s="2" t="s">
        <v>178</v>
      </c>
      <c r="M3681" s="2" t="s">
        <v>41</v>
      </c>
      <c r="O3681" s="2" t="s">
        <v>2865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3239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2866</v>
      </c>
      <c r="P3682" s="2" t="s">
        <v>43</v>
      </c>
      <c r="Q3682" s="2" t="s">
        <v>2867</v>
      </c>
      <c r="R3682" s="2" t="s">
        <v>2868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3239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hidden="1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2869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3239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984</v>
      </c>
      <c r="M3684" s="2" t="s">
        <v>41</v>
      </c>
      <c r="O3684" s="2" t="s">
        <v>2870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3239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2871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3239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3239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2872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3239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hidden="1" x14ac:dyDescent="0.2">
      <c r="A3688" s="2">
        <v>2026</v>
      </c>
      <c r="B3688" s="2">
        <v>4</v>
      </c>
      <c r="D3688" s="2" t="s">
        <v>1897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3239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3239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3239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3239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1317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1318</v>
      </c>
      <c r="L3692" s="2" t="s">
        <v>178</v>
      </c>
      <c r="M3692" s="2" t="s">
        <v>41</v>
      </c>
      <c r="O3692" s="2" t="s">
        <v>2865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3239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2859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3239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1025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1562</v>
      </c>
      <c r="J3694" s="2" t="s">
        <v>2535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3239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3239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2859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3239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2859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3239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hidden="1" x14ac:dyDescent="0.2">
      <c r="A3698" s="2">
        <v>2026</v>
      </c>
      <c r="B3698" s="2">
        <v>4</v>
      </c>
      <c r="D3698" s="2" t="s">
        <v>1025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1562</v>
      </c>
      <c r="J3698" s="2" t="s">
        <v>2535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3239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3239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2531</v>
      </c>
      <c r="P3700" s="2" t="s">
        <v>43</v>
      </c>
      <c r="Q3700" s="2" t="s">
        <v>2388</v>
      </c>
      <c r="R3700" s="2" t="s">
        <v>2389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3239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2873</v>
      </c>
      <c r="P3701" s="2" t="s">
        <v>43</v>
      </c>
      <c r="Q3701" s="2" t="s">
        <v>2874</v>
      </c>
      <c r="R3701" s="2" t="s">
        <v>2875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3239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2859</v>
      </c>
      <c r="P3702" s="2" t="s">
        <v>43</v>
      </c>
      <c r="Q3702" s="2" t="s">
        <v>2874</v>
      </c>
      <c r="R3702" s="2" t="s">
        <v>2875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3239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2876</v>
      </c>
      <c r="P3703" s="2" t="s">
        <v>43</v>
      </c>
      <c r="Q3703" s="2" t="s">
        <v>973</v>
      </c>
      <c r="R3703" s="2" t="s">
        <v>974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3239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2876</v>
      </c>
      <c r="P3704" s="2" t="s">
        <v>43</v>
      </c>
      <c r="Q3704" s="2" t="s">
        <v>975</v>
      </c>
      <c r="R3704" s="2" t="s">
        <v>976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3239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3239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hidden="1" x14ac:dyDescent="0.2">
      <c r="A3706" s="2">
        <v>2026</v>
      </c>
      <c r="B3706" s="2">
        <v>4</v>
      </c>
      <c r="D3706" s="2" t="s">
        <v>1897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3239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3239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3239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3239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1069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3239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2877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3239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3239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3239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2526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2527</v>
      </c>
      <c r="J3714" s="2" t="s">
        <v>2528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3239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hidden="1" x14ac:dyDescent="0.2">
      <c r="A3715" s="2">
        <v>2026</v>
      </c>
      <c r="B3715" s="2">
        <v>4</v>
      </c>
      <c r="D3715" s="2" t="s">
        <v>1897</v>
      </c>
      <c r="M3715" s="2" t="s">
        <v>81</v>
      </c>
      <c r="O3715" s="2" t="s">
        <v>2878</v>
      </c>
      <c r="P3715" s="2" t="s">
        <v>43</v>
      </c>
      <c r="Q3715" s="2" t="s">
        <v>2879</v>
      </c>
      <c r="R3715" s="2" t="s">
        <v>2880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3239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3332</v>
      </c>
      <c r="D3716" s="2" t="s">
        <v>1166</v>
      </c>
      <c r="E3716" s="2" t="s">
        <v>754</v>
      </c>
      <c r="G3716" s="2">
        <v>508199280</v>
      </c>
      <c r="H3716" s="2" t="s">
        <v>40</v>
      </c>
      <c r="I3716" s="2" t="s">
        <v>1167</v>
      </c>
      <c r="L3716" s="2" t="s">
        <v>294</v>
      </c>
      <c r="M3716" s="2" t="s">
        <v>40</v>
      </c>
      <c r="P3716" s="2" t="s">
        <v>3243</v>
      </c>
      <c r="Q3716" s="2" t="s">
        <v>2881</v>
      </c>
      <c r="R3716" s="2" t="s">
        <v>2882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3243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2883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3239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964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1997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3239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3239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3239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1261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3239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2884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3239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3239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1300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1301</v>
      </c>
      <c r="L3724" s="2" t="s">
        <v>340</v>
      </c>
      <c r="M3724" s="2" t="s">
        <v>81</v>
      </c>
      <c r="O3724" s="2" t="s">
        <v>2885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3239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1965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3239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2886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3239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2887</v>
      </c>
      <c r="M3727" s="2" t="s">
        <v>41</v>
      </c>
      <c r="P3727" s="2" t="s">
        <v>73</v>
      </c>
      <c r="Q3727" s="2" t="s">
        <v>2888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3239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1424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1277</v>
      </c>
      <c r="J3728" s="2" t="s">
        <v>2404</v>
      </c>
      <c r="L3728" s="2" t="s">
        <v>178</v>
      </c>
      <c r="M3728" s="2" t="s">
        <v>41</v>
      </c>
      <c r="O3728" s="2" t="s">
        <v>2889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3239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2890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3239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1026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3239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1300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1301</v>
      </c>
      <c r="L3731" s="2" t="s">
        <v>340</v>
      </c>
      <c r="M3731" s="2" t="s">
        <v>81</v>
      </c>
      <c r="O3731" s="2" t="s">
        <v>2891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3239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2892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3239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2893</v>
      </c>
      <c r="P3733" s="2" t="s">
        <v>73</v>
      </c>
      <c r="Q3733" s="2" t="s">
        <v>1039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3239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1039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3239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2894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3239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2569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3239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2895</v>
      </c>
      <c r="P3737" s="2" t="s">
        <v>1042</v>
      </c>
      <c r="Q3737" s="2" t="s">
        <v>2896</v>
      </c>
      <c r="R3737" s="2" t="s">
        <v>2897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3239</v>
      </c>
      <c r="AA3737" s="2" t="s">
        <v>76</v>
      </c>
      <c r="AB3737" s="2" t="s">
        <v>77</v>
      </c>
      <c r="AC3737" s="2" t="s">
        <v>1042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1300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1301</v>
      </c>
      <c r="L3738" s="2" t="s">
        <v>340</v>
      </c>
      <c r="M3738" s="2" t="s">
        <v>81</v>
      </c>
      <c r="O3738" s="2" t="s">
        <v>2898</v>
      </c>
      <c r="P3738" s="2" t="s">
        <v>1042</v>
      </c>
      <c r="Q3738" s="2" t="s">
        <v>2899</v>
      </c>
      <c r="R3738" s="2" t="s">
        <v>2900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3239</v>
      </c>
      <c r="AA3738" s="2" t="s">
        <v>76</v>
      </c>
      <c r="AB3738" s="2" t="s">
        <v>77</v>
      </c>
      <c r="AC3738" s="2" t="s">
        <v>1042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3168</v>
      </c>
      <c r="L3739" s="2" t="s">
        <v>113</v>
      </c>
      <c r="M3739" s="2" t="s">
        <v>81</v>
      </c>
      <c r="O3739" s="2" t="s">
        <v>3170</v>
      </c>
      <c r="P3739" s="2" t="s">
        <v>1042</v>
      </c>
      <c r="Q3739" s="2" t="s">
        <v>2901</v>
      </c>
      <c r="R3739" s="2" t="s">
        <v>2902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3239</v>
      </c>
      <c r="AA3739" s="2" t="s">
        <v>76</v>
      </c>
      <c r="AB3739" s="2" t="s">
        <v>77</v>
      </c>
      <c r="AC3739" s="2" t="s">
        <v>1042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2536</v>
      </c>
      <c r="G3740" s="2">
        <v>503687014</v>
      </c>
      <c r="L3740" s="2" t="s">
        <v>134</v>
      </c>
      <c r="M3740" s="2" t="s">
        <v>110</v>
      </c>
      <c r="O3740" s="2" t="s">
        <v>3169</v>
      </c>
      <c r="P3740" s="2" t="s">
        <v>1042</v>
      </c>
      <c r="Q3740" s="2" t="s">
        <v>2901</v>
      </c>
      <c r="R3740" s="2" t="s">
        <v>2902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3239</v>
      </c>
      <c r="AA3740" s="2" t="s">
        <v>76</v>
      </c>
      <c r="AB3740" s="2" t="s">
        <v>77</v>
      </c>
      <c r="AC3740" s="2" t="s">
        <v>1042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2569</v>
      </c>
      <c r="M3741" s="2" t="s">
        <v>81</v>
      </c>
      <c r="O3741" s="2" t="s">
        <v>3174</v>
      </c>
      <c r="P3741" s="2" t="s">
        <v>1042</v>
      </c>
      <c r="Q3741" s="2" t="s">
        <v>2903</v>
      </c>
      <c r="R3741" s="2" t="s">
        <v>2904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3239</v>
      </c>
      <c r="AA3741" s="2" t="s">
        <v>76</v>
      </c>
      <c r="AB3741" s="2" t="s">
        <v>77</v>
      </c>
      <c r="AC3741" s="2" t="s">
        <v>1042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2905</v>
      </c>
      <c r="P3742" s="2" t="s">
        <v>1042</v>
      </c>
      <c r="Q3742" s="2" t="s">
        <v>2749</v>
      </c>
      <c r="R3742" s="2" t="s">
        <v>2750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3239</v>
      </c>
      <c r="AA3742" s="2" t="s">
        <v>76</v>
      </c>
      <c r="AB3742" s="2" t="s">
        <v>77</v>
      </c>
      <c r="AC3742" s="2" t="s">
        <v>1042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1561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1562</v>
      </c>
      <c r="J3743" s="2" t="s">
        <v>1563</v>
      </c>
      <c r="L3743" s="2" t="s">
        <v>100</v>
      </c>
      <c r="M3743" s="2" t="s">
        <v>41</v>
      </c>
      <c r="P3743" s="2" t="s">
        <v>1042</v>
      </c>
      <c r="Q3743" s="2" t="s">
        <v>2749</v>
      </c>
      <c r="R3743" s="2" t="s">
        <v>2750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3239</v>
      </c>
      <c r="AA3743" s="2" t="s">
        <v>76</v>
      </c>
      <c r="AB3743" s="2" t="s">
        <v>77</v>
      </c>
      <c r="AC3743" s="2" t="s">
        <v>1042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1981</v>
      </c>
      <c r="R3744" s="2" t="s">
        <v>1982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3239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hidden="1" x14ac:dyDescent="0.2">
      <c r="A3745" s="2">
        <v>2026</v>
      </c>
      <c r="B3745" s="2">
        <v>3</v>
      </c>
      <c r="D3745" s="2" t="s">
        <v>2862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3239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3239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984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3239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1019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2548</v>
      </c>
      <c r="L3748" s="2" t="s">
        <v>100</v>
      </c>
      <c r="M3748" s="2" t="s">
        <v>81</v>
      </c>
      <c r="O3748" s="2" t="s">
        <v>2855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3239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hidden="1" x14ac:dyDescent="0.2">
      <c r="A3749" s="2">
        <v>2026</v>
      </c>
      <c r="B3749" s="2">
        <v>4</v>
      </c>
      <c r="D3749" s="2" t="s">
        <v>2856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3239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3239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hidden="1" x14ac:dyDescent="0.2">
      <c r="A3751" s="2">
        <v>2026</v>
      </c>
      <c r="B3751" s="2">
        <v>4</v>
      </c>
      <c r="D3751" s="2" t="s">
        <v>1019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2548</v>
      </c>
      <c r="L3751" s="2" t="s">
        <v>100</v>
      </c>
      <c r="M3751" s="2" t="s">
        <v>81</v>
      </c>
      <c r="O3751" s="2" t="s">
        <v>2855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3239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2856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3239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2906</v>
      </c>
      <c r="P3753" s="2" t="s">
        <v>2907</v>
      </c>
      <c r="Q3753" s="2" t="s">
        <v>2908</v>
      </c>
      <c r="R3753" s="2" t="s">
        <v>2909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3239</v>
      </c>
      <c r="AA3753" s="2" t="s">
        <v>72</v>
      </c>
      <c r="AB3753" s="2" t="s">
        <v>2907</v>
      </c>
      <c r="AC3753" s="2" t="s">
        <v>2907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hidden="1" x14ac:dyDescent="0.2">
      <c r="A3754" s="2">
        <v>2026</v>
      </c>
      <c r="B3754" s="2">
        <v>4</v>
      </c>
      <c r="D3754" s="2" t="s">
        <v>2910</v>
      </c>
      <c r="P3754" s="2" t="s">
        <v>40</v>
      </c>
      <c r="Q3754" s="2" t="s">
        <v>2911</v>
      </c>
      <c r="R3754" s="2" t="s">
        <v>2912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2913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hidden="1" x14ac:dyDescent="0.2">
      <c r="A3756" s="2">
        <v>2026</v>
      </c>
      <c r="B3756" s="2">
        <v>4</v>
      </c>
      <c r="D3756" s="2" t="s">
        <v>2805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hidden="1" x14ac:dyDescent="0.2">
      <c r="A3757" s="2">
        <v>2026</v>
      </c>
      <c r="B3757" s="2">
        <v>3</v>
      </c>
      <c r="D3757" s="2" t="s">
        <v>1075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hidden="1" x14ac:dyDescent="0.2">
      <c r="A3758" s="2">
        <v>2026</v>
      </c>
      <c r="B3758" s="2">
        <v>3</v>
      </c>
      <c r="D3758" s="2" t="s">
        <v>2862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3239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1075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hidden="1" x14ac:dyDescent="0.2">
      <c r="A3760" s="2">
        <v>2026</v>
      </c>
      <c r="B3760" s="2">
        <v>4</v>
      </c>
      <c r="D3760" s="2" t="s">
        <v>1607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hidden="1" x14ac:dyDescent="0.2">
      <c r="A3761" s="2">
        <v>2026</v>
      </c>
      <c r="B3761" s="2">
        <v>4</v>
      </c>
      <c r="D3761" s="2" t="s">
        <v>1607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hidden="1" x14ac:dyDescent="0.2">
      <c r="A3762" s="2">
        <v>2026</v>
      </c>
      <c r="B3762" s="2">
        <v>3</v>
      </c>
      <c r="D3762" s="2" t="s">
        <v>2059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2059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hidden="1" x14ac:dyDescent="0.2">
      <c r="A3764" s="2">
        <v>2026</v>
      </c>
      <c r="B3764" s="2">
        <v>4</v>
      </c>
      <c r="D3764" s="2" t="s">
        <v>2059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hidden="1" x14ac:dyDescent="0.2">
      <c r="A3765" s="2">
        <v>2026</v>
      </c>
      <c r="B3765" s="2">
        <v>4</v>
      </c>
      <c r="D3765" s="2" t="s">
        <v>2059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2914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hidden="1" x14ac:dyDescent="0.2">
      <c r="A3767" s="2">
        <v>2026</v>
      </c>
      <c r="B3767" s="2">
        <v>4</v>
      </c>
      <c r="D3767" s="2" t="s">
        <v>2915</v>
      </c>
      <c r="E3767" s="2" t="s">
        <v>38</v>
      </c>
      <c r="G3767" s="2">
        <v>506272524</v>
      </c>
      <c r="H3767" s="2" t="s">
        <v>40</v>
      </c>
      <c r="I3767" s="2" t="s">
        <v>2916</v>
      </c>
      <c r="J3767" s="2" t="s">
        <v>2917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2915</v>
      </c>
      <c r="E3768" s="2" t="s">
        <v>38</v>
      </c>
      <c r="G3768" s="2">
        <v>506272524</v>
      </c>
      <c r="H3768" s="2" t="s">
        <v>40</v>
      </c>
      <c r="I3768" s="2" t="s">
        <v>2916</v>
      </c>
      <c r="J3768" s="2" t="s">
        <v>2917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hidden="1" x14ac:dyDescent="0.2">
      <c r="A3769" s="2">
        <v>2026</v>
      </c>
      <c r="B3769" s="2">
        <v>2</v>
      </c>
      <c r="D3769" s="2" t="s">
        <v>1092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1093</v>
      </c>
      <c r="J3769" s="2" t="s">
        <v>1094</v>
      </c>
      <c r="K3769" s="2">
        <v>917523997</v>
      </c>
      <c r="L3769" s="2" t="s">
        <v>113</v>
      </c>
      <c r="M3769" s="2" t="s">
        <v>40</v>
      </c>
      <c r="O3769" s="2" t="s">
        <v>2625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hidden="1" x14ac:dyDescent="0.2">
      <c r="A3770" s="2">
        <v>2026</v>
      </c>
      <c r="B3770" s="2">
        <v>2</v>
      </c>
      <c r="D3770" s="2" t="s">
        <v>1092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1093</v>
      </c>
      <c r="J3770" s="2" t="s">
        <v>1094</v>
      </c>
      <c r="K3770" s="2">
        <v>917523997</v>
      </c>
      <c r="L3770" s="2" t="s">
        <v>113</v>
      </c>
      <c r="M3770" s="2" t="s">
        <v>40</v>
      </c>
      <c r="O3770" s="2" t="s">
        <v>2625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hidden="1" x14ac:dyDescent="0.2">
      <c r="A3771" s="2">
        <v>2026</v>
      </c>
      <c r="B3771" s="2">
        <v>1</v>
      </c>
      <c r="D3771" s="2" t="s">
        <v>1630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1631</v>
      </c>
      <c r="J3771" s="2" t="s">
        <v>1632</v>
      </c>
      <c r="L3771" s="2" t="s">
        <v>294</v>
      </c>
      <c r="M3771" s="2" t="s">
        <v>40</v>
      </c>
      <c r="O3771" s="2" t="s">
        <v>2347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hidden="1" x14ac:dyDescent="0.2">
      <c r="A3772" s="2">
        <v>2026</v>
      </c>
      <c r="B3772" s="2">
        <v>1</v>
      </c>
      <c r="D3772" s="2" t="s">
        <v>1630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1631</v>
      </c>
      <c r="J3772" s="2" t="s">
        <v>1632</v>
      </c>
      <c r="L3772" s="2" t="s">
        <v>294</v>
      </c>
      <c r="M3772" s="2" t="s">
        <v>40</v>
      </c>
      <c r="O3772" s="2" t="s">
        <v>2347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hidden="1" x14ac:dyDescent="0.2">
      <c r="A3773" s="2">
        <v>2026</v>
      </c>
      <c r="B3773" s="2">
        <v>4</v>
      </c>
      <c r="D3773" s="2" t="s">
        <v>2918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hidden="1" x14ac:dyDescent="0.2">
      <c r="A3774" s="2">
        <v>2026</v>
      </c>
      <c r="B3774" s="2">
        <v>4</v>
      </c>
      <c r="D3774" s="2" t="s">
        <v>2918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hidden="1" x14ac:dyDescent="0.2">
      <c r="A3775" s="2">
        <v>2026</v>
      </c>
      <c r="B3775" s="2">
        <v>1</v>
      </c>
      <c r="D3775" s="2" t="s">
        <v>1096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2682</v>
      </c>
      <c r="J3775" s="2" t="s">
        <v>2683</v>
      </c>
      <c r="K3775" s="2">
        <v>962939747</v>
      </c>
      <c r="L3775" s="2" t="s">
        <v>100</v>
      </c>
      <c r="M3775" s="2" t="s">
        <v>40</v>
      </c>
      <c r="O3775" s="2" t="s">
        <v>2919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hidden="1" x14ac:dyDescent="0.2">
      <c r="A3776" s="2">
        <v>2026</v>
      </c>
      <c r="B3776" s="2">
        <v>1</v>
      </c>
      <c r="D3776" s="2" t="s">
        <v>1096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2682</v>
      </c>
      <c r="J3776" s="2" t="s">
        <v>2683</v>
      </c>
      <c r="K3776" s="2">
        <v>962939747</v>
      </c>
      <c r="L3776" s="2" t="s">
        <v>100</v>
      </c>
      <c r="M3776" s="2" t="s">
        <v>40</v>
      </c>
      <c r="O3776" s="2" t="s">
        <v>2919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hidden="1" x14ac:dyDescent="0.2">
      <c r="A3777" s="2">
        <v>2026</v>
      </c>
      <c r="B3777" s="2">
        <v>1</v>
      </c>
      <c r="D3777" s="2" t="s">
        <v>2344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hidden="1" x14ac:dyDescent="0.2">
      <c r="A3778" s="2">
        <v>2026</v>
      </c>
      <c r="B3778" s="2">
        <v>1</v>
      </c>
      <c r="D3778" s="2" t="s">
        <v>2344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2337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hidden="1" x14ac:dyDescent="0.2">
      <c r="A3782" s="2">
        <v>2026</v>
      </c>
      <c r="B3782" s="2">
        <v>1</v>
      </c>
      <c r="D3782" s="2" t="s">
        <v>2337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hidden="1" x14ac:dyDescent="0.2">
      <c r="A3783" s="2">
        <v>2026</v>
      </c>
      <c r="B3783" s="2">
        <v>2</v>
      </c>
      <c r="D3783" s="2" t="s">
        <v>2337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hidden="1" x14ac:dyDescent="0.2">
      <c r="A3784" s="2">
        <v>2026</v>
      </c>
      <c r="B3784" s="2">
        <v>3</v>
      </c>
      <c r="D3784" s="2" t="s">
        <v>2862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hidden="1" x14ac:dyDescent="0.2">
      <c r="A3785" s="2">
        <v>2026</v>
      </c>
      <c r="B3785" s="2">
        <v>2</v>
      </c>
      <c r="D3785" s="2" t="s">
        <v>2337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hidden="1" x14ac:dyDescent="0.2">
      <c r="A3786" s="2">
        <v>2026</v>
      </c>
      <c r="B3786" s="2">
        <v>2</v>
      </c>
      <c r="D3786" s="2" t="s">
        <v>2492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hidden="1" x14ac:dyDescent="0.2">
      <c r="A3787" s="2">
        <v>2026</v>
      </c>
      <c r="B3787" s="2">
        <v>2</v>
      </c>
      <c r="D3787" s="2" t="s">
        <v>2492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hidden="1" x14ac:dyDescent="0.2">
      <c r="A3788" s="2">
        <v>2026</v>
      </c>
      <c r="B3788" s="2">
        <v>4</v>
      </c>
      <c r="D3788" s="2" t="s">
        <v>2791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hidden="1" x14ac:dyDescent="0.2">
      <c r="A3789" s="2">
        <v>2026</v>
      </c>
      <c r="B3789" s="2">
        <v>4</v>
      </c>
      <c r="D3789" s="2" t="s">
        <v>2791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hidden="1" x14ac:dyDescent="0.2">
      <c r="A3790" s="2">
        <v>2026</v>
      </c>
      <c r="B3790" s="2">
        <v>4</v>
      </c>
      <c r="D3790" s="2" t="s">
        <v>2293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hidden="1" x14ac:dyDescent="0.2">
      <c r="A3791" s="2">
        <v>2026</v>
      </c>
      <c r="B3791" s="2">
        <v>4</v>
      </c>
      <c r="D3791" s="2" t="s">
        <v>2293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hidden="1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hidden="1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1668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hidden="1" x14ac:dyDescent="0.2">
      <c r="A3795" s="2">
        <v>2026</v>
      </c>
      <c r="B3795" s="2">
        <v>1</v>
      </c>
      <c r="D3795" s="2" t="s">
        <v>1668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hidden="1" x14ac:dyDescent="0.2">
      <c r="A3796" s="2">
        <v>2026</v>
      </c>
      <c r="B3796" s="2">
        <v>3</v>
      </c>
      <c r="D3796" s="2" t="s">
        <v>1668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hidden="1" x14ac:dyDescent="0.2">
      <c r="A3797" s="2">
        <v>2026</v>
      </c>
      <c r="B3797" s="2">
        <v>3</v>
      </c>
      <c r="D3797" s="2" t="s">
        <v>1668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hidden="1" x14ac:dyDescent="0.2">
      <c r="A3798" s="2">
        <v>2026</v>
      </c>
      <c r="B3798" s="2">
        <v>3</v>
      </c>
      <c r="D3798" s="2" t="s">
        <v>2634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2634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hidden="1" x14ac:dyDescent="0.2">
      <c r="A3800" s="2">
        <v>2026</v>
      </c>
      <c r="B3800" s="2">
        <v>2</v>
      </c>
      <c r="D3800" s="2" t="s">
        <v>2501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hidden="1" x14ac:dyDescent="0.2">
      <c r="A3801" s="2">
        <v>2026</v>
      </c>
      <c r="B3801" s="2">
        <v>2</v>
      </c>
      <c r="D3801" s="2" t="s">
        <v>2501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hidden="1" x14ac:dyDescent="0.2">
      <c r="A3802" s="2">
        <v>2026</v>
      </c>
      <c r="B3802" s="2">
        <v>1</v>
      </c>
      <c r="D3802" s="2" t="s">
        <v>1444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hidden="1" x14ac:dyDescent="0.2">
      <c r="A3803" s="2">
        <v>2026</v>
      </c>
      <c r="B3803" s="2">
        <v>1</v>
      </c>
      <c r="D3803" s="2" t="s">
        <v>1444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hidden="1" x14ac:dyDescent="0.2">
      <c r="A3804" s="2">
        <v>2026</v>
      </c>
      <c r="B3804" s="2">
        <v>3</v>
      </c>
      <c r="D3804" s="2" t="s">
        <v>1444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hidden="1" x14ac:dyDescent="0.2">
      <c r="A3805" s="2">
        <v>2026</v>
      </c>
      <c r="B3805" s="2">
        <v>3</v>
      </c>
      <c r="D3805" s="2" t="s">
        <v>1444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hidden="1" x14ac:dyDescent="0.2">
      <c r="A3806" s="2">
        <v>2026</v>
      </c>
      <c r="B3806" s="2">
        <v>4</v>
      </c>
      <c r="D3806" s="2" t="s">
        <v>2807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2808</v>
      </c>
      <c r="J3806" s="2" t="s">
        <v>2809</v>
      </c>
      <c r="L3806" s="2" t="s">
        <v>202</v>
      </c>
      <c r="M3806" s="2" t="s">
        <v>40</v>
      </c>
      <c r="O3806" s="2" t="s">
        <v>2810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2807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2808</v>
      </c>
      <c r="J3807" s="2" t="s">
        <v>2809</v>
      </c>
      <c r="L3807" s="2" t="s">
        <v>202</v>
      </c>
      <c r="M3807" s="2" t="s">
        <v>40</v>
      </c>
      <c r="O3807" s="2" t="s">
        <v>2810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hidden="1" x14ac:dyDescent="0.2">
      <c r="A3808" s="2">
        <v>2026</v>
      </c>
      <c r="B3808" s="2">
        <v>4</v>
      </c>
      <c r="D3808" s="2" t="s">
        <v>1128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2304</v>
      </c>
      <c r="J3808" s="2" t="s">
        <v>2305</v>
      </c>
      <c r="K3808" s="2">
        <v>965790183</v>
      </c>
      <c r="L3808" s="2" t="s">
        <v>178</v>
      </c>
      <c r="M3808" s="2" t="s">
        <v>40</v>
      </c>
      <c r="O3808" s="2" t="s">
        <v>2920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1128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2304</v>
      </c>
      <c r="J3809" s="2" t="s">
        <v>2305</v>
      </c>
      <c r="K3809" s="2">
        <v>965790183</v>
      </c>
      <c r="L3809" s="2" t="s">
        <v>178</v>
      </c>
      <c r="M3809" s="2" t="s">
        <v>40</v>
      </c>
      <c r="O3809" s="2" t="s">
        <v>2920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hidden="1" x14ac:dyDescent="0.2">
      <c r="A3812" s="2">
        <v>2026</v>
      </c>
      <c r="B3812" s="2">
        <v>4</v>
      </c>
      <c r="D3812" s="2" t="s">
        <v>2059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hidden="1" x14ac:dyDescent="0.2">
      <c r="A3813" s="2">
        <v>2026</v>
      </c>
      <c r="B3813" s="2">
        <v>4</v>
      </c>
      <c r="D3813" s="2" t="s">
        <v>2536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2877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hidden="1" x14ac:dyDescent="0.2">
      <c r="A3815" s="2">
        <v>2026</v>
      </c>
      <c r="B3815" s="2">
        <v>4</v>
      </c>
      <c r="D3815" s="2" t="s">
        <v>2569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hidden="1" x14ac:dyDescent="0.2">
      <c r="A3816" s="2">
        <v>2026</v>
      </c>
      <c r="B3816" s="2">
        <v>4</v>
      </c>
      <c r="D3816" s="2" t="s">
        <v>1300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1301</v>
      </c>
      <c r="L3816" s="2" t="s">
        <v>340</v>
      </c>
      <c r="M3816" s="2" t="s">
        <v>81</v>
      </c>
      <c r="O3816" s="2" t="s">
        <v>2898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2892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3239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2893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3239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3239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hidden="1" x14ac:dyDescent="0.2">
      <c r="A3821" s="2">
        <v>2026</v>
      </c>
      <c r="B3821" s="2">
        <v>4</v>
      </c>
      <c r="D3821" s="2" t="s">
        <v>964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3239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2895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3239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hidden="1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3239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hidden="1" x14ac:dyDescent="0.2">
      <c r="A3824" s="2">
        <v>2026</v>
      </c>
      <c r="B3824" s="2">
        <v>4</v>
      </c>
      <c r="D3824" s="2" t="s">
        <v>2887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3239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hidden="1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2905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3239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2883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3239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1561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1562</v>
      </c>
      <c r="J3827" s="2" t="s">
        <v>1563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3239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hidden="1" x14ac:dyDescent="0.2">
      <c r="A3828" s="2">
        <v>2026</v>
      </c>
      <c r="B3828" s="2">
        <v>4</v>
      </c>
      <c r="D3828" s="2" t="s">
        <v>2890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3239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3239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3239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hidden="1" x14ac:dyDescent="0.2">
      <c r="A3831" s="2">
        <v>2026</v>
      </c>
      <c r="B3831" s="2">
        <v>4</v>
      </c>
      <c r="D3831" s="2" t="s">
        <v>1261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3239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2894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3239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hidden="1" x14ac:dyDescent="0.2">
      <c r="A3833" s="2">
        <v>2026</v>
      </c>
      <c r="B3833" s="2">
        <v>4</v>
      </c>
      <c r="D3833" s="2" t="s">
        <v>2536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3239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hidden="1" x14ac:dyDescent="0.2">
      <c r="A3834" s="2">
        <v>2026</v>
      </c>
      <c r="B3834" s="2">
        <v>4</v>
      </c>
      <c r="D3834" s="2" t="s">
        <v>1424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1277</v>
      </c>
      <c r="J3834" s="2" t="s">
        <v>2404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3239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2886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3239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hidden="1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3239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hidden="1" x14ac:dyDescent="0.2">
      <c r="A3837" s="2">
        <v>2026</v>
      </c>
      <c r="B3837" s="2">
        <v>4</v>
      </c>
      <c r="D3837" s="2" t="s">
        <v>2569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3239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hidden="1" x14ac:dyDescent="0.2">
      <c r="A3838" s="2">
        <v>2026</v>
      </c>
      <c r="B3838" s="2">
        <v>4</v>
      </c>
      <c r="D3838" s="2" t="s">
        <v>1300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1301</v>
      </c>
      <c r="L3838" s="2" t="s">
        <v>340</v>
      </c>
      <c r="M3838" s="2" t="s">
        <v>81</v>
      </c>
      <c r="O3838" s="2" t="s">
        <v>2921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3239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hidden="1" x14ac:dyDescent="0.2">
      <c r="A3839" s="2">
        <v>2026</v>
      </c>
      <c r="B3839" s="2">
        <v>4</v>
      </c>
      <c r="D3839" s="2" t="s">
        <v>1965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3239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2913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hidden="1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3394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2922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3239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hidden="1" x14ac:dyDescent="0.2">
      <c r="A3843" s="2">
        <v>2026</v>
      </c>
      <c r="B3843" s="2">
        <v>4</v>
      </c>
      <c r="D3843" s="2" t="s">
        <v>2918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3394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hidden="1" x14ac:dyDescent="0.2">
      <c r="A3844" s="2">
        <v>2026</v>
      </c>
      <c r="B3844" s="2">
        <v>5</v>
      </c>
      <c r="C3844" s="2" t="s">
        <v>3384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1950</v>
      </c>
      <c r="R3844" s="2" t="s">
        <v>1951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3239</v>
      </c>
      <c r="AA3844" s="2" t="s">
        <v>156</v>
      </c>
      <c r="AB3844" s="2" t="s">
        <v>1951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8.4</v>
      </c>
      <c r="AL3844" s="5">
        <f t="shared" si="476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3239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3239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3239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3239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3239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3239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2923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3239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2924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3239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2925</v>
      </c>
      <c r="P3853" s="2" t="s">
        <v>73</v>
      </c>
      <c r="Q3853" s="2" t="s">
        <v>1454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3239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1383</v>
      </c>
      <c r="Q3854" s="2" t="s">
        <v>2926</v>
      </c>
      <c r="R3854" s="2" t="s">
        <v>2927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3239</v>
      </c>
      <c r="AA3854" s="2" t="s">
        <v>1045</v>
      </c>
      <c r="AB3854" s="2" t="s">
        <v>1275</v>
      </c>
      <c r="AC3854" s="2" t="s">
        <v>1383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2928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3239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2929</v>
      </c>
      <c r="R3856" s="2" t="s">
        <v>2930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2931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hidden="1" x14ac:dyDescent="0.2">
      <c r="A3857" s="2">
        <v>2026</v>
      </c>
      <c r="B3857" s="2">
        <v>5</v>
      </c>
      <c r="D3857" s="2" t="s">
        <v>1329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3239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3384</v>
      </c>
      <c r="D3858" s="2" t="s">
        <v>1329</v>
      </c>
      <c r="E3858" s="2" t="s">
        <v>38</v>
      </c>
      <c r="F3858" s="2" t="s">
        <v>39</v>
      </c>
      <c r="H3858" s="2" t="s">
        <v>41</v>
      </c>
      <c r="I3858" s="2" t="s">
        <v>3383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3239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1149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1150</v>
      </c>
      <c r="J3859" s="2" t="s">
        <v>1151</v>
      </c>
      <c r="L3859" s="2" t="s">
        <v>134</v>
      </c>
      <c r="M3859" s="2" t="s">
        <v>41</v>
      </c>
      <c r="O3859" s="2" t="s">
        <v>2932</v>
      </c>
      <c r="P3859" s="2" t="s">
        <v>283</v>
      </c>
      <c r="Q3859" s="2" t="s">
        <v>2134</v>
      </c>
      <c r="R3859" s="2" t="s">
        <v>2135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3239</v>
      </c>
      <c r="AA3859" s="2" t="s">
        <v>72</v>
      </c>
      <c r="AB3859" s="2" t="s">
        <v>1608</v>
      </c>
      <c r="AC3859" s="2" t="s">
        <v>1608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1149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1150</v>
      </c>
      <c r="J3860" s="2" t="s">
        <v>1151</v>
      </c>
      <c r="L3860" s="2" t="s">
        <v>134</v>
      </c>
      <c r="M3860" s="2" t="s">
        <v>41</v>
      </c>
      <c r="O3860" s="2" t="s">
        <v>2932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3239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1149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1150</v>
      </c>
      <c r="J3861" s="2" t="s">
        <v>1151</v>
      </c>
      <c r="L3861" s="2" t="s">
        <v>134</v>
      </c>
      <c r="M3861" s="2" t="s">
        <v>41</v>
      </c>
      <c r="O3861" s="2" t="s">
        <v>2932</v>
      </c>
      <c r="P3861" s="2" t="s">
        <v>43</v>
      </c>
      <c r="Q3861" s="2" t="s">
        <v>2933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3239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1149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1150</v>
      </c>
      <c r="J3862" s="2" t="s">
        <v>1151</v>
      </c>
      <c r="L3862" s="2" t="s">
        <v>134</v>
      </c>
      <c r="M3862" s="2" t="s">
        <v>41</v>
      </c>
      <c r="O3862" s="2" t="s">
        <v>2932</v>
      </c>
      <c r="P3862" s="2" t="s">
        <v>43</v>
      </c>
      <c r="Q3862" s="2" t="s">
        <v>2934</v>
      </c>
      <c r="R3862" s="2" t="s">
        <v>2935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3239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1149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1150</v>
      </c>
      <c r="J3863" s="2" t="s">
        <v>1151</v>
      </c>
      <c r="L3863" s="2" t="s">
        <v>134</v>
      </c>
      <c r="M3863" s="2" t="s">
        <v>41</v>
      </c>
      <c r="O3863" s="2" t="s">
        <v>2932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3239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1149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1150</v>
      </c>
      <c r="J3864" s="2" t="s">
        <v>1151</v>
      </c>
      <c r="L3864" s="2" t="s">
        <v>134</v>
      </c>
      <c r="M3864" s="2" t="s">
        <v>41</v>
      </c>
      <c r="O3864" s="2" t="s">
        <v>2932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3239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1149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1150</v>
      </c>
      <c r="J3865" s="2" t="s">
        <v>1151</v>
      </c>
      <c r="L3865" s="2" t="s">
        <v>134</v>
      </c>
      <c r="M3865" s="2" t="s">
        <v>41</v>
      </c>
      <c r="O3865" s="2" t="s">
        <v>2932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3239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hidden="1" x14ac:dyDescent="0.2">
      <c r="A3866" s="2">
        <v>2026</v>
      </c>
      <c r="B3866" s="2">
        <v>5</v>
      </c>
      <c r="D3866" s="2" t="s">
        <v>1149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1150</v>
      </c>
      <c r="J3866" s="2" t="s">
        <v>1151</v>
      </c>
      <c r="L3866" s="2" t="s">
        <v>134</v>
      </c>
      <c r="M3866" s="2" t="s">
        <v>41</v>
      </c>
      <c r="O3866" s="2" t="s">
        <v>2932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3239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hidden="1" x14ac:dyDescent="0.2">
      <c r="A3867" s="2">
        <v>2026</v>
      </c>
      <c r="B3867" s="2">
        <v>5</v>
      </c>
      <c r="D3867" s="2" t="s">
        <v>1149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1150</v>
      </c>
      <c r="J3867" s="2" t="s">
        <v>1151</v>
      </c>
      <c r="L3867" s="2" t="s">
        <v>134</v>
      </c>
      <c r="M3867" s="2" t="s">
        <v>41</v>
      </c>
      <c r="O3867" s="2" t="s">
        <v>2932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3239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hidden="1" x14ac:dyDescent="0.2">
      <c r="A3868" s="2">
        <v>2026</v>
      </c>
      <c r="B3868" s="2">
        <v>5</v>
      </c>
      <c r="D3868" s="2" t="s">
        <v>1149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1150</v>
      </c>
      <c r="J3868" s="2" t="s">
        <v>1151</v>
      </c>
      <c r="L3868" s="2" t="s">
        <v>134</v>
      </c>
      <c r="M3868" s="2" t="s">
        <v>41</v>
      </c>
      <c r="O3868" s="2" t="s">
        <v>2932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3239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hidden="1" x14ac:dyDescent="0.2">
      <c r="A3869" s="2">
        <v>2026</v>
      </c>
      <c r="B3869" s="2">
        <v>5</v>
      </c>
      <c r="D3869" s="2" t="s">
        <v>1149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1150</v>
      </c>
      <c r="J3869" s="2" t="s">
        <v>1151</v>
      </c>
      <c r="L3869" s="2" t="s">
        <v>134</v>
      </c>
      <c r="M3869" s="2" t="s">
        <v>41</v>
      </c>
      <c r="O3869" s="2" t="s">
        <v>2932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3239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hidden="1" x14ac:dyDescent="0.2">
      <c r="A3870" s="2">
        <v>2026</v>
      </c>
      <c r="B3870" s="2">
        <v>5</v>
      </c>
      <c r="D3870" s="2" t="s">
        <v>1149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1150</v>
      </c>
      <c r="J3870" s="2" t="s">
        <v>1151</v>
      </c>
      <c r="L3870" s="2" t="s">
        <v>134</v>
      </c>
      <c r="M3870" s="2" t="s">
        <v>41</v>
      </c>
      <c r="O3870" s="2" t="s">
        <v>2932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3239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hidden="1" x14ac:dyDescent="0.2">
      <c r="A3871" s="2">
        <v>2026</v>
      </c>
      <c r="B3871" s="2">
        <v>5</v>
      </c>
      <c r="D3871" s="2" t="s">
        <v>1149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1150</v>
      </c>
      <c r="J3871" s="2" t="s">
        <v>1151</v>
      </c>
      <c r="L3871" s="2" t="s">
        <v>134</v>
      </c>
      <c r="M3871" s="2" t="s">
        <v>41</v>
      </c>
      <c r="O3871" s="2" t="s">
        <v>2932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3239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hidden="1" x14ac:dyDescent="0.2">
      <c r="A3872" s="2">
        <v>2026</v>
      </c>
      <c r="B3872" s="2">
        <v>5</v>
      </c>
      <c r="D3872" s="2" t="s">
        <v>1149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1150</v>
      </c>
      <c r="J3872" s="2" t="s">
        <v>1151</v>
      </c>
      <c r="L3872" s="2" t="s">
        <v>134</v>
      </c>
      <c r="M3872" s="2" t="s">
        <v>41</v>
      </c>
      <c r="O3872" s="2" t="s">
        <v>2932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3239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hidden="1" x14ac:dyDescent="0.2">
      <c r="A3873" s="2">
        <v>2026</v>
      </c>
      <c r="B3873" s="2">
        <v>5</v>
      </c>
      <c r="D3873" s="2" t="s">
        <v>1149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1150</v>
      </c>
      <c r="J3873" s="2" t="s">
        <v>1151</v>
      </c>
      <c r="L3873" s="2" t="s">
        <v>134</v>
      </c>
      <c r="M3873" s="2" t="s">
        <v>41</v>
      </c>
      <c r="O3873" s="2" t="s">
        <v>2932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3239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3386</v>
      </c>
      <c r="D3874" s="2" t="s">
        <v>1149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1150</v>
      </c>
      <c r="J3874" s="2" t="s">
        <v>1151</v>
      </c>
      <c r="L3874" s="2" t="s">
        <v>134</v>
      </c>
      <c r="M3874" s="2" t="s">
        <v>41</v>
      </c>
      <c r="O3874" s="2" t="s">
        <v>2932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3239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1149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1150</v>
      </c>
      <c r="J3875" s="2" t="s">
        <v>1151</v>
      </c>
      <c r="L3875" s="2" t="s">
        <v>134</v>
      </c>
      <c r="M3875" s="2" t="s">
        <v>41</v>
      </c>
      <c r="O3875" s="2" t="s">
        <v>2932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3239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1149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1150</v>
      </c>
      <c r="J3876" s="2" t="s">
        <v>1151</v>
      </c>
      <c r="L3876" s="2" t="s">
        <v>134</v>
      </c>
      <c r="M3876" s="2" t="s">
        <v>41</v>
      </c>
      <c r="O3876" s="2" t="s">
        <v>2932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3239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1149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1150</v>
      </c>
      <c r="J3877" s="2" t="s">
        <v>1151</v>
      </c>
      <c r="L3877" s="2" t="s">
        <v>134</v>
      </c>
      <c r="M3877" s="2" t="s">
        <v>41</v>
      </c>
      <c r="O3877" s="2" t="s">
        <v>2932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3239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1149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1150</v>
      </c>
      <c r="J3878" s="2" t="s">
        <v>1151</v>
      </c>
      <c r="L3878" s="2" t="s">
        <v>134</v>
      </c>
      <c r="M3878" s="2" t="s">
        <v>41</v>
      </c>
      <c r="O3878" s="2" t="s">
        <v>2932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3239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1149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1150</v>
      </c>
      <c r="J3879" s="2" t="s">
        <v>1151</v>
      </c>
      <c r="L3879" s="2" t="s">
        <v>134</v>
      </c>
      <c r="M3879" s="2" t="s">
        <v>41</v>
      </c>
      <c r="O3879" s="2" t="s">
        <v>2932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3239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1149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1150</v>
      </c>
      <c r="J3880" s="2" t="s">
        <v>1151</v>
      </c>
      <c r="L3880" s="2" t="s">
        <v>134</v>
      </c>
      <c r="M3880" s="2" t="s">
        <v>41</v>
      </c>
      <c r="O3880" s="2" t="s">
        <v>2932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3239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1149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1150</v>
      </c>
      <c r="J3881" s="2" t="s">
        <v>1151</v>
      </c>
      <c r="L3881" s="2" t="s">
        <v>134</v>
      </c>
      <c r="M3881" s="2" t="s">
        <v>41</v>
      </c>
      <c r="O3881" s="2" t="s">
        <v>2932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3239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hidden="1" x14ac:dyDescent="0.2">
      <c r="A3882" s="2">
        <v>2026</v>
      </c>
      <c r="B3882" s="2">
        <v>5</v>
      </c>
      <c r="D3882" s="2" t="s">
        <v>1149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1150</v>
      </c>
      <c r="J3882" s="2" t="s">
        <v>1151</v>
      </c>
      <c r="L3882" s="2" t="s">
        <v>134</v>
      </c>
      <c r="M3882" s="2" t="s">
        <v>41</v>
      </c>
      <c r="O3882" s="2" t="s">
        <v>2932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3239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1149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1150</v>
      </c>
      <c r="J3883" s="2" t="s">
        <v>1151</v>
      </c>
      <c r="L3883" s="2" t="s">
        <v>134</v>
      </c>
      <c r="M3883" s="2" t="s">
        <v>41</v>
      </c>
      <c r="O3883" s="2" t="s">
        <v>2932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3239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1149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1150</v>
      </c>
      <c r="J3884" s="2" t="s">
        <v>1151</v>
      </c>
      <c r="L3884" s="2" t="s">
        <v>134</v>
      </c>
      <c r="M3884" s="2" t="s">
        <v>41</v>
      </c>
      <c r="O3884" s="2" t="s">
        <v>2932</v>
      </c>
      <c r="P3884" s="2" t="s">
        <v>85</v>
      </c>
      <c r="Q3884" s="2" t="s">
        <v>1215</v>
      </c>
      <c r="R3884" s="2" t="s">
        <v>1216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3239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hidden="1" x14ac:dyDescent="0.2">
      <c r="A3885" s="2">
        <v>2026</v>
      </c>
      <c r="B3885" s="2">
        <v>5</v>
      </c>
      <c r="D3885" s="2" t="s">
        <v>1149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1150</v>
      </c>
      <c r="J3885" s="2" t="s">
        <v>1151</v>
      </c>
      <c r="L3885" s="2" t="s">
        <v>134</v>
      </c>
      <c r="M3885" s="2" t="s">
        <v>41</v>
      </c>
      <c r="O3885" s="2" t="s">
        <v>2932</v>
      </c>
      <c r="P3885" s="2" t="s">
        <v>2907</v>
      </c>
      <c r="Q3885" s="2" t="s">
        <v>2936</v>
      </c>
      <c r="R3885" s="2" t="s">
        <v>2937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3239</v>
      </c>
      <c r="AA3885" s="2" t="s">
        <v>72</v>
      </c>
      <c r="AB3885" s="2" t="s">
        <v>2907</v>
      </c>
      <c r="AC3885" s="2" t="s">
        <v>2907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2938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3239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2456</v>
      </c>
      <c r="F3887" s="2" t="s">
        <v>39</v>
      </c>
      <c r="G3887" s="2">
        <v>505814030</v>
      </c>
      <c r="H3887" s="2" t="s">
        <v>291</v>
      </c>
      <c r="I3887" s="2" t="s">
        <v>2457</v>
      </c>
      <c r="J3887" s="2" t="s">
        <v>2458</v>
      </c>
      <c r="L3887" s="2" t="s">
        <v>340</v>
      </c>
      <c r="M3887" s="2" t="s">
        <v>81</v>
      </c>
      <c r="O3887" s="2" t="s">
        <v>2939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3239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2456</v>
      </c>
      <c r="F3888" s="2" t="s">
        <v>39</v>
      </c>
      <c r="G3888" s="2">
        <v>505814030</v>
      </c>
      <c r="H3888" s="2" t="s">
        <v>291</v>
      </c>
      <c r="I3888" s="2" t="s">
        <v>2457</v>
      </c>
      <c r="J3888" s="2" t="s">
        <v>2458</v>
      </c>
      <c r="L3888" s="2" t="s">
        <v>340</v>
      </c>
      <c r="M3888" s="2" t="s">
        <v>81</v>
      </c>
      <c r="O3888" s="2" t="s">
        <v>2939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3239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2456</v>
      </c>
      <c r="F3889" s="2" t="s">
        <v>39</v>
      </c>
      <c r="G3889" s="2">
        <v>505814030</v>
      </c>
      <c r="H3889" s="2" t="s">
        <v>291</v>
      </c>
      <c r="I3889" s="2" t="s">
        <v>2457</v>
      </c>
      <c r="J3889" s="2" t="s">
        <v>2458</v>
      </c>
      <c r="L3889" s="2" t="s">
        <v>340</v>
      </c>
      <c r="M3889" s="2" t="s">
        <v>81</v>
      </c>
      <c r="O3889" s="2" t="s">
        <v>2939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3243</v>
      </c>
      <c r="Q3890" s="2" t="s">
        <v>1796</v>
      </c>
      <c r="R3890" s="2" t="s">
        <v>1797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3243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hidden="1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3394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2940</v>
      </c>
      <c r="P3894" s="2" t="s">
        <v>115</v>
      </c>
      <c r="Q3894" s="2" t="s">
        <v>1155</v>
      </c>
      <c r="R3894" s="2" t="s">
        <v>1156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1352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2941</v>
      </c>
      <c r="J3895" s="2" t="s">
        <v>2942</v>
      </c>
      <c r="K3895" s="2">
        <v>915170083</v>
      </c>
      <c r="L3895" s="2" t="s">
        <v>462</v>
      </c>
      <c r="M3895" s="2" t="s">
        <v>81</v>
      </c>
      <c r="O3895" s="2" t="s">
        <v>2943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3239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1352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3239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2944</v>
      </c>
      <c r="P3897" s="2" t="s">
        <v>73</v>
      </c>
      <c r="Q3897" s="2" t="s">
        <v>1029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3239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2944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3239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hidden="1" x14ac:dyDescent="0.2">
      <c r="A3899" s="2">
        <v>2026</v>
      </c>
      <c r="B3899" s="2">
        <v>5</v>
      </c>
      <c r="D3899" s="2" t="s">
        <v>2945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3239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984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3239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985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986</v>
      </c>
      <c r="J3901" s="2" t="s">
        <v>987</v>
      </c>
      <c r="L3901" s="2" t="s">
        <v>294</v>
      </c>
      <c r="M3901" s="2" t="s">
        <v>81</v>
      </c>
      <c r="O3901" s="2" t="s">
        <v>2946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3239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985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986</v>
      </c>
      <c r="J3902" s="2" t="s">
        <v>987</v>
      </c>
      <c r="L3902" s="2" t="s">
        <v>294</v>
      </c>
      <c r="M3902" s="2" t="s">
        <v>81</v>
      </c>
      <c r="O3902" s="2" t="s">
        <v>2946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3239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985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986</v>
      </c>
      <c r="J3903" s="2" t="s">
        <v>987</v>
      </c>
      <c r="L3903" s="2" t="s">
        <v>294</v>
      </c>
      <c r="M3903" s="2" t="s">
        <v>81</v>
      </c>
      <c r="O3903" s="2" t="s">
        <v>2946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3239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hidden="1" x14ac:dyDescent="0.2">
      <c r="A3904" s="2">
        <v>2026</v>
      </c>
      <c r="B3904" s="2">
        <v>5</v>
      </c>
      <c r="D3904" s="2" t="s">
        <v>1360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1361</v>
      </c>
      <c r="L3904" s="2" t="s">
        <v>419</v>
      </c>
      <c r="P3904" s="2" t="s">
        <v>283</v>
      </c>
      <c r="Q3904" s="2" t="s">
        <v>1518</v>
      </c>
      <c r="R3904" s="2" t="s">
        <v>1519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3239</v>
      </c>
      <c r="AA3904" s="2" t="s">
        <v>72</v>
      </c>
      <c r="AB3904" s="2" t="s">
        <v>1608</v>
      </c>
      <c r="AC3904" s="2" t="s">
        <v>1608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2567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2947</v>
      </c>
      <c r="J3905" s="2" t="s">
        <v>2948</v>
      </c>
      <c r="K3905" s="2">
        <v>962004672</v>
      </c>
      <c r="L3905" s="2" t="s">
        <v>399</v>
      </c>
      <c r="M3905" s="2" t="s">
        <v>81</v>
      </c>
      <c r="O3905" s="2" t="s">
        <v>2949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3239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2567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3239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2950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3239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2951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3239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2950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3239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1532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1533</v>
      </c>
      <c r="J3910" s="2" t="s">
        <v>1534</v>
      </c>
      <c r="K3910" s="2">
        <v>962461409</v>
      </c>
      <c r="L3910" s="2" t="s">
        <v>345</v>
      </c>
      <c r="M3910" s="2" t="s">
        <v>40</v>
      </c>
      <c r="O3910" s="2" t="s">
        <v>2952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1315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2953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3239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2241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3239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2241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hidden="1" x14ac:dyDescent="0.2">
      <c r="A3914" s="2">
        <v>2026</v>
      </c>
      <c r="B3914" s="2">
        <v>5</v>
      </c>
      <c r="D3914" s="2" t="s">
        <v>2954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3239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2954</v>
      </c>
      <c r="M3915" s="2" t="s">
        <v>40</v>
      </c>
      <c r="P3915" s="2" t="s">
        <v>188</v>
      </c>
      <c r="Q3915" s="2" t="s">
        <v>1313</v>
      </c>
      <c r="R3915" s="2" t="s">
        <v>1314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1315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D3916" s="2" t="s">
        <v>2954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3239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hidden="1" x14ac:dyDescent="0.2">
      <c r="A3917" s="2">
        <v>2026</v>
      </c>
      <c r="B3917" s="2">
        <v>5</v>
      </c>
      <c r="D3917" s="2" t="s">
        <v>2887</v>
      </c>
      <c r="G3917" s="2">
        <v>506647188</v>
      </c>
      <c r="I3917" s="2" t="s">
        <v>2955</v>
      </c>
      <c r="M3917" s="2" t="s">
        <v>40</v>
      </c>
      <c r="O3917" s="2" t="s">
        <v>2956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2887</v>
      </c>
      <c r="M3918" s="2" t="s">
        <v>40</v>
      </c>
      <c r="O3918" s="2" t="s">
        <v>2956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2141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2141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2957</v>
      </c>
      <c r="P3921" s="2" t="s">
        <v>115</v>
      </c>
      <c r="Q3921" s="2" t="s">
        <v>1155</v>
      </c>
      <c r="R3921" s="2" t="s">
        <v>1156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2958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3239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2959</v>
      </c>
      <c r="P3923" s="2" t="s">
        <v>43</v>
      </c>
      <c r="Q3923" s="2" t="s">
        <v>2879</v>
      </c>
      <c r="R3923" s="2" t="s">
        <v>2880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3239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2960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3239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2961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2962</v>
      </c>
      <c r="J3926" s="2" t="s">
        <v>2963</v>
      </c>
      <c r="K3926" s="2">
        <v>962543971</v>
      </c>
      <c r="L3926" s="2" t="s">
        <v>134</v>
      </c>
      <c r="M3926" s="2" t="s">
        <v>110</v>
      </c>
      <c r="O3926" s="2" t="s">
        <v>2964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3239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2961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3239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2965</v>
      </c>
      <c r="P3928" s="2" t="s">
        <v>43</v>
      </c>
      <c r="Q3928" s="2" t="s">
        <v>2933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3239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2965</v>
      </c>
      <c r="P3929" s="2" t="s">
        <v>43</v>
      </c>
      <c r="Q3929" s="2" t="s">
        <v>2934</v>
      </c>
      <c r="R3929" s="2" t="s">
        <v>2935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3239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3239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3239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3239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3239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3239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3239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3239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hidden="1" x14ac:dyDescent="0.2">
      <c r="A3937" s="2">
        <v>2026</v>
      </c>
      <c r="B3937" s="2">
        <v>5</v>
      </c>
      <c r="D3937" s="2" t="s">
        <v>1021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1022</v>
      </c>
      <c r="J3937" s="2" t="s">
        <v>1023</v>
      </c>
      <c r="L3937" s="2" t="s">
        <v>294</v>
      </c>
      <c r="M3937" s="2" t="s">
        <v>81</v>
      </c>
      <c r="O3937" s="2" t="s">
        <v>2966</v>
      </c>
      <c r="P3937" s="2" t="s">
        <v>1042</v>
      </c>
      <c r="Q3937" s="2" t="s">
        <v>2967</v>
      </c>
      <c r="R3937" s="2" t="s">
        <v>2968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3239</v>
      </c>
      <c r="AA3937" s="2" t="s">
        <v>76</v>
      </c>
      <c r="AB3937" s="2" t="s">
        <v>77</v>
      </c>
      <c r="AC3937" s="2" t="s">
        <v>1042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1021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1022</v>
      </c>
      <c r="J3938" s="2" t="s">
        <v>1023</v>
      </c>
      <c r="L3938" s="2" t="s">
        <v>294</v>
      </c>
      <c r="M3938" s="2" t="s">
        <v>81</v>
      </c>
      <c r="O3938" s="2" t="s">
        <v>2966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3239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hidden="1" x14ac:dyDescent="0.2">
      <c r="A3939" s="2">
        <v>2026</v>
      </c>
      <c r="B3939" s="2">
        <v>5</v>
      </c>
      <c r="D3939" s="2" t="s">
        <v>1911</v>
      </c>
      <c r="G3939" s="2">
        <v>505757486</v>
      </c>
      <c r="I3939" s="2" t="s">
        <v>2969</v>
      </c>
      <c r="M3939" s="2" t="s">
        <v>81</v>
      </c>
      <c r="O3939" s="2" t="s">
        <v>2970</v>
      </c>
      <c r="P3939" s="2" t="s">
        <v>73</v>
      </c>
      <c r="Q3939" s="2" t="s">
        <v>1079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3239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1911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3239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hidden="1" x14ac:dyDescent="0.2">
      <c r="A3942" s="2">
        <v>2026</v>
      </c>
      <c r="B3942" s="2">
        <v>5</v>
      </c>
      <c r="D3942" s="2" t="s">
        <v>2971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2972</v>
      </c>
      <c r="J3942" s="2" t="s">
        <v>2973</v>
      </c>
      <c r="K3942" s="2">
        <v>966567958</v>
      </c>
      <c r="L3942" s="2" t="s">
        <v>345</v>
      </c>
      <c r="M3942" s="2" t="s">
        <v>81</v>
      </c>
      <c r="O3942" s="2" t="s">
        <v>2974</v>
      </c>
      <c r="P3942" s="2" t="s">
        <v>283</v>
      </c>
      <c r="Q3942" s="2" t="s">
        <v>1441</v>
      </c>
      <c r="R3942" s="2" t="s">
        <v>1442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3239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2971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2972</v>
      </c>
      <c r="J3943" s="2" t="s">
        <v>2973</v>
      </c>
      <c r="K3943" s="2">
        <v>966567958</v>
      </c>
      <c r="L3943" s="2" t="s">
        <v>345</v>
      </c>
      <c r="M3943" s="2" t="s">
        <v>81</v>
      </c>
      <c r="O3943" s="2" t="s">
        <v>2974</v>
      </c>
      <c r="P3943" s="2" t="s">
        <v>283</v>
      </c>
      <c r="Q3943" s="2" t="s">
        <v>1596</v>
      </c>
      <c r="R3943" s="2" t="s">
        <v>1597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3239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2971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2972</v>
      </c>
      <c r="J3944" s="2" t="s">
        <v>2973</v>
      </c>
      <c r="K3944" s="2">
        <v>966567958</v>
      </c>
      <c r="L3944" s="2" t="s">
        <v>345</v>
      </c>
      <c r="M3944" s="2" t="s">
        <v>81</v>
      </c>
      <c r="O3944" s="2" t="s">
        <v>2974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3239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2971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2972</v>
      </c>
      <c r="J3945" s="2" t="s">
        <v>2973</v>
      </c>
      <c r="K3945" s="2">
        <v>966567958</v>
      </c>
      <c r="L3945" s="2" t="s">
        <v>345</v>
      </c>
      <c r="M3945" s="2" t="s">
        <v>81</v>
      </c>
      <c r="O3945" s="2" t="s">
        <v>2974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3239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2971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2972</v>
      </c>
      <c r="J3946" s="2" t="s">
        <v>2973</v>
      </c>
      <c r="K3946" s="2">
        <v>966567958</v>
      </c>
      <c r="L3946" s="2" t="s">
        <v>345</v>
      </c>
      <c r="M3946" s="2" t="s">
        <v>81</v>
      </c>
      <c r="O3946" s="2" t="s">
        <v>2974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3239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2971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2972</v>
      </c>
      <c r="J3947" s="2" t="s">
        <v>2973</v>
      </c>
      <c r="K3947" s="2">
        <v>966567958</v>
      </c>
      <c r="L3947" s="2" t="s">
        <v>345</v>
      </c>
      <c r="M3947" s="2" t="s">
        <v>81</v>
      </c>
      <c r="O3947" s="2" t="s">
        <v>2974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3239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2971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2972</v>
      </c>
      <c r="J3948" s="2" t="s">
        <v>2973</v>
      </c>
      <c r="K3948" s="2">
        <v>966567958</v>
      </c>
      <c r="L3948" s="2" t="s">
        <v>345</v>
      </c>
      <c r="M3948" s="2" t="s">
        <v>81</v>
      </c>
      <c r="O3948" s="2" t="s">
        <v>2974</v>
      </c>
      <c r="P3948" s="2" t="s">
        <v>43</v>
      </c>
      <c r="Q3948" s="2" t="s">
        <v>2975</v>
      </c>
      <c r="R3948" s="2" t="s">
        <v>2976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3239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2971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2972</v>
      </c>
      <c r="J3949" s="2" t="s">
        <v>2973</v>
      </c>
      <c r="K3949" s="2">
        <v>966567958</v>
      </c>
      <c r="L3949" s="2" t="s">
        <v>345</v>
      </c>
      <c r="M3949" s="2" t="s">
        <v>81</v>
      </c>
      <c r="O3949" s="2" t="s">
        <v>2974</v>
      </c>
      <c r="P3949" s="2" t="s">
        <v>43</v>
      </c>
      <c r="Q3949" s="2" t="s">
        <v>2977</v>
      </c>
      <c r="R3949" s="2" t="s">
        <v>2978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3239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2248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2979</v>
      </c>
      <c r="J3950" s="2" t="s">
        <v>2980</v>
      </c>
      <c r="K3950" s="2">
        <v>939310247</v>
      </c>
      <c r="L3950" s="2" t="s">
        <v>462</v>
      </c>
      <c r="M3950" s="2" t="s">
        <v>40</v>
      </c>
      <c r="O3950" s="2" t="s">
        <v>2981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2982</v>
      </c>
      <c r="P3951" s="2" t="s">
        <v>115</v>
      </c>
      <c r="Q3951" s="2" t="s">
        <v>1586</v>
      </c>
      <c r="R3951" s="2" t="s">
        <v>1587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2983</v>
      </c>
      <c r="P3952" s="2" t="s">
        <v>115</v>
      </c>
      <c r="Q3952" s="2" t="s">
        <v>959</v>
      </c>
      <c r="R3952" s="2" t="s">
        <v>960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617</v>
      </c>
      <c r="AB3952" s="2" t="s">
        <v>961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2984</v>
      </c>
      <c r="P3953" s="2" t="s">
        <v>3243</v>
      </c>
      <c r="Q3953" s="2" t="s">
        <v>2985</v>
      </c>
      <c r="R3953" s="2" t="s">
        <v>2986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3243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2577</v>
      </c>
      <c r="P3954" s="2" t="s">
        <v>73</v>
      </c>
      <c r="Q3954" s="2" t="s">
        <v>1454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3239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2577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3239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hidden="1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2987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3239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2987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3239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2988</v>
      </c>
      <c r="P3958" s="2" t="s">
        <v>115</v>
      </c>
      <c r="Q3958" s="2" t="s">
        <v>1388</v>
      </c>
      <c r="R3958" s="2" t="s">
        <v>1389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2988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1260</v>
      </c>
      <c r="P3960" s="2" t="s">
        <v>73</v>
      </c>
      <c r="Q3960" s="2" t="s">
        <v>1454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3239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1260</v>
      </c>
      <c r="P3961" s="2" t="s">
        <v>1042</v>
      </c>
      <c r="Q3961" s="2" t="s">
        <v>2989</v>
      </c>
      <c r="R3961" s="2" t="s">
        <v>2990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3239</v>
      </c>
      <c r="AA3961" s="2" t="s">
        <v>76</v>
      </c>
      <c r="AB3961" s="2" t="s">
        <v>77</v>
      </c>
      <c r="AC3961" s="2" t="s">
        <v>1042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1260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3239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2991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493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hidden="1" x14ac:dyDescent="0.2">
      <c r="A3964" s="2">
        <v>2026</v>
      </c>
      <c r="B3964" s="2">
        <v>5</v>
      </c>
      <c r="D3964" s="2" t="s">
        <v>2992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2993</v>
      </c>
      <c r="J3964" s="2" t="s">
        <v>1106</v>
      </c>
      <c r="K3964" s="2">
        <v>934645042</v>
      </c>
      <c r="L3964" s="2" t="s">
        <v>100</v>
      </c>
      <c r="M3964" s="2" t="s">
        <v>40</v>
      </c>
      <c r="O3964" s="2" t="s">
        <v>2994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2992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2993</v>
      </c>
      <c r="J3965" s="2" t="s">
        <v>1106</v>
      </c>
      <c r="K3965" s="2">
        <v>934645042</v>
      </c>
      <c r="L3965" s="2" t="s">
        <v>100</v>
      </c>
      <c r="M3965" s="2" t="s">
        <v>40</v>
      </c>
      <c r="O3965" s="2" t="s">
        <v>2994</v>
      </c>
      <c r="P3965" s="2" t="s">
        <v>115</v>
      </c>
      <c r="Q3965" s="2" t="s">
        <v>797</v>
      </c>
      <c r="R3965" s="2" t="s">
        <v>2995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2992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2993</v>
      </c>
      <c r="J3966" s="2" t="s">
        <v>1106</v>
      </c>
      <c r="K3966" s="2">
        <v>934645042</v>
      </c>
      <c r="L3966" s="2" t="s">
        <v>100</v>
      </c>
      <c r="M3966" s="2" t="s">
        <v>40</v>
      </c>
      <c r="O3966" s="2" t="s">
        <v>2994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hidden="1" x14ac:dyDescent="0.2">
      <c r="A3967" s="2">
        <v>2026</v>
      </c>
      <c r="B3967" s="2">
        <v>5</v>
      </c>
      <c r="D3967" s="2" t="s">
        <v>2992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2993</v>
      </c>
      <c r="J3967" s="2" t="s">
        <v>1106</v>
      </c>
      <c r="K3967" s="2">
        <v>934645042</v>
      </c>
      <c r="L3967" s="2" t="s">
        <v>100</v>
      </c>
      <c r="M3967" s="2" t="s">
        <v>40</v>
      </c>
      <c r="O3967" s="2" t="s">
        <v>2994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hidden="1" x14ac:dyDescent="0.2">
      <c r="A3968" s="2">
        <v>2026</v>
      </c>
      <c r="B3968" s="2">
        <v>5</v>
      </c>
      <c r="D3968" s="2" t="s">
        <v>2992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2993</v>
      </c>
      <c r="J3968" s="2" t="s">
        <v>1106</v>
      </c>
      <c r="K3968" s="2">
        <v>934645042</v>
      </c>
      <c r="L3968" s="2" t="s">
        <v>100</v>
      </c>
      <c r="M3968" s="2" t="s">
        <v>40</v>
      </c>
      <c r="O3968" s="2" t="s">
        <v>2994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1315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hidden="1" x14ac:dyDescent="0.2">
      <c r="A3969" s="2">
        <v>2026</v>
      </c>
      <c r="B3969" s="2">
        <v>5</v>
      </c>
      <c r="D3969" s="2" t="s">
        <v>1057</v>
      </c>
      <c r="E3969" s="2" t="s">
        <v>184</v>
      </c>
      <c r="F3969" s="2" t="s">
        <v>1058</v>
      </c>
      <c r="G3969" s="2">
        <v>500199523</v>
      </c>
      <c r="H3969" s="2" t="s">
        <v>291</v>
      </c>
      <c r="I3969" s="2" t="s">
        <v>294</v>
      </c>
      <c r="J3969" s="2" t="s">
        <v>1059</v>
      </c>
      <c r="L3969" s="2" t="s">
        <v>294</v>
      </c>
      <c r="M3969" s="2" t="s">
        <v>81</v>
      </c>
      <c r="O3969" s="2" t="s">
        <v>2996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3239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1057</v>
      </c>
      <c r="E3970" s="2" t="s">
        <v>184</v>
      </c>
      <c r="F3970" s="2" t="s">
        <v>1058</v>
      </c>
      <c r="G3970" s="2">
        <v>500199523</v>
      </c>
      <c r="H3970" s="2" t="s">
        <v>291</v>
      </c>
      <c r="I3970" s="2" t="s">
        <v>294</v>
      </c>
      <c r="J3970" s="2" t="s">
        <v>1059</v>
      </c>
      <c r="L3970" s="2" t="s">
        <v>294</v>
      </c>
      <c r="M3970" s="2" t="s">
        <v>81</v>
      </c>
      <c r="O3970" s="2" t="s">
        <v>2996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3239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hidden="1" x14ac:dyDescent="0.2">
      <c r="A3971" s="2">
        <v>2026</v>
      </c>
      <c r="B3971" s="2">
        <v>5</v>
      </c>
      <c r="D3971" s="2" t="s">
        <v>2997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3239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2997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3239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hidden="1" x14ac:dyDescent="0.2">
      <c r="A3973" s="2">
        <v>2026</v>
      </c>
      <c r="B3973" s="2">
        <v>5</v>
      </c>
      <c r="D3973" s="2" t="s">
        <v>2998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3239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2998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3239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hidden="1" x14ac:dyDescent="0.2">
      <c r="A3975" s="2">
        <v>2026</v>
      </c>
      <c r="B3975" s="2">
        <v>5</v>
      </c>
      <c r="D3975" s="2" t="s">
        <v>1601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1602</v>
      </c>
      <c r="J3975" s="2" t="s">
        <v>1603</v>
      </c>
      <c r="L3975" s="2" t="s">
        <v>202</v>
      </c>
      <c r="M3975" s="2" t="s">
        <v>81</v>
      </c>
      <c r="O3975" s="2" t="s">
        <v>2999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3239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1601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1602</v>
      </c>
      <c r="J3976" s="2" t="s">
        <v>1603</v>
      </c>
      <c r="L3976" s="2" t="s">
        <v>202</v>
      </c>
      <c r="M3976" s="2" t="s">
        <v>81</v>
      </c>
      <c r="O3976" s="2" t="s">
        <v>2999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3239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hidden="1" x14ac:dyDescent="0.2">
      <c r="A3977" s="2">
        <v>2026</v>
      </c>
      <c r="B3977" s="2">
        <v>5</v>
      </c>
      <c r="D3977" s="2" t="s">
        <v>1729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3247</v>
      </c>
      <c r="J3977" s="2" t="s">
        <v>3248</v>
      </c>
      <c r="L3977" s="2" t="s">
        <v>572</v>
      </c>
      <c r="M3977" s="2" t="s">
        <v>81</v>
      </c>
      <c r="O3977" s="2" t="s">
        <v>3250</v>
      </c>
      <c r="P3977" s="2" t="s">
        <v>73</v>
      </c>
      <c r="Q3977" s="2" t="s">
        <v>2424</v>
      </c>
      <c r="R3977" s="2" t="s">
        <v>2425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3239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1729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3247</v>
      </c>
      <c r="J3978" s="2" t="s">
        <v>3248</v>
      </c>
      <c r="L3978" s="2" t="s">
        <v>572</v>
      </c>
      <c r="M3978" s="2" t="s">
        <v>81</v>
      </c>
      <c r="O3978" s="2" t="s">
        <v>3250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3239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hidden="1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hidden="1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hidden="1" x14ac:dyDescent="0.2">
      <c r="A3981" s="2">
        <v>2026</v>
      </c>
      <c r="B3981" s="2">
        <v>5</v>
      </c>
      <c r="D3981" s="2" t="s">
        <v>2059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2789</v>
      </c>
      <c r="J3981" s="2" t="s">
        <v>2830</v>
      </c>
      <c r="K3981" s="2">
        <v>914732950</v>
      </c>
      <c r="L3981" s="2" t="s">
        <v>481</v>
      </c>
      <c r="M3981" s="2" t="s">
        <v>40</v>
      </c>
      <c r="O3981" s="2" t="s">
        <v>3000</v>
      </c>
      <c r="P3981" s="2" t="s">
        <v>1612</v>
      </c>
      <c r="Q3981" s="2" t="s">
        <v>1610</v>
      </c>
      <c r="R3981" s="2" t="s">
        <v>1611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1612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hidden="1" x14ac:dyDescent="0.2">
      <c r="A3982" s="2">
        <v>2026</v>
      </c>
      <c r="B3982" s="2">
        <v>5</v>
      </c>
      <c r="D3982" s="2" t="s">
        <v>2059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hidden="1" x14ac:dyDescent="0.2">
      <c r="A3983" s="2">
        <v>2026</v>
      </c>
      <c r="B3983" s="2">
        <v>5</v>
      </c>
      <c r="D3983" s="2" t="s">
        <v>2059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3239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1350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3239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3239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3239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1042</v>
      </c>
      <c r="Q3988" s="2" t="s">
        <v>3001</v>
      </c>
      <c r="R3988" s="2" t="s">
        <v>3002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3239</v>
      </c>
      <c r="AA3988" s="2" t="s">
        <v>76</v>
      </c>
      <c r="AB3988" s="2" t="s">
        <v>77</v>
      </c>
      <c r="AC3988" s="2" t="s">
        <v>1042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3239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3239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3239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hidden="1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3239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3239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hidden="1" x14ac:dyDescent="0.2">
      <c r="A3995" s="2">
        <v>2026</v>
      </c>
      <c r="B3995" s="2">
        <v>5</v>
      </c>
      <c r="D3995" s="2" t="s">
        <v>1630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1631</v>
      </c>
      <c r="J3995" s="2" t="s">
        <v>1632</v>
      </c>
      <c r="L3995" s="2" t="s">
        <v>294</v>
      </c>
      <c r="M3995" s="2" t="s">
        <v>40</v>
      </c>
      <c r="O3995" s="2" t="s">
        <v>3003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1630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1631</v>
      </c>
      <c r="J3996" s="2" t="s">
        <v>1632</v>
      </c>
      <c r="L3996" s="2" t="s">
        <v>294</v>
      </c>
      <c r="M3996" s="2" t="s">
        <v>40</v>
      </c>
      <c r="O3996" s="2" t="s">
        <v>3003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hidden="1" x14ac:dyDescent="0.2">
      <c r="A3997" s="2">
        <v>2026</v>
      </c>
      <c r="B3997" s="2">
        <v>5</v>
      </c>
      <c r="D3997" s="2" t="s">
        <v>1286</v>
      </c>
      <c r="E3997" s="2" t="s">
        <v>184</v>
      </c>
      <c r="F3997" s="2" t="s">
        <v>3004</v>
      </c>
      <c r="G3997" s="2">
        <v>517805383</v>
      </c>
      <c r="H3997" s="2" t="s">
        <v>40</v>
      </c>
      <c r="I3997" s="2" t="s">
        <v>100</v>
      </c>
      <c r="J3997" s="2" t="s">
        <v>3005</v>
      </c>
      <c r="K3997" s="2">
        <v>964651239</v>
      </c>
      <c r="L3997" s="2" t="s">
        <v>100</v>
      </c>
      <c r="M3997" s="2" t="s">
        <v>40</v>
      </c>
      <c r="O3997" s="2" t="s">
        <v>3006</v>
      </c>
      <c r="P3997" s="2" t="s">
        <v>283</v>
      </c>
      <c r="Q3997" s="2" t="s">
        <v>3007</v>
      </c>
      <c r="R3997" s="2" t="s">
        <v>3008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3395</v>
      </c>
      <c r="AC3997" s="2" t="s">
        <v>1332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3010</v>
      </c>
      <c r="J3998" s="2" t="s">
        <v>3011</v>
      </c>
      <c r="K3998" s="2">
        <v>969030161</v>
      </c>
      <c r="L3998" s="2" t="s">
        <v>3012</v>
      </c>
      <c r="M3998" s="2" t="s">
        <v>40</v>
      </c>
      <c r="O3998" s="2" t="s">
        <v>3013</v>
      </c>
      <c r="P3998" s="2" t="s">
        <v>115</v>
      </c>
      <c r="Q3998" s="2" t="s">
        <v>1476</v>
      </c>
      <c r="R3998" s="2" t="s">
        <v>1477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3010</v>
      </c>
      <c r="J3999" s="2" t="s">
        <v>3011</v>
      </c>
      <c r="K3999" s="2">
        <v>969030161</v>
      </c>
      <c r="L3999" s="2" t="s">
        <v>3012</v>
      </c>
      <c r="M3999" s="2" t="s">
        <v>40</v>
      </c>
      <c r="O3999" s="2" t="s">
        <v>3013</v>
      </c>
      <c r="P3999" s="2" t="s">
        <v>115</v>
      </c>
      <c r="Q3999" s="2" t="s">
        <v>1586</v>
      </c>
      <c r="R3999" s="2" t="s">
        <v>1587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3014</v>
      </c>
      <c r="L4000" s="2" t="s">
        <v>178</v>
      </c>
      <c r="M4000" s="2" t="s">
        <v>41</v>
      </c>
      <c r="O4000" s="2" t="s">
        <v>3015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3239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2344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3239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3016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3253</v>
      </c>
      <c r="L4002" s="2" t="s">
        <v>113</v>
      </c>
      <c r="M4002" s="2" t="s">
        <v>110</v>
      </c>
      <c r="O4002" s="2" t="s">
        <v>3254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3239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3016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3253</v>
      </c>
      <c r="L4003" s="2" t="s">
        <v>113</v>
      </c>
      <c r="M4003" s="2" t="s">
        <v>110</v>
      </c>
      <c r="O4003" s="2" t="s">
        <v>3254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3239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3017</v>
      </c>
      <c r="P4004" s="2" t="s">
        <v>115</v>
      </c>
      <c r="Q4004" s="2" t="s">
        <v>2221</v>
      </c>
      <c r="R4004" s="2" t="s">
        <v>2222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3018</v>
      </c>
      <c r="R4006" s="2" t="s">
        <v>3019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617</v>
      </c>
      <c r="AB4006" s="2" t="s">
        <v>3020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3021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3239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3239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3239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3022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3239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3022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3239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3239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3239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3394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hidden="1" x14ac:dyDescent="0.2">
      <c r="A4018" s="2">
        <v>2026</v>
      </c>
      <c r="B4018" s="2">
        <v>5</v>
      </c>
      <c r="D4018" s="2" t="s">
        <v>1750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1130</v>
      </c>
      <c r="J4018" s="2" t="s">
        <v>1751</v>
      </c>
      <c r="K4018" s="2">
        <v>968602188</v>
      </c>
      <c r="L4018" s="2" t="s">
        <v>462</v>
      </c>
      <c r="M4018" s="2" t="s">
        <v>40</v>
      </c>
      <c r="O4018" s="2" t="s">
        <v>3023</v>
      </c>
      <c r="P4018" s="2" t="s">
        <v>115</v>
      </c>
      <c r="Q4018" s="2" t="s">
        <v>1476</v>
      </c>
      <c r="R4018" s="2" t="s">
        <v>1477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1750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1130</v>
      </c>
      <c r="J4019" s="2" t="s">
        <v>1751</v>
      </c>
      <c r="K4019" s="2">
        <v>968602188</v>
      </c>
      <c r="L4019" s="2" t="s">
        <v>462</v>
      </c>
      <c r="M4019" s="2" t="s">
        <v>40</v>
      </c>
      <c r="O4019" s="2" t="s">
        <v>3023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hidden="1" x14ac:dyDescent="0.2">
      <c r="A4020" s="2">
        <v>2026</v>
      </c>
      <c r="B4020" s="2">
        <v>5</v>
      </c>
      <c r="D4020" s="2" t="s">
        <v>1750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1130</v>
      </c>
      <c r="J4020" s="2" t="s">
        <v>1751</v>
      </c>
      <c r="K4020" s="2">
        <v>968602188</v>
      </c>
      <c r="L4020" s="2" t="s">
        <v>462</v>
      </c>
      <c r="M4020" s="2" t="s">
        <v>40</v>
      </c>
      <c r="O4020" s="2" t="s">
        <v>3023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1300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1301</v>
      </c>
      <c r="L4021" s="2" t="s">
        <v>340</v>
      </c>
      <c r="M4021" s="2" t="s">
        <v>81</v>
      </c>
      <c r="O4021" s="2" t="s">
        <v>3024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3239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1300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1301</v>
      </c>
      <c r="L4022" s="2" t="s">
        <v>340</v>
      </c>
      <c r="M4022" s="2" t="s">
        <v>81</v>
      </c>
      <c r="O4022" s="2" t="s">
        <v>3024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3239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hidden="1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1368</v>
      </c>
      <c r="R4023" s="2" t="s">
        <v>1369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3239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hidden="1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3239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3239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3025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3239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3239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3026</v>
      </c>
      <c r="P4028" s="2" t="s">
        <v>43</v>
      </c>
      <c r="Q4028" s="2" t="s">
        <v>3027</v>
      </c>
      <c r="R4028" s="2" t="s">
        <v>3028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3239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3026</v>
      </c>
      <c r="P4029" s="2" t="s">
        <v>43</v>
      </c>
      <c r="Q4029" s="2" t="s">
        <v>3029</v>
      </c>
      <c r="R4029" s="2" t="s">
        <v>3030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3239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3031</v>
      </c>
      <c r="P4030" s="2" t="s">
        <v>115</v>
      </c>
      <c r="Q4030" s="2" t="s">
        <v>3032</v>
      </c>
      <c r="R4030" s="2" t="s">
        <v>3033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3034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3035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3239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3035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3239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hidden="1" x14ac:dyDescent="0.2">
      <c r="A4034" s="2">
        <v>2026</v>
      </c>
      <c r="B4034" s="2">
        <v>5</v>
      </c>
      <c r="D4034" s="2" t="s">
        <v>3036</v>
      </c>
      <c r="M4034" s="2" t="s">
        <v>40</v>
      </c>
      <c r="O4034" s="2" t="s">
        <v>3037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3036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hidden="1" x14ac:dyDescent="0.2">
      <c r="A4036" s="2">
        <v>2026</v>
      </c>
      <c r="B4036" s="2">
        <v>5</v>
      </c>
      <c r="D4036" s="2" t="s">
        <v>3036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hidden="1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3038</v>
      </c>
      <c r="P4037" s="2" t="s">
        <v>73</v>
      </c>
      <c r="Q4037" s="2" t="s">
        <v>3039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3239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3239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1042</v>
      </c>
      <c r="Q4039" s="2" t="s">
        <v>3040</v>
      </c>
      <c r="R4039" s="2" t="s">
        <v>3041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3239</v>
      </c>
      <c r="AA4039" s="2" t="s">
        <v>76</v>
      </c>
      <c r="AB4039" s="2" t="s">
        <v>77</v>
      </c>
      <c r="AC4039" s="2" t="s">
        <v>1042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3239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2374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2375</v>
      </c>
      <c r="J4041" s="2" t="s">
        <v>2376</v>
      </c>
      <c r="K4041" s="2">
        <v>963062174</v>
      </c>
      <c r="L4041" s="2" t="s">
        <v>419</v>
      </c>
      <c r="M4041" s="2" t="s">
        <v>41</v>
      </c>
      <c r="O4041" s="2" t="s">
        <v>3042</v>
      </c>
      <c r="P4041" s="2" t="s">
        <v>283</v>
      </c>
      <c r="Q4041" s="2" t="s">
        <v>3043</v>
      </c>
      <c r="R4041" s="2" t="s">
        <v>3044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hidden="1" x14ac:dyDescent="0.2">
      <c r="A4042" s="2">
        <v>2026</v>
      </c>
      <c r="B4042" s="2">
        <v>5</v>
      </c>
      <c r="D4042" s="2" t="s">
        <v>2374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2375</v>
      </c>
      <c r="J4042" s="2" t="s">
        <v>2376</v>
      </c>
      <c r="K4042" s="2">
        <v>963062174</v>
      </c>
      <c r="L4042" s="2" t="s">
        <v>419</v>
      </c>
      <c r="M4042" s="2" t="s">
        <v>41</v>
      </c>
      <c r="O4042" s="2" t="s">
        <v>3042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3239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3045</v>
      </c>
      <c r="P4043" s="2" t="s">
        <v>115</v>
      </c>
      <c r="Q4043" s="2" t="s">
        <v>1586</v>
      </c>
      <c r="R4043" s="2" t="s">
        <v>1587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3046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3046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3239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3239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1455</v>
      </c>
      <c r="P4048" s="2" t="s">
        <v>115</v>
      </c>
      <c r="Q4048" s="2" t="s">
        <v>1083</v>
      </c>
      <c r="R4048" s="2" t="s">
        <v>1084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1455</v>
      </c>
      <c r="P4049" s="2" t="s">
        <v>115</v>
      </c>
      <c r="Q4049" s="2" t="s">
        <v>2490</v>
      </c>
      <c r="R4049" s="2" t="s">
        <v>1392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1455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1455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1328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3239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1328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3239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1328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3239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3112</v>
      </c>
      <c r="P4055" s="2" t="s">
        <v>1042</v>
      </c>
      <c r="Q4055" s="2" t="s">
        <v>3047</v>
      </c>
      <c r="R4055" s="2" t="s">
        <v>3048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3239</v>
      </c>
      <c r="AA4055" s="2" t="s">
        <v>76</v>
      </c>
      <c r="AB4055" s="2" t="s">
        <v>77</v>
      </c>
      <c r="AC4055" s="2" t="s">
        <v>1042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3112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3239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3239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3239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3239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3239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1154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3239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1154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3239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1987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3239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1172</v>
      </c>
      <c r="P4067" s="2" t="s">
        <v>43</v>
      </c>
      <c r="Q4067" s="2" t="s">
        <v>975</v>
      </c>
      <c r="R4067" s="2" t="s">
        <v>976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3239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3275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2656</v>
      </c>
      <c r="L4068" s="2" t="s">
        <v>340</v>
      </c>
      <c r="M4068" s="2" t="s">
        <v>291</v>
      </c>
      <c r="O4068" s="2" t="s">
        <v>3274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3271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2656</v>
      </c>
      <c r="L4069" s="2" t="s">
        <v>419</v>
      </c>
      <c r="M4069" s="2" t="s">
        <v>41</v>
      </c>
      <c r="O4069" s="2" t="s">
        <v>3276</v>
      </c>
      <c r="P4069" s="2" t="s">
        <v>115</v>
      </c>
      <c r="Q4069" s="2" t="s">
        <v>959</v>
      </c>
      <c r="R4069" s="2" t="s">
        <v>960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617</v>
      </c>
      <c r="AB4069" s="2" t="s">
        <v>3277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3271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2656</v>
      </c>
      <c r="L4070" s="2" t="s">
        <v>419</v>
      </c>
      <c r="M4070" s="2" t="s">
        <v>41</v>
      </c>
      <c r="O4070" s="2" t="s">
        <v>3276</v>
      </c>
      <c r="P4070" s="2" t="s">
        <v>115</v>
      </c>
      <c r="Q4070" s="2" t="s">
        <v>1586</v>
      </c>
      <c r="R4070" s="2" t="s">
        <v>1587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3116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3116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3116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2133</v>
      </c>
      <c r="P4074" s="2" t="s">
        <v>1042</v>
      </c>
      <c r="Q4074" s="2" t="s">
        <v>3049</v>
      </c>
      <c r="R4074" s="2" t="s">
        <v>3050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3239</v>
      </c>
      <c r="AA4074" s="2" t="s">
        <v>1045</v>
      </c>
      <c r="AB4074" s="2" t="s">
        <v>1275</v>
      </c>
      <c r="AC4074" s="2" t="s">
        <v>1042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3239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3110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3110</v>
      </c>
      <c r="P4077" s="2" t="s">
        <v>115</v>
      </c>
      <c r="Q4077" s="2" t="s">
        <v>2124</v>
      </c>
      <c r="R4077" s="2" t="s">
        <v>2125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3110</v>
      </c>
      <c r="P4078" s="2" t="s">
        <v>115</v>
      </c>
      <c r="Q4078" s="2" t="s">
        <v>1187</v>
      </c>
      <c r="R4078" s="2" t="s">
        <v>1188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3111</v>
      </c>
      <c r="E4079" s="2" t="s">
        <v>38</v>
      </c>
      <c r="F4079" s="2" t="s">
        <v>39</v>
      </c>
      <c r="H4079" s="2" t="s">
        <v>110</v>
      </c>
      <c r="I4079" s="2" t="s">
        <v>3297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hidden="1" x14ac:dyDescent="0.2">
      <c r="A4080" s="8">
        <v>2026</v>
      </c>
      <c r="B4080" s="8">
        <v>6</v>
      </c>
      <c r="C4080" s="8" t="s">
        <v>3392</v>
      </c>
      <c r="D4080" s="2" t="s">
        <v>1360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1361</v>
      </c>
      <c r="L4080" s="2" t="s">
        <v>419</v>
      </c>
      <c r="M4080" s="2" t="s">
        <v>41</v>
      </c>
      <c r="P4080" s="2" t="s">
        <v>43</v>
      </c>
      <c r="Q4080" s="2" t="s">
        <v>2933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3239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hidden="1" x14ac:dyDescent="0.2">
      <c r="A4081" s="8">
        <v>2026</v>
      </c>
      <c r="B4081" s="8">
        <v>6</v>
      </c>
      <c r="C4081" s="8" t="s">
        <v>3392</v>
      </c>
      <c r="D4081" s="2" t="s">
        <v>1360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1361</v>
      </c>
      <c r="L4081" s="2" t="s">
        <v>419</v>
      </c>
      <c r="M4081" s="2" t="s">
        <v>41</v>
      </c>
      <c r="P4081" s="2" t="s">
        <v>43</v>
      </c>
      <c r="Q4081" s="2" t="s">
        <v>2934</v>
      </c>
      <c r="R4081" s="2" t="s">
        <v>2935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3239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hidden="1" x14ac:dyDescent="0.2">
      <c r="A4082" s="8">
        <v>2026</v>
      </c>
      <c r="B4082" s="8">
        <v>6</v>
      </c>
      <c r="C4082" s="8" t="s">
        <v>3392</v>
      </c>
      <c r="D4082" s="2" t="s">
        <v>1360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1361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3239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hidden="1" x14ac:dyDescent="0.2">
      <c r="A4083" s="8">
        <v>2026</v>
      </c>
      <c r="B4083" s="8">
        <v>6</v>
      </c>
      <c r="C4083" s="8" t="s">
        <v>3392</v>
      </c>
      <c r="D4083" s="2" t="s">
        <v>1360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1361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3239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hidden="1" x14ac:dyDescent="0.2">
      <c r="A4084" s="8">
        <v>2026</v>
      </c>
      <c r="B4084" s="8">
        <v>6</v>
      </c>
      <c r="C4084" s="8" t="s">
        <v>3392</v>
      </c>
      <c r="D4084" s="2" t="s">
        <v>1360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1361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3239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hidden="1" x14ac:dyDescent="0.2">
      <c r="A4085" s="8">
        <v>2026</v>
      </c>
      <c r="B4085" s="8">
        <v>6</v>
      </c>
      <c r="C4085" s="8" t="s">
        <v>3392</v>
      </c>
      <c r="D4085" s="2" t="s">
        <v>1360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1361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3239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hidden="1" x14ac:dyDescent="0.2">
      <c r="A4086" s="8">
        <v>2026</v>
      </c>
      <c r="B4086" s="8">
        <v>6</v>
      </c>
      <c r="C4086" s="8" t="s">
        <v>3392</v>
      </c>
      <c r="D4086" s="2" t="s">
        <v>1360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1361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3239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hidden="1" x14ac:dyDescent="0.2">
      <c r="A4087" s="8">
        <v>2026</v>
      </c>
      <c r="B4087" s="8">
        <v>6</v>
      </c>
      <c r="C4087" s="8" t="s">
        <v>3392</v>
      </c>
      <c r="D4087" s="2" t="s">
        <v>1360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1361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3239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hidden="1" x14ac:dyDescent="0.2">
      <c r="A4088" s="8">
        <v>2026</v>
      </c>
      <c r="B4088" s="8">
        <v>6</v>
      </c>
      <c r="C4088" s="8" t="s">
        <v>3392</v>
      </c>
      <c r="D4088" s="2" t="s">
        <v>1360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1361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3239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hidden="1" x14ac:dyDescent="0.2">
      <c r="A4089" s="8">
        <v>2026</v>
      </c>
      <c r="B4089" s="8">
        <v>6</v>
      </c>
      <c r="C4089" s="8" t="s">
        <v>3392</v>
      </c>
      <c r="D4089" s="2" t="s">
        <v>1360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1361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3239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hidden="1" x14ac:dyDescent="0.2">
      <c r="A4090" s="8">
        <v>2026</v>
      </c>
      <c r="B4090" s="8">
        <v>6</v>
      </c>
      <c r="C4090" s="8" t="s">
        <v>3392</v>
      </c>
      <c r="D4090" s="2" t="s">
        <v>1360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1361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3239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hidden="1" x14ac:dyDescent="0.2">
      <c r="A4091" s="8">
        <v>2026</v>
      </c>
      <c r="B4091" s="8">
        <v>6</v>
      </c>
      <c r="C4091" s="8" t="s">
        <v>3392</v>
      </c>
      <c r="D4091" s="2" t="s">
        <v>1360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1361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3239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hidden="1" x14ac:dyDescent="0.2">
      <c r="A4092" s="8">
        <v>2026</v>
      </c>
      <c r="B4092" s="8">
        <v>6</v>
      </c>
      <c r="C4092" s="8" t="s">
        <v>3392</v>
      </c>
      <c r="D4092" s="2" t="s">
        <v>1360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1361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3239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hidden="1" x14ac:dyDescent="0.2">
      <c r="A4093" s="8">
        <v>2026</v>
      </c>
      <c r="B4093" s="8">
        <v>6</v>
      </c>
      <c r="C4093" s="8" t="s">
        <v>3392</v>
      </c>
      <c r="D4093" s="2" t="s">
        <v>1360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1361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3239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hidden="1" x14ac:dyDescent="0.2">
      <c r="A4094" s="8">
        <v>2026</v>
      </c>
      <c r="B4094" s="8">
        <v>6</v>
      </c>
      <c r="C4094" s="8" t="s">
        <v>3392</v>
      </c>
      <c r="D4094" s="2" t="s">
        <v>1360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1361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3239</v>
      </c>
      <c r="AA4094" s="2" t="s">
        <v>46</v>
      </c>
      <c r="AB4094" s="2" t="s">
        <v>57</v>
      </c>
      <c r="AC4094" s="2" t="s">
        <v>58</v>
      </c>
      <c r="AI4094" s="2"/>
    </row>
    <row r="4095" spans="1:38" hidden="1" x14ac:dyDescent="0.2">
      <c r="A4095" s="8">
        <v>2026</v>
      </c>
      <c r="B4095" s="8">
        <v>6</v>
      </c>
      <c r="C4095" s="8" t="s">
        <v>3392</v>
      </c>
      <c r="D4095" s="2" t="s">
        <v>1360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1361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3239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hidden="1" x14ac:dyDescent="0.2">
      <c r="A4096" s="8">
        <v>2026</v>
      </c>
      <c r="B4096" s="8">
        <v>6</v>
      </c>
      <c r="C4096" s="8" t="s">
        <v>3392</v>
      </c>
      <c r="D4096" s="2" t="s">
        <v>1360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1361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3239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hidden="1" x14ac:dyDescent="0.2">
      <c r="A4097" s="8">
        <v>2026</v>
      </c>
      <c r="B4097" s="8">
        <v>6</v>
      </c>
      <c r="C4097" s="8" t="s">
        <v>3392</v>
      </c>
      <c r="D4097" s="2" t="s">
        <v>1360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1361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3239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hidden="1" x14ac:dyDescent="0.2">
      <c r="A4098" s="8">
        <v>2026</v>
      </c>
      <c r="B4098" s="8">
        <v>6</v>
      </c>
      <c r="C4098" s="8" t="s">
        <v>3392</v>
      </c>
      <c r="D4098" s="2" t="s">
        <v>1360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1361</v>
      </c>
      <c r="L4098" s="2" t="s">
        <v>419</v>
      </c>
      <c r="M4098" s="2" t="s">
        <v>41</v>
      </c>
      <c r="P4098" s="2" t="s">
        <v>43</v>
      </c>
      <c r="Q4098" s="2" t="s">
        <v>2975</v>
      </c>
      <c r="R4098" s="2" t="s">
        <v>2976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3239</v>
      </c>
      <c r="AA4098" s="2" t="s">
        <v>46</v>
      </c>
      <c r="AI4098" s="2"/>
    </row>
    <row r="4099" spans="1:38" hidden="1" x14ac:dyDescent="0.2">
      <c r="A4099" s="8">
        <v>2026</v>
      </c>
      <c r="B4099" s="8">
        <v>6</v>
      </c>
      <c r="C4099" s="8" t="s">
        <v>3392</v>
      </c>
      <c r="D4099" s="2" t="s">
        <v>1360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1361</v>
      </c>
      <c r="L4099" s="2" t="s">
        <v>419</v>
      </c>
      <c r="M4099" s="2" t="s">
        <v>41</v>
      </c>
      <c r="P4099" s="2" t="s">
        <v>43</v>
      </c>
      <c r="Q4099" s="2" t="s">
        <v>2977</v>
      </c>
      <c r="R4099" s="2" t="s">
        <v>2978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3239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hidden="1" x14ac:dyDescent="0.2">
      <c r="A4100" s="8">
        <v>2026</v>
      </c>
      <c r="B4100" s="8">
        <v>6</v>
      </c>
      <c r="C4100" s="8" t="s">
        <v>3392</v>
      </c>
      <c r="D4100" s="2" t="s">
        <v>1360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1361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3239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hidden="1" x14ac:dyDescent="0.2">
      <c r="A4101" s="8">
        <v>2026</v>
      </c>
      <c r="B4101" s="8">
        <v>6</v>
      </c>
      <c r="C4101" s="8" t="s">
        <v>3392</v>
      </c>
      <c r="D4101" s="2" t="s">
        <v>1360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1361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3239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hidden="1" x14ac:dyDescent="0.2">
      <c r="A4102" s="8">
        <v>2026</v>
      </c>
      <c r="B4102" s="8">
        <v>6</v>
      </c>
      <c r="C4102" s="8" t="s">
        <v>3392</v>
      </c>
      <c r="D4102" s="2" t="s">
        <v>1360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1361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3239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hidden="1" x14ac:dyDescent="0.2">
      <c r="A4103" s="8">
        <v>2026</v>
      </c>
      <c r="B4103" s="8">
        <v>6</v>
      </c>
      <c r="C4103" s="8" t="s">
        <v>3392</v>
      </c>
      <c r="D4103" s="2" t="s">
        <v>1360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1361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3239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hidden="1" x14ac:dyDescent="0.2">
      <c r="A4104" s="8">
        <v>2026</v>
      </c>
      <c r="B4104" s="8">
        <v>6</v>
      </c>
      <c r="C4104" s="8" t="s">
        <v>3392</v>
      </c>
      <c r="D4104" s="2" t="s">
        <v>1360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1361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3239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hidden="1" x14ac:dyDescent="0.2">
      <c r="A4105" s="8">
        <v>2026</v>
      </c>
      <c r="B4105" s="8">
        <v>6</v>
      </c>
      <c r="C4105" s="8" t="s">
        <v>3392</v>
      </c>
      <c r="D4105" s="2" t="s">
        <v>1360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1361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3239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hidden="1" x14ac:dyDescent="0.2">
      <c r="A4106" s="8">
        <v>2026</v>
      </c>
      <c r="B4106" s="8">
        <v>6</v>
      </c>
      <c r="C4106" s="8" t="s">
        <v>3392</v>
      </c>
      <c r="D4106" s="2" t="s">
        <v>1360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1361</v>
      </c>
      <c r="L4106" s="2" t="s">
        <v>419</v>
      </c>
      <c r="M4106" s="2" t="s">
        <v>41</v>
      </c>
      <c r="P4106" s="2" t="s">
        <v>43</v>
      </c>
      <c r="Q4106" s="2" t="s">
        <v>3051</v>
      </c>
      <c r="R4106" s="2" t="s">
        <v>3052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3239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hidden="1" x14ac:dyDescent="0.2">
      <c r="A4107" s="8">
        <v>2026</v>
      </c>
      <c r="B4107" s="8">
        <v>6</v>
      </c>
      <c r="C4107" s="8" t="s">
        <v>3392</v>
      </c>
      <c r="D4107" s="2" t="s">
        <v>1360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1361</v>
      </c>
      <c r="L4107" s="2" t="s">
        <v>419</v>
      </c>
      <c r="M4107" s="2" t="s">
        <v>41</v>
      </c>
      <c r="P4107" s="2" t="s">
        <v>85</v>
      </c>
      <c r="Q4107" s="2" t="s">
        <v>1981</v>
      </c>
      <c r="R4107" s="2" t="s">
        <v>1982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3239</v>
      </c>
      <c r="AA4107" s="2" t="s">
        <v>3393</v>
      </c>
      <c r="AI4107" s="2"/>
      <c r="AK4107" s="2">
        <f t="shared" si="519"/>
        <v>12</v>
      </c>
      <c r="AL4107" s="5">
        <f t="shared" si="520"/>
        <v>1</v>
      </c>
    </row>
    <row r="4108" spans="1:38" hidden="1" x14ac:dyDescent="0.2">
      <c r="A4108" s="8">
        <v>2026</v>
      </c>
      <c r="B4108" s="8">
        <v>6</v>
      </c>
      <c r="C4108" s="8" t="s">
        <v>3392</v>
      </c>
      <c r="D4108" s="2" t="s">
        <v>1360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1361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3239</v>
      </c>
      <c r="AA4108" s="2" t="s">
        <v>3393</v>
      </c>
      <c r="AI4108" s="2"/>
      <c r="AK4108" s="2">
        <f t="shared" si="519"/>
        <v>12</v>
      </c>
      <c r="AL4108" s="5">
        <f t="shared" si="520"/>
        <v>1</v>
      </c>
    </row>
    <row r="4109" spans="1:38" hidden="1" x14ac:dyDescent="0.2">
      <c r="A4109" s="8">
        <v>2026</v>
      </c>
      <c r="B4109" s="8">
        <v>6</v>
      </c>
      <c r="C4109" s="8" t="s">
        <v>3392</v>
      </c>
      <c r="D4109" s="2" t="s">
        <v>1360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1361</v>
      </c>
      <c r="L4109" s="2" t="s">
        <v>419</v>
      </c>
      <c r="M4109" s="2" t="s">
        <v>41</v>
      </c>
      <c r="P4109" s="2" t="s">
        <v>85</v>
      </c>
      <c r="Q4109" s="2" t="s">
        <v>3053</v>
      </c>
      <c r="R4109" s="2" t="s">
        <v>3054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3239</v>
      </c>
      <c r="AA4109" s="2" t="s">
        <v>3393</v>
      </c>
      <c r="AI4109" s="2"/>
      <c r="AK4109" s="2">
        <f t="shared" si="519"/>
        <v>3</v>
      </c>
      <c r="AL4109" s="5">
        <f t="shared" si="520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2567</v>
      </c>
      <c r="P4110" s="2" t="s">
        <v>115</v>
      </c>
      <c r="Q4110" s="2" t="s">
        <v>3055</v>
      </c>
      <c r="R4110" s="2" t="s">
        <v>3056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2567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2567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3057</v>
      </c>
      <c r="R4113" s="2" t="s">
        <v>3058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2221</v>
      </c>
      <c r="R4116" s="2" t="s">
        <v>2222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1532</v>
      </c>
      <c r="P4119" s="2" t="s">
        <v>283</v>
      </c>
      <c r="Q4119" s="2" t="s">
        <v>3059</v>
      </c>
      <c r="R4119" s="2" t="s">
        <v>3060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1532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2523</v>
      </c>
      <c r="Q4121" s="2" t="s">
        <v>2985</v>
      </c>
      <c r="R4121" s="2" t="s">
        <v>2986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3061</v>
      </c>
      <c r="R4122" s="2" t="s">
        <v>3062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3239</v>
      </c>
      <c r="AA4122" s="2" t="s">
        <v>156</v>
      </c>
      <c r="AB4122" s="2" t="s">
        <v>3417</v>
      </c>
      <c r="AC4122" s="2" t="s">
        <v>1332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1789</v>
      </c>
      <c r="R4123" s="2" t="s">
        <v>1790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1333</v>
      </c>
      <c r="R4124" s="2" t="s">
        <v>1334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1335</v>
      </c>
      <c r="AC4124" s="2" t="s">
        <v>1332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2954</v>
      </c>
      <c r="P4126" s="2" t="s">
        <v>73</v>
      </c>
      <c r="Q4126" s="2" t="s">
        <v>1138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3239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/>
      <c r="D4127" s="2" t="s">
        <v>2954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3239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3117</v>
      </c>
      <c r="P4128" s="2" t="s">
        <v>115</v>
      </c>
      <c r="Q4128" s="2" t="s">
        <v>959</v>
      </c>
      <c r="R4128" s="2" t="s">
        <v>960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3117</v>
      </c>
      <c r="P4129" s="2" t="s">
        <v>115</v>
      </c>
      <c r="Q4129" s="2" t="s">
        <v>1586</v>
      </c>
      <c r="R4129" s="2" t="s">
        <v>1587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3063</v>
      </c>
      <c r="R4130" s="2" t="s">
        <v>3064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2191</v>
      </c>
      <c r="R4131" s="2" t="s">
        <v>2192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3239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3065</v>
      </c>
      <c r="R4132" s="2" t="s">
        <v>3066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3239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1313</v>
      </c>
      <c r="R4134" s="2" t="s">
        <v>1314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1315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1885</v>
      </c>
      <c r="R4135" s="2" t="s">
        <v>1886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2588</v>
      </c>
      <c r="M4138" s="2" t="s">
        <v>81</v>
      </c>
      <c r="P4138" s="2" t="s">
        <v>1042</v>
      </c>
      <c r="Q4138" s="2" t="s">
        <v>2899</v>
      </c>
      <c r="R4138" s="2" t="s">
        <v>2900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3239</v>
      </c>
      <c r="AA4138" s="2" t="s">
        <v>76</v>
      </c>
      <c r="AB4138" s="2" t="s">
        <v>77</v>
      </c>
      <c r="AC4138" s="2" t="s">
        <v>1042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2588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3239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hidden="1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3239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hidden="1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3239</v>
      </c>
      <c r="AA4141" s="2" t="s">
        <v>46</v>
      </c>
      <c r="AI4141" s="2"/>
      <c r="AL4141" s="2"/>
    </row>
    <row r="4142" spans="1:38" hidden="1" x14ac:dyDescent="0.2">
      <c r="A4142" s="8">
        <v>2026</v>
      </c>
      <c r="B4142" s="8">
        <v>6</v>
      </c>
      <c r="C4142" s="8"/>
      <c r="D4142" s="2" t="s">
        <v>2018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1" si="535">(T4142-W4142)/T4142</f>
        <v>0.46965217391304348</v>
      </c>
      <c r="Z4142" s="2" t="s">
        <v>3239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2018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3239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1013</v>
      </c>
      <c r="M4144" s="2" t="s">
        <v>81</v>
      </c>
      <c r="P4144" s="2" t="s">
        <v>73</v>
      </c>
      <c r="Q4144" s="2" t="s">
        <v>3067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3239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1013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3239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3239</v>
      </c>
      <c r="AA4146" s="2" t="s">
        <v>46</v>
      </c>
      <c r="AB4146" s="2" t="s">
        <v>61</v>
      </c>
      <c r="AC4146" s="2" t="s">
        <v>3345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3307</v>
      </c>
      <c r="D4147" s="2" t="s">
        <v>3342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3180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38">T4147*23%</f>
        <v>1285.7</v>
      </c>
      <c r="V4147" s="10">
        <f t="shared" ref="V4147:V4154" si="539"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617</v>
      </c>
      <c r="AB4147" s="2" t="s">
        <v>3185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3307</v>
      </c>
      <c r="D4148" s="2" t="s">
        <v>3342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3180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38"/>
        <v>1021.2</v>
      </c>
      <c r="V4148" s="10">
        <f t="shared" si="539"/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3307</v>
      </c>
      <c r="D4149" s="2" t="s">
        <v>3342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3180</v>
      </c>
      <c r="P4149" s="2" t="s">
        <v>1616</v>
      </c>
      <c r="Q4149" s="2" t="s">
        <v>3068</v>
      </c>
      <c r="R4149" s="2" t="s">
        <v>3069</v>
      </c>
      <c r="S4149" s="9">
        <v>2</v>
      </c>
      <c r="T4149" s="10">
        <v>10000</v>
      </c>
      <c r="U4149" s="2">
        <f t="shared" si="538"/>
        <v>2300</v>
      </c>
      <c r="V4149" s="10">
        <f t="shared" si="539"/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1099</v>
      </c>
      <c r="AC4149" s="2" t="s">
        <v>1616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3307</v>
      </c>
      <c r="D4150" s="2" t="s">
        <v>3342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3180</v>
      </c>
      <c r="P4150" s="2" t="s">
        <v>102</v>
      </c>
      <c r="Q4150" s="2" t="s">
        <v>1100</v>
      </c>
      <c r="R4150" s="2" t="s">
        <v>1101</v>
      </c>
      <c r="S4150" s="9">
        <v>1</v>
      </c>
      <c r="T4150" s="10">
        <v>2620</v>
      </c>
      <c r="U4150" s="2">
        <f t="shared" si="538"/>
        <v>602.6</v>
      </c>
      <c r="V4150" s="10">
        <f t="shared" si="539"/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1555</v>
      </c>
      <c r="R4151" s="2" t="s">
        <v>1556</v>
      </c>
      <c r="S4151" s="9">
        <v>1</v>
      </c>
      <c r="T4151" s="10">
        <v>499</v>
      </c>
      <c r="U4151" s="2">
        <f t="shared" si="538"/>
        <v>114.77000000000001</v>
      </c>
      <c r="V4151" s="10">
        <f t="shared" si="539"/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0">T4151-W4151</f>
        <v>202</v>
      </c>
      <c r="AL4151" s="5">
        <f t="shared" ref="AL4151" si="541">(T4151-W4151)/T4151</f>
        <v>0.40480961923847697</v>
      </c>
    </row>
    <row r="4152" spans="1:38" hidden="1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38"/>
        <v>0</v>
      </c>
      <c r="V4152" s="10">
        <f t="shared" si="539"/>
        <v>0</v>
      </c>
      <c r="W4152" s="2">
        <f>14.5099*S4152</f>
        <v>29.0198</v>
      </c>
      <c r="Z4152" s="2" t="s">
        <v>3239</v>
      </c>
      <c r="AA4152" s="2" t="s">
        <v>46</v>
      </c>
      <c r="AB4152" s="2" t="s">
        <v>61</v>
      </c>
      <c r="AC4152" s="2" t="s">
        <v>3345</v>
      </c>
      <c r="AI4152" s="2"/>
    </row>
    <row r="4153" spans="1:38" hidden="1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38"/>
        <v>0</v>
      </c>
      <c r="V4153" s="10">
        <f t="shared" si="539"/>
        <v>0</v>
      </c>
      <c r="W4153" s="2">
        <f>14.5099*S4153</f>
        <v>29.0198</v>
      </c>
      <c r="X4153" s="19">
        <v>-1</v>
      </c>
      <c r="Z4153" s="2" t="s">
        <v>3239</v>
      </c>
      <c r="AA4153" s="2" t="s">
        <v>46</v>
      </c>
      <c r="AB4153" s="2" t="s">
        <v>61</v>
      </c>
      <c r="AC4153" s="2" t="s">
        <v>3345</v>
      </c>
      <c r="AI4153" s="2"/>
      <c r="AK4153" s="2">
        <f t="shared" ref="AK4153" si="542">T4153-W4153</f>
        <v>-29.0198</v>
      </c>
      <c r="AL4153" s="19">
        <v>-1</v>
      </c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38"/>
        <v>8.2800000000000011</v>
      </c>
      <c r="V4154" s="10">
        <f t="shared" si="539"/>
        <v>44.28</v>
      </c>
      <c r="X4154" s="5">
        <f>(T4154-W4154)/T4154</f>
        <v>1</v>
      </c>
      <c r="Z4154" s="2" t="s">
        <v>3239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43">(T4155-W4155)/T4155</f>
        <v>1</v>
      </c>
      <c r="Z4155" s="2" t="s">
        <v>170</v>
      </c>
      <c r="AA4155" s="2" t="s">
        <v>170</v>
      </c>
      <c r="AI4155" s="2"/>
      <c r="AL4155" s="2"/>
    </row>
    <row r="4156" spans="1:38" hidden="1" x14ac:dyDescent="0.2">
      <c r="A4156" s="8">
        <v>2026</v>
      </c>
      <c r="B4156" s="8">
        <v>6</v>
      </c>
      <c r="C4156" s="8"/>
      <c r="D4156" s="2" t="s">
        <v>1019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3239</v>
      </c>
      <c r="AA4156" s="2" t="s">
        <v>46</v>
      </c>
      <c r="AI4156" s="2"/>
      <c r="AL4156" s="2"/>
    </row>
    <row r="4157" spans="1:38" hidden="1" x14ac:dyDescent="0.2">
      <c r="A4157" s="8">
        <v>2026</v>
      </c>
      <c r="B4157" s="8">
        <v>6</v>
      </c>
      <c r="C4157" s="8"/>
      <c r="D4157" s="2" t="s">
        <v>1019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3239</v>
      </c>
      <c r="AA4157" s="2" t="s">
        <v>46</v>
      </c>
      <c r="AI4157" s="2"/>
      <c r="AL4157" s="2"/>
    </row>
    <row r="4158" spans="1:38" hidden="1" x14ac:dyDescent="0.2">
      <c r="A4158" s="8">
        <v>2026</v>
      </c>
      <c r="B4158" s="8">
        <v>6</v>
      </c>
      <c r="C4158" s="8"/>
      <c r="D4158" s="2" t="s">
        <v>1378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4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5">T4158-W4158</f>
        <v>18.917999999999999</v>
      </c>
      <c r="AL4158" s="5">
        <f t="shared" ref="AL4158" si="546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1561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7">T4159*23%</f>
        <v>92</v>
      </c>
      <c r="V4159" s="10">
        <f t="shared" ref="V4159:V4160" si="548">T4159+U4159</f>
        <v>492</v>
      </c>
      <c r="W4159" s="2">
        <f t="shared" ref="W4159:W4160" si="549">14.5099*S4159</f>
        <v>290.19799999999998</v>
      </c>
      <c r="X4159" s="5">
        <f t="shared" ref="X4159:X4160" si="550">(T4159-W4159)/T4159</f>
        <v>0.27450500000000005</v>
      </c>
      <c r="Z4159" s="2" t="s">
        <v>3239</v>
      </c>
      <c r="AA4159" s="2" t="s">
        <v>46</v>
      </c>
      <c r="AB4159" s="2" t="s">
        <v>61</v>
      </c>
      <c r="AC4159" s="2" t="s">
        <v>3345</v>
      </c>
      <c r="AI4159" s="2"/>
      <c r="AK4159" s="2">
        <f t="shared" ref="AK4159:AK4160" si="551">T4159-W4159</f>
        <v>109.80200000000002</v>
      </c>
      <c r="AL4159" s="5">
        <f t="shared" ref="AL4159:AL4160" si="552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1561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7"/>
        <v>92</v>
      </c>
      <c r="V4160" s="10">
        <f t="shared" si="548"/>
        <v>492</v>
      </c>
      <c r="W4160" s="2">
        <f t="shared" si="549"/>
        <v>290.19799999999998</v>
      </c>
      <c r="X4160" s="5">
        <f t="shared" si="550"/>
        <v>0.27450500000000005</v>
      </c>
      <c r="Z4160" s="2" t="s">
        <v>3239</v>
      </c>
      <c r="AA4160" s="2" t="s">
        <v>46</v>
      </c>
      <c r="AB4160" s="2" t="s">
        <v>61</v>
      </c>
      <c r="AC4160" s="2" t="s">
        <v>3345</v>
      </c>
      <c r="AI4160" s="2"/>
      <c r="AK4160" s="2">
        <f t="shared" si="551"/>
        <v>109.80200000000002</v>
      </c>
      <c r="AL4160" s="5">
        <f t="shared" si="552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1381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3207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53">T4161*23%</f>
        <v>46</v>
      </c>
      <c r="V4161" s="10">
        <f t="shared" ref="V4161:V4166" si="554">T4161+U4161</f>
        <v>246</v>
      </c>
      <c r="W4161" s="2">
        <f>110.125+11.77</f>
        <v>121.895</v>
      </c>
      <c r="X4161" s="5">
        <f t="shared" ref="X4161:X4166" si="555">(T4161-W4161)/T4161</f>
        <v>0.39052500000000001</v>
      </c>
      <c r="Z4161" s="2" t="s">
        <v>3239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6">AI4161*T4161</f>
        <v>0</v>
      </c>
      <c r="AK4161" s="2">
        <f t="shared" ref="AK4161:AK4166" si="557">T4161-W4161</f>
        <v>78.105000000000004</v>
      </c>
      <c r="AL4161" s="5">
        <f t="shared" ref="AL4161:AL4166" si="558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1381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3"/>
        <v>0.34040000000000004</v>
      </c>
      <c r="V4162" s="10">
        <f t="shared" si="554"/>
        <v>1.8204</v>
      </c>
      <c r="W4162" s="2">
        <f>1.48*S4162</f>
        <v>1.48</v>
      </c>
      <c r="X4162" s="5">
        <f t="shared" si="555"/>
        <v>0</v>
      </c>
      <c r="Z4162" s="2" t="s">
        <v>3239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6"/>
        <v>0</v>
      </c>
      <c r="AK4162" s="2">
        <f t="shared" si="557"/>
        <v>0</v>
      </c>
      <c r="AL4162" s="5">
        <f t="shared" si="558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3113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3"/>
        <v>31.51</v>
      </c>
      <c r="V4163" s="2">
        <f t="shared" si="554"/>
        <v>168.51</v>
      </c>
      <c r="W4163" s="2">
        <f>T4163*40%</f>
        <v>54.800000000000004</v>
      </c>
      <c r="X4163" s="5">
        <f t="shared" si="555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6"/>
        <v>0</v>
      </c>
      <c r="AK4163" s="2">
        <f t="shared" si="557"/>
        <v>82.199999999999989</v>
      </c>
      <c r="AL4163" s="5">
        <f t="shared" si="558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3113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3"/>
        <v>18.975000000000001</v>
      </c>
      <c r="V4164" s="2">
        <f t="shared" si="554"/>
        <v>101.47499999999999</v>
      </c>
      <c r="W4164" s="2">
        <f>T4164*50%</f>
        <v>41.25</v>
      </c>
      <c r="X4164" s="5">
        <f t="shared" si="555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6"/>
        <v>0</v>
      </c>
      <c r="AK4164" s="2">
        <f t="shared" si="557"/>
        <v>41.25</v>
      </c>
      <c r="AL4164" s="5">
        <f t="shared" si="558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1246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3"/>
        <v>62.1</v>
      </c>
      <c r="V4165" s="10">
        <f t="shared" si="554"/>
        <v>332.1</v>
      </c>
      <c r="W4165" s="2">
        <v>139.46</v>
      </c>
      <c r="X4165" s="5">
        <f t="shared" si="555"/>
        <v>0.48348148148148146</v>
      </c>
      <c r="Z4165" s="2" t="s">
        <v>3239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6"/>
        <v>0</v>
      </c>
      <c r="AK4165" s="2">
        <f t="shared" si="557"/>
        <v>130.54</v>
      </c>
      <c r="AL4165" s="5">
        <f t="shared" si="558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1246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3"/>
        <v>0.34040000000000004</v>
      </c>
      <c r="V4166" s="10">
        <f t="shared" si="554"/>
        <v>1.8204</v>
      </c>
      <c r="W4166" s="2">
        <f>1.48*S4166</f>
        <v>1.48</v>
      </c>
      <c r="X4166" s="5">
        <f t="shared" si="555"/>
        <v>0</v>
      </c>
      <c r="Z4166" s="2" t="s">
        <v>3239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6"/>
        <v>0</v>
      </c>
      <c r="AK4166" s="2">
        <f t="shared" si="557"/>
        <v>0</v>
      </c>
      <c r="AL4166" s="5">
        <f t="shared" si="558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>T4171+U4171</f>
        <v>236.16</v>
      </c>
      <c r="W4171" s="2">
        <f>14.5099*S4171</f>
        <v>116.0792</v>
      </c>
      <c r="X4171" s="5">
        <f t="shared" ref="X4171" si="559">(T4171-W4171)/T4171</f>
        <v>0.39542083333333333</v>
      </c>
      <c r="Z4171" s="2" t="s">
        <v>3239</v>
      </c>
      <c r="AA4171" s="2" t="s">
        <v>46</v>
      </c>
      <c r="AB4171" s="2" t="s">
        <v>61</v>
      </c>
      <c r="AC4171" s="2" t="s">
        <v>3345</v>
      </c>
      <c r="AI4171" s="2"/>
      <c r="AK4171" s="2">
        <f t="shared" ref="AK4171:AK4172" si="560">T4171-W4171</f>
        <v>75.9208</v>
      </c>
      <c r="AL4171" s="5">
        <f t="shared" ref="AL4171:AL4172" si="561">(T4171-W4171)/T4171</f>
        <v>0.39542083333333333</v>
      </c>
    </row>
    <row r="4172" spans="1:38" hidden="1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3239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60"/>
        <v>24.300000000000004</v>
      </c>
      <c r="AL4172" s="5">
        <f t="shared" si="561"/>
        <v>0.3471428571428572</v>
      </c>
    </row>
    <row r="4173" spans="1:38" hidden="1" x14ac:dyDescent="0.2">
      <c r="A4173" s="8">
        <v>2026</v>
      </c>
      <c r="B4173" s="8">
        <v>6</v>
      </c>
      <c r="C4173" s="8"/>
      <c r="D4173" s="2" t="s">
        <v>2153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3239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2153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>T4174+U4174</f>
        <v>36.9</v>
      </c>
      <c r="W4174" s="2">
        <v>28</v>
      </c>
      <c r="X4174" s="5">
        <f t="shared" ref="X4174" si="562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2153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63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3239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3240</v>
      </c>
      <c r="Q4176" s="2" t="s">
        <v>2985</v>
      </c>
      <c r="R4176" s="2" t="s">
        <v>2986</v>
      </c>
      <c r="S4176" s="9">
        <v>-1</v>
      </c>
      <c r="T4176" s="10">
        <v>-2460</v>
      </c>
      <c r="U4176" s="2">
        <f t="shared" si="563"/>
        <v>-565.80000000000007</v>
      </c>
      <c r="V4176" s="10">
        <f>T4176+U4176</f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 t="s">
        <v>3307</v>
      </c>
      <c r="D4177" s="2" t="s">
        <v>3412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3242</v>
      </c>
      <c r="P4177" s="2" t="s">
        <v>1198</v>
      </c>
      <c r="Q4177" s="2" t="s">
        <v>3070</v>
      </c>
      <c r="R4177" s="2" t="s">
        <v>3071</v>
      </c>
      <c r="S4177" s="9">
        <v>1</v>
      </c>
      <c r="T4177" s="10">
        <v>5990</v>
      </c>
      <c r="U4177" s="2">
        <f t="shared" si="563"/>
        <v>1377.7</v>
      </c>
      <c r="V4177" s="10">
        <f>U4177+T4177</f>
        <v>7367.7</v>
      </c>
      <c r="W4177" s="2">
        <v>4214</v>
      </c>
      <c r="X4177" s="5">
        <f t="shared" ref="X4177" si="564">(T4177-W4177)/T4177</f>
        <v>0.29649415692821368</v>
      </c>
      <c r="Z4177" s="2" t="s">
        <v>105</v>
      </c>
      <c r="AA4177" s="2" t="s">
        <v>2756</v>
      </c>
      <c r="AB4177" s="2" t="s">
        <v>3411</v>
      </c>
      <c r="AC4177" s="2" t="s">
        <v>1198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63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63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3123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63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3123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63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3123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1917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5">T4183*23%</f>
        <v>23</v>
      </c>
      <c r="V4183" s="10">
        <f t="shared" ref="V4183:V4184" si="566">T4183+U4183</f>
        <v>123</v>
      </c>
      <c r="W4183" s="2">
        <f t="shared" ref="W4183:W4184" si="567">14.5099*S4183</f>
        <v>58.0396</v>
      </c>
      <c r="X4183" s="5">
        <f t="shared" ref="X4183:X4185" si="568">(T4183-W4183)/T4183</f>
        <v>0.41960399999999998</v>
      </c>
      <c r="Z4183" s="2" t="s">
        <v>3239</v>
      </c>
      <c r="AA4183" s="2" t="s">
        <v>46</v>
      </c>
      <c r="AB4183" s="2" t="s">
        <v>61</v>
      </c>
      <c r="AC4183" s="2" t="s">
        <v>3345</v>
      </c>
      <c r="AI4183" s="2"/>
      <c r="AK4183" s="2">
        <f t="shared" ref="AK4183:AK4185" si="569">T4183-W4183</f>
        <v>41.9604</v>
      </c>
      <c r="AL4183" s="5">
        <f t="shared" ref="AL4183:AL4185" si="570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1917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5"/>
        <v>23</v>
      </c>
      <c r="V4184" s="10">
        <f t="shared" si="566"/>
        <v>123</v>
      </c>
      <c r="W4184" s="2">
        <f t="shared" si="567"/>
        <v>58.0396</v>
      </c>
      <c r="X4184" s="5">
        <f t="shared" si="568"/>
        <v>0.41960399999999998</v>
      </c>
      <c r="Z4184" s="2" t="s">
        <v>3239</v>
      </c>
      <c r="AA4184" s="2" t="s">
        <v>46</v>
      </c>
      <c r="AB4184" s="2" t="s">
        <v>61</v>
      </c>
      <c r="AC4184" s="2" t="s">
        <v>3345</v>
      </c>
      <c r="AI4184" s="2"/>
      <c r="AK4184" s="2">
        <f t="shared" si="569"/>
        <v>41.9604</v>
      </c>
      <c r="AL4184" s="5">
        <f t="shared" si="570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68"/>
        <v>1</v>
      </c>
      <c r="Z4185" s="2" t="s">
        <v>120</v>
      </c>
      <c r="AA4185" s="2" t="s">
        <v>493</v>
      </c>
      <c r="AI4185" s="2"/>
      <c r="AK4185" s="2">
        <f t="shared" si="569"/>
        <v>678.91</v>
      </c>
      <c r="AL4185" s="5">
        <f t="shared" si="570"/>
        <v>1</v>
      </c>
    </row>
    <row r="4186" spans="1:38" hidden="1" x14ac:dyDescent="0.2">
      <c r="A4186" s="8">
        <v>2026</v>
      </c>
      <c r="B4186" s="8">
        <v>6</v>
      </c>
      <c r="C4186" s="8"/>
      <c r="D4186" s="2" t="s">
        <v>3124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1" si="571">T4186*23%</f>
        <v>13.8</v>
      </c>
      <c r="V4186" s="2">
        <f t="shared" ref="V4186:V4191" si="572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3124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71"/>
        <v>50.6</v>
      </c>
      <c r="V4187" s="2">
        <f t="shared" si="572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hidden="1" x14ac:dyDescent="0.2">
      <c r="A4188" s="8">
        <v>2026</v>
      </c>
      <c r="B4188" s="8">
        <v>6</v>
      </c>
      <c r="C4188" s="8"/>
      <c r="D4188" s="2" t="s">
        <v>1402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3229</v>
      </c>
      <c r="J4188" s="2" t="s">
        <v>3228</v>
      </c>
      <c r="K4188" s="2">
        <v>913814877</v>
      </c>
      <c r="L4188" s="2" t="s">
        <v>202</v>
      </c>
      <c r="M4188" s="2" t="s">
        <v>81</v>
      </c>
      <c r="O4188" s="2" t="s">
        <v>3227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71"/>
        <v>12.42</v>
      </c>
      <c r="V4188" s="10">
        <f t="shared" si="572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3239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1402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3229</v>
      </c>
      <c r="J4189" s="2" t="s">
        <v>3228</v>
      </c>
      <c r="K4189" s="2">
        <v>913814877</v>
      </c>
      <c r="L4189" s="2" t="s">
        <v>202</v>
      </c>
      <c r="M4189" s="2" t="s">
        <v>81</v>
      </c>
      <c r="O4189" s="2" t="s">
        <v>3227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73">(T4189-W4189)/T4189</f>
        <v>1</v>
      </c>
      <c r="Z4189" s="2" t="s">
        <v>170</v>
      </c>
      <c r="AA4189" s="2" t="s">
        <v>170</v>
      </c>
      <c r="AI4189" s="2"/>
      <c r="AK4189" s="2">
        <f t="shared" ref="AK4189" si="574">T4189-W4189</f>
        <v>8</v>
      </c>
      <c r="AL4189" s="5">
        <f t="shared" ref="AL4189" si="575">(T4189-W4189)/T4189</f>
        <v>1</v>
      </c>
    </row>
    <row r="4190" spans="1:38" hidden="1" x14ac:dyDescent="0.2">
      <c r="A4190" s="8">
        <v>2026</v>
      </c>
      <c r="B4190" s="8">
        <v>6</v>
      </c>
      <c r="C4190" s="8"/>
      <c r="D4190" s="2" t="s">
        <v>2442</v>
      </c>
      <c r="P4190" s="2" t="s">
        <v>43</v>
      </c>
      <c r="Q4190" s="2" t="s">
        <v>2879</v>
      </c>
      <c r="R4190" s="2" t="s">
        <v>2880</v>
      </c>
      <c r="S4190" s="9">
        <v>2</v>
      </c>
      <c r="T4190" s="10">
        <v>100</v>
      </c>
      <c r="U4190" s="2">
        <f t="shared" si="571"/>
        <v>23</v>
      </c>
      <c r="V4190" s="10">
        <f t="shared" si="572"/>
        <v>123</v>
      </c>
      <c r="X4190" s="5">
        <f>(T4190-W4190)/T4190</f>
        <v>1</v>
      </c>
      <c r="Z4190" s="2" t="s">
        <v>3239</v>
      </c>
      <c r="AA4190" s="2" t="s">
        <v>46</v>
      </c>
      <c r="AI4190" s="2"/>
      <c r="AL4190" s="2"/>
    </row>
    <row r="4191" spans="1:38" hidden="1" x14ac:dyDescent="0.2">
      <c r="A4191" s="8">
        <v>2026</v>
      </c>
      <c r="B4191" s="8">
        <v>6</v>
      </c>
      <c r="C4191" s="8"/>
      <c r="D4191" s="2" t="s">
        <v>2442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76">(T4191-W4191)/T4191</f>
        <v>1</v>
      </c>
      <c r="Z4191" s="2" t="s">
        <v>170</v>
      </c>
      <c r="AA4191" s="2" t="s">
        <v>170</v>
      </c>
      <c r="AI4191" s="2"/>
      <c r="AK4191" s="2">
        <f t="shared" ref="AK4191" si="577">T4191-W4191</f>
        <v>8</v>
      </c>
      <c r="AL4191" s="5">
        <f t="shared" ref="AL4191" si="578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2992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2993</v>
      </c>
      <c r="J4192" s="2" t="s">
        <v>1106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2992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2993</v>
      </c>
      <c r="J4193" s="2" t="s">
        <v>1106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2995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2992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2993</v>
      </c>
      <c r="J4194" s="2" t="s">
        <v>1106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2992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2993</v>
      </c>
      <c r="J4195" s="2" t="s">
        <v>1106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2992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2993</v>
      </c>
      <c r="J4196" s="2" t="s">
        <v>1106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hidden="1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79">T4197*23%</f>
        <v>11.040000000000001</v>
      </c>
      <c r="V4197" s="10">
        <f t="shared" ref="V4197:V4202" si="580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3239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1057</v>
      </c>
      <c r="E4198" s="2" t="s">
        <v>184</v>
      </c>
      <c r="F4198" s="2" t="s">
        <v>1058</v>
      </c>
      <c r="G4198" s="2">
        <v>500199523</v>
      </c>
      <c r="H4198" s="2" t="s">
        <v>291</v>
      </c>
      <c r="I4198" s="2" t="s">
        <v>294</v>
      </c>
      <c r="J4198" s="2" t="s">
        <v>1059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79"/>
        <v>50.6</v>
      </c>
      <c r="V4198" s="10">
        <f t="shared" si="580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3239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1057</v>
      </c>
      <c r="E4199" s="2" t="s">
        <v>184</v>
      </c>
      <c r="F4199" s="2" t="s">
        <v>1058</v>
      </c>
      <c r="G4199" s="2">
        <v>500199523</v>
      </c>
      <c r="H4199" s="2" t="s">
        <v>291</v>
      </c>
      <c r="I4199" s="2" t="s">
        <v>294</v>
      </c>
      <c r="J4199" s="2" t="s">
        <v>1059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79"/>
        <v>0.34040000000000004</v>
      </c>
      <c r="V4199" s="10">
        <f t="shared" si="580"/>
        <v>1.8204</v>
      </c>
      <c r="W4199" s="2">
        <f>1.48*S4199</f>
        <v>1.48</v>
      </c>
      <c r="X4199" s="5">
        <f>(T4199-W4199)/T4199</f>
        <v>0</v>
      </c>
      <c r="Z4199" s="2" t="s">
        <v>3239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3344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79"/>
        <v>-73.160699999999991</v>
      </c>
      <c r="V4200" s="10">
        <f t="shared" si="580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3344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79"/>
        <v>15.019</v>
      </c>
      <c r="V4201" s="10">
        <f t="shared" si="580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3121</v>
      </c>
      <c r="P4202" s="2" t="s">
        <v>40</v>
      </c>
      <c r="Q4202" s="2" t="s">
        <v>3072</v>
      </c>
      <c r="R4202" s="2" t="s">
        <v>3073</v>
      </c>
      <c r="S4202" s="9">
        <v>11601</v>
      </c>
      <c r="T4202" s="10">
        <v>2098.09</v>
      </c>
      <c r="U4202" s="2">
        <f t="shared" si="579"/>
        <v>482.56070000000005</v>
      </c>
      <c r="V4202" s="10">
        <f t="shared" si="580"/>
        <v>2580.6507000000001</v>
      </c>
      <c r="X4202" s="5">
        <f t="shared" ref="X4202" si="581">(T4202-W4202)/T4202</f>
        <v>1</v>
      </c>
      <c r="Z4202" s="2" t="s">
        <v>120</v>
      </c>
      <c r="AA4202" s="2" t="s">
        <v>3305</v>
      </c>
      <c r="AI4202" s="2"/>
      <c r="AK4202" s="2">
        <f t="shared" ref="AK4202" si="582">T4202-W4202</f>
        <v>2098.09</v>
      </c>
      <c r="AL4202" s="5">
        <f t="shared" ref="AL4202" si="583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3145</v>
      </c>
      <c r="L4203" s="2" t="s">
        <v>178</v>
      </c>
      <c r="M4203" s="2" t="s">
        <v>41</v>
      </c>
      <c r="O4203" s="2" t="s">
        <v>3155</v>
      </c>
      <c r="P4203" s="2" t="s">
        <v>115</v>
      </c>
      <c r="Q4203" s="2" t="s">
        <v>1103</v>
      </c>
      <c r="R4203" s="2" t="s">
        <v>1104</v>
      </c>
      <c r="S4203" s="9">
        <v>1</v>
      </c>
      <c r="T4203" s="10">
        <v>184.34</v>
      </c>
      <c r="U4203" s="2">
        <f t="shared" ref="U4203:U4210" si="584">T4203*23%</f>
        <v>42.398200000000003</v>
      </c>
      <c r="V4203" s="10">
        <f t="shared" ref="V4203:V4211" si="585">T4203+U4203</f>
        <v>226.73820000000001</v>
      </c>
      <c r="X4203" s="5">
        <f>(T4203-W4203)/T4203</f>
        <v>1</v>
      </c>
      <c r="AI4203" s="2"/>
      <c r="AL4203" s="2"/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3145</v>
      </c>
      <c r="L4204" s="2" t="s">
        <v>178</v>
      </c>
      <c r="M4204" s="2" t="s">
        <v>41</v>
      </c>
      <c r="O4204" s="2" t="s">
        <v>3156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4"/>
        <v>5.98</v>
      </c>
      <c r="V4204" s="10">
        <f t="shared" si="585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3239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6">AI4204*T4204</f>
        <v>0</v>
      </c>
      <c r="AK4204" s="2">
        <f t="shared" ref="AK4204:AK4211" si="587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3145</v>
      </c>
      <c r="L4205" s="2" t="s">
        <v>178</v>
      </c>
      <c r="M4205" s="2" t="s">
        <v>41</v>
      </c>
      <c r="O4205" s="2" t="s">
        <v>3154</v>
      </c>
      <c r="P4205" s="2" t="s">
        <v>167</v>
      </c>
      <c r="Q4205" s="2" t="s">
        <v>3074</v>
      </c>
      <c r="R4205" s="2" t="s">
        <v>3075</v>
      </c>
      <c r="S4205" s="9">
        <v>6</v>
      </c>
      <c r="T4205" s="10">
        <v>8.82</v>
      </c>
      <c r="U4205" s="2">
        <f t="shared" si="584"/>
        <v>2.0286</v>
      </c>
      <c r="V4205" s="10">
        <f t="shared" si="585"/>
        <v>10.848600000000001</v>
      </c>
      <c r="X4205" s="5">
        <f>(T4205-W4205)/T4205</f>
        <v>1</v>
      </c>
      <c r="Z4205" s="2" t="s">
        <v>3239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6"/>
        <v>0</v>
      </c>
      <c r="AK4205" s="2">
        <f t="shared" si="587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3145</v>
      </c>
      <c r="L4206" s="2" t="s">
        <v>178</v>
      </c>
      <c r="M4206" s="2" t="s">
        <v>41</v>
      </c>
      <c r="O4206" s="2" t="s">
        <v>3154</v>
      </c>
      <c r="P4206" s="2" t="s">
        <v>167</v>
      </c>
      <c r="Q4206" s="2" t="s">
        <v>1050</v>
      </c>
      <c r="R4206" s="2" t="s">
        <v>1051</v>
      </c>
      <c r="S4206" s="9">
        <v>6</v>
      </c>
      <c r="T4206" s="10">
        <v>14.7</v>
      </c>
      <c r="U4206" s="2">
        <f t="shared" si="584"/>
        <v>3.3809999999999998</v>
      </c>
      <c r="V4206" s="10">
        <f t="shared" si="585"/>
        <v>18.081</v>
      </c>
      <c r="X4206" s="5">
        <f>(T4206-W4206)/T4206</f>
        <v>1</v>
      </c>
      <c r="Z4206" s="2" t="s">
        <v>3239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6"/>
        <v>0</v>
      </c>
      <c r="AK4206" s="2">
        <f t="shared" si="587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3145</v>
      </c>
      <c r="L4207" s="2" t="s">
        <v>178</v>
      </c>
      <c r="M4207" s="2" t="s">
        <v>40</v>
      </c>
      <c r="O4207" s="2" t="s">
        <v>3155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4"/>
        <v>0</v>
      </c>
      <c r="V4207" s="2">
        <f t="shared" si="585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6"/>
        <v>0</v>
      </c>
      <c r="AK4207" s="2">
        <f t="shared" si="587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3145</v>
      </c>
      <c r="L4208" s="2" t="s">
        <v>178</v>
      </c>
      <c r="M4208" s="2" t="s">
        <v>40</v>
      </c>
      <c r="O4208" s="2" t="s">
        <v>3155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4"/>
        <v>12.65</v>
      </c>
      <c r="V4208" s="2">
        <f t="shared" si="585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6"/>
        <v>0</v>
      </c>
      <c r="AK4208" s="2">
        <f t="shared" si="587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3122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4"/>
        <v>28.75</v>
      </c>
      <c r="V4209" s="2">
        <f t="shared" si="585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6"/>
        <v>0</v>
      </c>
      <c r="AK4209" s="2">
        <f t="shared" si="587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3122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4"/>
        <v>12.65</v>
      </c>
      <c r="V4210" s="2">
        <f t="shared" si="585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6"/>
        <v>0</v>
      </c>
      <c r="AK4210" s="2">
        <f t="shared" si="587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3406</v>
      </c>
      <c r="D4211" s="2" t="s">
        <v>1728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1441</v>
      </c>
      <c r="R4211" s="2" t="s">
        <v>1442</v>
      </c>
      <c r="S4211" s="9">
        <v>1</v>
      </c>
      <c r="T4211" s="10">
        <v>6.9</v>
      </c>
      <c r="U4211" s="2">
        <f>T4211*23%</f>
        <v>1.5870000000000002</v>
      </c>
      <c r="V4211" s="2">
        <f t="shared" si="585"/>
        <v>8.4870000000000001</v>
      </c>
      <c r="W4211" s="2">
        <f>5.135*S4211</f>
        <v>5.1349999999999998</v>
      </c>
      <c r="X4211" s="5">
        <f t="shared" ref="X4211:X4220" si="588">(T4211-W4211)/T4211</f>
        <v>0.25579710144927542</v>
      </c>
      <c r="Z4211" s="2" t="s">
        <v>3239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7"/>
        <v>1.7650000000000006</v>
      </c>
      <c r="AL4211" s="5">
        <f t="shared" ref="AL4211" si="589">(T4211-W4211)/T4211</f>
        <v>0.25579710144927542</v>
      </c>
    </row>
    <row r="4212" spans="1:38" hidden="1" x14ac:dyDescent="0.2">
      <c r="A4212" s="8">
        <v>2026</v>
      </c>
      <c r="B4212" s="8">
        <v>6</v>
      </c>
      <c r="C4212" s="8" t="s">
        <v>3406</v>
      </c>
      <c r="D4212" s="2" t="s">
        <v>1728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2907</v>
      </c>
      <c r="Q4212" s="2" t="s">
        <v>3076</v>
      </c>
      <c r="R4212" s="2" t="s">
        <v>3077</v>
      </c>
      <c r="S4212" s="9">
        <v>1</v>
      </c>
      <c r="T4212" s="10">
        <v>7.24</v>
      </c>
      <c r="U4212" s="2">
        <f t="shared" ref="U4212:U4220" si="590">T4212*23%</f>
        <v>1.6652</v>
      </c>
      <c r="V4212" s="2">
        <f t="shared" ref="V4212:V4220" si="591">T4212+U4212</f>
        <v>8.9052000000000007</v>
      </c>
      <c r="W4212" s="2">
        <v>5.07</v>
      </c>
      <c r="X4212" s="5">
        <f t="shared" si="588"/>
        <v>0.29972375690607733</v>
      </c>
      <c r="Z4212" s="2" t="s">
        <v>3239</v>
      </c>
      <c r="AA4212" s="2" t="s">
        <v>72</v>
      </c>
      <c r="AB4212" s="2" t="s">
        <v>2907</v>
      </c>
      <c r="AC4212" s="2" t="s">
        <v>2907</v>
      </c>
      <c r="AI4212" s="2"/>
      <c r="AK4212" s="2">
        <f t="shared" ref="AK4212:AK4218" si="592">T4212-W4212</f>
        <v>2.17</v>
      </c>
      <c r="AL4212" s="5">
        <f t="shared" ref="AL4212:AL4218" si="593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3406</v>
      </c>
      <c r="D4213" s="2" t="s">
        <v>1728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2907</v>
      </c>
      <c r="Q4213" s="2" t="s">
        <v>3078</v>
      </c>
      <c r="R4213" s="2" t="s">
        <v>3079</v>
      </c>
      <c r="S4213" s="9">
        <v>1</v>
      </c>
      <c r="T4213" s="10">
        <v>7.24</v>
      </c>
      <c r="U4213" s="2">
        <f t="shared" si="590"/>
        <v>1.6652</v>
      </c>
      <c r="V4213" s="2">
        <f t="shared" si="591"/>
        <v>8.9052000000000007</v>
      </c>
      <c r="W4213" s="2">
        <v>5.07</v>
      </c>
      <c r="X4213" s="5">
        <f t="shared" si="588"/>
        <v>0.29972375690607733</v>
      </c>
      <c r="Z4213" s="2" t="s">
        <v>3239</v>
      </c>
      <c r="AA4213" s="2" t="s">
        <v>72</v>
      </c>
      <c r="AB4213" s="2" t="s">
        <v>2907</v>
      </c>
      <c r="AC4213" s="2" t="s">
        <v>2907</v>
      </c>
      <c r="AI4213" s="2"/>
      <c r="AK4213" s="2">
        <f t="shared" si="592"/>
        <v>2.17</v>
      </c>
      <c r="AL4213" s="5">
        <f t="shared" si="593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3406</v>
      </c>
      <c r="D4214" s="2" t="s">
        <v>1728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2907</v>
      </c>
      <c r="Q4214" s="2" t="s">
        <v>3080</v>
      </c>
      <c r="R4214" s="2" t="s">
        <v>3081</v>
      </c>
      <c r="S4214" s="9">
        <v>1</v>
      </c>
      <c r="T4214" s="10">
        <v>7.24</v>
      </c>
      <c r="U4214" s="2">
        <f t="shared" si="590"/>
        <v>1.6652</v>
      </c>
      <c r="V4214" s="2">
        <f t="shared" si="591"/>
        <v>8.9052000000000007</v>
      </c>
      <c r="W4214" s="2">
        <f>5.07</f>
        <v>5.07</v>
      </c>
      <c r="X4214" s="5">
        <f t="shared" si="588"/>
        <v>0.29972375690607733</v>
      </c>
      <c r="Z4214" s="2" t="s">
        <v>3239</v>
      </c>
      <c r="AA4214" s="2" t="s">
        <v>72</v>
      </c>
      <c r="AB4214" s="2" t="s">
        <v>2907</v>
      </c>
      <c r="AC4214" s="2" t="s">
        <v>2907</v>
      </c>
      <c r="AI4214" s="2"/>
      <c r="AK4214" s="2">
        <f t="shared" si="592"/>
        <v>2.17</v>
      </c>
      <c r="AL4214" s="5">
        <f t="shared" si="593"/>
        <v>0.29972375690607733</v>
      </c>
    </row>
    <row r="4215" spans="1:38" hidden="1" x14ac:dyDescent="0.2">
      <c r="A4215" s="8">
        <v>2026</v>
      </c>
      <c r="B4215" s="8">
        <v>6</v>
      </c>
      <c r="C4215" s="8" t="s">
        <v>3406</v>
      </c>
      <c r="D4215" s="2" t="s">
        <v>1728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2907</v>
      </c>
      <c r="Q4215" s="2" t="s">
        <v>3082</v>
      </c>
      <c r="R4215" s="2" t="s">
        <v>3083</v>
      </c>
      <c r="S4215" s="9">
        <v>1</v>
      </c>
      <c r="T4215" s="10">
        <v>16.899999999999999</v>
      </c>
      <c r="U4215" s="2">
        <f t="shared" si="590"/>
        <v>3.887</v>
      </c>
      <c r="V4215" s="2">
        <f t="shared" si="591"/>
        <v>20.786999999999999</v>
      </c>
      <c r="W4215" s="2">
        <f>12.68</f>
        <v>12.68</v>
      </c>
      <c r="X4215" s="5">
        <f t="shared" si="588"/>
        <v>0.24970414201183427</v>
      </c>
      <c r="Z4215" s="2" t="s">
        <v>3239</v>
      </c>
      <c r="AA4215" s="2" t="s">
        <v>72</v>
      </c>
      <c r="AB4215" s="2" t="s">
        <v>2907</v>
      </c>
      <c r="AC4215" s="2" t="s">
        <v>2907</v>
      </c>
      <c r="AI4215" s="2"/>
      <c r="AK4215" s="2">
        <f t="shared" si="592"/>
        <v>4.2199999999999989</v>
      </c>
      <c r="AL4215" s="5">
        <f t="shared" si="593"/>
        <v>0.24970414201183427</v>
      </c>
    </row>
    <row r="4216" spans="1:38" hidden="1" x14ac:dyDescent="0.2">
      <c r="A4216" s="8">
        <v>2026</v>
      </c>
      <c r="B4216" s="8">
        <v>6</v>
      </c>
      <c r="C4216" s="8" t="s">
        <v>3406</v>
      </c>
      <c r="D4216" s="2" t="s">
        <v>1728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2907</v>
      </c>
      <c r="Q4216" s="2" t="s">
        <v>3084</v>
      </c>
      <c r="R4216" s="2" t="s">
        <v>3085</v>
      </c>
      <c r="S4216" s="9">
        <v>1</v>
      </c>
      <c r="T4216" s="10">
        <v>19</v>
      </c>
      <c r="U4216" s="2">
        <f t="shared" si="590"/>
        <v>4.37</v>
      </c>
      <c r="V4216" s="2">
        <f t="shared" si="591"/>
        <v>23.37</v>
      </c>
      <c r="W4216" s="2">
        <f>14.25</f>
        <v>14.25</v>
      </c>
      <c r="X4216" s="5">
        <f t="shared" si="588"/>
        <v>0.25</v>
      </c>
      <c r="Z4216" s="2" t="s">
        <v>3239</v>
      </c>
      <c r="AA4216" s="2" t="s">
        <v>72</v>
      </c>
      <c r="AB4216" s="2" t="s">
        <v>2907</v>
      </c>
      <c r="AC4216" s="2" t="s">
        <v>2907</v>
      </c>
      <c r="AI4216" s="2"/>
      <c r="AK4216" s="2">
        <f t="shared" si="592"/>
        <v>4.75</v>
      </c>
      <c r="AL4216" s="5">
        <f t="shared" si="593"/>
        <v>0.25</v>
      </c>
    </row>
    <row r="4217" spans="1:38" hidden="1" x14ac:dyDescent="0.2">
      <c r="A4217" s="8">
        <v>2026</v>
      </c>
      <c r="B4217" s="8">
        <v>6</v>
      </c>
      <c r="C4217" s="8" t="s">
        <v>3406</v>
      </c>
      <c r="D4217" s="2" t="s">
        <v>1728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2907</v>
      </c>
      <c r="Q4217" s="2" t="s">
        <v>3086</v>
      </c>
      <c r="R4217" s="2" t="s">
        <v>3087</v>
      </c>
      <c r="S4217" s="9">
        <v>1</v>
      </c>
      <c r="T4217" s="10">
        <v>43.5</v>
      </c>
      <c r="U4217" s="2">
        <f t="shared" si="590"/>
        <v>10.005000000000001</v>
      </c>
      <c r="V4217" s="2">
        <f t="shared" si="591"/>
        <v>53.505000000000003</v>
      </c>
      <c r="W4217" s="2">
        <f>32.63</f>
        <v>32.630000000000003</v>
      </c>
      <c r="X4217" s="5">
        <f t="shared" si="588"/>
        <v>0.2498850574712643</v>
      </c>
      <c r="Z4217" s="2" t="s">
        <v>3239</v>
      </c>
      <c r="AA4217" s="2" t="s">
        <v>72</v>
      </c>
      <c r="AB4217" s="2" t="s">
        <v>2907</v>
      </c>
      <c r="AC4217" s="2" t="s">
        <v>2907</v>
      </c>
      <c r="AI4217" s="2"/>
      <c r="AK4217" s="2">
        <f t="shared" si="592"/>
        <v>10.869999999999997</v>
      </c>
      <c r="AL4217" s="5">
        <f t="shared" si="593"/>
        <v>0.2498850574712643</v>
      </c>
    </row>
    <row r="4218" spans="1:38" hidden="1" x14ac:dyDescent="0.2">
      <c r="A4218" s="8">
        <v>2026</v>
      </c>
      <c r="B4218" s="8">
        <v>6</v>
      </c>
      <c r="C4218" s="8" t="s">
        <v>3406</v>
      </c>
      <c r="D4218" s="2" t="s">
        <v>1728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2907</v>
      </c>
      <c r="Q4218" s="2" t="s">
        <v>3088</v>
      </c>
      <c r="R4218" s="2" t="s">
        <v>3089</v>
      </c>
      <c r="S4218" s="9">
        <v>1</v>
      </c>
      <c r="T4218" s="10">
        <v>13.6</v>
      </c>
      <c r="U4218" s="2">
        <f t="shared" si="590"/>
        <v>3.1280000000000001</v>
      </c>
      <c r="V4218" s="2">
        <f t="shared" si="591"/>
        <v>16.728000000000002</v>
      </c>
      <c r="W4218" s="2">
        <f>10.2</f>
        <v>10.199999999999999</v>
      </c>
      <c r="X4218" s="5">
        <f t="shared" si="588"/>
        <v>0.25000000000000006</v>
      </c>
      <c r="Z4218" s="2" t="s">
        <v>3239</v>
      </c>
      <c r="AA4218" s="2" t="s">
        <v>72</v>
      </c>
      <c r="AB4218" s="2" t="s">
        <v>2907</v>
      </c>
      <c r="AC4218" s="2" t="s">
        <v>2907</v>
      </c>
      <c r="AI4218" s="2"/>
      <c r="AK4218" s="2">
        <f t="shared" si="592"/>
        <v>3.4000000000000004</v>
      </c>
      <c r="AL4218" s="5">
        <f t="shared" si="593"/>
        <v>0.25000000000000006</v>
      </c>
    </row>
    <row r="4219" spans="1:38" hidden="1" x14ac:dyDescent="0.2">
      <c r="A4219" s="8">
        <v>2026</v>
      </c>
      <c r="B4219" s="8">
        <v>6</v>
      </c>
      <c r="C4219" s="8"/>
      <c r="D4219" s="2" t="s">
        <v>3120</v>
      </c>
      <c r="P4219" s="2" t="s">
        <v>69</v>
      </c>
      <c r="Q4219" s="2" t="s">
        <v>3090</v>
      </c>
      <c r="R4219" s="2" t="s">
        <v>3091</v>
      </c>
      <c r="S4219" s="9">
        <v>1</v>
      </c>
      <c r="T4219" s="10">
        <v>43</v>
      </c>
      <c r="U4219" s="2">
        <f t="shared" si="590"/>
        <v>9.89</v>
      </c>
      <c r="V4219" s="2">
        <f t="shared" si="591"/>
        <v>52.89</v>
      </c>
      <c r="X4219" s="5">
        <f t="shared" si="588"/>
        <v>1</v>
      </c>
      <c r="Z4219" s="2" t="s">
        <v>3239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 t="s">
        <v>3308</v>
      </c>
      <c r="D4220" s="2" t="s">
        <v>3120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2907</v>
      </c>
      <c r="Q4220" s="2" t="s">
        <v>3092</v>
      </c>
      <c r="R4220" s="2" t="s">
        <v>3093</v>
      </c>
      <c r="S4220" s="9">
        <v>1</v>
      </c>
      <c r="T4220" s="10">
        <v>198</v>
      </c>
      <c r="U4220" s="2">
        <f t="shared" si="590"/>
        <v>45.54</v>
      </c>
      <c r="V4220" s="2">
        <f t="shared" si="591"/>
        <v>243.54</v>
      </c>
      <c r="W4220" s="2">
        <v>148.5</v>
      </c>
      <c r="X4220" s="5">
        <f t="shared" si="588"/>
        <v>0.25</v>
      </c>
      <c r="Z4220" s="2" t="s">
        <v>3239</v>
      </c>
      <c r="AA4220" s="2" t="s">
        <v>72</v>
      </c>
      <c r="AB4220" s="2" t="s">
        <v>2907</v>
      </c>
      <c r="AC4220" s="2" t="s">
        <v>2907</v>
      </c>
      <c r="AI4220" s="2"/>
      <c r="AK4220" s="2">
        <f t="shared" ref="AK4220" si="594">T4220-W4220</f>
        <v>49.5</v>
      </c>
      <c r="AL4220" s="5">
        <f t="shared" ref="AL4220" si="595">(T4220-W4220)/T4220</f>
        <v>0.25</v>
      </c>
    </row>
    <row r="4221" spans="1:38" hidden="1" x14ac:dyDescent="0.2">
      <c r="A4221" s="8">
        <v>2026</v>
      </c>
      <c r="B4221" s="8">
        <v>6</v>
      </c>
      <c r="C4221" s="8"/>
      <c r="D4221" s="2" t="s">
        <v>3120</v>
      </c>
      <c r="P4221" s="2" t="s">
        <v>40</v>
      </c>
      <c r="Q4221" s="2" t="s">
        <v>3094</v>
      </c>
      <c r="R4221" s="2" t="s">
        <v>3095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2057</v>
      </c>
      <c r="P4222" s="2" t="s">
        <v>1042</v>
      </c>
      <c r="Q4222" s="2" t="s">
        <v>3096</v>
      </c>
      <c r="R4222" s="2" t="s">
        <v>3097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3239</v>
      </c>
      <c r="AA4222" s="2" t="s">
        <v>76</v>
      </c>
      <c r="AB4222" s="2" t="s">
        <v>77</v>
      </c>
      <c r="AC4222" s="2" t="s">
        <v>1042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2057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596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2057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3239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2059</v>
      </c>
      <c r="P4225" s="2" t="s">
        <v>115</v>
      </c>
      <c r="Q4225" s="2" t="s">
        <v>2291</v>
      </c>
      <c r="R4225" s="2" t="s">
        <v>2292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2059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597">T4226*23%</f>
        <v>33.81</v>
      </c>
      <c r="V4226" s="2">
        <f t="shared" ref="V4226:V4231" si="598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2059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597"/>
        <v>25.3</v>
      </c>
      <c r="V4227" s="2">
        <f t="shared" si="598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2914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597"/>
        <v>13.34</v>
      </c>
      <c r="V4228" s="2">
        <f t="shared" si="598"/>
        <v>71.34</v>
      </c>
      <c r="W4228" s="2">
        <f t="shared" ref="W4228" si="599">14.5099*S4228</f>
        <v>29.0198</v>
      </c>
      <c r="X4228" s="5">
        <f t="shared" ref="X4228" si="600">(T4228-W4228)/T4228</f>
        <v>0.49965862068965516</v>
      </c>
      <c r="Z4228" s="2" t="s">
        <v>3239</v>
      </c>
      <c r="AA4228" s="2" t="s">
        <v>46</v>
      </c>
      <c r="AB4228" s="2" t="s">
        <v>61</v>
      </c>
      <c r="AC4228" s="2" t="s">
        <v>3345</v>
      </c>
      <c r="AI4228" s="2"/>
      <c r="AK4228" s="2">
        <f t="shared" ref="AK4228" si="601">T4228-W4228</f>
        <v>28.9802</v>
      </c>
      <c r="AL4228" s="5">
        <f t="shared" ref="AL4228" si="602">(T4228-W4228)/T4228</f>
        <v>0.49965862068965516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597"/>
        <v>50.572400000000002</v>
      </c>
      <c r="V4229" s="10">
        <f t="shared" si="598"/>
        <v>270.45240000000001</v>
      </c>
      <c r="W4229" s="2">
        <v>125.51600000000001</v>
      </c>
      <c r="X4229" s="5">
        <f>(T4229-W4229)/T4229</f>
        <v>0.429161360742223</v>
      </c>
      <c r="Z4229" s="2" t="s">
        <v>3239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3167</v>
      </c>
      <c r="P4230" s="2" t="s">
        <v>1042</v>
      </c>
      <c r="Q4230" s="2" t="s">
        <v>1843</v>
      </c>
      <c r="R4230" s="2" t="s">
        <v>1844</v>
      </c>
      <c r="S4230" s="9">
        <v>1</v>
      </c>
      <c r="T4230" s="10">
        <v>269.56</v>
      </c>
      <c r="U4230" s="2">
        <f t="shared" si="597"/>
        <v>61.998800000000003</v>
      </c>
      <c r="V4230" s="2">
        <f t="shared" si="598"/>
        <v>331.55880000000002</v>
      </c>
      <c r="W4230" s="2">
        <v>157.85</v>
      </c>
      <c r="X4230" s="5">
        <f>(T4230-W4230)/T4230</f>
        <v>0.4144160854726221</v>
      </c>
      <c r="Z4230" s="2" t="s">
        <v>3239</v>
      </c>
      <c r="AA4230" s="2" t="s">
        <v>76</v>
      </c>
      <c r="AB4230" s="2" t="s">
        <v>77</v>
      </c>
      <c r="AC4230" s="2" t="s">
        <v>1042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597"/>
        <v>-4.7495000000000003</v>
      </c>
      <c r="V4231" s="10">
        <f t="shared" si="598"/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03">T4232*23%</f>
        <v>0.68080000000000007</v>
      </c>
      <c r="V4232" s="10">
        <f t="shared" ref="V4232:V4237" si="604">T4232+U4232</f>
        <v>3.6408</v>
      </c>
      <c r="W4232" s="2">
        <f>1.48*S4232</f>
        <v>2.96</v>
      </c>
      <c r="X4232" s="5">
        <f t="shared" ref="X4232:X4237" si="605">(T4232-W4232)/T4232</f>
        <v>0</v>
      </c>
      <c r="Z4232" s="2" t="s">
        <v>3239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hidden="1" x14ac:dyDescent="0.2">
      <c r="A4233" s="8">
        <v>2026</v>
      </c>
      <c r="B4233" s="8">
        <v>6</v>
      </c>
      <c r="C4233" s="8"/>
      <c r="D4233" s="2" t="s">
        <v>2536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03"/>
        <v>5.3819999999999997</v>
      </c>
      <c r="V4233" s="10">
        <f t="shared" si="604"/>
        <v>28.781999999999996</v>
      </c>
      <c r="X4233" s="5">
        <f t="shared" si="605"/>
        <v>1</v>
      </c>
      <c r="Z4233" s="2" t="s">
        <v>3239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hidden="1" x14ac:dyDescent="0.2">
      <c r="A4234" s="8">
        <v>2026</v>
      </c>
      <c r="B4234" s="8">
        <v>6</v>
      </c>
      <c r="C4234" s="8"/>
      <c r="D4234" s="2" t="s">
        <v>2536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03"/>
        <v>6.9</v>
      </c>
      <c r="V4234" s="10">
        <f t="shared" si="604"/>
        <v>36.9</v>
      </c>
      <c r="X4234" s="5">
        <f t="shared" si="605"/>
        <v>1</v>
      </c>
      <c r="Z4234" s="2" t="s">
        <v>3239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2536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03"/>
        <v>4.83</v>
      </c>
      <c r="V4235" s="10">
        <f t="shared" si="604"/>
        <v>25.83</v>
      </c>
      <c r="X4235" s="5">
        <f t="shared" si="605"/>
        <v>1</v>
      </c>
      <c r="Z4235" s="2" t="s">
        <v>3239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2536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03"/>
        <v>8.9700000000000006</v>
      </c>
      <c r="V4236" s="10">
        <f t="shared" si="604"/>
        <v>47.97</v>
      </c>
      <c r="W4236" s="2">
        <f>0.082*S4236</f>
        <v>24.6</v>
      </c>
      <c r="X4236" s="5">
        <f t="shared" si="605"/>
        <v>0.3692307692307692</v>
      </c>
      <c r="Z4236" s="2" t="s">
        <v>3239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06">T4236-W4236</f>
        <v>14.399999999999999</v>
      </c>
      <c r="AL4236" s="5">
        <f t="shared" ref="AL4236" si="607">(T4236-W4236)/T4236</f>
        <v>0.3692307692307692</v>
      </c>
    </row>
    <row r="4237" spans="1:38" hidden="1" x14ac:dyDescent="0.2">
      <c r="A4237" s="8">
        <v>2026</v>
      </c>
      <c r="B4237" s="8">
        <v>6</v>
      </c>
      <c r="C4237" s="8"/>
      <c r="D4237" s="2" t="s">
        <v>2536</v>
      </c>
      <c r="P4237" s="2" t="s">
        <v>43</v>
      </c>
      <c r="Q4237" s="2" t="s">
        <v>2977</v>
      </c>
      <c r="R4237" s="2" t="s">
        <v>2978</v>
      </c>
      <c r="S4237" s="9">
        <v>2</v>
      </c>
      <c r="T4237" s="10">
        <v>36</v>
      </c>
      <c r="U4237" s="2">
        <f t="shared" si="603"/>
        <v>8.2800000000000011</v>
      </c>
      <c r="V4237" s="10">
        <f t="shared" si="604"/>
        <v>44.28</v>
      </c>
      <c r="X4237" s="5">
        <f t="shared" si="605"/>
        <v>1</v>
      </c>
      <c r="Z4237" s="2" t="s">
        <v>3239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2536</v>
      </c>
      <c r="P4238" s="2" t="s">
        <v>40</v>
      </c>
      <c r="Q4238" s="2" t="s">
        <v>1313</v>
      </c>
      <c r="R4238" s="2" t="s">
        <v>1314</v>
      </c>
      <c r="S4238" s="9">
        <v>1</v>
      </c>
      <c r="T4238" s="10">
        <v>0</v>
      </c>
      <c r="X4238" s="2"/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1276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1277</v>
      </c>
      <c r="J4239" s="2" t="s">
        <v>1278</v>
      </c>
      <c r="L4239" s="2" t="s">
        <v>178</v>
      </c>
      <c r="M4239" s="2" t="s">
        <v>41</v>
      </c>
      <c r="O4239" s="2" t="s">
        <v>3171</v>
      </c>
      <c r="P4239" s="2" t="s">
        <v>1042</v>
      </c>
      <c r="Q4239" s="2" t="s">
        <v>3098</v>
      </c>
      <c r="R4239" s="2" t="s">
        <v>3099</v>
      </c>
      <c r="S4239" s="9">
        <v>1</v>
      </c>
      <c r="T4239" s="10">
        <v>270</v>
      </c>
      <c r="U4239" s="2">
        <f t="shared" ref="U4239:U4245" si="608">T4239*23%</f>
        <v>62.1</v>
      </c>
      <c r="V4239" s="2">
        <f t="shared" ref="V4239:V4245" si="609">T4239+U4239</f>
        <v>332.1</v>
      </c>
      <c r="W4239" s="2">
        <v>141.16</v>
      </c>
      <c r="X4239" s="5">
        <f t="shared" ref="X4239:X4245" si="610">(T4239-W4239)/T4239</f>
        <v>0.47718518518518521</v>
      </c>
      <c r="Z4239" s="2" t="s">
        <v>3239</v>
      </c>
      <c r="AA4239" s="2" t="s">
        <v>76</v>
      </c>
      <c r="AB4239" s="2" t="s">
        <v>77</v>
      </c>
      <c r="AC4239" s="2" t="s">
        <v>1042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1276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1277</v>
      </c>
      <c r="J4240" s="2" t="s">
        <v>1278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8"/>
        <v>0.34040000000000004</v>
      </c>
      <c r="V4240" s="10">
        <f t="shared" si="609"/>
        <v>1.8204</v>
      </c>
      <c r="W4240" s="2">
        <f>1.48*S4240</f>
        <v>1.48</v>
      </c>
      <c r="X4240" s="5">
        <f t="shared" si="610"/>
        <v>0</v>
      </c>
      <c r="Z4240" s="2" t="s">
        <v>3239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3119</v>
      </c>
      <c r="P4241" s="2" t="s">
        <v>283</v>
      </c>
      <c r="Q4241" s="2" t="s">
        <v>3100</v>
      </c>
      <c r="R4241" s="2" t="s">
        <v>3101</v>
      </c>
      <c r="S4241" s="9">
        <v>1</v>
      </c>
      <c r="T4241" s="10">
        <v>2490</v>
      </c>
      <c r="U4241" s="2">
        <f t="shared" si="608"/>
        <v>572.70000000000005</v>
      </c>
      <c r="V4241" s="10">
        <f t="shared" si="609"/>
        <v>3062.7</v>
      </c>
      <c r="X4241" s="5">
        <f t="shared" si="610"/>
        <v>1</v>
      </c>
      <c r="Z4241" s="2" t="s">
        <v>105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3119</v>
      </c>
      <c r="P4242" s="2" t="s">
        <v>283</v>
      </c>
      <c r="Q4242" s="2" t="s">
        <v>3102</v>
      </c>
      <c r="R4242" s="2" t="s">
        <v>3103</v>
      </c>
      <c r="S4242" s="9">
        <v>1</v>
      </c>
      <c r="T4242" s="10">
        <v>2490</v>
      </c>
      <c r="U4242" s="2">
        <f t="shared" si="608"/>
        <v>572.70000000000005</v>
      </c>
      <c r="V4242" s="10">
        <f t="shared" si="609"/>
        <v>3062.7</v>
      </c>
      <c r="X4242" s="5">
        <f t="shared" si="610"/>
        <v>1</v>
      </c>
      <c r="Z4242" s="2" t="s">
        <v>105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2918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08"/>
        <v>36.151400000000002</v>
      </c>
      <c r="V4243" s="10">
        <f t="shared" si="609"/>
        <v>193.3314</v>
      </c>
      <c r="X4243" s="5">
        <f t="shared" si="610"/>
        <v>1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2918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08"/>
        <v>6.5711000000000004</v>
      </c>
      <c r="V4244" s="10">
        <f t="shared" si="609"/>
        <v>35.141100000000002</v>
      </c>
      <c r="X4244" s="5">
        <f t="shared" si="610"/>
        <v>1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8"/>
        <v>25.3</v>
      </c>
      <c r="V4245" s="10">
        <f t="shared" si="609"/>
        <v>135.30000000000001</v>
      </c>
      <c r="W4245" s="2">
        <f>0.082*S4245</f>
        <v>82</v>
      </c>
      <c r="X4245" s="5">
        <f t="shared" si="610"/>
        <v>0.25454545454545452</v>
      </c>
      <c r="Z4245" s="2" t="s">
        <v>3239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11">T4245-W4245</f>
        <v>28</v>
      </c>
      <c r="AL4245" s="5">
        <f t="shared" ref="AL4245" si="612">(T4245-W4245)/T4245</f>
        <v>0.25454545454545452</v>
      </c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X4246" s="2"/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2995</v>
      </c>
      <c r="S4247" s="9">
        <v>1</v>
      </c>
      <c r="T4247" s="10">
        <v>28.38</v>
      </c>
      <c r="X4247" s="2"/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1076</v>
      </c>
      <c r="R4251" s="2" t="s">
        <v>382</v>
      </c>
      <c r="S4251" s="9">
        <v>1</v>
      </c>
      <c r="T4251" s="10">
        <v>257.60000000000002</v>
      </c>
      <c r="U4251" s="2">
        <f t="shared" ref="U4251:U4260" si="613">T4251*23%</f>
        <v>59.248000000000005</v>
      </c>
      <c r="V4251" s="10">
        <f t="shared" ref="V4251:V4261" si="614">T4251+U4251</f>
        <v>316.84800000000001</v>
      </c>
      <c r="W4251" s="2">
        <f>130.03+6.8</f>
        <v>136.83000000000001</v>
      </c>
      <c r="X4251" s="5">
        <f t="shared" ref="X4251:X4263" si="615">(T4251-W4251)/T4251</f>
        <v>0.46882763975155278</v>
      </c>
      <c r="Z4251" s="2" t="s">
        <v>3239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3173</v>
      </c>
      <c r="P4252" s="2" t="s">
        <v>1042</v>
      </c>
      <c r="Q4252" s="2" t="s">
        <v>2752</v>
      </c>
      <c r="R4252" s="2" t="s">
        <v>2753</v>
      </c>
      <c r="S4252" s="9">
        <v>1</v>
      </c>
      <c r="T4252" s="10">
        <v>414</v>
      </c>
      <c r="U4252" s="2">
        <f t="shared" si="613"/>
        <v>95.22</v>
      </c>
      <c r="V4252" s="2">
        <f t="shared" si="614"/>
        <v>509.22</v>
      </c>
      <c r="W4252" s="2">
        <v>270.60000000000002</v>
      </c>
      <c r="X4252" s="5">
        <f t="shared" si="615"/>
        <v>0.34637681159420286</v>
      </c>
      <c r="Z4252" s="2" t="s">
        <v>3239</v>
      </c>
      <c r="AA4252" s="2" t="s">
        <v>76</v>
      </c>
      <c r="AB4252" s="2" t="s">
        <v>77</v>
      </c>
      <c r="AC4252" s="2" t="s">
        <v>1042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13"/>
        <v>0.68080000000000007</v>
      </c>
      <c r="V4253" s="10">
        <f t="shared" si="614"/>
        <v>3.6408</v>
      </c>
      <c r="W4253" s="2">
        <f>1.48*S4253</f>
        <v>2.96</v>
      </c>
      <c r="X4253" s="5">
        <f t="shared" si="615"/>
        <v>0</v>
      </c>
      <c r="Z4253" s="2" t="s">
        <v>3239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hidden="1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13"/>
        <v>2.0700000000000003</v>
      </c>
      <c r="V4254" s="10">
        <f t="shared" si="614"/>
        <v>11.07</v>
      </c>
      <c r="X4254" s="5">
        <f t="shared" si="615"/>
        <v>1</v>
      </c>
      <c r="Z4254" s="2" t="s">
        <v>3239</v>
      </c>
      <c r="AA4254" s="2" t="s">
        <v>46</v>
      </c>
      <c r="AI4254" s="2"/>
      <c r="AL4254" s="2"/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13"/>
        <v>48.667999999999999</v>
      </c>
      <c r="V4255" s="10">
        <f t="shared" si="614"/>
        <v>260.26799999999997</v>
      </c>
      <c r="W4255" s="2">
        <f>115.92+6.06</f>
        <v>121.98</v>
      </c>
      <c r="X4255" s="5">
        <f t="shared" si="615"/>
        <v>0.42353497164461246</v>
      </c>
      <c r="Z4255" s="2" t="s">
        <v>3239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13"/>
        <v>0.34040000000000004</v>
      </c>
      <c r="V4256" s="10">
        <f t="shared" si="614"/>
        <v>1.8204</v>
      </c>
      <c r="W4256" s="2">
        <f>1.48*S4256</f>
        <v>1.48</v>
      </c>
      <c r="X4256" s="5">
        <f t="shared" si="615"/>
        <v>0</v>
      </c>
      <c r="Z4256" s="2" t="s">
        <v>3239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hidden="1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13"/>
        <v>2.99</v>
      </c>
      <c r="V4257" s="10">
        <f t="shared" si="614"/>
        <v>15.99</v>
      </c>
      <c r="W4257" s="2">
        <f>0.082*S4257</f>
        <v>8.2000000000000011</v>
      </c>
      <c r="X4257" s="5">
        <f t="shared" si="615"/>
        <v>0.36923076923076914</v>
      </c>
      <c r="Z4257" s="2" t="s">
        <v>3239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16">T4257-W4257</f>
        <v>4.7999999999999989</v>
      </c>
      <c r="AL4257" s="5">
        <f t="shared" ref="AL4257" si="617">(T4257-W4257)/T4257</f>
        <v>0.36923076923076914</v>
      </c>
    </row>
    <row r="4258" spans="1:38" hidden="1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13"/>
        <v>29.900000000000002</v>
      </c>
      <c r="V4258" s="10">
        <f t="shared" si="614"/>
        <v>159.9</v>
      </c>
      <c r="W4258" s="2">
        <f>0.0914*S4258</f>
        <v>91.399999999999991</v>
      </c>
      <c r="X4258" s="5">
        <f t="shared" si="615"/>
        <v>0.29692307692307701</v>
      </c>
      <c r="Z4258" s="2" t="s">
        <v>3239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hidden="1" x14ac:dyDescent="0.2">
      <c r="A4259" s="8">
        <v>2026</v>
      </c>
      <c r="B4259" s="8">
        <v>6</v>
      </c>
      <c r="C4259" s="8"/>
      <c r="D4259" s="2" t="s">
        <v>1300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1301</v>
      </c>
      <c r="L4259" s="2" t="s">
        <v>340</v>
      </c>
      <c r="M4259" s="2" t="s">
        <v>81</v>
      </c>
      <c r="O4259" s="2" t="s">
        <v>3208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13"/>
        <v>46.850999999999999</v>
      </c>
      <c r="V4259" s="10">
        <f t="shared" si="614"/>
        <v>250.55099999999999</v>
      </c>
      <c r="W4259" s="2">
        <f>110.125+11.77</f>
        <v>121.895</v>
      </c>
      <c r="X4259" s="5">
        <f t="shared" si="615"/>
        <v>0.4015954835542464</v>
      </c>
      <c r="Z4259" s="2" t="s">
        <v>3239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1300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1301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13"/>
        <v>0.34040000000000004</v>
      </c>
      <c r="V4260" s="10">
        <f t="shared" si="614"/>
        <v>1.8204</v>
      </c>
      <c r="W4260" s="2">
        <f>1.48*S4260</f>
        <v>1.48</v>
      </c>
      <c r="X4260" s="5">
        <f t="shared" si="615"/>
        <v>0</v>
      </c>
      <c r="Z4260" s="2" t="s">
        <v>3239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18">T4261*23%</f>
        <v>107.111</v>
      </c>
      <c r="V4261" s="2">
        <f t="shared" si="614"/>
        <v>572.81100000000004</v>
      </c>
      <c r="W4261" s="2">
        <v>345.20339999999999</v>
      </c>
      <c r="X4261" s="5">
        <f t="shared" si="615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1665</v>
      </c>
      <c r="P4262" s="2" t="s">
        <v>115</v>
      </c>
      <c r="Q4262" s="2" t="s">
        <v>1914</v>
      </c>
      <c r="R4262" s="2" t="s">
        <v>1915</v>
      </c>
      <c r="S4262" s="9">
        <v>1</v>
      </c>
      <c r="T4262" s="10">
        <v>23850</v>
      </c>
      <c r="U4262" s="2">
        <f t="shared" si="618"/>
        <v>5485.5</v>
      </c>
      <c r="V4262" s="2">
        <f t="shared" ref="V4262:V4278" si="619">T4262+U4262</f>
        <v>29335.5</v>
      </c>
      <c r="X4262" s="5">
        <f t="shared" si="615"/>
        <v>1</v>
      </c>
      <c r="Z4262" s="2" t="s">
        <v>105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3118</v>
      </c>
      <c r="P4263" s="2" t="s">
        <v>115</v>
      </c>
      <c r="Q4263" s="2" t="s">
        <v>3104</v>
      </c>
      <c r="R4263" s="2" t="s">
        <v>3105</v>
      </c>
      <c r="S4263" s="9">
        <v>1</v>
      </c>
      <c r="T4263" s="10">
        <v>750.56</v>
      </c>
      <c r="U4263" s="2">
        <f t="shared" si="618"/>
        <v>172.62879999999998</v>
      </c>
      <c r="V4263" s="2">
        <f t="shared" si="619"/>
        <v>923.1887999999999</v>
      </c>
      <c r="X4263" s="5">
        <f t="shared" si="615"/>
        <v>1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3118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8"/>
        <v>12.65</v>
      </c>
      <c r="V4264" s="2">
        <f t="shared" si="619"/>
        <v>67.650000000000006</v>
      </c>
      <c r="W4264" s="2">
        <f>T4264*40%</f>
        <v>22</v>
      </c>
      <c r="X4264" s="5">
        <f t="shared" ref="X4264:X4272" si="620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21">T4264-W4264</f>
        <v>33</v>
      </c>
      <c r="AL4264" s="5">
        <f t="shared" ref="AL4264:AL4272" si="622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3118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8"/>
        <v>12.65</v>
      </c>
      <c r="V4265" s="2">
        <f t="shared" si="619"/>
        <v>67.650000000000006</v>
      </c>
      <c r="W4265" s="2">
        <f>T4265*50%</f>
        <v>27.5</v>
      </c>
      <c r="X4265" s="5">
        <f t="shared" si="620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21"/>
        <v>27.5</v>
      </c>
      <c r="AL4265" s="5">
        <f t="shared" si="622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8"/>
        <v>26.220000000000002</v>
      </c>
      <c r="V4266" s="2">
        <f t="shared" si="619"/>
        <v>140.22</v>
      </c>
      <c r="W4266" s="2">
        <f>T4266*40%</f>
        <v>45.6</v>
      </c>
      <c r="X4266" s="5">
        <f t="shared" si="620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21"/>
        <v>68.400000000000006</v>
      </c>
      <c r="AL4266" s="5">
        <f t="shared" si="622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8"/>
        <v>11.385</v>
      </c>
      <c r="V4267" s="2">
        <f t="shared" si="619"/>
        <v>60.884999999999998</v>
      </c>
      <c r="W4267" s="2">
        <f>T4267*50%</f>
        <v>24.75</v>
      </c>
      <c r="X4267" s="5">
        <f t="shared" si="620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21"/>
        <v>24.75</v>
      </c>
      <c r="AL4267" s="5">
        <f t="shared" si="622"/>
        <v>0.5</v>
      </c>
    </row>
    <row r="4268" spans="1:38" hidden="1" x14ac:dyDescent="0.2">
      <c r="A4268" s="8">
        <v>2026</v>
      </c>
      <c r="B4268" s="8">
        <v>6</v>
      </c>
      <c r="C4268" s="8" t="s">
        <v>3336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8"/>
        <v>137.86199999999999</v>
      </c>
      <c r="V4268" s="2">
        <f t="shared" si="619"/>
        <v>737.26199999999994</v>
      </c>
      <c r="W4268" s="2">
        <v>346.57</v>
      </c>
      <c r="X4268" s="5">
        <f t="shared" si="620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21"/>
        <v>252.82999999999998</v>
      </c>
      <c r="AL4268" s="5">
        <f t="shared" si="622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3336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1586</v>
      </c>
      <c r="R4269" s="2" t="s">
        <v>1587</v>
      </c>
      <c r="S4269" s="9">
        <v>1</v>
      </c>
      <c r="T4269" s="10">
        <v>6990</v>
      </c>
      <c r="U4269" s="2">
        <f t="shared" si="618"/>
        <v>1607.7</v>
      </c>
      <c r="V4269" s="2">
        <f t="shared" si="619"/>
        <v>8597.7000000000007</v>
      </c>
      <c r="W4269" s="2">
        <f>4893.23+171</f>
        <v>5064.2299999999996</v>
      </c>
      <c r="X4269" s="5">
        <f t="shared" si="620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21"/>
        <v>1925.7700000000004</v>
      </c>
      <c r="AL4269" s="5">
        <f t="shared" si="622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3336</v>
      </c>
      <c r="D4270" s="2" t="s">
        <v>3115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18"/>
        <v>160.839</v>
      </c>
      <c r="V4270" s="2">
        <f t="shared" si="619"/>
        <v>860.1389999999999</v>
      </c>
      <c r="W4270" s="2">
        <v>345.20339999999999</v>
      </c>
      <c r="X4270" s="5">
        <f t="shared" si="620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21"/>
        <v>354.09659999999997</v>
      </c>
      <c r="AL4270" s="5">
        <f t="shared" si="622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3336</v>
      </c>
      <c r="D4271" s="2" t="s">
        <v>3115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8"/>
        <v>34.96</v>
      </c>
      <c r="V4271" s="2">
        <f t="shared" si="619"/>
        <v>186.96</v>
      </c>
      <c r="W4271" s="2">
        <f>T4271*40%</f>
        <v>60.800000000000004</v>
      </c>
      <c r="X4271" s="5">
        <f t="shared" si="620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21"/>
        <v>91.199999999999989</v>
      </c>
      <c r="AL4271" s="5">
        <f t="shared" si="622"/>
        <v>0.6</v>
      </c>
    </row>
    <row r="4272" spans="1:38" hidden="1" x14ac:dyDescent="0.2">
      <c r="A4272" s="8">
        <v>2026</v>
      </c>
      <c r="B4272" s="8">
        <v>6</v>
      </c>
      <c r="C4272" s="8" t="s">
        <v>3336</v>
      </c>
      <c r="D4272" s="2" t="s">
        <v>3115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8"/>
        <v>12.65</v>
      </c>
      <c r="V4272" s="2">
        <f t="shared" si="619"/>
        <v>67.650000000000006</v>
      </c>
      <c r="W4272" s="2">
        <f>T4272*50%</f>
        <v>27.5</v>
      </c>
      <c r="X4272" s="5">
        <f t="shared" si="620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21"/>
        <v>27.5</v>
      </c>
      <c r="AL4272" s="5">
        <f t="shared" si="622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2198</v>
      </c>
      <c r="P4273" s="2" t="s">
        <v>283</v>
      </c>
      <c r="Q4273" s="2" t="s">
        <v>1789</v>
      </c>
      <c r="R4273" s="2" t="s">
        <v>1790</v>
      </c>
      <c r="S4273" s="9">
        <v>1</v>
      </c>
      <c r="T4273" s="10">
        <v>1990</v>
      </c>
      <c r="U4273" s="2">
        <f t="shared" si="618"/>
        <v>457.70000000000005</v>
      </c>
      <c r="V4273" s="10">
        <f t="shared" si="619"/>
        <v>2447.6999999999998</v>
      </c>
      <c r="X4273" s="5">
        <f t="shared" ref="X4273:X4336" si="623">(T4273-W4273)/T4273</f>
        <v>1</v>
      </c>
      <c r="Z4273" s="2" t="s">
        <v>105</v>
      </c>
      <c r="AI4273" s="2"/>
      <c r="AK4273" s="2">
        <f t="shared" ref="AK4273:AK4303" si="624">T4273-W4273</f>
        <v>1990</v>
      </c>
      <c r="AL4273" s="5">
        <f t="shared" ref="AL4273:AL4303" si="625">(T4273-W4273)/T4273</f>
        <v>1</v>
      </c>
    </row>
    <row r="4274" spans="1:38" hidden="1" x14ac:dyDescent="0.2">
      <c r="A4274" s="8">
        <v>2026</v>
      </c>
      <c r="B4274" s="8">
        <v>6</v>
      </c>
      <c r="C4274" s="8"/>
      <c r="D4274" s="2" t="s">
        <v>2198</v>
      </c>
      <c r="P4274" s="2" t="s">
        <v>283</v>
      </c>
      <c r="Q4274" s="2" t="s">
        <v>1333</v>
      </c>
      <c r="R4274" s="2" t="s">
        <v>1334</v>
      </c>
      <c r="S4274" s="9">
        <v>1</v>
      </c>
      <c r="T4274" s="10">
        <v>1990</v>
      </c>
      <c r="U4274" s="2">
        <f t="shared" si="618"/>
        <v>457.70000000000005</v>
      </c>
      <c r="V4274" s="10">
        <f t="shared" si="619"/>
        <v>2447.6999999999998</v>
      </c>
      <c r="W4274" s="2">
        <v>1578</v>
      </c>
      <c r="X4274" s="5">
        <f t="shared" si="623"/>
        <v>0.20703517587939699</v>
      </c>
      <c r="Z4274" s="2" t="s">
        <v>105</v>
      </c>
      <c r="AA4274" s="2" t="s">
        <v>388</v>
      </c>
      <c r="AB4274" s="2" t="s">
        <v>1335</v>
      </c>
      <c r="AC4274" s="2" t="s">
        <v>1332</v>
      </c>
      <c r="AI4274" s="2"/>
      <c r="AK4274" s="2">
        <f t="shared" si="624"/>
        <v>412</v>
      </c>
      <c r="AL4274" s="5">
        <f t="shared" si="625"/>
        <v>0.20703517587939699</v>
      </c>
    </row>
    <row r="4275" spans="1:38" hidden="1" x14ac:dyDescent="0.2">
      <c r="A4275" s="8">
        <v>2026</v>
      </c>
      <c r="B4275" s="8">
        <v>6</v>
      </c>
      <c r="C4275" s="8"/>
      <c r="D4275" s="2" t="s">
        <v>2652</v>
      </c>
      <c r="P4275" s="2" t="s">
        <v>283</v>
      </c>
      <c r="Q4275" s="2" t="s">
        <v>1239</v>
      </c>
      <c r="R4275" s="2" t="s">
        <v>1240</v>
      </c>
      <c r="S4275" s="9">
        <v>1</v>
      </c>
      <c r="T4275" s="10">
        <v>4200</v>
      </c>
      <c r="U4275" s="2">
        <f t="shared" si="618"/>
        <v>966</v>
      </c>
      <c r="V4275" s="10">
        <f t="shared" si="619"/>
        <v>5166</v>
      </c>
      <c r="W4275" s="2">
        <f>3203.85+43</f>
        <v>3246.85</v>
      </c>
      <c r="X4275" s="5">
        <f t="shared" si="623"/>
        <v>0.22694047619047622</v>
      </c>
      <c r="Z4275" s="2" t="s">
        <v>105</v>
      </c>
      <c r="AA4275" s="2" t="s">
        <v>1582</v>
      </c>
      <c r="AB4275" s="2" t="s">
        <v>389</v>
      </c>
      <c r="AC4275" s="2" t="s">
        <v>1332</v>
      </c>
      <c r="AI4275" s="2"/>
      <c r="AK4275" s="2">
        <f t="shared" si="624"/>
        <v>953.15000000000009</v>
      </c>
      <c r="AL4275" s="5">
        <f t="shared" si="625"/>
        <v>0.22694047619047622</v>
      </c>
    </row>
    <row r="4276" spans="1:38" hidden="1" x14ac:dyDescent="0.2">
      <c r="A4276" s="8">
        <v>2026</v>
      </c>
      <c r="B4276" s="8">
        <v>6</v>
      </c>
      <c r="C4276" s="8"/>
      <c r="D4276" s="2" t="s">
        <v>3114</v>
      </c>
      <c r="P4276" s="2" t="s">
        <v>283</v>
      </c>
      <c r="Q4276" s="2" t="s">
        <v>1333</v>
      </c>
      <c r="R4276" s="2" t="s">
        <v>1334</v>
      </c>
      <c r="S4276" s="9">
        <v>1</v>
      </c>
      <c r="T4276" s="10">
        <v>2150</v>
      </c>
      <c r="U4276" s="2">
        <f t="shared" si="618"/>
        <v>494.5</v>
      </c>
      <c r="V4276" s="10">
        <f t="shared" si="619"/>
        <v>2644.5</v>
      </c>
      <c r="W4276" s="2">
        <v>1578</v>
      </c>
      <c r="X4276" s="5">
        <f t="shared" si="623"/>
        <v>0.26604651162790699</v>
      </c>
      <c r="Z4276" s="2" t="s">
        <v>105</v>
      </c>
      <c r="AA4276" s="2" t="s">
        <v>388</v>
      </c>
      <c r="AB4276" s="2" t="s">
        <v>1335</v>
      </c>
      <c r="AC4276" s="2" t="s">
        <v>1332</v>
      </c>
      <c r="AI4276" s="2"/>
      <c r="AK4276" s="2">
        <f t="shared" si="624"/>
        <v>572</v>
      </c>
      <c r="AL4276" s="5">
        <f t="shared" si="625"/>
        <v>0.26604651162790699</v>
      </c>
    </row>
    <row r="4277" spans="1:38" hidden="1" x14ac:dyDescent="0.2">
      <c r="A4277" s="8">
        <v>2026</v>
      </c>
      <c r="B4277" s="8">
        <v>6</v>
      </c>
      <c r="C4277" s="8"/>
      <c r="D4277" s="2" t="s">
        <v>679</v>
      </c>
      <c r="P4277" s="2" t="s">
        <v>2701</v>
      </c>
      <c r="Q4277" s="2" t="s">
        <v>3106</v>
      </c>
      <c r="R4277" s="2" t="s">
        <v>3107</v>
      </c>
      <c r="S4277" s="9">
        <v>-4</v>
      </c>
      <c r="T4277" s="10">
        <v>-800</v>
      </c>
      <c r="U4277" s="2">
        <f t="shared" si="618"/>
        <v>-184</v>
      </c>
      <c r="V4277" s="10">
        <f t="shared" si="619"/>
        <v>-984</v>
      </c>
      <c r="W4277" s="2">
        <f>124*4</f>
        <v>496</v>
      </c>
      <c r="X4277" s="18">
        <f t="shared" ref="X4277:X4278" si="626">SIGN(T4277)*((ABS(T4277)-W4277)/ABS(T4277))</f>
        <v>-0.38</v>
      </c>
      <c r="Z4277" s="2" t="s">
        <v>3239</v>
      </c>
      <c r="AA4277" s="2" t="s">
        <v>3397</v>
      </c>
      <c r="AB4277" s="2" t="s">
        <v>3403</v>
      </c>
      <c r="AC4277" s="2" t="s">
        <v>3404</v>
      </c>
      <c r="AI4277" s="2"/>
      <c r="AK4277" s="2">
        <f t="shared" ref="AK4277:AK4278" si="627">T4277+(W4277)</f>
        <v>-304</v>
      </c>
      <c r="AL4277" s="18">
        <f t="shared" ref="AL4277:AL4278" si="628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679</v>
      </c>
      <c r="P4278" s="2" t="s">
        <v>2701</v>
      </c>
      <c r="Q4278" s="2" t="s">
        <v>3108</v>
      </c>
      <c r="R4278" s="2" t="s">
        <v>3109</v>
      </c>
      <c r="S4278" s="9">
        <v>-4</v>
      </c>
      <c r="T4278" s="10">
        <v>-714.4</v>
      </c>
      <c r="U4278" s="2">
        <f t="shared" si="618"/>
        <v>-164.31200000000001</v>
      </c>
      <c r="V4278" s="10">
        <f t="shared" si="619"/>
        <v>-878.71199999999999</v>
      </c>
      <c r="W4278" s="2">
        <f>125*4</f>
        <v>500</v>
      </c>
      <c r="X4278" s="18">
        <f t="shared" si="626"/>
        <v>-0.30011198208286671</v>
      </c>
      <c r="Z4278" s="2" t="s">
        <v>3239</v>
      </c>
      <c r="AA4278" s="2" t="s">
        <v>3397</v>
      </c>
      <c r="AB4278" s="2" t="s">
        <v>3403</v>
      </c>
      <c r="AC4278" s="2" t="s">
        <v>3404</v>
      </c>
      <c r="AI4278" s="2"/>
      <c r="AK4278" s="2">
        <f t="shared" si="627"/>
        <v>-214.39999999999998</v>
      </c>
      <c r="AL4278" s="18">
        <f t="shared" si="628"/>
        <v>-0.30011198208286671</v>
      </c>
    </row>
    <row r="4279" spans="1:38" hidden="1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3242</v>
      </c>
      <c r="P4279" s="2" t="s">
        <v>283</v>
      </c>
      <c r="Q4279" s="6" t="s">
        <v>3241</v>
      </c>
      <c r="R4279" s="2" t="s">
        <v>1159</v>
      </c>
      <c r="S4279" s="8">
        <v>1</v>
      </c>
      <c r="T4279" s="2">
        <v>2900</v>
      </c>
      <c r="U4279" s="2">
        <f t="shared" si="618"/>
        <v>667</v>
      </c>
      <c r="V4279" s="10">
        <f>U4279+T4279</f>
        <v>3567</v>
      </c>
      <c r="W4279" s="2">
        <v>2190</v>
      </c>
      <c r="X4279" s="5">
        <f t="shared" si="623"/>
        <v>0.24482758620689654</v>
      </c>
      <c r="Z4279" s="2" t="s">
        <v>105</v>
      </c>
      <c r="AA4279" s="2" t="s">
        <v>1582</v>
      </c>
      <c r="AB4279" s="2" t="s">
        <v>389</v>
      </c>
      <c r="AC4279" s="2" t="s">
        <v>1332</v>
      </c>
      <c r="AK4279" s="2">
        <f t="shared" si="624"/>
        <v>710</v>
      </c>
      <c r="AL4279" s="5">
        <f t="shared" si="625"/>
        <v>0.24482758620689654</v>
      </c>
    </row>
    <row r="4280" spans="1:38" hidden="1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3242</v>
      </c>
      <c r="P4280" s="2" t="s">
        <v>283</v>
      </c>
      <c r="Q4280" s="6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5">
        <v>0</v>
      </c>
      <c r="Z4280" s="2" t="s">
        <v>105</v>
      </c>
      <c r="AK4280" s="2">
        <f t="shared" si="624"/>
        <v>0</v>
      </c>
      <c r="AL4280" s="5">
        <v>0</v>
      </c>
    </row>
    <row r="4281" spans="1:38" x14ac:dyDescent="0.2">
      <c r="A4281" s="2">
        <v>2026</v>
      </c>
      <c r="B4281" s="2">
        <v>7</v>
      </c>
      <c r="C4281" s="2" t="s">
        <v>3307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3283</v>
      </c>
      <c r="M4281" s="2" t="s">
        <v>41</v>
      </c>
      <c r="O4281" s="2" t="s">
        <v>3280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23"/>
        <v>1</v>
      </c>
      <c r="Z4281" s="2" t="s">
        <v>3239</v>
      </c>
      <c r="AA4281" s="2" t="s">
        <v>46</v>
      </c>
      <c r="AB4281" s="2" t="s">
        <v>47</v>
      </c>
      <c r="AC4281" s="2" t="s">
        <v>48</v>
      </c>
      <c r="AK4281" s="2">
        <f t="shared" si="624"/>
        <v>25.2</v>
      </c>
      <c r="AL4281" s="5">
        <f t="shared" si="625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3283</v>
      </c>
      <c r="M4282" s="2" t="s">
        <v>41</v>
      </c>
      <c r="O4282" s="2" t="s">
        <v>3280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29">T4282*23%</f>
        <v>4.83</v>
      </c>
      <c r="V4282" s="12">
        <f t="shared" ref="V4282:V4288" si="630">T4282+U4282</f>
        <v>25.83</v>
      </c>
      <c r="X4282" s="5">
        <f t="shared" si="623"/>
        <v>1</v>
      </c>
      <c r="Z4282" s="2" t="s">
        <v>3239</v>
      </c>
      <c r="AA4282" s="2" t="s">
        <v>46</v>
      </c>
      <c r="AB4282" s="2" t="s">
        <v>47</v>
      </c>
      <c r="AC4282" s="2" t="s">
        <v>48</v>
      </c>
      <c r="AK4282" s="2">
        <f t="shared" si="624"/>
        <v>21</v>
      </c>
      <c r="AL4282" s="5">
        <f t="shared" si="625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3283</v>
      </c>
      <c r="M4283" s="2" t="s">
        <v>41</v>
      </c>
      <c r="O4283" s="2" t="s">
        <v>3280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29"/>
        <v>2.99</v>
      </c>
      <c r="V4283" s="12">
        <f t="shared" si="630"/>
        <v>15.99</v>
      </c>
      <c r="X4283" s="5">
        <f t="shared" si="623"/>
        <v>1</v>
      </c>
      <c r="Z4283" s="2" t="s">
        <v>3239</v>
      </c>
      <c r="AA4283" s="2" t="s">
        <v>46</v>
      </c>
      <c r="AB4283" s="2" t="s">
        <v>47</v>
      </c>
      <c r="AC4283" s="2" t="s">
        <v>48</v>
      </c>
      <c r="AK4283" s="2">
        <f t="shared" si="624"/>
        <v>13</v>
      </c>
      <c r="AL4283" s="5">
        <f t="shared" si="625"/>
        <v>1</v>
      </c>
    </row>
    <row r="4284" spans="1:38" x14ac:dyDescent="0.2">
      <c r="A4284" s="2">
        <v>2026</v>
      </c>
      <c r="B4284" s="2">
        <v>7</v>
      </c>
      <c r="C4284" s="2" t="s">
        <v>3308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3283</v>
      </c>
      <c r="M4284" s="2" t="s">
        <v>81</v>
      </c>
      <c r="O4284" s="2" t="s">
        <v>3281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29"/>
        <v>4.1400000000000006</v>
      </c>
      <c r="V4284" s="12">
        <f t="shared" si="630"/>
        <v>22.14</v>
      </c>
      <c r="X4284" s="5">
        <f t="shared" si="623"/>
        <v>1</v>
      </c>
      <c r="Z4284" s="2" t="s">
        <v>3239</v>
      </c>
      <c r="AA4284" s="2" t="s">
        <v>46</v>
      </c>
      <c r="AB4284" s="2" t="s">
        <v>47</v>
      </c>
      <c r="AC4284" s="2" t="s">
        <v>48</v>
      </c>
      <c r="AK4284" s="2">
        <f t="shared" si="624"/>
        <v>18</v>
      </c>
      <c r="AL4284" s="5">
        <f t="shared" si="625"/>
        <v>1</v>
      </c>
    </row>
    <row r="4285" spans="1:38" x14ac:dyDescent="0.2">
      <c r="A4285" s="2">
        <v>2026</v>
      </c>
      <c r="B4285" s="2">
        <v>7</v>
      </c>
      <c r="C4285" s="2" t="s">
        <v>3308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3283</v>
      </c>
      <c r="M4285" s="2" t="s">
        <v>81</v>
      </c>
      <c r="O4285" s="2" t="s">
        <v>3281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29"/>
        <v>6.9</v>
      </c>
      <c r="V4285" s="12">
        <f t="shared" si="630"/>
        <v>36.9</v>
      </c>
      <c r="X4285" s="5">
        <f t="shared" si="623"/>
        <v>1</v>
      </c>
      <c r="Z4285" s="2" t="s">
        <v>3239</v>
      </c>
      <c r="AA4285" s="2" t="s">
        <v>46</v>
      </c>
      <c r="AB4285" s="2" t="s">
        <v>57</v>
      </c>
      <c r="AC4285" s="2" t="s">
        <v>58</v>
      </c>
      <c r="AK4285" s="2">
        <f t="shared" si="624"/>
        <v>30</v>
      </c>
      <c r="AL4285" s="5">
        <f t="shared" si="625"/>
        <v>1</v>
      </c>
    </row>
    <row r="4286" spans="1:38" x14ac:dyDescent="0.2">
      <c r="A4286" s="2">
        <v>2026</v>
      </c>
      <c r="B4286" s="2">
        <v>7</v>
      </c>
      <c r="C4286" s="2" t="s">
        <v>3308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3283</v>
      </c>
      <c r="M4286" s="2" t="s">
        <v>81</v>
      </c>
      <c r="O4286" s="2" t="s">
        <v>3281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29"/>
        <v>5.5200000000000005</v>
      </c>
      <c r="V4286" s="12">
        <f t="shared" si="630"/>
        <v>29.52</v>
      </c>
      <c r="X4286" s="5">
        <f t="shared" si="623"/>
        <v>1</v>
      </c>
      <c r="Z4286" s="2" t="s">
        <v>3239</v>
      </c>
      <c r="AA4286" s="2" t="s">
        <v>46</v>
      </c>
      <c r="AB4286" s="2" t="s">
        <v>47</v>
      </c>
      <c r="AC4286" s="2" t="s">
        <v>48</v>
      </c>
      <c r="AK4286" s="2">
        <f t="shared" si="624"/>
        <v>24</v>
      </c>
      <c r="AL4286" s="5">
        <f t="shared" si="625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3283</v>
      </c>
      <c r="M4287" s="2" t="s">
        <v>81</v>
      </c>
      <c r="O4287" s="2" t="s">
        <v>3282</v>
      </c>
      <c r="P4287" s="2" t="s">
        <v>1042</v>
      </c>
      <c r="Q4287" s="2" t="s">
        <v>3278</v>
      </c>
      <c r="R4287" s="2" t="s">
        <v>3279</v>
      </c>
      <c r="S4287" s="13">
        <v>1</v>
      </c>
      <c r="T4287" s="14">
        <v>187</v>
      </c>
      <c r="U4287" s="2">
        <f t="shared" si="629"/>
        <v>43.010000000000005</v>
      </c>
      <c r="V4287" s="12">
        <f t="shared" si="630"/>
        <v>230.01</v>
      </c>
      <c r="W4287" s="2">
        <v>141.16</v>
      </c>
      <c r="X4287" s="5">
        <f t="shared" si="623"/>
        <v>0.24513368983957221</v>
      </c>
      <c r="Z4287" s="2" t="s">
        <v>3239</v>
      </c>
      <c r="AA4287" s="2" t="s">
        <v>76</v>
      </c>
      <c r="AB4287" s="2" t="s">
        <v>77</v>
      </c>
      <c r="AC4287" s="2" t="s">
        <v>1042</v>
      </c>
      <c r="AK4287" s="2">
        <f t="shared" si="624"/>
        <v>45.84</v>
      </c>
      <c r="AL4287" s="5">
        <f t="shared" si="625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3283</v>
      </c>
      <c r="M4288" s="2" t="s">
        <v>81</v>
      </c>
      <c r="O4288" s="2" t="s">
        <v>3282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29"/>
        <v>0.34040000000000004</v>
      </c>
      <c r="V4288" s="12">
        <f t="shared" si="630"/>
        <v>1.8204</v>
      </c>
      <c r="W4288" s="2">
        <v>1.48</v>
      </c>
      <c r="X4288" s="5">
        <f t="shared" si="623"/>
        <v>0</v>
      </c>
      <c r="Z4288" s="2" t="s">
        <v>3239</v>
      </c>
      <c r="AA4288" s="2" t="s">
        <v>97</v>
      </c>
      <c r="AB4288" s="2" t="s">
        <v>77</v>
      </c>
      <c r="AC4288" s="2" t="s">
        <v>94</v>
      </c>
      <c r="AK4288" s="2">
        <f t="shared" si="624"/>
        <v>0</v>
      </c>
      <c r="AL4288" s="5">
        <f t="shared" si="625"/>
        <v>0</v>
      </c>
    </row>
    <row r="4289" spans="1:38" x14ac:dyDescent="0.2">
      <c r="A4289" s="2">
        <v>2026</v>
      </c>
      <c r="B4289" s="2">
        <v>7</v>
      </c>
      <c r="C4289" s="2" t="s">
        <v>3308</v>
      </c>
      <c r="D4289" s="2" t="s">
        <v>1472</v>
      </c>
      <c r="E4289" s="2" t="s">
        <v>38</v>
      </c>
      <c r="F4289" s="2" t="s">
        <v>39</v>
      </c>
      <c r="H4289" s="2" t="s">
        <v>110</v>
      </c>
      <c r="I4289" s="2" t="s">
        <v>1473</v>
      </c>
      <c r="L4289" s="2" t="s">
        <v>361</v>
      </c>
      <c r="M4289" s="2" t="s">
        <v>81</v>
      </c>
      <c r="O4289" s="2" t="s">
        <v>3292</v>
      </c>
      <c r="P4289" s="2" t="s">
        <v>73</v>
      </c>
      <c r="Q4289" s="2" t="s">
        <v>3039</v>
      </c>
      <c r="R4289" s="2" t="s">
        <v>332</v>
      </c>
      <c r="S4289" s="13">
        <v>1</v>
      </c>
      <c r="T4289" s="14">
        <v>220</v>
      </c>
      <c r="U4289" s="2">
        <f t="shared" si="629"/>
        <v>50.6</v>
      </c>
      <c r="V4289" s="12">
        <f t="shared" ref="V4289:V4304" si="631">T4289+U4289</f>
        <v>270.60000000000002</v>
      </c>
      <c r="W4289" s="2">
        <v>113.4</v>
      </c>
      <c r="X4289" s="5">
        <f t="shared" si="623"/>
        <v>0.4845454545454545</v>
      </c>
      <c r="Z4289" s="2" t="s">
        <v>3239</v>
      </c>
      <c r="AA4289" s="2" t="s">
        <v>76</v>
      </c>
      <c r="AB4289" s="2" t="s">
        <v>77</v>
      </c>
      <c r="AC4289" s="2" t="s">
        <v>78</v>
      </c>
      <c r="AK4289" s="2">
        <f t="shared" si="624"/>
        <v>106.6</v>
      </c>
      <c r="AL4289" s="5">
        <f t="shared" si="625"/>
        <v>0.4845454545454545</v>
      </c>
    </row>
    <row r="4290" spans="1:38" x14ac:dyDescent="0.2">
      <c r="A4290" s="2">
        <v>2026</v>
      </c>
      <c r="B4290" s="2">
        <v>7</v>
      </c>
      <c r="C4290" s="2" t="s">
        <v>3308</v>
      </c>
      <c r="D4290" s="2" t="s">
        <v>1472</v>
      </c>
      <c r="E4290" s="2" t="s">
        <v>38</v>
      </c>
      <c r="F4290" s="2" t="s">
        <v>39</v>
      </c>
      <c r="H4290" s="2" t="s">
        <v>110</v>
      </c>
      <c r="I4290" s="2" t="s">
        <v>1473</v>
      </c>
      <c r="L4290" s="2" t="s">
        <v>361</v>
      </c>
      <c r="M4290" s="2" t="s">
        <v>81</v>
      </c>
      <c r="O4290" s="2" t="s">
        <v>3292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29"/>
        <v>0.34040000000000004</v>
      </c>
      <c r="V4290" s="12">
        <f t="shared" si="631"/>
        <v>1.8204</v>
      </c>
      <c r="W4290" s="2">
        <v>1.48</v>
      </c>
      <c r="X4290" s="5">
        <f t="shared" si="623"/>
        <v>0</v>
      </c>
      <c r="Z4290" s="2" t="s">
        <v>3239</v>
      </c>
      <c r="AA4290" s="2" t="s">
        <v>97</v>
      </c>
      <c r="AB4290" s="2" t="s">
        <v>77</v>
      </c>
      <c r="AC4290" s="2" t="s">
        <v>94</v>
      </c>
      <c r="AK4290" s="2">
        <f t="shared" si="624"/>
        <v>0</v>
      </c>
      <c r="AL4290" s="5">
        <f t="shared" si="625"/>
        <v>0</v>
      </c>
    </row>
    <row r="4291" spans="1:38" x14ac:dyDescent="0.2">
      <c r="A4291" s="2">
        <v>2026</v>
      </c>
      <c r="B4291" s="2">
        <v>7</v>
      </c>
      <c r="D4291" s="2" t="s">
        <v>1157</v>
      </c>
      <c r="E4291" s="2" t="s">
        <v>109</v>
      </c>
      <c r="F4291" s="2" t="s">
        <v>532</v>
      </c>
      <c r="H4291" s="2" t="s">
        <v>40</v>
      </c>
      <c r="I4291" s="2" t="s">
        <v>3298</v>
      </c>
      <c r="L4291" s="2" t="s">
        <v>340</v>
      </c>
      <c r="M4291" s="2" t="s">
        <v>40</v>
      </c>
      <c r="O4291" s="2" t="s">
        <v>3299</v>
      </c>
      <c r="P4291" s="2" t="s">
        <v>283</v>
      </c>
      <c r="Q4291" s="2" t="s">
        <v>3007</v>
      </c>
      <c r="R4291" s="2" t="s">
        <v>3008</v>
      </c>
      <c r="S4291" s="13">
        <v>1</v>
      </c>
      <c r="T4291" s="14">
        <v>1190</v>
      </c>
      <c r="U4291" s="2">
        <f t="shared" si="629"/>
        <v>273.7</v>
      </c>
      <c r="V4291" s="12">
        <f t="shared" si="631"/>
        <v>1463.7</v>
      </c>
      <c r="W4291" s="2">
        <v>773.5</v>
      </c>
      <c r="X4291" s="5">
        <f t="shared" si="623"/>
        <v>0.35</v>
      </c>
      <c r="Z4291" s="2" t="s">
        <v>118</v>
      </c>
      <c r="AK4291" s="2">
        <f t="shared" si="624"/>
        <v>416.5</v>
      </c>
      <c r="AL4291" s="5">
        <f t="shared" si="625"/>
        <v>0.35</v>
      </c>
    </row>
    <row r="4292" spans="1:38" x14ac:dyDescent="0.2">
      <c r="A4292" s="2">
        <v>2026</v>
      </c>
      <c r="B4292" s="2">
        <v>7</v>
      </c>
      <c r="C4292" s="2" t="s">
        <v>3308</v>
      </c>
      <c r="D4292" s="2" t="s">
        <v>3284</v>
      </c>
      <c r="E4292" s="2" t="s">
        <v>38</v>
      </c>
      <c r="F4292" s="2" t="s">
        <v>39</v>
      </c>
      <c r="H4292" s="2" t="s">
        <v>291</v>
      </c>
      <c r="I4292" s="2" t="s">
        <v>3294</v>
      </c>
      <c r="L4292" s="2" t="s">
        <v>340</v>
      </c>
      <c r="M4292" s="2" t="s">
        <v>81</v>
      </c>
      <c r="O4292" s="2" t="s">
        <v>3293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29"/>
        <v>52.9529</v>
      </c>
      <c r="V4292" s="12">
        <f t="shared" si="631"/>
        <v>283.18290000000002</v>
      </c>
      <c r="W4292" s="2">
        <f>115.92+6.06</f>
        <v>121.98</v>
      </c>
      <c r="X4292" s="5">
        <f t="shared" si="623"/>
        <v>0.47018199192112231</v>
      </c>
      <c r="Z4292" s="2" t="s">
        <v>3239</v>
      </c>
      <c r="AA4292" s="2" t="s">
        <v>76</v>
      </c>
      <c r="AB4292" s="2" t="s">
        <v>77</v>
      </c>
      <c r="AC4292" s="2" t="s">
        <v>78</v>
      </c>
      <c r="AK4292" s="2">
        <f t="shared" si="624"/>
        <v>108.24999999999999</v>
      </c>
      <c r="AL4292" s="5">
        <f t="shared" si="625"/>
        <v>0.47018199192112231</v>
      </c>
    </row>
    <row r="4293" spans="1:38" x14ac:dyDescent="0.2">
      <c r="A4293" s="2">
        <v>2026</v>
      </c>
      <c r="B4293" s="2">
        <v>7</v>
      </c>
      <c r="C4293" s="2" t="s">
        <v>3308</v>
      </c>
      <c r="D4293" s="2" t="s">
        <v>3284</v>
      </c>
      <c r="E4293" s="2" t="s">
        <v>38</v>
      </c>
      <c r="F4293" s="2" t="s">
        <v>39</v>
      </c>
      <c r="H4293" s="2" t="s">
        <v>291</v>
      </c>
      <c r="I4293" s="2" t="s">
        <v>3294</v>
      </c>
      <c r="L4293" s="2" t="s">
        <v>340</v>
      </c>
      <c r="M4293" s="2" t="s">
        <v>81</v>
      </c>
      <c r="O4293" s="2" t="s">
        <v>3293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29"/>
        <v>0.34040000000000004</v>
      </c>
      <c r="V4293" s="12">
        <f t="shared" si="631"/>
        <v>1.8204</v>
      </c>
      <c r="W4293" s="2">
        <v>1.48</v>
      </c>
      <c r="X4293" s="5">
        <f t="shared" si="623"/>
        <v>0</v>
      </c>
      <c r="Z4293" s="2" t="s">
        <v>3239</v>
      </c>
      <c r="AA4293" s="2" t="s">
        <v>97</v>
      </c>
      <c r="AB4293" s="2" t="s">
        <v>77</v>
      </c>
      <c r="AC4293" s="2" t="s">
        <v>94</v>
      </c>
      <c r="AK4293" s="2">
        <f t="shared" si="624"/>
        <v>0</v>
      </c>
      <c r="AL4293" s="5">
        <f t="shared" si="625"/>
        <v>0</v>
      </c>
    </row>
    <row r="4294" spans="1:38" x14ac:dyDescent="0.2">
      <c r="A4294" s="2">
        <v>2026</v>
      </c>
      <c r="B4294" s="2">
        <v>7</v>
      </c>
      <c r="D4294" s="2" t="s">
        <v>3285</v>
      </c>
      <c r="E4294" s="2" t="s">
        <v>754</v>
      </c>
      <c r="F4294" s="2" t="s">
        <v>921</v>
      </c>
      <c r="H4294" s="2" t="s">
        <v>40</v>
      </c>
      <c r="I4294" s="2" t="s">
        <v>3300</v>
      </c>
      <c r="L4294" s="2" t="s">
        <v>100</v>
      </c>
      <c r="M4294" s="2" t="s">
        <v>40</v>
      </c>
      <c r="O4294" s="2" t="s">
        <v>3301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29"/>
        <v>160.839</v>
      </c>
      <c r="V4294" s="12">
        <f t="shared" si="631"/>
        <v>860.1389999999999</v>
      </c>
      <c r="W4294" s="2">
        <v>345.20339999999999</v>
      </c>
      <c r="X4294" s="5">
        <f t="shared" si="623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24"/>
        <v>354.09659999999997</v>
      </c>
      <c r="AL4294" s="5">
        <f t="shared" si="625"/>
        <v>0.50635864435864431</v>
      </c>
    </row>
    <row r="4295" spans="1:38" x14ac:dyDescent="0.2">
      <c r="A4295" s="2">
        <v>2026</v>
      </c>
      <c r="B4295" s="2">
        <v>7</v>
      </c>
      <c r="D4295" s="2" t="s">
        <v>3285</v>
      </c>
      <c r="E4295" s="2" t="s">
        <v>754</v>
      </c>
      <c r="F4295" s="2" t="s">
        <v>921</v>
      </c>
      <c r="H4295" s="2" t="s">
        <v>40</v>
      </c>
      <c r="I4295" s="2" t="s">
        <v>3300</v>
      </c>
      <c r="L4295" s="2" t="s">
        <v>100</v>
      </c>
      <c r="M4295" s="2" t="s">
        <v>40</v>
      </c>
      <c r="O4295" s="2" t="s">
        <v>3301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29"/>
        <v>12.65</v>
      </c>
      <c r="V4295" s="12">
        <f t="shared" si="631"/>
        <v>67.650000000000006</v>
      </c>
      <c r="W4295" s="2">
        <f>T4295*40%</f>
        <v>22</v>
      </c>
      <c r="X4295" s="5">
        <f t="shared" si="623"/>
        <v>0.6</v>
      </c>
      <c r="Z4295" s="2" t="s">
        <v>118</v>
      </c>
      <c r="AA4295" s="2" t="s">
        <v>191</v>
      </c>
      <c r="AK4295" s="2">
        <f t="shared" si="624"/>
        <v>33</v>
      </c>
      <c r="AL4295" s="5">
        <f t="shared" si="625"/>
        <v>0.6</v>
      </c>
    </row>
    <row r="4296" spans="1:38" x14ac:dyDescent="0.2">
      <c r="A4296" s="2">
        <v>2026</v>
      </c>
      <c r="B4296" s="2">
        <v>7</v>
      </c>
      <c r="D4296" s="2" t="s">
        <v>3285</v>
      </c>
      <c r="E4296" s="2" t="s">
        <v>754</v>
      </c>
      <c r="F4296" s="2" t="s">
        <v>921</v>
      </c>
      <c r="H4296" s="2" t="s">
        <v>40</v>
      </c>
      <c r="I4296" s="2" t="s">
        <v>3300</v>
      </c>
      <c r="L4296" s="2" t="s">
        <v>100</v>
      </c>
      <c r="M4296" s="2" t="s">
        <v>40</v>
      </c>
      <c r="O4296" s="2" t="s">
        <v>3301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29"/>
        <v>6.3250000000000002</v>
      </c>
      <c r="V4296" s="12">
        <f t="shared" si="631"/>
        <v>33.825000000000003</v>
      </c>
      <c r="W4296" s="2">
        <f>T4296*50%</f>
        <v>13.75</v>
      </c>
      <c r="X4296" s="5">
        <f t="shared" si="623"/>
        <v>0.5</v>
      </c>
      <c r="Z4296" s="2" t="s">
        <v>118</v>
      </c>
      <c r="AA4296" s="2" t="s">
        <v>191</v>
      </c>
      <c r="AK4296" s="2">
        <f t="shared" si="624"/>
        <v>13.75</v>
      </c>
      <c r="AL4296" s="5">
        <f t="shared" si="625"/>
        <v>0.5</v>
      </c>
    </row>
    <row r="4297" spans="1:38" x14ac:dyDescent="0.2">
      <c r="A4297" s="2">
        <v>2026</v>
      </c>
      <c r="B4297" s="2">
        <v>7</v>
      </c>
      <c r="C4297" s="2" t="s">
        <v>3308</v>
      </c>
      <c r="D4297" s="2" t="s">
        <v>3286</v>
      </c>
      <c r="E4297" s="2" t="s">
        <v>109</v>
      </c>
      <c r="F4297" s="2" t="s">
        <v>39</v>
      </c>
      <c r="H4297" s="2" t="s">
        <v>291</v>
      </c>
      <c r="I4297" s="2" t="s">
        <v>3302</v>
      </c>
      <c r="L4297" s="2" t="s">
        <v>294</v>
      </c>
      <c r="M4297" s="2" t="s">
        <v>81</v>
      </c>
      <c r="O4297" s="2" t="s">
        <v>3303</v>
      </c>
      <c r="P4297" s="2" t="s">
        <v>73</v>
      </c>
      <c r="Q4297" s="2" t="s">
        <v>3287</v>
      </c>
      <c r="R4297" s="2" t="s">
        <v>308</v>
      </c>
      <c r="S4297" s="13">
        <v>1</v>
      </c>
      <c r="T4297" s="14">
        <v>220</v>
      </c>
      <c r="U4297" s="2">
        <f t="shared" si="629"/>
        <v>50.6</v>
      </c>
      <c r="V4297" s="12">
        <f t="shared" si="631"/>
        <v>270.60000000000002</v>
      </c>
      <c r="W4297" s="2">
        <v>119.95</v>
      </c>
      <c r="X4297" s="5">
        <f t="shared" si="623"/>
        <v>0.45477272727272727</v>
      </c>
      <c r="Z4297" s="2" t="s">
        <v>3239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24"/>
        <v>100.05</v>
      </c>
      <c r="AL4297" s="5">
        <f t="shared" si="625"/>
        <v>0.45477272727272727</v>
      </c>
    </row>
    <row r="4298" spans="1:38" x14ac:dyDescent="0.2">
      <c r="A4298" s="2">
        <v>2026</v>
      </c>
      <c r="B4298" s="2">
        <v>7</v>
      </c>
      <c r="C4298" s="2" t="s">
        <v>3308</v>
      </c>
      <c r="D4298" s="2" t="s">
        <v>3286</v>
      </c>
      <c r="E4298" s="2" t="s">
        <v>109</v>
      </c>
      <c r="F4298" s="2" t="s">
        <v>39</v>
      </c>
      <c r="H4298" s="2" t="s">
        <v>291</v>
      </c>
      <c r="I4298" s="2" t="s">
        <v>3302</v>
      </c>
      <c r="L4298" s="2" t="s">
        <v>294</v>
      </c>
      <c r="M4298" s="2" t="s">
        <v>81</v>
      </c>
      <c r="O4298" s="2" t="s">
        <v>3303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29"/>
        <v>0.34040000000000004</v>
      </c>
      <c r="V4298" s="12">
        <f t="shared" si="631"/>
        <v>1.8204</v>
      </c>
      <c r="W4298" s="2">
        <v>1.48</v>
      </c>
      <c r="X4298" s="5">
        <f t="shared" si="623"/>
        <v>0</v>
      </c>
      <c r="Z4298" s="2" t="s">
        <v>3239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24"/>
        <v>0</v>
      </c>
      <c r="AL4298" s="5">
        <f t="shared" si="625"/>
        <v>0</v>
      </c>
    </row>
    <row r="4299" spans="1:38" x14ac:dyDescent="0.2">
      <c r="A4299" s="2">
        <v>2026</v>
      </c>
      <c r="B4299" s="2">
        <v>7</v>
      </c>
      <c r="C4299" s="2" t="s">
        <v>3309</v>
      </c>
      <c r="D4299" s="2" t="s">
        <v>3111</v>
      </c>
      <c r="E4299" s="2" t="s">
        <v>38</v>
      </c>
      <c r="F4299" s="2" t="s">
        <v>39</v>
      </c>
      <c r="H4299" s="2" t="s">
        <v>110</v>
      </c>
      <c r="I4299" s="2" t="s">
        <v>3297</v>
      </c>
      <c r="L4299" s="2" t="s">
        <v>134</v>
      </c>
      <c r="M4299" s="2" t="s">
        <v>110</v>
      </c>
      <c r="O4299" s="2" t="s">
        <v>3296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29"/>
        <v>2990</v>
      </c>
      <c r="V4299" s="12">
        <f t="shared" si="631"/>
        <v>15990</v>
      </c>
      <c r="W4299" s="2">
        <v>8765.42</v>
      </c>
      <c r="X4299" s="5">
        <f t="shared" si="623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24"/>
        <v>4234.58</v>
      </c>
      <c r="AL4299" s="5">
        <f t="shared" si="625"/>
        <v>0.32573692307692309</v>
      </c>
    </row>
    <row r="4300" spans="1:38" x14ac:dyDescent="0.2">
      <c r="A4300" s="2">
        <v>2026</v>
      </c>
      <c r="B4300" s="2">
        <v>7</v>
      </c>
      <c r="C4300" s="2" t="s">
        <v>3309</v>
      </c>
      <c r="D4300" s="2" t="s">
        <v>3111</v>
      </c>
      <c r="E4300" s="2" t="s">
        <v>38</v>
      </c>
      <c r="F4300" s="2" t="s">
        <v>39</v>
      </c>
      <c r="H4300" s="2" t="s">
        <v>110</v>
      </c>
      <c r="I4300" s="2" t="s">
        <v>3297</v>
      </c>
      <c r="L4300" s="2" t="s">
        <v>134</v>
      </c>
      <c r="M4300" s="2" t="s">
        <v>110</v>
      </c>
      <c r="O4300" s="2" t="s">
        <v>3296</v>
      </c>
      <c r="P4300" s="2" t="s">
        <v>102</v>
      </c>
      <c r="Q4300" s="2" t="s">
        <v>3288</v>
      </c>
      <c r="R4300" s="2" t="s">
        <v>3289</v>
      </c>
      <c r="S4300" s="13">
        <v>1</v>
      </c>
      <c r="T4300" s="14">
        <v>6000</v>
      </c>
      <c r="U4300" s="2">
        <f t="shared" si="629"/>
        <v>1380</v>
      </c>
      <c r="V4300" s="12">
        <f t="shared" si="631"/>
        <v>7380</v>
      </c>
      <c r="W4300" s="2">
        <v>4221.5600000000004</v>
      </c>
      <c r="X4300" s="5">
        <f t="shared" si="623"/>
        <v>0.2964066666666666</v>
      </c>
      <c r="Z4300" s="2" t="s">
        <v>105</v>
      </c>
      <c r="AA4300" s="2" t="s">
        <v>106</v>
      </c>
      <c r="AB4300" s="2" t="s">
        <v>2037</v>
      </c>
      <c r="AC4300" s="2" t="s">
        <v>102</v>
      </c>
      <c r="AG4300" s="2">
        <v>4221.5600000000004</v>
      </c>
      <c r="AK4300" s="2">
        <f t="shared" si="624"/>
        <v>1778.4399999999996</v>
      </c>
      <c r="AL4300" s="5">
        <f t="shared" si="625"/>
        <v>0.2964066666666666</v>
      </c>
    </row>
    <row r="4301" spans="1:38" x14ac:dyDescent="0.2">
      <c r="A4301" s="2">
        <v>2026</v>
      </c>
      <c r="B4301" s="2">
        <v>7</v>
      </c>
      <c r="C4301" s="2" t="s">
        <v>3309</v>
      </c>
      <c r="D4301" s="2" t="s">
        <v>3111</v>
      </c>
      <c r="E4301" s="2" t="s">
        <v>38</v>
      </c>
      <c r="F4301" s="2" t="s">
        <v>39</v>
      </c>
      <c r="H4301" s="2" t="s">
        <v>110</v>
      </c>
      <c r="I4301" s="2" t="s">
        <v>3297</v>
      </c>
      <c r="L4301" s="2" t="s">
        <v>134</v>
      </c>
      <c r="M4301" s="2" t="s">
        <v>110</v>
      </c>
      <c r="O4301" s="2" t="s">
        <v>3296</v>
      </c>
      <c r="P4301" s="2" t="s">
        <v>102</v>
      </c>
      <c r="Q4301" s="2" t="s">
        <v>3290</v>
      </c>
      <c r="R4301" s="2" t="s">
        <v>3291</v>
      </c>
      <c r="S4301" s="13">
        <v>1</v>
      </c>
      <c r="T4301" s="14">
        <v>1000</v>
      </c>
      <c r="U4301" s="2">
        <f t="shared" si="629"/>
        <v>230</v>
      </c>
      <c r="V4301" s="12">
        <f t="shared" si="631"/>
        <v>1230</v>
      </c>
      <c r="W4301" s="2">
        <v>802.73</v>
      </c>
      <c r="X4301" s="5">
        <f t="shared" si="623"/>
        <v>0.19726999999999997</v>
      </c>
      <c r="Z4301" s="2" t="s">
        <v>105</v>
      </c>
      <c r="AA4301" s="2" t="s">
        <v>1115</v>
      </c>
      <c r="AB4301" s="2" t="s">
        <v>3295</v>
      </c>
      <c r="AC4301" s="2" t="s">
        <v>102</v>
      </c>
      <c r="AG4301" s="2">
        <v>802.73</v>
      </c>
      <c r="AK4301" s="2">
        <f t="shared" si="624"/>
        <v>197.26999999999998</v>
      </c>
      <c r="AL4301" s="5">
        <f t="shared" si="625"/>
        <v>0.19726999999999997</v>
      </c>
    </row>
    <row r="4302" spans="1:38" x14ac:dyDescent="0.2">
      <c r="A4302" s="2">
        <v>2026</v>
      </c>
      <c r="B4302" s="2">
        <v>7</v>
      </c>
      <c r="D4302" s="2" t="s">
        <v>2003</v>
      </c>
      <c r="E4302" s="2" t="s">
        <v>109</v>
      </c>
      <c r="F4302" s="2" t="s">
        <v>39</v>
      </c>
      <c r="H4302" s="2" t="s">
        <v>291</v>
      </c>
      <c r="I4302" s="2" t="s">
        <v>3294</v>
      </c>
      <c r="L4302" s="2" t="s">
        <v>340</v>
      </c>
      <c r="M4302" s="2" t="s">
        <v>40</v>
      </c>
      <c r="O4302" s="2" t="s">
        <v>3304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29"/>
        <v>13.8</v>
      </c>
      <c r="V4302" s="12">
        <f t="shared" si="631"/>
        <v>73.8</v>
      </c>
      <c r="W4302" s="2">
        <f>T4302*40%</f>
        <v>24</v>
      </c>
      <c r="X4302" s="5">
        <f t="shared" si="623"/>
        <v>0.6</v>
      </c>
      <c r="Z4302" s="2" t="s">
        <v>118</v>
      </c>
      <c r="AA4302" s="2" t="s">
        <v>191</v>
      </c>
      <c r="AK4302" s="2">
        <f t="shared" si="624"/>
        <v>36</v>
      </c>
      <c r="AL4302" s="5">
        <f t="shared" si="625"/>
        <v>0.6</v>
      </c>
    </row>
    <row r="4303" spans="1:38" x14ac:dyDescent="0.2">
      <c r="A4303" s="2">
        <v>2026</v>
      </c>
      <c r="B4303" s="2">
        <v>7</v>
      </c>
      <c r="D4303" s="2" t="s">
        <v>2003</v>
      </c>
      <c r="E4303" s="2" t="s">
        <v>109</v>
      </c>
      <c r="F4303" s="2" t="s">
        <v>39</v>
      </c>
      <c r="H4303" s="2" t="s">
        <v>291</v>
      </c>
      <c r="I4303" s="2" t="s">
        <v>3294</v>
      </c>
      <c r="L4303" s="2" t="s">
        <v>340</v>
      </c>
      <c r="M4303" s="2" t="s">
        <v>40</v>
      </c>
      <c r="O4303" s="2" t="s">
        <v>3304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29"/>
        <v>12.65</v>
      </c>
      <c r="V4303" s="12">
        <f t="shared" si="631"/>
        <v>67.650000000000006</v>
      </c>
      <c r="W4303" s="2">
        <f>T4303*50%</f>
        <v>27.5</v>
      </c>
      <c r="X4303" s="5">
        <f t="shared" si="623"/>
        <v>0.5</v>
      </c>
      <c r="Z4303" s="2" t="s">
        <v>118</v>
      </c>
      <c r="AA4303" s="2" t="s">
        <v>191</v>
      </c>
      <c r="AK4303" s="2">
        <f t="shared" si="624"/>
        <v>27.5</v>
      </c>
      <c r="AL4303" s="5">
        <f t="shared" si="625"/>
        <v>0.5</v>
      </c>
    </row>
    <row r="4304" spans="1:38" x14ac:dyDescent="0.2">
      <c r="A4304" s="2">
        <v>2026</v>
      </c>
      <c r="B4304" s="2">
        <v>7</v>
      </c>
      <c r="C4304" s="2" t="s">
        <v>3308</v>
      </c>
      <c r="D4304" s="2" t="s">
        <v>1489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31"/>
        <v>860.1389999999999</v>
      </c>
      <c r="W4304" s="2">
        <v>345.20339999999999</v>
      </c>
      <c r="X4304" s="5">
        <f t="shared" si="623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32">T4304-W4304</f>
        <v>354.09659999999997</v>
      </c>
      <c r="AL4304" s="5">
        <f t="shared" ref="AL4304:AL4367" si="633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3308</v>
      </c>
      <c r="D4305" s="2" t="s">
        <v>1489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34">T4305*23%</f>
        <v>72.22</v>
      </c>
      <c r="V4305" s="2">
        <f t="shared" ref="V4305:V4368" si="635">T4305+U4305</f>
        <v>386.22</v>
      </c>
      <c r="W4305" s="2">
        <f>T4305*40%</f>
        <v>125.60000000000001</v>
      </c>
      <c r="X4305" s="5">
        <f t="shared" si="623"/>
        <v>0.6</v>
      </c>
      <c r="Z4305" s="2" t="s">
        <v>118</v>
      </c>
      <c r="AA4305" s="2" t="s">
        <v>191</v>
      </c>
      <c r="AK4305" s="2">
        <f t="shared" si="632"/>
        <v>188.39999999999998</v>
      </c>
      <c r="AL4305" s="5">
        <f t="shared" si="633"/>
        <v>0.6</v>
      </c>
    </row>
    <row r="4306" spans="1:38" x14ac:dyDescent="0.2">
      <c r="A4306" s="2">
        <v>2026</v>
      </c>
      <c r="B4306" s="2">
        <v>7</v>
      </c>
      <c r="C4306" s="2" t="s">
        <v>3308</v>
      </c>
      <c r="D4306" s="2" t="s">
        <v>1489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34"/>
        <v>12.65</v>
      </c>
      <c r="V4306" s="2">
        <f t="shared" si="635"/>
        <v>67.650000000000006</v>
      </c>
      <c r="W4306" s="2">
        <f>T4306*50%</f>
        <v>27.5</v>
      </c>
      <c r="X4306" s="5">
        <f t="shared" si="623"/>
        <v>0.5</v>
      </c>
      <c r="Z4306" s="2" t="s">
        <v>118</v>
      </c>
      <c r="AA4306" s="2" t="s">
        <v>191</v>
      </c>
      <c r="AK4306" s="2">
        <f t="shared" si="632"/>
        <v>27.5</v>
      </c>
      <c r="AL4306" s="5">
        <f t="shared" si="633"/>
        <v>0.5</v>
      </c>
    </row>
    <row r="4307" spans="1:38" x14ac:dyDescent="0.2">
      <c r="A4307" s="2">
        <v>2026</v>
      </c>
      <c r="B4307" s="2">
        <v>7</v>
      </c>
      <c r="C4307" s="2" t="s">
        <v>3309</v>
      </c>
      <c r="D4307" s="2" t="s">
        <v>3346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34"/>
        <v>13.8</v>
      </c>
      <c r="V4307" s="2">
        <f t="shared" si="635"/>
        <v>73.8</v>
      </c>
      <c r="W4307" s="2">
        <f>T4307*40%</f>
        <v>24</v>
      </c>
      <c r="X4307" s="5">
        <f t="shared" si="623"/>
        <v>0.6</v>
      </c>
      <c r="Z4307" s="2" t="s">
        <v>118</v>
      </c>
      <c r="AA4307" s="2" t="s">
        <v>191</v>
      </c>
      <c r="AK4307" s="2">
        <f t="shared" si="632"/>
        <v>36</v>
      </c>
      <c r="AL4307" s="5">
        <f t="shared" si="633"/>
        <v>0.6</v>
      </c>
    </row>
    <row r="4308" spans="1:38" x14ac:dyDescent="0.2">
      <c r="A4308" s="2">
        <v>2026</v>
      </c>
      <c r="B4308" s="2">
        <v>7</v>
      </c>
      <c r="C4308" s="2" t="s">
        <v>3309</v>
      </c>
      <c r="D4308" s="2" t="s">
        <v>3346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34"/>
        <v>12.65</v>
      </c>
      <c r="V4308" s="2">
        <f t="shared" si="635"/>
        <v>67.650000000000006</v>
      </c>
      <c r="W4308" s="2">
        <f>T4308*50%</f>
        <v>27.5</v>
      </c>
      <c r="X4308" s="5">
        <f t="shared" si="623"/>
        <v>0.5</v>
      </c>
      <c r="Z4308" s="2" t="s">
        <v>118</v>
      </c>
      <c r="AA4308" s="2" t="s">
        <v>191</v>
      </c>
      <c r="AK4308" s="2">
        <f t="shared" si="632"/>
        <v>27.5</v>
      </c>
      <c r="AL4308" s="5">
        <f t="shared" si="633"/>
        <v>0.5</v>
      </c>
    </row>
    <row r="4309" spans="1:38" x14ac:dyDescent="0.2">
      <c r="A4309" s="2">
        <v>2026</v>
      </c>
      <c r="B4309" s="2">
        <v>7</v>
      </c>
      <c r="C4309" s="2" t="s">
        <v>3308</v>
      </c>
      <c r="D4309" s="2" t="s">
        <v>3347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34"/>
        <v>50.6</v>
      </c>
      <c r="V4309" s="2">
        <f t="shared" si="635"/>
        <v>270.60000000000002</v>
      </c>
      <c r="W4309" s="2">
        <f>113.905+11.25</f>
        <v>125.155</v>
      </c>
      <c r="X4309" s="5">
        <f t="shared" si="623"/>
        <v>0.43111363636363637</v>
      </c>
      <c r="Z4309" s="2" t="s">
        <v>3239</v>
      </c>
      <c r="AA4309" s="2" t="s">
        <v>76</v>
      </c>
      <c r="AB4309" s="2" t="s">
        <v>77</v>
      </c>
      <c r="AC4309" s="2" t="s">
        <v>78</v>
      </c>
      <c r="AK4309" s="2">
        <f t="shared" si="632"/>
        <v>94.844999999999999</v>
      </c>
      <c r="AL4309" s="5">
        <f t="shared" si="633"/>
        <v>0.43111363636363637</v>
      </c>
    </row>
    <row r="4310" spans="1:38" x14ac:dyDescent="0.2">
      <c r="A4310" s="2">
        <v>2026</v>
      </c>
      <c r="B4310" s="2">
        <v>7</v>
      </c>
      <c r="C4310" s="2" t="s">
        <v>3308</v>
      </c>
      <c r="D4310" s="2" t="s">
        <v>3347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34"/>
        <v>0.34040000000000004</v>
      </c>
      <c r="V4310" s="2">
        <f t="shared" si="635"/>
        <v>1.8204</v>
      </c>
      <c r="W4310" s="2">
        <v>1.48</v>
      </c>
      <c r="X4310" s="5">
        <f t="shared" si="623"/>
        <v>0</v>
      </c>
      <c r="Z4310" s="2" t="s">
        <v>3239</v>
      </c>
      <c r="AA4310" s="2" t="s">
        <v>97</v>
      </c>
      <c r="AB4310" s="2" t="s">
        <v>77</v>
      </c>
      <c r="AC4310" s="2" t="s">
        <v>94</v>
      </c>
      <c r="AK4310" s="2">
        <f t="shared" si="632"/>
        <v>0</v>
      </c>
      <c r="AL4310" s="5">
        <f t="shared" si="633"/>
        <v>0</v>
      </c>
    </row>
    <row r="4311" spans="1:38" x14ac:dyDescent="0.2">
      <c r="A4311" s="2">
        <v>2026</v>
      </c>
      <c r="B4311" s="2">
        <v>7</v>
      </c>
      <c r="C4311" s="2" t="s">
        <v>3309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34"/>
        <v>145.82</v>
      </c>
      <c r="V4311" s="2">
        <f t="shared" si="635"/>
        <v>779.81999999999994</v>
      </c>
      <c r="W4311" s="2">
        <f>T4311*40%</f>
        <v>253.60000000000002</v>
      </c>
      <c r="X4311" s="5">
        <f t="shared" si="623"/>
        <v>0.6</v>
      </c>
      <c r="Z4311" s="2" t="s">
        <v>118</v>
      </c>
      <c r="AA4311" s="2" t="s">
        <v>191</v>
      </c>
      <c r="AK4311" s="2">
        <f t="shared" si="632"/>
        <v>380.4</v>
      </c>
      <c r="AL4311" s="5">
        <f t="shared" si="633"/>
        <v>0.6</v>
      </c>
    </row>
    <row r="4312" spans="1:38" x14ac:dyDescent="0.2">
      <c r="A4312" s="2">
        <v>2026</v>
      </c>
      <c r="B4312" s="2">
        <v>7</v>
      </c>
      <c r="C4312" s="2" t="s">
        <v>3309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34"/>
        <v>44.274999999999999</v>
      </c>
      <c r="V4312" s="2">
        <f t="shared" si="635"/>
        <v>236.77500000000001</v>
      </c>
      <c r="W4312" s="2">
        <f>T4312*50%</f>
        <v>96.25</v>
      </c>
      <c r="X4312" s="5">
        <f t="shared" si="623"/>
        <v>0.5</v>
      </c>
      <c r="Z4312" s="2" t="s">
        <v>118</v>
      </c>
      <c r="AA4312" s="2" t="s">
        <v>191</v>
      </c>
      <c r="AK4312" s="2">
        <f t="shared" si="632"/>
        <v>96.25</v>
      </c>
      <c r="AL4312" s="5">
        <f t="shared" si="633"/>
        <v>0.5</v>
      </c>
    </row>
    <row r="4313" spans="1:38" x14ac:dyDescent="0.2">
      <c r="A4313" s="2">
        <v>2026</v>
      </c>
      <c r="B4313" s="2">
        <v>7</v>
      </c>
      <c r="C4313" s="2" t="s">
        <v>3308</v>
      </c>
      <c r="D4313" s="15" t="s">
        <v>977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34"/>
        <v>13.8</v>
      </c>
      <c r="V4313" s="2">
        <f t="shared" si="635"/>
        <v>73.8</v>
      </c>
      <c r="W4313" s="2">
        <f>T4313*40%</f>
        <v>24</v>
      </c>
      <c r="X4313" s="5">
        <f t="shared" si="623"/>
        <v>0.6</v>
      </c>
      <c r="Z4313" s="2" t="s">
        <v>118</v>
      </c>
      <c r="AA4313" s="2" t="s">
        <v>191</v>
      </c>
      <c r="AK4313" s="2">
        <f t="shared" si="632"/>
        <v>36</v>
      </c>
      <c r="AL4313" s="5">
        <f t="shared" si="633"/>
        <v>0.6</v>
      </c>
    </row>
    <row r="4314" spans="1:38" x14ac:dyDescent="0.2">
      <c r="A4314" s="2">
        <v>2026</v>
      </c>
      <c r="B4314" s="2">
        <v>7</v>
      </c>
      <c r="C4314" s="2" t="s">
        <v>3308</v>
      </c>
      <c r="D4314" s="15" t="s">
        <v>977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34"/>
        <v>18.975000000000001</v>
      </c>
      <c r="V4314" s="2">
        <f t="shared" si="635"/>
        <v>101.47499999999999</v>
      </c>
      <c r="W4314" s="2">
        <f>T4314*50%</f>
        <v>41.25</v>
      </c>
      <c r="X4314" s="5">
        <f t="shared" si="623"/>
        <v>0.5</v>
      </c>
      <c r="Z4314" s="2" t="s">
        <v>118</v>
      </c>
      <c r="AA4314" s="2" t="s">
        <v>191</v>
      </c>
      <c r="AK4314" s="2">
        <f t="shared" si="632"/>
        <v>41.25</v>
      </c>
      <c r="AL4314" s="5">
        <f t="shared" si="633"/>
        <v>0.5</v>
      </c>
    </row>
    <row r="4315" spans="1:38" x14ac:dyDescent="0.2">
      <c r="A4315" s="2">
        <v>2026</v>
      </c>
      <c r="B4315" s="2">
        <v>7</v>
      </c>
      <c r="C4315" s="2" t="s">
        <v>3308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34"/>
        <v>18.278100000000002</v>
      </c>
      <c r="V4315" s="2">
        <f t="shared" si="635"/>
        <v>97.748099999999994</v>
      </c>
      <c r="W4315" s="2">
        <v>25.2</v>
      </c>
      <c r="X4315" s="5">
        <f t="shared" si="623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32"/>
        <v>54.269999999999996</v>
      </c>
      <c r="AL4315" s="5">
        <f t="shared" si="633"/>
        <v>0.68289920724801811</v>
      </c>
    </row>
    <row r="4316" spans="1:38" x14ac:dyDescent="0.2">
      <c r="A4316" s="2">
        <v>2026</v>
      </c>
      <c r="B4316" s="2">
        <v>7</v>
      </c>
      <c r="C4316" s="2" t="s">
        <v>3308</v>
      </c>
      <c r="D4316" s="15" t="s">
        <v>985</v>
      </c>
      <c r="M4316" s="2" t="s">
        <v>81</v>
      </c>
      <c r="P4316" s="2" t="s">
        <v>1042</v>
      </c>
      <c r="Q4316" s="16" t="s">
        <v>3358</v>
      </c>
      <c r="R4316" s="15" t="s">
        <v>3359</v>
      </c>
      <c r="S4316" s="13">
        <v>1</v>
      </c>
      <c r="T4316" s="14">
        <v>280</v>
      </c>
      <c r="U4316" s="2">
        <f t="shared" si="634"/>
        <v>64.400000000000006</v>
      </c>
      <c r="V4316" s="2">
        <f t="shared" si="635"/>
        <v>344.4</v>
      </c>
      <c r="W4316" s="2">
        <f>144.32+16.82</f>
        <v>161.13999999999999</v>
      </c>
      <c r="X4316" s="5">
        <f t="shared" si="623"/>
        <v>0.42450000000000004</v>
      </c>
      <c r="Z4316" s="2" t="s">
        <v>3239</v>
      </c>
      <c r="AA4316" s="2" t="s">
        <v>76</v>
      </c>
      <c r="AB4316" s="2" t="s">
        <v>77</v>
      </c>
      <c r="AC4316" s="2" t="s">
        <v>1042</v>
      </c>
      <c r="AK4316" s="2">
        <f t="shared" si="632"/>
        <v>118.86000000000001</v>
      </c>
      <c r="AL4316" s="5">
        <f t="shared" si="633"/>
        <v>0.42450000000000004</v>
      </c>
    </row>
    <row r="4317" spans="1:38" x14ac:dyDescent="0.2">
      <c r="A4317" s="2">
        <v>2026</v>
      </c>
      <c r="B4317" s="2">
        <v>7</v>
      </c>
      <c r="C4317" s="2" t="s">
        <v>3308</v>
      </c>
      <c r="D4317" s="15" t="s">
        <v>985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34"/>
        <v>0.34040000000000004</v>
      </c>
      <c r="V4317" s="2">
        <f t="shared" si="635"/>
        <v>1.8204</v>
      </c>
      <c r="W4317" s="2">
        <v>1.48</v>
      </c>
      <c r="X4317" s="5">
        <f t="shared" si="623"/>
        <v>0</v>
      </c>
      <c r="Z4317" s="2" t="s">
        <v>3239</v>
      </c>
      <c r="AA4317" s="2" t="s">
        <v>97</v>
      </c>
      <c r="AB4317" s="2" t="s">
        <v>77</v>
      </c>
      <c r="AC4317" s="2" t="s">
        <v>94</v>
      </c>
      <c r="AK4317" s="2">
        <f t="shared" si="632"/>
        <v>0</v>
      </c>
      <c r="AL4317" s="5">
        <f t="shared" si="633"/>
        <v>0</v>
      </c>
    </row>
    <row r="4318" spans="1:38" x14ac:dyDescent="0.2">
      <c r="A4318" s="2">
        <v>2026</v>
      </c>
      <c r="B4318" s="2">
        <v>7</v>
      </c>
      <c r="C4318" s="2" t="s">
        <v>3307</v>
      </c>
      <c r="D4318" s="15" t="s">
        <v>1360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1361</v>
      </c>
      <c r="L4318" s="2" t="s">
        <v>419</v>
      </c>
      <c r="M4318" s="2" t="s">
        <v>40</v>
      </c>
      <c r="P4318" s="2" t="s">
        <v>283</v>
      </c>
      <c r="Q4318" s="16" t="s">
        <v>3007</v>
      </c>
      <c r="R4318" s="15" t="s">
        <v>3008</v>
      </c>
      <c r="S4318" s="13">
        <v>1</v>
      </c>
      <c r="T4318" s="14">
        <v>1190</v>
      </c>
      <c r="U4318" s="2">
        <f t="shared" si="634"/>
        <v>273.7</v>
      </c>
      <c r="V4318" s="2">
        <f t="shared" si="635"/>
        <v>1463.7</v>
      </c>
      <c r="W4318" s="2">
        <v>773.5</v>
      </c>
      <c r="X4318" s="5">
        <f t="shared" si="623"/>
        <v>0.35</v>
      </c>
      <c r="Z4318" s="2" t="s">
        <v>118</v>
      </c>
      <c r="AA4318" s="2" t="s">
        <v>182</v>
      </c>
      <c r="AB4318" s="2" t="s">
        <v>3395</v>
      </c>
      <c r="AC4318" s="2" t="s">
        <v>1332</v>
      </c>
      <c r="AK4318" s="2">
        <f t="shared" si="632"/>
        <v>416.5</v>
      </c>
      <c r="AL4318" s="5">
        <f t="shared" si="633"/>
        <v>0.35</v>
      </c>
    </row>
    <row r="4319" spans="1:38" x14ac:dyDescent="0.2">
      <c r="A4319" s="2">
        <v>2026</v>
      </c>
      <c r="B4319" s="2">
        <v>7</v>
      </c>
      <c r="C4319" s="2" t="s">
        <v>3308</v>
      </c>
      <c r="D4319" s="15" t="s">
        <v>1360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1361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34"/>
        <v>41.4</v>
      </c>
      <c r="V4319" s="2">
        <f t="shared" si="635"/>
        <v>221.4</v>
      </c>
      <c r="W4319" s="2">
        <v>125.51600000000001</v>
      </c>
      <c r="X4319" s="5">
        <f t="shared" si="623"/>
        <v>0.30268888888888884</v>
      </c>
      <c r="Z4319" s="2" t="s">
        <v>3239</v>
      </c>
      <c r="AA4319" s="2" t="s">
        <v>76</v>
      </c>
      <c r="AB4319" s="2" t="s">
        <v>77</v>
      </c>
      <c r="AC4319" s="2" t="s">
        <v>78</v>
      </c>
      <c r="AK4319" s="2">
        <f t="shared" si="632"/>
        <v>54.483999999999995</v>
      </c>
      <c r="AL4319" s="5">
        <f t="shared" si="633"/>
        <v>0.30268888888888884</v>
      </c>
    </row>
    <row r="4320" spans="1:38" x14ac:dyDescent="0.2">
      <c r="A4320" s="2">
        <v>2026</v>
      </c>
      <c r="B4320" s="2">
        <v>7</v>
      </c>
      <c r="C4320" s="2" t="s">
        <v>3308</v>
      </c>
      <c r="D4320" s="15" t="s">
        <v>1360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1361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34"/>
        <v>0.34040000000000004</v>
      </c>
      <c r="V4320" s="2">
        <f t="shared" si="635"/>
        <v>1.8204</v>
      </c>
      <c r="W4320" s="2">
        <v>1.48</v>
      </c>
      <c r="X4320" s="5">
        <f t="shared" si="623"/>
        <v>0</v>
      </c>
      <c r="Z4320" s="2" t="s">
        <v>3239</v>
      </c>
      <c r="AA4320" s="2" t="s">
        <v>97</v>
      </c>
      <c r="AB4320" s="2" t="s">
        <v>77</v>
      </c>
      <c r="AC4320" s="2" t="s">
        <v>94</v>
      </c>
      <c r="AK4320" s="2">
        <f t="shared" si="632"/>
        <v>0</v>
      </c>
      <c r="AL4320" s="5">
        <f t="shared" si="633"/>
        <v>0</v>
      </c>
    </row>
    <row r="4321" spans="1:38" x14ac:dyDescent="0.2">
      <c r="A4321" s="2">
        <v>2026</v>
      </c>
      <c r="B4321" s="2">
        <v>7</v>
      </c>
      <c r="C4321" s="2" t="s">
        <v>3308</v>
      </c>
      <c r="D4321" s="15" t="s">
        <v>2567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34"/>
        <v>52.900000000000006</v>
      </c>
      <c r="V4321" s="2">
        <f t="shared" si="635"/>
        <v>282.89999999999998</v>
      </c>
      <c r="W4321" s="2">
        <v>135.68</v>
      </c>
      <c r="X4321" s="5">
        <f t="shared" si="623"/>
        <v>0.4100869565217391</v>
      </c>
      <c r="Z4321" s="2" t="s">
        <v>3239</v>
      </c>
      <c r="AA4321" s="2" t="s">
        <v>76</v>
      </c>
      <c r="AB4321" s="2" t="s">
        <v>77</v>
      </c>
      <c r="AC4321" s="2" t="s">
        <v>78</v>
      </c>
      <c r="AK4321" s="2">
        <f t="shared" si="632"/>
        <v>94.32</v>
      </c>
      <c r="AL4321" s="5">
        <f t="shared" si="633"/>
        <v>0.4100869565217391</v>
      </c>
    </row>
    <row r="4322" spans="1:38" x14ac:dyDescent="0.2">
      <c r="A4322" s="2">
        <v>2026</v>
      </c>
      <c r="B4322" s="2">
        <v>7</v>
      </c>
      <c r="C4322" s="2" t="s">
        <v>3308</v>
      </c>
      <c r="D4322" s="15" t="s">
        <v>2567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34"/>
        <v>0.34040000000000004</v>
      </c>
      <c r="V4322" s="2">
        <f t="shared" si="635"/>
        <v>1.8204</v>
      </c>
      <c r="X4322" s="5">
        <f t="shared" si="623"/>
        <v>1</v>
      </c>
      <c r="Z4322" s="2" t="s">
        <v>3239</v>
      </c>
      <c r="AA4322" s="2" t="s">
        <v>97</v>
      </c>
      <c r="AB4322" s="2" t="s">
        <v>77</v>
      </c>
      <c r="AC4322" s="2" t="s">
        <v>94</v>
      </c>
      <c r="AK4322" s="2">
        <f t="shared" si="632"/>
        <v>1.48</v>
      </c>
      <c r="AL4322" s="5">
        <f t="shared" si="633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3360</v>
      </c>
      <c r="R4323" s="15" t="s">
        <v>3361</v>
      </c>
      <c r="S4323" s="13">
        <v>1</v>
      </c>
      <c r="T4323" s="14">
        <v>37.6</v>
      </c>
      <c r="U4323" s="2">
        <f t="shared" si="634"/>
        <v>8.6480000000000015</v>
      </c>
      <c r="V4323" s="2">
        <f t="shared" si="635"/>
        <v>46.248000000000005</v>
      </c>
      <c r="W4323" s="2">
        <v>21.71</v>
      </c>
      <c r="X4323" s="5">
        <f t="shared" si="623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32"/>
        <v>15.89</v>
      </c>
      <c r="AL4323" s="5">
        <f t="shared" si="633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34"/>
        <v>13.8</v>
      </c>
      <c r="V4324" s="2">
        <f t="shared" si="635"/>
        <v>73.8</v>
      </c>
      <c r="W4324" s="2">
        <f>T4324*40%</f>
        <v>24</v>
      </c>
      <c r="X4324" s="5">
        <f t="shared" si="623"/>
        <v>0.6</v>
      </c>
      <c r="Z4324" s="2" t="s">
        <v>118</v>
      </c>
      <c r="AA4324" s="2" t="s">
        <v>191</v>
      </c>
      <c r="AK4324" s="2">
        <f t="shared" si="632"/>
        <v>36</v>
      </c>
      <c r="AL4324" s="5">
        <f t="shared" si="633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34"/>
        <v>12.65</v>
      </c>
      <c r="V4325" s="2">
        <f t="shared" si="635"/>
        <v>67.650000000000006</v>
      </c>
      <c r="W4325" s="2">
        <f>T4325*50%</f>
        <v>27.5</v>
      </c>
      <c r="X4325" s="5">
        <f t="shared" si="623"/>
        <v>0.5</v>
      </c>
      <c r="Z4325" s="2" t="s">
        <v>118</v>
      </c>
      <c r="AA4325" s="2" t="s">
        <v>191</v>
      </c>
      <c r="AK4325" s="2">
        <f t="shared" si="632"/>
        <v>27.5</v>
      </c>
      <c r="AL4325" s="5">
        <f t="shared" si="633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34"/>
        <v>1.84</v>
      </c>
      <c r="V4326" s="2">
        <f t="shared" si="635"/>
        <v>9.84</v>
      </c>
      <c r="X4326" s="5">
        <f t="shared" si="623"/>
        <v>1</v>
      </c>
      <c r="Z4326" s="2" t="s">
        <v>170</v>
      </c>
      <c r="AA4326" s="2" t="s">
        <v>170</v>
      </c>
      <c r="AK4326" s="2">
        <f t="shared" si="632"/>
        <v>8</v>
      </c>
      <c r="AL4326" s="5">
        <f t="shared" si="633"/>
        <v>1</v>
      </c>
    </row>
    <row r="4327" spans="1:38" x14ac:dyDescent="0.2">
      <c r="A4327" s="2">
        <v>2026</v>
      </c>
      <c r="B4327" s="2">
        <v>7</v>
      </c>
      <c r="D4327" s="15" t="s">
        <v>2004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3287</v>
      </c>
      <c r="R4327" s="15" t="s">
        <v>308</v>
      </c>
      <c r="S4327" s="13">
        <v>1</v>
      </c>
      <c r="T4327" s="14">
        <v>240</v>
      </c>
      <c r="U4327" s="2">
        <f t="shared" si="634"/>
        <v>55.2</v>
      </c>
      <c r="V4327" s="2">
        <f t="shared" si="635"/>
        <v>295.2</v>
      </c>
      <c r="W4327" s="2">
        <v>119.95</v>
      </c>
      <c r="X4327" s="5">
        <f t="shared" si="623"/>
        <v>0.50020833333333337</v>
      </c>
      <c r="Z4327" s="2" t="s">
        <v>3239</v>
      </c>
      <c r="AA4327" s="2" t="s">
        <v>76</v>
      </c>
      <c r="AB4327" s="2" t="s">
        <v>77</v>
      </c>
      <c r="AC4327" s="2" t="s">
        <v>78</v>
      </c>
      <c r="AK4327" s="2">
        <f t="shared" si="632"/>
        <v>120.05</v>
      </c>
      <c r="AL4327" s="5">
        <f t="shared" si="633"/>
        <v>0.50020833333333337</v>
      </c>
    </row>
    <row r="4328" spans="1:38" x14ac:dyDescent="0.2">
      <c r="A4328" s="2">
        <v>2026</v>
      </c>
      <c r="B4328" s="2">
        <v>7</v>
      </c>
      <c r="D4328" s="15" t="s">
        <v>2004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34"/>
        <v>0.34040000000000004</v>
      </c>
      <c r="V4328" s="2">
        <f t="shared" si="635"/>
        <v>1.8204</v>
      </c>
      <c r="W4328" s="2">
        <v>1.48</v>
      </c>
      <c r="X4328" s="5">
        <f t="shared" si="623"/>
        <v>0</v>
      </c>
      <c r="Z4328" s="2" t="s">
        <v>3239</v>
      </c>
      <c r="AA4328" s="2" t="s">
        <v>97</v>
      </c>
      <c r="AB4328" s="2" t="s">
        <v>77</v>
      </c>
      <c r="AC4328" s="2" t="s">
        <v>94</v>
      </c>
      <c r="AK4328" s="2">
        <f t="shared" si="632"/>
        <v>0</v>
      </c>
      <c r="AL4328" s="5">
        <f t="shared" si="633"/>
        <v>0</v>
      </c>
    </row>
    <row r="4329" spans="1:38" x14ac:dyDescent="0.2">
      <c r="A4329" s="2">
        <v>2026</v>
      </c>
      <c r="B4329" s="2">
        <v>7</v>
      </c>
      <c r="C4329" s="2" t="s">
        <v>3308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34"/>
        <v>46</v>
      </c>
      <c r="V4329" s="2">
        <f t="shared" si="635"/>
        <v>246</v>
      </c>
      <c r="W4329" s="2">
        <v>124.6</v>
      </c>
      <c r="X4329" s="5">
        <f t="shared" si="623"/>
        <v>0.377</v>
      </c>
      <c r="Z4329" s="2" t="s">
        <v>3239</v>
      </c>
      <c r="AA4329" s="2" t="s">
        <v>76</v>
      </c>
      <c r="AB4329" s="2" t="s">
        <v>77</v>
      </c>
      <c r="AC4329" s="2" t="s">
        <v>78</v>
      </c>
      <c r="AK4329" s="2">
        <f t="shared" si="632"/>
        <v>75.400000000000006</v>
      </c>
      <c r="AL4329" s="5">
        <f t="shared" si="633"/>
        <v>0.377</v>
      </c>
    </row>
    <row r="4330" spans="1:38" x14ac:dyDescent="0.2">
      <c r="A4330" s="2">
        <v>2026</v>
      </c>
      <c r="B4330" s="2">
        <v>7</v>
      </c>
      <c r="C4330" s="2" t="s">
        <v>3308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34"/>
        <v>0.34040000000000004</v>
      </c>
      <c r="V4330" s="2">
        <f t="shared" si="635"/>
        <v>1.8204</v>
      </c>
      <c r="X4330" s="5">
        <f t="shared" si="623"/>
        <v>1</v>
      </c>
      <c r="Z4330" s="2" t="s">
        <v>3239</v>
      </c>
      <c r="AA4330" s="2" t="s">
        <v>97</v>
      </c>
      <c r="AB4330" s="2" t="s">
        <v>77</v>
      </c>
      <c r="AC4330" s="2" t="s">
        <v>94</v>
      </c>
      <c r="AK4330" s="2">
        <f t="shared" si="632"/>
        <v>1.48</v>
      </c>
      <c r="AL4330" s="5">
        <f t="shared" si="633"/>
        <v>1</v>
      </c>
    </row>
    <row r="4331" spans="1:38" x14ac:dyDescent="0.2">
      <c r="A4331" s="2">
        <v>2026</v>
      </c>
      <c r="B4331" s="2">
        <v>7</v>
      </c>
      <c r="C4331" s="2" t="s">
        <v>3308</v>
      </c>
      <c r="D4331" s="15" t="s">
        <v>3348</v>
      </c>
      <c r="E4331" s="2" t="s">
        <v>3391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1291</v>
      </c>
      <c r="R4331" s="15" t="s">
        <v>1292</v>
      </c>
      <c r="S4331" s="13">
        <v>1</v>
      </c>
      <c r="T4331" s="14">
        <v>2000</v>
      </c>
      <c r="U4331" s="2">
        <f t="shared" si="634"/>
        <v>460</v>
      </c>
      <c r="V4331" s="2">
        <f t="shared" si="635"/>
        <v>2460</v>
      </c>
      <c r="W4331" s="2">
        <v>1150</v>
      </c>
      <c r="X4331" s="5">
        <f t="shared" si="623"/>
        <v>0.42499999999999999</v>
      </c>
      <c r="Z4331" s="2" t="s">
        <v>105</v>
      </c>
      <c r="AA4331" s="2" t="s">
        <v>1582</v>
      </c>
      <c r="AB4331" s="2" t="s">
        <v>389</v>
      </c>
      <c r="AC4331" s="2" t="s">
        <v>1332</v>
      </c>
      <c r="AK4331" s="2">
        <f t="shared" si="632"/>
        <v>850</v>
      </c>
      <c r="AL4331" s="5">
        <f t="shared" si="633"/>
        <v>0.42499999999999999</v>
      </c>
    </row>
    <row r="4332" spans="1:38" x14ac:dyDescent="0.2">
      <c r="A4332" s="2">
        <v>2026</v>
      </c>
      <c r="B4332" s="2">
        <v>7</v>
      </c>
      <c r="C4332" s="2" t="s">
        <v>3308</v>
      </c>
      <c r="D4332" s="15" t="s">
        <v>3348</v>
      </c>
      <c r="E4332" s="2" t="s">
        <v>3391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1162</v>
      </c>
      <c r="R4332" s="15" t="s">
        <v>1163</v>
      </c>
      <c r="S4332" s="13">
        <v>1</v>
      </c>
      <c r="T4332" s="14">
        <v>0</v>
      </c>
      <c r="U4332" s="2">
        <f t="shared" si="634"/>
        <v>0</v>
      </c>
      <c r="V4332" s="2">
        <f t="shared" si="635"/>
        <v>0</v>
      </c>
      <c r="W4332" s="2">
        <v>0</v>
      </c>
      <c r="X4332" s="5">
        <v>0</v>
      </c>
      <c r="Z4332" s="2" t="s">
        <v>105</v>
      </c>
      <c r="AA4332" s="2" t="s">
        <v>1582</v>
      </c>
      <c r="AB4332" s="2" t="s">
        <v>389</v>
      </c>
      <c r="AC4332" s="2" t="s">
        <v>1332</v>
      </c>
      <c r="AK4332" s="2">
        <f t="shared" si="632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3308</v>
      </c>
      <c r="D4333" s="15" t="s">
        <v>3348</v>
      </c>
      <c r="E4333" s="2" t="s">
        <v>3391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1293</v>
      </c>
      <c r="R4333" s="15" t="s">
        <v>1294</v>
      </c>
      <c r="S4333" s="13">
        <v>1</v>
      </c>
      <c r="T4333" s="14">
        <v>0</v>
      </c>
      <c r="U4333" s="2">
        <f t="shared" si="634"/>
        <v>0</v>
      </c>
      <c r="V4333" s="2">
        <f t="shared" si="635"/>
        <v>0</v>
      </c>
      <c r="W4333" s="2">
        <v>0</v>
      </c>
      <c r="X4333" s="5">
        <v>0</v>
      </c>
      <c r="Z4333" s="2" t="s">
        <v>105</v>
      </c>
      <c r="AA4333" s="2" t="s">
        <v>1582</v>
      </c>
      <c r="AB4333" s="2" t="s">
        <v>389</v>
      </c>
      <c r="AC4333" s="2" t="s">
        <v>1332</v>
      </c>
      <c r="AK4333" s="2">
        <f t="shared" si="632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2954</v>
      </c>
      <c r="P4334" s="2" t="s">
        <v>73</v>
      </c>
      <c r="Q4334" s="16" t="s">
        <v>3362</v>
      </c>
      <c r="R4334" s="15" t="s">
        <v>75</v>
      </c>
      <c r="S4334" s="13">
        <v>1</v>
      </c>
      <c r="T4334" s="14">
        <v>270</v>
      </c>
      <c r="U4334" s="2">
        <f t="shared" si="634"/>
        <v>62.1</v>
      </c>
      <c r="V4334" s="2">
        <f t="shared" si="635"/>
        <v>332.1</v>
      </c>
      <c r="W4334" s="2">
        <f>118.44+11.7</f>
        <v>130.13999999999999</v>
      </c>
      <c r="X4334" s="5">
        <f t="shared" si="623"/>
        <v>0.51800000000000002</v>
      </c>
      <c r="Z4334" s="2" t="s">
        <v>3239</v>
      </c>
      <c r="AA4334" s="2" t="s">
        <v>76</v>
      </c>
      <c r="AB4334" s="2" t="s">
        <v>77</v>
      </c>
      <c r="AC4334" s="2" t="s">
        <v>78</v>
      </c>
      <c r="AK4334" s="2">
        <f t="shared" si="632"/>
        <v>139.86000000000001</v>
      </c>
      <c r="AL4334" s="5">
        <f t="shared" si="633"/>
        <v>0.51800000000000002</v>
      </c>
    </row>
    <row r="4335" spans="1:38" x14ac:dyDescent="0.2">
      <c r="A4335" s="2">
        <v>2026</v>
      </c>
      <c r="B4335" s="2">
        <v>7</v>
      </c>
      <c r="D4335" s="15" t="s">
        <v>2954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34"/>
        <v>0.34040000000000004</v>
      </c>
      <c r="V4335" s="2">
        <f t="shared" si="635"/>
        <v>1.8204</v>
      </c>
      <c r="X4335" s="5">
        <f t="shared" si="623"/>
        <v>1</v>
      </c>
      <c r="Z4335" s="2" t="s">
        <v>3239</v>
      </c>
      <c r="AA4335" s="2" t="s">
        <v>97</v>
      </c>
      <c r="AB4335" s="2" t="s">
        <v>77</v>
      </c>
      <c r="AC4335" s="2" t="s">
        <v>94</v>
      </c>
      <c r="AK4335" s="2">
        <f t="shared" si="632"/>
        <v>1.48</v>
      </c>
      <c r="AL4335" s="5">
        <f t="shared" si="633"/>
        <v>1</v>
      </c>
    </row>
    <row r="4336" spans="1:38" x14ac:dyDescent="0.2">
      <c r="A4336" s="2">
        <v>2026</v>
      </c>
      <c r="B4336" s="2">
        <v>7</v>
      </c>
      <c r="D4336" s="15" t="s">
        <v>1232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34"/>
        <v>16.79</v>
      </c>
      <c r="V4336" s="2">
        <f t="shared" si="635"/>
        <v>89.789999999999992</v>
      </c>
      <c r="W4336" s="2">
        <f>T4336*40%</f>
        <v>29.200000000000003</v>
      </c>
      <c r="X4336" s="5">
        <f t="shared" si="623"/>
        <v>0.6</v>
      </c>
      <c r="Z4336" s="2" t="s">
        <v>118</v>
      </c>
      <c r="AA4336" s="2" t="s">
        <v>191</v>
      </c>
      <c r="AK4336" s="2">
        <f t="shared" si="632"/>
        <v>43.8</v>
      </c>
      <c r="AL4336" s="5">
        <f t="shared" si="633"/>
        <v>0.6</v>
      </c>
    </row>
    <row r="4337" spans="1:38" x14ac:dyDescent="0.2">
      <c r="A4337" s="2">
        <v>2026</v>
      </c>
      <c r="B4337" s="2">
        <v>7</v>
      </c>
      <c r="D4337" s="15" t="s">
        <v>1232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34"/>
        <v>12.65</v>
      </c>
      <c r="V4337" s="2">
        <f t="shared" si="635"/>
        <v>67.650000000000006</v>
      </c>
      <c r="W4337" s="2">
        <f>T4337*50%</f>
        <v>27.5</v>
      </c>
      <c r="X4337" s="5">
        <f t="shared" ref="X4337:X4400" si="636">(T4337-W4337)/T4337</f>
        <v>0.5</v>
      </c>
      <c r="Z4337" s="2" t="s">
        <v>118</v>
      </c>
      <c r="AA4337" s="2" t="s">
        <v>191</v>
      </c>
      <c r="AK4337" s="2">
        <f t="shared" si="632"/>
        <v>27.5</v>
      </c>
      <c r="AL4337" s="5">
        <f t="shared" si="633"/>
        <v>0.5</v>
      </c>
    </row>
    <row r="4338" spans="1:38" x14ac:dyDescent="0.2">
      <c r="A4338" s="2">
        <v>2026</v>
      </c>
      <c r="B4338" s="2">
        <v>7</v>
      </c>
      <c r="D4338" s="15" t="s">
        <v>1561</v>
      </c>
      <c r="P4338" s="2" t="s">
        <v>73</v>
      </c>
      <c r="Q4338" s="16" t="s">
        <v>3362</v>
      </c>
      <c r="R4338" s="15" t="s">
        <v>75</v>
      </c>
      <c r="S4338" s="13">
        <v>1</v>
      </c>
      <c r="T4338" s="14">
        <v>220</v>
      </c>
      <c r="U4338" s="2">
        <f t="shared" si="634"/>
        <v>50.6</v>
      </c>
      <c r="V4338" s="2">
        <f t="shared" si="635"/>
        <v>270.60000000000002</v>
      </c>
      <c r="W4338" s="2">
        <f>118.44+11.7</f>
        <v>130.13999999999999</v>
      </c>
      <c r="X4338" s="5">
        <f t="shared" si="636"/>
        <v>0.40845454545454551</v>
      </c>
      <c r="Z4338" s="2" t="s">
        <v>3239</v>
      </c>
      <c r="AA4338" s="2" t="s">
        <v>76</v>
      </c>
      <c r="AB4338" s="2" t="s">
        <v>77</v>
      </c>
      <c r="AC4338" s="2" t="s">
        <v>78</v>
      </c>
      <c r="AK4338" s="2">
        <f t="shared" si="632"/>
        <v>89.860000000000014</v>
      </c>
      <c r="AL4338" s="5">
        <f t="shared" si="633"/>
        <v>0.40845454545454551</v>
      </c>
    </row>
    <row r="4339" spans="1:38" x14ac:dyDescent="0.2">
      <c r="A4339" s="2">
        <v>2026</v>
      </c>
      <c r="B4339" s="2">
        <v>7</v>
      </c>
      <c r="D4339" s="15" t="s">
        <v>1561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34"/>
        <v>0.34040000000000004</v>
      </c>
      <c r="V4339" s="2">
        <f t="shared" si="635"/>
        <v>1.8204</v>
      </c>
      <c r="X4339" s="5">
        <f t="shared" si="636"/>
        <v>1</v>
      </c>
      <c r="Z4339" s="2" t="s">
        <v>3239</v>
      </c>
      <c r="AA4339" s="2" t="s">
        <v>97</v>
      </c>
      <c r="AB4339" s="2" t="s">
        <v>77</v>
      </c>
      <c r="AC4339" s="2" t="s">
        <v>94</v>
      </c>
      <c r="AK4339" s="2">
        <f t="shared" si="632"/>
        <v>1.48</v>
      </c>
      <c r="AL4339" s="5">
        <f t="shared" si="633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3363</v>
      </c>
      <c r="R4340" s="15" t="s">
        <v>3364</v>
      </c>
      <c r="S4340" s="13">
        <v>1</v>
      </c>
      <c r="T4340" s="14">
        <v>59.17</v>
      </c>
      <c r="U4340" s="2">
        <f t="shared" si="634"/>
        <v>13.609100000000002</v>
      </c>
      <c r="V4340" s="2">
        <f t="shared" si="635"/>
        <v>72.7791</v>
      </c>
      <c r="W4340" s="2">
        <v>28.25</v>
      </c>
      <c r="X4340" s="5">
        <f t="shared" si="636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32"/>
        <v>30.92</v>
      </c>
      <c r="AL4340" s="5">
        <f t="shared" si="633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34"/>
        <v>13.8</v>
      </c>
      <c r="V4341" s="2">
        <f t="shared" si="635"/>
        <v>73.8</v>
      </c>
      <c r="W4341" s="2">
        <f>T4341*40%</f>
        <v>24</v>
      </c>
      <c r="X4341" s="5">
        <f t="shared" si="636"/>
        <v>0.6</v>
      </c>
      <c r="Z4341" s="2" t="s">
        <v>118</v>
      </c>
      <c r="AA4341" s="2" t="s">
        <v>191</v>
      </c>
      <c r="AK4341" s="2">
        <f t="shared" si="632"/>
        <v>36</v>
      </c>
      <c r="AL4341" s="5">
        <f t="shared" si="633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34"/>
        <v>12.65</v>
      </c>
      <c r="V4342" s="2">
        <f t="shared" si="635"/>
        <v>67.650000000000006</v>
      </c>
      <c r="W4342" s="2">
        <f>T4342*50%</f>
        <v>27.5</v>
      </c>
      <c r="X4342" s="5">
        <f t="shared" si="636"/>
        <v>0.5</v>
      </c>
      <c r="Z4342" s="2" t="s">
        <v>118</v>
      </c>
      <c r="AA4342" s="2" t="s">
        <v>191</v>
      </c>
      <c r="AK4342" s="2">
        <f t="shared" si="632"/>
        <v>27.5</v>
      </c>
      <c r="AL4342" s="5">
        <f t="shared" si="633"/>
        <v>0.5</v>
      </c>
    </row>
    <row r="4343" spans="1:38" x14ac:dyDescent="0.2">
      <c r="A4343" s="2">
        <v>2026</v>
      </c>
      <c r="B4343" s="2">
        <v>7</v>
      </c>
      <c r="D4343" s="15" t="s">
        <v>1381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34"/>
        <v>50.6</v>
      </c>
      <c r="V4343" s="2">
        <f t="shared" si="635"/>
        <v>270.60000000000002</v>
      </c>
      <c r="W4343" s="2">
        <v>125.51600000000001</v>
      </c>
      <c r="X4343" s="5">
        <f t="shared" si="636"/>
        <v>0.42947272727272723</v>
      </c>
      <c r="Z4343" s="2" t="s">
        <v>3239</v>
      </c>
      <c r="AA4343" s="2" t="s">
        <v>76</v>
      </c>
      <c r="AB4343" s="2" t="s">
        <v>77</v>
      </c>
      <c r="AC4343" s="2" t="s">
        <v>78</v>
      </c>
      <c r="AK4343" s="2">
        <f t="shared" si="632"/>
        <v>94.483999999999995</v>
      </c>
      <c r="AL4343" s="5">
        <f t="shared" si="633"/>
        <v>0.42947272727272723</v>
      </c>
    </row>
    <row r="4344" spans="1:38" x14ac:dyDescent="0.2">
      <c r="A4344" s="2">
        <v>2026</v>
      </c>
      <c r="B4344" s="2">
        <v>7</v>
      </c>
      <c r="D4344" s="15" t="s">
        <v>1381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34"/>
        <v>0.34040000000000004</v>
      </c>
      <c r="V4344" s="2">
        <f t="shared" si="635"/>
        <v>1.8204</v>
      </c>
      <c r="W4344" s="2">
        <v>1.48</v>
      </c>
      <c r="X4344" s="5">
        <f t="shared" si="636"/>
        <v>0</v>
      </c>
      <c r="Z4344" s="2" t="s">
        <v>3239</v>
      </c>
      <c r="AA4344" s="2" t="s">
        <v>97</v>
      </c>
      <c r="AB4344" s="2" t="s">
        <v>77</v>
      </c>
      <c r="AC4344" s="2" t="s">
        <v>94</v>
      </c>
      <c r="AK4344" s="2">
        <f t="shared" si="632"/>
        <v>0</v>
      </c>
      <c r="AL4344" s="5">
        <f t="shared" si="633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34"/>
        <v>50.6</v>
      </c>
      <c r="V4345" s="2">
        <f t="shared" si="635"/>
        <v>270.60000000000002</v>
      </c>
      <c r="W4345" s="2">
        <v>125.51600000000001</v>
      </c>
      <c r="X4345" s="5">
        <f t="shared" si="636"/>
        <v>0.42947272727272723</v>
      </c>
      <c r="Z4345" s="2" t="s">
        <v>3239</v>
      </c>
      <c r="AA4345" s="2" t="s">
        <v>76</v>
      </c>
      <c r="AB4345" s="2" t="s">
        <v>77</v>
      </c>
      <c r="AC4345" s="2" t="s">
        <v>78</v>
      </c>
      <c r="AK4345" s="2">
        <f t="shared" si="632"/>
        <v>94.483999999999995</v>
      </c>
      <c r="AL4345" s="5">
        <f t="shared" si="633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34"/>
        <v>0.34040000000000004</v>
      </c>
      <c r="V4346" s="2">
        <f t="shared" si="635"/>
        <v>1.8204</v>
      </c>
      <c r="X4346" s="5">
        <f t="shared" si="636"/>
        <v>1</v>
      </c>
      <c r="Z4346" s="2" t="s">
        <v>3239</v>
      </c>
      <c r="AA4346" s="2" t="s">
        <v>97</v>
      </c>
      <c r="AB4346" s="2" t="s">
        <v>77</v>
      </c>
      <c r="AC4346" s="2" t="s">
        <v>94</v>
      </c>
      <c r="AK4346" s="2">
        <f t="shared" si="632"/>
        <v>1.48</v>
      </c>
      <c r="AL4346" s="5">
        <f t="shared" si="633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1391</v>
      </c>
      <c r="R4347" s="15" t="s">
        <v>1392</v>
      </c>
      <c r="S4347" s="13">
        <v>1</v>
      </c>
      <c r="T4347" s="14">
        <v>508.68</v>
      </c>
      <c r="U4347" s="2">
        <f t="shared" si="634"/>
        <v>116.99640000000001</v>
      </c>
      <c r="V4347" s="2">
        <f t="shared" si="635"/>
        <v>625.67640000000006</v>
      </c>
      <c r="W4347" s="2">
        <v>178.3383</v>
      </c>
      <c r="X4347" s="5">
        <f t="shared" si="636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32"/>
        <v>330.3417</v>
      </c>
      <c r="AL4347" s="5">
        <f t="shared" si="633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34"/>
        <v>20.851800000000001</v>
      </c>
      <c r="V4348" s="2">
        <f t="shared" si="635"/>
        <v>111.51179999999999</v>
      </c>
      <c r="W4348" s="2">
        <v>30.61</v>
      </c>
      <c r="X4348" s="5">
        <f t="shared" si="636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32"/>
        <v>60.05</v>
      </c>
      <c r="AL4348" s="5">
        <f t="shared" si="633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34"/>
        <v>84.64</v>
      </c>
      <c r="V4349" s="2">
        <f t="shared" si="635"/>
        <v>452.64</v>
      </c>
      <c r="W4349" s="2">
        <f>T4349*40%</f>
        <v>147.20000000000002</v>
      </c>
      <c r="X4349" s="5">
        <f t="shared" si="636"/>
        <v>0.6</v>
      </c>
      <c r="Z4349" s="2" t="s">
        <v>118</v>
      </c>
      <c r="AA4349" s="2" t="s">
        <v>191</v>
      </c>
      <c r="AK4349" s="2">
        <f t="shared" si="632"/>
        <v>220.79999999999998</v>
      </c>
      <c r="AL4349" s="5">
        <f t="shared" si="633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34"/>
        <v>50.6</v>
      </c>
      <c r="V4350" s="2">
        <f t="shared" si="635"/>
        <v>270.60000000000002</v>
      </c>
      <c r="W4350" s="2">
        <f>T4350*50%</f>
        <v>110</v>
      </c>
      <c r="X4350" s="5">
        <f t="shared" si="636"/>
        <v>0.5</v>
      </c>
      <c r="Z4350" s="2" t="s">
        <v>118</v>
      </c>
      <c r="AA4350" s="2" t="s">
        <v>191</v>
      </c>
      <c r="AK4350" s="2">
        <f t="shared" si="632"/>
        <v>110</v>
      </c>
      <c r="AL4350" s="5">
        <f t="shared" si="633"/>
        <v>0.5</v>
      </c>
    </row>
    <row r="4351" spans="1:38" x14ac:dyDescent="0.2">
      <c r="A4351" s="2">
        <v>2026</v>
      </c>
      <c r="B4351" s="2">
        <v>7</v>
      </c>
      <c r="D4351" s="15" t="s">
        <v>2027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34"/>
        <v>17.25</v>
      </c>
      <c r="V4351" s="2">
        <f t="shared" si="635"/>
        <v>92.25</v>
      </c>
      <c r="W4351" s="2">
        <f>T4351*40%</f>
        <v>30</v>
      </c>
      <c r="X4351" s="5">
        <f t="shared" si="636"/>
        <v>0.6</v>
      </c>
      <c r="Z4351" s="2" t="s">
        <v>118</v>
      </c>
      <c r="AA4351" s="2" t="s">
        <v>191</v>
      </c>
      <c r="AK4351" s="2">
        <f t="shared" si="632"/>
        <v>45</v>
      </c>
      <c r="AL4351" s="5">
        <f t="shared" si="633"/>
        <v>0.6</v>
      </c>
    </row>
    <row r="4352" spans="1:38" x14ac:dyDescent="0.2">
      <c r="A4352" s="2">
        <v>2026</v>
      </c>
      <c r="B4352" s="2">
        <v>7</v>
      </c>
      <c r="D4352" s="15" t="s">
        <v>2027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34"/>
        <v>22.137499999999999</v>
      </c>
      <c r="V4352" s="2">
        <f t="shared" si="635"/>
        <v>118.3875</v>
      </c>
      <c r="W4352" s="2">
        <f>T4352*50%</f>
        <v>48.125</v>
      </c>
      <c r="X4352" s="5">
        <f t="shared" si="636"/>
        <v>0.5</v>
      </c>
      <c r="Z4352" s="2" t="s">
        <v>118</v>
      </c>
      <c r="AA4352" s="2" t="s">
        <v>191</v>
      </c>
      <c r="AK4352" s="2">
        <f t="shared" si="632"/>
        <v>48.125</v>
      </c>
      <c r="AL4352" s="5">
        <f t="shared" si="633"/>
        <v>0.5</v>
      </c>
    </row>
    <row r="4353" spans="1:38" x14ac:dyDescent="0.2">
      <c r="A4353" s="2">
        <v>2026</v>
      </c>
      <c r="B4353" s="2">
        <v>7</v>
      </c>
      <c r="D4353" s="15" t="s">
        <v>2027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34"/>
        <v>68.424999999999997</v>
      </c>
      <c r="V4353" s="2">
        <f t="shared" si="635"/>
        <v>365.92500000000001</v>
      </c>
      <c r="X4353" s="5">
        <f t="shared" si="636"/>
        <v>1</v>
      </c>
      <c r="Z4353" s="2" t="s">
        <v>120</v>
      </c>
      <c r="AA4353" s="2" t="s">
        <v>3394</v>
      </c>
      <c r="AK4353" s="2">
        <f t="shared" si="632"/>
        <v>297.5</v>
      </c>
      <c r="AL4353" s="5">
        <f t="shared" si="633"/>
        <v>1</v>
      </c>
    </row>
    <row r="4354" spans="1:38" x14ac:dyDescent="0.2">
      <c r="A4354" s="2">
        <v>2026</v>
      </c>
      <c r="B4354" s="2">
        <v>7</v>
      </c>
      <c r="D4354" s="15" t="s">
        <v>3349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34"/>
        <v>115</v>
      </c>
      <c r="V4354" s="2">
        <f t="shared" si="635"/>
        <v>615</v>
      </c>
      <c r="X4354" s="5">
        <f t="shared" si="636"/>
        <v>1</v>
      </c>
      <c r="Z4354" s="2" t="s">
        <v>120</v>
      </c>
      <c r="AA4354" s="2" t="s">
        <v>3394</v>
      </c>
      <c r="AK4354" s="2">
        <f t="shared" si="632"/>
        <v>500</v>
      </c>
      <c r="AL4354" s="5">
        <f t="shared" si="633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34"/>
        <v>13.34</v>
      </c>
      <c r="V4355" s="2">
        <f t="shared" si="635"/>
        <v>71.34</v>
      </c>
      <c r="W4355" s="2">
        <f t="shared" ref="W4355:W4356" si="637">14.5099*S4355</f>
        <v>29.0198</v>
      </c>
      <c r="X4355" s="5">
        <f t="shared" si="636"/>
        <v>0.49965862068965516</v>
      </c>
      <c r="Z4355" s="2" t="s">
        <v>3239</v>
      </c>
      <c r="AA4355" s="2" t="s">
        <v>46</v>
      </c>
      <c r="AB4355" s="2" t="s">
        <v>61</v>
      </c>
      <c r="AC4355" s="2" t="s">
        <v>3345</v>
      </c>
      <c r="AK4355" s="2">
        <f t="shared" si="632"/>
        <v>28.9802</v>
      </c>
      <c r="AL4355" s="5">
        <f t="shared" si="633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34"/>
        <v>22.080000000000002</v>
      </c>
      <c r="V4356" s="2">
        <f t="shared" si="635"/>
        <v>118.08</v>
      </c>
      <c r="W4356" s="2">
        <f t="shared" si="637"/>
        <v>58.0396</v>
      </c>
      <c r="X4356" s="5">
        <f t="shared" si="636"/>
        <v>0.39542083333333333</v>
      </c>
      <c r="Z4356" s="2" t="s">
        <v>3239</v>
      </c>
      <c r="AA4356" s="2" t="s">
        <v>46</v>
      </c>
      <c r="AB4356" s="2" t="s">
        <v>61</v>
      </c>
      <c r="AC4356" s="2" t="s">
        <v>3345</v>
      </c>
      <c r="AK4356" s="2">
        <f t="shared" si="632"/>
        <v>37.9604</v>
      </c>
      <c r="AL4356" s="5">
        <f t="shared" si="633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34"/>
        <v>40.71</v>
      </c>
      <c r="V4357" s="2">
        <f t="shared" si="635"/>
        <v>217.71</v>
      </c>
      <c r="W4357" s="2">
        <f>T4357*40%</f>
        <v>70.8</v>
      </c>
      <c r="X4357" s="5">
        <f t="shared" si="636"/>
        <v>0.6</v>
      </c>
      <c r="Z4357" s="2" t="s">
        <v>118</v>
      </c>
      <c r="AA4357" s="2" t="s">
        <v>191</v>
      </c>
      <c r="AK4357" s="2">
        <f t="shared" si="632"/>
        <v>106.2</v>
      </c>
      <c r="AL4357" s="5">
        <f t="shared" si="633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34"/>
        <v>12.65</v>
      </c>
      <c r="V4358" s="2">
        <f t="shared" si="635"/>
        <v>67.650000000000006</v>
      </c>
      <c r="W4358" s="2">
        <f>T4358*50%</f>
        <v>27.5</v>
      </c>
      <c r="X4358" s="5">
        <f t="shared" si="636"/>
        <v>0.5</v>
      </c>
      <c r="Z4358" s="2" t="s">
        <v>118</v>
      </c>
      <c r="AA4358" s="2" t="s">
        <v>191</v>
      </c>
      <c r="AK4358" s="2">
        <f t="shared" si="632"/>
        <v>27.5</v>
      </c>
      <c r="AL4358" s="5">
        <f t="shared" si="633"/>
        <v>0.5</v>
      </c>
    </row>
    <row r="4359" spans="1:38" x14ac:dyDescent="0.2">
      <c r="A4359" s="2">
        <v>2026</v>
      </c>
      <c r="B4359" s="2">
        <v>7</v>
      </c>
      <c r="C4359" s="2" t="s">
        <v>3308</v>
      </c>
      <c r="D4359" s="15" t="s">
        <v>1581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2657</v>
      </c>
      <c r="R4359" s="15" t="s">
        <v>2658</v>
      </c>
      <c r="S4359" s="13">
        <v>1</v>
      </c>
      <c r="T4359" s="14">
        <v>0</v>
      </c>
      <c r="U4359" s="2">
        <f t="shared" si="634"/>
        <v>0</v>
      </c>
      <c r="V4359" s="2">
        <f t="shared" si="635"/>
        <v>0</v>
      </c>
      <c r="W4359" s="2">
        <v>0</v>
      </c>
      <c r="X4359" s="5">
        <v>0</v>
      </c>
      <c r="Z4359" s="2" t="s">
        <v>105</v>
      </c>
      <c r="AA4359" s="2" t="s">
        <v>1582</v>
      </c>
      <c r="AB4359" s="2" t="s">
        <v>389</v>
      </c>
      <c r="AC4359" s="2" t="s">
        <v>1332</v>
      </c>
      <c r="AK4359" s="2">
        <f t="shared" si="632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3308</v>
      </c>
      <c r="D4360" s="15" t="s">
        <v>1581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2661</v>
      </c>
      <c r="R4360" s="15" t="s">
        <v>2662</v>
      </c>
      <c r="S4360" s="13">
        <v>1</v>
      </c>
      <c r="T4360" s="14">
        <v>0</v>
      </c>
      <c r="U4360" s="2">
        <f t="shared" si="634"/>
        <v>0</v>
      </c>
      <c r="V4360" s="2">
        <f t="shared" si="635"/>
        <v>0</v>
      </c>
      <c r="W4360" s="2">
        <v>0</v>
      </c>
      <c r="X4360" s="5">
        <v>0</v>
      </c>
      <c r="Z4360" s="2" t="s">
        <v>105</v>
      </c>
      <c r="AA4360" s="2" t="s">
        <v>1582</v>
      </c>
      <c r="AB4360" s="2" t="s">
        <v>389</v>
      </c>
      <c r="AC4360" s="2" t="s">
        <v>1332</v>
      </c>
      <c r="AK4360" s="2">
        <f t="shared" si="632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3308</v>
      </c>
      <c r="D4361" s="15" t="s">
        <v>1581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3365</v>
      </c>
      <c r="R4361" s="15" t="s">
        <v>3366</v>
      </c>
      <c r="S4361" s="13">
        <v>1</v>
      </c>
      <c r="T4361" s="14">
        <v>12000</v>
      </c>
      <c r="U4361" s="2">
        <f t="shared" si="634"/>
        <v>2760</v>
      </c>
      <c r="V4361" s="2">
        <f t="shared" si="635"/>
        <v>14760</v>
      </c>
      <c r="W4361" s="2">
        <f>10440+150</f>
        <v>10590</v>
      </c>
      <c r="X4361" s="5">
        <f t="shared" si="636"/>
        <v>0.11749999999999999</v>
      </c>
      <c r="Z4361" s="2" t="s">
        <v>105</v>
      </c>
      <c r="AA4361" s="2" t="s">
        <v>1582</v>
      </c>
      <c r="AB4361" s="2" t="s">
        <v>389</v>
      </c>
      <c r="AC4361" s="2" t="s">
        <v>1332</v>
      </c>
      <c r="AK4361" s="2">
        <f t="shared" si="632"/>
        <v>1410</v>
      </c>
      <c r="AL4361" s="5">
        <f t="shared" si="633"/>
        <v>0.11749999999999999</v>
      </c>
    </row>
    <row r="4362" spans="1:38" x14ac:dyDescent="0.2">
      <c r="A4362" s="2">
        <v>2026</v>
      </c>
      <c r="B4362" s="2">
        <v>7</v>
      </c>
      <c r="D4362" s="15" t="s">
        <v>3350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34"/>
        <v>43.7</v>
      </c>
      <c r="V4362" s="2">
        <f t="shared" si="635"/>
        <v>233.7</v>
      </c>
      <c r="W4362" s="2">
        <v>125.51600000000001</v>
      </c>
      <c r="X4362" s="5">
        <f t="shared" si="636"/>
        <v>0.33938947368421052</v>
      </c>
      <c r="Z4362" s="2" t="s">
        <v>3239</v>
      </c>
      <c r="AA4362" s="2" t="s">
        <v>76</v>
      </c>
      <c r="AB4362" s="2" t="s">
        <v>77</v>
      </c>
      <c r="AC4362" s="2" t="s">
        <v>78</v>
      </c>
      <c r="AK4362" s="2">
        <f t="shared" si="632"/>
        <v>64.483999999999995</v>
      </c>
      <c r="AL4362" s="5">
        <f t="shared" si="633"/>
        <v>0.33938947368421052</v>
      </c>
    </row>
    <row r="4363" spans="1:38" x14ac:dyDescent="0.2">
      <c r="A4363" s="2">
        <v>2026</v>
      </c>
      <c r="B4363" s="2">
        <v>7</v>
      </c>
      <c r="D4363" s="15" t="s">
        <v>3350</v>
      </c>
      <c r="P4363" s="2" t="s">
        <v>188</v>
      </c>
      <c r="Q4363" s="16" t="s">
        <v>1313</v>
      </c>
      <c r="R4363" s="15" t="s">
        <v>1314</v>
      </c>
      <c r="S4363" s="13">
        <v>1</v>
      </c>
      <c r="T4363" s="14">
        <v>0</v>
      </c>
      <c r="U4363" s="2">
        <f t="shared" si="634"/>
        <v>0</v>
      </c>
      <c r="V4363" s="2">
        <f t="shared" si="635"/>
        <v>0</v>
      </c>
      <c r="W4363" s="2">
        <v>0</v>
      </c>
      <c r="X4363" s="5">
        <v>0</v>
      </c>
      <c r="Z4363" s="2" t="s">
        <v>118</v>
      </c>
      <c r="AA4363" s="2" t="s">
        <v>1315</v>
      </c>
      <c r="AK4363" s="2">
        <f t="shared" si="632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3350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34"/>
        <v>0.34040000000000004</v>
      </c>
      <c r="V4364" s="2">
        <f t="shared" si="635"/>
        <v>1.8204</v>
      </c>
      <c r="W4364" s="2">
        <v>1.48</v>
      </c>
      <c r="X4364" s="5">
        <f t="shared" si="636"/>
        <v>0</v>
      </c>
      <c r="Z4364" s="2" t="s">
        <v>3239</v>
      </c>
      <c r="AA4364" s="2" t="s">
        <v>97</v>
      </c>
      <c r="AB4364" s="2" t="s">
        <v>77</v>
      </c>
      <c r="AC4364" s="2" t="s">
        <v>94</v>
      </c>
      <c r="AK4364" s="2">
        <f t="shared" si="632"/>
        <v>0</v>
      </c>
      <c r="AL4364" s="5">
        <f t="shared" si="633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34"/>
        <v>18.075700000000001</v>
      </c>
      <c r="V4365" s="2">
        <f t="shared" si="635"/>
        <v>96.665700000000001</v>
      </c>
      <c r="W4365" s="2">
        <f>36.2258</f>
        <v>36.2258</v>
      </c>
      <c r="X4365" s="5">
        <f t="shared" si="636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32"/>
        <v>42.364200000000004</v>
      </c>
      <c r="AL4365" s="5">
        <f t="shared" si="633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34"/>
        <v>1.61</v>
      </c>
      <c r="V4366" s="2">
        <f t="shared" si="635"/>
        <v>8.61</v>
      </c>
      <c r="X4366" s="5">
        <f t="shared" si="636"/>
        <v>1</v>
      </c>
      <c r="Z4366" s="2" t="s">
        <v>170</v>
      </c>
      <c r="AA4366" s="2" t="s">
        <v>170</v>
      </c>
      <c r="AK4366" s="2">
        <f t="shared" si="632"/>
        <v>7</v>
      </c>
      <c r="AL4366" s="5">
        <f t="shared" si="633"/>
        <v>1</v>
      </c>
    </row>
    <row r="4367" spans="1:38" x14ac:dyDescent="0.2">
      <c r="A4367" s="2">
        <v>2026</v>
      </c>
      <c r="B4367" s="2">
        <v>7</v>
      </c>
      <c r="D4367" s="15" t="s">
        <v>3434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34"/>
        <v>368</v>
      </c>
      <c r="V4367" s="2">
        <f t="shared" si="635"/>
        <v>1968</v>
      </c>
      <c r="W4367" s="2">
        <v>1244.2445</v>
      </c>
      <c r="X4367" s="5">
        <f t="shared" si="636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32"/>
        <v>355.75549999999998</v>
      </c>
      <c r="AL4367" s="5">
        <f t="shared" si="633"/>
        <v>0.22234718749999999</v>
      </c>
    </row>
    <row r="4368" spans="1:38" x14ac:dyDescent="0.2">
      <c r="A4368" s="2">
        <v>2026</v>
      </c>
      <c r="B4368" s="2">
        <v>7</v>
      </c>
      <c r="D4368" s="15" t="s">
        <v>3434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34"/>
        <v>1012</v>
      </c>
      <c r="V4368" s="2">
        <f t="shared" si="635"/>
        <v>5412</v>
      </c>
      <c r="W4368" s="2">
        <f>3229.76+112.87</f>
        <v>3342.63</v>
      </c>
      <c r="X4368" s="5">
        <f t="shared" si="636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8">T4368-W4368</f>
        <v>1057.3699999999999</v>
      </c>
      <c r="AL4368" s="5">
        <f t="shared" ref="AL4368:AL4431" si="639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1379</v>
      </c>
      <c r="R4369" s="15" t="s">
        <v>1380</v>
      </c>
      <c r="S4369" s="13">
        <v>1</v>
      </c>
      <c r="T4369" s="14">
        <v>58.74</v>
      </c>
      <c r="U4369" s="2">
        <f t="shared" ref="U4369:U4432" si="640">T4369*23%</f>
        <v>13.510200000000001</v>
      </c>
      <c r="V4369" s="2">
        <f t="shared" ref="V4369:V4432" si="641">T4369+U4369</f>
        <v>72.250200000000007</v>
      </c>
      <c r="W4369" s="2">
        <v>27.86</v>
      </c>
      <c r="X4369" s="5">
        <f t="shared" si="636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8"/>
        <v>30.880000000000003</v>
      </c>
      <c r="AL4369" s="5">
        <f t="shared" si="639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40"/>
        <v>12.65</v>
      </c>
      <c r="V4370" s="2">
        <f t="shared" si="641"/>
        <v>67.650000000000006</v>
      </c>
      <c r="W4370" s="2">
        <f>T4370*40%</f>
        <v>22</v>
      </c>
      <c r="X4370" s="5">
        <f t="shared" si="636"/>
        <v>0.6</v>
      </c>
      <c r="Z4370" s="2" t="s">
        <v>118</v>
      </c>
      <c r="AA4370" s="2" t="s">
        <v>191</v>
      </c>
      <c r="AK4370" s="2">
        <f t="shared" si="638"/>
        <v>33</v>
      </c>
      <c r="AL4370" s="5">
        <f t="shared" si="639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40"/>
        <v>18.975000000000001</v>
      </c>
      <c r="V4371" s="2">
        <f t="shared" si="641"/>
        <v>101.47499999999999</v>
      </c>
      <c r="W4371" s="2">
        <f>T4371*50%</f>
        <v>41.25</v>
      </c>
      <c r="X4371" s="5">
        <f t="shared" si="636"/>
        <v>0.5</v>
      </c>
      <c r="Z4371" s="2" t="s">
        <v>118</v>
      </c>
      <c r="AA4371" s="2" t="s">
        <v>191</v>
      </c>
      <c r="AK4371" s="2">
        <f t="shared" si="638"/>
        <v>41.25</v>
      </c>
      <c r="AL4371" s="5">
        <f t="shared" si="639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40"/>
        <v>2.1482000000000001</v>
      </c>
      <c r="V4372" s="2">
        <f t="shared" si="641"/>
        <v>11.488199999999999</v>
      </c>
      <c r="X4372" s="5">
        <f t="shared" si="636"/>
        <v>1</v>
      </c>
      <c r="Z4372" s="2" t="s">
        <v>120</v>
      </c>
      <c r="AA4372" s="2" t="s">
        <v>3394</v>
      </c>
      <c r="AK4372" s="2">
        <f t="shared" si="638"/>
        <v>9.34</v>
      </c>
      <c r="AL4372" s="5">
        <f t="shared" si="639"/>
        <v>1</v>
      </c>
    </row>
    <row r="4373" spans="1:38" x14ac:dyDescent="0.2">
      <c r="A4373" s="2">
        <v>2026</v>
      </c>
      <c r="B4373" s="2">
        <v>7</v>
      </c>
      <c r="D4373" s="15" t="s">
        <v>3351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40"/>
        <v>160.839</v>
      </c>
      <c r="V4373" s="2">
        <f t="shared" si="641"/>
        <v>860.1389999999999</v>
      </c>
      <c r="W4373" s="2">
        <v>343.38580000000002</v>
      </c>
      <c r="X4373" s="5">
        <f t="shared" si="636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8"/>
        <v>355.91419999999994</v>
      </c>
      <c r="AL4373" s="5">
        <f t="shared" si="639"/>
        <v>0.50895781495781489</v>
      </c>
    </row>
    <row r="4374" spans="1:38" x14ac:dyDescent="0.2">
      <c r="A4374" s="2">
        <v>2026</v>
      </c>
      <c r="B4374" s="2">
        <v>7</v>
      </c>
      <c r="D4374" s="15" t="s">
        <v>3351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40"/>
        <v>40.25</v>
      </c>
      <c r="V4374" s="2">
        <f t="shared" si="641"/>
        <v>215.25</v>
      </c>
      <c r="W4374" s="2">
        <f>T4374*40%</f>
        <v>70</v>
      </c>
      <c r="X4374" s="5">
        <f t="shared" si="636"/>
        <v>0.6</v>
      </c>
      <c r="Z4374" s="2" t="s">
        <v>118</v>
      </c>
      <c r="AA4374" s="2" t="s">
        <v>191</v>
      </c>
      <c r="AK4374" s="2">
        <f t="shared" si="638"/>
        <v>105</v>
      </c>
      <c r="AL4374" s="5">
        <f t="shared" si="639"/>
        <v>0.6</v>
      </c>
    </row>
    <row r="4375" spans="1:38" x14ac:dyDescent="0.2">
      <c r="A4375" s="2">
        <v>2026</v>
      </c>
      <c r="B4375" s="2">
        <v>7</v>
      </c>
      <c r="D4375" s="15" t="s">
        <v>3351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40"/>
        <v>12.65</v>
      </c>
      <c r="V4375" s="2">
        <f t="shared" si="641"/>
        <v>67.650000000000006</v>
      </c>
      <c r="W4375" s="2">
        <f>T4375*50%</f>
        <v>27.5</v>
      </c>
      <c r="X4375" s="5">
        <f t="shared" si="636"/>
        <v>0.5</v>
      </c>
      <c r="Z4375" s="2" t="s">
        <v>118</v>
      </c>
      <c r="AA4375" s="2" t="s">
        <v>191</v>
      </c>
      <c r="AK4375" s="2">
        <f t="shared" si="638"/>
        <v>27.5</v>
      </c>
      <c r="AL4375" s="5">
        <f t="shared" si="639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40"/>
        <v>2.99</v>
      </c>
      <c r="V4376" s="2">
        <f t="shared" si="641"/>
        <v>15.99</v>
      </c>
      <c r="X4376" s="5">
        <f t="shared" si="636"/>
        <v>1</v>
      </c>
      <c r="Z4376" s="2" t="s">
        <v>3239</v>
      </c>
      <c r="AK4376" s="2">
        <f t="shared" si="638"/>
        <v>13</v>
      </c>
      <c r="AL4376" s="5">
        <f t="shared" si="639"/>
        <v>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40"/>
        <v>8.2800000000000011</v>
      </c>
      <c r="V4377" s="2">
        <f t="shared" si="641"/>
        <v>44.28</v>
      </c>
      <c r="X4377" s="5">
        <f t="shared" si="636"/>
        <v>1</v>
      </c>
      <c r="Z4377" s="2" t="s">
        <v>3239</v>
      </c>
      <c r="AK4377" s="2">
        <f t="shared" si="638"/>
        <v>36</v>
      </c>
      <c r="AL4377" s="5">
        <f t="shared" si="639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40"/>
        <v>2.99</v>
      </c>
      <c r="V4378" s="2">
        <f t="shared" si="641"/>
        <v>15.99</v>
      </c>
      <c r="X4378" s="5">
        <f t="shared" si="636"/>
        <v>1</v>
      </c>
      <c r="Z4378" s="2" t="s">
        <v>3239</v>
      </c>
      <c r="AK4378" s="2">
        <f t="shared" si="638"/>
        <v>13</v>
      </c>
      <c r="AL4378" s="5">
        <f t="shared" si="639"/>
        <v>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40"/>
        <v>1.84</v>
      </c>
      <c r="V4379" s="2">
        <f t="shared" si="641"/>
        <v>9.84</v>
      </c>
      <c r="X4379" s="5">
        <f t="shared" si="636"/>
        <v>1</v>
      </c>
      <c r="Z4379" s="2" t="s">
        <v>170</v>
      </c>
      <c r="AA4379" s="2" t="s">
        <v>170</v>
      </c>
      <c r="AK4379" s="2">
        <f t="shared" si="638"/>
        <v>8</v>
      </c>
      <c r="AL4379" s="5">
        <f t="shared" si="639"/>
        <v>1</v>
      </c>
    </row>
    <row r="4380" spans="1:38" x14ac:dyDescent="0.2">
      <c r="A4380" s="2">
        <v>2026</v>
      </c>
      <c r="B4380" s="2">
        <v>7</v>
      </c>
      <c r="D4380" s="15" t="s">
        <v>3352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40"/>
        <v>9.66</v>
      </c>
      <c r="V4380" s="2">
        <f t="shared" si="641"/>
        <v>51.66</v>
      </c>
      <c r="X4380" s="5">
        <f t="shared" si="636"/>
        <v>1</v>
      </c>
      <c r="Z4380" s="2" t="s">
        <v>3239</v>
      </c>
      <c r="AK4380" s="2">
        <f t="shared" si="638"/>
        <v>42</v>
      </c>
      <c r="AL4380" s="5">
        <f t="shared" si="639"/>
        <v>1</v>
      </c>
    </row>
    <row r="4381" spans="1:38" x14ac:dyDescent="0.2">
      <c r="A4381" s="2">
        <v>2026</v>
      </c>
      <c r="B4381" s="2">
        <v>7</v>
      </c>
      <c r="D4381" s="15" t="s">
        <v>3352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40"/>
        <v>19.55</v>
      </c>
      <c r="V4381" s="2">
        <f t="shared" si="641"/>
        <v>104.55</v>
      </c>
      <c r="X4381" s="5">
        <f t="shared" si="636"/>
        <v>1</v>
      </c>
      <c r="Z4381" s="2" t="s">
        <v>3239</v>
      </c>
      <c r="AK4381" s="2">
        <f t="shared" si="638"/>
        <v>85</v>
      </c>
      <c r="AL4381" s="5">
        <f t="shared" si="639"/>
        <v>1</v>
      </c>
    </row>
    <row r="4382" spans="1:38" x14ac:dyDescent="0.2">
      <c r="A4382" s="2">
        <v>2026</v>
      </c>
      <c r="B4382" s="2">
        <v>7</v>
      </c>
      <c r="D4382" s="15" t="s">
        <v>3352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40"/>
        <v>10.58</v>
      </c>
      <c r="V4382" s="2">
        <f t="shared" si="641"/>
        <v>56.58</v>
      </c>
      <c r="W4382" s="2">
        <f>0.082*S4382</f>
        <v>32.800000000000004</v>
      </c>
      <c r="X4382" s="5">
        <f t="shared" si="636"/>
        <v>0.28695652173913033</v>
      </c>
      <c r="Z4382" s="2" t="s">
        <v>3239</v>
      </c>
      <c r="AA4382" s="2" t="s">
        <v>46</v>
      </c>
      <c r="AB4382" s="2" t="s">
        <v>61</v>
      </c>
      <c r="AC4382" s="2" t="s">
        <v>58</v>
      </c>
      <c r="AK4382" s="2">
        <f t="shared" si="638"/>
        <v>13.199999999999996</v>
      </c>
      <c r="AL4382" s="5">
        <f t="shared" si="639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40"/>
        <v>156.14930000000001</v>
      </c>
      <c r="V4383" s="2">
        <f t="shared" si="641"/>
        <v>835.05930000000001</v>
      </c>
      <c r="X4383" s="5">
        <f t="shared" si="636"/>
        <v>1</v>
      </c>
      <c r="Z4383" s="2" t="s">
        <v>120</v>
      </c>
      <c r="AA4383" s="2" t="s">
        <v>493</v>
      </c>
      <c r="AK4383" s="2">
        <f t="shared" si="638"/>
        <v>678.91</v>
      </c>
      <c r="AL4383" s="5">
        <f t="shared" si="639"/>
        <v>1</v>
      </c>
    </row>
    <row r="4384" spans="1:38" x14ac:dyDescent="0.2">
      <c r="A4384" s="2">
        <v>2026</v>
      </c>
      <c r="B4384" s="2">
        <v>7</v>
      </c>
      <c r="C4384" s="2" t="s">
        <v>3309</v>
      </c>
      <c r="D4384" s="15" t="s">
        <v>3353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40"/>
        <v>160.839</v>
      </c>
      <c r="V4384" s="2">
        <f t="shared" si="641"/>
        <v>860.1389999999999</v>
      </c>
      <c r="W4384" s="2">
        <v>343.38580000000002</v>
      </c>
      <c r="X4384" s="5">
        <f t="shared" si="636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8"/>
        <v>355.91419999999994</v>
      </c>
      <c r="AL4384" s="5">
        <f t="shared" si="639"/>
        <v>0.50895781495781489</v>
      </c>
    </row>
    <row r="4385" spans="1:38" x14ac:dyDescent="0.2">
      <c r="A4385" s="2">
        <v>2026</v>
      </c>
      <c r="B4385" s="2">
        <v>7</v>
      </c>
      <c r="C4385" s="2" t="s">
        <v>3309</v>
      </c>
      <c r="D4385" s="15" t="s">
        <v>3353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40"/>
        <v>13.8</v>
      </c>
      <c r="V4385" s="2">
        <f t="shared" si="641"/>
        <v>73.8</v>
      </c>
      <c r="W4385" s="2">
        <f>T4385*40%</f>
        <v>24</v>
      </c>
      <c r="X4385" s="5">
        <f t="shared" si="636"/>
        <v>0.6</v>
      </c>
      <c r="Z4385" s="2" t="s">
        <v>118</v>
      </c>
      <c r="AA4385" s="2" t="s">
        <v>191</v>
      </c>
      <c r="AK4385" s="2">
        <f t="shared" si="638"/>
        <v>36</v>
      </c>
      <c r="AL4385" s="5">
        <f t="shared" si="639"/>
        <v>0.6</v>
      </c>
    </row>
    <row r="4386" spans="1:38" x14ac:dyDescent="0.2">
      <c r="A4386" s="2">
        <v>2026</v>
      </c>
      <c r="B4386" s="2">
        <v>7</v>
      </c>
      <c r="C4386" s="2" t="s">
        <v>3309</v>
      </c>
      <c r="D4386" s="15" t="s">
        <v>3353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40"/>
        <v>12.65</v>
      </c>
      <c r="V4386" s="2">
        <f t="shared" si="641"/>
        <v>67.650000000000006</v>
      </c>
      <c r="W4386" s="2">
        <f>T4386*50%</f>
        <v>27.5</v>
      </c>
      <c r="X4386" s="5">
        <f t="shared" si="636"/>
        <v>0.5</v>
      </c>
      <c r="Z4386" s="2" t="s">
        <v>118</v>
      </c>
      <c r="AA4386" s="2" t="s">
        <v>191</v>
      </c>
      <c r="AK4386" s="2">
        <f t="shared" si="638"/>
        <v>27.5</v>
      </c>
      <c r="AL4386" s="5">
        <f t="shared" si="639"/>
        <v>0.5</v>
      </c>
    </row>
    <row r="4387" spans="1:38" x14ac:dyDescent="0.2">
      <c r="A4387" s="2">
        <v>2026</v>
      </c>
      <c r="B4387" s="2">
        <v>7</v>
      </c>
      <c r="D4387" s="15" t="s">
        <v>2163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40"/>
        <v>92.69</v>
      </c>
      <c r="V4387" s="2">
        <f t="shared" si="641"/>
        <v>495.69</v>
      </c>
      <c r="W4387" s="2">
        <f>T4387*40%</f>
        <v>161.20000000000002</v>
      </c>
      <c r="X4387" s="5">
        <f t="shared" si="636"/>
        <v>0.6</v>
      </c>
      <c r="Z4387" s="2" t="s">
        <v>118</v>
      </c>
      <c r="AA4387" s="2" t="s">
        <v>191</v>
      </c>
      <c r="AK4387" s="2">
        <f t="shared" si="638"/>
        <v>241.79999999999998</v>
      </c>
      <c r="AL4387" s="5">
        <f t="shared" si="639"/>
        <v>0.6</v>
      </c>
    </row>
    <row r="4388" spans="1:38" x14ac:dyDescent="0.2">
      <c r="A4388" s="2">
        <v>2026</v>
      </c>
      <c r="B4388" s="2">
        <v>7</v>
      </c>
      <c r="D4388" s="15" t="s">
        <v>2163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40"/>
        <v>12.65</v>
      </c>
      <c r="V4388" s="2">
        <f t="shared" si="641"/>
        <v>67.650000000000006</v>
      </c>
      <c r="W4388" s="2">
        <f>T4388*50%</f>
        <v>27.5</v>
      </c>
      <c r="X4388" s="5">
        <f t="shared" si="636"/>
        <v>0.5</v>
      </c>
      <c r="Z4388" s="2" t="s">
        <v>118</v>
      </c>
      <c r="AA4388" s="2" t="s">
        <v>191</v>
      </c>
      <c r="AK4388" s="2">
        <f t="shared" si="638"/>
        <v>27.5</v>
      </c>
      <c r="AL4388" s="5">
        <f t="shared" si="639"/>
        <v>0.5</v>
      </c>
    </row>
    <row r="4389" spans="1:38" x14ac:dyDescent="0.2">
      <c r="A4389" s="2">
        <v>2026</v>
      </c>
      <c r="B4389" s="2">
        <v>7</v>
      </c>
      <c r="D4389" s="15" t="s">
        <v>3120</v>
      </c>
      <c r="M4389" s="2" t="s">
        <v>40</v>
      </c>
      <c r="P4389" s="2" t="s">
        <v>115</v>
      </c>
      <c r="Q4389" s="16" t="s">
        <v>3367</v>
      </c>
      <c r="R4389" s="15" t="s">
        <v>3368</v>
      </c>
      <c r="S4389" s="13">
        <v>2</v>
      </c>
      <c r="T4389" s="14">
        <v>32.549999999999997</v>
      </c>
      <c r="U4389" s="2">
        <f t="shared" si="640"/>
        <v>7.4864999999999995</v>
      </c>
      <c r="V4389" s="2">
        <f t="shared" si="641"/>
        <v>40.036499999999997</v>
      </c>
      <c r="X4389" s="5">
        <f t="shared" si="636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8"/>
        <v>32.549999999999997</v>
      </c>
      <c r="AL4389" s="5">
        <f t="shared" si="639"/>
        <v>1</v>
      </c>
    </row>
    <row r="4390" spans="1:38" x14ac:dyDescent="0.2">
      <c r="A4390" s="2">
        <v>2026</v>
      </c>
      <c r="B4390" s="2">
        <v>7</v>
      </c>
      <c r="D4390" s="15" t="s">
        <v>2914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40"/>
        <v>6.67</v>
      </c>
      <c r="V4390" s="2">
        <f t="shared" si="641"/>
        <v>35.67</v>
      </c>
      <c r="W4390" s="2">
        <f>14.5099*S4390</f>
        <v>14.5099</v>
      </c>
      <c r="X4390" s="5">
        <f t="shared" si="636"/>
        <v>0.49965862068965516</v>
      </c>
      <c r="Z4390" s="2" t="s">
        <v>3239</v>
      </c>
      <c r="AA4390" s="2" t="s">
        <v>46</v>
      </c>
      <c r="AB4390" s="2" t="s">
        <v>61</v>
      </c>
      <c r="AC4390" s="2" t="s">
        <v>3345</v>
      </c>
      <c r="AK4390" s="2">
        <f t="shared" si="638"/>
        <v>14.4901</v>
      </c>
      <c r="AL4390" s="5">
        <f t="shared" si="639"/>
        <v>0.49965862068965516</v>
      </c>
    </row>
    <row r="4391" spans="1:38" x14ac:dyDescent="0.2">
      <c r="A4391" s="2">
        <v>2026</v>
      </c>
      <c r="B4391" s="2">
        <v>7</v>
      </c>
      <c r="D4391" s="15" t="s">
        <v>1077</v>
      </c>
      <c r="P4391" s="2" t="s">
        <v>73</v>
      </c>
      <c r="Q4391" s="16" t="s">
        <v>3369</v>
      </c>
      <c r="R4391" s="15" t="s">
        <v>80</v>
      </c>
      <c r="S4391" s="13">
        <v>1</v>
      </c>
      <c r="T4391" s="14">
        <v>220</v>
      </c>
      <c r="U4391" s="2">
        <f t="shared" si="640"/>
        <v>50.6</v>
      </c>
      <c r="V4391" s="2">
        <f t="shared" si="641"/>
        <v>270.60000000000002</v>
      </c>
      <c r="W4391" s="2">
        <v>125.15</v>
      </c>
      <c r="X4391" s="5">
        <f t="shared" si="636"/>
        <v>0.4311363636363636</v>
      </c>
      <c r="Z4391" s="2" t="s">
        <v>3239</v>
      </c>
      <c r="AA4391" s="2" t="s">
        <v>76</v>
      </c>
      <c r="AB4391" s="2" t="s">
        <v>77</v>
      </c>
      <c r="AC4391" s="2" t="s">
        <v>78</v>
      </c>
      <c r="AK4391" s="2">
        <f t="shared" si="638"/>
        <v>94.85</v>
      </c>
      <c r="AL4391" s="5">
        <f t="shared" si="639"/>
        <v>0.4311363636363636</v>
      </c>
    </row>
    <row r="4392" spans="1:38" x14ac:dyDescent="0.2">
      <c r="A4392" s="2">
        <v>2026</v>
      </c>
      <c r="B4392" s="2">
        <v>7</v>
      </c>
      <c r="D4392" s="15" t="s">
        <v>1077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40"/>
        <v>0.34040000000000004</v>
      </c>
      <c r="V4392" s="2">
        <f t="shared" si="641"/>
        <v>1.8204</v>
      </c>
      <c r="X4392" s="5">
        <f t="shared" si="636"/>
        <v>1</v>
      </c>
      <c r="Z4392" s="2" t="s">
        <v>3239</v>
      </c>
      <c r="AA4392" s="2" t="s">
        <v>97</v>
      </c>
      <c r="AB4392" s="2" t="s">
        <v>77</v>
      </c>
      <c r="AC4392" s="2" t="s">
        <v>94</v>
      </c>
      <c r="AK4392" s="2">
        <f t="shared" si="638"/>
        <v>1.48</v>
      </c>
      <c r="AL4392" s="5">
        <f t="shared" si="639"/>
        <v>1</v>
      </c>
    </row>
    <row r="4393" spans="1:38" x14ac:dyDescent="0.2">
      <c r="A4393" s="2">
        <v>2026</v>
      </c>
      <c r="B4393" s="2">
        <v>7</v>
      </c>
      <c r="D4393" s="15" t="s">
        <v>3354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40"/>
        <v>68.08</v>
      </c>
      <c r="V4393" s="2">
        <f t="shared" si="641"/>
        <v>364.08</v>
      </c>
      <c r="W4393" s="2">
        <f>T4393*40%</f>
        <v>118.4</v>
      </c>
      <c r="X4393" s="5">
        <f t="shared" si="636"/>
        <v>0.6</v>
      </c>
      <c r="Z4393" s="2" t="s">
        <v>118</v>
      </c>
      <c r="AA4393" s="2" t="s">
        <v>191</v>
      </c>
      <c r="AK4393" s="2">
        <f t="shared" si="638"/>
        <v>177.6</v>
      </c>
      <c r="AL4393" s="5">
        <f t="shared" si="639"/>
        <v>0.6</v>
      </c>
    </row>
    <row r="4394" spans="1:38" x14ac:dyDescent="0.2">
      <c r="A4394" s="2">
        <v>2026</v>
      </c>
      <c r="B4394" s="2">
        <v>7</v>
      </c>
      <c r="D4394" s="15" t="s">
        <v>3354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40"/>
        <v>12.65</v>
      </c>
      <c r="V4394" s="2">
        <f t="shared" si="641"/>
        <v>67.650000000000006</v>
      </c>
      <c r="W4394" s="2">
        <f>T4394*50%</f>
        <v>27.5</v>
      </c>
      <c r="X4394" s="5">
        <f t="shared" si="636"/>
        <v>0.5</v>
      </c>
      <c r="Z4394" s="2" t="s">
        <v>118</v>
      </c>
      <c r="AA4394" s="2" t="s">
        <v>191</v>
      </c>
      <c r="AK4394" s="2">
        <f t="shared" si="638"/>
        <v>27.5</v>
      </c>
      <c r="AL4394" s="5">
        <f t="shared" si="639"/>
        <v>0.5</v>
      </c>
    </row>
    <row r="4395" spans="1:38" x14ac:dyDescent="0.2">
      <c r="A4395" s="2">
        <v>2026</v>
      </c>
      <c r="B4395" s="2">
        <v>7</v>
      </c>
      <c r="C4395" s="2" t="s">
        <v>3309</v>
      </c>
      <c r="D4395" s="15" t="s">
        <v>2531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40"/>
        <v>51.75</v>
      </c>
      <c r="V4395" s="2">
        <f t="shared" si="641"/>
        <v>276.75</v>
      </c>
      <c r="W4395" s="2">
        <v>125.51600000000001</v>
      </c>
      <c r="X4395" s="5">
        <f t="shared" si="636"/>
        <v>0.44215111111111111</v>
      </c>
      <c r="Z4395" s="2" t="s">
        <v>3239</v>
      </c>
      <c r="AA4395" s="2" t="s">
        <v>76</v>
      </c>
      <c r="AB4395" s="2" t="s">
        <v>77</v>
      </c>
      <c r="AC4395" s="2" t="s">
        <v>78</v>
      </c>
      <c r="AK4395" s="2">
        <f t="shared" si="638"/>
        <v>99.483999999999995</v>
      </c>
      <c r="AL4395" s="5">
        <f t="shared" si="639"/>
        <v>0.44215111111111111</v>
      </c>
    </row>
    <row r="4396" spans="1:38" x14ac:dyDescent="0.2">
      <c r="A4396" s="2">
        <v>2026</v>
      </c>
      <c r="B4396" s="2">
        <v>7</v>
      </c>
      <c r="C4396" s="2" t="s">
        <v>3309</v>
      </c>
      <c r="D4396" s="15" t="s">
        <v>2531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40"/>
        <v>0.34040000000000004</v>
      </c>
      <c r="V4396" s="2">
        <f t="shared" si="641"/>
        <v>1.8204</v>
      </c>
      <c r="W4396" s="2">
        <v>1.48</v>
      </c>
      <c r="X4396" s="5">
        <f t="shared" si="636"/>
        <v>0</v>
      </c>
      <c r="Z4396" s="2" t="s">
        <v>3239</v>
      </c>
      <c r="AA4396" s="2" t="s">
        <v>97</v>
      </c>
      <c r="AB4396" s="2" t="s">
        <v>77</v>
      </c>
      <c r="AC4396" s="2" t="s">
        <v>94</v>
      </c>
      <c r="AK4396" s="2">
        <f t="shared" si="638"/>
        <v>0</v>
      </c>
      <c r="AL4396" s="5">
        <f t="shared" si="639"/>
        <v>0</v>
      </c>
    </row>
    <row r="4397" spans="1:38" x14ac:dyDescent="0.2">
      <c r="A4397" s="2">
        <v>2026</v>
      </c>
      <c r="B4397" s="2">
        <v>7</v>
      </c>
      <c r="C4397" s="2" t="s">
        <v>3429</v>
      </c>
      <c r="D4397" s="15" t="s">
        <v>3355</v>
      </c>
      <c r="P4397" s="2" t="s">
        <v>73</v>
      </c>
      <c r="Q4397" s="16" t="s">
        <v>3370</v>
      </c>
      <c r="R4397" s="15" t="s">
        <v>198</v>
      </c>
      <c r="S4397" s="13">
        <v>1</v>
      </c>
      <c r="T4397" s="14">
        <v>375</v>
      </c>
      <c r="U4397" s="2">
        <f t="shared" si="640"/>
        <v>86.25</v>
      </c>
      <c r="V4397" s="2">
        <f t="shared" si="641"/>
        <v>461.25</v>
      </c>
      <c r="W4397" s="2">
        <v>227.14</v>
      </c>
      <c r="X4397" s="5">
        <f t="shared" si="636"/>
        <v>0.39429333333333338</v>
      </c>
      <c r="Z4397" s="2" t="s">
        <v>3239</v>
      </c>
      <c r="AA4397" s="2" t="s">
        <v>76</v>
      </c>
      <c r="AB4397" s="2" t="s">
        <v>77</v>
      </c>
      <c r="AC4397" s="2" t="s">
        <v>78</v>
      </c>
      <c r="AK4397" s="2">
        <f t="shared" si="638"/>
        <v>147.86000000000001</v>
      </c>
      <c r="AL4397" s="5">
        <f t="shared" si="639"/>
        <v>0.39429333333333338</v>
      </c>
    </row>
    <row r="4398" spans="1:38" x14ac:dyDescent="0.2">
      <c r="A4398" s="2">
        <v>2026</v>
      </c>
      <c r="B4398" s="2">
        <v>7</v>
      </c>
      <c r="C4398" s="2" t="s">
        <v>3429</v>
      </c>
      <c r="D4398" s="15" t="s">
        <v>3355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40"/>
        <v>0.34040000000000004</v>
      </c>
      <c r="V4398" s="2">
        <f t="shared" si="641"/>
        <v>1.8204</v>
      </c>
      <c r="W4398" s="2">
        <v>1.48</v>
      </c>
      <c r="X4398" s="5">
        <f t="shared" si="636"/>
        <v>0</v>
      </c>
      <c r="Z4398" s="2" t="s">
        <v>3239</v>
      </c>
      <c r="AA4398" s="2" t="s">
        <v>97</v>
      </c>
      <c r="AB4398" s="2" t="s">
        <v>77</v>
      </c>
      <c r="AC4398" s="2" t="s">
        <v>94</v>
      </c>
      <c r="AK4398" s="2">
        <f t="shared" si="638"/>
        <v>0</v>
      </c>
      <c r="AL4398" s="5">
        <f t="shared" si="639"/>
        <v>0</v>
      </c>
    </row>
    <row r="4399" spans="1:38" x14ac:dyDescent="0.2">
      <c r="A4399" s="2">
        <v>2026</v>
      </c>
      <c r="B4399" s="2">
        <v>7</v>
      </c>
      <c r="C4399" s="2" t="s">
        <v>3430</v>
      </c>
      <c r="D4399" s="15" t="s">
        <v>2569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40"/>
        <v>51.75</v>
      </c>
      <c r="V4399" s="2">
        <f t="shared" si="641"/>
        <v>276.75</v>
      </c>
      <c r="W4399" s="2">
        <v>132.35499999999999</v>
      </c>
      <c r="X4399" s="5">
        <f t="shared" si="636"/>
        <v>0.4117555555555556</v>
      </c>
      <c r="Z4399" s="2" t="s">
        <v>3239</v>
      </c>
      <c r="AA4399" s="2" t="s">
        <v>76</v>
      </c>
      <c r="AB4399" s="2" t="s">
        <v>77</v>
      </c>
      <c r="AC4399" s="2" t="s">
        <v>78</v>
      </c>
      <c r="AK4399" s="2">
        <f t="shared" si="638"/>
        <v>92.64500000000001</v>
      </c>
      <c r="AL4399" s="5">
        <f t="shared" si="639"/>
        <v>0.4117555555555556</v>
      </c>
    </row>
    <row r="4400" spans="1:38" x14ac:dyDescent="0.2">
      <c r="A4400" s="2">
        <v>2026</v>
      </c>
      <c r="B4400" s="2">
        <v>7</v>
      </c>
      <c r="C4400" s="2" t="s">
        <v>3430</v>
      </c>
      <c r="D4400" s="15" t="s">
        <v>2569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40"/>
        <v>0.34040000000000004</v>
      </c>
      <c r="V4400" s="2">
        <f t="shared" si="641"/>
        <v>1.8204</v>
      </c>
      <c r="W4400" s="2">
        <v>1.48</v>
      </c>
      <c r="X4400" s="5">
        <f t="shared" si="636"/>
        <v>0</v>
      </c>
      <c r="Z4400" s="2" t="s">
        <v>3239</v>
      </c>
      <c r="AA4400" s="2" t="s">
        <v>97</v>
      </c>
      <c r="AB4400" s="2" t="s">
        <v>77</v>
      </c>
      <c r="AC4400" s="2" t="s">
        <v>94</v>
      </c>
      <c r="AK4400" s="2">
        <f t="shared" si="638"/>
        <v>0</v>
      </c>
      <c r="AL4400" s="5">
        <f t="shared" si="639"/>
        <v>0</v>
      </c>
    </row>
    <row r="4401" spans="1:38" x14ac:dyDescent="0.2">
      <c r="A4401" s="2">
        <v>2026</v>
      </c>
      <c r="B4401" s="2">
        <v>7</v>
      </c>
      <c r="C4401" s="2" t="s">
        <v>3431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40"/>
        <v>8.2800000000000011</v>
      </c>
      <c r="V4401" s="2">
        <f t="shared" si="641"/>
        <v>44.28</v>
      </c>
      <c r="X4401" s="5">
        <f t="shared" ref="X4401:X4434" si="642">(T4401-W4401)/T4401</f>
        <v>1</v>
      </c>
      <c r="Z4401" s="2" t="s">
        <v>3239</v>
      </c>
      <c r="AA4401" s="2" t="s">
        <v>46</v>
      </c>
      <c r="AB4401" s="2" t="s">
        <v>61</v>
      </c>
      <c r="AC4401" s="2" t="s">
        <v>58</v>
      </c>
      <c r="AK4401" s="2">
        <f t="shared" si="638"/>
        <v>36</v>
      </c>
      <c r="AL4401" s="5">
        <f t="shared" si="639"/>
        <v>1</v>
      </c>
    </row>
    <row r="4402" spans="1:38" x14ac:dyDescent="0.2">
      <c r="A4402" s="2">
        <v>2026</v>
      </c>
      <c r="B4402" s="2">
        <v>7</v>
      </c>
      <c r="C4402" s="2" t="s">
        <v>3431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40"/>
        <v>13.8</v>
      </c>
      <c r="V4402" s="2">
        <f t="shared" si="641"/>
        <v>73.8</v>
      </c>
      <c r="X4402" s="5">
        <f t="shared" si="642"/>
        <v>1</v>
      </c>
      <c r="Z4402" s="2" t="s">
        <v>3239</v>
      </c>
      <c r="AA4402" s="2" t="s">
        <v>46</v>
      </c>
      <c r="AB4402" s="2" t="s">
        <v>61</v>
      </c>
      <c r="AC4402" s="2" t="s">
        <v>58</v>
      </c>
      <c r="AK4402" s="2">
        <f t="shared" si="638"/>
        <v>60</v>
      </c>
      <c r="AL4402" s="5">
        <f t="shared" si="639"/>
        <v>1</v>
      </c>
    </row>
    <row r="4403" spans="1:38" x14ac:dyDescent="0.2">
      <c r="A4403" s="2">
        <v>2026</v>
      </c>
      <c r="B4403" s="2">
        <v>7</v>
      </c>
      <c r="C4403" s="2" t="s">
        <v>3308</v>
      </c>
      <c r="D4403" s="15" t="s">
        <v>2286</v>
      </c>
      <c r="M4403" s="2" t="s">
        <v>40</v>
      </c>
      <c r="P4403" s="2" t="s">
        <v>115</v>
      </c>
      <c r="Q4403" s="16" t="s">
        <v>3371</v>
      </c>
      <c r="R4403" s="15" t="s">
        <v>1104</v>
      </c>
      <c r="S4403" s="13">
        <v>1</v>
      </c>
      <c r="T4403" s="14">
        <v>187.92</v>
      </c>
      <c r="U4403" s="2">
        <f t="shared" si="640"/>
        <v>43.221600000000002</v>
      </c>
      <c r="V4403" s="2">
        <f t="shared" si="641"/>
        <v>231.14159999999998</v>
      </c>
      <c r="W4403" s="2">
        <v>49.96</v>
      </c>
      <c r="X4403" s="5">
        <f t="shared" si="642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8"/>
        <v>137.95999999999998</v>
      </c>
      <c r="AL4403" s="5">
        <f t="shared" si="639"/>
        <v>0.73414218816517662</v>
      </c>
    </row>
    <row r="4404" spans="1:38" x14ac:dyDescent="0.2">
      <c r="A4404" s="2">
        <v>2026</v>
      </c>
      <c r="B4404" s="2">
        <v>7</v>
      </c>
      <c r="C4404" s="2" t="s">
        <v>3308</v>
      </c>
      <c r="D4404" s="15" t="s">
        <v>2286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40"/>
        <v>124.00909999999999</v>
      </c>
      <c r="V4404" s="2">
        <f t="shared" si="641"/>
        <v>663.17909999999995</v>
      </c>
      <c r="W4404" s="2">
        <v>257.3</v>
      </c>
      <c r="X4404" s="5">
        <f t="shared" si="642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8"/>
        <v>281.86999999999995</v>
      </c>
      <c r="AL4404" s="5">
        <f t="shared" si="639"/>
        <v>0.52278502142181493</v>
      </c>
    </row>
    <row r="4405" spans="1:38" x14ac:dyDescent="0.2">
      <c r="A4405" s="2">
        <v>2026</v>
      </c>
      <c r="B4405" s="2">
        <v>7</v>
      </c>
      <c r="C4405" s="2" t="s">
        <v>3308</v>
      </c>
      <c r="D4405" s="15" t="s">
        <v>2286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40"/>
        <v>34.270000000000003</v>
      </c>
      <c r="V4405" s="2">
        <f t="shared" si="641"/>
        <v>183.27</v>
      </c>
      <c r="W4405" s="2">
        <f>T4405*40%</f>
        <v>59.6</v>
      </c>
      <c r="X4405" s="5">
        <f t="shared" si="642"/>
        <v>0.60000000000000009</v>
      </c>
      <c r="Z4405" s="2" t="s">
        <v>118</v>
      </c>
      <c r="AA4405" s="2" t="s">
        <v>191</v>
      </c>
      <c r="AK4405" s="2">
        <f t="shared" si="638"/>
        <v>89.4</v>
      </c>
      <c r="AL4405" s="5">
        <f t="shared" si="639"/>
        <v>0.60000000000000009</v>
      </c>
    </row>
    <row r="4406" spans="1:38" x14ac:dyDescent="0.2">
      <c r="A4406" s="2">
        <v>2026</v>
      </c>
      <c r="B4406" s="2">
        <v>7</v>
      </c>
      <c r="C4406" s="2" t="s">
        <v>3308</v>
      </c>
      <c r="D4406" s="15" t="s">
        <v>2286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40"/>
        <v>25.3</v>
      </c>
      <c r="V4406" s="2">
        <f t="shared" si="641"/>
        <v>135.30000000000001</v>
      </c>
      <c r="W4406" s="2">
        <f>T4406*50%</f>
        <v>55</v>
      </c>
      <c r="X4406" s="5">
        <f t="shared" si="642"/>
        <v>0.5</v>
      </c>
      <c r="Z4406" s="2" t="s">
        <v>118</v>
      </c>
      <c r="AA4406" s="2" t="s">
        <v>191</v>
      </c>
      <c r="AK4406" s="2">
        <f t="shared" si="638"/>
        <v>55</v>
      </c>
      <c r="AL4406" s="5">
        <f t="shared" si="639"/>
        <v>0.5</v>
      </c>
    </row>
    <row r="4407" spans="1:38" x14ac:dyDescent="0.2">
      <c r="A4407" s="2">
        <v>2026</v>
      </c>
      <c r="B4407" s="2">
        <v>7</v>
      </c>
      <c r="C4407" s="2" t="s">
        <v>3309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3372</v>
      </c>
      <c r="R4407" s="15" t="s">
        <v>3373</v>
      </c>
      <c r="S4407" s="13">
        <v>8</v>
      </c>
      <c r="T4407" s="14">
        <v>100.8</v>
      </c>
      <c r="U4407" s="2">
        <f t="shared" si="640"/>
        <v>23.184000000000001</v>
      </c>
      <c r="V4407" s="2">
        <f t="shared" si="641"/>
        <v>123.98399999999999</v>
      </c>
      <c r="W4407" s="2">
        <f>3*S4407</f>
        <v>24</v>
      </c>
      <c r="X4407" s="5">
        <f t="shared" si="642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38"/>
        <v>76.8</v>
      </c>
      <c r="AL4407" s="5">
        <f t="shared" si="639"/>
        <v>0.76190476190476186</v>
      </c>
    </row>
    <row r="4408" spans="1:38" x14ac:dyDescent="0.2">
      <c r="A4408" s="2">
        <v>2026</v>
      </c>
      <c r="B4408" s="2">
        <v>7</v>
      </c>
      <c r="C4408" s="2" t="s">
        <v>3432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40"/>
        <v>11.258500000000002</v>
      </c>
      <c r="V4408" s="2">
        <f t="shared" si="641"/>
        <v>60.208500000000001</v>
      </c>
      <c r="W4408" s="2">
        <f>23.042*S4408</f>
        <v>23.042000000000002</v>
      </c>
      <c r="X4408" s="5">
        <f t="shared" si="642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8"/>
        <v>25.908000000000001</v>
      </c>
      <c r="AL4408" s="5">
        <f t="shared" si="639"/>
        <v>0.52927477017364655</v>
      </c>
    </row>
    <row r="4409" spans="1:38" x14ac:dyDescent="0.2">
      <c r="A4409" s="2">
        <v>2026</v>
      </c>
      <c r="B4409" s="2">
        <v>7</v>
      </c>
      <c r="C4409" s="2" t="s">
        <v>3432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40"/>
        <v>8.9700000000000006</v>
      </c>
      <c r="V4409" s="2">
        <f t="shared" si="641"/>
        <v>47.97</v>
      </c>
      <c r="X4409" s="5">
        <f t="shared" si="642"/>
        <v>1</v>
      </c>
      <c r="Z4409" s="2" t="s">
        <v>3239</v>
      </c>
      <c r="AK4409" s="2">
        <f t="shared" si="638"/>
        <v>39</v>
      </c>
      <c r="AL4409" s="5">
        <f t="shared" si="639"/>
        <v>1</v>
      </c>
    </row>
    <row r="4410" spans="1:38" x14ac:dyDescent="0.2">
      <c r="A4410" s="2">
        <v>2026</v>
      </c>
      <c r="B4410" s="2">
        <v>7</v>
      </c>
      <c r="C4410" s="2" t="s">
        <v>3432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40"/>
        <v>34.5</v>
      </c>
      <c r="V4410" s="2">
        <f t="shared" si="641"/>
        <v>184.5</v>
      </c>
      <c r="W4410" s="2">
        <f>10.6*S4410</f>
        <v>106</v>
      </c>
      <c r="X4410" s="5">
        <f t="shared" si="642"/>
        <v>0.29333333333333333</v>
      </c>
      <c r="Z4410" s="2" t="s">
        <v>3239</v>
      </c>
      <c r="AK4410" s="2">
        <f t="shared" si="638"/>
        <v>44</v>
      </c>
      <c r="AL4410" s="5">
        <f t="shared" si="639"/>
        <v>0.29333333333333333</v>
      </c>
    </row>
    <row r="4411" spans="1:38" x14ac:dyDescent="0.2">
      <c r="A4411" s="2">
        <v>2026</v>
      </c>
      <c r="B4411" s="2">
        <v>7</v>
      </c>
      <c r="C4411" s="2" t="s">
        <v>3432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40"/>
        <v>3.22</v>
      </c>
      <c r="V4411" s="2">
        <f t="shared" si="641"/>
        <v>17.22</v>
      </c>
      <c r="X4411" s="5">
        <f t="shared" si="642"/>
        <v>1</v>
      </c>
      <c r="Z4411" s="2" t="s">
        <v>3239</v>
      </c>
      <c r="AA4411" s="2" t="s">
        <v>46</v>
      </c>
      <c r="AB4411" s="2" t="s">
        <v>61</v>
      </c>
      <c r="AC4411" s="2" t="s">
        <v>58</v>
      </c>
      <c r="AK4411" s="2">
        <f t="shared" si="638"/>
        <v>14</v>
      </c>
      <c r="AL4411" s="5">
        <f t="shared" si="639"/>
        <v>1</v>
      </c>
    </row>
    <row r="4412" spans="1:38" x14ac:dyDescent="0.2">
      <c r="A4412" s="2">
        <v>2026</v>
      </c>
      <c r="B4412" s="2">
        <v>7</v>
      </c>
      <c r="C4412" s="2" t="s">
        <v>3432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40"/>
        <v>17.48</v>
      </c>
      <c r="V4412" s="2">
        <f t="shared" si="641"/>
        <v>93.48</v>
      </c>
      <c r="W4412" s="2">
        <f>T4412*40%</f>
        <v>30.400000000000002</v>
      </c>
      <c r="X4412" s="5">
        <f t="shared" si="642"/>
        <v>0.6</v>
      </c>
      <c r="Z4412" s="2" t="s">
        <v>118</v>
      </c>
      <c r="AA4412" s="2" t="s">
        <v>191</v>
      </c>
      <c r="AK4412" s="2">
        <f t="shared" si="638"/>
        <v>45.599999999999994</v>
      </c>
      <c r="AL4412" s="5">
        <f t="shared" si="639"/>
        <v>0.6</v>
      </c>
    </row>
    <row r="4413" spans="1:38" x14ac:dyDescent="0.2">
      <c r="A4413" s="2">
        <v>2026</v>
      </c>
      <c r="B4413" s="2">
        <v>7</v>
      </c>
      <c r="C4413" s="2" t="s">
        <v>3432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40"/>
        <v>12.65</v>
      </c>
      <c r="V4413" s="2">
        <f t="shared" si="641"/>
        <v>67.650000000000006</v>
      </c>
      <c r="W4413" s="2">
        <f>T4413*50%</f>
        <v>27.5</v>
      </c>
      <c r="X4413" s="5">
        <f t="shared" si="642"/>
        <v>0.5</v>
      </c>
      <c r="Z4413" s="2" t="s">
        <v>118</v>
      </c>
      <c r="AA4413" s="2" t="s">
        <v>191</v>
      </c>
      <c r="AK4413" s="2">
        <f t="shared" si="638"/>
        <v>27.5</v>
      </c>
      <c r="AL4413" s="5">
        <f t="shared" si="639"/>
        <v>0.5</v>
      </c>
    </row>
    <row r="4414" spans="1:38" x14ac:dyDescent="0.2">
      <c r="A4414" s="2">
        <v>2026</v>
      </c>
      <c r="B4414" s="2">
        <v>7</v>
      </c>
      <c r="C4414" s="2" t="s">
        <v>3433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40"/>
        <v>10.143000000000001</v>
      </c>
      <c r="V4414" s="2">
        <f t="shared" si="641"/>
        <v>54.243000000000002</v>
      </c>
      <c r="W4414" s="2">
        <f>11.098*S4414</f>
        <v>22.196000000000002</v>
      </c>
      <c r="X4414" s="5">
        <f t="shared" si="642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8"/>
        <v>21.904</v>
      </c>
      <c r="AL4414" s="5">
        <f t="shared" si="639"/>
        <v>0.49668934240362811</v>
      </c>
    </row>
    <row r="4415" spans="1:38" x14ac:dyDescent="0.2">
      <c r="A4415" s="2">
        <v>2026</v>
      </c>
      <c r="B4415" s="2">
        <v>7</v>
      </c>
      <c r="C4415" s="2" t="s">
        <v>3433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40"/>
        <v>1.84</v>
      </c>
      <c r="V4415" s="2">
        <f t="shared" si="641"/>
        <v>9.84</v>
      </c>
      <c r="X4415" s="5">
        <f t="shared" si="642"/>
        <v>1</v>
      </c>
      <c r="Z4415" s="2" t="s">
        <v>170</v>
      </c>
      <c r="AA4415" s="2" t="s">
        <v>170</v>
      </c>
      <c r="AK4415" s="2">
        <f t="shared" si="638"/>
        <v>8</v>
      </c>
      <c r="AL4415" s="5">
        <f t="shared" si="639"/>
        <v>1</v>
      </c>
    </row>
    <row r="4416" spans="1:38" x14ac:dyDescent="0.2">
      <c r="A4416" s="2">
        <v>2026</v>
      </c>
      <c r="B4416" s="2">
        <v>7</v>
      </c>
      <c r="C4416" s="2" t="s">
        <v>3309</v>
      </c>
      <c r="D4416" s="15" t="s">
        <v>2791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40"/>
        <v>13.144500000000001</v>
      </c>
      <c r="V4416" s="2">
        <f t="shared" si="641"/>
        <v>70.294499999999999</v>
      </c>
      <c r="W4416" s="2">
        <f>5.3525*S4416</f>
        <v>21.41</v>
      </c>
      <c r="X4416" s="5">
        <f t="shared" si="642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8"/>
        <v>35.739999999999995</v>
      </c>
      <c r="AL4416" s="5">
        <f t="shared" si="639"/>
        <v>0.62537182852143469</v>
      </c>
    </row>
    <row r="4417" spans="1:38" x14ac:dyDescent="0.2">
      <c r="A4417" s="2">
        <v>2026</v>
      </c>
      <c r="B4417" s="2">
        <v>7</v>
      </c>
      <c r="C4417" s="2" t="s">
        <v>3309</v>
      </c>
      <c r="D4417" s="15" t="s">
        <v>2791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40"/>
        <v>1.84</v>
      </c>
      <c r="V4417" s="2">
        <f t="shared" si="641"/>
        <v>9.84</v>
      </c>
      <c r="X4417" s="5">
        <f t="shared" si="642"/>
        <v>1</v>
      </c>
      <c r="Z4417" s="2" t="s">
        <v>170</v>
      </c>
      <c r="AA4417" s="2" t="s">
        <v>170</v>
      </c>
      <c r="AK4417" s="2">
        <f t="shared" si="638"/>
        <v>8</v>
      </c>
      <c r="AL4417" s="5">
        <f t="shared" si="639"/>
        <v>1</v>
      </c>
    </row>
    <row r="4418" spans="1:38" x14ac:dyDescent="0.2">
      <c r="A4418" s="2">
        <v>2026</v>
      </c>
      <c r="B4418" s="2">
        <v>7</v>
      </c>
      <c r="C4418" s="2" t="s">
        <v>3308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41"/>
        <v>577.91999999999996</v>
      </c>
      <c r="W4418" s="2">
        <v>344.89339999999999</v>
      </c>
      <c r="X4418" s="5">
        <f t="shared" si="642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8"/>
        <v>233.02659999999997</v>
      </c>
      <c r="AL4418" s="5">
        <f t="shared" si="639"/>
        <v>0.40321601605758584</v>
      </c>
    </row>
    <row r="4419" spans="1:38" x14ac:dyDescent="0.2">
      <c r="A4419" s="2">
        <v>2026</v>
      </c>
      <c r="B4419" s="2">
        <v>7</v>
      </c>
      <c r="C4419" s="2" t="s">
        <v>3308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40"/>
        <v>3220</v>
      </c>
      <c r="V4419" s="2">
        <f t="shared" si="641"/>
        <v>17220</v>
      </c>
      <c r="W4419" s="2">
        <f>10699.41+285.74</f>
        <v>10985.15</v>
      </c>
      <c r="X4419" s="5">
        <f t="shared" si="642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38"/>
        <v>3014.8500000000004</v>
      </c>
      <c r="AL4419" s="5">
        <f t="shared" si="639"/>
        <v>0.21534642857142861</v>
      </c>
    </row>
    <row r="4420" spans="1:38" x14ac:dyDescent="0.2">
      <c r="A4420" s="2">
        <v>2026</v>
      </c>
      <c r="B4420" s="2">
        <v>7</v>
      </c>
      <c r="C4420" s="2" t="s">
        <v>3308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40"/>
        <v>48.300000000000004</v>
      </c>
      <c r="V4420" s="2">
        <f t="shared" si="641"/>
        <v>258.3</v>
      </c>
      <c r="W4420" s="2">
        <f>113.905+11.25</f>
        <v>125.155</v>
      </c>
      <c r="X4420" s="5">
        <f t="shared" si="642"/>
        <v>0.40402380952380951</v>
      </c>
      <c r="Z4420" s="2" t="s">
        <v>3239</v>
      </c>
      <c r="AA4420" s="2" t="s">
        <v>76</v>
      </c>
      <c r="AB4420" s="2" t="s">
        <v>77</v>
      </c>
      <c r="AC4420" s="2" t="s">
        <v>78</v>
      </c>
      <c r="AK4420" s="2">
        <f t="shared" si="638"/>
        <v>84.844999999999999</v>
      </c>
      <c r="AL4420" s="5">
        <f t="shared" si="639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3308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40"/>
        <v>0.34040000000000004</v>
      </c>
      <c r="V4421" s="2">
        <f t="shared" si="641"/>
        <v>1.8204</v>
      </c>
      <c r="W4421" s="2">
        <v>1.48</v>
      </c>
      <c r="X4421" s="5">
        <f t="shared" si="642"/>
        <v>0</v>
      </c>
      <c r="Z4421" s="2" t="s">
        <v>3239</v>
      </c>
      <c r="AA4421" s="2" t="s">
        <v>97</v>
      </c>
      <c r="AB4421" s="2" t="s">
        <v>77</v>
      </c>
      <c r="AC4421" s="2" t="s">
        <v>94</v>
      </c>
      <c r="AK4421" s="2">
        <f t="shared" si="638"/>
        <v>0</v>
      </c>
      <c r="AL4421" s="5">
        <f t="shared" si="639"/>
        <v>0</v>
      </c>
    </row>
    <row r="4422" spans="1:38" x14ac:dyDescent="0.2">
      <c r="A4422" s="2">
        <v>2026</v>
      </c>
      <c r="B4422" s="2">
        <v>7</v>
      </c>
      <c r="C4422" s="2" t="s">
        <v>3308</v>
      </c>
      <c r="D4422" s="15" t="s">
        <v>636</v>
      </c>
      <c r="M4422" s="2" t="s">
        <v>40</v>
      </c>
      <c r="P4422" s="2" t="s">
        <v>115</v>
      </c>
      <c r="Q4422" s="16" t="s">
        <v>3374</v>
      </c>
      <c r="R4422" s="15" t="s">
        <v>3375</v>
      </c>
      <c r="S4422" s="13">
        <v>1</v>
      </c>
      <c r="T4422" s="14">
        <v>103.55</v>
      </c>
      <c r="U4422" s="2">
        <f t="shared" si="640"/>
        <v>23.816500000000001</v>
      </c>
      <c r="V4422" s="2">
        <f t="shared" si="641"/>
        <v>127.3665</v>
      </c>
      <c r="W4422" s="2">
        <f>57.53+1</f>
        <v>58.53</v>
      </c>
      <c r="X4422" s="5">
        <f t="shared" si="642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8"/>
        <v>45.019999999999996</v>
      </c>
      <c r="AL4422" s="5">
        <f t="shared" si="639"/>
        <v>0.43476581361661032</v>
      </c>
    </row>
    <row r="4423" spans="1:38" x14ac:dyDescent="0.2">
      <c r="A4423" s="2">
        <v>2026</v>
      </c>
      <c r="B4423" s="2">
        <v>7</v>
      </c>
      <c r="C4423" s="2" t="s">
        <v>3307</v>
      </c>
      <c r="D4423" s="15" t="s">
        <v>3356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3100</v>
      </c>
      <c r="R4423" s="15" t="s">
        <v>3101</v>
      </c>
      <c r="S4423" s="13">
        <v>1</v>
      </c>
      <c r="T4423" s="14">
        <v>2490</v>
      </c>
      <c r="U4423" s="2">
        <f t="shared" si="640"/>
        <v>572.70000000000005</v>
      </c>
      <c r="V4423" s="2">
        <f t="shared" si="641"/>
        <v>3062.7</v>
      </c>
      <c r="W4423" s="2">
        <f>1907.5+49</f>
        <v>1956.5</v>
      </c>
      <c r="X4423" s="5">
        <f t="shared" si="642"/>
        <v>0.21425702811244979</v>
      </c>
      <c r="Z4423" s="2" t="s">
        <v>105</v>
      </c>
      <c r="AA4423" s="2" t="s">
        <v>388</v>
      </c>
      <c r="AB4423" s="2" t="s">
        <v>1335</v>
      </c>
      <c r="AC4423" s="2" t="s">
        <v>1332</v>
      </c>
      <c r="AK4423" s="2">
        <f t="shared" si="638"/>
        <v>533.5</v>
      </c>
      <c r="AL4423" s="5">
        <f t="shared" si="639"/>
        <v>0.21425702811244979</v>
      </c>
    </row>
    <row r="4424" spans="1:38" x14ac:dyDescent="0.2">
      <c r="A4424" s="2">
        <v>2026</v>
      </c>
      <c r="B4424" s="2">
        <v>7</v>
      </c>
      <c r="C4424" s="2" t="s">
        <v>3308</v>
      </c>
      <c r="D4424" s="15" t="s">
        <v>1124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3258</v>
      </c>
      <c r="J4424" s="2" t="s">
        <v>3259</v>
      </c>
      <c r="K4424" s="2">
        <v>96179412</v>
      </c>
      <c r="L4424" s="2" t="s">
        <v>462</v>
      </c>
      <c r="M4424" s="2" t="s">
        <v>40</v>
      </c>
      <c r="O4424" s="2" t="s">
        <v>3390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40"/>
        <v>160.839</v>
      </c>
      <c r="V4424" s="2">
        <f t="shared" si="641"/>
        <v>860.1389999999999</v>
      </c>
      <c r="W4424" s="2">
        <v>343.38580000000002</v>
      </c>
      <c r="X4424" s="5">
        <f t="shared" si="642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8"/>
        <v>355.91419999999994</v>
      </c>
      <c r="AL4424" s="5">
        <f t="shared" si="639"/>
        <v>0.50895781495781489</v>
      </c>
    </row>
    <row r="4425" spans="1:38" x14ac:dyDescent="0.2">
      <c r="A4425" s="2">
        <v>2026</v>
      </c>
      <c r="B4425" s="2">
        <v>7</v>
      </c>
      <c r="C4425" s="2" t="s">
        <v>3308</v>
      </c>
      <c r="D4425" s="15" t="s">
        <v>1124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3258</v>
      </c>
      <c r="J4425" s="2" t="s">
        <v>3259</v>
      </c>
      <c r="K4425" s="2">
        <v>96179412</v>
      </c>
      <c r="L4425" s="2" t="s">
        <v>462</v>
      </c>
      <c r="M4425" s="2" t="s">
        <v>40</v>
      </c>
      <c r="O4425" s="2" t="s">
        <v>3390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40"/>
        <v>56.580000000000005</v>
      </c>
      <c r="V4425" s="2">
        <f t="shared" si="641"/>
        <v>302.58</v>
      </c>
      <c r="W4425" s="2">
        <f>T4425*40%</f>
        <v>98.4</v>
      </c>
      <c r="X4425" s="5">
        <f t="shared" si="642"/>
        <v>0.6</v>
      </c>
      <c r="Z4425" s="2" t="s">
        <v>118</v>
      </c>
      <c r="AA4425" s="2" t="s">
        <v>191</v>
      </c>
      <c r="AK4425" s="2">
        <f t="shared" si="638"/>
        <v>147.6</v>
      </c>
      <c r="AL4425" s="5">
        <f t="shared" si="639"/>
        <v>0.6</v>
      </c>
    </row>
    <row r="4426" spans="1:38" x14ac:dyDescent="0.2">
      <c r="A4426" s="2">
        <v>2026</v>
      </c>
      <c r="B4426" s="2">
        <v>7</v>
      </c>
      <c r="C4426" s="2" t="s">
        <v>3308</v>
      </c>
      <c r="D4426" s="15" t="s">
        <v>1124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3258</v>
      </c>
      <c r="J4426" s="2" t="s">
        <v>3259</v>
      </c>
      <c r="K4426" s="2">
        <v>96179412</v>
      </c>
      <c r="L4426" s="2" t="s">
        <v>462</v>
      </c>
      <c r="M4426" s="2" t="s">
        <v>40</v>
      </c>
      <c r="O4426" s="2" t="s">
        <v>3390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40"/>
        <v>18.975000000000001</v>
      </c>
      <c r="V4426" s="2">
        <f t="shared" si="641"/>
        <v>101.47499999999999</v>
      </c>
      <c r="W4426" s="2">
        <f>T4426*50%</f>
        <v>41.25</v>
      </c>
      <c r="X4426" s="5">
        <f t="shared" si="642"/>
        <v>0.5</v>
      </c>
      <c r="Z4426" s="2" t="s">
        <v>118</v>
      </c>
      <c r="AA4426" s="2" t="s">
        <v>191</v>
      </c>
      <c r="AK4426" s="2">
        <f t="shared" si="638"/>
        <v>41.25</v>
      </c>
      <c r="AL4426" s="5">
        <f t="shared" si="639"/>
        <v>0.5</v>
      </c>
    </row>
    <row r="4427" spans="1:38" x14ac:dyDescent="0.2">
      <c r="A4427" s="2">
        <v>2026</v>
      </c>
      <c r="B4427" s="2">
        <v>7</v>
      </c>
      <c r="C4427" s="2" t="s">
        <v>3309</v>
      </c>
      <c r="D4427" s="15" t="s">
        <v>3357</v>
      </c>
      <c r="E4427" s="2" t="s">
        <v>38</v>
      </c>
      <c r="F4427" s="2" t="s">
        <v>39</v>
      </c>
      <c r="H4427" s="2" t="s">
        <v>40</v>
      </c>
      <c r="I4427" s="2" t="s">
        <v>3389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40"/>
        <v>52.900000000000006</v>
      </c>
      <c r="V4427" s="2">
        <f t="shared" si="641"/>
        <v>282.89999999999998</v>
      </c>
      <c r="W4427" s="2">
        <v>125.51600000000001</v>
      </c>
      <c r="X4427" s="5">
        <f t="shared" si="642"/>
        <v>0.45427826086956519</v>
      </c>
      <c r="Z4427" s="2" t="s">
        <v>3239</v>
      </c>
      <c r="AA4427" s="2" t="s">
        <v>76</v>
      </c>
      <c r="AB4427" s="2" t="s">
        <v>77</v>
      </c>
      <c r="AC4427" s="2" t="s">
        <v>78</v>
      </c>
      <c r="AK4427" s="2">
        <f t="shared" si="638"/>
        <v>104.48399999999999</v>
      </c>
      <c r="AL4427" s="5">
        <f t="shared" si="639"/>
        <v>0.45427826086956519</v>
      </c>
    </row>
    <row r="4428" spans="1:38" x14ac:dyDescent="0.2">
      <c r="A4428" s="2">
        <v>2026</v>
      </c>
      <c r="B4428" s="2">
        <v>7</v>
      </c>
      <c r="C4428" s="2" t="s">
        <v>3309</v>
      </c>
      <c r="D4428" s="15" t="s">
        <v>3357</v>
      </c>
      <c r="E4428" s="2" t="s">
        <v>38</v>
      </c>
      <c r="F4428" s="2" t="s">
        <v>39</v>
      </c>
      <c r="H4428" s="2" t="s">
        <v>40</v>
      </c>
      <c r="I4428" s="2" t="s">
        <v>3389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40"/>
        <v>0.34040000000000004</v>
      </c>
      <c r="V4428" s="2">
        <f t="shared" si="641"/>
        <v>1.8204</v>
      </c>
      <c r="W4428" s="2">
        <v>1.48</v>
      </c>
      <c r="X4428" s="5">
        <f t="shared" si="642"/>
        <v>0</v>
      </c>
      <c r="Z4428" s="2" t="s">
        <v>3239</v>
      </c>
      <c r="AA4428" s="2" t="s">
        <v>97</v>
      </c>
      <c r="AB4428" s="2" t="s">
        <v>77</v>
      </c>
      <c r="AC4428" s="2" t="s">
        <v>94</v>
      </c>
      <c r="AK4428" s="2">
        <f t="shared" si="638"/>
        <v>0</v>
      </c>
      <c r="AL4428" s="5">
        <f t="shared" si="639"/>
        <v>0</v>
      </c>
    </row>
    <row r="4429" spans="1:38" x14ac:dyDescent="0.2">
      <c r="A4429" s="2">
        <v>2026</v>
      </c>
      <c r="B4429" s="2">
        <v>7</v>
      </c>
      <c r="C4429" s="2" t="s">
        <v>3309</v>
      </c>
      <c r="D4429" s="15" t="s">
        <v>1317</v>
      </c>
      <c r="L4429" s="2" t="s">
        <v>178</v>
      </c>
      <c r="M4429" s="2" t="s">
        <v>41</v>
      </c>
      <c r="O4429" s="2" t="s">
        <v>3388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40"/>
        <v>4.83</v>
      </c>
      <c r="V4429" s="2">
        <f t="shared" si="641"/>
        <v>25.83</v>
      </c>
      <c r="X4429" s="5">
        <f t="shared" si="642"/>
        <v>1</v>
      </c>
      <c r="Z4429" s="2" t="s">
        <v>3239</v>
      </c>
      <c r="AK4429" s="2">
        <f t="shared" si="638"/>
        <v>21</v>
      </c>
      <c r="AL4429" s="5">
        <f t="shared" si="639"/>
        <v>1</v>
      </c>
    </row>
    <row r="4430" spans="1:38" x14ac:dyDescent="0.2">
      <c r="A4430" s="2">
        <v>2026</v>
      </c>
      <c r="B4430" s="2">
        <v>7</v>
      </c>
      <c r="C4430" s="2" t="s">
        <v>3309</v>
      </c>
      <c r="D4430" s="15" t="s">
        <v>1317</v>
      </c>
      <c r="L4430" s="2" t="s">
        <v>178</v>
      </c>
      <c r="M4430" s="2" t="s">
        <v>41</v>
      </c>
      <c r="O4430" s="2" t="s">
        <v>3388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40"/>
        <v>8.2800000000000011</v>
      </c>
      <c r="V4430" s="2">
        <f t="shared" si="641"/>
        <v>44.28</v>
      </c>
      <c r="W4430" s="2">
        <f>10.6*S4430</f>
        <v>21.2</v>
      </c>
      <c r="X4430" s="5">
        <f t="shared" si="642"/>
        <v>0.41111111111111115</v>
      </c>
      <c r="Z4430" s="2" t="s">
        <v>3239</v>
      </c>
      <c r="AK4430" s="2">
        <f t="shared" si="638"/>
        <v>14.8</v>
      </c>
      <c r="AL4430" s="5">
        <f t="shared" si="639"/>
        <v>0.41111111111111115</v>
      </c>
    </row>
    <row r="4431" spans="1:38" x14ac:dyDescent="0.2">
      <c r="A4431" s="2">
        <v>2026</v>
      </c>
      <c r="B4431" s="2">
        <v>7</v>
      </c>
      <c r="C4431" s="2" t="s">
        <v>3309</v>
      </c>
      <c r="D4431" s="15" t="s">
        <v>1317</v>
      </c>
      <c r="L4431" s="2" t="s">
        <v>178</v>
      </c>
      <c r="M4431" s="2" t="s">
        <v>41</v>
      </c>
      <c r="O4431" s="2" t="s">
        <v>3388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40"/>
        <v>3.22</v>
      </c>
      <c r="V4431" s="2">
        <f t="shared" si="641"/>
        <v>17.22</v>
      </c>
      <c r="W4431" s="2">
        <f>0.0914*S4431</f>
        <v>9.1399999999999988</v>
      </c>
      <c r="X4431" s="5">
        <f t="shared" si="642"/>
        <v>0.34714285714285725</v>
      </c>
      <c r="Z4431" s="2" t="s">
        <v>3239</v>
      </c>
      <c r="AA4431" s="2" t="s">
        <v>46</v>
      </c>
      <c r="AB4431" s="2" t="s">
        <v>61</v>
      </c>
      <c r="AC4431" s="2" t="s">
        <v>58</v>
      </c>
      <c r="AK4431" s="2">
        <f t="shared" si="638"/>
        <v>4.8600000000000012</v>
      </c>
      <c r="AL4431" s="5">
        <f t="shared" si="639"/>
        <v>0.34714285714285725</v>
      </c>
    </row>
    <row r="4432" spans="1:38" x14ac:dyDescent="0.2">
      <c r="A4432" s="2">
        <v>2026</v>
      </c>
      <c r="B4432" s="2">
        <v>7</v>
      </c>
      <c r="C4432" s="2" t="s">
        <v>3308</v>
      </c>
      <c r="D4432" s="15" t="s">
        <v>1129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3387</v>
      </c>
      <c r="P4432" s="2" t="s">
        <v>115</v>
      </c>
      <c r="Q4432" s="16" t="s">
        <v>3376</v>
      </c>
      <c r="R4432" s="15" t="s">
        <v>3377</v>
      </c>
      <c r="S4432" s="13">
        <v>12</v>
      </c>
      <c r="T4432" s="14">
        <v>157.75</v>
      </c>
      <c r="U4432" s="2">
        <f t="shared" si="640"/>
        <v>36.282499999999999</v>
      </c>
      <c r="V4432" s="2">
        <f t="shared" si="641"/>
        <v>194.0325</v>
      </c>
      <c r="W4432" s="2">
        <f>6.26*S4432</f>
        <v>75.12</v>
      </c>
      <c r="X4432" s="5">
        <f t="shared" si="642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3308</v>
      </c>
      <c r="D4433" s="15" t="s">
        <v>1129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3387</v>
      </c>
      <c r="P4433" s="2" t="s">
        <v>115</v>
      </c>
      <c r="Q4433" s="16" t="s">
        <v>3378</v>
      </c>
      <c r="R4433" s="15" t="s">
        <v>3379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42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3308</v>
      </c>
      <c r="D4434" s="15" t="s">
        <v>1129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3387</v>
      </c>
      <c r="P4434" s="2" t="s">
        <v>115</v>
      </c>
      <c r="Q4434" s="16" t="s">
        <v>3380</v>
      </c>
      <c r="R4434" s="15" t="s">
        <v>3381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42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hidden="1" x14ac:dyDescent="0.2">
      <c r="AK4435" s="2">
        <f t="shared" ref="AK4435" si="643">T4435-W4435</f>
        <v>0</v>
      </c>
      <c r="AL4435" s="5" t="e">
        <f t="shared" ref="AL4435" si="644">(T4435-W4435)/T4435</f>
        <v>#DIV/0!</v>
      </c>
    </row>
  </sheetData>
  <autoFilter ref="A1:AL4435" xr:uid="{00000000-0001-0000-0000-000000000000}">
    <filterColumn colId="0">
      <filters>
        <filter val="2026"/>
      </filters>
    </filterColumn>
    <filterColumn colId="1">
      <filters>
        <filter val="7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2026-07-21T10:46:31Z</dcterms:modified>
</cp:coreProperties>
</file>